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56" i="30" l="1"/>
  <c r="X55" i="30"/>
  <c r="X54" i="30"/>
  <c r="X53" i="30"/>
  <c r="X52" i="30"/>
  <c r="X51" i="30"/>
  <c r="X50" i="30"/>
  <c r="X49" i="30"/>
  <c r="X48" i="30"/>
  <c r="X47" i="30"/>
  <c r="X46" i="30"/>
  <c r="X45" i="30"/>
  <c r="X44" i="30"/>
  <c r="X43" i="30"/>
  <c r="X42" i="30"/>
  <c r="X41" i="30"/>
  <c r="X40" i="30"/>
  <c r="X39" i="30"/>
  <c r="X38" i="30"/>
  <c r="X37" i="30"/>
  <c r="X36" i="30"/>
  <c r="X35" i="30"/>
  <c r="X34" i="30"/>
  <c r="X33" i="30"/>
  <c r="X32" i="30"/>
  <c r="X31" i="30"/>
  <c r="X30" i="30"/>
  <c r="X29" i="30"/>
  <c r="X28" i="30"/>
  <c r="X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12" i="30"/>
  <c r="X11" i="30"/>
  <c r="X10" i="30"/>
  <c r="X9" i="30"/>
  <c r="X8" i="30"/>
  <c r="X7" i="30"/>
  <c r="X6" i="30"/>
  <c r="X5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" i="9"/>
  <c r="AX465" i="9"/>
  <c r="AX165" i="9"/>
  <c r="AX166" i="9"/>
  <c r="AX167" i="9"/>
  <c r="AX168" i="9"/>
  <c r="AX169" i="9"/>
  <c r="AX170" i="9"/>
  <c r="AX171" i="9"/>
  <c r="AX172" i="9"/>
  <c r="AX173" i="9"/>
  <c r="AX174" i="9"/>
  <c r="AX175" i="9"/>
  <c r="AX176" i="9"/>
  <c r="AX177" i="9"/>
  <c r="AX178" i="9"/>
  <c r="AX179" i="9"/>
  <c r="AX180" i="9"/>
  <c r="AX181" i="9"/>
  <c r="AX182" i="9"/>
  <c r="AX183" i="9"/>
  <c r="AX184" i="9"/>
  <c r="BO304" i="9" l="1"/>
  <c r="AQ304" i="9" s="1"/>
  <c r="BM304" i="9"/>
  <c r="BH304" i="9"/>
  <c r="BC304" i="9"/>
  <c r="AX304" i="9"/>
  <c r="AS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S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S302" i="9"/>
  <c r="AO302" i="9"/>
  <c r="AM302" i="9"/>
  <c r="AK302" i="9"/>
  <c r="Y302" i="9"/>
  <c r="V302" i="9"/>
  <c r="F302" i="9"/>
  <c r="C302" i="9"/>
  <c r="A302" i="9" s="1"/>
  <c r="BO301" i="9"/>
  <c r="BM301" i="9"/>
  <c r="BH301" i="9"/>
  <c r="BC301" i="9"/>
  <c r="AX301" i="9"/>
  <c r="AS301" i="9"/>
  <c r="AQ301" i="9"/>
  <c r="AO301" i="9"/>
  <c r="AM301" i="9"/>
  <c r="AK301" i="9"/>
  <c r="Y301" i="9"/>
  <c r="V301" i="9"/>
  <c r="F301" i="9"/>
  <c r="C301" i="9"/>
  <c r="A301" i="9"/>
  <c r="BO300" i="9"/>
  <c r="AQ300" i="9" s="1"/>
  <c r="BM300" i="9"/>
  <c r="BH300" i="9"/>
  <c r="BC300" i="9"/>
  <c r="AX300" i="9"/>
  <c r="AS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S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S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S297" i="9"/>
  <c r="AO297" i="9"/>
  <c r="AM297" i="9"/>
  <c r="AK297" i="9"/>
  <c r="Y297" i="9"/>
  <c r="V297" i="9"/>
  <c r="F297" i="9"/>
  <c r="C297" i="9"/>
  <c r="A297" i="9"/>
  <c r="BO296" i="9"/>
  <c r="AQ296" i="9" s="1"/>
  <c r="BM296" i="9"/>
  <c r="BH296" i="9"/>
  <c r="BC296" i="9"/>
  <c r="AX296" i="9"/>
  <c r="AS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S295" i="9"/>
  <c r="AO295" i="9"/>
  <c r="AM295" i="9"/>
  <c r="AK295" i="9"/>
  <c r="Y295" i="9"/>
  <c r="V295" i="9"/>
  <c r="F295" i="9"/>
  <c r="C295" i="9"/>
  <c r="A295" i="9" s="1"/>
  <c r="BO294" i="9"/>
  <c r="AQ294" i="9" s="1"/>
  <c r="BM294" i="9"/>
  <c r="BH294" i="9"/>
  <c r="BC294" i="9"/>
  <c r="AX294" i="9"/>
  <c r="AS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S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H292" i="9"/>
  <c r="BC292" i="9"/>
  <c r="AX292" i="9"/>
  <c r="AS292" i="9"/>
  <c r="AO292" i="9"/>
  <c r="AM292" i="9"/>
  <c r="AK292" i="9"/>
  <c r="Y292" i="9"/>
  <c r="V292" i="9"/>
  <c r="F292" i="9"/>
  <c r="C292" i="9"/>
  <c r="A292" i="9"/>
  <c r="BO291" i="9"/>
  <c r="AQ291" i="9" s="1"/>
  <c r="BM291" i="9"/>
  <c r="BH291" i="9"/>
  <c r="BC291" i="9"/>
  <c r="AX291" i="9"/>
  <c r="AS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S290" i="9"/>
  <c r="AO290" i="9"/>
  <c r="AM290" i="9"/>
  <c r="AK290" i="9"/>
  <c r="Y290" i="9"/>
  <c r="V290" i="9"/>
  <c r="F290" i="9"/>
  <c r="C290" i="9"/>
  <c r="A290" i="9" s="1"/>
  <c r="BO289" i="9"/>
  <c r="AQ289" i="9" s="1"/>
  <c r="BM289" i="9"/>
  <c r="BH289" i="9"/>
  <c r="BC289" i="9"/>
  <c r="AX289" i="9"/>
  <c r="AS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S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S287" i="9"/>
  <c r="AO287" i="9"/>
  <c r="AM287" i="9"/>
  <c r="AK287" i="9"/>
  <c r="Y287" i="9"/>
  <c r="V287" i="9"/>
  <c r="F287" i="9"/>
  <c r="A287" i="9" s="1"/>
  <c r="C287" i="9"/>
  <c r="BO286" i="9"/>
  <c r="AQ286" i="9" s="1"/>
  <c r="BM286" i="9"/>
  <c r="BH286" i="9"/>
  <c r="BC286" i="9"/>
  <c r="AX286" i="9"/>
  <c r="AS286" i="9"/>
  <c r="AO286" i="9"/>
  <c r="AM286" i="9"/>
  <c r="AK286" i="9"/>
  <c r="Y286" i="9"/>
  <c r="V286" i="9"/>
  <c r="F286" i="9"/>
  <c r="C286" i="9"/>
  <c r="A286" i="9" s="1"/>
  <c r="BO285" i="9"/>
  <c r="BM285" i="9"/>
  <c r="BH285" i="9"/>
  <c r="BC285" i="9"/>
  <c r="AX285" i="9"/>
  <c r="AS285" i="9"/>
  <c r="AQ285" i="9"/>
  <c r="AO285" i="9"/>
  <c r="AM285" i="9"/>
  <c r="AK285" i="9"/>
  <c r="Y285" i="9"/>
  <c r="V285" i="9"/>
  <c r="F285" i="9"/>
  <c r="C285" i="9"/>
  <c r="A285" i="9"/>
  <c r="A288" i="9" l="1"/>
  <c r="A296" i="9"/>
  <c r="A304" i="9"/>
  <c r="A291" i="9"/>
  <c r="A299" i="9"/>
  <c r="AH304" i="9"/>
  <c r="AG304" i="9" s="1"/>
  <c r="AH289" i="9"/>
  <c r="AG289" i="9" s="1"/>
  <c r="AH290" i="9"/>
  <c r="AG290" i="9" s="1"/>
  <c r="AH297" i="9"/>
  <c r="AG297" i="9" s="1"/>
  <c r="AH298" i="9"/>
  <c r="AG298" i="9" s="1"/>
  <c r="AH286" i="9"/>
  <c r="AG286" i="9" s="1"/>
  <c r="AH287" i="9"/>
  <c r="AG287" i="9" s="1"/>
  <c r="AH294" i="9"/>
  <c r="AH293" i="9"/>
  <c r="AG293" i="9" s="1"/>
  <c r="AH295" i="9"/>
  <c r="AG295" i="9" s="1"/>
  <c r="AH302" i="9"/>
  <c r="AH291" i="9"/>
  <c r="AH303" i="9"/>
  <c r="AH299" i="9"/>
  <c r="AG299" i="9" s="1"/>
  <c r="AH285" i="9"/>
  <c r="AH301" i="9"/>
  <c r="AG301" i="9" s="1"/>
  <c r="AH288" i="9"/>
  <c r="AH292" i="9"/>
  <c r="AG292" i="9" s="1"/>
  <c r="AH296" i="9"/>
  <c r="AG296" i="9" s="1"/>
  <c r="AH300" i="9"/>
  <c r="AG300" i="9" s="1"/>
  <c r="AI293" i="9" l="1"/>
  <c r="AI296" i="9"/>
  <c r="AI290" i="9"/>
  <c r="AI299" i="9"/>
  <c r="AI300" i="9"/>
  <c r="AI287" i="9"/>
  <c r="AI301" i="9"/>
  <c r="AI298" i="9"/>
  <c r="AI297" i="9"/>
  <c r="AG294" i="9"/>
  <c r="AI295" i="9" s="1"/>
  <c r="AG288" i="9"/>
  <c r="AI289" i="9" s="1"/>
  <c r="AG291" i="9"/>
  <c r="AI292" i="9" s="1"/>
  <c r="AG302" i="9"/>
  <c r="AG303" i="9"/>
  <c r="AI304" i="9" s="1"/>
  <c r="AG285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I303" i="9" l="1"/>
  <c r="AI288" i="9"/>
  <c r="AI291" i="9"/>
  <c r="AI286" i="9"/>
  <c r="AI285" i="9"/>
  <c r="AI294" i="9"/>
  <c r="AI302" i="9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0" i="30"/>
  <c r="S51" i="30"/>
  <c r="S52" i="30"/>
  <c r="S53" i="30"/>
  <c r="S54" i="30"/>
  <c r="S55" i="30"/>
  <c r="S56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BH318" i="9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BH556" i="9" s="1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6" i="9"/>
  <c r="BH527" i="9"/>
  <c r="BH528" i="9"/>
  <c r="BH529" i="9"/>
  <c r="BH530" i="9"/>
  <c r="BH531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6" i="9"/>
  <c r="BH547" i="9"/>
  <c r="BH548" i="9"/>
  <c r="BH549" i="9"/>
  <c r="BH550" i="9"/>
  <c r="BH551" i="9"/>
  <c r="BH552" i="9"/>
  <c r="BH553" i="9"/>
  <c r="BH554" i="9"/>
  <c r="BH555" i="9"/>
  <c r="BH557" i="9"/>
  <c r="BH558" i="9"/>
  <c r="BH559" i="9"/>
  <c r="BH560" i="9"/>
  <c r="BH561" i="9"/>
  <c r="BH562" i="9"/>
  <c r="BH563" i="9"/>
  <c r="BH56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526" i="9"/>
  <c r="BC527" i="9"/>
  <c r="BC528" i="9"/>
  <c r="BC529" i="9"/>
  <c r="BC530" i="9"/>
  <c r="BC531" i="9"/>
  <c r="BC532" i="9"/>
  <c r="BC533" i="9"/>
  <c r="BC534" i="9"/>
  <c r="BC535" i="9"/>
  <c r="BC536" i="9"/>
  <c r="BC537" i="9"/>
  <c r="BC538" i="9"/>
  <c r="BC539" i="9"/>
  <c r="BC540" i="9"/>
  <c r="BC541" i="9"/>
  <c r="BC542" i="9"/>
  <c r="BC543" i="9"/>
  <c r="BC544" i="9"/>
  <c r="BC546" i="9"/>
  <c r="BC547" i="9"/>
  <c r="BC548" i="9"/>
  <c r="BC549" i="9"/>
  <c r="BC550" i="9"/>
  <c r="BC551" i="9"/>
  <c r="BC552" i="9"/>
  <c r="BC553" i="9"/>
  <c r="BC554" i="9"/>
  <c r="BC555" i="9"/>
  <c r="BC556" i="9"/>
  <c r="BC557" i="9"/>
  <c r="BC558" i="9"/>
  <c r="BC559" i="9"/>
  <c r="BC560" i="9"/>
  <c r="BC561" i="9"/>
  <c r="BC562" i="9"/>
  <c r="BC563" i="9"/>
  <c r="BC56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125" i="9"/>
  <c r="AX126" i="9"/>
  <c r="AX127" i="9"/>
  <c r="AX128" i="9"/>
  <c r="AX129" i="9"/>
  <c r="AX130" i="9"/>
  <c r="AX131" i="9"/>
  <c r="AX132" i="9"/>
  <c r="AX133" i="9"/>
  <c r="AX134" i="9"/>
  <c r="AX135" i="9"/>
  <c r="AX136" i="9"/>
  <c r="AX137" i="9"/>
  <c r="AX138" i="9"/>
  <c r="AX139" i="9"/>
  <c r="AX140" i="9"/>
  <c r="AX141" i="9"/>
  <c r="AX142" i="9"/>
  <c r="AX143" i="9"/>
  <c r="AX144" i="9"/>
  <c r="AX145" i="9"/>
  <c r="AX146" i="9"/>
  <c r="AX147" i="9"/>
  <c r="AX148" i="9"/>
  <c r="AX149" i="9"/>
  <c r="AX150" i="9"/>
  <c r="AX151" i="9"/>
  <c r="AX152" i="9"/>
  <c r="AX153" i="9"/>
  <c r="AX154" i="9"/>
  <c r="AX155" i="9"/>
  <c r="AX156" i="9"/>
  <c r="AX157" i="9"/>
  <c r="AX158" i="9"/>
  <c r="AX159" i="9"/>
  <c r="AX160" i="9"/>
  <c r="AX161" i="9"/>
  <c r="AX162" i="9"/>
  <c r="AX163" i="9"/>
  <c r="AX164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66" i="9"/>
  <c r="AX467" i="9"/>
  <c r="AX468" i="9"/>
  <c r="AX469" i="9"/>
  <c r="AX470" i="9"/>
  <c r="AX471" i="9"/>
  <c r="AX472" i="9"/>
  <c r="AX473" i="9"/>
  <c r="AX474" i="9"/>
  <c r="AX475" i="9"/>
  <c r="AX476" i="9"/>
  <c r="AX477" i="9"/>
  <c r="AX478" i="9"/>
  <c r="AX479" i="9"/>
  <c r="AX480" i="9"/>
  <c r="AX481" i="9"/>
  <c r="AX482" i="9"/>
  <c r="AX483" i="9"/>
  <c r="AX48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64" i="9"/>
  <c r="AO563" i="9"/>
  <c r="AO562" i="9"/>
  <c r="AO561" i="9"/>
  <c r="AO560" i="9"/>
  <c r="AO559" i="9"/>
  <c r="AO558" i="9"/>
  <c r="AO557" i="9"/>
  <c r="AO556" i="9"/>
  <c r="AO555" i="9"/>
  <c r="AO554" i="9"/>
  <c r="AO553" i="9"/>
  <c r="AO552" i="9"/>
  <c r="AO551" i="9"/>
  <c r="AO550" i="9"/>
  <c r="AO549" i="9"/>
  <c r="AO548" i="9"/>
  <c r="AO547" i="9"/>
  <c r="AO546" i="9"/>
  <c r="AO545" i="9"/>
  <c r="AO544" i="9"/>
  <c r="AO543" i="9"/>
  <c r="AO542" i="9"/>
  <c r="AO541" i="9"/>
  <c r="AO540" i="9"/>
  <c r="AO539" i="9"/>
  <c r="AO538" i="9"/>
  <c r="AO537" i="9"/>
  <c r="AO536" i="9"/>
  <c r="AO535" i="9"/>
  <c r="AO534" i="9"/>
  <c r="AO533" i="9"/>
  <c r="AO532" i="9"/>
  <c r="AO531" i="9"/>
  <c r="AO530" i="9"/>
  <c r="AO529" i="9"/>
  <c r="AO528" i="9"/>
  <c r="AO527" i="9"/>
  <c r="AO526" i="9"/>
  <c r="AO52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Y65" i="9" l="1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532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H54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K564" i="9"/>
  <c r="AK563" i="9"/>
  <c r="AK562" i="9"/>
  <c r="AK561" i="9"/>
  <c r="AK560" i="9"/>
  <c r="AK559" i="9"/>
  <c r="AK558" i="9"/>
  <c r="AK557" i="9"/>
  <c r="AK556" i="9"/>
  <c r="AK555" i="9"/>
  <c r="AK554" i="9"/>
  <c r="AK553" i="9"/>
  <c r="AK552" i="9"/>
  <c r="AK551" i="9"/>
  <c r="AK550" i="9"/>
  <c r="AK549" i="9"/>
  <c r="AK548" i="9"/>
  <c r="AK547" i="9"/>
  <c r="AK546" i="9"/>
  <c r="AK545" i="9"/>
  <c r="AK544" i="9"/>
  <c r="AK543" i="9"/>
  <c r="AK542" i="9"/>
  <c r="AK541" i="9"/>
  <c r="AK540" i="9"/>
  <c r="AK539" i="9"/>
  <c r="AK538" i="9"/>
  <c r="AK537" i="9"/>
  <c r="AK536" i="9"/>
  <c r="AK535" i="9"/>
  <c r="AK534" i="9"/>
  <c r="AK533" i="9"/>
  <c r="AK532" i="9"/>
  <c r="AK531" i="9"/>
  <c r="AK530" i="9"/>
  <c r="AK529" i="9"/>
  <c r="AK528" i="9"/>
  <c r="AK527" i="9"/>
  <c r="AK526" i="9"/>
  <c r="AK525" i="9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BC185" i="9" l="1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2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BC54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BH52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1" i="9"/>
  <c r="AS159" i="9"/>
  <c r="AS167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527" i="9"/>
  <c r="AS535" i="9"/>
  <c r="AS543" i="9"/>
  <c r="AS551" i="9"/>
  <c r="AS559" i="9"/>
  <c r="AS154" i="9"/>
  <c r="AS178" i="9"/>
  <c r="AS242" i="9"/>
  <c r="AS266" i="9"/>
  <c r="AS310" i="9"/>
  <c r="AS334" i="9"/>
  <c r="AS474" i="9"/>
  <c r="AS498" i="9"/>
  <c r="AS522" i="9"/>
  <c r="AS546" i="9"/>
  <c r="AS152" i="9"/>
  <c r="AS160" i="9"/>
  <c r="AS168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528" i="9"/>
  <c r="AS536" i="9"/>
  <c r="AS544" i="9"/>
  <c r="AS552" i="9"/>
  <c r="AS560" i="9"/>
  <c r="AS146" i="9"/>
  <c r="AS170" i="9"/>
  <c r="AS234" i="9"/>
  <c r="AS258" i="9"/>
  <c r="AS282" i="9"/>
  <c r="AS326" i="9"/>
  <c r="AS466" i="9"/>
  <c r="AS482" i="9"/>
  <c r="AS506" i="9"/>
  <c r="AS530" i="9"/>
  <c r="AS554" i="9"/>
  <c r="AS145" i="9"/>
  <c r="AS153" i="9"/>
  <c r="AS161" i="9"/>
  <c r="AS169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162" i="9"/>
  <c r="AS226" i="9"/>
  <c r="AS250" i="9"/>
  <c r="AS274" i="9"/>
  <c r="AS318" i="9"/>
  <c r="AS342" i="9"/>
  <c r="AS490" i="9"/>
  <c r="AS514" i="9"/>
  <c r="AS538" i="9"/>
  <c r="AS147" i="9"/>
  <c r="AS155" i="9"/>
  <c r="AS163" i="9"/>
  <c r="AS171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531" i="9"/>
  <c r="AS539" i="9"/>
  <c r="AS547" i="9"/>
  <c r="AS555" i="9"/>
  <c r="AS563" i="9"/>
  <c r="AS149" i="9"/>
  <c r="AS172" i="9"/>
  <c r="AS230" i="9"/>
  <c r="AS253" i="9"/>
  <c r="AS276" i="9"/>
  <c r="AS314" i="9"/>
  <c r="AS337" i="9"/>
  <c r="AS485" i="9"/>
  <c r="AS508" i="9"/>
  <c r="AS526" i="9"/>
  <c r="AS549" i="9"/>
  <c r="AS238" i="9"/>
  <c r="AS322" i="9"/>
  <c r="AS534" i="9"/>
  <c r="AS158" i="9"/>
  <c r="AS262" i="9"/>
  <c r="AS517" i="9"/>
  <c r="AS525" i="9"/>
  <c r="AS150" i="9"/>
  <c r="AS173" i="9"/>
  <c r="AS236" i="9"/>
  <c r="AS254" i="9"/>
  <c r="AS277" i="9"/>
  <c r="AS320" i="9"/>
  <c r="AS338" i="9"/>
  <c r="AS468" i="9"/>
  <c r="AS486" i="9"/>
  <c r="AS509" i="9"/>
  <c r="AS532" i="9"/>
  <c r="AS550" i="9"/>
  <c r="AS180" i="9"/>
  <c r="AS284" i="9"/>
  <c r="AS493" i="9"/>
  <c r="AS557" i="9"/>
  <c r="AS181" i="9"/>
  <c r="AS305" i="9"/>
  <c r="AS494" i="9"/>
  <c r="AS558" i="9"/>
  <c r="AS336" i="9"/>
  <c r="AS502" i="9"/>
  <c r="AS156" i="9"/>
  <c r="AS174" i="9"/>
  <c r="AS237" i="9"/>
  <c r="AS260" i="9"/>
  <c r="AS278" i="9"/>
  <c r="AS321" i="9"/>
  <c r="AS344" i="9"/>
  <c r="AS469" i="9"/>
  <c r="AS492" i="9"/>
  <c r="AS510" i="9"/>
  <c r="AS533" i="9"/>
  <c r="AS556" i="9"/>
  <c r="AS157" i="9"/>
  <c r="AS261" i="9"/>
  <c r="AS470" i="9"/>
  <c r="AS516" i="9"/>
  <c r="AS244" i="9"/>
  <c r="AS328" i="9"/>
  <c r="AS476" i="9"/>
  <c r="AS540" i="9"/>
  <c r="AS484" i="9"/>
  <c r="AS164" i="9"/>
  <c r="AS182" i="9"/>
  <c r="AS245" i="9"/>
  <c r="AS268" i="9"/>
  <c r="AS306" i="9"/>
  <c r="AS329" i="9"/>
  <c r="AS477" i="9"/>
  <c r="AS500" i="9"/>
  <c r="AS518" i="9"/>
  <c r="AS541" i="9"/>
  <c r="AS562" i="9"/>
  <c r="AS165" i="9"/>
  <c r="AS228" i="9"/>
  <c r="AS246" i="9"/>
  <c r="AS269" i="9"/>
  <c r="AS312" i="9"/>
  <c r="AS330" i="9"/>
  <c r="AS478" i="9"/>
  <c r="AS501" i="9"/>
  <c r="AS524" i="9"/>
  <c r="AS542" i="9"/>
  <c r="AS564" i="9"/>
  <c r="AS148" i="9"/>
  <c r="AS166" i="9"/>
  <c r="AS229" i="9"/>
  <c r="AS252" i="9"/>
  <c r="AS270" i="9"/>
  <c r="AS313" i="9"/>
  <c r="AS548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H109" i="9" s="1"/>
  <c r="AG109" i="9" s="1"/>
  <c r="AK109" i="9"/>
  <c r="F109" i="9"/>
  <c r="C109" i="9"/>
  <c r="BO108" i="9"/>
  <c r="AH108" i="9" s="1"/>
  <c r="AG108" i="9" s="1"/>
  <c r="AK108" i="9"/>
  <c r="F108" i="9"/>
  <c r="C108" i="9"/>
  <c r="BO107" i="9"/>
  <c r="AH107" i="9" s="1"/>
  <c r="AG107" i="9" s="1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H103" i="9" s="1"/>
  <c r="AG103" i="9" s="1"/>
  <c r="AK103" i="9"/>
  <c r="F103" i="9"/>
  <c r="C103" i="9"/>
  <c r="BO102" i="9"/>
  <c r="AH102" i="9" s="1"/>
  <c r="AG102" i="9" s="1"/>
  <c r="AK102" i="9"/>
  <c r="F102" i="9"/>
  <c r="C102" i="9"/>
  <c r="BO101" i="9"/>
  <c r="AH101" i="9" s="1"/>
  <c r="AG101" i="9" s="1"/>
  <c r="AK101" i="9"/>
  <c r="F101" i="9"/>
  <c r="C101" i="9"/>
  <c r="BO100" i="9"/>
  <c r="AH100" i="9" s="1"/>
  <c r="AG100" i="9" s="1"/>
  <c r="AK100" i="9"/>
  <c r="F100" i="9"/>
  <c r="C100" i="9"/>
  <c r="BO99" i="9"/>
  <c r="AH99" i="9" s="1"/>
  <c r="AG99" i="9" s="1"/>
  <c r="AK99" i="9"/>
  <c r="F99" i="9"/>
  <c r="C99" i="9"/>
  <c r="BO98" i="9"/>
  <c r="AH98" i="9" s="1"/>
  <c r="AG98" i="9" s="1"/>
  <c r="AK98" i="9"/>
  <c r="F98" i="9"/>
  <c r="C98" i="9"/>
  <c r="BO97" i="9"/>
  <c r="AH97" i="9" s="1"/>
  <c r="AG97" i="9" s="1"/>
  <c r="AK97" i="9"/>
  <c r="F97" i="9"/>
  <c r="C97" i="9"/>
  <c r="BO96" i="9"/>
  <c r="AH96" i="9" s="1"/>
  <c r="AG96" i="9" s="1"/>
  <c r="AK96" i="9"/>
  <c r="F96" i="9"/>
  <c r="C96" i="9"/>
  <c r="BO95" i="9"/>
  <c r="AH95" i="9" s="1"/>
  <c r="AG95" i="9" s="1"/>
  <c r="AK95" i="9"/>
  <c r="F95" i="9"/>
  <c r="C95" i="9"/>
  <c r="BO94" i="9"/>
  <c r="AH94" i="9" s="1"/>
  <c r="AG94" i="9" s="1"/>
  <c r="AK94" i="9"/>
  <c r="F94" i="9"/>
  <c r="C94" i="9"/>
  <c r="BO93" i="9"/>
  <c r="AH93" i="9" s="1"/>
  <c r="AG93" i="9" s="1"/>
  <c r="AK93" i="9"/>
  <c r="F93" i="9"/>
  <c r="C93" i="9"/>
  <c r="BO92" i="9"/>
  <c r="AH92" i="9" s="1"/>
  <c r="AG92" i="9" s="1"/>
  <c r="AK92" i="9"/>
  <c r="F92" i="9"/>
  <c r="C92" i="9"/>
  <c r="BO91" i="9"/>
  <c r="AH91" i="9" s="1"/>
  <c r="AG91" i="9" s="1"/>
  <c r="AK91" i="9"/>
  <c r="F91" i="9"/>
  <c r="C91" i="9"/>
  <c r="BO90" i="9"/>
  <c r="AH90" i="9" s="1"/>
  <c r="AG90" i="9" s="1"/>
  <c r="AK90" i="9"/>
  <c r="F90" i="9"/>
  <c r="C90" i="9"/>
  <c r="BO89" i="9"/>
  <c r="AH89" i="9" s="1"/>
  <c r="AG89" i="9" s="1"/>
  <c r="AK89" i="9"/>
  <c r="F89" i="9"/>
  <c r="C89" i="9"/>
  <c r="BO88" i="9"/>
  <c r="AH88" i="9" s="1"/>
  <c r="AG88" i="9" s="1"/>
  <c r="AK88" i="9"/>
  <c r="F88" i="9"/>
  <c r="C88" i="9"/>
  <c r="BO87" i="9"/>
  <c r="AH87" i="9" s="1"/>
  <c r="AG87" i="9" s="1"/>
  <c r="AK87" i="9"/>
  <c r="F87" i="9"/>
  <c r="C87" i="9"/>
  <c r="BO86" i="9"/>
  <c r="AH86" i="9" s="1"/>
  <c r="AG86" i="9" s="1"/>
  <c r="AK86" i="9"/>
  <c r="F86" i="9"/>
  <c r="C86" i="9"/>
  <c r="BO85" i="9"/>
  <c r="AH85" i="9" s="1"/>
  <c r="AG85" i="9" s="1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I103" i="9" l="1"/>
  <c r="AI107" i="9"/>
  <c r="AI109" i="9"/>
  <c r="AI101" i="9"/>
  <c r="AI99" i="9"/>
  <c r="AI87" i="9"/>
  <c r="AI91" i="9"/>
  <c r="AI97" i="9"/>
  <c r="AI89" i="9"/>
  <c r="AI95" i="9"/>
  <c r="AI93" i="9"/>
  <c r="AI108" i="9"/>
  <c r="AI86" i="9"/>
  <c r="AI85" i="9"/>
  <c r="AI90" i="9"/>
  <c r="AI94" i="9"/>
  <c r="AI100" i="9"/>
  <c r="AI88" i="9"/>
  <c r="AI92" i="9"/>
  <c r="AI96" i="9"/>
  <c r="AI98" i="9"/>
  <c r="AI102" i="9"/>
  <c r="AI104" i="9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46" i="9"/>
  <c r="AG146" i="9" s="1"/>
  <c r="AH148" i="9"/>
  <c r="AG148" i="9" s="1"/>
  <c r="AH150" i="9"/>
  <c r="AG150" i="9" s="1"/>
  <c r="AH152" i="9"/>
  <c r="AG152" i="9" s="1"/>
  <c r="AH154" i="9"/>
  <c r="AG15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66" i="9"/>
  <c r="AG166" i="9" s="1"/>
  <c r="AH168" i="9"/>
  <c r="AG168" i="9" s="1"/>
  <c r="AH170" i="9"/>
  <c r="AG170" i="9" s="1"/>
  <c r="AH172" i="9"/>
  <c r="AG172" i="9" s="1"/>
  <c r="AH174" i="9"/>
  <c r="AG17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538" i="9"/>
  <c r="AH189" i="9"/>
  <c r="AH193" i="9"/>
  <c r="AH491" i="9"/>
  <c r="AH316" i="9"/>
  <c r="AH259" i="9"/>
  <c r="AH460" i="9"/>
  <c r="AH483" i="9"/>
  <c r="AH487" i="9"/>
  <c r="AH404" i="9"/>
  <c r="AG404" i="9" s="1"/>
  <c r="AH563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562" i="9"/>
  <c r="AH548" i="9"/>
  <c r="AH346" i="9"/>
  <c r="AH350" i="9"/>
  <c r="AH336" i="9"/>
  <c r="AH214" i="9"/>
  <c r="AH326" i="9"/>
  <c r="AH314" i="9"/>
  <c r="AH410" i="9"/>
  <c r="AH532" i="9"/>
  <c r="AH552" i="9"/>
  <c r="AH463" i="9"/>
  <c r="AH444" i="9"/>
  <c r="AG444" i="9" s="1"/>
  <c r="AH517" i="9"/>
  <c r="AH340" i="9"/>
  <c r="AH502" i="9"/>
  <c r="AH197" i="9"/>
  <c r="AH194" i="9"/>
  <c r="AH217" i="9"/>
  <c r="AH545" i="9"/>
  <c r="AH322" i="9"/>
  <c r="AH488" i="9"/>
  <c r="AH472" i="9"/>
  <c r="AH401" i="9"/>
  <c r="AH553" i="9"/>
  <c r="AH320" i="9"/>
  <c r="AH560" i="9"/>
  <c r="AH536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561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559" i="9"/>
  <c r="AH535" i="9"/>
  <c r="AH365" i="9"/>
  <c r="AH402" i="9"/>
  <c r="AH499" i="9"/>
  <c r="AH252" i="9"/>
  <c r="AH218" i="9"/>
  <c r="AH546" i="9"/>
  <c r="AH477" i="9"/>
  <c r="AH384" i="9"/>
  <c r="AG384" i="9" s="1"/>
  <c r="AH357" i="9"/>
  <c r="AH475" i="9"/>
  <c r="AH507" i="9"/>
  <c r="AH564" i="9"/>
  <c r="AG564" i="9" s="1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554" i="9"/>
  <c r="AH540" i="9"/>
  <c r="AH331" i="9"/>
  <c r="AH433" i="9"/>
  <c r="AH557" i="9"/>
  <c r="AH409" i="9"/>
  <c r="AH412" i="9"/>
  <c r="AH495" i="9"/>
  <c r="AH414" i="9"/>
  <c r="AH471" i="9"/>
  <c r="AH481" i="9"/>
  <c r="AH450" i="9"/>
  <c r="AH539" i="9"/>
  <c r="AH334" i="9"/>
  <c r="AH524" i="9"/>
  <c r="AG524" i="9" s="1"/>
  <c r="AH541" i="9"/>
  <c r="AH458" i="9"/>
  <c r="AH330" i="9"/>
  <c r="AH221" i="9"/>
  <c r="AH503" i="9"/>
  <c r="AH305" i="9"/>
  <c r="AH424" i="9"/>
  <c r="AG424" i="9" s="1"/>
  <c r="AH406" i="9"/>
  <c r="AH533" i="9"/>
  <c r="AH480" i="9"/>
  <c r="AH468" i="9"/>
  <c r="AH307" i="9"/>
  <c r="AH192" i="9"/>
  <c r="AH543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527" i="9"/>
  <c r="AH484" i="9"/>
  <c r="AG484" i="9" s="1"/>
  <c r="AH405" i="9"/>
  <c r="AH425" i="9"/>
  <c r="AH249" i="9"/>
  <c r="AH254" i="9"/>
  <c r="AH440" i="9"/>
  <c r="AH185" i="9"/>
  <c r="AH413" i="9"/>
  <c r="AH427" i="9"/>
  <c r="AH556" i="9"/>
  <c r="AH486" i="9"/>
  <c r="AH432" i="9"/>
  <c r="AH511" i="9"/>
  <c r="AH459" i="9"/>
  <c r="AH355" i="9"/>
  <c r="AH376" i="9"/>
  <c r="AH526" i="9"/>
  <c r="AH431" i="9"/>
  <c r="AH381" i="9"/>
  <c r="AH353" i="9"/>
  <c r="AH374" i="9"/>
  <c r="AH523" i="9"/>
  <c r="AH188" i="9"/>
  <c r="AH442" i="9"/>
  <c r="AH318" i="9"/>
  <c r="AH479" i="9"/>
  <c r="AH542" i="9"/>
  <c r="AH508" i="9"/>
  <c r="AH206" i="9"/>
  <c r="AH514" i="9"/>
  <c r="AH344" i="9"/>
  <c r="AG344" i="9" s="1"/>
  <c r="AH309" i="9"/>
  <c r="AH211" i="9"/>
  <c r="AH530" i="9"/>
  <c r="AH321" i="9"/>
  <c r="AH308" i="9"/>
  <c r="AH531" i="9"/>
  <c r="AH255" i="9"/>
  <c r="AH191" i="9"/>
  <c r="AH196" i="9"/>
  <c r="AH349" i="9"/>
  <c r="AH247" i="9"/>
  <c r="AH361" i="9"/>
  <c r="AH351" i="9"/>
  <c r="AH426" i="9"/>
  <c r="AH415" i="9"/>
  <c r="AH220" i="9"/>
  <c r="AH467" i="9"/>
  <c r="AH549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537" i="9"/>
  <c r="AH454" i="9"/>
  <c r="AH333" i="9"/>
  <c r="AH528" i="9"/>
  <c r="AH352" i="9"/>
  <c r="AH544" i="9"/>
  <c r="AG544" i="9" s="1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550" i="9"/>
  <c r="AH339" i="9"/>
  <c r="AH512" i="9"/>
  <c r="AH400" i="9"/>
  <c r="AH262" i="9"/>
  <c r="AH525" i="9"/>
  <c r="AH313" i="9"/>
  <c r="AH210" i="9"/>
  <c r="AH500" i="9"/>
  <c r="AH213" i="9"/>
  <c r="AH423" i="9"/>
  <c r="AH497" i="9"/>
  <c r="AH337" i="9"/>
  <c r="AH534" i="9"/>
  <c r="AH190" i="9"/>
  <c r="AH360" i="9"/>
  <c r="AH222" i="9"/>
  <c r="AH345" i="9"/>
  <c r="AH335" i="9"/>
  <c r="AH509" i="9"/>
  <c r="AH473" i="9"/>
  <c r="AH555" i="9"/>
  <c r="AH547" i="9"/>
  <c r="AH195" i="9"/>
  <c r="AH407" i="9"/>
  <c r="AH429" i="9"/>
  <c r="AH452" i="9"/>
  <c r="AH519" i="9"/>
  <c r="AH529" i="9"/>
  <c r="AH466" i="9"/>
  <c r="AH506" i="9"/>
  <c r="AH474" i="9"/>
  <c r="AH204" i="9"/>
  <c r="AG204" i="9" s="1"/>
  <c r="AH205" i="9"/>
  <c r="AH310" i="9"/>
  <c r="AH341" i="9"/>
  <c r="AH485" i="9"/>
  <c r="AH558" i="9"/>
  <c r="AH457" i="9"/>
  <c r="AH551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45" i="9"/>
  <c r="AG145" i="9" s="1"/>
  <c r="AH147" i="9"/>
  <c r="AG147" i="9" s="1"/>
  <c r="AH149" i="9"/>
  <c r="AG149" i="9" s="1"/>
  <c r="AH151" i="9"/>
  <c r="AG151" i="9" s="1"/>
  <c r="AH153" i="9"/>
  <c r="AG15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65" i="9"/>
  <c r="AG165" i="9" s="1"/>
  <c r="AH167" i="9"/>
  <c r="AG167" i="9" s="1"/>
  <c r="AH169" i="9"/>
  <c r="AG169" i="9" s="1"/>
  <c r="AH171" i="9"/>
  <c r="AG171" i="9" s="1"/>
  <c r="AH173" i="9"/>
  <c r="AG17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I51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277" i="9" l="1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558" i="9"/>
  <c r="AG223" i="9"/>
  <c r="AI224" i="9" s="1"/>
  <c r="AG348" i="9"/>
  <c r="AG426" i="9"/>
  <c r="AG374" i="9"/>
  <c r="AG329" i="9"/>
  <c r="AG402" i="9"/>
  <c r="AG560" i="9"/>
  <c r="AG203" i="9"/>
  <c r="AI204" i="9" s="1"/>
  <c r="AG485" i="9"/>
  <c r="AG337" i="9"/>
  <c r="AG308" i="9"/>
  <c r="AG249" i="9"/>
  <c r="AG334" i="9"/>
  <c r="AG490" i="9"/>
  <c r="AG419" i="9"/>
  <c r="AG194" i="9"/>
  <c r="AG563" i="9"/>
  <c r="AI564" i="9" s="1"/>
  <c r="AG519" i="9"/>
  <c r="AG497" i="9"/>
  <c r="AG378" i="9"/>
  <c r="AG375" i="9"/>
  <c r="AG327" i="9"/>
  <c r="AG352" i="9"/>
  <c r="AG437" i="9"/>
  <c r="AG323" i="9"/>
  <c r="AI324" i="9" s="1"/>
  <c r="AG361" i="9"/>
  <c r="AG321" i="9"/>
  <c r="AG542" i="9"/>
  <c r="AG381" i="9"/>
  <c r="AG486" i="9"/>
  <c r="AG425" i="9"/>
  <c r="AG543" i="9"/>
  <c r="AI544" i="9" s="1"/>
  <c r="AG305" i="9"/>
  <c r="AG539" i="9"/>
  <c r="AG557" i="9"/>
  <c r="AG434" i="9"/>
  <c r="AG478" i="9"/>
  <c r="AG535" i="9"/>
  <c r="AG416" i="9"/>
  <c r="AG456" i="9"/>
  <c r="AG520" i="9"/>
  <c r="AG383" i="9"/>
  <c r="AI384" i="9" s="1"/>
  <c r="AG553" i="9"/>
  <c r="AG197" i="9"/>
  <c r="AG410" i="9"/>
  <c r="AG562" i="9"/>
  <c r="AG362" i="9"/>
  <c r="AG189" i="9"/>
  <c r="AG310" i="9"/>
  <c r="AG452" i="9"/>
  <c r="AG335" i="9"/>
  <c r="AG423" i="9"/>
  <c r="AI424" i="9" s="1"/>
  <c r="AG512" i="9"/>
  <c r="AG328" i="9"/>
  <c r="AG399" i="9"/>
  <c r="AG446" i="9"/>
  <c r="AG528" i="9"/>
  <c r="AG358" i="9"/>
  <c r="AG439" i="9"/>
  <c r="AG247" i="9"/>
  <c r="AG530" i="9"/>
  <c r="AG479" i="9"/>
  <c r="AG431" i="9"/>
  <c r="AG556" i="9"/>
  <c r="AG405" i="9"/>
  <c r="AG489" i="9"/>
  <c r="AG192" i="9"/>
  <c r="AG503" i="9"/>
  <c r="AI504" i="9" s="1"/>
  <c r="AG450" i="9"/>
  <c r="AG433" i="9"/>
  <c r="AG219" i="9"/>
  <c r="AG257" i="9"/>
  <c r="AG469" i="9"/>
  <c r="AG477" i="9"/>
  <c r="AG559" i="9"/>
  <c r="AG373" i="9"/>
  <c r="AG342" i="9"/>
  <c r="AG215" i="9"/>
  <c r="AG428" i="9"/>
  <c r="AG401" i="9"/>
  <c r="AG502" i="9"/>
  <c r="AG314" i="9"/>
  <c r="AG513" i="9"/>
  <c r="AG417" i="9"/>
  <c r="AG487" i="9"/>
  <c r="AG538" i="9"/>
  <c r="AG534" i="9"/>
  <c r="AG531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532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550" i="9"/>
  <c r="AG368" i="9"/>
  <c r="AG435" i="9"/>
  <c r="AG422" i="9"/>
  <c r="AG454" i="9"/>
  <c r="AG501" i="9"/>
  <c r="AG467" i="9"/>
  <c r="AG196" i="9"/>
  <c r="AG309" i="9"/>
  <c r="AG442" i="9"/>
  <c r="AG376" i="9"/>
  <c r="AG413" i="9"/>
  <c r="AG527" i="9"/>
  <c r="AG319" i="9"/>
  <c r="AG468" i="9"/>
  <c r="AG330" i="9"/>
  <c r="AG471" i="9"/>
  <c r="AG540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555" i="9"/>
  <c r="AG492" i="9"/>
  <c r="AG200" i="9"/>
  <c r="AG511" i="9"/>
  <c r="AG449" i="9"/>
  <c r="AG462" i="9"/>
  <c r="AG382" i="9"/>
  <c r="AG408" i="9"/>
  <c r="AG346" i="9"/>
  <c r="AG529" i="9"/>
  <c r="AI530" i="9" s="1"/>
  <c r="AG522" i="9"/>
  <c r="AG521" i="9"/>
  <c r="AG353" i="9"/>
  <c r="AG315" i="9"/>
  <c r="AG447" i="9"/>
  <c r="AG365" i="9"/>
  <c r="AG461" i="9"/>
  <c r="AG548" i="9"/>
  <c r="AG509" i="9"/>
  <c r="AG429" i="9"/>
  <c r="AG339" i="9"/>
  <c r="AG371" i="9"/>
  <c r="AG549" i="9"/>
  <c r="AG318" i="9"/>
  <c r="AG221" i="9"/>
  <c r="AG436" i="9"/>
  <c r="AG546" i="9"/>
  <c r="AG212" i="9"/>
  <c r="AG472" i="9"/>
  <c r="AG347" i="9"/>
  <c r="AG551" i="9"/>
  <c r="AG474" i="9"/>
  <c r="AG195" i="9"/>
  <c r="AG360" i="9"/>
  <c r="AG210" i="9"/>
  <c r="AG363" i="9"/>
  <c r="AI364" i="9" s="1"/>
  <c r="AG443" i="9"/>
  <c r="AI444" i="9" s="1"/>
  <c r="AG343" i="9"/>
  <c r="AI344" i="9" s="1"/>
  <c r="AG537" i="9"/>
  <c r="AG515" i="9"/>
  <c r="AG220" i="9"/>
  <c r="AG191" i="9"/>
  <c r="AG188" i="9"/>
  <c r="AG355" i="9"/>
  <c r="AG185" i="9"/>
  <c r="AG260" i="9"/>
  <c r="AG207" i="9"/>
  <c r="AG480" i="9"/>
  <c r="AG458" i="9"/>
  <c r="AG414" i="9"/>
  <c r="AG55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525" i="9"/>
  <c r="AG420" i="9"/>
  <c r="AG206" i="9"/>
  <c r="AG254" i="9"/>
  <c r="AG406" i="9"/>
  <c r="AG199" i="9"/>
  <c r="AG561" i="9"/>
  <c r="AG552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526" i="9"/>
  <c r="AG470" i="9"/>
  <c r="AG481" i="9"/>
  <c r="AG187" i="9"/>
  <c r="AG306" i="9"/>
  <c r="AG448" i="9"/>
  <c r="AG340" i="9"/>
  <c r="AG421" i="9"/>
  <c r="AG403" i="9"/>
  <c r="AI404" i="9" s="1"/>
  <c r="AG457" i="9"/>
  <c r="AG506" i="9"/>
  <c r="AG547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533" i="9"/>
  <c r="AG541" i="9"/>
  <c r="AG495" i="9"/>
  <c r="AG445" i="9"/>
  <c r="AG248" i="9"/>
  <c r="AG411" i="9"/>
  <c r="AG507" i="9"/>
  <c r="AG499" i="9"/>
  <c r="AG369" i="9"/>
  <c r="AG209" i="9"/>
  <c r="AG311" i="9"/>
  <c r="AG451" i="9"/>
  <c r="AI452" i="9" s="1"/>
  <c r="AG536" i="9"/>
  <c r="AG545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552" i="9" l="1"/>
  <c r="AI542" i="9"/>
  <c r="AI503" i="9"/>
  <c r="AI548" i="9"/>
  <c r="AI555" i="9"/>
  <c r="AI550" i="9"/>
  <c r="AI557" i="9"/>
  <c r="AI490" i="9"/>
  <c r="AI433" i="9"/>
  <c r="AI536" i="9"/>
  <c r="AI553" i="9"/>
  <c r="AI409" i="9"/>
  <c r="AI522" i="9"/>
  <c r="AI561" i="9"/>
  <c r="AI559" i="9"/>
  <c r="AI533" i="9"/>
  <c r="AI563" i="9"/>
  <c r="AI437" i="9"/>
  <c r="AI546" i="9"/>
  <c r="AI545" i="9"/>
  <c r="AI556" i="9"/>
  <c r="AI543" i="9"/>
  <c r="AI519" i="9"/>
  <c r="AI547" i="9"/>
  <c r="AI539" i="9"/>
  <c r="AI549" i="9"/>
  <c r="AI537" i="9"/>
  <c r="AI527" i="9"/>
  <c r="AI562" i="9"/>
  <c r="AI516" i="9"/>
  <c r="AI551" i="9"/>
  <c r="AI560" i="9"/>
  <c r="AI554" i="9"/>
  <c r="AI558" i="9"/>
  <c r="AI534" i="9"/>
  <c r="AI449" i="9"/>
  <c r="AI500" i="9"/>
  <c r="AI511" i="9"/>
  <c r="AI538" i="9"/>
  <c r="AI528" i="9"/>
  <c r="AI532" i="9"/>
  <c r="AI535" i="9"/>
  <c r="AI529" i="9"/>
  <c r="AI541" i="9"/>
  <c r="AI540" i="9"/>
  <c r="AI508" i="9"/>
  <c r="AI525" i="9"/>
  <c r="AI526" i="9"/>
  <c r="AI480" i="9"/>
  <c r="AI517" i="9"/>
  <c r="AI496" i="9"/>
  <c r="AI467" i="9"/>
  <c r="AI514" i="9"/>
  <c r="AI531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<sst xmlns="http://schemas.openxmlformats.org/spreadsheetml/2006/main" count="5299" uniqueCount="1329">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</sst>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2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670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594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65"/>
  <sheetViews>
    <sheetView zoomScaleNormal="100" workbookViewId="0">
      <pane xSplit="12" topLeftCell="Z1" activePane="topRight" state="frozen"/>
      <selection pane="topRight" activeCell="P15" sqref="P1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1061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1084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1062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484</v>
      </c>
      <c r="V2" s="9" t="s">
        <v>506</v>
      </c>
      <c r="W2" s="11" t="s">
        <v>61</v>
      </c>
      <c r="Y2" s="9" t="s">
        <v>506</v>
      </c>
      <c r="AA2" s="9" t="s">
        <v>62</v>
      </c>
      <c r="AB2" s="9" t="s">
        <v>61</v>
      </c>
      <c r="AD2" s="11" t="s">
        <v>61</v>
      </c>
      <c r="AE2" s="56" t="s">
        <v>1083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1063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486</v>
      </c>
      <c r="V3" s="9" t="s">
        <v>533</v>
      </c>
      <c r="W3" s="11" t="s">
        <v>557</v>
      </c>
      <c r="Y3" s="9" t="s">
        <v>507</v>
      </c>
      <c r="AA3" s="9" t="s">
        <v>335</v>
      </c>
      <c r="AB3" s="9" t="s">
        <v>340</v>
      </c>
      <c r="AD3" s="11" t="s">
        <v>418</v>
      </c>
      <c r="AE3" s="56" t="s">
        <v>1082</v>
      </c>
      <c r="AG3" s="56" t="s">
        <v>442</v>
      </c>
      <c r="AK3" s="31" t="s">
        <v>246</v>
      </c>
      <c r="AL3" s="30"/>
      <c r="AM3" s="31" t="s">
        <v>420</v>
      </c>
      <c r="AN3" s="30"/>
      <c r="AO3" s="31" t="s">
        <v>487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1064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485</v>
      </c>
      <c r="T4" s="77" t="s">
        <v>555</v>
      </c>
      <c r="U4" s="85" t="s">
        <v>537</v>
      </c>
      <c r="V4" s="27" t="s">
        <v>535</v>
      </c>
      <c r="W4" s="88" t="s">
        <v>565</v>
      </c>
      <c r="X4" s="85" t="s">
        <v>536</v>
      </c>
      <c r="Y4" s="27" t="s">
        <v>534</v>
      </c>
      <c r="Z4" s="77" t="s">
        <v>554</v>
      </c>
      <c r="AA4" s="27" t="s">
        <v>334</v>
      </c>
      <c r="AB4" s="27" t="s">
        <v>339</v>
      </c>
      <c r="AC4" s="77" t="s">
        <v>417</v>
      </c>
      <c r="AD4" s="88" t="s">
        <v>589</v>
      </c>
      <c r="AE4" s="89" t="s">
        <v>1079</v>
      </c>
      <c r="AF4" s="77" t="s">
        <v>556</v>
      </c>
      <c r="AG4" s="89" t="s">
        <v>675</v>
      </c>
      <c r="AH4" s="90" t="s">
        <v>1078</v>
      </c>
      <c r="AI4" s="183" t="s">
        <v>588</v>
      </c>
      <c r="AJ4" s="77" t="s">
        <v>171</v>
      </c>
      <c r="AK4" s="65" t="s">
        <v>318</v>
      </c>
      <c r="AL4" s="64" t="s">
        <v>1076</v>
      </c>
      <c r="AM4" s="65" t="s">
        <v>419</v>
      </c>
      <c r="AN4" s="64" t="s">
        <v>1075</v>
      </c>
      <c r="AO4" s="65" t="s">
        <v>426</v>
      </c>
      <c r="AP4" s="64" t="s">
        <v>1077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>
        <v>1</v>
      </c>
      <c r="N5" s="16">
        <v>15</v>
      </c>
      <c r="O5" s="16" t="s">
        <v>1170</v>
      </c>
      <c r="P5" s="17"/>
      <c r="Q5" s="17"/>
      <c r="R5" s="18"/>
      <c r="S5" s="16" t="s">
        <v>687</v>
      </c>
      <c r="T5" s="78"/>
      <c r="U5" s="86"/>
      <c r="V5" s="16">
        <f ca="1">IFERROR(OFFSET(ITEM_RES!$A$5,MATCH(BUILDING!U5,ITEM_RES!$J$5:$J$226,0)-1,0),0)</f>
        <v>0</v>
      </c>
      <c r="W5" s="18"/>
      <c r="X5" s="86" t="s">
        <v>538</v>
      </c>
      <c r="Y5" s="16">
        <f ca="1">IFERROR(OFFSET(ITEM_RES!$A$5,MATCH(BUILDING!X5,ITEM_RES!$J$5:$J$226,0)-1,0),0)</f>
        <v>211010101</v>
      </c>
      <c r="Z5" s="78"/>
      <c r="AA5" s="16" t="s">
        <v>508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427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448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452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>
        <v>1</v>
      </c>
      <c r="N6" s="9">
        <v>15</v>
      </c>
      <c r="O6" s="9" t="s">
        <v>1170</v>
      </c>
      <c r="S6" s="9" t="s">
        <v>682</v>
      </c>
      <c r="V6" s="9">
        <f ca="1">IFERROR(OFFSET(ITEM_RES!$A$5,MATCH(BUILDING!U6,ITEM_RES!$J$5:$J$226,0)-1,0),0)</f>
        <v>0</v>
      </c>
      <c r="X6" s="84" t="s">
        <v>538</v>
      </c>
      <c r="Y6" s="9">
        <f ca="1">IFERROR(OFFSET(ITEM_RES!$A$5,MATCH(BUILDING!X6,ITEM_RES!$J$5:$J$226,0)-1,0),0)</f>
        <v>211010101</v>
      </c>
      <c r="AA6" s="9" t="s">
        <v>508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427</v>
      </c>
      <c r="AU6" s="11">
        <v>20</v>
      </c>
      <c r="AX6" s="11">
        <f ca="1">IFERROR(OFFSET(ITEM_RES!$A$1,MATCH(AY6,ITEM_RES!$J:$J,0)-1,0),0)</f>
        <v>211020101</v>
      </c>
      <c r="AY6" s="10" t="s">
        <v>448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>
        <v>1</v>
      </c>
      <c r="N7" s="9">
        <v>15</v>
      </c>
      <c r="O7" s="9" t="s">
        <v>1171</v>
      </c>
      <c r="S7" s="9" t="s">
        <v>682</v>
      </c>
      <c r="V7" s="9">
        <f ca="1">IFERROR(OFFSET(ITEM_RES!$A$5,MATCH(BUILDING!U7,ITEM_RES!$J$5:$J$226,0)-1,0),0)</f>
        <v>0</v>
      </c>
      <c r="X7" s="84" t="s">
        <v>538</v>
      </c>
      <c r="Y7" s="9">
        <f ca="1">IFERROR(OFFSET(ITEM_RES!$A$5,MATCH(BUILDING!X7,ITEM_RES!$J$5:$J$226,0)-1,0),0)</f>
        <v>211010101</v>
      </c>
      <c r="AA7" s="9" t="s">
        <v>508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427</v>
      </c>
      <c r="AU7" s="11">
        <v>160</v>
      </c>
      <c r="AX7" s="11">
        <f ca="1">IFERROR(OFFSET(ITEM_RES!$A$1,MATCH(AY7,ITEM_RES!$J:$J,0)-1,0),0)</f>
        <v>211020101</v>
      </c>
      <c r="AY7" s="10" t="s">
        <v>448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>
        <v>1</v>
      </c>
      <c r="N8" s="9">
        <v>15</v>
      </c>
      <c r="O8" s="9" t="s">
        <v>1172</v>
      </c>
      <c r="S8" s="9" t="s">
        <v>683</v>
      </c>
      <c r="V8" s="9">
        <f ca="1">IFERROR(OFFSET(ITEM_RES!$A$5,MATCH(BUILDING!U8,ITEM_RES!$J$5:$J$226,0)-1,0),0)</f>
        <v>0</v>
      </c>
      <c r="X8" s="84" t="s">
        <v>538</v>
      </c>
      <c r="Y8" s="9">
        <f ca="1">IFERROR(OFFSET(ITEM_RES!$A$5,MATCH(BUILDING!X8,ITEM_RES!$J$5:$J$226,0)-1,0),0)</f>
        <v>211010101</v>
      </c>
      <c r="AA8" s="9" t="s">
        <v>508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427</v>
      </c>
      <c r="AU8" s="11">
        <v>1920</v>
      </c>
      <c r="AX8" s="11">
        <f ca="1">IFERROR(OFFSET(ITEM_RES!$A$1,MATCH(AY8,ITEM_RES!$J:$J,0)-1,0),0)</f>
        <v>211020101</v>
      </c>
      <c r="AY8" s="10" t="s">
        <v>448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>
        <v>1</v>
      </c>
      <c r="N9" s="9">
        <v>15</v>
      </c>
      <c r="O9" s="9" t="s">
        <v>1173</v>
      </c>
      <c r="S9" s="9" t="s">
        <v>683</v>
      </c>
      <c r="V9" s="9">
        <f ca="1">IFERROR(OFFSET(ITEM_RES!$A$5,MATCH(BUILDING!U9,ITEM_RES!$J$5:$J$226,0)-1,0),0)</f>
        <v>0</v>
      </c>
      <c r="X9" s="84" t="s">
        <v>538</v>
      </c>
      <c r="Y9" s="9">
        <f ca="1">IFERROR(OFFSET(ITEM_RES!$A$5,MATCH(BUILDING!X9,ITEM_RES!$J$5:$J$226,0)-1,0),0)</f>
        <v>211010101</v>
      </c>
      <c r="AA9" s="9" t="s">
        <v>508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427</v>
      </c>
      <c r="AU9" s="11">
        <v>26000</v>
      </c>
      <c r="AX9" s="11">
        <f ca="1">IFERROR(OFFSET(ITEM_RES!$A$1,MATCH(AY9,ITEM_RES!$J:$J,0)-1,0),0)</f>
        <v>211020101</v>
      </c>
      <c r="AY9" s="10" t="s">
        <v>448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>
        <v>1</v>
      </c>
      <c r="N10" s="9">
        <v>15</v>
      </c>
      <c r="O10" s="9" t="s">
        <v>1175</v>
      </c>
      <c r="S10" s="9" t="s">
        <v>683</v>
      </c>
      <c r="V10" s="9">
        <f ca="1">IFERROR(OFFSET(ITEM_RES!$A$5,MATCH(BUILDING!U10,ITEM_RES!$J$5:$J$226,0)-1,0),0)</f>
        <v>0</v>
      </c>
      <c r="X10" s="84" t="s">
        <v>538</v>
      </c>
      <c r="Y10" s="9">
        <f ca="1">IFERROR(OFFSET(ITEM_RES!$A$5,MATCH(BUILDING!X10,ITEM_RES!$J$5:$J$226,0)-1,0),0)</f>
        <v>211010101</v>
      </c>
      <c r="AA10" s="9" t="s">
        <v>508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427</v>
      </c>
      <c r="AU10" s="11">
        <v>240000</v>
      </c>
      <c r="AX10" s="11">
        <f ca="1">IFERROR(OFFSET(ITEM_RES!$A$1,MATCH(AY10,ITEM_RES!$J:$J,0)-1,0),0)</f>
        <v>211020101</v>
      </c>
      <c r="AY10" s="10" t="s">
        <v>448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>
        <v>1</v>
      </c>
      <c r="N11" s="9">
        <v>15</v>
      </c>
      <c r="O11" s="9" t="s">
        <v>1174</v>
      </c>
      <c r="S11" s="9" t="s">
        <v>683</v>
      </c>
      <c r="V11" s="9">
        <f ca="1">IFERROR(OFFSET(ITEM_RES!$A$5,MATCH(BUILDING!U11,ITEM_RES!$J$5:$J$226,0)-1,0),0)</f>
        <v>0</v>
      </c>
      <c r="X11" s="84" t="s">
        <v>538</v>
      </c>
      <c r="Y11" s="9">
        <f ca="1">IFERROR(OFFSET(ITEM_RES!$A$5,MATCH(BUILDING!X11,ITEM_RES!$J$5:$J$226,0)-1,0),0)</f>
        <v>211010101</v>
      </c>
      <c r="AA11" s="9" t="s">
        <v>508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427</v>
      </c>
      <c r="AU11" s="11">
        <v>540000</v>
      </c>
      <c r="AX11" s="11">
        <f ca="1">IFERROR(OFFSET(ITEM_RES!$A$1,MATCH(AY11,ITEM_RES!$J:$J,0)-1,0),0)</f>
        <v>211020101</v>
      </c>
      <c r="AY11" s="10" t="s">
        <v>448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>
        <v>1</v>
      </c>
      <c r="N12" s="9">
        <v>15</v>
      </c>
      <c r="O12" s="9" t="s">
        <v>1174</v>
      </c>
      <c r="S12" s="9" t="s">
        <v>683</v>
      </c>
      <c r="V12" s="9">
        <f ca="1">IFERROR(OFFSET(ITEM_RES!$A$5,MATCH(BUILDING!U12,ITEM_RES!$J$5:$J$226,0)-1,0),0)</f>
        <v>0</v>
      </c>
      <c r="X12" s="84" t="s">
        <v>538</v>
      </c>
      <c r="Y12" s="9">
        <f ca="1">IFERROR(OFFSET(ITEM_RES!$A$5,MATCH(BUILDING!X12,ITEM_RES!$J$5:$J$226,0)-1,0),0)</f>
        <v>211010101</v>
      </c>
      <c r="AA12" s="9" t="s">
        <v>508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427</v>
      </c>
      <c r="AU12" s="11">
        <v>1000000</v>
      </c>
      <c r="AX12" s="11">
        <f ca="1">IFERROR(OFFSET(ITEM_RES!$A$1,MATCH(AY12,ITEM_RES!$J:$J,0)-1,0),0)</f>
        <v>211020101</v>
      </c>
      <c r="AY12" s="10" t="s">
        <v>448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>
        <v>1</v>
      </c>
      <c r="N13" s="9">
        <v>15</v>
      </c>
      <c r="O13" s="9" t="s">
        <v>1174</v>
      </c>
      <c r="S13" s="9" t="s">
        <v>684</v>
      </c>
      <c r="V13" s="9">
        <f ca="1">IFERROR(OFFSET(ITEM_RES!$A$5,MATCH(BUILDING!U13,ITEM_RES!$J$5:$J$226,0)-1,0),0)</f>
        <v>0</v>
      </c>
      <c r="X13" s="84" t="s">
        <v>538</v>
      </c>
      <c r="Y13" s="9">
        <f ca="1">IFERROR(OFFSET(ITEM_RES!$A$5,MATCH(BUILDING!X13,ITEM_RES!$J$5:$J$226,0)-1,0),0)</f>
        <v>211010101</v>
      </c>
      <c r="AA13" s="9" t="s">
        <v>508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427</v>
      </c>
      <c r="AU13" s="11">
        <v>1580000</v>
      </c>
      <c r="AX13" s="11">
        <f ca="1">IFERROR(OFFSET(ITEM_RES!$A$1,MATCH(AY13,ITEM_RES!$J:$J,0)-1,0),0)</f>
        <v>211020101</v>
      </c>
      <c r="AY13" s="10" t="s">
        <v>448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>
        <v>1</v>
      </c>
      <c r="N14" s="9">
        <v>15</v>
      </c>
      <c r="O14" s="9" t="s">
        <v>1174</v>
      </c>
      <c r="S14" s="9" t="s">
        <v>684</v>
      </c>
      <c r="V14" s="9">
        <f ca="1">IFERROR(OFFSET(ITEM_RES!$A$5,MATCH(BUILDING!U14,ITEM_RES!$J$5:$J$226,0)-1,0),0)</f>
        <v>0</v>
      </c>
      <c r="X14" s="84" t="s">
        <v>538</v>
      </c>
      <c r="Y14" s="9">
        <f ca="1">IFERROR(OFFSET(ITEM_RES!$A$5,MATCH(BUILDING!X14,ITEM_RES!$J$5:$J$226,0)-1,0),0)</f>
        <v>211010101</v>
      </c>
      <c r="AA14" s="9" t="s">
        <v>508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427</v>
      </c>
      <c r="AU14" s="11">
        <v>2200000</v>
      </c>
      <c r="AX14" s="11">
        <f ca="1">IFERROR(OFFSET(ITEM_RES!$A$1,MATCH(AY14,ITEM_RES!$J:$J,0)-1,0),0)</f>
        <v>211020101</v>
      </c>
      <c r="AY14" s="10" t="s">
        <v>448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459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>
        <v>1</v>
      </c>
      <c r="N15" s="9">
        <v>15</v>
      </c>
      <c r="O15" s="9" t="s">
        <v>1174</v>
      </c>
      <c r="S15" s="9" t="s">
        <v>684</v>
      </c>
      <c r="V15" s="9">
        <f ca="1">IFERROR(OFFSET(ITEM_RES!$A$5,MATCH(BUILDING!U15,ITEM_RES!$J$5:$J$226,0)-1,0),0)</f>
        <v>0</v>
      </c>
      <c r="X15" s="84" t="s">
        <v>538</v>
      </c>
      <c r="Y15" s="9">
        <f ca="1">IFERROR(OFFSET(ITEM_RES!$A$5,MATCH(BUILDING!X15,ITEM_RES!$J$5:$J$226,0)-1,0),0)</f>
        <v>211010101</v>
      </c>
      <c r="AA15" s="9" t="s">
        <v>508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427</v>
      </c>
      <c r="AU15" s="11">
        <v>4400000</v>
      </c>
      <c r="AX15" s="11">
        <f ca="1">IFERROR(OFFSET(ITEM_RES!$A$1,MATCH(AY15,ITEM_RES!$J:$J,0)-1,0),0)</f>
        <v>211020101</v>
      </c>
      <c r="AY15" s="10" t="s">
        <v>448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>
        <v>1</v>
      </c>
      <c r="N16" s="9">
        <v>15</v>
      </c>
      <c r="O16" s="9" t="s">
        <v>1174</v>
      </c>
      <c r="S16" s="9" t="s">
        <v>684</v>
      </c>
      <c r="V16" s="9">
        <f ca="1">IFERROR(OFFSET(ITEM_RES!$A$5,MATCH(BUILDING!U16,ITEM_RES!$J$5:$J$226,0)-1,0),0)</f>
        <v>0</v>
      </c>
      <c r="X16" s="84" t="s">
        <v>538</v>
      </c>
      <c r="Y16" s="9">
        <f ca="1">IFERROR(OFFSET(ITEM_RES!$A$5,MATCH(BUILDING!X16,ITEM_RES!$J$5:$J$226,0)-1,0),0)</f>
        <v>211010101</v>
      </c>
      <c r="AA16" s="9" t="s">
        <v>508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427</v>
      </c>
      <c r="AU16" s="11">
        <v>5200000</v>
      </c>
      <c r="AX16" s="11">
        <f ca="1">IFERROR(OFFSET(ITEM_RES!$A$1,MATCH(AY16,ITEM_RES!$J:$J,0)-1,0),0)</f>
        <v>211020101</v>
      </c>
      <c r="AY16" s="10" t="s">
        <v>448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>
        <v>1</v>
      </c>
      <c r="N17" s="9">
        <v>15</v>
      </c>
      <c r="O17" s="9" t="s">
        <v>1174</v>
      </c>
      <c r="S17" s="9" t="s">
        <v>684</v>
      </c>
      <c r="V17" s="9">
        <f ca="1">IFERROR(OFFSET(ITEM_RES!$A$5,MATCH(BUILDING!U17,ITEM_RES!$J$5:$J$226,0)-1,0),0)</f>
        <v>0</v>
      </c>
      <c r="X17" s="84" t="s">
        <v>538</v>
      </c>
      <c r="Y17" s="9">
        <f ca="1">IFERROR(OFFSET(ITEM_RES!$A$5,MATCH(BUILDING!X17,ITEM_RES!$J$5:$J$226,0)-1,0),0)</f>
        <v>211010101</v>
      </c>
      <c r="AA17" s="9" t="s">
        <v>508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427</v>
      </c>
      <c r="AU17" s="11">
        <v>8600000</v>
      </c>
      <c r="AX17" s="11">
        <f ca="1">IFERROR(OFFSET(ITEM_RES!$A$1,MATCH(AY17,ITEM_RES!$J:$J,0)-1,0),0)</f>
        <v>211020101</v>
      </c>
      <c r="AY17" s="10" t="s">
        <v>448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>
        <v>1</v>
      </c>
      <c r="N18" s="9">
        <v>15</v>
      </c>
      <c r="O18" s="9" t="s">
        <v>1174</v>
      </c>
      <c r="S18" s="9" t="s">
        <v>684</v>
      </c>
      <c r="V18" s="9">
        <f ca="1">IFERROR(OFFSET(ITEM_RES!$A$5,MATCH(BUILDING!U18,ITEM_RES!$J$5:$J$226,0)-1,0),0)</f>
        <v>0</v>
      </c>
      <c r="X18" s="84" t="s">
        <v>538</v>
      </c>
      <c r="Y18" s="9">
        <f ca="1">IFERROR(OFFSET(ITEM_RES!$A$5,MATCH(BUILDING!X18,ITEM_RES!$J$5:$J$226,0)-1,0),0)</f>
        <v>211010101</v>
      </c>
      <c r="AA18" s="9" t="s">
        <v>508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427</v>
      </c>
      <c r="AU18" s="11">
        <v>13200000</v>
      </c>
      <c r="AX18" s="11">
        <f ca="1">IFERROR(OFFSET(ITEM_RES!$A$1,MATCH(AY18,ITEM_RES!$J:$J,0)-1,0),0)</f>
        <v>211020101</v>
      </c>
      <c r="AY18" s="10" t="s">
        <v>448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>
        <v>1</v>
      </c>
      <c r="N19" s="9">
        <v>15</v>
      </c>
      <c r="O19" s="9" t="s">
        <v>1174</v>
      </c>
      <c r="S19" s="9" t="s">
        <v>684</v>
      </c>
      <c r="V19" s="9">
        <f ca="1">IFERROR(OFFSET(ITEM_RES!$A$5,MATCH(BUILDING!U19,ITEM_RES!$J$5:$J$226,0)-1,0),0)</f>
        <v>0</v>
      </c>
      <c r="X19" s="84" t="s">
        <v>538</v>
      </c>
      <c r="Y19" s="9">
        <f ca="1">IFERROR(OFFSET(ITEM_RES!$A$5,MATCH(BUILDING!X19,ITEM_RES!$J$5:$J$226,0)-1,0),0)</f>
        <v>211010101</v>
      </c>
      <c r="AA19" s="9" t="s">
        <v>508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427</v>
      </c>
      <c r="AU19" s="11">
        <v>22000000</v>
      </c>
      <c r="AX19" s="11">
        <f ca="1">IFERROR(OFFSET(ITEM_RES!$A$1,MATCH(AY19,ITEM_RES!$J:$J,0)-1,0),0)</f>
        <v>211020101</v>
      </c>
      <c r="AY19" s="10" t="s">
        <v>448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>
        <v>0</v>
      </c>
      <c r="N20" s="9">
        <v>15</v>
      </c>
      <c r="O20" s="9" t="s">
        <v>1174</v>
      </c>
      <c r="S20" s="9" t="s">
        <v>685</v>
      </c>
      <c r="V20" s="9">
        <f ca="1">IFERROR(OFFSET(ITEM_RES!$A$5,MATCH(BUILDING!U20,ITEM_RES!$J$5:$J$226,0)-1,0),0)</f>
        <v>0</v>
      </c>
      <c r="X20" s="84" t="s">
        <v>538</v>
      </c>
      <c r="Y20" s="9">
        <f ca="1">IFERROR(OFFSET(ITEM_RES!$A$5,MATCH(BUILDING!X20,ITEM_RES!$J$5:$J$226,0)-1,0),0)</f>
        <v>211010101</v>
      </c>
      <c r="AA20" s="9" t="s">
        <v>508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443</v>
      </c>
      <c r="AU20" s="11">
        <v>30000000</v>
      </c>
      <c r="AX20" s="11">
        <f ca="1">IFERROR(OFFSET(ITEM_RES!$A$1,MATCH(AY20,ITEM_RES!$J:$J,0)-1,0),0)</f>
        <v>211020101</v>
      </c>
      <c r="AY20" s="10" t="s">
        <v>448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>
        <v>0</v>
      </c>
      <c r="N21" s="9">
        <v>15</v>
      </c>
      <c r="O21" s="9" t="s">
        <v>1174</v>
      </c>
      <c r="S21" s="9" t="s">
        <v>685</v>
      </c>
      <c r="V21" s="9">
        <f ca="1">IFERROR(OFFSET(ITEM_RES!$A$5,MATCH(BUILDING!U21,ITEM_RES!$J$5:$J$226,0)-1,0),0)</f>
        <v>0</v>
      </c>
      <c r="X21" s="84" t="s">
        <v>538</v>
      </c>
      <c r="Y21" s="9">
        <f ca="1">IFERROR(OFFSET(ITEM_RES!$A$5,MATCH(BUILDING!X21,ITEM_RES!$J$5:$J$226,0)-1,0),0)</f>
        <v>211010101</v>
      </c>
      <c r="AA21" s="9" t="s">
        <v>508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443</v>
      </c>
      <c r="AU21" s="11">
        <v>46000000</v>
      </c>
      <c r="AX21" s="11">
        <f ca="1">IFERROR(OFFSET(ITEM_RES!$A$1,MATCH(AY21,ITEM_RES!$J:$J,0)-1,0),0)</f>
        <v>211020101</v>
      </c>
      <c r="AY21" s="10" t="s">
        <v>448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>
        <v>0</v>
      </c>
      <c r="N22" s="9">
        <v>15</v>
      </c>
      <c r="O22" s="9" t="s">
        <v>1174</v>
      </c>
      <c r="S22" s="9" t="s">
        <v>685</v>
      </c>
      <c r="V22" s="9">
        <f ca="1">IFERROR(OFFSET(ITEM_RES!$A$5,MATCH(BUILDING!U22,ITEM_RES!$J$5:$J$226,0)-1,0),0)</f>
        <v>0</v>
      </c>
      <c r="X22" s="84" t="s">
        <v>538</v>
      </c>
      <c r="Y22" s="9">
        <f ca="1">IFERROR(OFFSET(ITEM_RES!$A$5,MATCH(BUILDING!X22,ITEM_RES!$J$5:$J$226,0)-1,0),0)</f>
        <v>211010101</v>
      </c>
      <c r="AA22" s="9" t="s">
        <v>508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443</v>
      </c>
      <c r="AU22" s="11">
        <v>70000000</v>
      </c>
      <c r="AX22" s="11">
        <f ca="1">IFERROR(OFFSET(ITEM_RES!$A$1,MATCH(AY22,ITEM_RES!$J:$J,0)-1,0),0)</f>
        <v>211020101</v>
      </c>
      <c r="AY22" s="10" t="s">
        <v>448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>
        <v>0</v>
      </c>
      <c r="N23" s="9">
        <v>15</v>
      </c>
      <c r="O23" s="9" t="s">
        <v>1174</v>
      </c>
      <c r="S23" s="9" t="s">
        <v>685</v>
      </c>
      <c r="V23" s="9">
        <f ca="1">IFERROR(OFFSET(ITEM_RES!$A$5,MATCH(BUILDING!U23,ITEM_RES!$J$5:$J$226,0)-1,0),0)</f>
        <v>0</v>
      </c>
      <c r="X23" s="84" t="s">
        <v>538</v>
      </c>
      <c r="Y23" s="9">
        <f ca="1">IFERROR(OFFSET(ITEM_RES!$A$5,MATCH(BUILDING!X23,ITEM_RES!$J$5:$J$226,0)-1,0),0)</f>
        <v>211010101</v>
      </c>
      <c r="AA23" s="9" t="s">
        <v>508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443</v>
      </c>
      <c r="AU23" s="11">
        <v>96000000</v>
      </c>
      <c r="AX23" s="11">
        <f ca="1">IFERROR(OFFSET(ITEM_RES!$A$1,MATCH(AY23,ITEM_RES!$J:$J,0)-1,0),0)</f>
        <v>211020101</v>
      </c>
      <c r="AY23" s="10" t="s">
        <v>448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>
        <v>0</v>
      </c>
      <c r="N24" s="9">
        <v>15</v>
      </c>
      <c r="O24" s="9" t="s">
        <v>1174</v>
      </c>
      <c r="S24" s="9" t="s">
        <v>686</v>
      </c>
      <c r="V24" s="9">
        <f ca="1">IFERROR(OFFSET(ITEM_RES!$A$5,MATCH(BUILDING!U24,ITEM_RES!$J$5:$J$226,0)-1,0),0)</f>
        <v>0</v>
      </c>
      <c r="X24" s="84" t="s">
        <v>538</v>
      </c>
      <c r="Y24" s="9">
        <f ca="1">IFERROR(OFFSET(ITEM_RES!$A$5,MATCH(BUILDING!X24,ITEM_RES!$J$5:$J$226,0)-1,0),0)</f>
        <v>211010101</v>
      </c>
      <c r="AA24" s="9" t="s">
        <v>508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443</v>
      </c>
      <c r="AU24" s="11">
        <v>152000000</v>
      </c>
      <c r="AX24" s="11">
        <f ca="1">IFERROR(OFFSET(ITEM_RES!$A$1,MATCH(AY24,ITEM_RES!$J:$J,0)-1,0),0)</f>
        <v>211020101</v>
      </c>
      <c r="AY24" s="10" t="s">
        <v>448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>
        <v>1</v>
      </c>
      <c r="N25" s="16">
        <v>15</v>
      </c>
      <c r="O25" s="16" t="s">
        <v>1176</v>
      </c>
      <c r="P25" s="17"/>
      <c r="Q25" s="17"/>
      <c r="R25" s="18"/>
      <c r="S25" s="16" t="s">
        <v>688</v>
      </c>
      <c r="T25" s="78"/>
      <c r="U25" s="86"/>
      <c r="V25" s="16">
        <f ca="1">IFERROR(OFFSET(ITEM_RES!$A$5,MATCH(BUILDING!U25,ITEM_RES!$J$5:$J$226,0)-1,0),0)</f>
        <v>0</v>
      </c>
      <c r="W25" s="18"/>
      <c r="X25" s="86" t="s">
        <v>539</v>
      </c>
      <c r="Y25" s="16">
        <f ca="1">IFERROR(OFFSET(ITEM_RES!$A$5,MATCH(BUILDING!X25,ITEM_RES!$J$5:$J$226,0)-1,0),0)</f>
        <v>211010201</v>
      </c>
      <c r="Z25" s="78"/>
      <c r="AA25" s="16" t="s">
        <v>509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428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448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452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1177</v>
      </c>
      <c r="S26" s="9" t="s">
        <v>688</v>
      </c>
      <c r="V26" s="9">
        <f ca="1">IFERROR(OFFSET(ITEM_RES!$A$5,MATCH(BUILDING!U26,ITEM_RES!$J$5:$J$226,0)-1,0),0)</f>
        <v>0</v>
      </c>
      <c r="X26" s="84" t="s">
        <v>539</v>
      </c>
      <c r="Y26" s="9">
        <f ca="1">IFERROR(OFFSET(ITEM_RES!$A$5,MATCH(BUILDING!X26,ITEM_RES!$J$5:$J$226,0)-1,0),0)</f>
        <v>211010201</v>
      </c>
      <c r="AA26" s="9" t="s">
        <v>509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428</v>
      </c>
      <c r="AU26" s="11">
        <v>20</v>
      </c>
      <c r="AX26" s="11">
        <f ca="1">IFERROR(OFFSET(ITEM_RES!$A$1,MATCH(AY26,ITEM_RES!$J:$J,0)-1,0),0)</f>
        <v>211020101</v>
      </c>
      <c r="AY26" s="10" t="s">
        <v>448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1178</v>
      </c>
      <c r="S27" s="9" t="s">
        <v>688</v>
      </c>
      <c r="V27" s="9">
        <f ca="1">IFERROR(OFFSET(ITEM_RES!$A$5,MATCH(BUILDING!U27,ITEM_RES!$J$5:$J$226,0)-1,0),0)</f>
        <v>0</v>
      </c>
      <c r="X27" s="84" t="s">
        <v>539</v>
      </c>
      <c r="Y27" s="9">
        <f ca="1">IFERROR(OFFSET(ITEM_RES!$A$5,MATCH(BUILDING!X27,ITEM_RES!$J$5:$J$226,0)-1,0),0)</f>
        <v>211010201</v>
      </c>
      <c r="AA27" s="9" t="s">
        <v>509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428</v>
      </c>
      <c r="AU27" s="11">
        <v>160</v>
      </c>
      <c r="AX27" s="11">
        <f ca="1">IFERROR(OFFSET(ITEM_RES!$A$1,MATCH(AY27,ITEM_RES!$J:$J,0)-1,0),0)</f>
        <v>211020101</v>
      </c>
      <c r="AY27" s="10" t="s">
        <v>448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1178</v>
      </c>
      <c r="S28" s="9" t="s">
        <v>688</v>
      </c>
      <c r="V28" s="9">
        <f ca="1">IFERROR(OFFSET(ITEM_RES!$A$5,MATCH(BUILDING!U28,ITEM_RES!$J$5:$J$226,0)-1,0),0)</f>
        <v>0</v>
      </c>
      <c r="X28" s="84" t="s">
        <v>539</v>
      </c>
      <c r="Y28" s="9">
        <f ca="1">IFERROR(OFFSET(ITEM_RES!$A$5,MATCH(BUILDING!X28,ITEM_RES!$J$5:$J$226,0)-1,0),0)</f>
        <v>211010201</v>
      </c>
      <c r="AA28" s="9" t="s">
        <v>509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428</v>
      </c>
      <c r="AU28" s="11">
        <v>1920</v>
      </c>
      <c r="AX28" s="11">
        <f ca="1">IFERROR(OFFSET(ITEM_RES!$A$1,MATCH(AY28,ITEM_RES!$J:$J,0)-1,0),0)</f>
        <v>211020101</v>
      </c>
      <c r="AY28" s="10" t="s">
        <v>448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1179</v>
      </c>
      <c r="S29" s="9" t="s">
        <v>688</v>
      </c>
      <c r="V29" s="9">
        <f ca="1">IFERROR(OFFSET(ITEM_RES!$A$5,MATCH(BUILDING!U29,ITEM_RES!$J$5:$J$226,0)-1,0),0)</f>
        <v>0</v>
      </c>
      <c r="X29" s="84" t="s">
        <v>539</v>
      </c>
      <c r="Y29" s="9">
        <f ca="1">IFERROR(OFFSET(ITEM_RES!$A$5,MATCH(BUILDING!X29,ITEM_RES!$J$5:$J$226,0)-1,0),0)</f>
        <v>211010201</v>
      </c>
      <c r="AA29" s="9" t="s">
        <v>509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428</v>
      </c>
      <c r="AU29" s="11">
        <v>26000</v>
      </c>
      <c r="AX29" s="11">
        <f ca="1">IFERROR(OFFSET(ITEM_RES!$A$1,MATCH(AY29,ITEM_RES!$J:$J,0)-1,0),0)</f>
        <v>211020101</v>
      </c>
      <c r="AY29" s="10" t="s">
        <v>448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1180</v>
      </c>
      <c r="S30" s="9" t="s">
        <v>688</v>
      </c>
      <c r="V30" s="9">
        <f ca="1">IFERROR(OFFSET(ITEM_RES!$A$5,MATCH(BUILDING!U30,ITEM_RES!$J$5:$J$226,0)-1,0),0)</f>
        <v>0</v>
      </c>
      <c r="X30" s="84" t="s">
        <v>539</v>
      </c>
      <c r="Y30" s="9">
        <f ca="1">IFERROR(OFFSET(ITEM_RES!$A$5,MATCH(BUILDING!X30,ITEM_RES!$J$5:$J$226,0)-1,0),0)</f>
        <v>211010201</v>
      </c>
      <c r="AA30" s="9" t="s">
        <v>509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428</v>
      </c>
      <c r="AU30" s="11">
        <v>240000</v>
      </c>
      <c r="AX30" s="11">
        <f ca="1">IFERROR(OFFSET(ITEM_RES!$A$1,MATCH(AY30,ITEM_RES!$J:$J,0)-1,0),0)</f>
        <v>211020101</v>
      </c>
      <c r="AY30" s="10" t="s">
        <v>448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1181</v>
      </c>
      <c r="S31" s="9" t="s">
        <v>688</v>
      </c>
      <c r="V31" s="9">
        <f ca="1">IFERROR(OFFSET(ITEM_RES!$A$5,MATCH(BUILDING!U31,ITEM_RES!$J$5:$J$226,0)-1,0),0)</f>
        <v>0</v>
      </c>
      <c r="X31" s="84" t="s">
        <v>539</v>
      </c>
      <c r="Y31" s="9">
        <f ca="1">IFERROR(OFFSET(ITEM_RES!$A$5,MATCH(BUILDING!X31,ITEM_RES!$J$5:$J$226,0)-1,0),0)</f>
        <v>211010201</v>
      </c>
      <c r="AA31" s="9" t="s">
        <v>509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428</v>
      </c>
      <c r="AU31" s="11">
        <v>540000</v>
      </c>
      <c r="AX31" s="11">
        <f ca="1">IFERROR(OFFSET(ITEM_RES!$A$1,MATCH(AY31,ITEM_RES!$J:$J,0)-1,0),0)</f>
        <v>211020101</v>
      </c>
      <c r="AY31" s="10" t="s">
        <v>448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1181</v>
      </c>
      <c r="S32" s="9" t="s">
        <v>688</v>
      </c>
      <c r="V32" s="9">
        <f ca="1">IFERROR(OFFSET(ITEM_RES!$A$5,MATCH(BUILDING!U32,ITEM_RES!$J$5:$J$226,0)-1,0),0)</f>
        <v>0</v>
      </c>
      <c r="X32" s="84" t="s">
        <v>539</v>
      </c>
      <c r="Y32" s="9">
        <f ca="1">IFERROR(OFFSET(ITEM_RES!$A$5,MATCH(BUILDING!X32,ITEM_RES!$J$5:$J$226,0)-1,0),0)</f>
        <v>211010201</v>
      </c>
      <c r="AA32" s="9" t="s">
        <v>509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428</v>
      </c>
      <c r="AU32" s="11">
        <v>1000000</v>
      </c>
      <c r="AX32" s="11">
        <f ca="1">IFERROR(OFFSET(ITEM_RES!$A$1,MATCH(AY32,ITEM_RES!$J:$J,0)-1,0),0)</f>
        <v>211020101</v>
      </c>
      <c r="AY32" s="10" t="s">
        <v>448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1181</v>
      </c>
      <c r="S33" s="9" t="s">
        <v>688</v>
      </c>
      <c r="V33" s="9">
        <f ca="1">IFERROR(OFFSET(ITEM_RES!$A$5,MATCH(BUILDING!U33,ITEM_RES!$J$5:$J$226,0)-1,0),0)</f>
        <v>0</v>
      </c>
      <c r="X33" s="84" t="s">
        <v>539</v>
      </c>
      <c r="Y33" s="9">
        <f ca="1">IFERROR(OFFSET(ITEM_RES!$A$5,MATCH(BUILDING!X33,ITEM_RES!$J$5:$J$226,0)-1,0),0)</f>
        <v>211010201</v>
      </c>
      <c r="AA33" s="9" t="s">
        <v>509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428</v>
      </c>
      <c r="AU33" s="11">
        <v>1580000</v>
      </c>
      <c r="AX33" s="11">
        <f ca="1">IFERROR(OFFSET(ITEM_RES!$A$1,MATCH(AY33,ITEM_RES!$J:$J,0)-1,0),0)</f>
        <v>211020101</v>
      </c>
      <c r="AY33" s="10" t="s">
        <v>448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1181</v>
      </c>
      <c r="S34" s="9" t="s">
        <v>688</v>
      </c>
      <c r="V34" s="9">
        <f ca="1">IFERROR(OFFSET(ITEM_RES!$A$5,MATCH(BUILDING!U34,ITEM_RES!$J$5:$J$226,0)-1,0),0)</f>
        <v>0</v>
      </c>
      <c r="X34" s="84" t="s">
        <v>539</v>
      </c>
      <c r="Y34" s="9">
        <f ca="1">IFERROR(OFFSET(ITEM_RES!$A$5,MATCH(BUILDING!X34,ITEM_RES!$J$5:$J$226,0)-1,0),0)</f>
        <v>211010201</v>
      </c>
      <c r="AA34" s="9" t="s">
        <v>509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428</v>
      </c>
      <c r="AU34" s="11">
        <v>2200000</v>
      </c>
      <c r="AX34" s="11">
        <f ca="1">IFERROR(OFFSET(ITEM_RES!$A$1,MATCH(AY34,ITEM_RES!$J:$J,0)-1,0),0)</f>
        <v>211020101</v>
      </c>
      <c r="AY34" s="10" t="s">
        <v>448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1181</v>
      </c>
      <c r="S35" s="9" t="s">
        <v>688</v>
      </c>
      <c r="V35" s="9">
        <f ca="1">IFERROR(OFFSET(ITEM_RES!$A$5,MATCH(BUILDING!U35,ITEM_RES!$J$5:$J$226,0)-1,0),0)</f>
        <v>0</v>
      </c>
      <c r="X35" s="84" t="s">
        <v>539</v>
      </c>
      <c r="Y35" s="9">
        <f ca="1">IFERROR(OFFSET(ITEM_RES!$A$5,MATCH(BUILDING!X35,ITEM_RES!$J$5:$J$226,0)-1,0),0)</f>
        <v>211010201</v>
      </c>
      <c r="AA35" s="9" t="s">
        <v>509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428</v>
      </c>
      <c r="AU35" s="11">
        <v>4400000</v>
      </c>
      <c r="AX35" s="11">
        <f ca="1">IFERROR(OFFSET(ITEM_RES!$A$1,MATCH(AY35,ITEM_RES!$J:$J,0)-1,0),0)</f>
        <v>211020101</v>
      </c>
      <c r="AY35" s="10" t="s">
        <v>448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1181</v>
      </c>
      <c r="S36" s="9" t="s">
        <v>688</v>
      </c>
      <c r="V36" s="9">
        <f ca="1">IFERROR(OFFSET(ITEM_RES!$A$5,MATCH(BUILDING!U36,ITEM_RES!$J$5:$J$226,0)-1,0),0)</f>
        <v>0</v>
      </c>
      <c r="X36" s="84" t="s">
        <v>539</v>
      </c>
      <c r="Y36" s="9">
        <f ca="1">IFERROR(OFFSET(ITEM_RES!$A$5,MATCH(BUILDING!X36,ITEM_RES!$J$5:$J$226,0)-1,0),0)</f>
        <v>211010201</v>
      </c>
      <c r="AA36" s="9" t="s">
        <v>509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428</v>
      </c>
      <c r="AU36" s="11">
        <v>5200000</v>
      </c>
      <c r="AX36" s="11">
        <f ca="1">IFERROR(OFFSET(ITEM_RES!$A$1,MATCH(AY36,ITEM_RES!$J:$J,0)-1,0),0)</f>
        <v>211020101</v>
      </c>
      <c r="AY36" s="10" t="s">
        <v>448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1181</v>
      </c>
      <c r="S37" s="9" t="s">
        <v>688</v>
      </c>
      <c r="V37" s="9">
        <f ca="1">IFERROR(OFFSET(ITEM_RES!$A$5,MATCH(BUILDING!U37,ITEM_RES!$J$5:$J$226,0)-1,0),0)</f>
        <v>0</v>
      </c>
      <c r="X37" s="84" t="s">
        <v>539</v>
      </c>
      <c r="Y37" s="9">
        <f ca="1">IFERROR(OFFSET(ITEM_RES!$A$5,MATCH(BUILDING!X37,ITEM_RES!$J$5:$J$226,0)-1,0),0)</f>
        <v>211010201</v>
      </c>
      <c r="AA37" s="9" t="s">
        <v>509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428</v>
      </c>
      <c r="AU37" s="11">
        <v>8600000</v>
      </c>
      <c r="AX37" s="11">
        <f ca="1">IFERROR(OFFSET(ITEM_RES!$A$1,MATCH(AY37,ITEM_RES!$J:$J,0)-1,0),0)</f>
        <v>211020101</v>
      </c>
      <c r="AY37" s="10" t="s">
        <v>448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1181</v>
      </c>
      <c r="S38" s="9" t="s">
        <v>688</v>
      </c>
      <c r="V38" s="9">
        <f ca="1">IFERROR(OFFSET(ITEM_RES!$A$5,MATCH(BUILDING!U38,ITEM_RES!$J$5:$J$226,0)-1,0),0)</f>
        <v>0</v>
      </c>
      <c r="X38" s="84" t="s">
        <v>539</v>
      </c>
      <c r="Y38" s="9">
        <f ca="1">IFERROR(OFFSET(ITEM_RES!$A$5,MATCH(BUILDING!X38,ITEM_RES!$J$5:$J$226,0)-1,0),0)</f>
        <v>211010201</v>
      </c>
      <c r="AA38" s="9" t="s">
        <v>509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428</v>
      </c>
      <c r="AU38" s="11">
        <v>13200000</v>
      </c>
      <c r="AX38" s="11">
        <f ca="1">IFERROR(OFFSET(ITEM_RES!$A$1,MATCH(AY38,ITEM_RES!$J:$J,0)-1,0),0)</f>
        <v>211020101</v>
      </c>
      <c r="AY38" s="10" t="s">
        <v>448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1181</v>
      </c>
      <c r="S39" s="9" t="s">
        <v>688</v>
      </c>
      <c r="V39" s="9">
        <f ca="1">IFERROR(OFFSET(ITEM_RES!$A$5,MATCH(BUILDING!U39,ITEM_RES!$J$5:$J$226,0)-1,0),0)</f>
        <v>0</v>
      </c>
      <c r="X39" s="84" t="s">
        <v>539</v>
      </c>
      <c r="Y39" s="9">
        <f ca="1">IFERROR(OFFSET(ITEM_RES!$A$5,MATCH(BUILDING!X39,ITEM_RES!$J$5:$J$226,0)-1,0),0)</f>
        <v>211010201</v>
      </c>
      <c r="AA39" s="9" t="s">
        <v>509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443</v>
      </c>
      <c r="AU39" s="11">
        <v>22000000</v>
      </c>
      <c r="AX39" s="11">
        <f ca="1">IFERROR(OFFSET(ITEM_RES!$A$1,MATCH(AY39,ITEM_RES!$J:$J,0)-1,0),0)</f>
        <v>211020101</v>
      </c>
      <c r="AY39" s="10" t="s">
        <v>448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1181</v>
      </c>
      <c r="S40" s="9" t="s">
        <v>688</v>
      </c>
      <c r="V40" s="9">
        <f ca="1">IFERROR(OFFSET(ITEM_RES!$A$5,MATCH(BUILDING!U40,ITEM_RES!$J$5:$J$226,0)-1,0),0)</f>
        <v>0</v>
      </c>
      <c r="X40" s="84" t="s">
        <v>539</v>
      </c>
      <c r="Y40" s="9">
        <f ca="1">IFERROR(OFFSET(ITEM_RES!$A$5,MATCH(BUILDING!X40,ITEM_RES!$J$5:$J$226,0)-1,0),0)</f>
        <v>211010201</v>
      </c>
      <c r="AA40" s="9" t="s">
        <v>509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443</v>
      </c>
      <c r="AU40" s="11">
        <v>30000000</v>
      </c>
      <c r="AX40" s="11">
        <f ca="1">IFERROR(OFFSET(ITEM_RES!$A$1,MATCH(AY40,ITEM_RES!$J:$J,0)-1,0),0)</f>
        <v>211020101</v>
      </c>
      <c r="AY40" s="10" t="s">
        <v>448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1181</v>
      </c>
      <c r="S41" s="9" t="s">
        <v>688</v>
      </c>
      <c r="V41" s="9">
        <f ca="1">IFERROR(OFFSET(ITEM_RES!$A$5,MATCH(BUILDING!U41,ITEM_RES!$J$5:$J$226,0)-1,0),0)</f>
        <v>0</v>
      </c>
      <c r="X41" s="84" t="s">
        <v>539</v>
      </c>
      <c r="Y41" s="9">
        <f ca="1">IFERROR(OFFSET(ITEM_RES!$A$5,MATCH(BUILDING!X41,ITEM_RES!$J$5:$J$226,0)-1,0),0)</f>
        <v>211010201</v>
      </c>
      <c r="AA41" s="9" t="s">
        <v>509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443</v>
      </c>
      <c r="AU41" s="11">
        <v>46000000</v>
      </c>
      <c r="AX41" s="11">
        <f ca="1">IFERROR(OFFSET(ITEM_RES!$A$1,MATCH(AY41,ITEM_RES!$J:$J,0)-1,0),0)</f>
        <v>211020101</v>
      </c>
      <c r="AY41" s="10" t="s">
        <v>448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1181</v>
      </c>
      <c r="S42" s="9" t="s">
        <v>688</v>
      </c>
      <c r="V42" s="9">
        <f ca="1">IFERROR(OFFSET(ITEM_RES!$A$5,MATCH(BUILDING!U42,ITEM_RES!$J$5:$J$226,0)-1,0),0)</f>
        <v>0</v>
      </c>
      <c r="X42" s="84" t="s">
        <v>539</v>
      </c>
      <c r="Y42" s="9">
        <f ca="1">IFERROR(OFFSET(ITEM_RES!$A$5,MATCH(BUILDING!X42,ITEM_RES!$J$5:$J$226,0)-1,0),0)</f>
        <v>211010201</v>
      </c>
      <c r="AA42" s="9" t="s">
        <v>509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443</v>
      </c>
      <c r="AU42" s="11">
        <v>70000000</v>
      </c>
      <c r="AX42" s="11">
        <f ca="1">IFERROR(OFFSET(ITEM_RES!$A$1,MATCH(AY42,ITEM_RES!$J:$J,0)-1,0),0)</f>
        <v>211020101</v>
      </c>
      <c r="AY42" s="10" t="s">
        <v>448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1181</v>
      </c>
      <c r="S43" s="9" t="s">
        <v>688</v>
      </c>
      <c r="V43" s="9">
        <f ca="1">IFERROR(OFFSET(ITEM_RES!$A$5,MATCH(BUILDING!U43,ITEM_RES!$J$5:$J$226,0)-1,0),0)</f>
        <v>0</v>
      </c>
      <c r="X43" s="84" t="s">
        <v>539</v>
      </c>
      <c r="Y43" s="9">
        <f ca="1">IFERROR(OFFSET(ITEM_RES!$A$5,MATCH(BUILDING!X43,ITEM_RES!$J$5:$J$226,0)-1,0),0)</f>
        <v>211010201</v>
      </c>
      <c r="AA43" s="9" t="s">
        <v>509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443</v>
      </c>
      <c r="AU43" s="11">
        <v>96000000</v>
      </c>
      <c r="AX43" s="11">
        <f ca="1">IFERROR(OFFSET(ITEM_RES!$A$1,MATCH(AY43,ITEM_RES!$J:$J,0)-1,0),0)</f>
        <v>211020101</v>
      </c>
      <c r="AY43" s="10" t="s">
        <v>448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1181</v>
      </c>
      <c r="S44" s="9" t="s">
        <v>688</v>
      </c>
      <c r="V44" s="9">
        <f ca="1">IFERROR(OFFSET(ITEM_RES!$A$5,MATCH(BUILDING!U44,ITEM_RES!$J$5:$J$226,0)-1,0),0)</f>
        <v>0</v>
      </c>
      <c r="X44" s="84" t="s">
        <v>539</v>
      </c>
      <c r="Y44" s="9">
        <f ca="1">IFERROR(OFFSET(ITEM_RES!$A$5,MATCH(BUILDING!X44,ITEM_RES!$J$5:$J$226,0)-1,0),0)</f>
        <v>211010201</v>
      </c>
      <c r="AA44" s="9" t="s">
        <v>509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443</v>
      </c>
      <c r="AU44" s="11">
        <v>152000000</v>
      </c>
      <c r="AX44" s="11">
        <f ca="1">IFERROR(OFFSET(ITEM_RES!$A$1,MATCH(AY44,ITEM_RES!$J:$J,0)-1,0),0)</f>
        <v>211020101</v>
      </c>
      <c r="AY44" s="10" t="s">
        <v>448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1164</v>
      </c>
      <c r="P45" s="17"/>
      <c r="Q45" s="17"/>
      <c r="R45" s="18"/>
      <c r="S45" s="16" t="s">
        <v>689</v>
      </c>
      <c r="T45" s="78"/>
      <c r="U45" s="86"/>
      <c r="V45" s="16">
        <f ca="1">IFERROR(OFFSET(ITEM_RES!$A$5,MATCH(BUILDING!U45,ITEM_RES!$J$5:$J$226,0)-1,0),0)</f>
        <v>0</v>
      </c>
      <c r="W45" s="18"/>
      <c r="X45" s="86" t="s">
        <v>540</v>
      </c>
      <c r="Y45" s="16">
        <f ca="1">IFERROR(OFFSET(ITEM_RES!$A$5,MATCH(BUILDING!X45,ITEM_RES!$J$5:$J$226,0)-1,0),0)</f>
        <v>211010301</v>
      </c>
      <c r="Z45" s="78"/>
      <c r="AA45" s="16" t="s">
        <v>510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429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448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452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1165</v>
      </c>
      <c r="S46" s="9" t="s">
        <v>689</v>
      </c>
      <c r="V46" s="9">
        <f ca="1">IFERROR(OFFSET(ITEM_RES!$A$5,MATCH(BUILDING!U46,ITEM_RES!$J$5:$J$226,0)-1,0),0)</f>
        <v>0</v>
      </c>
      <c r="X46" s="84" t="s">
        <v>540</v>
      </c>
      <c r="Y46" s="9">
        <f ca="1">IFERROR(OFFSET(ITEM_RES!$A$5,MATCH(BUILDING!X46,ITEM_RES!$J$5:$J$226,0)-1,0),0)</f>
        <v>211010301</v>
      </c>
      <c r="AA46" s="9" t="s">
        <v>510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429</v>
      </c>
      <c r="AU46" s="11">
        <v>20</v>
      </c>
      <c r="AX46" s="11">
        <f ca="1">IFERROR(OFFSET(ITEM_RES!$A$1,MATCH(AY46,ITEM_RES!$J:$J,0)-1,0),0)</f>
        <v>211020101</v>
      </c>
      <c r="AY46" s="10" t="s">
        <v>448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1166</v>
      </c>
      <c r="S47" s="9" t="s">
        <v>689</v>
      </c>
      <c r="V47" s="9">
        <f ca="1">IFERROR(OFFSET(ITEM_RES!$A$5,MATCH(BUILDING!U47,ITEM_RES!$J$5:$J$226,0)-1,0),0)</f>
        <v>0</v>
      </c>
      <c r="X47" s="84" t="s">
        <v>540</v>
      </c>
      <c r="Y47" s="9">
        <f ca="1">IFERROR(OFFSET(ITEM_RES!$A$5,MATCH(BUILDING!X47,ITEM_RES!$J$5:$J$226,0)-1,0),0)</f>
        <v>211010301</v>
      </c>
      <c r="AA47" s="9" t="s">
        <v>510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429</v>
      </c>
      <c r="AU47" s="11">
        <v>160</v>
      </c>
      <c r="AX47" s="11">
        <f ca="1">IFERROR(OFFSET(ITEM_RES!$A$1,MATCH(AY47,ITEM_RES!$J:$J,0)-1,0),0)</f>
        <v>211020101</v>
      </c>
      <c r="AY47" s="10" t="s">
        <v>448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1166</v>
      </c>
      <c r="S48" s="9" t="s">
        <v>689</v>
      </c>
      <c r="V48" s="9">
        <f ca="1">IFERROR(OFFSET(ITEM_RES!$A$5,MATCH(BUILDING!U48,ITEM_RES!$J$5:$J$226,0)-1,0),0)</f>
        <v>0</v>
      </c>
      <c r="X48" s="84" t="s">
        <v>540</v>
      </c>
      <c r="Y48" s="9">
        <f ca="1">IFERROR(OFFSET(ITEM_RES!$A$5,MATCH(BUILDING!X48,ITEM_RES!$J$5:$J$226,0)-1,0),0)</f>
        <v>211010301</v>
      </c>
      <c r="AA48" s="9" t="s">
        <v>510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429</v>
      </c>
      <c r="AU48" s="11">
        <v>1920</v>
      </c>
      <c r="AX48" s="11">
        <f ca="1">IFERROR(OFFSET(ITEM_RES!$A$1,MATCH(AY48,ITEM_RES!$J:$J,0)-1,0),0)</f>
        <v>211020101</v>
      </c>
      <c r="AY48" s="10" t="s">
        <v>448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1167</v>
      </c>
      <c r="S49" s="9" t="s">
        <v>689</v>
      </c>
      <c r="V49" s="9">
        <f ca="1">IFERROR(OFFSET(ITEM_RES!$A$5,MATCH(BUILDING!U49,ITEM_RES!$J$5:$J$226,0)-1,0),0)</f>
        <v>0</v>
      </c>
      <c r="X49" s="84" t="s">
        <v>540</v>
      </c>
      <c r="Y49" s="9">
        <f ca="1">IFERROR(OFFSET(ITEM_RES!$A$5,MATCH(BUILDING!X49,ITEM_RES!$J$5:$J$226,0)-1,0),0)</f>
        <v>211010301</v>
      </c>
      <c r="AA49" s="9" t="s">
        <v>510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429</v>
      </c>
      <c r="AU49" s="11">
        <v>26000</v>
      </c>
      <c r="AX49" s="11">
        <f ca="1">IFERROR(OFFSET(ITEM_RES!$A$1,MATCH(AY49,ITEM_RES!$J:$J,0)-1,0),0)</f>
        <v>211020101</v>
      </c>
      <c r="AY49" s="10" t="s">
        <v>448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1168</v>
      </c>
      <c r="S50" s="9" t="s">
        <v>689</v>
      </c>
      <c r="V50" s="9">
        <f ca="1">IFERROR(OFFSET(ITEM_RES!$A$5,MATCH(BUILDING!U50,ITEM_RES!$J$5:$J$226,0)-1,0),0)</f>
        <v>0</v>
      </c>
      <c r="X50" s="84" t="s">
        <v>540</v>
      </c>
      <c r="Y50" s="9">
        <f ca="1">IFERROR(OFFSET(ITEM_RES!$A$5,MATCH(BUILDING!X50,ITEM_RES!$J$5:$J$226,0)-1,0),0)</f>
        <v>211010301</v>
      </c>
      <c r="AA50" s="9" t="s">
        <v>510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429</v>
      </c>
      <c r="AU50" s="11">
        <v>240000</v>
      </c>
      <c r="AX50" s="11">
        <f ca="1">IFERROR(OFFSET(ITEM_RES!$A$1,MATCH(AY50,ITEM_RES!$J:$J,0)-1,0),0)</f>
        <v>211020101</v>
      </c>
      <c r="AY50" s="10" t="s">
        <v>448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1169</v>
      </c>
      <c r="S51" s="9" t="s">
        <v>689</v>
      </c>
      <c r="V51" s="9">
        <f ca="1">IFERROR(OFFSET(ITEM_RES!$A$5,MATCH(BUILDING!U51,ITEM_RES!$J$5:$J$226,0)-1,0),0)</f>
        <v>0</v>
      </c>
      <c r="X51" s="84" t="s">
        <v>540</v>
      </c>
      <c r="Y51" s="9">
        <f ca="1">IFERROR(OFFSET(ITEM_RES!$A$5,MATCH(BUILDING!X51,ITEM_RES!$J$5:$J$226,0)-1,0),0)</f>
        <v>211010301</v>
      </c>
      <c r="AA51" s="9" t="s">
        <v>510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429</v>
      </c>
      <c r="AU51" s="11">
        <v>540000</v>
      </c>
      <c r="AX51" s="11">
        <f ca="1">IFERROR(OFFSET(ITEM_RES!$A$1,MATCH(AY51,ITEM_RES!$J:$J,0)-1,0),0)</f>
        <v>211020101</v>
      </c>
      <c r="AY51" s="10" t="s">
        <v>448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1169</v>
      </c>
      <c r="S52" s="9" t="s">
        <v>689</v>
      </c>
      <c r="V52" s="9">
        <f ca="1">IFERROR(OFFSET(ITEM_RES!$A$5,MATCH(BUILDING!U52,ITEM_RES!$J$5:$J$226,0)-1,0),0)</f>
        <v>0</v>
      </c>
      <c r="X52" s="84" t="s">
        <v>540</v>
      </c>
      <c r="Y52" s="9">
        <f ca="1">IFERROR(OFFSET(ITEM_RES!$A$5,MATCH(BUILDING!X52,ITEM_RES!$J$5:$J$226,0)-1,0),0)</f>
        <v>211010301</v>
      </c>
      <c r="AA52" s="9" t="s">
        <v>510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429</v>
      </c>
      <c r="AU52" s="11">
        <v>1000000</v>
      </c>
      <c r="AX52" s="11">
        <f ca="1">IFERROR(OFFSET(ITEM_RES!$A$1,MATCH(AY52,ITEM_RES!$J:$J,0)-1,0),0)</f>
        <v>211020101</v>
      </c>
      <c r="AY52" s="10" t="s">
        <v>448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1169</v>
      </c>
      <c r="S53" s="9" t="s">
        <v>689</v>
      </c>
      <c r="V53" s="9">
        <f ca="1">IFERROR(OFFSET(ITEM_RES!$A$5,MATCH(BUILDING!U53,ITEM_RES!$J$5:$J$226,0)-1,0),0)</f>
        <v>0</v>
      </c>
      <c r="X53" s="84" t="s">
        <v>540</v>
      </c>
      <c r="Y53" s="9">
        <f ca="1">IFERROR(OFFSET(ITEM_RES!$A$5,MATCH(BUILDING!X53,ITEM_RES!$J$5:$J$226,0)-1,0),0)</f>
        <v>211010301</v>
      </c>
      <c r="AA53" s="9" t="s">
        <v>510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429</v>
      </c>
      <c r="AU53" s="11">
        <v>1580000</v>
      </c>
      <c r="AX53" s="11">
        <f ca="1">IFERROR(OFFSET(ITEM_RES!$A$1,MATCH(AY53,ITEM_RES!$J:$J,0)-1,0),0)</f>
        <v>211020101</v>
      </c>
      <c r="AY53" s="10" t="s">
        <v>448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1169</v>
      </c>
      <c r="S54" s="9" t="s">
        <v>689</v>
      </c>
      <c r="V54" s="9">
        <f ca="1">IFERROR(OFFSET(ITEM_RES!$A$5,MATCH(BUILDING!U54,ITEM_RES!$J$5:$J$226,0)-1,0),0)</f>
        <v>0</v>
      </c>
      <c r="X54" s="84" t="s">
        <v>540</v>
      </c>
      <c r="Y54" s="9">
        <f ca="1">IFERROR(OFFSET(ITEM_RES!$A$5,MATCH(BUILDING!X54,ITEM_RES!$J$5:$J$226,0)-1,0),0)</f>
        <v>211010301</v>
      </c>
      <c r="AA54" s="9" t="s">
        <v>510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429</v>
      </c>
      <c r="AU54" s="11">
        <v>2200000</v>
      </c>
      <c r="AX54" s="11">
        <f ca="1">IFERROR(OFFSET(ITEM_RES!$A$1,MATCH(AY54,ITEM_RES!$J:$J,0)-1,0),0)</f>
        <v>211020101</v>
      </c>
      <c r="AY54" s="10" t="s">
        <v>448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1169</v>
      </c>
      <c r="S55" s="9" t="s">
        <v>689</v>
      </c>
      <c r="V55" s="9">
        <f ca="1">IFERROR(OFFSET(ITEM_RES!$A$5,MATCH(BUILDING!U55,ITEM_RES!$J$5:$J$226,0)-1,0),0)</f>
        <v>0</v>
      </c>
      <c r="X55" s="84" t="s">
        <v>540</v>
      </c>
      <c r="Y55" s="9">
        <f ca="1">IFERROR(OFFSET(ITEM_RES!$A$5,MATCH(BUILDING!X55,ITEM_RES!$J$5:$J$226,0)-1,0),0)</f>
        <v>211010301</v>
      </c>
      <c r="AA55" s="9" t="s">
        <v>510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429</v>
      </c>
      <c r="AU55" s="11">
        <v>4400000</v>
      </c>
      <c r="AX55" s="11">
        <f ca="1">IFERROR(OFFSET(ITEM_RES!$A$1,MATCH(AY55,ITEM_RES!$J:$J,0)-1,0),0)</f>
        <v>211020101</v>
      </c>
      <c r="AY55" s="10" t="s">
        <v>448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1169</v>
      </c>
      <c r="S56" s="9" t="s">
        <v>689</v>
      </c>
      <c r="V56" s="9">
        <f ca="1">IFERROR(OFFSET(ITEM_RES!$A$5,MATCH(BUILDING!U56,ITEM_RES!$J$5:$J$226,0)-1,0),0)</f>
        <v>0</v>
      </c>
      <c r="X56" s="84" t="s">
        <v>540</v>
      </c>
      <c r="Y56" s="9">
        <f ca="1">IFERROR(OFFSET(ITEM_RES!$A$5,MATCH(BUILDING!X56,ITEM_RES!$J$5:$J$226,0)-1,0),0)</f>
        <v>211010301</v>
      </c>
      <c r="AA56" s="9" t="s">
        <v>510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429</v>
      </c>
      <c r="AU56" s="11">
        <v>5200000</v>
      </c>
      <c r="AX56" s="11">
        <f ca="1">IFERROR(OFFSET(ITEM_RES!$A$1,MATCH(AY56,ITEM_RES!$J:$J,0)-1,0),0)</f>
        <v>211020101</v>
      </c>
      <c r="AY56" s="10" t="s">
        <v>448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1169</v>
      </c>
      <c r="S57" s="9" t="s">
        <v>689</v>
      </c>
      <c r="V57" s="9">
        <f ca="1">IFERROR(OFFSET(ITEM_RES!$A$5,MATCH(BUILDING!U57,ITEM_RES!$J$5:$J$226,0)-1,0),0)</f>
        <v>0</v>
      </c>
      <c r="X57" s="84" t="s">
        <v>540</v>
      </c>
      <c r="Y57" s="9">
        <f ca="1">IFERROR(OFFSET(ITEM_RES!$A$5,MATCH(BUILDING!X57,ITEM_RES!$J$5:$J$226,0)-1,0),0)</f>
        <v>211010301</v>
      </c>
      <c r="AA57" s="9" t="s">
        <v>510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429</v>
      </c>
      <c r="AU57" s="11">
        <v>8600000</v>
      </c>
      <c r="AX57" s="11">
        <f ca="1">IFERROR(OFFSET(ITEM_RES!$A$1,MATCH(AY57,ITEM_RES!$J:$J,0)-1,0),0)</f>
        <v>211020101</v>
      </c>
      <c r="AY57" s="10" t="s">
        <v>448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1169</v>
      </c>
      <c r="S58" s="9" t="s">
        <v>689</v>
      </c>
      <c r="V58" s="9">
        <f ca="1">IFERROR(OFFSET(ITEM_RES!$A$5,MATCH(BUILDING!U58,ITEM_RES!$J$5:$J$226,0)-1,0),0)</f>
        <v>0</v>
      </c>
      <c r="X58" s="84" t="s">
        <v>540</v>
      </c>
      <c r="Y58" s="9">
        <f ca="1">IFERROR(OFFSET(ITEM_RES!$A$5,MATCH(BUILDING!X58,ITEM_RES!$J$5:$J$226,0)-1,0),0)</f>
        <v>211010301</v>
      </c>
      <c r="AA58" s="9" t="s">
        <v>510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443</v>
      </c>
      <c r="AU58" s="11">
        <v>13200000</v>
      </c>
      <c r="AX58" s="11">
        <f ca="1">IFERROR(OFFSET(ITEM_RES!$A$1,MATCH(AY58,ITEM_RES!$J:$J,0)-1,0),0)</f>
        <v>211020101</v>
      </c>
      <c r="AY58" s="10" t="s">
        <v>448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1169</v>
      </c>
      <c r="S59" s="9" t="s">
        <v>689</v>
      </c>
      <c r="V59" s="9">
        <f ca="1">IFERROR(OFFSET(ITEM_RES!$A$5,MATCH(BUILDING!U59,ITEM_RES!$J$5:$J$226,0)-1,0),0)</f>
        <v>0</v>
      </c>
      <c r="X59" s="84" t="s">
        <v>540</v>
      </c>
      <c r="Y59" s="9">
        <f ca="1">IFERROR(OFFSET(ITEM_RES!$A$5,MATCH(BUILDING!X59,ITEM_RES!$J$5:$J$226,0)-1,0),0)</f>
        <v>211010301</v>
      </c>
      <c r="AA59" s="9" t="s">
        <v>510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443</v>
      </c>
      <c r="AU59" s="11">
        <v>22000000</v>
      </c>
      <c r="AX59" s="11">
        <f ca="1">IFERROR(OFFSET(ITEM_RES!$A$1,MATCH(AY59,ITEM_RES!$J:$J,0)-1,0),0)</f>
        <v>211020101</v>
      </c>
      <c r="AY59" s="10" t="s">
        <v>448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1169</v>
      </c>
      <c r="S60" s="9" t="s">
        <v>689</v>
      </c>
      <c r="V60" s="9">
        <f ca="1">IFERROR(OFFSET(ITEM_RES!$A$5,MATCH(BUILDING!U60,ITEM_RES!$J$5:$J$226,0)-1,0),0)</f>
        <v>0</v>
      </c>
      <c r="X60" s="84" t="s">
        <v>540</v>
      </c>
      <c r="Y60" s="9">
        <f ca="1">IFERROR(OFFSET(ITEM_RES!$A$5,MATCH(BUILDING!X60,ITEM_RES!$J$5:$J$226,0)-1,0),0)</f>
        <v>211010301</v>
      </c>
      <c r="AA60" s="9" t="s">
        <v>510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443</v>
      </c>
      <c r="AU60" s="11">
        <v>30000000</v>
      </c>
      <c r="AX60" s="11">
        <f ca="1">IFERROR(OFFSET(ITEM_RES!$A$1,MATCH(AY60,ITEM_RES!$J:$J,0)-1,0),0)</f>
        <v>211020101</v>
      </c>
      <c r="AY60" s="10" t="s">
        <v>448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1169</v>
      </c>
      <c r="S61" s="9" t="s">
        <v>689</v>
      </c>
      <c r="V61" s="9">
        <f ca="1">IFERROR(OFFSET(ITEM_RES!$A$5,MATCH(BUILDING!U61,ITEM_RES!$J$5:$J$226,0)-1,0),0)</f>
        <v>0</v>
      </c>
      <c r="X61" s="84" t="s">
        <v>540</v>
      </c>
      <c r="Y61" s="9">
        <f ca="1">IFERROR(OFFSET(ITEM_RES!$A$5,MATCH(BUILDING!X61,ITEM_RES!$J$5:$J$226,0)-1,0),0)</f>
        <v>211010301</v>
      </c>
      <c r="AA61" s="9" t="s">
        <v>510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443</v>
      </c>
      <c r="AU61" s="11">
        <v>46000000</v>
      </c>
      <c r="AX61" s="11">
        <f ca="1">IFERROR(OFFSET(ITEM_RES!$A$1,MATCH(AY61,ITEM_RES!$J:$J,0)-1,0),0)</f>
        <v>211020101</v>
      </c>
      <c r="AY61" s="10" t="s">
        <v>448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1169</v>
      </c>
      <c r="S62" s="9" t="s">
        <v>689</v>
      </c>
      <c r="V62" s="9">
        <f ca="1">IFERROR(OFFSET(ITEM_RES!$A$5,MATCH(BUILDING!U62,ITEM_RES!$J$5:$J$226,0)-1,0),0)</f>
        <v>0</v>
      </c>
      <c r="X62" s="84" t="s">
        <v>540</v>
      </c>
      <c r="Y62" s="9">
        <f ca="1">IFERROR(OFFSET(ITEM_RES!$A$5,MATCH(BUILDING!X62,ITEM_RES!$J$5:$J$226,0)-1,0),0)</f>
        <v>211010301</v>
      </c>
      <c r="AA62" s="9" t="s">
        <v>510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443</v>
      </c>
      <c r="AU62" s="11">
        <v>70000000</v>
      </c>
      <c r="AX62" s="11">
        <f ca="1">IFERROR(OFFSET(ITEM_RES!$A$1,MATCH(AY62,ITEM_RES!$J:$J,0)-1,0),0)</f>
        <v>211020101</v>
      </c>
      <c r="AY62" s="10" t="s">
        <v>448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1169</v>
      </c>
      <c r="S63" s="9" t="s">
        <v>689</v>
      </c>
      <c r="V63" s="9">
        <f ca="1">IFERROR(OFFSET(ITEM_RES!$A$5,MATCH(BUILDING!U63,ITEM_RES!$J$5:$J$226,0)-1,0),0)</f>
        <v>0</v>
      </c>
      <c r="X63" s="84" t="s">
        <v>540</v>
      </c>
      <c r="Y63" s="9">
        <f ca="1">IFERROR(OFFSET(ITEM_RES!$A$5,MATCH(BUILDING!X63,ITEM_RES!$J$5:$J$226,0)-1,0),0)</f>
        <v>211010301</v>
      </c>
      <c r="AA63" s="9" t="s">
        <v>510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443</v>
      </c>
      <c r="AU63" s="11">
        <v>96000000</v>
      </c>
      <c r="AX63" s="11">
        <f ca="1">IFERROR(OFFSET(ITEM_RES!$A$1,MATCH(AY63,ITEM_RES!$J:$J,0)-1,0),0)</f>
        <v>211020101</v>
      </c>
      <c r="AY63" s="10" t="s">
        <v>448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1169</v>
      </c>
      <c r="S64" s="9" t="s">
        <v>689</v>
      </c>
      <c r="V64" s="9">
        <f ca="1">IFERROR(OFFSET(ITEM_RES!$A$5,MATCH(BUILDING!U64,ITEM_RES!$J$5:$J$226,0)-1,0),0)</f>
        <v>0</v>
      </c>
      <c r="X64" s="84" t="s">
        <v>540</v>
      </c>
      <c r="Y64" s="9">
        <f ca="1">IFERROR(OFFSET(ITEM_RES!$A$5,MATCH(BUILDING!X64,ITEM_RES!$J$5:$J$226,0)-1,0),0)</f>
        <v>211010301</v>
      </c>
      <c r="AA64" s="9" t="s">
        <v>510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443</v>
      </c>
      <c r="AU64" s="11">
        <v>152000000</v>
      </c>
      <c r="AX64" s="11">
        <f ca="1">IFERROR(OFFSET(ITEM_RES!$A$1,MATCH(AY64,ITEM_RES!$J:$J,0)-1,0),0)</f>
        <v>211020101</v>
      </c>
      <c r="AY64" s="10" t="s">
        <v>448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>
        <v>1</v>
      </c>
      <c r="N65" s="16">
        <v>15</v>
      </c>
      <c r="O65" s="16" t="s">
        <v>1182</v>
      </c>
      <c r="P65" s="17"/>
      <c r="Q65" s="17"/>
      <c r="R65" s="18"/>
      <c r="S65" s="16" t="s">
        <v>690</v>
      </c>
      <c r="T65" s="78"/>
      <c r="U65" s="86"/>
      <c r="V65" s="16">
        <f ca="1">IFERROR(OFFSET(ITEM_RES!$A$5,MATCH(BUILDING!U65,ITEM_RES!$J$5:$J$226,0)-1,0),0)</f>
        <v>0</v>
      </c>
      <c r="W65" s="18"/>
      <c r="X65" s="86" t="s">
        <v>541</v>
      </c>
      <c r="Y65" s="16">
        <f ca="1">IFERROR(OFFSET(ITEM_RES!$A$5,MATCH(BUILDING!X65,ITEM_RES!$J$5:$J$226,0)-1,0),0)</f>
        <v>211020101</v>
      </c>
      <c r="Z65" s="78"/>
      <c r="AA65" s="16" t="s">
        <v>511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427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437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452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>
        <v>1</v>
      </c>
      <c r="N66" s="9">
        <v>15</v>
      </c>
      <c r="O66" s="9" t="s">
        <v>1182</v>
      </c>
      <c r="S66" s="9" t="s">
        <v>690</v>
      </c>
      <c r="V66" s="9">
        <f ca="1">IFERROR(OFFSET(ITEM_RES!$A$5,MATCH(BUILDING!U66,ITEM_RES!$J$5:$J$226,0)-1,0),0)</f>
        <v>0</v>
      </c>
      <c r="X66" s="84" t="s">
        <v>541</v>
      </c>
      <c r="Y66" s="9">
        <f ca="1">IFERROR(OFFSET(ITEM_RES!$A$5,MATCH(BUILDING!X66,ITEM_RES!$J$5:$J$226,0)-1,0),0)</f>
        <v>211020101</v>
      </c>
      <c r="AA66" s="9" t="s">
        <v>511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429</v>
      </c>
      <c r="AU66" s="11">
        <v>20</v>
      </c>
      <c r="AX66" s="11">
        <f ca="1">IFERROR(OFFSET(ITEM_RES!$A$1,MATCH(AY66,ITEM_RES!$J:$J,0)-1,0),0)</f>
        <v>211020801</v>
      </c>
      <c r="AY66" s="10" t="s">
        <v>437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>
        <v>1</v>
      </c>
      <c r="N67" s="9">
        <v>15</v>
      </c>
      <c r="O67" s="9" t="s">
        <v>1183</v>
      </c>
      <c r="S67" s="9" t="s">
        <v>690</v>
      </c>
      <c r="V67" s="9">
        <f ca="1">IFERROR(OFFSET(ITEM_RES!$A$5,MATCH(BUILDING!U67,ITEM_RES!$J$5:$J$226,0)-1,0),0)</f>
        <v>0</v>
      </c>
      <c r="X67" s="84" t="s">
        <v>541</v>
      </c>
      <c r="Y67" s="9">
        <f ca="1">IFERROR(OFFSET(ITEM_RES!$A$5,MATCH(BUILDING!X67,ITEM_RES!$J$5:$J$226,0)-1,0),0)</f>
        <v>211020101</v>
      </c>
      <c r="AA67" s="9" t="s">
        <v>511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429</v>
      </c>
      <c r="AU67" s="11">
        <v>160</v>
      </c>
      <c r="AX67" s="11">
        <f ca="1">IFERROR(OFFSET(ITEM_RES!$A$1,MATCH(AY67,ITEM_RES!$J:$J,0)-1,0),0)</f>
        <v>211020801</v>
      </c>
      <c r="AY67" s="10" t="s">
        <v>437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>
        <v>1</v>
      </c>
      <c r="N68" s="9">
        <v>15</v>
      </c>
      <c r="O68" s="9" t="s">
        <v>1184</v>
      </c>
      <c r="S68" s="9" t="s">
        <v>690</v>
      </c>
      <c r="V68" s="9">
        <f ca="1">IFERROR(OFFSET(ITEM_RES!$A$5,MATCH(BUILDING!U68,ITEM_RES!$J$5:$J$226,0)-1,0),0)</f>
        <v>0</v>
      </c>
      <c r="X68" s="84" t="s">
        <v>541</v>
      </c>
      <c r="Y68" s="9">
        <f ca="1">IFERROR(OFFSET(ITEM_RES!$A$5,MATCH(BUILDING!X68,ITEM_RES!$J$5:$J$226,0)-1,0),0)</f>
        <v>211020101</v>
      </c>
      <c r="AA68" s="9" t="s">
        <v>511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429</v>
      </c>
      <c r="AU68" s="11">
        <v>1920</v>
      </c>
      <c r="AX68" s="11">
        <f ca="1">IFERROR(OFFSET(ITEM_RES!$A$1,MATCH(AY68,ITEM_RES!$J:$J,0)-1,0),0)</f>
        <v>211020801</v>
      </c>
      <c r="AY68" s="10" t="s">
        <v>437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>
        <v>1</v>
      </c>
      <c r="N69" s="9">
        <v>15</v>
      </c>
      <c r="O69" s="9" t="s">
        <v>1185</v>
      </c>
      <c r="S69" s="9" t="s">
        <v>690</v>
      </c>
      <c r="V69" s="9">
        <f ca="1">IFERROR(OFFSET(ITEM_RES!$A$5,MATCH(BUILDING!U69,ITEM_RES!$J$5:$J$226,0)-1,0),0)</f>
        <v>0</v>
      </c>
      <c r="X69" s="84" t="s">
        <v>541</v>
      </c>
      <c r="Y69" s="9">
        <f ca="1">IFERROR(OFFSET(ITEM_RES!$A$5,MATCH(BUILDING!X69,ITEM_RES!$J$5:$J$226,0)-1,0),0)</f>
        <v>211020101</v>
      </c>
      <c r="AA69" s="9" t="s">
        <v>511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429</v>
      </c>
      <c r="AU69" s="11">
        <v>26000</v>
      </c>
      <c r="AX69" s="11">
        <f ca="1">IFERROR(OFFSET(ITEM_RES!$A$1,MATCH(AY69,ITEM_RES!$J:$J,0)-1,0),0)</f>
        <v>211020801</v>
      </c>
      <c r="AY69" s="10" t="s">
        <v>437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>
        <v>1</v>
      </c>
      <c r="N70" s="9">
        <v>15</v>
      </c>
      <c r="O70" s="9" t="s">
        <v>1186</v>
      </c>
      <c r="S70" s="9" t="s">
        <v>690</v>
      </c>
      <c r="V70" s="9">
        <f ca="1">IFERROR(OFFSET(ITEM_RES!$A$5,MATCH(BUILDING!U70,ITEM_RES!$J$5:$J$226,0)-1,0),0)</f>
        <v>0</v>
      </c>
      <c r="X70" s="84" t="s">
        <v>541</v>
      </c>
      <c r="Y70" s="9">
        <f ca="1">IFERROR(OFFSET(ITEM_RES!$A$5,MATCH(BUILDING!X70,ITEM_RES!$J$5:$J$226,0)-1,0),0)</f>
        <v>211020101</v>
      </c>
      <c r="AA70" s="9" t="s">
        <v>511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429</v>
      </c>
      <c r="AU70" s="11">
        <v>240000</v>
      </c>
      <c r="AX70" s="11">
        <f ca="1">IFERROR(OFFSET(ITEM_RES!$A$1,MATCH(AY70,ITEM_RES!$J:$J,0)-1,0),0)</f>
        <v>211020801</v>
      </c>
      <c r="AY70" s="10" t="s">
        <v>437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>
        <v>1</v>
      </c>
      <c r="N71" s="9">
        <v>15</v>
      </c>
      <c r="O71" s="9" t="s">
        <v>1187</v>
      </c>
      <c r="S71" s="9" t="s">
        <v>690</v>
      </c>
      <c r="V71" s="9">
        <f ca="1">IFERROR(OFFSET(ITEM_RES!$A$5,MATCH(BUILDING!U71,ITEM_RES!$J$5:$J$226,0)-1,0),0)</f>
        <v>0</v>
      </c>
      <c r="X71" s="84" t="s">
        <v>541</v>
      </c>
      <c r="Y71" s="9">
        <f ca="1">IFERROR(OFFSET(ITEM_RES!$A$5,MATCH(BUILDING!X71,ITEM_RES!$J$5:$J$226,0)-1,0),0)</f>
        <v>211020101</v>
      </c>
      <c r="AA71" s="9" t="s">
        <v>511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429</v>
      </c>
      <c r="AU71" s="11">
        <v>540000</v>
      </c>
      <c r="AX71" s="11">
        <f ca="1">IFERROR(OFFSET(ITEM_RES!$A$1,MATCH(AY71,ITEM_RES!$J:$J,0)-1,0),0)</f>
        <v>211020801</v>
      </c>
      <c r="AY71" s="10" t="s">
        <v>437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>
        <v>1</v>
      </c>
      <c r="N72" s="9">
        <v>15</v>
      </c>
      <c r="O72" s="9" t="s">
        <v>1187</v>
      </c>
      <c r="S72" s="9" t="s">
        <v>690</v>
      </c>
      <c r="V72" s="9">
        <f ca="1">IFERROR(OFFSET(ITEM_RES!$A$5,MATCH(BUILDING!U72,ITEM_RES!$J$5:$J$226,0)-1,0),0)</f>
        <v>0</v>
      </c>
      <c r="X72" s="84" t="s">
        <v>541</v>
      </c>
      <c r="Y72" s="9">
        <f ca="1">IFERROR(OFFSET(ITEM_RES!$A$5,MATCH(BUILDING!X72,ITEM_RES!$J$5:$J$226,0)-1,0),0)</f>
        <v>211020101</v>
      </c>
      <c r="AA72" s="9" t="s">
        <v>511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429</v>
      </c>
      <c r="AU72" s="11">
        <v>1000000</v>
      </c>
      <c r="AX72" s="11">
        <f ca="1">IFERROR(OFFSET(ITEM_RES!$A$1,MATCH(AY72,ITEM_RES!$J:$J,0)-1,0),0)</f>
        <v>211020801</v>
      </c>
      <c r="AY72" s="10" t="s">
        <v>437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>
        <v>1</v>
      </c>
      <c r="N73" s="9">
        <v>15</v>
      </c>
      <c r="O73" s="9" t="s">
        <v>1187</v>
      </c>
      <c r="S73" s="9" t="s">
        <v>690</v>
      </c>
      <c r="V73" s="9">
        <f ca="1">IFERROR(OFFSET(ITEM_RES!$A$5,MATCH(BUILDING!U73,ITEM_RES!$J$5:$J$226,0)-1,0),0)</f>
        <v>0</v>
      </c>
      <c r="X73" s="84" t="s">
        <v>541</v>
      </c>
      <c r="Y73" s="9">
        <f ca="1">IFERROR(OFFSET(ITEM_RES!$A$5,MATCH(BUILDING!X73,ITEM_RES!$J$5:$J$226,0)-1,0),0)</f>
        <v>211020101</v>
      </c>
      <c r="AA73" s="9" t="s">
        <v>511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429</v>
      </c>
      <c r="AU73" s="11">
        <v>1580000</v>
      </c>
      <c r="AX73" s="11">
        <f ca="1">IFERROR(OFFSET(ITEM_RES!$A$1,MATCH(AY73,ITEM_RES!$J:$J,0)-1,0),0)</f>
        <v>211020801</v>
      </c>
      <c r="AY73" s="10" t="s">
        <v>437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>
        <v>1</v>
      </c>
      <c r="N74" s="9">
        <v>15</v>
      </c>
      <c r="O74" s="9" t="s">
        <v>1187</v>
      </c>
      <c r="S74" s="9" t="s">
        <v>690</v>
      </c>
      <c r="V74" s="9">
        <f ca="1">IFERROR(OFFSET(ITEM_RES!$A$5,MATCH(BUILDING!U74,ITEM_RES!$J$5:$J$226,0)-1,0),0)</f>
        <v>0</v>
      </c>
      <c r="X74" s="84" t="s">
        <v>541</v>
      </c>
      <c r="Y74" s="9">
        <f ca="1">IFERROR(OFFSET(ITEM_RES!$A$5,MATCH(BUILDING!X74,ITEM_RES!$J$5:$J$226,0)-1,0),0)</f>
        <v>211020101</v>
      </c>
      <c r="AA74" s="9" t="s">
        <v>511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429</v>
      </c>
      <c r="AU74" s="11">
        <v>2200000</v>
      </c>
      <c r="AX74" s="11">
        <f ca="1">IFERROR(OFFSET(ITEM_RES!$A$1,MATCH(AY74,ITEM_RES!$J:$J,0)-1,0),0)</f>
        <v>211020801</v>
      </c>
      <c r="AY74" s="10" t="s">
        <v>437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>
        <v>1</v>
      </c>
      <c r="N75" s="9">
        <v>15</v>
      </c>
      <c r="O75" s="9" t="s">
        <v>1187</v>
      </c>
      <c r="S75" s="9" t="s">
        <v>690</v>
      </c>
      <c r="V75" s="9">
        <f ca="1">IFERROR(OFFSET(ITEM_RES!$A$5,MATCH(BUILDING!U75,ITEM_RES!$J$5:$J$226,0)-1,0),0)</f>
        <v>0</v>
      </c>
      <c r="X75" s="84" t="s">
        <v>541</v>
      </c>
      <c r="Y75" s="9">
        <f ca="1">IFERROR(OFFSET(ITEM_RES!$A$5,MATCH(BUILDING!X75,ITEM_RES!$J$5:$J$226,0)-1,0),0)</f>
        <v>211020101</v>
      </c>
      <c r="AA75" s="9" t="s">
        <v>511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429</v>
      </c>
      <c r="AU75" s="11">
        <v>4400000</v>
      </c>
      <c r="AX75" s="11">
        <f ca="1">IFERROR(OFFSET(ITEM_RES!$A$1,MATCH(AY75,ITEM_RES!$J:$J,0)-1,0),0)</f>
        <v>211020801</v>
      </c>
      <c r="AY75" s="10" t="s">
        <v>437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460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>
        <v>1</v>
      </c>
      <c r="N76" s="9">
        <v>15</v>
      </c>
      <c r="O76" s="9" t="s">
        <v>1187</v>
      </c>
      <c r="S76" s="9" t="s">
        <v>690</v>
      </c>
      <c r="V76" s="9">
        <f ca="1">IFERROR(OFFSET(ITEM_RES!$A$5,MATCH(BUILDING!U76,ITEM_RES!$J$5:$J$226,0)-1,0),0)</f>
        <v>0</v>
      </c>
      <c r="X76" s="84" t="s">
        <v>541</v>
      </c>
      <c r="Y76" s="9">
        <f ca="1">IFERROR(OFFSET(ITEM_RES!$A$5,MATCH(BUILDING!X76,ITEM_RES!$J$5:$J$226,0)-1,0),0)</f>
        <v>211020101</v>
      </c>
      <c r="AA76" s="9" t="s">
        <v>511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429</v>
      </c>
      <c r="AU76" s="11">
        <v>5200000</v>
      </c>
      <c r="AX76" s="11">
        <f ca="1">IFERROR(OFFSET(ITEM_RES!$A$1,MATCH(AY76,ITEM_RES!$J:$J,0)-1,0),0)</f>
        <v>211020801</v>
      </c>
      <c r="AY76" s="10" t="s">
        <v>437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>
        <v>1</v>
      </c>
      <c r="N77" s="9">
        <v>15</v>
      </c>
      <c r="O77" s="9" t="s">
        <v>1187</v>
      </c>
      <c r="S77" s="9" t="s">
        <v>690</v>
      </c>
      <c r="V77" s="9">
        <f ca="1">IFERROR(OFFSET(ITEM_RES!$A$5,MATCH(BUILDING!U77,ITEM_RES!$J$5:$J$226,0)-1,0),0)</f>
        <v>0</v>
      </c>
      <c r="X77" s="84" t="s">
        <v>541</v>
      </c>
      <c r="Y77" s="9">
        <f ca="1">IFERROR(OFFSET(ITEM_RES!$A$5,MATCH(BUILDING!X77,ITEM_RES!$J$5:$J$226,0)-1,0),0)</f>
        <v>211020101</v>
      </c>
      <c r="AA77" s="9" t="s">
        <v>511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429</v>
      </c>
      <c r="AU77" s="11">
        <v>8600000</v>
      </c>
      <c r="AX77" s="11">
        <f ca="1">IFERROR(OFFSET(ITEM_RES!$A$1,MATCH(AY77,ITEM_RES!$J:$J,0)-1,0),0)</f>
        <v>211020801</v>
      </c>
      <c r="AY77" s="10" t="s">
        <v>437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>
        <v>1</v>
      </c>
      <c r="N78" s="9">
        <v>15</v>
      </c>
      <c r="O78" s="9" t="s">
        <v>1187</v>
      </c>
      <c r="S78" s="9" t="s">
        <v>690</v>
      </c>
      <c r="V78" s="9">
        <f ca="1">IFERROR(OFFSET(ITEM_RES!$A$5,MATCH(BUILDING!U78,ITEM_RES!$J$5:$J$226,0)-1,0),0)</f>
        <v>0</v>
      </c>
      <c r="X78" s="84" t="s">
        <v>541</v>
      </c>
      <c r="Y78" s="9">
        <f ca="1">IFERROR(OFFSET(ITEM_RES!$A$5,MATCH(BUILDING!X78,ITEM_RES!$J$5:$J$226,0)-1,0),0)</f>
        <v>211020101</v>
      </c>
      <c r="AA78" s="9" t="s">
        <v>511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1155</v>
      </c>
      <c r="AU78" s="11">
        <v>13200000</v>
      </c>
      <c r="AX78" s="11">
        <f ca="1">IFERROR(OFFSET(ITEM_RES!$A$1,MATCH(AY78,ITEM_RES!$J:$J,0)-1,0),0)</f>
        <v>211020901</v>
      </c>
      <c r="AY78" s="10" t="s">
        <v>445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>
        <v>1</v>
      </c>
      <c r="N79" s="9">
        <v>15</v>
      </c>
      <c r="O79" s="9" t="s">
        <v>1187</v>
      </c>
      <c r="S79" s="9" t="s">
        <v>690</v>
      </c>
      <c r="V79" s="9">
        <f ca="1">IFERROR(OFFSET(ITEM_RES!$A$5,MATCH(BUILDING!U79,ITEM_RES!$J$5:$J$226,0)-1,0),0)</f>
        <v>0</v>
      </c>
      <c r="X79" s="84" t="s">
        <v>541</v>
      </c>
      <c r="Y79" s="9">
        <f ca="1">IFERROR(OFFSET(ITEM_RES!$A$5,MATCH(BUILDING!X79,ITEM_RES!$J$5:$J$226,0)-1,0),0)</f>
        <v>211020101</v>
      </c>
      <c r="AA79" s="9" t="s">
        <v>511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1155</v>
      </c>
      <c r="AU79" s="11">
        <v>22000000</v>
      </c>
      <c r="AX79" s="11">
        <f ca="1">IFERROR(OFFSET(ITEM_RES!$A$1,MATCH(AY79,ITEM_RES!$J:$J,0)-1,0),0)</f>
        <v>211020901</v>
      </c>
      <c r="AY79" s="10" t="s">
        <v>445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>
        <v>0</v>
      </c>
      <c r="N80" s="9">
        <v>15</v>
      </c>
      <c r="O80" s="9" t="s">
        <v>1187</v>
      </c>
      <c r="S80" s="9" t="s">
        <v>690</v>
      </c>
      <c r="V80" s="9">
        <f ca="1">IFERROR(OFFSET(ITEM_RES!$A$5,MATCH(BUILDING!U80,ITEM_RES!$J$5:$J$226,0)-1,0),0)</f>
        <v>0</v>
      </c>
      <c r="X80" s="84" t="s">
        <v>541</v>
      </c>
      <c r="Y80" s="9">
        <f ca="1">IFERROR(OFFSET(ITEM_RES!$A$5,MATCH(BUILDING!X80,ITEM_RES!$J$5:$J$226,0)-1,0),0)</f>
        <v>211020101</v>
      </c>
      <c r="AA80" s="9" t="s">
        <v>511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1155</v>
      </c>
      <c r="AU80" s="11">
        <v>30000000</v>
      </c>
      <c r="AX80" s="11">
        <f ca="1">IFERROR(OFFSET(ITEM_RES!$A$1,MATCH(AY80,ITEM_RES!$J:$J,0)-1,0),0)</f>
        <v>211020901</v>
      </c>
      <c r="AY80" s="10" t="s">
        <v>445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>
        <v>0</v>
      </c>
      <c r="N81" s="9">
        <v>15</v>
      </c>
      <c r="O81" s="9" t="s">
        <v>1187</v>
      </c>
      <c r="S81" s="9" t="s">
        <v>690</v>
      </c>
      <c r="V81" s="9">
        <f ca="1">IFERROR(OFFSET(ITEM_RES!$A$5,MATCH(BUILDING!U81,ITEM_RES!$J$5:$J$226,0)-1,0),0)</f>
        <v>0</v>
      </c>
      <c r="X81" s="84" t="s">
        <v>541</v>
      </c>
      <c r="Y81" s="9">
        <f ca="1">IFERROR(OFFSET(ITEM_RES!$A$5,MATCH(BUILDING!X81,ITEM_RES!$J$5:$J$226,0)-1,0),0)</f>
        <v>211020101</v>
      </c>
      <c r="AA81" s="9" t="s">
        <v>511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1155</v>
      </c>
      <c r="AU81" s="11">
        <v>46000000</v>
      </c>
      <c r="AX81" s="11">
        <f ca="1">IFERROR(OFFSET(ITEM_RES!$A$1,MATCH(AY81,ITEM_RES!$J:$J,0)-1,0),0)</f>
        <v>211020901</v>
      </c>
      <c r="AY81" s="10" t="s">
        <v>445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>
        <v>0</v>
      </c>
      <c r="N82" s="9">
        <v>15</v>
      </c>
      <c r="O82" s="9" t="s">
        <v>1187</v>
      </c>
      <c r="S82" s="9" t="s">
        <v>690</v>
      </c>
      <c r="V82" s="9">
        <f ca="1">IFERROR(OFFSET(ITEM_RES!$A$5,MATCH(BUILDING!U82,ITEM_RES!$J$5:$J$226,0)-1,0),0)</f>
        <v>0</v>
      </c>
      <c r="X82" s="84" t="s">
        <v>541</v>
      </c>
      <c r="Y82" s="9">
        <f ca="1">IFERROR(OFFSET(ITEM_RES!$A$5,MATCH(BUILDING!X82,ITEM_RES!$J$5:$J$226,0)-1,0),0)</f>
        <v>211020101</v>
      </c>
      <c r="AA82" s="9" t="s">
        <v>511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1155</v>
      </c>
      <c r="AU82" s="11">
        <v>70000000</v>
      </c>
      <c r="AX82" s="11">
        <f ca="1">IFERROR(OFFSET(ITEM_RES!$A$1,MATCH(AY82,ITEM_RES!$J:$J,0)-1,0),0)</f>
        <v>211020901</v>
      </c>
      <c r="AY82" s="10" t="s">
        <v>445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>
        <v>0</v>
      </c>
      <c r="N83" s="9">
        <v>15</v>
      </c>
      <c r="O83" s="9" t="s">
        <v>1187</v>
      </c>
      <c r="S83" s="9" t="s">
        <v>690</v>
      </c>
      <c r="V83" s="9">
        <f ca="1">IFERROR(OFFSET(ITEM_RES!$A$5,MATCH(BUILDING!U83,ITEM_RES!$J$5:$J$226,0)-1,0),0)</f>
        <v>0</v>
      </c>
      <c r="X83" s="84" t="s">
        <v>541</v>
      </c>
      <c r="Y83" s="9">
        <f ca="1">IFERROR(OFFSET(ITEM_RES!$A$5,MATCH(BUILDING!X83,ITEM_RES!$J$5:$J$226,0)-1,0),0)</f>
        <v>211020101</v>
      </c>
      <c r="AA83" s="9" t="s">
        <v>511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1155</v>
      </c>
      <c r="AU83" s="11">
        <v>96000000</v>
      </c>
      <c r="AX83" s="11">
        <f ca="1">IFERROR(OFFSET(ITEM_RES!$A$1,MATCH(AY83,ITEM_RES!$J:$J,0)-1,0),0)</f>
        <v>211020901</v>
      </c>
      <c r="AY83" s="10" t="s">
        <v>445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>
        <v>0</v>
      </c>
      <c r="N84" s="9">
        <v>15</v>
      </c>
      <c r="O84" s="9" t="s">
        <v>1187</v>
      </c>
      <c r="S84" s="9" t="s">
        <v>690</v>
      </c>
      <c r="V84" s="9">
        <f ca="1">IFERROR(OFFSET(ITEM_RES!$A$5,MATCH(BUILDING!U84,ITEM_RES!$J$5:$J$226,0)-1,0),0)</f>
        <v>0</v>
      </c>
      <c r="X84" s="84" t="s">
        <v>541</v>
      </c>
      <c r="Y84" s="9">
        <f ca="1">IFERROR(OFFSET(ITEM_RES!$A$5,MATCH(BUILDING!X84,ITEM_RES!$J$5:$J$226,0)-1,0),0)</f>
        <v>211020101</v>
      </c>
      <c r="AA84" s="9" t="s">
        <v>511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1155</v>
      </c>
      <c r="AU84" s="11">
        <v>152000000</v>
      </c>
      <c r="AX84" s="11">
        <f ca="1">IFERROR(OFFSET(ITEM_RES!$A$1,MATCH(AY84,ITEM_RES!$J:$J,0)-1,0),0)</f>
        <v>211020901</v>
      </c>
      <c r="AY84" s="10" t="s">
        <v>445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768</v>
      </c>
      <c r="P85" s="17"/>
      <c r="Q85" s="17"/>
      <c r="R85" s="18"/>
      <c r="S85" s="16" t="s">
        <v>712</v>
      </c>
      <c r="T85" s="78"/>
      <c r="U85" s="86" t="s">
        <v>543</v>
      </c>
      <c r="V85" s="16">
        <f ca="1">IFERROR(OFFSET(ITEM_RES!$A$5,MATCH(BUILDING!U85,ITEM_RES!$J$5:$J$226,0)-1,0),0)</f>
        <v>211021101</v>
      </c>
      <c r="W85" s="18">
        <v>100</v>
      </c>
      <c r="X85" s="86" t="s">
        <v>542</v>
      </c>
      <c r="Y85" s="16">
        <f ca="1">IFERROR(OFFSET(ITEM_RES!$A$5,MATCH(BUILDING!X85,ITEM_RES!$J$5:$J$226,0)-1,0),0)</f>
        <v>211010401</v>
      </c>
      <c r="Z85" s="78"/>
      <c r="AA85" s="16" t="s">
        <v>512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431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436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452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768</v>
      </c>
      <c r="S86" s="9" t="s">
        <v>712</v>
      </c>
      <c r="U86" s="84" t="s">
        <v>543</v>
      </c>
      <c r="V86" s="9">
        <f ca="1">IFERROR(OFFSET(ITEM_RES!$A$5,MATCH(BUILDING!U86,ITEM_RES!$J$5:$J$226,0)-1,0),0)</f>
        <v>211021101</v>
      </c>
      <c r="W86" s="11">
        <v>100</v>
      </c>
      <c r="X86" s="84" t="s">
        <v>542</v>
      </c>
      <c r="Y86" s="9">
        <f ca="1">IFERROR(OFFSET(ITEM_RES!$A$5,MATCH(BUILDING!X86,ITEM_RES!$J$5:$J$226,0)-1,0),0)</f>
        <v>211010401</v>
      </c>
      <c r="AA86" s="9" t="s">
        <v>512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432</v>
      </c>
      <c r="AU86" s="11">
        <v>20</v>
      </c>
      <c r="AX86" s="11">
        <f ca="1">IFERROR(OFFSET(ITEM_RES!$A$1,MATCH(AY86,ITEM_RES!$J:$J,0)-1,0),0)</f>
        <v>211020401</v>
      </c>
      <c r="AY86" s="10" t="s">
        <v>436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768</v>
      </c>
      <c r="S87" s="9" t="s">
        <v>712</v>
      </c>
      <c r="U87" s="84" t="s">
        <v>543</v>
      </c>
      <c r="V87" s="9">
        <f ca="1">IFERROR(OFFSET(ITEM_RES!$A$5,MATCH(BUILDING!U87,ITEM_RES!$J$5:$J$226,0)-1,0),0)</f>
        <v>211021101</v>
      </c>
      <c r="W87" s="11">
        <v>100</v>
      </c>
      <c r="X87" s="84" t="s">
        <v>542</v>
      </c>
      <c r="Y87" s="9">
        <f ca="1">IFERROR(OFFSET(ITEM_RES!$A$5,MATCH(BUILDING!X87,ITEM_RES!$J$5:$J$226,0)-1,0),0)</f>
        <v>211010401</v>
      </c>
      <c r="AA87" s="9" t="s">
        <v>512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431</v>
      </c>
      <c r="AU87" s="11">
        <v>160</v>
      </c>
      <c r="AX87" s="11">
        <f ca="1">IFERROR(OFFSET(ITEM_RES!$A$1,MATCH(AY87,ITEM_RES!$J:$J,0)-1,0),0)</f>
        <v>211020401</v>
      </c>
      <c r="AY87" s="10" t="s">
        <v>436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768</v>
      </c>
      <c r="S88" s="9" t="s">
        <v>712</v>
      </c>
      <c r="U88" s="84" t="s">
        <v>543</v>
      </c>
      <c r="V88" s="9">
        <f ca="1">IFERROR(OFFSET(ITEM_RES!$A$5,MATCH(BUILDING!U88,ITEM_RES!$J$5:$J$226,0)-1,0),0)</f>
        <v>211021101</v>
      </c>
      <c r="W88" s="11">
        <v>100</v>
      </c>
      <c r="X88" s="84" t="s">
        <v>542</v>
      </c>
      <c r="Y88" s="9">
        <f ca="1">IFERROR(OFFSET(ITEM_RES!$A$5,MATCH(BUILDING!X88,ITEM_RES!$J$5:$J$226,0)-1,0),0)</f>
        <v>211010401</v>
      </c>
      <c r="AA88" s="9" t="s">
        <v>512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432</v>
      </c>
      <c r="AU88" s="11">
        <v>1920</v>
      </c>
      <c r="AX88" s="11">
        <f ca="1">IFERROR(OFFSET(ITEM_RES!$A$1,MATCH(AY88,ITEM_RES!$J:$J,0)-1,0),0)</f>
        <v>211020401</v>
      </c>
      <c r="AY88" s="10" t="s">
        <v>436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768</v>
      </c>
      <c r="S89" s="9" t="s">
        <v>712</v>
      </c>
      <c r="U89" s="84" t="s">
        <v>543</v>
      </c>
      <c r="V89" s="9">
        <f ca="1">IFERROR(OFFSET(ITEM_RES!$A$5,MATCH(BUILDING!U89,ITEM_RES!$J$5:$J$226,0)-1,0),0)</f>
        <v>211021101</v>
      </c>
      <c r="W89" s="11">
        <v>100</v>
      </c>
      <c r="X89" s="84" t="s">
        <v>542</v>
      </c>
      <c r="Y89" s="9">
        <f ca="1">IFERROR(OFFSET(ITEM_RES!$A$5,MATCH(BUILDING!X89,ITEM_RES!$J$5:$J$226,0)-1,0),0)</f>
        <v>211010401</v>
      </c>
      <c r="AA89" s="9" t="s">
        <v>512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431</v>
      </c>
      <c r="AU89" s="11">
        <v>26000</v>
      </c>
      <c r="AX89" s="11">
        <f ca="1">IFERROR(OFFSET(ITEM_RES!$A$1,MATCH(AY89,ITEM_RES!$J:$J,0)-1,0),0)</f>
        <v>211020401</v>
      </c>
      <c r="AY89" s="10" t="s">
        <v>436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768</v>
      </c>
      <c r="S90" s="9" t="s">
        <v>712</v>
      </c>
      <c r="U90" s="84" t="s">
        <v>543</v>
      </c>
      <c r="V90" s="9">
        <f ca="1">IFERROR(OFFSET(ITEM_RES!$A$5,MATCH(BUILDING!U90,ITEM_RES!$J$5:$J$226,0)-1,0),0)</f>
        <v>211021101</v>
      </c>
      <c r="W90" s="11">
        <v>100</v>
      </c>
      <c r="X90" s="84" t="s">
        <v>542</v>
      </c>
      <c r="Y90" s="9">
        <f ca="1">IFERROR(OFFSET(ITEM_RES!$A$5,MATCH(BUILDING!X90,ITEM_RES!$J$5:$J$226,0)-1,0),0)</f>
        <v>211010401</v>
      </c>
      <c r="AA90" s="9" t="s">
        <v>512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432</v>
      </c>
      <c r="AU90" s="11">
        <v>240000</v>
      </c>
      <c r="AX90" s="11">
        <f ca="1">IFERROR(OFFSET(ITEM_RES!$A$1,MATCH(AY90,ITEM_RES!$J:$J,0)-1,0),0)</f>
        <v>211020401</v>
      </c>
      <c r="AY90" s="10" t="s">
        <v>436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768</v>
      </c>
      <c r="S91" s="9" t="s">
        <v>712</v>
      </c>
      <c r="U91" s="84" t="s">
        <v>543</v>
      </c>
      <c r="V91" s="9">
        <f ca="1">IFERROR(OFFSET(ITEM_RES!$A$5,MATCH(BUILDING!U91,ITEM_RES!$J$5:$J$226,0)-1,0),0)</f>
        <v>211021101</v>
      </c>
      <c r="W91" s="11">
        <v>100</v>
      </c>
      <c r="X91" s="84" t="s">
        <v>542</v>
      </c>
      <c r="Y91" s="9">
        <f ca="1">IFERROR(OFFSET(ITEM_RES!$A$5,MATCH(BUILDING!X91,ITEM_RES!$J$5:$J$226,0)-1,0),0)</f>
        <v>211010401</v>
      </c>
      <c r="AA91" s="9" t="s">
        <v>512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394</v>
      </c>
      <c r="AU91" s="11">
        <v>540000</v>
      </c>
      <c r="AX91" s="11">
        <f ca="1">IFERROR(OFFSET(ITEM_RES!$A$1,MATCH(AY91,ITEM_RES!$J:$J,0)-1,0),0)</f>
        <v>211020401</v>
      </c>
      <c r="AY91" s="10" t="s">
        <v>436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768</v>
      </c>
      <c r="S92" s="9" t="s">
        <v>712</v>
      </c>
      <c r="U92" s="84" t="s">
        <v>543</v>
      </c>
      <c r="V92" s="9">
        <f ca="1">IFERROR(OFFSET(ITEM_RES!$A$5,MATCH(BUILDING!U92,ITEM_RES!$J$5:$J$226,0)-1,0),0)</f>
        <v>211021101</v>
      </c>
      <c r="W92" s="11">
        <v>100</v>
      </c>
      <c r="X92" s="84" t="s">
        <v>542</v>
      </c>
      <c r="Y92" s="9">
        <f ca="1">IFERROR(OFFSET(ITEM_RES!$A$5,MATCH(BUILDING!X92,ITEM_RES!$J$5:$J$226,0)-1,0),0)</f>
        <v>211010401</v>
      </c>
      <c r="AA92" s="9" t="s">
        <v>512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394</v>
      </c>
      <c r="AU92" s="11">
        <v>1000000</v>
      </c>
      <c r="AX92" s="11">
        <f ca="1">IFERROR(OFFSET(ITEM_RES!$A$1,MATCH(AY92,ITEM_RES!$J:$J,0)-1,0),0)</f>
        <v>211020401</v>
      </c>
      <c r="AY92" s="10" t="s">
        <v>436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768</v>
      </c>
      <c r="S93" s="9" t="s">
        <v>712</v>
      </c>
      <c r="U93" s="84" t="s">
        <v>543</v>
      </c>
      <c r="V93" s="9">
        <f ca="1">IFERROR(OFFSET(ITEM_RES!$A$5,MATCH(BUILDING!U93,ITEM_RES!$J$5:$J$226,0)-1,0),0)</f>
        <v>211021101</v>
      </c>
      <c r="W93" s="11">
        <v>100</v>
      </c>
      <c r="X93" s="84" t="s">
        <v>542</v>
      </c>
      <c r="Y93" s="9">
        <f ca="1">IFERROR(OFFSET(ITEM_RES!$A$5,MATCH(BUILDING!X93,ITEM_RES!$J$5:$J$226,0)-1,0),0)</f>
        <v>211010401</v>
      </c>
      <c r="AA93" s="9" t="s">
        <v>512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394</v>
      </c>
      <c r="AU93" s="11">
        <v>1580000</v>
      </c>
      <c r="AX93" s="11">
        <f ca="1">IFERROR(OFFSET(ITEM_RES!$A$1,MATCH(AY93,ITEM_RES!$J:$J,0)-1,0),0)</f>
        <v>211020401</v>
      </c>
      <c r="AY93" s="10" t="s">
        <v>436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768</v>
      </c>
      <c r="S94" s="9" t="s">
        <v>712</v>
      </c>
      <c r="U94" s="84" t="s">
        <v>543</v>
      </c>
      <c r="V94" s="9">
        <f ca="1">IFERROR(OFFSET(ITEM_RES!$A$5,MATCH(BUILDING!U94,ITEM_RES!$J$5:$J$226,0)-1,0),0)</f>
        <v>211021101</v>
      </c>
      <c r="W94" s="11">
        <v>100</v>
      </c>
      <c r="X94" s="84" t="s">
        <v>542</v>
      </c>
      <c r="Y94" s="9">
        <f ca="1">IFERROR(OFFSET(ITEM_RES!$A$5,MATCH(BUILDING!X94,ITEM_RES!$J$5:$J$226,0)-1,0),0)</f>
        <v>211010401</v>
      </c>
      <c r="AA94" s="9" t="s">
        <v>512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394</v>
      </c>
      <c r="AU94" s="11">
        <v>2200000</v>
      </c>
      <c r="AX94" s="11">
        <f ca="1">IFERROR(OFFSET(ITEM_RES!$A$1,MATCH(AY94,ITEM_RES!$J:$J,0)-1,0),0)</f>
        <v>211020401</v>
      </c>
      <c r="AY94" s="10" t="s">
        <v>436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768</v>
      </c>
      <c r="S95" s="9" t="s">
        <v>712</v>
      </c>
      <c r="U95" s="84" t="s">
        <v>543</v>
      </c>
      <c r="V95" s="9">
        <f ca="1">IFERROR(OFFSET(ITEM_RES!$A$5,MATCH(BUILDING!U95,ITEM_RES!$J$5:$J$226,0)-1,0),0)</f>
        <v>211021101</v>
      </c>
      <c r="W95" s="11">
        <v>100</v>
      </c>
      <c r="X95" s="84" t="s">
        <v>542</v>
      </c>
      <c r="Y95" s="9">
        <f ca="1">IFERROR(OFFSET(ITEM_RES!$A$5,MATCH(BUILDING!X95,ITEM_RES!$J$5:$J$226,0)-1,0),0)</f>
        <v>211010401</v>
      </c>
      <c r="AA95" s="9" t="s">
        <v>512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394</v>
      </c>
      <c r="AU95" s="11">
        <v>4400000</v>
      </c>
      <c r="AX95" s="11">
        <f ca="1">IFERROR(OFFSET(ITEM_RES!$A$1,MATCH(AY95,ITEM_RES!$J:$J,0)-1,0),0)</f>
        <v>211020401</v>
      </c>
      <c r="AY95" s="10" t="s">
        <v>436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768</v>
      </c>
      <c r="S96" s="9" t="s">
        <v>712</v>
      </c>
      <c r="U96" s="84" t="s">
        <v>543</v>
      </c>
      <c r="V96" s="9">
        <f ca="1">IFERROR(OFFSET(ITEM_RES!$A$5,MATCH(BUILDING!U96,ITEM_RES!$J$5:$J$226,0)-1,0),0)</f>
        <v>211021101</v>
      </c>
      <c r="W96" s="11">
        <v>100</v>
      </c>
      <c r="X96" s="84" t="s">
        <v>542</v>
      </c>
      <c r="Y96" s="9">
        <f ca="1">IFERROR(OFFSET(ITEM_RES!$A$5,MATCH(BUILDING!X96,ITEM_RES!$J$5:$J$226,0)-1,0),0)</f>
        <v>211010401</v>
      </c>
      <c r="AA96" s="9" t="s">
        <v>512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394</v>
      </c>
      <c r="AU96" s="11">
        <v>5200000</v>
      </c>
      <c r="AX96" s="11">
        <f ca="1">IFERROR(OFFSET(ITEM_RES!$A$1,MATCH(AY96,ITEM_RES!$J:$J,0)-1,0),0)</f>
        <v>211020401</v>
      </c>
      <c r="AY96" s="10" t="s">
        <v>436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461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768</v>
      </c>
      <c r="S97" s="9" t="s">
        <v>712</v>
      </c>
      <c r="U97" s="84" t="s">
        <v>543</v>
      </c>
      <c r="V97" s="9">
        <f ca="1">IFERROR(OFFSET(ITEM_RES!$A$5,MATCH(BUILDING!U97,ITEM_RES!$J$5:$J$226,0)-1,0),0)</f>
        <v>211021101</v>
      </c>
      <c r="W97" s="11">
        <v>100</v>
      </c>
      <c r="X97" s="84" t="s">
        <v>542</v>
      </c>
      <c r="Y97" s="9">
        <f ca="1">IFERROR(OFFSET(ITEM_RES!$A$5,MATCH(BUILDING!X97,ITEM_RES!$J$5:$J$226,0)-1,0),0)</f>
        <v>211010401</v>
      </c>
      <c r="AA97" s="9" t="s">
        <v>512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394</v>
      </c>
      <c r="AU97" s="11">
        <v>8600000</v>
      </c>
      <c r="AX97" s="11">
        <f ca="1">IFERROR(OFFSET(ITEM_RES!$A$1,MATCH(AY97,ITEM_RES!$J:$J,0)-1,0),0)</f>
        <v>211020401</v>
      </c>
      <c r="AY97" s="10" t="s">
        <v>436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768</v>
      </c>
      <c r="S98" s="9" t="s">
        <v>712</v>
      </c>
      <c r="U98" s="84" t="s">
        <v>543</v>
      </c>
      <c r="V98" s="9">
        <f ca="1">IFERROR(OFFSET(ITEM_RES!$A$5,MATCH(BUILDING!U98,ITEM_RES!$J$5:$J$226,0)-1,0),0)</f>
        <v>211021101</v>
      </c>
      <c r="W98" s="11">
        <v>100</v>
      </c>
      <c r="X98" s="84" t="s">
        <v>542</v>
      </c>
      <c r="Y98" s="9">
        <f ca="1">IFERROR(OFFSET(ITEM_RES!$A$5,MATCH(BUILDING!X98,ITEM_RES!$J$5:$J$226,0)-1,0),0)</f>
        <v>211010401</v>
      </c>
      <c r="AA98" s="9" t="s">
        <v>512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394</v>
      </c>
      <c r="AU98" s="11">
        <v>13200000</v>
      </c>
      <c r="AX98" s="11">
        <f ca="1">IFERROR(OFFSET(ITEM_RES!$A$1,MATCH(AY98,ITEM_RES!$J:$J,0)-1,0),0)</f>
        <v>211020401</v>
      </c>
      <c r="AY98" s="10" t="s">
        <v>436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768</v>
      </c>
      <c r="S99" s="9" t="s">
        <v>712</v>
      </c>
      <c r="U99" s="84" t="s">
        <v>543</v>
      </c>
      <c r="V99" s="9">
        <f ca="1">IFERROR(OFFSET(ITEM_RES!$A$5,MATCH(BUILDING!U99,ITEM_RES!$J$5:$J$226,0)-1,0),0)</f>
        <v>211021101</v>
      </c>
      <c r="W99" s="11">
        <v>100</v>
      </c>
      <c r="X99" s="84" t="s">
        <v>542</v>
      </c>
      <c r="Y99" s="9">
        <f ca="1">IFERROR(OFFSET(ITEM_RES!$A$5,MATCH(BUILDING!X99,ITEM_RES!$J$5:$J$226,0)-1,0),0)</f>
        <v>211010401</v>
      </c>
      <c r="AA99" s="9" t="s">
        <v>512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394</v>
      </c>
      <c r="AU99" s="11">
        <v>22000000</v>
      </c>
      <c r="AX99" s="11">
        <f ca="1">IFERROR(OFFSET(ITEM_RES!$A$1,MATCH(AY99,ITEM_RES!$J:$J,0)-1,0),0)</f>
        <v>211020501</v>
      </c>
      <c r="AY99" s="10" t="s">
        <v>433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768</v>
      </c>
      <c r="S100" s="9" t="s">
        <v>712</v>
      </c>
      <c r="U100" s="84" t="s">
        <v>543</v>
      </c>
      <c r="V100" s="9">
        <f ca="1">IFERROR(OFFSET(ITEM_RES!$A$5,MATCH(BUILDING!U100,ITEM_RES!$J$5:$J$226,0)-1,0),0)</f>
        <v>211021101</v>
      </c>
      <c r="W100" s="11">
        <v>100</v>
      </c>
      <c r="X100" s="84" t="s">
        <v>542</v>
      </c>
      <c r="Y100" s="9">
        <f ca="1">IFERROR(OFFSET(ITEM_RES!$A$5,MATCH(BUILDING!X100,ITEM_RES!$J$5:$J$226,0)-1,0),0)</f>
        <v>211010401</v>
      </c>
      <c r="AA100" s="9" t="s">
        <v>512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394</v>
      </c>
      <c r="AU100" s="11">
        <v>30000000</v>
      </c>
      <c r="AX100" s="11">
        <f ca="1">IFERROR(OFFSET(ITEM_RES!$A$1,MATCH(AY100,ITEM_RES!$J:$J,0)-1,0),0)</f>
        <v>211020501</v>
      </c>
      <c r="AY100" s="10" t="s">
        <v>433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768</v>
      </c>
      <c r="S101" s="9" t="s">
        <v>712</v>
      </c>
      <c r="U101" s="84" t="s">
        <v>543</v>
      </c>
      <c r="V101" s="9">
        <f ca="1">IFERROR(OFFSET(ITEM_RES!$A$5,MATCH(BUILDING!U101,ITEM_RES!$J$5:$J$226,0)-1,0),0)</f>
        <v>211021101</v>
      </c>
      <c r="W101" s="11">
        <v>100</v>
      </c>
      <c r="X101" s="84" t="s">
        <v>542</v>
      </c>
      <c r="Y101" s="9">
        <f ca="1">IFERROR(OFFSET(ITEM_RES!$A$5,MATCH(BUILDING!X101,ITEM_RES!$J$5:$J$226,0)-1,0),0)</f>
        <v>211010401</v>
      </c>
      <c r="AA101" s="9" t="s">
        <v>512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1081</v>
      </c>
      <c r="AU101" s="11">
        <v>46000000</v>
      </c>
      <c r="AX101" s="11">
        <f ca="1">IFERROR(OFFSET(ITEM_RES!$A$1,MATCH(AY101,ITEM_RES!$J:$J,0)-1,0),0)</f>
        <v>211020501</v>
      </c>
      <c r="AY101" s="10" t="s">
        <v>433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768</v>
      </c>
      <c r="S102" s="9" t="s">
        <v>712</v>
      </c>
      <c r="U102" s="84" t="s">
        <v>543</v>
      </c>
      <c r="V102" s="9">
        <f ca="1">IFERROR(OFFSET(ITEM_RES!$A$5,MATCH(BUILDING!U102,ITEM_RES!$J$5:$J$226,0)-1,0),0)</f>
        <v>211021101</v>
      </c>
      <c r="W102" s="11">
        <v>100</v>
      </c>
      <c r="X102" s="84" t="s">
        <v>542</v>
      </c>
      <c r="Y102" s="9">
        <f ca="1">IFERROR(OFFSET(ITEM_RES!$A$5,MATCH(BUILDING!X102,ITEM_RES!$J$5:$J$226,0)-1,0),0)</f>
        <v>211010401</v>
      </c>
      <c r="AA102" s="9" t="s">
        <v>512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1081</v>
      </c>
      <c r="AU102" s="11">
        <v>70000000</v>
      </c>
      <c r="AX102" s="11">
        <f ca="1">IFERROR(OFFSET(ITEM_RES!$A$1,MATCH(AY102,ITEM_RES!$J:$J,0)-1,0),0)</f>
        <v>211020501</v>
      </c>
      <c r="AY102" s="10" t="s">
        <v>433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768</v>
      </c>
      <c r="S103" s="9" t="s">
        <v>712</v>
      </c>
      <c r="U103" s="84" t="s">
        <v>543</v>
      </c>
      <c r="V103" s="9">
        <f ca="1">IFERROR(OFFSET(ITEM_RES!$A$5,MATCH(BUILDING!U103,ITEM_RES!$J$5:$J$226,0)-1,0),0)</f>
        <v>211021101</v>
      </c>
      <c r="W103" s="11">
        <v>100</v>
      </c>
      <c r="X103" s="84" t="s">
        <v>542</v>
      </c>
      <c r="Y103" s="9">
        <f ca="1">IFERROR(OFFSET(ITEM_RES!$A$5,MATCH(BUILDING!X103,ITEM_RES!$J$5:$J$226,0)-1,0),0)</f>
        <v>211010401</v>
      </c>
      <c r="AA103" s="9" t="s">
        <v>512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1081</v>
      </c>
      <c r="AU103" s="11">
        <v>96000000</v>
      </c>
      <c r="AX103" s="11">
        <f ca="1">IFERROR(OFFSET(ITEM_RES!$A$1,MATCH(AY103,ITEM_RES!$J:$J,0)-1,0),0)</f>
        <v>211020501</v>
      </c>
      <c r="AY103" s="10" t="s">
        <v>433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768</v>
      </c>
      <c r="S104" s="9" t="s">
        <v>712</v>
      </c>
      <c r="U104" s="84" t="s">
        <v>543</v>
      </c>
      <c r="V104" s="9">
        <f ca="1">IFERROR(OFFSET(ITEM_RES!$A$5,MATCH(BUILDING!U104,ITEM_RES!$J$5:$J$226,0)-1,0),0)</f>
        <v>211021101</v>
      </c>
      <c r="W104" s="11">
        <v>100</v>
      </c>
      <c r="X104" s="84" t="s">
        <v>542</v>
      </c>
      <c r="Y104" s="9">
        <f ca="1">IFERROR(OFFSET(ITEM_RES!$A$5,MATCH(BUILDING!X104,ITEM_RES!$J$5:$J$226,0)-1,0),0)</f>
        <v>211010401</v>
      </c>
      <c r="AA104" s="9" t="s">
        <v>512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1081</v>
      </c>
      <c r="AU104" s="11">
        <v>152000000</v>
      </c>
      <c r="AX104" s="11">
        <f ca="1">IFERROR(OFFSET(ITEM_RES!$A$1,MATCH(AY104,ITEM_RES!$J:$J,0)-1,0),0)</f>
        <v>211020501</v>
      </c>
      <c r="AY104" s="10" t="s">
        <v>433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765</v>
      </c>
      <c r="L105" s="66">
        <v>12</v>
      </c>
      <c r="M105" s="16">
        <v>1</v>
      </c>
      <c r="N105" s="16">
        <v>15</v>
      </c>
      <c r="O105" s="16" t="s">
        <v>767</v>
      </c>
      <c r="P105" s="17"/>
      <c r="Q105" s="17"/>
      <c r="R105" s="18"/>
      <c r="S105" s="16" t="s">
        <v>766</v>
      </c>
      <c r="T105" s="78"/>
      <c r="U105" s="86" t="s">
        <v>550</v>
      </c>
      <c r="V105" s="16">
        <f ca="1">IFERROR(OFFSET(ITEM_RES!$A$5,MATCH(BUILDING!U105,ITEM_RES!$J$5:$J$226,0)-1,0),0)</f>
        <v>211021001</v>
      </c>
      <c r="W105" s="18">
        <v>10</v>
      </c>
      <c r="X105" s="86" t="s">
        <v>543</v>
      </c>
      <c r="Y105" s="16">
        <f ca="1">IFERROR(OFFSET(ITEM_RES!$A$5,MATCH(BUILDING!X105,ITEM_RES!$J$5:$J$226,0)-1,0),0)</f>
        <v>211021101</v>
      </c>
      <c r="Z105" s="78"/>
      <c r="AA105" s="16" t="s">
        <v>513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431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423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452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765</v>
      </c>
      <c r="M106" s="9">
        <v>1</v>
      </c>
      <c r="N106" s="9">
        <v>15</v>
      </c>
      <c r="O106" s="9" t="s">
        <v>767</v>
      </c>
      <c r="S106" s="9" t="s">
        <v>766</v>
      </c>
      <c r="U106" s="84" t="s">
        <v>405</v>
      </c>
      <c r="V106" s="9">
        <f ca="1">IFERROR(OFFSET(ITEM_RES!$A$5,MATCH(BUILDING!U106,ITEM_RES!$J$5:$J$226,0)-1,0),0)</f>
        <v>211021001</v>
      </c>
      <c r="W106" s="11">
        <v>10</v>
      </c>
      <c r="X106" s="84" t="s">
        <v>543</v>
      </c>
      <c r="Y106" s="9">
        <f ca="1">IFERROR(OFFSET(ITEM_RES!$A$5,MATCH(BUILDING!X106,ITEM_RES!$J$5:$J$226,0)-1,0),0)</f>
        <v>211021101</v>
      </c>
      <c r="AA106" s="9" t="s">
        <v>513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432</v>
      </c>
      <c r="AU106" s="11">
        <v>20</v>
      </c>
      <c r="AX106" s="11">
        <f ca="1">IFERROR(OFFSET(ITEM_RES!$A$1,MATCH(AY106,ITEM_RES!$J:$J,0)-1,0),0)</f>
        <v>211020401</v>
      </c>
      <c r="AY106" s="10" t="s">
        <v>423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765</v>
      </c>
      <c r="M107" s="9">
        <v>1</v>
      </c>
      <c r="N107" s="9">
        <v>15</v>
      </c>
      <c r="O107" s="9" t="s">
        <v>767</v>
      </c>
      <c r="S107" s="9" t="s">
        <v>766</v>
      </c>
      <c r="U107" s="84" t="s">
        <v>405</v>
      </c>
      <c r="V107" s="9">
        <f ca="1">IFERROR(OFFSET(ITEM_RES!$A$5,MATCH(BUILDING!U107,ITEM_RES!$J$5:$J$226,0)-1,0),0)</f>
        <v>211021001</v>
      </c>
      <c r="W107" s="11">
        <v>10</v>
      </c>
      <c r="X107" s="84" t="s">
        <v>543</v>
      </c>
      <c r="Y107" s="9">
        <f ca="1">IFERROR(OFFSET(ITEM_RES!$A$5,MATCH(BUILDING!X107,ITEM_RES!$J$5:$J$226,0)-1,0),0)</f>
        <v>211021101</v>
      </c>
      <c r="AA107" s="9" t="s">
        <v>513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431</v>
      </c>
      <c r="AU107" s="11">
        <v>160</v>
      </c>
      <c r="AX107" s="11">
        <f ca="1">IFERROR(OFFSET(ITEM_RES!$A$1,MATCH(AY107,ITEM_RES!$J:$J,0)-1,0),0)</f>
        <v>211020401</v>
      </c>
      <c r="AY107" s="10" t="s">
        <v>423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765</v>
      </c>
      <c r="M108" s="9">
        <v>1</v>
      </c>
      <c r="N108" s="9">
        <v>15</v>
      </c>
      <c r="O108" s="9" t="s">
        <v>767</v>
      </c>
      <c r="S108" s="9" t="s">
        <v>766</v>
      </c>
      <c r="U108" s="84" t="s">
        <v>405</v>
      </c>
      <c r="V108" s="9">
        <f ca="1">IFERROR(OFFSET(ITEM_RES!$A$5,MATCH(BUILDING!U108,ITEM_RES!$J$5:$J$226,0)-1,0),0)</f>
        <v>211021001</v>
      </c>
      <c r="W108" s="11">
        <v>10</v>
      </c>
      <c r="X108" s="84" t="s">
        <v>543</v>
      </c>
      <c r="Y108" s="9">
        <f ca="1">IFERROR(OFFSET(ITEM_RES!$A$5,MATCH(BUILDING!X108,ITEM_RES!$J$5:$J$226,0)-1,0),0)</f>
        <v>211021101</v>
      </c>
      <c r="AA108" s="9" t="s">
        <v>513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431</v>
      </c>
      <c r="AU108" s="11">
        <v>1920</v>
      </c>
      <c r="AX108" s="11">
        <f ca="1">IFERROR(OFFSET(ITEM_RES!$A$1,MATCH(AY108,ITEM_RES!$J:$J,0)-1,0),0)</f>
        <v>211020401</v>
      </c>
      <c r="AY108" s="10" t="s">
        <v>423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765</v>
      </c>
      <c r="M109" s="9">
        <v>1</v>
      </c>
      <c r="N109" s="9">
        <v>15</v>
      </c>
      <c r="O109" s="9" t="s">
        <v>767</v>
      </c>
      <c r="S109" s="9" t="s">
        <v>766</v>
      </c>
      <c r="U109" s="84" t="s">
        <v>405</v>
      </c>
      <c r="V109" s="9">
        <f ca="1">IFERROR(OFFSET(ITEM_RES!$A$5,MATCH(BUILDING!U109,ITEM_RES!$J$5:$J$226,0)-1,0),0)</f>
        <v>211021001</v>
      </c>
      <c r="W109" s="11">
        <v>10</v>
      </c>
      <c r="X109" s="84" t="s">
        <v>543</v>
      </c>
      <c r="Y109" s="9">
        <f ca="1">IFERROR(OFFSET(ITEM_RES!$A$5,MATCH(BUILDING!X109,ITEM_RES!$J$5:$J$226,0)-1,0),0)</f>
        <v>211021101</v>
      </c>
      <c r="AA109" s="9" t="s">
        <v>513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431</v>
      </c>
      <c r="AU109" s="11">
        <v>26000</v>
      </c>
      <c r="AX109" s="11">
        <f ca="1">IFERROR(OFFSET(ITEM_RES!$A$1,MATCH(AY109,ITEM_RES!$J:$J,0)-1,0),0)</f>
        <v>211020401</v>
      </c>
      <c r="AY109" s="10" t="s">
        <v>423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765</v>
      </c>
      <c r="M110" s="9">
        <v>1</v>
      </c>
      <c r="N110" s="9">
        <v>15</v>
      </c>
      <c r="O110" s="9" t="s">
        <v>767</v>
      </c>
      <c r="S110" s="9" t="s">
        <v>766</v>
      </c>
      <c r="U110" s="84" t="s">
        <v>405</v>
      </c>
      <c r="V110" s="9">
        <f ca="1">IFERROR(OFFSET(ITEM_RES!$A$5,MATCH(BUILDING!U110,ITEM_RES!$J$5:$J$226,0)-1,0),0)</f>
        <v>211021001</v>
      </c>
      <c r="W110" s="11">
        <v>10</v>
      </c>
      <c r="X110" s="84" t="s">
        <v>543</v>
      </c>
      <c r="Y110" s="9">
        <f ca="1">IFERROR(OFFSET(ITEM_RES!$A$5,MATCH(BUILDING!X110,ITEM_RES!$J$5:$J$226,0)-1,0),0)</f>
        <v>211021101</v>
      </c>
      <c r="AA110" s="9" t="s">
        <v>513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431</v>
      </c>
      <c r="AU110" s="11">
        <v>240000</v>
      </c>
      <c r="AX110" s="11">
        <f ca="1">IFERROR(OFFSET(ITEM_RES!$A$1,MATCH(AY110,ITEM_RES!$J:$J,0)-1,0),0)</f>
        <v>211020401</v>
      </c>
      <c r="AY110" s="10" t="s">
        <v>423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765</v>
      </c>
      <c r="M111" s="9">
        <v>1</v>
      </c>
      <c r="N111" s="9">
        <v>15</v>
      </c>
      <c r="O111" s="9" t="s">
        <v>767</v>
      </c>
      <c r="S111" s="9" t="s">
        <v>766</v>
      </c>
      <c r="U111" s="84" t="s">
        <v>405</v>
      </c>
      <c r="V111" s="9">
        <f ca="1">IFERROR(OFFSET(ITEM_RES!$A$5,MATCH(BUILDING!U111,ITEM_RES!$J$5:$J$226,0)-1,0),0)</f>
        <v>211021001</v>
      </c>
      <c r="W111" s="11">
        <v>10</v>
      </c>
      <c r="X111" s="84" t="s">
        <v>543</v>
      </c>
      <c r="Y111" s="9">
        <f ca="1">IFERROR(OFFSET(ITEM_RES!$A$5,MATCH(BUILDING!X111,ITEM_RES!$J$5:$J$226,0)-1,0),0)</f>
        <v>211021101</v>
      </c>
      <c r="AA111" s="9" t="s">
        <v>513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431</v>
      </c>
      <c r="AU111" s="11">
        <v>540000</v>
      </c>
      <c r="AX111" s="11">
        <f ca="1">IFERROR(OFFSET(ITEM_RES!$A$1,MATCH(AY111,ITEM_RES!$J:$J,0)-1,0),0)</f>
        <v>211020401</v>
      </c>
      <c r="AY111" s="10" t="s">
        <v>423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765</v>
      </c>
      <c r="M112" s="9">
        <v>1</v>
      </c>
      <c r="N112" s="9">
        <v>15</v>
      </c>
      <c r="O112" s="9" t="s">
        <v>767</v>
      </c>
      <c r="S112" s="9" t="s">
        <v>766</v>
      </c>
      <c r="U112" s="84" t="s">
        <v>405</v>
      </c>
      <c r="V112" s="9">
        <f ca="1">IFERROR(OFFSET(ITEM_RES!$A$5,MATCH(BUILDING!U112,ITEM_RES!$J$5:$J$226,0)-1,0),0)</f>
        <v>211021001</v>
      </c>
      <c r="W112" s="11">
        <v>10</v>
      </c>
      <c r="X112" s="84" t="s">
        <v>543</v>
      </c>
      <c r="Y112" s="9">
        <f ca="1">IFERROR(OFFSET(ITEM_RES!$A$5,MATCH(BUILDING!X112,ITEM_RES!$J$5:$J$226,0)-1,0),0)</f>
        <v>211021101</v>
      </c>
      <c r="AA112" s="9" t="s">
        <v>513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431</v>
      </c>
      <c r="AU112" s="11">
        <v>1000000</v>
      </c>
      <c r="AX112" s="11">
        <f ca="1">IFERROR(OFFSET(ITEM_RES!$A$1,MATCH(AY112,ITEM_RES!$J:$J,0)-1,0),0)</f>
        <v>211020401</v>
      </c>
      <c r="AY112" s="10" t="s">
        <v>423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765</v>
      </c>
      <c r="M113" s="9">
        <v>1</v>
      </c>
      <c r="N113" s="9">
        <v>15</v>
      </c>
      <c r="O113" s="9" t="s">
        <v>767</v>
      </c>
      <c r="S113" s="9" t="s">
        <v>766</v>
      </c>
      <c r="U113" s="84" t="s">
        <v>405</v>
      </c>
      <c r="V113" s="9">
        <f ca="1">IFERROR(OFFSET(ITEM_RES!$A$5,MATCH(BUILDING!U113,ITEM_RES!$J$5:$J$226,0)-1,0),0)</f>
        <v>211021001</v>
      </c>
      <c r="W113" s="11">
        <v>10</v>
      </c>
      <c r="X113" s="84" t="s">
        <v>543</v>
      </c>
      <c r="Y113" s="9">
        <f ca="1">IFERROR(OFFSET(ITEM_RES!$A$5,MATCH(BUILDING!X113,ITEM_RES!$J$5:$J$226,0)-1,0),0)</f>
        <v>211021101</v>
      </c>
      <c r="AA113" s="9" t="s">
        <v>513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431</v>
      </c>
      <c r="AU113" s="11">
        <v>1580000</v>
      </c>
      <c r="AX113" s="11">
        <f ca="1">IFERROR(OFFSET(ITEM_RES!$A$1,MATCH(AY113,ITEM_RES!$J:$J,0)-1,0),0)</f>
        <v>211020401</v>
      </c>
      <c r="AY113" s="10" t="s">
        <v>423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765</v>
      </c>
      <c r="M114" s="9">
        <v>1</v>
      </c>
      <c r="N114" s="9">
        <v>15</v>
      </c>
      <c r="O114" s="9" t="s">
        <v>767</v>
      </c>
      <c r="S114" s="9" t="s">
        <v>766</v>
      </c>
      <c r="U114" s="84" t="s">
        <v>405</v>
      </c>
      <c r="V114" s="9">
        <f ca="1">IFERROR(OFFSET(ITEM_RES!$A$5,MATCH(BUILDING!U114,ITEM_RES!$J$5:$J$226,0)-1,0),0)</f>
        <v>211021001</v>
      </c>
      <c r="W114" s="11">
        <v>10</v>
      </c>
      <c r="X114" s="84" t="s">
        <v>543</v>
      </c>
      <c r="Y114" s="9">
        <f ca="1">IFERROR(OFFSET(ITEM_RES!$A$5,MATCH(BUILDING!X114,ITEM_RES!$J$5:$J$226,0)-1,0),0)</f>
        <v>211021101</v>
      </c>
      <c r="AA114" s="9" t="s">
        <v>513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431</v>
      </c>
      <c r="AU114" s="11">
        <v>2200000</v>
      </c>
      <c r="AX114" s="11">
        <f ca="1">IFERROR(OFFSET(ITEM_RES!$A$1,MATCH(AY114,ITEM_RES!$J:$J,0)-1,0),0)</f>
        <v>211020401</v>
      </c>
      <c r="AY114" s="10" t="s">
        <v>423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765</v>
      </c>
      <c r="M115" s="9">
        <v>1</v>
      </c>
      <c r="N115" s="9">
        <v>15</v>
      </c>
      <c r="O115" s="9" t="s">
        <v>767</v>
      </c>
      <c r="S115" s="9" t="s">
        <v>766</v>
      </c>
      <c r="U115" s="84" t="s">
        <v>405</v>
      </c>
      <c r="V115" s="9">
        <f ca="1">IFERROR(OFFSET(ITEM_RES!$A$5,MATCH(BUILDING!U115,ITEM_RES!$J$5:$J$226,0)-1,0),0)</f>
        <v>211021001</v>
      </c>
      <c r="W115" s="11">
        <v>10</v>
      </c>
      <c r="X115" s="84" t="s">
        <v>543</v>
      </c>
      <c r="Y115" s="9">
        <f ca="1">IFERROR(OFFSET(ITEM_RES!$A$5,MATCH(BUILDING!X115,ITEM_RES!$J$5:$J$226,0)-1,0),0)</f>
        <v>211021101</v>
      </c>
      <c r="AA115" s="9" t="s">
        <v>513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394</v>
      </c>
      <c r="AU115" s="11">
        <v>4400000</v>
      </c>
      <c r="AX115" s="11">
        <f ca="1">IFERROR(OFFSET(ITEM_RES!$A$1,MATCH(AY115,ITEM_RES!$J:$J,0)-1,0),0)</f>
        <v>211020401</v>
      </c>
      <c r="AY115" s="10" t="s">
        <v>423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765</v>
      </c>
      <c r="M116" s="9">
        <v>1</v>
      </c>
      <c r="N116" s="9">
        <v>15</v>
      </c>
      <c r="O116" s="9" t="s">
        <v>767</v>
      </c>
      <c r="S116" s="9" t="s">
        <v>766</v>
      </c>
      <c r="U116" s="84" t="s">
        <v>405</v>
      </c>
      <c r="V116" s="9">
        <f ca="1">IFERROR(OFFSET(ITEM_RES!$A$5,MATCH(BUILDING!U116,ITEM_RES!$J$5:$J$226,0)-1,0),0)</f>
        <v>211021001</v>
      </c>
      <c r="W116" s="11">
        <v>10</v>
      </c>
      <c r="X116" s="84" t="s">
        <v>543</v>
      </c>
      <c r="Y116" s="9">
        <f ca="1">IFERROR(OFFSET(ITEM_RES!$A$5,MATCH(BUILDING!X116,ITEM_RES!$J$5:$J$226,0)-1,0),0)</f>
        <v>211021101</v>
      </c>
      <c r="AA116" s="9" t="s">
        <v>513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394</v>
      </c>
      <c r="AU116" s="11">
        <v>5200000</v>
      </c>
      <c r="AX116" s="11">
        <f ca="1">IFERROR(OFFSET(ITEM_RES!$A$1,MATCH(AY116,ITEM_RES!$J:$J,0)-1,0),0)</f>
        <v>211020401</v>
      </c>
      <c r="AY116" s="10" t="s">
        <v>423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765</v>
      </c>
      <c r="M117" s="9">
        <v>1</v>
      </c>
      <c r="N117" s="9">
        <v>15</v>
      </c>
      <c r="O117" s="9" t="s">
        <v>767</v>
      </c>
      <c r="S117" s="9" t="s">
        <v>766</v>
      </c>
      <c r="U117" s="84" t="s">
        <v>405</v>
      </c>
      <c r="V117" s="9">
        <f ca="1">IFERROR(OFFSET(ITEM_RES!$A$5,MATCH(BUILDING!U117,ITEM_RES!$J$5:$J$226,0)-1,0),0)</f>
        <v>211021001</v>
      </c>
      <c r="W117" s="11">
        <v>10</v>
      </c>
      <c r="X117" s="84" t="s">
        <v>543</v>
      </c>
      <c r="Y117" s="9">
        <f ca="1">IFERROR(OFFSET(ITEM_RES!$A$5,MATCH(BUILDING!X117,ITEM_RES!$J$5:$J$226,0)-1,0),0)</f>
        <v>211021101</v>
      </c>
      <c r="AA117" s="9" t="s">
        <v>513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394</v>
      </c>
      <c r="AU117" s="11">
        <v>8600000</v>
      </c>
      <c r="AX117" s="11">
        <f ca="1">IFERROR(OFFSET(ITEM_RES!$A$1,MATCH(AY117,ITEM_RES!$J:$J,0)-1,0),0)</f>
        <v>211020401</v>
      </c>
      <c r="AY117" s="10" t="s">
        <v>423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765</v>
      </c>
      <c r="M118" s="9">
        <v>1</v>
      </c>
      <c r="N118" s="9">
        <v>15</v>
      </c>
      <c r="O118" s="9" t="s">
        <v>767</v>
      </c>
      <c r="S118" s="9" t="s">
        <v>766</v>
      </c>
      <c r="U118" s="84" t="s">
        <v>405</v>
      </c>
      <c r="V118" s="9">
        <f ca="1">IFERROR(OFFSET(ITEM_RES!$A$5,MATCH(BUILDING!U118,ITEM_RES!$J$5:$J$226,0)-1,0),0)</f>
        <v>211021001</v>
      </c>
      <c r="W118" s="11">
        <v>10</v>
      </c>
      <c r="X118" s="84" t="s">
        <v>543</v>
      </c>
      <c r="Y118" s="9">
        <f ca="1">IFERROR(OFFSET(ITEM_RES!$A$5,MATCH(BUILDING!X118,ITEM_RES!$J$5:$J$226,0)-1,0),0)</f>
        <v>211021101</v>
      </c>
      <c r="AA118" s="9" t="s">
        <v>513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394</v>
      </c>
      <c r="AU118" s="11">
        <v>13200000</v>
      </c>
      <c r="AX118" s="11">
        <f ca="1">IFERROR(OFFSET(ITEM_RES!$A$1,MATCH(AY118,ITEM_RES!$J:$J,0)-1,0),0)</f>
        <v>211020401</v>
      </c>
      <c r="AY118" s="10" t="s">
        <v>423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765</v>
      </c>
      <c r="M119" s="9">
        <v>1</v>
      </c>
      <c r="N119" s="9">
        <v>15</v>
      </c>
      <c r="O119" s="9" t="s">
        <v>767</v>
      </c>
      <c r="S119" s="9" t="s">
        <v>766</v>
      </c>
      <c r="U119" s="84" t="s">
        <v>405</v>
      </c>
      <c r="V119" s="9">
        <f ca="1">IFERROR(OFFSET(ITEM_RES!$A$5,MATCH(BUILDING!U119,ITEM_RES!$J$5:$J$226,0)-1,0),0)</f>
        <v>211021001</v>
      </c>
      <c r="W119" s="11">
        <v>10</v>
      </c>
      <c r="X119" s="84" t="s">
        <v>543</v>
      </c>
      <c r="Y119" s="9">
        <f ca="1">IFERROR(OFFSET(ITEM_RES!$A$5,MATCH(BUILDING!X119,ITEM_RES!$J$5:$J$226,0)-1,0),0)</f>
        <v>211021101</v>
      </c>
      <c r="AA119" s="9" t="s">
        <v>513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394</v>
      </c>
      <c r="AU119" s="11">
        <v>22000000</v>
      </c>
      <c r="AX119" s="11">
        <f ca="1">IFERROR(OFFSET(ITEM_RES!$A$1,MATCH(AY119,ITEM_RES!$J:$J,0)-1,0),0)</f>
        <v>211020501</v>
      </c>
      <c r="AY119" s="10" t="s">
        <v>424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765</v>
      </c>
      <c r="M120" s="9">
        <v>0</v>
      </c>
      <c r="N120" s="9">
        <v>15</v>
      </c>
      <c r="O120" s="9" t="s">
        <v>767</v>
      </c>
      <c r="S120" s="9" t="s">
        <v>766</v>
      </c>
      <c r="U120" s="84" t="s">
        <v>405</v>
      </c>
      <c r="V120" s="9">
        <f ca="1">IFERROR(OFFSET(ITEM_RES!$A$5,MATCH(BUILDING!U120,ITEM_RES!$J$5:$J$226,0)-1,0),0)</f>
        <v>211021001</v>
      </c>
      <c r="W120" s="11">
        <v>10</v>
      </c>
      <c r="X120" s="84" t="s">
        <v>543</v>
      </c>
      <c r="Y120" s="9">
        <f ca="1">IFERROR(OFFSET(ITEM_RES!$A$5,MATCH(BUILDING!X120,ITEM_RES!$J$5:$J$226,0)-1,0),0)</f>
        <v>211021101</v>
      </c>
      <c r="AA120" s="9" t="s">
        <v>513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394</v>
      </c>
      <c r="AU120" s="11">
        <v>30000000</v>
      </c>
      <c r="AX120" s="11">
        <f ca="1">IFERROR(OFFSET(ITEM_RES!$A$1,MATCH(AY120,ITEM_RES!$J:$J,0)-1,0),0)</f>
        <v>211020501</v>
      </c>
      <c r="AY120" s="10" t="s">
        <v>424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765</v>
      </c>
      <c r="M121" s="9">
        <v>0</v>
      </c>
      <c r="N121" s="9">
        <v>15</v>
      </c>
      <c r="O121" s="9" t="s">
        <v>767</v>
      </c>
      <c r="S121" s="9" t="s">
        <v>766</v>
      </c>
      <c r="U121" s="84" t="s">
        <v>405</v>
      </c>
      <c r="V121" s="9">
        <f ca="1">IFERROR(OFFSET(ITEM_RES!$A$5,MATCH(BUILDING!U121,ITEM_RES!$J$5:$J$226,0)-1,0),0)</f>
        <v>211021001</v>
      </c>
      <c r="W121" s="11">
        <v>10</v>
      </c>
      <c r="X121" s="84" t="s">
        <v>543</v>
      </c>
      <c r="Y121" s="9">
        <f ca="1">IFERROR(OFFSET(ITEM_RES!$A$5,MATCH(BUILDING!X121,ITEM_RES!$J$5:$J$226,0)-1,0),0)</f>
        <v>211021101</v>
      </c>
      <c r="AA121" s="9" t="s">
        <v>513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1081</v>
      </c>
      <c r="AU121" s="11">
        <v>46000000</v>
      </c>
      <c r="AX121" s="11">
        <f ca="1">IFERROR(OFFSET(ITEM_RES!$A$1,MATCH(AY121,ITEM_RES!$J:$J,0)-1,0),0)</f>
        <v>211020501</v>
      </c>
      <c r="AY121" s="10" t="s">
        <v>424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765</v>
      </c>
      <c r="M122" s="9">
        <v>0</v>
      </c>
      <c r="N122" s="9">
        <v>15</v>
      </c>
      <c r="O122" s="9" t="s">
        <v>767</v>
      </c>
      <c r="S122" s="9" t="s">
        <v>766</v>
      </c>
      <c r="U122" s="84" t="s">
        <v>405</v>
      </c>
      <c r="V122" s="9">
        <f ca="1">IFERROR(OFFSET(ITEM_RES!$A$5,MATCH(BUILDING!U122,ITEM_RES!$J$5:$J$226,0)-1,0),0)</f>
        <v>211021001</v>
      </c>
      <c r="W122" s="11">
        <v>10</v>
      </c>
      <c r="X122" s="84" t="s">
        <v>543</v>
      </c>
      <c r="Y122" s="9">
        <f ca="1">IFERROR(OFFSET(ITEM_RES!$A$5,MATCH(BUILDING!X122,ITEM_RES!$J$5:$J$226,0)-1,0),0)</f>
        <v>211021101</v>
      </c>
      <c r="AA122" s="9" t="s">
        <v>513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1081</v>
      </c>
      <c r="AU122" s="11">
        <v>70000000</v>
      </c>
      <c r="AX122" s="11">
        <f ca="1">IFERROR(OFFSET(ITEM_RES!$A$1,MATCH(AY122,ITEM_RES!$J:$J,0)-1,0),0)</f>
        <v>211020501</v>
      </c>
      <c r="AY122" s="10" t="s">
        <v>424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765</v>
      </c>
      <c r="M123" s="9">
        <v>0</v>
      </c>
      <c r="N123" s="9">
        <v>15</v>
      </c>
      <c r="O123" s="9" t="s">
        <v>767</v>
      </c>
      <c r="S123" s="9" t="s">
        <v>766</v>
      </c>
      <c r="U123" s="84" t="s">
        <v>405</v>
      </c>
      <c r="V123" s="9">
        <f ca="1">IFERROR(OFFSET(ITEM_RES!$A$5,MATCH(BUILDING!U123,ITEM_RES!$J$5:$J$226,0)-1,0),0)</f>
        <v>211021001</v>
      </c>
      <c r="W123" s="11">
        <v>10</v>
      </c>
      <c r="X123" s="84" t="s">
        <v>543</v>
      </c>
      <c r="Y123" s="9">
        <f ca="1">IFERROR(OFFSET(ITEM_RES!$A$5,MATCH(BUILDING!X123,ITEM_RES!$J$5:$J$226,0)-1,0),0)</f>
        <v>211021101</v>
      </c>
      <c r="AA123" s="9" t="s">
        <v>513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1081</v>
      </c>
      <c r="AU123" s="11">
        <v>96000000</v>
      </c>
      <c r="AX123" s="11">
        <f ca="1">IFERROR(OFFSET(ITEM_RES!$A$1,MATCH(AY123,ITEM_RES!$J:$J,0)-1,0),0)</f>
        <v>211020501</v>
      </c>
      <c r="AY123" s="10" t="s">
        <v>424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765</v>
      </c>
      <c r="M124" s="9">
        <v>0</v>
      </c>
      <c r="N124" s="9">
        <v>15</v>
      </c>
      <c r="O124" s="9" t="s">
        <v>767</v>
      </c>
      <c r="S124" s="9" t="s">
        <v>766</v>
      </c>
      <c r="U124" s="84" t="s">
        <v>405</v>
      </c>
      <c r="V124" s="9">
        <f ca="1">IFERROR(OFFSET(ITEM_RES!$A$5,MATCH(BUILDING!U124,ITEM_RES!$J$5:$J$226,0)-1,0),0)</f>
        <v>211021001</v>
      </c>
      <c r="W124" s="11">
        <v>10</v>
      </c>
      <c r="X124" s="84" t="s">
        <v>543</v>
      </c>
      <c r="Y124" s="9">
        <f ca="1">IFERROR(OFFSET(ITEM_RES!$A$5,MATCH(BUILDING!X124,ITEM_RES!$J$5:$J$226,0)-1,0),0)</f>
        <v>211021101</v>
      </c>
      <c r="AA124" s="9" t="s">
        <v>513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1081</v>
      </c>
      <c r="AU124" s="11">
        <v>152000000</v>
      </c>
      <c r="AX124" s="11">
        <f ca="1">IFERROR(OFFSET(ITEM_RES!$A$1,MATCH(AY124,ITEM_RES!$J:$J,0)-1,0),0)</f>
        <v>211020501</v>
      </c>
      <c r="AY124" s="10" t="s">
        <v>424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1188</v>
      </c>
      <c r="P125" s="17"/>
      <c r="Q125" s="17"/>
      <c r="R125" s="18"/>
      <c r="S125" s="16" t="s">
        <v>691</v>
      </c>
      <c r="T125" s="78"/>
      <c r="U125" s="86"/>
      <c r="V125" s="16">
        <f ca="1">IFERROR(OFFSET(ITEM_RES!$A$5,MATCH(BUILDING!U125,ITEM_RES!$J$5:$J$226,0)-1,0),0)</f>
        <v>0</v>
      </c>
      <c r="W125" s="18"/>
      <c r="X125" s="86" t="s">
        <v>544</v>
      </c>
      <c r="Y125" s="16">
        <f ca="1">IFERROR(OFFSET(ITEM_RES!$A$5,MATCH(BUILDING!X125,ITEM_RES!$J$5:$J$226,0)-1,0),0)</f>
        <v>211010501</v>
      </c>
      <c r="Z125" s="78"/>
      <c r="AA125" s="16" t="s">
        <v>514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1158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1156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452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1189</v>
      </c>
      <c r="S126" s="9" t="s">
        <v>691</v>
      </c>
      <c r="V126" s="9">
        <f ca="1">IFERROR(OFFSET(ITEM_RES!$A$5,MATCH(BUILDING!U126,ITEM_RES!$J$5:$J$226,0)-1,0),0)</f>
        <v>0</v>
      </c>
      <c r="X126" s="84" t="s">
        <v>544</v>
      </c>
      <c r="Y126" s="9">
        <f ca="1">IFERROR(OFFSET(ITEM_RES!$A$5,MATCH(BUILDING!X126,ITEM_RES!$J$5:$J$226,0)-1,0),0)</f>
        <v>211010501</v>
      </c>
      <c r="AA126" s="9" t="s">
        <v>514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1158</v>
      </c>
      <c r="AU126" s="11">
        <v>20</v>
      </c>
      <c r="AX126" s="11">
        <f ca="1">IFERROR(OFFSET(ITEM_RES!$A$1,MATCH(AY126,ITEM_RES!$J:$J,0)-1,0),0)</f>
        <v>211020401</v>
      </c>
      <c r="AY126" s="10" t="s">
        <v>1156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1190</v>
      </c>
      <c r="S127" s="9" t="s">
        <v>691</v>
      </c>
      <c r="V127" s="9">
        <f ca="1">IFERROR(OFFSET(ITEM_RES!$A$5,MATCH(BUILDING!U127,ITEM_RES!$J$5:$J$226,0)-1,0),0)</f>
        <v>0</v>
      </c>
      <c r="X127" s="84" t="s">
        <v>544</v>
      </c>
      <c r="Y127" s="9">
        <f ca="1">IFERROR(OFFSET(ITEM_RES!$A$5,MATCH(BUILDING!X127,ITEM_RES!$J$5:$J$226,0)-1,0),0)</f>
        <v>211010501</v>
      </c>
      <c r="AA127" s="9" t="s">
        <v>514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1158</v>
      </c>
      <c r="AU127" s="11">
        <v>160</v>
      </c>
      <c r="AX127" s="11">
        <f ca="1">IFERROR(OFFSET(ITEM_RES!$A$1,MATCH(AY127,ITEM_RES!$J:$J,0)-1,0),0)</f>
        <v>211020401</v>
      </c>
      <c r="AY127" s="10" t="s">
        <v>1156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1191</v>
      </c>
      <c r="S128" s="9" t="s">
        <v>691</v>
      </c>
      <c r="V128" s="9">
        <f ca="1">IFERROR(OFFSET(ITEM_RES!$A$5,MATCH(BUILDING!U128,ITEM_RES!$J$5:$J$226,0)-1,0),0)</f>
        <v>0</v>
      </c>
      <c r="X128" s="84" t="s">
        <v>544</v>
      </c>
      <c r="Y128" s="9">
        <f ca="1">IFERROR(OFFSET(ITEM_RES!$A$5,MATCH(BUILDING!X128,ITEM_RES!$J$5:$J$226,0)-1,0),0)</f>
        <v>211010501</v>
      </c>
      <c r="AA128" s="9" t="s">
        <v>514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1158</v>
      </c>
      <c r="AU128" s="11">
        <v>1920</v>
      </c>
      <c r="AX128" s="11">
        <f ca="1">IFERROR(OFFSET(ITEM_RES!$A$1,MATCH(AY128,ITEM_RES!$J:$J,0)-1,0),0)</f>
        <v>211020401</v>
      </c>
      <c r="AY128" s="10" t="s">
        <v>1156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1192</v>
      </c>
      <c r="S129" s="9" t="s">
        <v>691</v>
      </c>
      <c r="V129" s="9">
        <f ca="1">IFERROR(OFFSET(ITEM_RES!$A$5,MATCH(BUILDING!U129,ITEM_RES!$J$5:$J$226,0)-1,0),0)</f>
        <v>0</v>
      </c>
      <c r="X129" s="84" t="s">
        <v>544</v>
      </c>
      <c r="Y129" s="9">
        <f ca="1">IFERROR(OFFSET(ITEM_RES!$A$5,MATCH(BUILDING!X129,ITEM_RES!$J$5:$J$226,0)-1,0),0)</f>
        <v>211010501</v>
      </c>
      <c r="AA129" s="9" t="s">
        <v>514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1158</v>
      </c>
      <c r="AU129" s="11">
        <v>26000</v>
      </c>
      <c r="AX129" s="11">
        <f ca="1">IFERROR(OFFSET(ITEM_RES!$A$1,MATCH(AY129,ITEM_RES!$J:$J,0)-1,0),0)</f>
        <v>211020401</v>
      </c>
      <c r="AY129" s="10" t="s">
        <v>1156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1193</v>
      </c>
      <c r="S130" s="9" t="s">
        <v>691</v>
      </c>
      <c r="V130" s="9">
        <f ca="1">IFERROR(OFFSET(ITEM_RES!$A$5,MATCH(BUILDING!U130,ITEM_RES!$J$5:$J$226,0)-1,0),0)</f>
        <v>0</v>
      </c>
      <c r="X130" s="84" t="s">
        <v>544</v>
      </c>
      <c r="Y130" s="9">
        <f ca="1">IFERROR(OFFSET(ITEM_RES!$A$5,MATCH(BUILDING!X130,ITEM_RES!$J$5:$J$226,0)-1,0),0)</f>
        <v>211010501</v>
      </c>
      <c r="AA130" s="9" t="s">
        <v>514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1158</v>
      </c>
      <c r="AU130" s="11">
        <v>240000</v>
      </c>
      <c r="AX130" s="11">
        <f ca="1">IFERROR(OFFSET(ITEM_RES!$A$1,MATCH(AY130,ITEM_RES!$J:$J,0)-1,0),0)</f>
        <v>211020401</v>
      </c>
      <c r="AY130" s="10" t="s">
        <v>1156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1194</v>
      </c>
      <c r="S131" s="9" t="s">
        <v>691</v>
      </c>
      <c r="V131" s="9">
        <f ca="1">IFERROR(OFFSET(ITEM_RES!$A$5,MATCH(BUILDING!U131,ITEM_RES!$J$5:$J$226,0)-1,0),0)</f>
        <v>0</v>
      </c>
      <c r="X131" s="84" t="s">
        <v>544</v>
      </c>
      <c r="Y131" s="9">
        <f ca="1">IFERROR(OFFSET(ITEM_RES!$A$5,MATCH(BUILDING!X131,ITEM_RES!$J$5:$J$226,0)-1,0),0)</f>
        <v>211010501</v>
      </c>
      <c r="AA131" s="9" t="s">
        <v>514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1158</v>
      </c>
      <c r="AU131" s="11">
        <v>540000</v>
      </c>
      <c r="AX131" s="11">
        <f ca="1">IFERROR(OFFSET(ITEM_RES!$A$1,MATCH(AY131,ITEM_RES!$J:$J,0)-1,0),0)</f>
        <v>211020401</v>
      </c>
      <c r="AY131" s="10" t="s">
        <v>1156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1194</v>
      </c>
      <c r="S132" s="9" t="s">
        <v>691</v>
      </c>
      <c r="V132" s="9">
        <f ca="1">IFERROR(OFFSET(ITEM_RES!$A$5,MATCH(BUILDING!U132,ITEM_RES!$J$5:$J$226,0)-1,0),0)</f>
        <v>0</v>
      </c>
      <c r="X132" s="84" t="s">
        <v>544</v>
      </c>
      <c r="Y132" s="9">
        <f ca="1">IFERROR(OFFSET(ITEM_RES!$A$5,MATCH(BUILDING!X132,ITEM_RES!$J$5:$J$226,0)-1,0),0)</f>
        <v>211010501</v>
      </c>
      <c r="AA132" s="9" t="s">
        <v>514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1158</v>
      </c>
      <c r="AU132" s="11">
        <v>1000000</v>
      </c>
      <c r="AX132" s="11">
        <f ca="1">IFERROR(OFFSET(ITEM_RES!$A$1,MATCH(AY132,ITEM_RES!$J:$J,0)-1,0),0)</f>
        <v>211020401</v>
      </c>
      <c r="AY132" s="10" t="s">
        <v>1156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1194</v>
      </c>
      <c r="S133" s="9" t="s">
        <v>691</v>
      </c>
      <c r="V133" s="9">
        <f ca="1">IFERROR(OFFSET(ITEM_RES!$A$5,MATCH(BUILDING!U133,ITEM_RES!$J$5:$J$226,0)-1,0),0)</f>
        <v>0</v>
      </c>
      <c r="X133" s="84" t="s">
        <v>544</v>
      </c>
      <c r="Y133" s="9">
        <f ca="1">IFERROR(OFFSET(ITEM_RES!$A$5,MATCH(BUILDING!X133,ITEM_RES!$J$5:$J$226,0)-1,0),0)</f>
        <v>211010501</v>
      </c>
      <c r="AA133" s="9" t="s">
        <v>514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1158</v>
      </c>
      <c r="AU133" s="11">
        <v>1580000</v>
      </c>
      <c r="AX133" s="11">
        <f ca="1">IFERROR(OFFSET(ITEM_RES!$A$1,MATCH(AY133,ITEM_RES!$J:$J,0)-1,0),0)</f>
        <v>211020401</v>
      </c>
      <c r="AY133" s="10" t="s">
        <v>1156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1194</v>
      </c>
      <c r="S134" s="9" t="s">
        <v>691</v>
      </c>
      <c r="V134" s="9">
        <f ca="1">IFERROR(OFFSET(ITEM_RES!$A$5,MATCH(BUILDING!U134,ITEM_RES!$J$5:$J$226,0)-1,0),0)</f>
        <v>0</v>
      </c>
      <c r="X134" s="84" t="s">
        <v>544</v>
      </c>
      <c r="Y134" s="9">
        <f ca="1">IFERROR(OFFSET(ITEM_RES!$A$5,MATCH(BUILDING!X134,ITEM_RES!$J$5:$J$226,0)-1,0),0)</f>
        <v>211010501</v>
      </c>
      <c r="AA134" s="9" t="s">
        <v>514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1158</v>
      </c>
      <c r="AU134" s="11">
        <v>2200000</v>
      </c>
      <c r="AX134" s="11">
        <f ca="1">IFERROR(OFFSET(ITEM_RES!$A$1,MATCH(AY134,ITEM_RES!$J:$J,0)-1,0),0)</f>
        <v>211020401</v>
      </c>
      <c r="AY134" s="10" t="s">
        <v>1156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1194</v>
      </c>
      <c r="S135" s="9" t="s">
        <v>691</v>
      </c>
      <c r="V135" s="9">
        <f ca="1">IFERROR(OFFSET(ITEM_RES!$A$5,MATCH(BUILDING!U135,ITEM_RES!$J$5:$J$226,0)-1,0),0)</f>
        <v>0</v>
      </c>
      <c r="X135" s="84" t="s">
        <v>544</v>
      </c>
      <c r="Y135" s="9">
        <f ca="1">IFERROR(OFFSET(ITEM_RES!$A$5,MATCH(BUILDING!X135,ITEM_RES!$J$5:$J$226,0)-1,0),0)</f>
        <v>211010501</v>
      </c>
      <c r="AA135" s="9" t="s">
        <v>514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1159</v>
      </c>
      <c r="AU135" s="11">
        <v>4400000</v>
      </c>
      <c r="AX135" s="11">
        <f ca="1">IFERROR(OFFSET(ITEM_RES!$A$1,MATCH(AY135,ITEM_RES!$J:$J,0)-1,0),0)</f>
        <v>211020401</v>
      </c>
      <c r="AY135" s="10" t="s">
        <v>1156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1194</v>
      </c>
      <c r="S136" s="9" t="s">
        <v>691</v>
      </c>
      <c r="V136" s="9">
        <f ca="1">IFERROR(OFFSET(ITEM_RES!$A$5,MATCH(BUILDING!U136,ITEM_RES!$J$5:$J$226,0)-1,0),0)</f>
        <v>0</v>
      </c>
      <c r="X136" s="84" t="s">
        <v>544</v>
      </c>
      <c r="Y136" s="9">
        <f ca="1">IFERROR(OFFSET(ITEM_RES!$A$5,MATCH(BUILDING!X136,ITEM_RES!$J$5:$J$226,0)-1,0),0)</f>
        <v>211010501</v>
      </c>
      <c r="AA136" s="9" t="s">
        <v>514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1159</v>
      </c>
      <c r="AU136" s="11">
        <v>5200000</v>
      </c>
      <c r="AX136" s="11">
        <f ca="1">IFERROR(OFFSET(ITEM_RES!$A$1,MATCH(AY136,ITEM_RES!$J:$J,0)-1,0),0)</f>
        <v>211020401</v>
      </c>
      <c r="AY136" s="10" t="s">
        <v>1156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1194</v>
      </c>
      <c r="S137" s="9" t="s">
        <v>691</v>
      </c>
      <c r="V137" s="9">
        <f ca="1">IFERROR(OFFSET(ITEM_RES!$A$5,MATCH(BUILDING!U137,ITEM_RES!$J$5:$J$226,0)-1,0),0)</f>
        <v>0</v>
      </c>
      <c r="X137" s="84" t="s">
        <v>544</v>
      </c>
      <c r="Y137" s="9">
        <f ca="1">IFERROR(OFFSET(ITEM_RES!$A$5,MATCH(BUILDING!X137,ITEM_RES!$J$5:$J$226,0)-1,0),0)</f>
        <v>211010501</v>
      </c>
      <c r="AA137" s="9" t="s">
        <v>514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1159</v>
      </c>
      <c r="AU137" s="11">
        <v>8600000</v>
      </c>
      <c r="AX137" s="11">
        <f ca="1">IFERROR(OFFSET(ITEM_RES!$A$1,MATCH(AY137,ITEM_RES!$J:$J,0)-1,0),0)</f>
        <v>211020401</v>
      </c>
      <c r="AY137" s="10" t="s">
        <v>1156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1194</v>
      </c>
      <c r="S138" s="9" t="s">
        <v>691</v>
      </c>
      <c r="V138" s="9">
        <f ca="1">IFERROR(OFFSET(ITEM_RES!$A$5,MATCH(BUILDING!U138,ITEM_RES!$J$5:$J$226,0)-1,0),0)</f>
        <v>0</v>
      </c>
      <c r="X138" s="84" t="s">
        <v>544</v>
      </c>
      <c r="Y138" s="9">
        <f ca="1">IFERROR(OFFSET(ITEM_RES!$A$5,MATCH(BUILDING!X138,ITEM_RES!$J$5:$J$226,0)-1,0),0)</f>
        <v>211010501</v>
      </c>
      <c r="AA138" s="9" t="s">
        <v>514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1159</v>
      </c>
      <c r="AU138" s="11">
        <v>13200000</v>
      </c>
      <c r="AX138" s="11">
        <f ca="1">IFERROR(OFFSET(ITEM_RES!$A$1,MATCH(AY138,ITEM_RES!$J:$J,0)-1,0),0)</f>
        <v>211020401</v>
      </c>
      <c r="AY138" s="10" t="s">
        <v>1156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1194</v>
      </c>
      <c r="S139" s="9" t="s">
        <v>691</v>
      </c>
      <c r="V139" s="9">
        <f ca="1">IFERROR(OFFSET(ITEM_RES!$A$5,MATCH(BUILDING!U139,ITEM_RES!$J$5:$J$226,0)-1,0),0)</f>
        <v>0</v>
      </c>
      <c r="X139" s="84" t="s">
        <v>544</v>
      </c>
      <c r="Y139" s="9">
        <f ca="1">IFERROR(OFFSET(ITEM_RES!$A$5,MATCH(BUILDING!X139,ITEM_RES!$J$5:$J$226,0)-1,0),0)</f>
        <v>211010501</v>
      </c>
      <c r="AA139" s="9" t="s">
        <v>514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1159</v>
      </c>
      <c r="AU139" s="11">
        <v>22000000</v>
      </c>
      <c r="AX139" s="11">
        <f ca="1">IFERROR(OFFSET(ITEM_RES!$A$1,MATCH(AY139,ITEM_RES!$J:$J,0)-1,0),0)</f>
        <v>211020401</v>
      </c>
      <c r="AY139" s="10" t="s">
        <v>1156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1194</v>
      </c>
      <c r="S140" s="9" t="s">
        <v>691</v>
      </c>
      <c r="V140" s="9">
        <f ca="1">IFERROR(OFFSET(ITEM_RES!$A$5,MATCH(BUILDING!U140,ITEM_RES!$J$5:$J$226,0)-1,0),0)</f>
        <v>0</v>
      </c>
      <c r="X140" s="84" t="s">
        <v>544</v>
      </c>
      <c r="Y140" s="9">
        <f ca="1">IFERROR(OFFSET(ITEM_RES!$A$5,MATCH(BUILDING!X140,ITEM_RES!$J$5:$J$226,0)-1,0),0)</f>
        <v>211010501</v>
      </c>
      <c r="AA140" s="9" t="s">
        <v>514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1159</v>
      </c>
      <c r="AU140" s="11">
        <v>30000000</v>
      </c>
      <c r="AX140" s="11">
        <f ca="1">IFERROR(OFFSET(ITEM_RES!$A$1,MATCH(AY140,ITEM_RES!$J:$J,0)-1,0),0)</f>
        <v>211020401</v>
      </c>
      <c r="AY140" s="10" t="s">
        <v>1156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1194</v>
      </c>
      <c r="S141" s="9" t="s">
        <v>691</v>
      </c>
      <c r="V141" s="9">
        <f ca="1">IFERROR(OFFSET(ITEM_RES!$A$5,MATCH(BUILDING!U141,ITEM_RES!$J$5:$J$226,0)-1,0),0)</f>
        <v>0</v>
      </c>
      <c r="X141" s="84" t="s">
        <v>544</v>
      </c>
      <c r="Y141" s="9">
        <f ca="1">IFERROR(OFFSET(ITEM_RES!$A$5,MATCH(BUILDING!X141,ITEM_RES!$J$5:$J$226,0)-1,0),0)</f>
        <v>211010501</v>
      </c>
      <c r="AA141" s="9" t="s">
        <v>514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1159</v>
      </c>
      <c r="AU141" s="11">
        <v>46000000</v>
      </c>
      <c r="AX141" s="11">
        <f ca="1">IFERROR(OFFSET(ITEM_RES!$A$1,MATCH(AY141,ITEM_RES!$J:$J,0)-1,0),0)</f>
        <v>211020501</v>
      </c>
      <c r="AY141" s="10" t="s">
        <v>1160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1194</v>
      </c>
      <c r="S142" s="9" t="s">
        <v>691</v>
      </c>
      <c r="V142" s="9">
        <f ca="1">IFERROR(OFFSET(ITEM_RES!$A$5,MATCH(BUILDING!U142,ITEM_RES!$J$5:$J$226,0)-1,0),0)</f>
        <v>0</v>
      </c>
      <c r="X142" s="84" t="s">
        <v>544</v>
      </c>
      <c r="Y142" s="9">
        <f ca="1">IFERROR(OFFSET(ITEM_RES!$A$5,MATCH(BUILDING!X142,ITEM_RES!$J$5:$J$226,0)-1,0),0)</f>
        <v>211010501</v>
      </c>
      <c r="AA142" s="9" t="s">
        <v>514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1159</v>
      </c>
      <c r="AU142" s="11">
        <v>70000000</v>
      </c>
      <c r="AX142" s="11">
        <f ca="1">IFERROR(OFFSET(ITEM_RES!$A$1,MATCH(AY142,ITEM_RES!$J:$J,0)-1,0),0)</f>
        <v>211020501</v>
      </c>
      <c r="AY142" s="10" t="s">
        <v>1160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1194</v>
      </c>
      <c r="S143" s="9" t="s">
        <v>691</v>
      </c>
      <c r="V143" s="9">
        <f ca="1">IFERROR(OFFSET(ITEM_RES!$A$5,MATCH(BUILDING!U143,ITEM_RES!$J$5:$J$226,0)-1,0),0)</f>
        <v>0</v>
      </c>
      <c r="X143" s="84" t="s">
        <v>544</v>
      </c>
      <c r="Y143" s="9">
        <f ca="1">IFERROR(OFFSET(ITEM_RES!$A$5,MATCH(BUILDING!X143,ITEM_RES!$J$5:$J$226,0)-1,0),0)</f>
        <v>211010501</v>
      </c>
      <c r="AA143" s="9" t="s">
        <v>514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1159</v>
      </c>
      <c r="AU143" s="11">
        <v>96000000</v>
      </c>
      <c r="AX143" s="11">
        <f ca="1">IFERROR(OFFSET(ITEM_RES!$A$1,MATCH(AY143,ITEM_RES!$J:$J,0)-1,0),0)</f>
        <v>211020501</v>
      </c>
      <c r="AY143" s="10" t="s">
        <v>1160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1194</v>
      </c>
      <c r="S144" s="9" t="s">
        <v>691</v>
      </c>
      <c r="V144" s="9">
        <f ca="1">IFERROR(OFFSET(ITEM_RES!$A$5,MATCH(BUILDING!U144,ITEM_RES!$J$5:$J$226,0)-1,0),0)</f>
        <v>0</v>
      </c>
      <c r="X144" s="84" t="s">
        <v>544</v>
      </c>
      <c r="Y144" s="9">
        <f ca="1">IFERROR(OFFSET(ITEM_RES!$A$5,MATCH(BUILDING!X144,ITEM_RES!$J$5:$J$226,0)-1,0),0)</f>
        <v>211010501</v>
      </c>
      <c r="AA144" s="9" t="s">
        <v>514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1159</v>
      </c>
      <c r="AU144" s="11">
        <v>152000000</v>
      </c>
      <c r="AX144" s="11">
        <f ca="1">IFERROR(OFFSET(ITEM_RES!$A$1,MATCH(AY144,ITEM_RES!$J:$J,0)-1,0),0)</f>
        <v>211020501</v>
      </c>
      <c r="AY144" s="10" t="s">
        <v>1160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1195</v>
      </c>
      <c r="P145" s="17"/>
      <c r="Q145" s="17"/>
      <c r="R145" s="18"/>
      <c r="S145" s="16" t="s">
        <v>711</v>
      </c>
      <c r="T145" s="78"/>
      <c r="U145" s="86"/>
      <c r="V145" s="16">
        <f ca="1">IFERROR(OFFSET(ITEM_RES!$A$5,MATCH(BUILDING!U145,ITEM_RES!$J$5:$J$226,0)-1,0),0)</f>
        <v>0</v>
      </c>
      <c r="W145" s="18"/>
      <c r="X145" s="86" t="s">
        <v>544</v>
      </c>
      <c r="Y145" s="16">
        <f ca="1">IFERROR(OFFSET(ITEM_RES!$A$5,MATCH(BUILDING!X145,ITEM_RES!$J$5:$J$226,0)-1,0),0)</f>
        <v>211010501</v>
      </c>
      <c r="Z145" s="78"/>
      <c r="AA145" s="16" t="s">
        <v>515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1157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1161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452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1195</v>
      </c>
      <c r="S146" s="9" t="s">
        <v>711</v>
      </c>
      <c r="V146" s="9">
        <f ca="1">IFERROR(OFFSET(ITEM_RES!$A$5,MATCH(BUILDING!U146,ITEM_RES!$J$5:$J$226,0)-1,0),0)</f>
        <v>0</v>
      </c>
      <c r="X146" s="84" t="s">
        <v>544</v>
      </c>
      <c r="Y146" s="9">
        <f ca="1">IFERROR(OFFSET(ITEM_RES!$A$5,MATCH(BUILDING!X146,ITEM_RES!$J$5:$J$226,0)-1,0),0)</f>
        <v>211010501</v>
      </c>
      <c r="AA146" s="9" t="s">
        <v>515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1157</v>
      </c>
      <c r="AU146" s="11">
        <v>20</v>
      </c>
      <c r="AX146" s="11">
        <f ca="1">IFERROR(OFFSET(ITEM_RES!$A$1,MATCH(AY146,ITEM_RES!$J:$J,0)-1,0),0)</f>
        <v>211020801</v>
      </c>
      <c r="AY146" s="10" t="s">
        <v>1161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1196</v>
      </c>
      <c r="S147" s="9" t="s">
        <v>711</v>
      </c>
      <c r="V147" s="9">
        <f ca="1">IFERROR(OFFSET(ITEM_RES!$A$5,MATCH(BUILDING!U147,ITEM_RES!$J$5:$J$226,0)-1,0),0)</f>
        <v>0</v>
      </c>
      <c r="X147" s="84" t="s">
        <v>544</v>
      </c>
      <c r="Y147" s="9">
        <f ca="1">IFERROR(OFFSET(ITEM_RES!$A$5,MATCH(BUILDING!X147,ITEM_RES!$J$5:$J$226,0)-1,0),0)</f>
        <v>211010501</v>
      </c>
      <c r="AA147" s="9" t="s">
        <v>515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1157</v>
      </c>
      <c r="AU147" s="11">
        <v>160</v>
      </c>
      <c r="AX147" s="11">
        <f ca="1">IFERROR(OFFSET(ITEM_RES!$A$1,MATCH(AY147,ITEM_RES!$J:$J,0)-1,0),0)</f>
        <v>211020801</v>
      </c>
      <c r="AY147" s="10" t="s">
        <v>1161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1197</v>
      </c>
      <c r="S148" s="9" t="s">
        <v>711</v>
      </c>
      <c r="V148" s="9">
        <f ca="1">IFERROR(OFFSET(ITEM_RES!$A$5,MATCH(BUILDING!U148,ITEM_RES!$J$5:$J$226,0)-1,0),0)</f>
        <v>0</v>
      </c>
      <c r="X148" s="84" t="s">
        <v>544</v>
      </c>
      <c r="Y148" s="9">
        <f ca="1">IFERROR(OFFSET(ITEM_RES!$A$5,MATCH(BUILDING!X148,ITEM_RES!$J$5:$J$226,0)-1,0),0)</f>
        <v>211010501</v>
      </c>
      <c r="AA148" s="9" t="s">
        <v>515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1157</v>
      </c>
      <c r="AU148" s="11">
        <v>1920</v>
      </c>
      <c r="AX148" s="11">
        <f ca="1">IFERROR(OFFSET(ITEM_RES!$A$1,MATCH(AY148,ITEM_RES!$J:$J,0)-1,0),0)</f>
        <v>211020801</v>
      </c>
      <c r="AY148" s="10" t="s">
        <v>1161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1198</v>
      </c>
      <c r="S149" s="9" t="s">
        <v>711</v>
      </c>
      <c r="V149" s="9">
        <f ca="1">IFERROR(OFFSET(ITEM_RES!$A$5,MATCH(BUILDING!U149,ITEM_RES!$J$5:$J$226,0)-1,0),0)</f>
        <v>0</v>
      </c>
      <c r="X149" s="84" t="s">
        <v>544</v>
      </c>
      <c r="Y149" s="9">
        <f ca="1">IFERROR(OFFSET(ITEM_RES!$A$5,MATCH(BUILDING!X149,ITEM_RES!$J$5:$J$226,0)-1,0),0)</f>
        <v>211010501</v>
      </c>
      <c r="AA149" s="9" t="s">
        <v>515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1157</v>
      </c>
      <c r="AU149" s="11">
        <v>26000</v>
      </c>
      <c r="AX149" s="11">
        <f ca="1">IFERROR(OFFSET(ITEM_RES!$A$1,MATCH(AY149,ITEM_RES!$J:$J,0)-1,0),0)</f>
        <v>211020801</v>
      </c>
      <c r="AY149" s="10" t="s">
        <v>1161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1199</v>
      </c>
      <c r="S150" s="9" t="s">
        <v>711</v>
      </c>
      <c r="V150" s="9">
        <f ca="1">IFERROR(OFFSET(ITEM_RES!$A$5,MATCH(BUILDING!U150,ITEM_RES!$J$5:$J$226,0)-1,0),0)</f>
        <v>0</v>
      </c>
      <c r="X150" s="84" t="s">
        <v>544</v>
      </c>
      <c r="Y150" s="9">
        <f ca="1">IFERROR(OFFSET(ITEM_RES!$A$5,MATCH(BUILDING!X150,ITEM_RES!$J$5:$J$226,0)-1,0),0)</f>
        <v>211010501</v>
      </c>
      <c r="AA150" s="9" t="s">
        <v>515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1157</v>
      </c>
      <c r="AU150" s="11">
        <v>240000</v>
      </c>
      <c r="AX150" s="11">
        <f ca="1">IFERROR(OFFSET(ITEM_RES!$A$1,MATCH(AY150,ITEM_RES!$J:$J,0)-1,0),0)</f>
        <v>211020801</v>
      </c>
      <c r="AY150" s="10" t="s">
        <v>1161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1200</v>
      </c>
      <c r="S151" s="9" t="s">
        <v>711</v>
      </c>
      <c r="V151" s="9">
        <f ca="1">IFERROR(OFFSET(ITEM_RES!$A$5,MATCH(BUILDING!U151,ITEM_RES!$J$5:$J$226,0)-1,0),0)</f>
        <v>0</v>
      </c>
      <c r="X151" s="84" t="s">
        <v>544</v>
      </c>
      <c r="Y151" s="9">
        <f ca="1">IFERROR(OFFSET(ITEM_RES!$A$5,MATCH(BUILDING!X151,ITEM_RES!$J$5:$J$226,0)-1,0),0)</f>
        <v>211010501</v>
      </c>
      <c r="AA151" s="9" t="s">
        <v>515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1157</v>
      </c>
      <c r="AU151" s="11">
        <v>540000</v>
      </c>
      <c r="AX151" s="11">
        <f ca="1">IFERROR(OFFSET(ITEM_RES!$A$1,MATCH(AY151,ITEM_RES!$J:$J,0)-1,0),0)</f>
        <v>211020801</v>
      </c>
      <c r="AY151" s="10" t="s">
        <v>1161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1200</v>
      </c>
      <c r="S152" s="9" t="s">
        <v>711</v>
      </c>
      <c r="V152" s="9">
        <f ca="1">IFERROR(OFFSET(ITEM_RES!$A$5,MATCH(BUILDING!U152,ITEM_RES!$J$5:$J$226,0)-1,0),0)</f>
        <v>0</v>
      </c>
      <c r="X152" s="84" t="s">
        <v>544</v>
      </c>
      <c r="Y152" s="9">
        <f ca="1">IFERROR(OFFSET(ITEM_RES!$A$5,MATCH(BUILDING!X152,ITEM_RES!$J$5:$J$226,0)-1,0),0)</f>
        <v>211010501</v>
      </c>
      <c r="AA152" s="9" t="s">
        <v>515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1157</v>
      </c>
      <c r="AU152" s="11">
        <v>1000000</v>
      </c>
      <c r="AX152" s="11">
        <f ca="1">IFERROR(OFFSET(ITEM_RES!$A$1,MATCH(AY152,ITEM_RES!$J:$J,0)-1,0),0)</f>
        <v>211020801</v>
      </c>
      <c r="AY152" s="10" t="s">
        <v>1161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1200</v>
      </c>
      <c r="S153" s="9" t="s">
        <v>711</v>
      </c>
      <c r="V153" s="9">
        <f ca="1">IFERROR(OFFSET(ITEM_RES!$A$5,MATCH(BUILDING!U153,ITEM_RES!$J$5:$J$226,0)-1,0),0)</f>
        <v>0</v>
      </c>
      <c r="X153" s="84" t="s">
        <v>544</v>
      </c>
      <c r="Y153" s="9">
        <f ca="1">IFERROR(OFFSET(ITEM_RES!$A$5,MATCH(BUILDING!X153,ITEM_RES!$J$5:$J$226,0)-1,0),0)</f>
        <v>211010501</v>
      </c>
      <c r="AA153" s="9" t="s">
        <v>515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1157</v>
      </c>
      <c r="AU153" s="11">
        <v>1580000</v>
      </c>
      <c r="AX153" s="11">
        <f ca="1">IFERROR(OFFSET(ITEM_RES!$A$1,MATCH(AY153,ITEM_RES!$J:$J,0)-1,0),0)</f>
        <v>211020801</v>
      </c>
      <c r="AY153" s="10" t="s">
        <v>1161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1200</v>
      </c>
      <c r="S154" s="9" t="s">
        <v>711</v>
      </c>
      <c r="V154" s="9">
        <f ca="1">IFERROR(OFFSET(ITEM_RES!$A$5,MATCH(BUILDING!U154,ITEM_RES!$J$5:$J$226,0)-1,0),0)</f>
        <v>0</v>
      </c>
      <c r="X154" s="84" t="s">
        <v>544</v>
      </c>
      <c r="Y154" s="9">
        <f ca="1">IFERROR(OFFSET(ITEM_RES!$A$5,MATCH(BUILDING!X154,ITEM_RES!$J$5:$J$226,0)-1,0),0)</f>
        <v>211010501</v>
      </c>
      <c r="AA154" s="9" t="s">
        <v>515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1157</v>
      </c>
      <c r="AU154" s="11">
        <v>2200000</v>
      </c>
      <c r="AX154" s="11">
        <f ca="1">IFERROR(OFFSET(ITEM_RES!$A$1,MATCH(AY154,ITEM_RES!$J:$J,0)-1,0),0)</f>
        <v>211020801</v>
      </c>
      <c r="AY154" s="10" t="s">
        <v>1161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1200</v>
      </c>
      <c r="S155" s="9" t="s">
        <v>711</v>
      </c>
      <c r="V155" s="9">
        <f ca="1">IFERROR(OFFSET(ITEM_RES!$A$5,MATCH(BUILDING!U155,ITEM_RES!$J$5:$J$226,0)-1,0),0)</f>
        <v>0</v>
      </c>
      <c r="X155" s="84" t="s">
        <v>544</v>
      </c>
      <c r="Y155" s="9">
        <f ca="1">IFERROR(OFFSET(ITEM_RES!$A$5,MATCH(BUILDING!X155,ITEM_RES!$J$5:$J$226,0)-1,0),0)</f>
        <v>211010501</v>
      </c>
      <c r="AA155" s="9" t="s">
        <v>515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1155</v>
      </c>
      <c r="AU155" s="11">
        <v>4400000</v>
      </c>
      <c r="AX155" s="11">
        <f ca="1">IFERROR(OFFSET(ITEM_RES!$A$1,MATCH(AY155,ITEM_RES!$J:$J,0)-1,0),0)</f>
        <v>211020801</v>
      </c>
      <c r="AY155" s="10" t="s">
        <v>1161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1200</v>
      </c>
      <c r="S156" s="9" t="s">
        <v>711</v>
      </c>
      <c r="V156" s="9">
        <f ca="1">IFERROR(OFFSET(ITEM_RES!$A$5,MATCH(BUILDING!U156,ITEM_RES!$J$5:$J$226,0)-1,0),0)</f>
        <v>0</v>
      </c>
      <c r="X156" s="84" t="s">
        <v>544</v>
      </c>
      <c r="Y156" s="9">
        <f ca="1">IFERROR(OFFSET(ITEM_RES!$A$5,MATCH(BUILDING!X156,ITEM_RES!$J$5:$J$226,0)-1,0),0)</f>
        <v>211010501</v>
      </c>
      <c r="AA156" s="9" t="s">
        <v>515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1155</v>
      </c>
      <c r="AU156" s="11">
        <v>5200000</v>
      </c>
      <c r="AX156" s="11">
        <f ca="1">IFERROR(OFFSET(ITEM_RES!$A$1,MATCH(AY156,ITEM_RES!$J:$J,0)-1,0),0)</f>
        <v>211020801</v>
      </c>
      <c r="AY156" s="10" t="s">
        <v>1161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1200</v>
      </c>
      <c r="S157" s="9" t="s">
        <v>711</v>
      </c>
      <c r="V157" s="9">
        <f ca="1">IFERROR(OFFSET(ITEM_RES!$A$5,MATCH(BUILDING!U157,ITEM_RES!$J$5:$J$226,0)-1,0),0)</f>
        <v>0</v>
      </c>
      <c r="X157" s="84" t="s">
        <v>544</v>
      </c>
      <c r="Y157" s="9">
        <f ca="1">IFERROR(OFFSET(ITEM_RES!$A$5,MATCH(BUILDING!X157,ITEM_RES!$J$5:$J$226,0)-1,0),0)</f>
        <v>211010501</v>
      </c>
      <c r="AA157" s="9" t="s">
        <v>515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1155</v>
      </c>
      <c r="AU157" s="11">
        <v>8600000</v>
      </c>
      <c r="AX157" s="11">
        <f ca="1">IFERROR(OFFSET(ITEM_RES!$A$1,MATCH(AY157,ITEM_RES!$J:$J,0)-1,0),0)</f>
        <v>211020901</v>
      </c>
      <c r="AY157" s="10" t="s">
        <v>1162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1200</v>
      </c>
      <c r="S158" s="9" t="s">
        <v>711</v>
      </c>
      <c r="V158" s="9">
        <f ca="1">IFERROR(OFFSET(ITEM_RES!$A$5,MATCH(BUILDING!U158,ITEM_RES!$J$5:$J$226,0)-1,0),0)</f>
        <v>0</v>
      </c>
      <c r="X158" s="84" t="s">
        <v>544</v>
      </c>
      <c r="Y158" s="9">
        <f ca="1">IFERROR(OFFSET(ITEM_RES!$A$5,MATCH(BUILDING!X158,ITEM_RES!$J$5:$J$226,0)-1,0),0)</f>
        <v>211010501</v>
      </c>
      <c r="AA158" s="9" t="s">
        <v>515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1155</v>
      </c>
      <c r="AU158" s="11">
        <v>13200000</v>
      </c>
      <c r="AX158" s="11">
        <f ca="1">IFERROR(OFFSET(ITEM_RES!$A$1,MATCH(AY158,ITEM_RES!$J:$J,0)-1,0),0)</f>
        <v>211020901</v>
      </c>
      <c r="AY158" s="10" t="s">
        <v>1162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1200</v>
      </c>
      <c r="S159" s="9" t="s">
        <v>711</v>
      </c>
      <c r="V159" s="9">
        <f ca="1">IFERROR(OFFSET(ITEM_RES!$A$5,MATCH(BUILDING!U159,ITEM_RES!$J$5:$J$226,0)-1,0),0)</f>
        <v>0</v>
      </c>
      <c r="X159" s="84" t="s">
        <v>544</v>
      </c>
      <c r="Y159" s="9">
        <f ca="1">IFERROR(OFFSET(ITEM_RES!$A$5,MATCH(BUILDING!X159,ITEM_RES!$J$5:$J$226,0)-1,0),0)</f>
        <v>211010501</v>
      </c>
      <c r="AA159" s="9" t="s">
        <v>515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1155</v>
      </c>
      <c r="AU159" s="11">
        <v>22000000</v>
      </c>
      <c r="AX159" s="11">
        <f ca="1">IFERROR(OFFSET(ITEM_RES!$A$1,MATCH(AY159,ITEM_RES!$J:$J,0)-1,0),0)</f>
        <v>211020901</v>
      </c>
      <c r="AY159" s="10" t="s">
        <v>1162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1200</v>
      </c>
      <c r="S160" s="9" t="s">
        <v>711</v>
      </c>
      <c r="V160" s="9">
        <f ca="1">IFERROR(OFFSET(ITEM_RES!$A$5,MATCH(BUILDING!U160,ITEM_RES!$J$5:$J$226,0)-1,0),0)</f>
        <v>0</v>
      </c>
      <c r="X160" s="84" t="s">
        <v>544</v>
      </c>
      <c r="Y160" s="9">
        <f ca="1">IFERROR(OFFSET(ITEM_RES!$A$5,MATCH(BUILDING!X160,ITEM_RES!$J$5:$J$226,0)-1,0),0)</f>
        <v>211010501</v>
      </c>
      <c r="AA160" s="9" t="s">
        <v>515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1155</v>
      </c>
      <c r="AU160" s="11">
        <v>30000000</v>
      </c>
      <c r="AX160" s="11">
        <f ca="1">IFERROR(OFFSET(ITEM_RES!$A$1,MATCH(AY160,ITEM_RES!$J:$J,0)-1,0),0)</f>
        <v>211020901</v>
      </c>
      <c r="AY160" s="10" t="s">
        <v>1162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1200</v>
      </c>
      <c r="S161" s="9" t="s">
        <v>711</v>
      </c>
      <c r="V161" s="9">
        <f ca="1">IFERROR(OFFSET(ITEM_RES!$A$5,MATCH(BUILDING!U161,ITEM_RES!$J$5:$J$226,0)-1,0),0)</f>
        <v>0</v>
      </c>
      <c r="X161" s="84" t="s">
        <v>544</v>
      </c>
      <c r="Y161" s="9">
        <f ca="1">IFERROR(OFFSET(ITEM_RES!$A$5,MATCH(BUILDING!X161,ITEM_RES!$J$5:$J$226,0)-1,0),0)</f>
        <v>211010501</v>
      </c>
      <c r="AA161" s="9" t="s">
        <v>515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1155</v>
      </c>
      <c r="AU161" s="11">
        <v>46000000</v>
      </c>
      <c r="AX161" s="11">
        <f ca="1">IFERROR(OFFSET(ITEM_RES!$A$1,MATCH(AY161,ITEM_RES!$J:$J,0)-1,0),0)</f>
        <v>211020901</v>
      </c>
      <c r="AY161" s="10" t="s">
        <v>1162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1200</v>
      </c>
      <c r="S162" s="9" t="s">
        <v>711</v>
      </c>
      <c r="V162" s="9">
        <f ca="1">IFERROR(OFFSET(ITEM_RES!$A$5,MATCH(BUILDING!U162,ITEM_RES!$J$5:$J$226,0)-1,0),0)</f>
        <v>0</v>
      </c>
      <c r="X162" s="84" t="s">
        <v>544</v>
      </c>
      <c r="Y162" s="9">
        <f ca="1">IFERROR(OFFSET(ITEM_RES!$A$5,MATCH(BUILDING!X162,ITEM_RES!$J$5:$J$226,0)-1,0),0)</f>
        <v>211010501</v>
      </c>
      <c r="AA162" s="9" t="s">
        <v>515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1155</v>
      </c>
      <c r="AU162" s="11">
        <v>70000000</v>
      </c>
      <c r="AX162" s="11">
        <f ca="1">IFERROR(OFFSET(ITEM_RES!$A$1,MATCH(AY162,ITEM_RES!$J:$J,0)-1,0),0)</f>
        <v>211020901</v>
      </c>
      <c r="AY162" s="10" t="s">
        <v>1162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1200</v>
      </c>
      <c r="S163" s="9" t="s">
        <v>711</v>
      </c>
      <c r="V163" s="9">
        <f ca="1">IFERROR(OFFSET(ITEM_RES!$A$5,MATCH(BUILDING!U163,ITEM_RES!$J$5:$J$226,0)-1,0),0)</f>
        <v>0</v>
      </c>
      <c r="X163" s="84" t="s">
        <v>544</v>
      </c>
      <c r="Y163" s="9">
        <f ca="1">IFERROR(OFFSET(ITEM_RES!$A$5,MATCH(BUILDING!X163,ITEM_RES!$J$5:$J$226,0)-1,0),0)</f>
        <v>211010501</v>
      </c>
      <c r="AA163" s="9" t="s">
        <v>515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1155</v>
      </c>
      <c r="AU163" s="11">
        <v>96000000</v>
      </c>
      <c r="AX163" s="11">
        <f ca="1">IFERROR(OFFSET(ITEM_RES!$A$1,MATCH(AY163,ITEM_RES!$J:$J,0)-1,0),0)</f>
        <v>211020901</v>
      </c>
      <c r="AY163" s="10" t="s">
        <v>1162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1200</v>
      </c>
      <c r="S164" s="9" t="s">
        <v>711</v>
      </c>
      <c r="V164" s="9">
        <f ca="1">IFERROR(OFFSET(ITEM_RES!$A$5,MATCH(BUILDING!U164,ITEM_RES!$J$5:$J$226,0)-1,0),0)</f>
        <v>0</v>
      </c>
      <c r="X164" s="84" t="s">
        <v>544</v>
      </c>
      <c r="Y164" s="9">
        <f ca="1">IFERROR(OFFSET(ITEM_RES!$A$5,MATCH(BUILDING!X164,ITEM_RES!$J$5:$J$226,0)-1,0),0)</f>
        <v>211010501</v>
      </c>
      <c r="AA164" s="9" t="s">
        <v>515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1155</v>
      </c>
      <c r="AU164" s="11">
        <v>152000000</v>
      </c>
      <c r="AX164" s="11">
        <f ca="1">IFERROR(OFFSET(ITEM_RES!$A$1,MATCH(AY164,ITEM_RES!$J:$J,0)-1,0),0)</f>
        <v>211020901</v>
      </c>
      <c r="AY164" s="10" t="s">
        <v>1162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764</v>
      </c>
      <c r="P165" s="17"/>
      <c r="Q165" s="17"/>
      <c r="R165" s="18"/>
      <c r="S165" s="16" t="s">
        <v>692</v>
      </c>
      <c r="T165" s="78"/>
      <c r="U165" s="86" t="s">
        <v>544</v>
      </c>
      <c r="V165" s="16">
        <f ca="1">IFERROR(OFFSET(ITEM_RES!$A$5,MATCH(BUILDING!U165,ITEM_RES!$J$5:$J$226,0)-1,0),0)</f>
        <v>211010501</v>
      </c>
      <c r="W165" s="18">
        <v>1</v>
      </c>
      <c r="X165" s="86" t="s">
        <v>545</v>
      </c>
      <c r="Y165" s="16">
        <f ca="1">IFERROR(OFFSET(ITEM_RES!$A$5,MATCH(BUILDING!X165,ITEM_RES!$J$5:$J$226,0)-1,0),0)</f>
        <v>211010601</v>
      </c>
      <c r="Z165" s="78"/>
      <c r="AA165" s="16" t="s">
        <v>516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1157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1161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452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764</v>
      </c>
      <c r="S166" s="9" t="s">
        <v>692</v>
      </c>
      <c r="U166" s="84" t="s">
        <v>544</v>
      </c>
      <c r="V166" s="9">
        <f ca="1">IFERROR(OFFSET(ITEM_RES!$A$5,MATCH(BUILDING!U166,ITEM_RES!$J$5:$J$226,0)-1,0),0)</f>
        <v>211010501</v>
      </c>
      <c r="W166" s="11">
        <v>1</v>
      </c>
      <c r="X166" s="84" t="s">
        <v>545</v>
      </c>
      <c r="Y166" s="9">
        <f ca="1">IFERROR(OFFSET(ITEM_RES!$A$5,MATCH(BUILDING!X166,ITEM_RES!$J$5:$J$226,0)-1,0),0)</f>
        <v>211010601</v>
      </c>
      <c r="AA166" s="9" t="s">
        <v>516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1157</v>
      </c>
      <c r="AU166" s="11">
        <v>20</v>
      </c>
      <c r="AX166" s="11">
        <f ca="1">IFERROR(OFFSET(ITEM_RES!$A$1,MATCH(AY166,ITEM_RES!$J:$J,0)-1,0),0)</f>
        <v>211020801</v>
      </c>
      <c r="AY166" s="10" t="s">
        <v>1161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764</v>
      </c>
      <c r="S167" s="9" t="s">
        <v>692</v>
      </c>
      <c r="U167" s="84" t="s">
        <v>544</v>
      </c>
      <c r="V167" s="9">
        <f ca="1">IFERROR(OFFSET(ITEM_RES!$A$5,MATCH(BUILDING!U167,ITEM_RES!$J$5:$J$226,0)-1,0),0)</f>
        <v>211010501</v>
      </c>
      <c r="W167" s="11">
        <v>1</v>
      </c>
      <c r="X167" s="84" t="s">
        <v>545</v>
      </c>
      <c r="Y167" s="9">
        <f ca="1">IFERROR(OFFSET(ITEM_RES!$A$5,MATCH(BUILDING!X167,ITEM_RES!$J$5:$J$226,0)-1,0),0)</f>
        <v>211010601</v>
      </c>
      <c r="AA167" s="9" t="s">
        <v>516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1157</v>
      </c>
      <c r="AU167" s="11">
        <v>160</v>
      </c>
      <c r="AX167" s="11">
        <f ca="1">IFERROR(OFFSET(ITEM_RES!$A$1,MATCH(AY167,ITEM_RES!$J:$J,0)-1,0),0)</f>
        <v>211020801</v>
      </c>
      <c r="AY167" s="10" t="s">
        <v>1161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764</v>
      </c>
      <c r="S168" s="9" t="s">
        <v>692</v>
      </c>
      <c r="U168" s="84" t="s">
        <v>544</v>
      </c>
      <c r="V168" s="9">
        <f ca="1">IFERROR(OFFSET(ITEM_RES!$A$5,MATCH(BUILDING!U168,ITEM_RES!$J$5:$J$226,0)-1,0),0)</f>
        <v>211010501</v>
      </c>
      <c r="W168" s="11">
        <v>1</v>
      </c>
      <c r="X168" s="84" t="s">
        <v>545</v>
      </c>
      <c r="Y168" s="9">
        <f ca="1">IFERROR(OFFSET(ITEM_RES!$A$5,MATCH(BUILDING!X168,ITEM_RES!$J$5:$J$226,0)-1,0),0)</f>
        <v>211010601</v>
      </c>
      <c r="AA168" s="9" t="s">
        <v>516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1157</v>
      </c>
      <c r="AU168" s="11">
        <v>1920</v>
      </c>
      <c r="AX168" s="11">
        <f ca="1">IFERROR(OFFSET(ITEM_RES!$A$1,MATCH(AY168,ITEM_RES!$J:$J,0)-1,0),0)</f>
        <v>211020801</v>
      </c>
      <c r="AY168" s="10" t="s">
        <v>1161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764</v>
      </c>
      <c r="S169" s="9" t="s">
        <v>692</v>
      </c>
      <c r="U169" s="84" t="s">
        <v>544</v>
      </c>
      <c r="V169" s="9">
        <f ca="1">IFERROR(OFFSET(ITEM_RES!$A$5,MATCH(BUILDING!U169,ITEM_RES!$J$5:$J$226,0)-1,0),0)</f>
        <v>211010501</v>
      </c>
      <c r="W169" s="11">
        <v>1</v>
      </c>
      <c r="X169" s="84" t="s">
        <v>545</v>
      </c>
      <c r="Y169" s="9">
        <f ca="1">IFERROR(OFFSET(ITEM_RES!$A$5,MATCH(BUILDING!X169,ITEM_RES!$J$5:$J$226,0)-1,0),0)</f>
        <v>211010601</v>
      </c>
      <c r="AA169" s="9" t="s">
        <v>516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1157</v>
      </c>
      <c r="AU169" s="11">
        <v>26000</v>
      </c>
      <c r="AX169" s="11">
        <f ca="1">IFERROR(OFFSET(ITEM_RES!$A$1,MATCH(AY169,ITEM_RES!$J:$J,0)-1,0),0)</f>
        <v>211020801</v>
      </c>
      <c r="AY169" s="10" t="s">
        <v>1161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764</v>
      </c>
      <c r="S170" s="9" t="s">
        <v>692</v>
      </c>
      <c r="U170" s="84" t="s">
        <v>544</v>
      </c>
      <c r="V170" s="9">
        <f ca="1">IFERROR(OFFSET(ITEM_RES!$A$5,MATCH(BUILDING!U170,ITEM_RES!$J$5:$J$226,0)-1,0),0)</f>
        <v>211010501</v>
      </c>
      <c r="W170" s="11">
        <v>1</v>
      </c>
      <c r="X170" s="84" t="s">
        <v>545</v>
      </c>
      <c r="Y170" s="9">
        <f ca="1">IFERROR(OFFSET(ITEM_RES!$A$5,MATCH(BUILDING!X170,ITEM_RES!$J$5:$J$226,0)-1,0),0)</f>
        <v>211010601</v>
      </c>
      <c r="AA170" s="9" t="s">
        <v>516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1157</v>
      </c>
      <c r="AU170" s="11">
        <v>240000</v>
      </c>
      <c r="AX170" s="11">
        <f ca="1">IFERROR(OFFSET(ITEM_RES!$A$1,MATCH(AY170,ITEM_RES!$J:$J,0)-1,0),0)</f>
        <v>211020801</v>
      </c>
      <c r="AY170" s="10" t="s">
        <v>1161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764</v>
      </c>
      <c r="S171" s="9" t="s">
        <v>692</v>
      </c>
      <c r="U171" s="84" t="s">
        <v>544</v>
      </c>
      <c r="V171" s="9">
        <f ca="1">IFERROR(OFFSET(ITEM_RES!$A$5,MATCH(BUILDING!U171,ITEM_RES!$J$5:$J$226,0)-1,0),0)</f>
        <v>211010501</v>
      </c>
      <c r="W171" s="11">
        <v>1</v>
      </c>
      <c r="X171" s="84" t="s">
        <v>545</v>
      </c>
      <c r="Y171" s="9">
        <f ca="1">IFERROR(OFFSET(ITEM_RES!$A$5,MATCH(BUILDING!X171,ITEM_RES!$J$5:$J$226,0)-1,0),0)</f>
        <v>211010601</v>
      </c>
      <c r="AA171" s="9" t="s">
        <v>516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1157</v>
      </c>
      <c r="AU171" s="11">
        <v>540000</v>
      </c>
      <c r="AX171" s="11">
        <f ca="1">IFERROR(OFFSET(ITEM_RES!$A$1,MATCH(AY171,ITEM_RES!$J:$J,0)-1,0),0)</f>
        <v>211020801</v>
      </c>
      <c r="AY171" s="10" t="s">
        <v>1161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764</v>
      </c>
      <c r="S172" s="9" t="s">
        <v>692</v>
      </c>
      <c r="U172" s="84" t="s">
        <v>544</v>
      </c>
      <c r="V172" s="9">
        <f ca="1">IFERROR(OFFSET(ITEM_RES!$A$5,MATCH(BUILDING!U172,ITEM_RES!$J$5:$J$226,0)-1,0),0)</f>
        <v>211010501</v>
      </c>
      <c r="W172" s="11">
        <v>1</v>
      </c>
      <c r="X172" s="84" t="s">
        <v>545</v>
      </c>
      <c r="Y172" s="9">
        <f ca="1">IFERROR(OFFSET(ITEM_RES!$A$5,MATCH(BUILDING!X172,ITEM_RES!$J$5:$J$226,0)-1,0),0)</f>
        <v>211010601</v>
      </c>
      <c r="AA172" s="9" t="s">
        <v>516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1157</v>
      </c>
      <c r="AU172" s="11">
        <v>1000000</v>
      </c>
      <c r="AX172" s="11">
        <f ca="1">IFERROR(OFFSET(ITEM_RES!$A$1,MATCH(AY172,ITEM_RES!$J:$J,0)-1,0),0)</f>
        <v>211020801</v>
      </c>
      <c r="AY172" s="10" t="s">
        <v>1161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764</v>
      </c>
      <c r="S173" s="9" t="s">
        <v>692</v>
      </c>
      <c r="U173" s="84" t="s">
        <v>544</v>
      </c>
      <c r="V173" s="9">
        <f ca="1">IFERROR(OFFSET(ITEM_RES!$A$5,MATCH(BUILDING!U173,ITEM_RES!$J$5:$J$226,0)-1,0),0)</f>
        <v>211010501</v>
      </c>
      <c r="W173" s="11">
        <v>1</v>
      </c>
      <c r="X173" s="84" t="s">
        <v>545</v>
      </c>
      <c r="Y173" s="9">
        <f ca="1">IFERROR(OFFSET(ITEM_RES!$A$5,MATCH(BUILDING!X173,ITEM_RES!$J$5:$J$226,0)-1,0),0)</f>
        <v>211010601</v>
      </c>
      <c r="AA173" s="9" t="s">
        <v>516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1157</v>
      </c>
      <c r="AU173" s="11">
        <v>1580000</v>
      </c>
      <c r="AX173" s="11">
        <f ca="1">IFERROR(OFFSET(ITEM_RES!$A$1,MATCH(AY173,ITEM_RES!$J:$J,0)-1,0),0)</f>
        <v>211020801</v>
      </c>
      <c r="AY173" s="10" t="s">
        <v>1161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764</v>
      </c>
      <c r="S174" s="9" t="s">
        <v>692</v>
      </c>
      <c r="U174" s="84" t="s">
        <v>544</v>
      </c>
      <c r="V174" s="9">
        <f ca="1">IFERROR(OFFSET(ITEM_RES!$A$5,MATCH(BUILDING!U174,ITEM_RES!$J$5:$J$226,0)-1,0),0)</f>
        <v>211010501</v>
      </c>
      <c r="W174" s="11">
        <v>1</v>
      </c>
      <c r="X174" s="84" t="s">
        <v>545</v>
      </c>
      <c r="Y174" s="9">
        <f ca="1">IFERROR(OFFSET(ITEM_RES!$A$5,MATCH(BUILDING!X174,ITEM_RES!$J$5:$J$226,0)-1,0),0)</f>
        <v>211010601</v>
      </c>
      <c r="AA174" s="9" t="s">
        <v>516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1157</v>
      </c>
      <c r="AU174" s="11">
        <v>2200000</v>
      </c>
      <c r="AX174" s="11">
        <f ca="1">IFERROR(OFFSET(ITEM_RES!$A$1,MATCH(AY174,ITEM_RES!$J:$J,0)-1,0),0)</f>
        <v>211020801</v>
      </c>
      <c r="AY174" s="10" t="s">
        <v>1161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764</v>
      </c>
      <c r="S175" s="9" t="s">
        <v>692</v>
      </c>
      <c r="U175" s="84" t="s">
        <v>544</v>
      </c>
      <c r="V175" s="9">
        <f ca="1">IFERROR(OFFSET(ITEM_RES!$A$5,MATCH(BUILDING!U175,ITEM_RES!$J$5:$J$226,0)-1,0),0)</f>
        <v>211010501</v>
      </c>
      <c r="W175" s="11">
        <v>1</v>
      </c>
      <c r="X175" s="84" t="s">
        <v>545</v>
      </c>
      <c r="Y175" s="9">
        <f ca="1">IFERROR(OFFSET(ITEM_RES!$A$5,MATCH(BUILDING!X175,ITEM_RES!$J$5:$J$226,0)-1,0),0)</f>
        <v>211010601</v>
      </c>
      <c r="AA175" s="9" t="s">
        <v>516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1155</v>
      </c>
      <c r="AU175" s="11">
        <v>4400000</v>
      </c>
      <c r="AX175" s="11">
        <f ca="1">IFERROR(OFFSET(ITEM_RES!$A$1,MATCH(AY175,ITEM_RES!$J:$J,0)-1,0),0)</f>
        <v>211020801</v>
      </c>
      <c r="AY175" s="10" t="s">
        <v>1161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764</v>
      </c>
      <c r="S176" s="9" t="s">
        <v>692</v>
      </c>
      <c r="U176" s="84" t="s">
        <v>544</v>
      </c>
      <c r="V176" s="9">
        <f ca="1">IFERROR(OFFSET(ITEM_RES!$A$5,MATCH(BUILDING!U176,ITEM_RES!$J$5:$J$226,0)-1,0),0)</f>
        <v>211010501</v>
      </c>
      <c r="W176" s="11">
        <v>1</v>
      </c>
      <c r="X176" s="84" t="s">
        <v>545</v>
      </c>
      <c r="Y176" s="9">
        <f ca="1">IFERROR(OFFSET(ITEM_RES!$A$5,MATCH(BUILDING!X176,ITEM_RES!$J$5:$J$226,0)-1,0),0)</f>
        <v>211010601</v>
      </c>
      <c r="AA176" s="9" t="s">
        <v>516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1155</v>
      </c>
      <c r="AU176" s="11">
        <v>5200000</v>
      </c>
      <c r="AX176" s="11">
        <f ca="1">IFERROR(OFFSET(ITEM_RES!$A$1,MATCH(AY176,ITEM_RES!$J:$J,0)-1,0),0)</f>
        <v>211020801</v>
      </c>
      <c r="AY176" s="10" t="s">
        <v>1161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764</v>
      </c>
      <c r="S177" s="9" t="s">
        <v>692</v>
      </c>
      <c r="U177" s="84" t="s">
        <v>544</v>
      </c>
      <c r="V177" s="9">
        <f ca="1">IFERROR(OFFSET(ITEM_RES!$A$5,MATCH(BUILDING!U177,ITEM_RES!$J$5:$J$226,0)-1,0),0)</f>
        <v>211010501</v>
      </c>
      <c r="W177" s="11">
        <v>1</v>
      </c>
      <c r="X177" s="84" t="s">
        <v>545</v>
      </c>
      <c r="Y177" s="9">
        <f ca="1">IFERROR(OFFSET(ITEM_RES!$A$5,MATCH(BUILDING!X177,ITEM_RES!$J$5:$J$226,0)-1,0),0)</f>
        <v>211010601</v>
      </c>
      <c r="AA177" s="9" t="s">
        <v>516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1155</v>
      </c>
      <c r="AU177" s="11">
        <v>8600000</v>
      </c>
      <c r="AX177" s="11">
        <f ca="1">IFERROR(OFFSET(ITEM_RES!$A$1,MATCH(AY177,ITEM_RES!$J:$J,0)-1,0),0)</f>
        <v>211020801</v>
      </c>
      <c r="AY177" s="10" t="s">
        <v>1161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764</v>
      </c>
      <c r="S178" s="9" t="s">
        <v>692</v>
      </c>
      <c r="U178" s="84" t="s">
        <v>544</v>
      </c>
      <c r="V178" s="9">
        <f ca="1">IFERROR(OFFSET(ITEM_RES!$A$5,MATCH(BUILDING!U178,ITEM_RES!$J$5:$J$226,0)-1,0),0)</f>
        <v>211010501</v>
      </c>
      <c r="W178" s="11">
        <v>1</v>
      </c>
      <c r="X178" s="84" t="s">
        <v>545</v>
      </c>
      <c r="Y178" s="9">
        <f ca="1">IFERROR(OFFSET(ITEM_RES!$A$5,MATCH(BUILDING!X178,ITEM_RES!$J$5:$J$226,0)-1,0),0)</f>
        <v>211010601</v>
      </c>
      <c r="AA178" s="9" t="s">
        <v>516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1155</v>
      </c>
      <c r="AU178" s="11">
        <v>13200000</v>
      </c>
      <c r="AX178" s="11">
        <f ca="1">IFERROR(OFFSET(ITEM_RES!$A$1,MATCH(AY178,ITEM_RES!$J:$J,0)-1,0),0)</f>
        <v>211020801</v>
      </c>
      <c r="AY178" s="10" t="s">
        <v>1161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764</v>
      </c>
      <c r="S179" s="9" t="s">
        <v>692</v>
      </c>
      <c r="U179" s="84" t="s">
        <v>544</v>
      </c>
      <c r="V179" s="9">
        <f ca="1">IFERROR(OFFSET(ITEM_RES!$A$5,MATCH(BUILDING!U179,ITEM_RES!$J$5:$J$226,0)-1,0),0)</f>
        <v>211010501</v>
      </c>
      <c r="W179" s="11">
        <v>1</v>
      </c>
      <c r="X179" s="84" t="s">
        <v>545</v>
      </c>
      <c r="Y179" s="9">
        <f ca="1">IFERROR(OFFSET(ITEM_RES!$A$5,MATCH(BUILDING!X179,ITEM_RES!$J$5:$J$226,0)-1,0),0)</f>
        <v>211010601</v>
      </c>
      <c r="AA179" s="9" t="s">
        <v>516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1155</v>
      </c>
      <c r="AU179" s="11">
        <v>22000000</v>
      </c>
      <c r="AX179" s="11">
        <f ca="1">IFERROR(OFFSET(ITEM_RES!$A$1,MATCH(AY179,ITEM_RES!$J:$J,0)-1,0),0)</f>
        <v>211020801</v>
      </c>
      <c r="AY179" s="10" t="s">
        <v>1161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764</v>
      </c>
      <c r="S180" s="9" t="s">
        <v>692</v>
      </c>
      <c r="U180" s="84" t="s">
        <v>544</v>
      </c>
      <c r="V180" s="9">
        <f ca="1">IFERROR(OFFSET(ITEM_RES!$A$5,MATCH(BUILDING!U180,ITEM_RES!$J$5:$J$226,0)-1,0),0)</f>
        <v>211010501</v>
      </c>
      <c r="W180" s="11">
        <v>1</v>
      </c>
      <c r="X180" s="84" t="s">
        <v>545</v>
      </c>
      <c r="Y180" s="9">
        <f ca="1">IFERROR(OFFSET(ITEM_RES!$A$5,MATCH(BUILDING!X180,ITEM_RES!$J$5:$J$226,0)-1,0),0)</f>
        <v>211010601</v>
      </c>
      <c r="AA180" s="9" t="s">
        <v>516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1155</v>
      </c>
      <c r="AU180" s="11">
        <v>30000000</v>
      </c>
      <c r="AX180" s="11">
        <f ca="1">IFERROR(OFFSET(ITEM_RES!$A$1,MATCH(AY180,ITEM_RES!$J:$J,0)-1,0),0)</f>
        <v>211020801</v>
      </c>
      <c r="AY180" s="10" t="s">
        <v>1161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764</v>
      </c>
      <c r="S181" s="9" t="s">
        <v>692</v>
      </c>
      <c r="U181" s="84" t="s">
        <v>544</v>
      </c>
      <c r="V181" s="9">
        <f ca="1">IFERROR(OFFSET(ITEM_RES!$A$5,MATCH(BUILDING!U181,ITEM_RES!$J$5:$J$226,0)-1,0),0)</f>
        <v>211010501</v>
      </c>
      <c r="W181" s="11">
        <v>1</v>
      </c>
      <c r="X181" s="84" t="s">
        <v>545</v>
      </c>
      <c r="Y181" s="9">
        <f ca="1">IFERROR(OFFSET(ITEM_RES!$A$5,MATCH(BUILDING!X181,ITEM_RES!$J$5:$J$226,0)-1,0),0)</f>
        <v>211010601</v>
      </c>
      <c r="AA181" s="9" t="s">
        <v>516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1155</v>
      </c>
      <c r="AU181" s="11">
        <v>46000000</v>
      </c>
      <c r="AX181" s="11">
        <f ca="1">IFERROR(OFFSET(ITEM_RES!$A$1,MATCH(AY181,ITEM_RES!$J:$J,0)-1,0),0)</f>
        <v>211020901</v>
      </c>
      <c r="AY181" s="10" t="s">
        <v>1162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764</v>
      </c>
      <c r="S182" s="9" t="s">
        <v>692</v>
      </c>
      <c r="U182" s="84" t="s">
        <v>544</v>
      </c>
      <c r="V182" s="9">
        <f ca="1">IFERROR(OFFSET(ITEM_RES!$A$5,MATCH(BUILDING!U182,ITEM_RES!$J$5:$J$226,0)-1,0),0)</f>
        <v>211010501</v>
      </c>
      <c r="W182" s="11">
        <v>1</v>
      </c>
      <c r="X182" s="84" t="s">
        <v>545</v>
      </c>
      <c r="Y182" s="9">
        <f ca="1">IFERROR(OFFSET(ITEM_RES!$A$5,MATCH(BUILDING!X182,ITEM_RES!$J$5:$J$226,0)-1,0),0)</f>
        <v>211010601</v>
      </c>
      <c r="AA182" s="9" t="s">
        <v>516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1155</v>
      </c>
      <c r="AU182" s="11">
        <v>70000000</v>
      </c>
      <c r="AX182" s="11">
        <f ca="1">IFERROR(OFFSET(ITEM_RES!$A$1,MATCH(AY182,ITEM_RES!$J:$J,0)-1,0),0)</f>
        <v>211020901</v>
      </c>
      <c r="AY182" s="10" t="s">
        <v>1162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764</v>
      </c>
      <c r="S183" s="9" t="s">
        <v>692</v>
      </c>
      <c r="U183" s="84" t="s">
        <v>544</v>
      </c>
      <c r="V183" s="9">
        <f ca="1">IFERROR(OFFSET(ITEM_RES!$A$5,MATCH(BUILDING!U183,ITEM_RES!$J$5:$J$226,0)-1,0),0)</f>
        <v>211010501</v>
      </c>
      <c r="W183" s="11">
        <v>1</v>
      </c>
      <c r="X183" s="84" t="s">
        <v>545</v>
      </c>
      <c r="Y183" s="9">
        <f ca="1">IFERROR(OFFSET(ITEM_RES!$A$5,MATCH(BUILDING!X183,ITEM_RES!$J$5:$J$226,0)-1,0),0)</f>
        <v>211010601</v>
      </c>
      <c r="AA183" s="9" t="s">
        <v>516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1155</v>
      </c>
      <c r="AU183" s="11">
        <v>96000000</v>
      </c>
      <c r="AX183" s="11">
        <f ca="1">IFERROR(OFFSET(ITEM_RES!$A$1,MATCH(AY183,ITEM_RES!$J:$J,0)-1,0),0)</f>
        <v>211020901</v>
      </c>
      <c r="AY183" s="10" t="s">
        <v>1162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764</v>
      </c>
      <c r="S184" s="9" t="s">
        <v>692</v>
      </c>
      <c r="U184" s="84" t="s">
        <v>544</v>
      </c>
      <c r="V184" s="9">
        <f ca="1">IFERROR(OFFSET(ITEM_RES!$A$5,MATCH(BUILDING!U184,ITEM_RES!$J$5:$J$226,0)-1,0),0)</f>
        <v>211010501</v>
      </c>
      <c r="W184" s="11">
        <v>1</v>
      </c>
      <c r="X184" s="84" t="s">
        <v>545</v>
      </c>
      <c r="Y184" s="9">
        <f ca="1">IFERROR(OFFSET(ITEM_RES!$A$5,MATCH(BUILDING!X184,ITEM_RES!$J$5:$J$226,0)-1,0),0)</f>
        <v>211010601</v>
      </c>
      <c r="AA184" s="9" t="s">
        <v>516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1155</v>
      </c>
      <c r="AU184" s="11">
        <v>152000000</v>
      </c>
      <c r="AX184" s="11">
        <f ca="1">IFERROR(OFFSET(ITEM_RES!$A$1,MATCH(AY184,ITEM_RES!$J:$J,0)-1,0),0)</f>
        <v>211020901</v>
      </c>
      <c r="AY184" s="10" t="s">
        <v>1162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16">
        <v>1</v>
      </c>
      <c r="N185" s="16">
        <v>15</v>
      </c>
      <c r="O185" s="16" t="s">
        <v>1202</v>
      </c>
      <c r="P185" s="17"/>
      <c r="Q185" s="17"/>
      <c r="R185" s="18"/>
      <c r="S185" s="16" t="s">
        <v>710</v>
      </c>
      <c r="T185" s="78"/>
      <c r="U185" s="86"/>
      <c r="V185" s="16">
        <f ca="1">IFERROR(OFFSET(ITEM_RES!$A$5,MATCH(BUILDING!U185,ITEM_RES!$J$5:$J$226,0)-1,0),0)</f>
        <v>0</v>
      </c>
      <c r="W185" s="18"/>
      <c r="X185" s="86"/>
      <c r="Y185" s="16">
        <f ca="1">IFERROR(OFFSET(ITEM_RES!$A$5,MATCH(BUILDING!X185,ITEM_RES!$J$5:$J$226,0)-1,0),0)</f>
        <v>0</v>
      </c>
      <c r="Z185" s="78"/>
      <c r="AA185" s="16" t="s">
        <v>517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392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395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9">
        <v>1</v>
      </c>
      <c r="N186" s="9">
        <v>15</v>
      </c>
      <c r="O186" s="83" t="s">
        <v>1201</v>
      </c>
      <c r="S186" s="9" t="s">
        <v>693</v>
      </c>
      <c r="V186" s="9">
        <f ca="1">IFERROR(OFFSET(ITEM_RES!$A$5,MATCH(BUILDING!U186,ITEM_RES!$J$5:$J$226,0)-1,0),0)</f>
        <v>0</v>
      </c>
      <c r="Y186" s="9">
        <f ca="1">IFERROR(OFFSET(ITEM_RES!$A$5,MATCH(BUILDING!X186,ITEM_RES!$J$5:$J$226,0)-1,0),0)</f>
        <v>0</v>
      </c>
      <c r="AA186" s="9" t="s">
        <v>517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392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9">
        <v>1</v>
      </c>
      <c r="N187" s="9">
        <v>15</v>
      </c>
      <c r="O187" s="9" t="s">
        <v>1105</v>
      </c>
      <c r="S187" s="9" t="s">
        <v>693</v>
      </c>
      <c r="V187" s="9">
        <f ca="1">IFERROR(OFFSET(ITEM_RES!$A$5,MATCH(BUILDING!U187,ITEM_RES!$J$5:$J$226,0)-1,0),0)</f>
        <v>0</v>
      </c>
      <c r="Y187" s="9">
        <f ca="1">IFERROR(OFFSET(ITEM_RES!$A$5,MATCH(BUILDING!X187,ITEM_RES!$J$5:$J$226,0)-1,0),0)</f>
        <v>0</v>
      </c>
      <c r="AA187" s="9" t="s">
        <v>517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392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9">
        <v>1</v>
      </c>
      <c r="N188" s="9">
        <v>15</v>
      </c>
      <c r="O188" s="9" t="s">
        <v>1105</v>
      </c>
      <c r="S188" s="9" t="s">
        <v>693</v>
      </c>
      <c r="V188" s="9">
        <f ca="1">IFERROR(OFFSET(ITEM_RES!$A$5,MATCH(BUILDING!U188,ITEM_RES!$J$5:$J$226,0)-1,0),0)</f>
        <v>0</v>
      </c>
      <c r="Y188" s="9">
        <f ca="1">IFERROR(OFFSET(ITEM_RES!$A$5,MATCH(BUILDING!X188,ITEM_RES!$J$5:$J$226,0)-1,0),0)</f>
        <v>0</v>
      </c>
      <c r="AA188" s="9" t="s">
        <v>517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392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9">
        <v>1</v>
      </c>
      <c r="N189" s="9">
        <v>15</v>
      </c>
      <c r="O189" s="9" t="s">
        <v>1105</v>
      </c>
      <c r="S189" s="9" t="s">
        <v>693</v>
      </c>
      <c r="V189" s="9">
        <f ca="1">IFERROR(OFFSET(ITEM_RES!$A$5,MATCH(BUILDING!U189,ITEM_RES!$J$5:$J$226,0)-1,0),0)</f>
        <v>0</v>
      </c>
      <c r="Y189" s="9">
        <f ca="1">IFERROR(OFFSET(ITEM_RES!$A$5,MATCH(BUILDING!X189,ITEM_RES!$J$5:$J$226,0)-1,0),0)</f>
        <v>0</v>
      </c>
      <c r="AA189" s="9" t="s">
        <v>517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392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9">
        <v>1</v>
      </c>
      <c r="N190" s="9">
        <v>15</v>
      </c>
      <c r="O190" s="9" t="s">
        <v>1105</v>
      </c>
      <c r="S190" s="9" t="s">
        <v>693</v>
      </c>
      <c r="V190" s="9">
        <f ca="1">IFERROR(OFFSET(ITEM_RES!$A$5,MATCH(BUILDING!U190,ITEM_RES!$J$5:$J$226,0)-1,0),0)</f>
        <v>0</v>
      </c>
      <c r="Y190" s="9">
        <f ca="1">IFERROR(OFFSET(ITEM_RES!$A$5,MATCH(BUILDING!X190,ITEM_RES!$J$5:$J$226,0)-1,0),0)</f>
        <v>0</v>
      </c>
      <c r="AA190" s="9" t="s">
        <v>517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392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9">
        <v>1</v>
      </c>
      <c r="N191" s="9">
        <v>15</v>
      </c>
      <c r="O191" s="9" t="s">
        <v>1105</v>
      </c>
      <c r="S191" s="9" t="s">
        <v>693</v>
      </c>
      <c r="V191" s="9">
        <f ca="1">IFERROR(OFFSET(ITEM_RES!$A$5,MATCH(BUILDING!U191,ITEM_RES!$J$5:$J$226,0)-1,0),0)</f>
        <v>0</v>
      </c>
      <c r="Y191" s="9">
        <f ca="1">IFERROR(OFFSET(ITEM_RES!$A$5,MATCH(BUILDING!X191,ITEM_RES!$J$5:$J$226,0)-1,0),0)</f>
        <v>0</v>
      </c>
      <c r="AA191" s="9" t="s">
        <v>517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392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9">
        <v>1</v>
      </c>
      <c r="N192" s="9">
        <v>15</v>
      </c>
      <c r="O192" s="9" t="s">
        <v>1105</v>
      </c>
      <c r="S192" s="9" t="s">
        <v>693</v>
      </c>
      <c r="V192" s="9">
        <f ca="1">IFERROR(OFFSET(ITEM_RES!$A$5,MATCH(BUILDING!U192,ITEM_RES!$J$5:$J$226,0)-1,0),0)</f>
        <v>0</v>
      </c>
      <c r="Y192" s="9">
        <f ca="1">IFERROR(OFFSET(ITEM_RES!$A$5,MATCH(BUILDING!X192,ITEM_RES!$J$5:$J$226,0)-1,0),0)</f>
        <v>0</v>
      </c>
      <c r="AA192" s="9" t="s">
        <v>517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392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9">
        <v>1</v>
      </c>
      <c r="N193" s="9">
        <v>15</v>
      </c>
      <c r="O193" s="9" t="s">
        <v>1105</v>
      </c>
      <c r="S193" s="9" t="s">
        <v>693</v>
      </c>
      <c r="V193" s="9">
        <f ca="1">IFERROR(OFFSET(ITEM_RES!$A$5,MATCH(BUILDING!U193,ITEM_RES!$J$5:$J$226,0)-1,0),0)</f>
        <v>0</v>
      </c>
      <c r="Y193" s="9">
        <f ca="1">IFERROR(OFFSET(ITEM_RES!$A$5,MATCH(BUILDING!X193,ITEM_RES!$J$5:$J$226,0)-1,0),0)</f>
        <v>0</v>
      </c>
      <c r="AA193" s="9" t="s">
        <v>517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392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9">
        <v>1</v>
      </c>
      <c r="N194" s="9">
        <v>15</v>
      </c>
      <c r="O194" s="9" t="s">
        <v>1105</v>
      </c>
      <c r="S194" s="9" t="s">
        <v>693</v>
      </c>
      <c r="V194" s="9">
        <f ca="1">IFERROR(OFFSET(ITEM_RES!$A$5,MATCH(BUILDING!U194,ITEM_RES!$J$5:$J$226,0)-1,0),0)</f>
        <v>0</v>
      </c>
      <c r="Y194" s="9">
        <f ca="1">IFERROR(OFFSET(ITEM_RES!$A$5,MATCH(BUILDING!X194,ITEM_RES!$J$5:$J$226,0)-1,0),0)</f>
        <v>0</v>
      </c>
      <c r="AA194" s="9" t="s">
        <v>517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392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463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9">
        <v>1</v>
      </c>
      <c r="N195" s="9">
        <v>15</v>
      </c>
      <c r="O195" s="9" t="s">
        <v>1105</v>
      </c>
      <c r="S195" s="9" t="s">
        <v>693</v>
      </c>
      <c r="V195" s="9">
        <f ca="1">IFERROR(OFFSET(ITEM_RES!$A$5,MATCH(BUILDING!U195,ITEM_RES!$J$5:$J$226,0)-1,0),0)</f>
        <v>0</v>
      </c>
      <c r="Y195" s="9">
        <f ca="1">IFERROR(OFFSET(ITEM_RES!$A$5,MATCH(BUILDING!X195,ITEM_RES!$J$5:$J$226,0)-1,0),0)</f>
        <v>0</v>
      </c>
      <c r="AA195" s="9" t="s">
        <v>517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392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9">
        <v>1</v>
      </c>
      <c r="N196" s="9">
        <v>15</v>
      </c>
      <c r="O196" s="9" t="s">
        <v>1105</v>
      </c>
      <c r="S196" s="9" t="s">
        <v>693</v>
      </c>
      <c r="V196" s="9">
        <f ca="1">IFERROR(OFFSET(ITEM_RES!$A$5,MATCH(BUILDING!U196,ITEM_RES!$J$5:$J$226,0)-1,0),0)</f>
        <v>0</v>
      </c>
      <c r="Y196" s="9">
        <f ca="1">IFERROR(OFFSET(ITEM_RES!$A$5,MATCH(BUILDING!X196,ITEM_RES!$J$5:$J$226,0)-1,0),0)</f>
        <v>0</v>
      </c>
      <c r="AA196" s="9" t="s">
        <v>517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392</v>
      </c>
      <c r="AU196" s="11">
        <v>1</v>
      </c>
      <c r="AX196" s="11">
        <f ca="1">IFERROR(OFFSET(ITEM_RES!$A$1,MATCH(AY196,ITEM_RES!$J:$J,0)-1,0),0)</f>
        <v>211020901</v>
      </c>
      <c r="AY196" s="10" t="s">
        <v>393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9">
        <v>1</v>
      </c>
      <c r="N197" s="9">
        <v>15</v>
      </c>
      <c r="O197" s="9" t="s">
        <v>1105</v>
      </c>
      <c r="S197" s="9" t="s">
        <v>693</v>
      </c>
      <c r="V197" s="9">
        <f ca="1">IFERROR(OFFSET(ITEM_RES!$A$5,MATCH(BUILDING!U197,ITEM_RES!$J$5:$J$226,0)-1,0),0)</f>
        <v>0</v>
      </c>
      <c r="Y197" s="9">
        <f ca="1">IFERROR(OFFSET(ITEM_RES!$A$5,MATCH(BUILDING!X197,ITEM_RES!$J$5:$J$226,0)-1,0),0)</f>
        <v>0</v>
      </c>
      <c r="AA197" s="9" t="s">
        <v>517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392</v>
      </c>
      <c r="AU197" s="11">
        <v>1</v>
      </c>
      <c r="AX197" s="11">
        <f ca="1">IFERROR(OFFSET(ITEM_RES!$A$1,MATCH(AY197,ITEM_RES!$J:$J,0)-1,0),0)</f>
        <v>211020901</v>
      </c>
      <c r="AY197" s="10" t="s">
        <v>393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9">
        <v>1</v>
      </c>
      <c r="N198" s="9">
        <v>15</v>
      </c>
      <c r="O198" s="9" t="s">
        <v>1105</v>
      </c>
      <c r="S198" s="9" t="s">
        <v>693</v>
      </c>
      <c r="V198" s="9">
        <f ca="1">IFERROR(OFFSET(ITEM_RES!$A$5,MATCH(BUILDING!U198,ITEM_RES!$J$5:$J$226,0)-1,0),0)</f>
        <v>0</v>
      </c>
      <c r="Y198" s="9">
        <f ca="1">IFERROR(OFFSET(ITEM_RES!$A$5,MATCH(BUILDING!X198,ITEM_RES!$J$5:$J$226,0)-1,0),0)</f>
        <v>0</v>
      </c>
      <c r="AA198" s="9" t="s">
        <v>517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392</v>
      </c>
      <c r="AU198" s="11">
        <v>1</v>
      </c>
      <c r="AX198" s="11">
        <f ca="1">IFERROR(OFFSET(ITEM_RES!$A$1,MATCH(AY198,ITEM_RES!$J:$J,0)-1,0),0)</f>
        <v>211020901</v>
      </c>
      <c r="AY198" s="10" t="s">
        <v>393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9">
        <v>1</v>
      </c>
      <c r="N199" s="9">
        <v>15</v>
      </c>
      <c r="O199" s="9" t="s">
        <v>1105</v>
      </c>
      <c r="S199" s="9" t="s">
        <v>693</v>
      </c>
      <c r="V199" s="9">
        <f ca="1">IFERROR(OFFSET(ITEM_RES!$A$5,MATCH(BUILDING!U199,ITEM_RES!$J$5:$J$226,0)-1,0),0)</f>
        <v>0</v>
      </c>
      <c r="Y199" s="9">
        <f ca="1">IFERROR(OFFSET(ITEM_RES!$A$5,MATCH(BUILDING!X199,ITEM_RES!$J$5:$J$226,0)-1,0),0)</f>
        <v>0</v>
      </c>
      <c r="AA199" s="9" t="s">
        <v>517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392</v>
      </c>
      <c r="AU199" s="11">
        <v>1</v>
      </c>
      <c r="AX199" s="11">
        <f ca="1">IFERROR(OFFSET(ITEM_RES!$A$1,MATCH(AY199,ITEM_RES!$J:$J,0)-1,0),0)</f>
        <v>211020901</v>
      </c>
      <c r="AY199" s="10" t="s">
        <v>393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9">
        <v>0</v>
      </c>
      <c r="N200" s="9">
        <v>15</v>
      </c>
      <c r="O200" s="9" t="s">
        <v>1105</v>
      </c>
      <c r="S200" s="9" t="s">
        <v>693</v>
      </c>
      <c r="V200" s="9">
        <f ca="1">IFERROR(OFFSET(ITEM_RES!$A$5,MATCH(BUILDING!U200,ITEM_RES!$J$5:$J$226,0)-1,0),0)</f>
        <v>0</v>
      </c>
      <c r="Y200" s="9">
        <f ca="1">IFERROR(OFFSET(ITEM_RES!$A$5,MATCH(BUILDING!X200,ITEM_RES!$J$5:$J$226,0)-1,0),0)</f>
        <v>0</v>
      </c>
      <c r="AA200" s="9" t="s">
        <v>517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392</v>
      </c>
      <c r="AU200" s="11">
        <v>1</v>
      </c>
      <c r="AX200" s="11">
        <f ca="1">IFERROR(OFFSET(ITEM_RES!$A$1,MATCH(AY200,ITEM_RES!$J:$J,0)-1,0),0)</f>
        <v>211020901</v>
      </c>
      <c r="AY200" s="10" t="s">
        <v>393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9">
        <v>0</v>
      </c>
      <c r="N201" s="9">
        <v>15</v>
      </c>
      <c r="O201" s="9" t="s">
        <v>1105</v>
      </c>
      <c r="S201" s="9" t="s">
        <v>693</v>
      </c>
      <c r="V201" s="9">
        <f ca="1">IFERROR(OFFSET(ITEM_RES!$A$5,MATCH(BUILDING!U201,ITEM_RES!$J$5:$J$226,0)-1,0),0)</f>
        <v>0</v>
      </c>
      <c r="Y201" s="9">
        <f ca="1">IFERROR(OFFSET(ITEM_RES!$A$5,MATCH(BUILDING!X201,ITEM_RES!$J$5:$J$226,0)-1,0),0)</f>
        <v>0</v>
      </c>
      <c r="AA201" s="9" t="s">
        <v>517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392</v>
      </c>
      <c r="AU201" s="11">
        <v>1</v>
      </c>
      <c r="AX201" s="11">
        <f ca="1">IFERROR(OFFSET(ITEM_RES!$A$1,MATCH(AY201,ITEM_RES!$J:$J,0)-1,0),0)</f>
        <v>211020901</v>
      </c>
      <c r="AY201" s="10" t="s">
        <v>393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9">
        <v>0</v>
      </c>
      <c r="N202" s="9">
        <v>15</v>
      </c>
      <c r="O202" s="9" t="s">
        <v>1105</v>
      </c>
      <c r="S202" s="9" t="s">
        <v>693</v>
      </c>
      <c r="V202" s="9">
        <f ca="1">IFERROR(OFFSET(ITEM_RES!$A$5,MATCH(BUILDING!U202,ITEM_RES!$J$5:$J$226,0)-1,0),0)</f>
        <v>0</v>
      </c>
      <c r="Y202" s="9">
        <f ca="1">IFERROR(OFFSET(ITEM_RES!$A$5,MATCH(BUILDING!X202,ITEM_RES!$J$5:$J$226,0)-1,0),0)</f>
        <v>0</v>
      </c>
      <c r="AA202" s="9" t="s">
        <v>517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392</v>
      </c>
      <c r="AU202" s="11">
        <v>1</v>
      </c>
      <c r="AX202" s="11">
        <f ca="1">IFERROR(OFFSET(ITEM_RES!$A$1,MATCH(AY202,ITEM_RES!$J:$J,0)-1,0),0)</f>
        <v>211020901</v>
      </c>
      <c r="AY202" s="10" t="s">
        <v>393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9">
        <v>0</v>
      </c>
      <c r="N203" s="9">
        <v>15</v>
      </c>
      <c r="O203" s="9" t="s">
        <v>1105</v>
      </c>
      <c r="S203" s="9" t="s">
        <v>693</v>
      </c>
      <c r="V203" s="9">
        <f ca="1">IFERROR(OFFSET(ITEM_RES!$A$5,MATCH(BUILDING!U203,ITEM_RES!$J$5:$J$226,0)-1,0),0)</f>
        <v>0</v>
      </c>
      <c r="Y203" s="9">
        <f ca="1">IFERROR(OFFSET(ITEM_RES!$A$5,MATCH(BUILDING!X203,ITEM_RES!$J$5:$J$226,0)-1,0),0)</f>
        <v>0</v>
      </c>
      <c r="AA203" s="9" t="s">
        <v>517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393</v>
      </c>
      <c r="AU203" s="11">
        <v>1</v>
      </c>
      <c r="AX203" s="11">
        <f ca="1">IFERROR(OFFSET(ITEM_RES!$A$1,MATCH(AY203,ITEM_RES!$J:$J,0)-1,0),0)</f>
        <v>211020501</v>
      </c>
      <c r="AY203" s="10" t="s">
        <v>424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9">
        <v>0</v>
      </c>
      <c r="N204" s="9">
        <v>15</v>
      </c>
      <c r="O204" s="9" t="s">
        <v>1105</v>
      </c>
      <c r="S204" s="9" t="s">
        <v>693</v>
      </c>
      <c r="V204" s="9">
        <f ca="1">IFERROR(OFFSET(ITEM_RES!$A$5,MATCH(BUILDING!U204,ITEM_RES!$J$5:$J$226,0)-1,0),0)</f>
        <v>0</v>
      </c>
      <c r="Y204" s="9">
        <f ca="1">IFERROR(OFFSET(ITEM_RES!$A$5,MATCH(BUILDING!X204,ITEM_RES!$J$5:$J$226,0)-1,0),0)</f>
        <v>0</v>
      </c>
      <c r="AA204" s="9" t="s">
        <v>517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504</v>
      </c>
      <c r="AU204" s="11">
        <v>1</v>
      </c>
      <c r="AX204" s="11">
        <f ca="1">IFERROR(OFFSET(ITEM_RES!$A$1,MATCH(AY204,ITEM_RES!$J:$J,0)-1,0),0)</f>
        <v>211020501</v>
      </c>
      <c r="AY204" s="10" t="s">
        <v>424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16">
        <v>1</v>
      </c>
      <c r="N205" s="16">
        <v>15</v>
      </c>
      <c r="O205" s="16" t="s">
        <v>1203</v>
      </c>
      <c r="P205" s="17"/>
      <c r="Q205" s="17"/>
      <c r="R205" s="18"/>
      <c r="S205" s="16" t="s">
        <v>694</v>
      </c>
      <c r="T205" s="78"/>
      <c r="U205" s="86"/>
      <c r="V205" s="16">
        <f ca="1">IFERROR(OFFSET(ITEM_RES!$A$5,MATCH(BUILDING!U205,ITEM_RES!$J$5:$J$226,0)-1,0),0)</f>
        <v>0</v>
      </c>
      <c r="W205" s="18"/>
      <c r="X205" s="86"/>
      <c r="Y205" s="16">
        <f ca="1">IFERROR(OFFSET(ITEM_RES!$A$5,MATCH(BUILDING!X205,ITEM_RES!$J$5:$J$226,0)-1,0),0)</f>
        <v>0</v>
      </c>
      <c r="Z205" s="78"/>
      <c r="AA205" s="16" t="s">
        <v>571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392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395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9">
        <v>1</v>
      </c>
      <c r="N206" s="9">
        <v>15</v>
      </c>
      <c r="O206" s="9" t="s">
        <v>1203</v>
      </c>
      <c r="P206" s="10"/>
      <c r="Q206" s="10"/>
      <c r="R206" s="11"/>
      <c r="S206" s="9" t="s">
        <v>694</v>
      </c>
      <c r="T206" s="185"/>
      <c r="U206" s="84"/>
      <c r="V206" s="9">
        <f ca="1">IFERROR(OFFSET(ITEM_RES!$A$5,MATCH(BUILDING!U206,ITEM_RES!$J$5:$J$226,0)-1,0),0)</f>
        <v>0</v>
      </c>
      <c r="W206" s="11"/>
      <c r="X206" s="84"/>
      <c r="Y206" s="9">
        <f ca="1">IFERROR(OFFSET(ITEM_RES!$A$5,MATCH(BUILDING!X206,ITEM_RES!$J$5:$J$226,0)-1,0),0)</f>
        <v>0</v>
      </c>
      <c r="Z206" s="185"/>
      <c r="AA206" s="9" t="s">
        <v>571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392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9">
        <v>1</v>
      </c>
      <c r="N207" s="9">
        <v>15</v>
      </c>
      <c r="O207" s="9" t="s">
        <v>1203</v>
      </c>
      <c r="S207" s="9" t="s">
        <v>694</v>
      </c>
      <c r="V207" s="9">
        <f ca="1">IFERROR(OFFSET(ITEM_RES!$A$5,MATCH(BUILDING!U207,ITEM_RES!$J$5:$J$226,0)-1,0),0)</f>
        <v>0</v>
      </c>
      <c r="Y207" s="9">
        <f ca="1">IFERROR(OFFSET(ITEM_RES!$A$5,MATCH(BUILDING!X207,ITEM_RES!$J$5:$J$226,0)-1,0),0)</f>
        <v>0</v>
      </c>
      <c r="AA207" s="9" t="s">
        <v>571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392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9">
        <v>1</v>
      </c>
      <c r="N208" s="9">
        <v>15</v>
      </c>
      <c r="O208" s="9" t="s">
        <v>1203</v>
      </c>
      <c r="S208" s="9" t="s">
        <v>694</v>
      </c>
      <c r="V208" s="9">
        <f ca="1">IFERROR(OFFSET(ITEM_RES!$A$5,MATCH(BUILDING!U208,ITEM_RES!$J$5:$J$226,0)-1,0),0)</f>
        <v>0</v>
      </c>
      <c r="Y208" s="9">
        <f ca="1">IFERROR(OFFSET(ITEM_RES!$A$5,MATCH(BUILDING!X208,ITEM_RES!$J$5:$J$226,0)-1,0),0)</f>
        <v>0</v>
      </c>
      <c r="AA208" s="9" t="s">
        <v>571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392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9">
        <v>1</v>
      </c>
      <c r="N209" s="9">
        <v>15</v>
      </c>
      <c r="O209" s="9" t="s">
        <v>1203</v>
      </c>
      <c r="S209" s="9" t="s">
        <v>694</v>
      </c>
      <c r="V209" s="9">
        <f ca="1">IFERROR(OFFSET(ITEM_RES!$A$5,MATCH(BUILDING!U209,ITEM_RES!$J$5:$J$226,0)-1,0),0)</f>
        <v>0</v>
      </c>
      <c r="Y209" s="9">
        <f ca="1">IFERROR(OFFSET(ITEM_RES!$A$5,MATCH(BUILDING!X209,ITEM_RES!$J$5:$J$226,0)-1,0),0)</f>
        <v>0</v>
      </c>
      <c r="AA209" s="9" t="s">
        <v>571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392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9">
        <v>1</v>
      </c>
      <c r="N210" s="9">
        <v>15</v>
      </c>
      <c r="O210" s="9" t="s">
        <v>1203</v>
      </c>
      <c r="S210" s="9" t="s">
        <v>694</v>
      </c>
      <c r="V210" s="9">
        <f ca="1">IFERROR(OFFSET(ITEM_RES!$A$5,MATCH(BUILDING!U210,ITEM_RES!$J$5:$J$226,0)-1,0),0)</f>
        <v>0</v>
      </c>
      <c r="Y210" s="9">
        <f ca="1">IFERROR(OFFSET(ITEM_RES!$A$5,MATCH(BUILDING!X210,ITEM_RES!$J$5:$J$226,0)-1,0),0)</f>
        <v>0</v>
      </c>
      <c r="AA210" s="9" t="s">
        <v>571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392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9">
        <v>1</v>
      </c>
      <c r="N211" s="9">
        <v>15</v>
      </c>
      <c r="O211" s="9" t="s">
        <v>1203</v>
      </c>
      <c r="S211" s="9" t="s">
        <v>694</v>
      </c>
      <c r="V211" s="9">
        <f ca="1">IFERROR(OFFSET(ITEM_RES!$A$5,MATCH(BUILDING!U211,ITEM_RES!$J$5:$J$226,0)-1,0),0)</f>
        <v>0</v>
      </c>
      <c r="Y211" s="9">
        <f ca="1">IFERROR(OFFSET(ITEM_RES!$A$5,MATCH(BUILDING!X211,ITEM_RES!$J$5:$J$226,0)-1,0),0)</f>
        <v>0</v>
      </c>
      <c r="AA211" s="9" t="s">
        <v>571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392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9">
        <v>1</v>
      </c>
      <c r="N212" s="9">
        <v>15</v>
      </c>
      <c r="O212" s="9" t="s">
        <v>1204</v>
      </c>
      <c r="S212" s="9" t="s">
        <v>694</v>
      </c>
      <c r="V212" s="9">
        <f ca="1">IFERROR(OFFSET(ITEM_RES!$A$5,MATCH(BUILDING!U212,ITEM_RES!$J$5:$J$226,0)-1,0),0)</f>
        <v>0</v>
      </c>
      <c r="Y212" s="9">
        <f ca="1">IFERROR(OFFSET(ITEM_RES!$A$5,MATCH(BUILDING!X212,ITEM_RES!$J$5:$J$226,0)-1,0),0)</f>
        <v>0</v>
      </c>
      <c r="AA212" s="9" t="s">
        <v>571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392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9">
        <v>1</v>
      </c>
      <c r="N213" s="9">
        <v>15</v>
      </c>
      <c r="O213" s="9" t="s">
        <v>1204</v>
      </c>
      <c r="S213" s="9" t="s">
        <v>694</v>
      </c>
      <c r="V213" s="9">
        <f ca="1">IFERROR(OFFSET(ITEM_RES!$A$5,MATCH(BUILDING!U213,ITEM_RES!$J$5:$J$226,0)-1,0),0)</f>
        <v>0</v>
      </c>
      <c r="Y213" s="9">
        <f ca="1">IFERROR(OFFSET(ITEM_RES!$A$5,MATCH(BUILDING!X213,ITEM_RES!$J$5:$J$226,0)-1,0),0)</f>
        <v>0</v>
      </c>
      <c r="AA213" s="9" t="s">
        <v>571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392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9">
        <v>1</v>
      </c>
      <c r="N214" s="9">
        <v>15</v>
      </c>
      <c r="O214" s="9" t="s">
        <v>1205</v>
      </c>
      <c r="S214" s="9" t="s">
        <v>694</v>
      </c>
      <c r="V214" s="9">
        <f ca="1">IFERROR(OFFSET(ITEM_RES!$A$5,MATCH(BUILDING!U214,ITEM_RES!$J$5:$J$226,0)-1,0),0)</f>
        <v>0</v>
      </c>
      <c r="Y214" s="9">
        <f ca="1">IFERROR(OFFSET(ITEM_RES!$A$5,MATCH(BUILDING!X214,ITEM_RES!$J$5:$J$226,0)-1,0),0)</f>
        <v>0</v>
      </c>
      <c r="AA214" s="9" t="s">
        <v>571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392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462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9">
        <v>1</v>
      </c>
      <c r="N215" s="9">
        <v>15</v>
      </c>
      <c r="O215" s="9" t="s">
        <v>1205</v>
      </c>
      <c r="S215" s="9" t="s">
        <v>694</v>
      </c>
      <c r="V215" s="9">
        <f ca="1">IFERROR(OFFSET(ITEM_RES!$A$5,MATCH(BUILDING!U215,ITEM_RES!$J$5:$J$226,0)-1,0),0)</f>
        <v>0</v>
      </c>
      <c r="Y215" s="9">
        <f ca="1">IFERROR(OFFSET(ITEM_RES!$A$5,MATCH(BUILDING!X215,ITEM_RES!$J$5:$J$226,0)-1,0),0)</f>
        <v>0</v>
      </c>
      <c r="AA215" s="9" t="s">
        <v>571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392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9">
        <v>1</v>
      </c>
      <c r="N216" s="9">
        <v>15</v>
      </c>
      <c r="O216" s="9" t="s">
        <v>1205</v>
      </c>
      <c r="S216" s="9" t="s">
        <v>694</v>
      </c>
      <c r="V216" s="9">
        <f ca="1">IFERROR(OFFSET(ITEM_RES!$A$5,MATCH(BUILDING!U216,ITEM_RES!$J$5:$J$226,0)-1,0),0)</f>
        <v>0</v>
      </c>
      <c r="Y216" s="9">
        <f ca="1">IFERROR(OFFSET(ITEM_RES!$A$5,MATCH(BUILDING!X216,ITEM_RES!$J$5:$J$226,0)-1,0),0)</f>
        <v>0</v>
      </c>
      <c r="AA216" s="9" t="s">
        <v>571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392</v>
      </c>
      <c r="AU216" s="11">
        <v>1</v>
      </c>
      <c r="AX216" s="11">
        <f ca="1">IFERROR(OFFSET(ITEM_RES!$A$1,MATCH(AY216,ITEM_RES!$J:$J,0)-1,0),0)</f>
        <v>211020901</v>
      </c>
      <c r="AY216" s="10" t="s">
        <v>393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9">
        <v>1</v>
      </c>
      <c r="N217" s="9">
        <v>15</v>
      </c>
      <c r="O217" s="9" t="s">
        <v>1205</v>
      </c>
      <c r="S217" s="9" t="s">
        <v>694</v>
      </c>
      <c r="V217" s="9">
        <f ca="1">IFERROR(OFFSET(ITEM_RES!$A$5,MATCH(BUILDING!U217,ITEM_RES!$J$5:$J$226,0)-1,0),0)</f>
        <v>0</v>
      </c>
      <c r="Y217" s="9">
        <f ca="1">IFERROR(OFFSET(ITEM_RES!$A$5,MATCH(BUILDING!X217,ITEM_RES!$J$5:$J$226,0)-1,0),0)</f>
        <v>0</v>
      </c>
      <c r="AA217" s="9" t="s">
        <v>571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392</v>
      </c>
      <c r="AU217" s="11">
        <v>1</v>
      </c>
      <c r="AX217" s="11">
        <f ca="1">IFERROR(OFFSET(ITEM_RES!$A$1,MATCH(AY217,ITEM_RES!$J:$J,0)-1,0),0)</f>
        <v>211020901</v>
      </c>
      <c r="AY217" s="10" t="s">
        <v>393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9">
        <v>1</v>
      </c>
      <c r="N218" s="9">
        <v>15</v>
      </c>
      <c r="O218" s="9" t="s">
        <v>1205</v>
      </c>
      <c r="S218" s="9" t="s">
        <v>694</v>
      </c>
      <c r="V218" s="9">
        <f ca="1">IFERROR(OFFSET(ITEM_RES!$A$5,MATCH(BUILDING!U218,ITEM_RES!$J$5:$J$226,0)-1,0),0)</f>
        <v>0</v>
      </c>
      <c r="Y218" s="9">
        <f ca="1">IFERROR(OFFSET(ITEM_RES!$A$5,MATCH(BUILDING!X218,ITEM_RES!$J$5:$J$226,0)-1,0),0)</f>
        <v>0</v>
      </c>
      <c r="AA218" s="9" t="s">
        <v>571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392</v>
      </c>
      <c r="AU218" s="11">
        <v>1</v>
      </c>
      <c r="AX218" s="11">
        <f ca="1">IFERROR(OFFSET(ITEM_RES!$A$1,MATCH(AY218,ITEM_RES!$J:$J,0)-1,0),0)</f>
        <v>211020901</v>
      </c>
      <c r="AY218" s="10" t="s">
        <v>393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9">
        <v>1</v>
      </c>
      <c r="N219" s="9">
        <v>15</v>
      </c>
      <c r="O219" s="9" t="s">
        <v>1205</v>
      </c>
      <c r="S219" s="9" t="s">
        <v>694</v>
      </c>
      <c r="V219" s="9">
        <f ca="1">IFERROR(OFFSET(ITEM_RES!$A$5,MATCH(BUILDING!U219,ITEM_RES!$J$5:$J$226,0)-1,0),0)</f>
        <v>0</v>
      </c>
      <c r="Y219" s="9">
        <f ca="1">IFERROR(OFFSET(ITEM_RES!$A$5,MATCH(BUILDING!X219,ITEM_RES!$J$5:$J$226,0)-1,0),0)</f>
        <v>0</v>
      </c>
      <c r="AA219" s="9" t="s">
        <v>571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392</v>
      </c>
      <c r="AU219" s="11">
        <v>1</v>
      </c>
      <c r="AX219" s="11">
        <f ca="1">IFERROR(OFFSET(ITEM_RES!$A$1,MATCH(AY219,ITEM_RES!$J:$J,0)-1,0),0)</f>
        <v>211020901</v>
      </c>
      <c r="AY219" s="10" t="s">
        <v>393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9">
        <v>0</v>
      </c>
      <c r="N220" s="9">
        <v>15</v>
      </c>
      <c r="O220" s="9" t="s">
        <v>1205</v>
      </c>
      <c r="S220" s="9" t="s">
        <v>694</v>
      </c>
      <c r="V220" s="9">
        <f ca="1">IFERROR(OFFSET(ITEM_RES!$A$5,MATCH(BUILDING!U220,ITEM_RES!$J$5:$J$226,0)-1,0),0)</f>
        <v>0</v>
      </c>
      <c r="Y220" s="9">
        <f ca="1">IFERROR(OFFSET(ITEM_RES!$A$5,MATCH(BUILDING!X220,ITEM_RES!$J$5:$J$226,0)-1,0),0)</f>
        <v>0</v>
      </c>
      <c r="AA220" s="9" t="s">
        <v>571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392</v>
      </c>
      <c r="AU220" s="11">
        <v>1</v>
      </c>
      <c r="AX220" s="11">
        <f ca="1">IFERROR(OFFSET(ITEM_RES!$A$1,MATCH(AY220,ITEM_RES!$J:$J,0)-1,0),0)</f>
        <v>211020901</v>
      </c>
      <c r="AY220" s="10" t="s">
        <v>393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9">
        <v>0</v>
      </c>
      <c r="N221" s="9">
        <v>15</v>
      </c>
      <c r="O221" s="9" t="s">
        <v>1205</v>
      </c>
      <c r="S221" s="9" t="s">
        <v>694</v>
      </c>
      <c r="V221" s="9">
        <f ca="1">IFERROR(OFFSET(ITEM_RES!$A$5,MATCH(BUILDING!U221,ITEM_RES!$J$5:$J$226,0)-1,0),0)</f>
        <v>0</v>
      </c>
      <c r="Y221" s="9">
        <f ca="1">IFERROR(OFFSET(ITEM_RES!$A$5,MATCH(BUILDING!X221,ITEM_RES!$J$5:$J$226,0)-1,0),0)</f>
        <v>0</v>
      </c>
      <c r="AA221" s="9" t="s">
        <v>571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392</v>
      </c>
      <c r="AU221" s="11">
        <v>1</v>
      </c>
      <c r="AX221" s="11">
        <f ca="1">IFERROR(OFFSET(ITEM_RES!$A$1,MATCH(AY221,ITEM_RES!$J:$J,0)-1,0),0)</f>
        <v>211020901</v>
      </c>
      <c r="AY221" s="10" t="s">
        <v>393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9">
        <v>0</v>
      </c>
      <c r="N222" s="9">
        <v>15</v>
      </c>
      <c r="O222" s="9" t="s">
        <v>1205</v>
      </c>
      <c r="S222" s="9" t="s">
        <v>694</v>
      </c>
      <c r="V222" s="9">
        <f ca="1">IFERROR(OFFSET(ITEM_RES!$A$5,MATCH(BUILDING!U222,ITEM_RES!$J$5:$J$226,0)-1,0),0)</f>
        <v>0</v>
      </c>
      <c r="Y222" s="9">
        <f ca="1">IFERROR(OFFSET(ITEM_RES!$A$5,MATCH(BUILDING!X222,ITEM_RES!$J$5:$J$226,0)-1,0),0)</f>
        <v>0</v>
      </c>
      <c r="AA222" s="9" t="s">
        <v>571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392</v>
      </c>
      <c r="AU222" s="11">
        <v>1</v>
      </c>
      <c r="AX222" s="11">
        <f ca="1">IFERROR(OFFSET(ITEM_RES!$A$1,MATCH(AY222,ITEM_RES!$J:$J,0)-1,0),0)</f>
        <v>211020901</v>
      </c>
      <c r="AY222" s="10" t="s">
        <v>393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9">
        <v>0</v>
      </c>
      <c r="N223" s="9">
        <v>15</v>
      </c>
      <c r="O223" s="9" t="s">
        <v>1205</v>
      </c>
      <c r="S223" s="9" t="s">
        <v>694</v>
      </c>
      <c r="V223" s="9">
        <f ca="1">IFERROR(OFFSET(ITEM_RES!$A$5,MATCH(BUILDING!U223,ITEM_RES!$J$5:$J$226,0)-1,0),0)</f>
        <v>0</v>
      </c>
      <c r="Y223" s="9">
        <f ca="1">IFERROR(OFFSET(ITEM_RES!$A$5,MATCH(BUILDING!X223,ITEM_RES!$J$5:$J$226,0)-1,0),0)</f>
        <v>0</v>
      </c>
      <c r="AA223" s="9" t="s">
        <v>571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393</v>
      </c>
      <c r="AU223" s="11">
        <v>1</v>
      </c>
      <c r="AX223" s="11">
        <f ca="1">IFERROR(OFFSET(ITEM_RES!$A$1,MATCH(AY223,ITEM_RES!$J:$J,0)-1,0),0)</f>
        <v>211020501</v>
      </c>
      <c r="AY223" s="10" t="s">
        <v>424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9">
        <v>0</v>
      </c>
      <c r="N224" s="9">
        <v>15</v>
      </c>
      <c r="O224" s="9" t="s">
        <v>1205</v>
      </c>
      <c r="S224" s="9" t="s">
        <v>694</v>
      </c>
      <c r="V224" s="9">
        <f ca="1">IFERROR(OFFSET(ITEM_RES!$A$5,MATCH(BUILDING!U224,ITEM_RES!$J$5:$J$226,0)-1,0),0)</f>
        <v>0</v>
      </c>
      <c r="Y224" s="9">
        <f ca="1">IFERROR(OFFSET(ITEM_RES!$A$5,MATCH(BUILDING!X224,ITEM_RES!$J$5:$J$226,0)-1,0),0)</f>
        <v>0</v>
      </c>
      <c r="AA224" s="9" t="s">
        <v>571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393</v>
      </c>
      <c r="AU224" s="11">
        <v>1</v>
      </c>
      <c r="AX224" s="11">
        <f ca="1">IFERROR(OFFSET(ITEM_RES!$A$1,MATCH(AY224,ITEM_RES!$J:$J,0)-1,0),0)</f>
        <v>211020501</v>
      </c>
      <c r="AY224" s="10" t="s">
        <v>424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763</v>
      </c>
      <c r="P225" s="17"/>
      <c r="Q225" s="17"/>
      <c r="R225" s="18"/>
      <c r="S225" s="16" t="s">
        <v>695</v>
      </c>
      <c r="T225" s="78"/>
      <c r="U225" s="86"/>
      <c r="V225" s="16">
        <f ca="1">IFERROR(OFFSET(ITEM_RES!$A$5,MATCH(BUILDING!U225,ITEM_RES!$J$5:$J$226,0)-1,0),0)</f>
        <v>0</v>
      </c>
      <c r="W225" s="18"/>
      <c r="X225" s="86"/>
      <c r="Y225" s="16">
        <f ca="1">IFERROR(OFFSET(ITEM_RES!$A$5,MATCH(BUILDING!X225,ITEM_RES!$J$5:$J$226,0)-1,0),0)</f>
        <v>0</v>
      </c>
      <c r="Z225" s="78"/>
      <c r="AA225" s="16" t="s">
        <v>518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435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423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452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763</v>
      </c>
      <c r="S226" s="9" t="s">
        <v>695</v>
      </c>
      <c r="V226" s="9">
        <f ca="1">IFERROR(OFFSET(ITEM_RES!$A$5,MATCH(BUILDING!U226,ITEM_RES!$J$5:$J$226,0)-1,0),0)</f>
        <v>0</v>
      </c>
      <c r="Y226" s="9">
        <f ca="1">IFERROR(OFFSET(ITEM_RES!$A$5,MATCH(BUILDING!X226,ITEM_RES!$J$5:$J$226,0)-1,0),0)</f>
        <v>0</v>
      </c>
      <c r="AA226" s="9" t="s">
        <v>518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435</v>
      </c>
      <c r="AU226" s="11">
        <v>1</v>
      </c>
      <c r="AX226" s="11">
        <f ca="1">IFERROR(OFFSET(ITEM_RES!$A$1,MATCH(AY226,ITEM_RES!$J:$J,0)-1,0),0)</f>
        <v>211020401</v>
      </c>
      <c r="AY226" s="10" t="s">
        <v>423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763</v>
      </c>
      <c r="S227" s="9" t="s">
        <v>695</v>
      </c>
      <c r="V227" s="9">
        <f ca="1">IFERROR(OFFSET(ITEM_RES!$A$5,MATCH(BUILDING!U227,ITEM_RES!$J$5:$J$226,0)-1,0),0)</f>
        <v>0</v>
      </c>
      <c r="Y227" s="9">
        <f ca="1">IFERROR(OFFSET(ITEM_RES!$A$5,MATCH(BUILDING!X227,ITEM_RES!$J$5:$J$226,0)-1,0),0)</f>
        <v>0</v>
      </c>
      <c r="AA227" s="9" t="s">
        <v>518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435</v>
      </c>
      <c r="AU227" s="11">
        <v>1</v>
      </c>
      <c r="AX227" s="11">
        <f ca="1">IFERROR(OFFSET(ITEM_RES!$A$1,MATCH(AY227,ITEM_RES!$J:$J,0)-1,0),0)</f>
        <v>211020401</v>
      </c>
      <c r="AY227" s="10" t="s">
        <v>423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763</v>
      </c>
      <c r="S228" s="9" t="s">
        <v>695</v>
      </c>
      <c r="V228" s="9">
        <f ca="1">IFERROR(OFFSET(ITEM_RES!$A$5,MATCH(BUILDING!U228,ITEM_RES!$J$5:$J$226,0)-1,0),0)</f>
        <v>0</v>
      </c>
      <c r="Y228" s="9">
        <f ca="1">IFERROR(OFFSET(ITEM_RES!$A$5,MATCH(BUILDING!X228,ITEM_RES!$J$5:$J$226,0)-1,0),0)</f>
        <v>0</v>
      </c>
      <c r="AA228" s="9" t="s">
        <v>518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435</v>
      </c>
      <c r="AU228" s="11">
        <v>1</v>
      </c>
      <c r="AX228" s="11">
        <f ca="1">IFERROR(OFFSET(ITEM_RES!$A$1,MATCH(AY228,ITEM_RES!$J:$J,0)-1,0),0)</f>
        <v>211020401</v>
      </c>
      <c r="AY228" s="10" t="s">
        <v>423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763</v>
      </c>
      <c r="S229" s="9" t="s">
        <v>695</v>
      </c>
      <c r="V229" s="9">
        <f ca="1">IFERROR(OFFSET(ITEM_RES!$A$5,MATCH(BUILDING!U229,ITEM_RES!$J$5:$J$226,0)-1,0),0)</f>
        <v>0</v>
      </c>
      <c r="Y229" s="9">
        <f ca="1">IFERROR(OFFSET(ITEM_RES!$A$5,MATCH(BUILDING!X229,ITEM_RES!$J$5:$J$226,0)-1,0),0)</f>
        <v>0</v>
      </c>
      <c r="AA229" s="9" t="s">
        <v>518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435</v>
      </c>
      <c r="AU229" s="11">
        <v>1</v>
      </c>
      <c r="AX229" s="11">
        <f ca="1">IFERROR(OFFSET(ITEM_RES!$A$1,MATCH(AY229,ITEM_RES!$J:$J,0)-1,0),0)</f>
        <v>211020401</v>
      </c>
      <c r="AY229" s="10" t="s">
        <v>423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763</v>
      </c>
      <c r="S230" s="9" t="s">
        <v>695</v>
      </c>
      <c r="V230" s="9">
        <f ca="1">IFERROR(OFFSET(ITEM_RES!$A$5,MATCH(BUILDING!U230,ITEM_RES!$J$5:$J$226,0)-1,0),0)</f>
        <v>0</v>
      </c>
      <c r="Y230" s="9">
        <f ca="1">IFERROR(OFFSET(ITEM_RES!$A$5,MATCH(BUILDING!X230,ITEM_RES!$J$5:$J$226,0)-1,0),0)</f>
        <v>0</v>
      </c>
      <c r="AA230" s="9" t="s">
        <v>518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435</v>
      </c>
      <c r="AU230" s="11">
        <v>1</v>
      </c>
      <c r="AX230" s="11">
        <f ca="1">IFERROR(OFFSET(ITEM_RES!$A$1,MATCH(AY230,ITEM_RES!$J:$J,0)-1,0),0)</f>
        <v>211020401</v>
      </c>
      <c r="AY230" s="10" t="s">
        <v>423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763</v>
      </c>
      <c r="S231" s="9" t="s">
        <v>695</v>
      </c>
      <c r="V231" s="9">
        <f ca="1">IFERROR(OFFSET(ITEM_RES!$A$5,MATCH(BUILDING!U231,ITEM_RES!$J$5:$J$226,0)-1,0),0)</f>
        <v>0</v>
      </c>
      <c r="Y231" s="9">
        <f ca="1">IFERROR(OFFSET(ITEM_RES!$A$5,MATCH(BUILDING!X231,ITEM_RES!$J$5:$J$226,0)-1,0),0)</f>
        <v>0</v>
      </c>
      <c r="AA231" s="9" t="s">
        <v>518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435</v>
      </c>
      <c r="AU231" s="11">
        <v>1</v>
      </c>
      <c r="AX231" s="11">
        <f ca="1">IFERROR(OFFSET(ITEM_RES!$A$1,MATCH(AY231,ITEM_RES!$J:$J,0)-1,0),0)</f>
        <v>211020401</v>
      </c>
      <c r="AY231" s="10" t="s">
        <v>423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763</v>
      </c>
      <c r="S232" s="9" t="s">
        <v>695</v>
      </c>
      <c r="V232" s="9">
        <f ca="1">IFERROR(OFFSET(ITEM_RES!$A$5,MATCH(BUILDING!U232,ITEM_RES!$J$5:$J$226,0)-1,0),0)</f>
        <v>0</v>
      </c>
      <c r="Y232" s="9">
        <f ca="1">IFERROR(OFFSET(ITEM_RES!$A$5,MATCH(BUILDING!X232,ITEM_RES!$J$5:$J$226,0)-1,0),0)</f>
        <v>0</v>
      </c>
      <c r="AA232" s="9" t="s">
        <v>518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435</v>
      </c>
      <c r="AU232" s="11">
        <v>1</v>
      </c>
      <c r="AX232" s="11">
        <f ca="1">IFERROR(OFFSET(ITEM_RES!$A$1,MATCH(AY232,ITEM_RES!$J:$J,0)-1,0),0)</f>
        <v>211020401</v>
      </c>
      <c r="AY232" s="10" t="s">
        <v>423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763</v>
      </c>
      <c r="S233" s="9" t="s">
        <v>695</v>
      </c>
      <c r="V233" s="9">
        <f ca="1">IFERROR(OFFSET(ITEM_RES!$A$5,MATCH(BUILDING!U233,ITEM_RES!$J$5:$J$226,0)-1,0),0)</f>
        <v>0</v>
      </c>
      <c r="Y233" s="9">
        <f ca="1">IFERROR(OFFSET(ITEM_RES!$A$5,MATCH(BUILDING!X233,ITEM_RES!$J$5:$J$226,0)-1,0),0)</f>
        <v>0</v>
      </c>
      <c r="AA233" s="9" t="s">
        <v>518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435</v>
      </c>
      <c r="AU233" s="11">
        <v>1</v>
      </c>
      <c r="AX233" s="11">
        <f ca="1">IFERROR(OFFSET(ITEM_RES!$A$1,MATCH(AY233,ITEM_RES!$J:$J,0)-1,0),0)</f>
        <v>211020401</v>
      </c>
      <c r="AY233" s="10" t="s">
        <v>423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763</v>
      </c>
      <c r="S234" s="9" t="s">
        <v>695</v>
      </c>
      <c r="V234" s="9">
        <f ca="1">IFERROR(OFFSET(ITEM_RES!$A$5,MATCH(BUILDING!U234,ITEM_RES!$J$5:$J$226,0)-1,0),0)</f>
        <v>0</v>
      </c>
      <c r="Y234" s="9">
        <f ca="1">IFERROR(OFFSET(ITEM_RES!$A$5,MATCH(BUILDING!X234,ITEM_RES!$J$5:$J$226,0)-1,0),0)</f>
        <v>0</v>
      </c>
      <c r="AA234" s="9" t="s">
        <v>518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435</v>
      </c>
      <c r="AU234" s="11">
        <v>1</v>
      </c>
      <c r="AX234" s="11">
        <f ca="1">IFERROR(OFFSET(ITEM_RES!$A$1,MATCH(AY234,ITEM_RES!$J:$J,0)-1,0),0)</f>
        <v>211020401</v>
      </c>
      <c r="AY234" s="10" t="s">
        <v>423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505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763</v>
      </c>
      <c r="S235" s="9" t="s">
        <v>695</v>
      </c>
      <c r="V235" s="9">
        <f ca="1">IFERROR(OFFSET(ITEM_RES!$A$5,MATCH(BUILDING!U235,ITEM_RES!$J$5:$J$226,0)-1,0),0)</f>
        <v>0</v>
      </c>
      <c r="Y235" s="9">
        <f ca="1">IFERROR(OFFSET(ITEM_RES!$A$5,MATCH(BUILDING!X235,ITEM_RES!$J$5:$J$226,0)-1,0),0)</f>
        <v>0</v>
      </c>
      <c r="AA235" s="9" t="s">
        <v>518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445</v>
      </c>
      <c r="AU235" s="11">
        <v>1</v>
      </c>
      <c r="AX235" s="11">
        <f ca="1">IFERROR(OFFSET(ITEM_RES!$A$1,MATCH(AY235,ITEM_RES!$J:$J,0)-1,0),0)</f>
        <v>211020401</v>
      </c>
      <c r="AY235" s="10" t="s">
        <v>423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763</v>
      </c>
      <c r="S236" s="9" t="s">
        <v>696</v>
      </c>
      <c r="V236" s="9">
        <f ca="1">IFERROR(OFFSET(ITEM_RES!$A$5,MATCH(BUILDING!U236,ITEM_RES!$J$5:$J$226,0)-1,0),0)</f>
        <v>0</v>
      </c>
      <c r="Y236" s="9">
        <f ca="1">IFERROR(OFFSET(ITEM_RES!$A$5,MATCH(BUILDING!X236,ITEM_RES!$J$5:$J$226,0)-1,0),0)</f>
        <v>0</v>
      </c>
      <c r="AA236" s="9" t="s">
        <v>518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445</v>
      </c>
      <c r="AU236" s="11">
        <v>1</v>
      </c>
      <c r="AX236" s="11">
        <f ca="1">IFERROR(OFFSET(ITEM_RES!$A$1,MATCH(AY236,ITEM_RES!$J:$J,0)-1,0),0)</f>
        <v>211020401</v>
      </c>
      <c r="AY236" s="10" t="s">
        <v>423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763</v>
      </c>
      <c r="S237" s="9" t="s">
        <v>696</v>
      </c>
      <c r="V237" s="9">
        <f ca="1">IFERROR(OFFSET(ITEM_RES!$A$5,MATCH(BUILDING!U237,ITEM_RES!$J$5:$J$226,0)-1,0),0)</f>
        <v>0</v>
      </c>
      <c r="Y237" s="9">
        <f ca="1">IFERROR(OFFSET(ITEM_RES!$A$5,MATCH(BUILDING!X237,ITEM_RES!$J$5:$J$226,0)-1,0),0)</f>
        <v>0</v>
      </c>
      <c r="AA237" s="9" t="s">
        <v>518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445</v>
      </c>
      <c r="AU237" s="11">
        <v>1</v>
      </c>
      <c r="AX237" s="11">
        <f ca="1">IFERROR(OFFSET(ITEM_RES!$A$1,MATCH(AY237,ITEM_RES!$J:$J,0)-1,0),0)</f>
        <v>211020401</v>
      </c>
      <c r="AY237" s="10" t="s">
        <v>423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763</v>
      </c>
      <c r="S238" s="9" t="s">
        <v>696</v>
      </c>
      <c r="V238" s="9">
        <f ca="1">IFERROR(OFFSET(ITEM_RES!$A$5,MATCH(BUILDING!U238,ITEM_RES!$J$5:$J$226,0)-1,0),0)</f>
        <v>0</v>
      </c>
      <c r="Y238" s="9">
        <f ca="1">IFERROR(OFFSET(ITEM_RES!$A$5,MATCH(BUILDING!X238,ITEM_RES!$J$5:$J$226,0)-1,0),0)</f>
        <v>0</v>
      </c>
      <c r="AA238" s="9" t="s">
        <v>518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445</v>
      </c>
      <c r="AU238" s="11">
        <v>1</v>
      </c>
      <c r="AX238" s="11">
        <f ca="1">IFERROR(OFFSET(ITEM_RES!$A$1,MATCH(AY238,ITEM_RES!$J:$J,0)-1,0),0)</f>
        <v>211020401</v>
      </c>
      <c r="AY238" s="10" t="s">
        <v>423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763</v>
      </c>
      <c r="S239" s="9" t="s">
        <v>696</v>
      </c>
      <c r="V239" s="9">
        <f ca="1">IFERROR(OFFSET(ITEM_RES!$A$5,MATCH(BUILDING!U239,ITEM_RES!$J$5:$J$226,0)-1,0),0)</f>
        <v>0</v>
      </c>
      <c r="Y239" s="9">
        <f ca="1">IFERROR(OFFSET(ITEM_RES!$A$5,MATCH(BUILDING!X239,ITEM_RES!$J$5:$J$226,0)-1,0),0)</f>
        <v>0</v>
      </c>
      <c r="AA239" s="9" t="s">
        <v>518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445</v>
      </c>
      <c r="AU239" s="11">
        <v>1</v>
      </c>
      <c r="AX239" s="11">
        <f ca="1">IFERROR(OFFSET(ITEM_RES!$A$1,MATCH(AY239,ITEM_RES!$J:$J,0)-1,0),0)</f>
        <v>211020401</v>
      </c>
      <c r="AY239" s="10" t="s">
        <v>436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763</v>
      </c>
      <c r="S240" s="9" t="s">
        <v>696</v>
      </c>
      <c r="V240" s="9">
        <f ca="1">IFERROR(OFFSET(ITEM_RES!$A$5,MATCH(BUILDING!U240,ITEM_RES!$J$5:$J$226,0)-1,0),0)</f>
        <v>0</v>
      </c>
      <c r="Y240" s="9">
        <f ca="1">IFERROR(OFFSET(ITEM_RES!$A$5,MATCH(BUILDING!X240,ITEM_RES!$J$5:$J$226,0)-1,0),0)</f>
        <v>0</v>
      </c>
      <c r="AA240" s="9" t="s">
        <v>518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445</v>
      </c>
      <c r="AU240" s="11">
        <v>1</v>
      </c>
      <c r="AX240" s="11">
        <f ca="1">IFERROR(OFFSET(ITEM_RES!$A$1,MATCH(AY240,ITEM_RES!$J:$J,0)-1,0),0)</f>
        <v>211020501</v>
      </c>
      <c r="AY240" s="10" t="s">
        <v>433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763</v>
      </c>
      <c r="S241" s="9" t="s">
        <v>696</v>
      </c>
      <c r="V241" s="9">
        <f ca="1">IFERROR(OFFSET(ITEM_RES!$A$5,MATCH(BUILDING!U241,ITEM_RES!$J$5:$J$226,0)-1,0),0)</f>
        <v>0</v>
      </c>
      <c r="Y241" s="9">
        <f ca="1">IFERROR(OFFSET(ITEM_RES!$A$5,MATCH(BUILDING!X241,ITEM_RES!$J$5:$J$226,0)-1,0),0)</f>
        <v>0</v>
      </c>
      <c r="AA241" s="9" t="s">
        <v>518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445</v>
      </c>
      <c r="AU241" s="11">
        <v>1</v>
      </c>
      <c r="AX241" s="11">
        <f ca="1">IFERROR(OFFSET(ITEM_RES!$A$1,MATCH(AY241,ITEM_RES!$J:$J,0)-1,0),0)</f>
        <v>211020501</v>
      </c>
      <c r="AY241" s="10" t="s">
        <v>424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763</v>
      </c>
      <c r="S242" s="9" t="s">
        <v>696</v>
      </c>
      <c r="V242" s="9">
        <f ca="1">IFERROR(OFFSET(ITEM_RES!$A$5,MATCH(BUILDING!U242,ITEM_RES!$J$5:$J$226,0)-1,0),0)</f>
        <v>0</v>
      </c>
      <c r="Y242" s="9">
        <f ca="1">IFERROR(OFFSET(ITEM_RES!$A$5,MATCH(BUILDING!X242,ITEM_RES!$J$5:$J$226,0)-1,0),0)</f>
        <v>0</v>
      </c>
      <c r="AA242" s="9" t="s">
        <v>518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445</v>
      </c>
      <c r="AU242" s="11">
        <v>1</v>
      </c>
      <c r="AX242" s="11">
        <f ca="1">IFERROR(OFFSET(ITEM_RES!$A$1,MATCH(AY242,ITEM_RES!$J:$J,0)-1,0),0)</f>
        <v>211020501</v>
      </c>
      <c r="AY242" s="10" t="s">
        <v>424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763</v>
      </c>
      <c r="S243" s="9" t="s">
        <v>696</v>
      </c>
      <c r="V243" s="9">
        <f ca="1">IFERROR(OFFSET(ITEM_RES!$A$5,MATCH(BUILDING!U243,ITEM_RES!$J$5:$J$226,0)-1,0),0)</f>
        <v>0</v>
      </c>
      <c r="Y243" s="9">
        <f ca="1">IFERROR(OFFSET(ITEM_RES!$A$5,MATCH(BUILDING!X243,ITEM_RES!$J$5:$J$226,0)-1,0),0)</f>
        <v>0</v>
      </c>
      <c r="AA243" s="9" t="s">
        <v>518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445</v>
      </c>
      <c r="AU243" s="11">
        <v>1</v>
      </c>
      <c r="AX243" s="11">
        <f ca="1">IFERROR(OFFSET(ITEM_RES!$A$1,MATCH(AY243,ITEM_RES!$J:$J,0)-1,0),0)</f>
        <v>211020501</v>
      </c>
      <c r="AY243" s="10" t="s">
        <v>424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763</v>
      </c>
      <c r="S244" s="9" t="s">
        <v>696</v>
      </c>
      <c r="V244" s="9">
        <f ca="1">IFERROR(OFFSET(ITEM_RES!$A$5,MATCH(BUILDING!U244,ITEM_RES!$J$5:$J$226,0)-1,0),0)</f>
        <v>0</v>
      </c>
      <c r="Y244" s="9">
        <f ca="1">IFERROR(OFFSET(ITEM_RES!$A$5,MATCH(BUILDING!X244,ITEM_RES!$J$5:$J$226,0)-1,0),0)</f>
        <v>0</v>
      </c>
      <c r="AA244" s="9" t="s">
        <v>518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445</v>
      </c>
      <c r="AU244" s="11">
        <v>1</v>
      </c>
      <c r="AX244" s="11">
        <f ca="1">IFERROR(OFFSET(ITEM_RES!$A$1,MATCH(AY244,ITEM_RES!$J:$J,0)-1,0),0)</f>
        <v>211020501</v>
      </c>
      <c r="AY244" s="10" t="s">
        <v>424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1206</v>
      </c>
      <c r="P245" s="17"/>
      <c r="Q245" s="17"/>
      <c r="R245" s="18"/>
      <c r="S245" s="16" t="s">
        <v>697</v>
      </c>
      <c r="T245" s="78"/>
      <c r="U245" s="86"/>
      <c r="V245" s="16">
        <f ca="1">IFERROR(OFFSET(ITEM_RES!$A$5,MATCH(BUILDING!U245,ITEM_RES!$J$5:$J$226,0)-1,0),0)</f>
        <v>0</v>
      </c>
      <c r="W245" s="18"/>
      <c r="X245" s="86"/>
      <c r="Y245" s="16">
        <f ca="1">IFERROR(OFFSET(ITEM_RES!$A$5,MATCH(BUILDING!X245,ITEM_RES!$J$5:$J$226,0)-1,0),0)</f>
        <v>0</v>
      </c>
      <c r="Z245" s="78"/>
      <c r="AA245" s="16" t="s">
        <v>519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435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452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1207</v>
      </c>
      <c r="S246" s="9" t="s">
        <v>697</v>
      </c>
      <c r="V246" s="9">
        <f ca="1">IFERROR(OFFSET(ITEM_RES!$A$5,MATCH(BUILDING!U246,ITEM_RES!$J$5:$J$226,0)-1,0),0)</f>
        <v>0</v>
      </c>
      <c r="Y246" s="9">
        <f ca="1">IFERROR(OFFSET(ITEM_RES!$A$5,MATCH(BUILDING!X246,ITEM_RES!$J$5:$J$226,0)-1,0),0)</f>
        <v>0</v>
      </c>
      <c r="AA246" s="9" t="s">
        <v>519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435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1208</v>
      </c>
      <c r="S247" s="9" t="s">
        <v>697</v>
      </c>
      <c r="V247" s="9">
        <f ca="1">IFERROR(OFFSET(ITEM_RES!$A$5,MATCH(BUILDING!U247,ITEM_RES!$J$5:$J$226,0)-1,0),0)</f>
        <v>0</v>
      </c>
      <c r="Y247" s="9">
        <f ca="1">IFERROR(OFFSET(ITEM_RES!$A$5,MATCH(BUILDING!X247,ITEM_RES!$J$5:$J$226,0)-1,0),0)</f>
        <v>0</v>
      </c>
      <c r="AA247" s="9" t="s">
        <v>519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435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1208</v>
      </c>
      <c r="S248" s="9" t="s">
        <v>697</v>
      </c>
      <c r="V248" s="9">
        <f ca="1">IFERROR(OFFSET(ITEM_RES!$A$5,MATCH(BUILDING!U248,ITEM_RES!$J$5:$J$226,0)-1,0),0)</f>
        <v>0</v>
      </c>
      <c r="Y248" s="9">
        <f ca="1">IFERROR(OFFSET(ITEM_RES!$A$5,MATCH(BUILDING!X248,ITEM_RES!$J$5:$J$226,0)-1,0),0)</f>
        <v>0</v>
      </c>
      <c r="AA248" s="9" t="s">
        <v>519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435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1209</v>
      </c>
      <c r="S249" s="9" t="s">
        <v>697</v>
      </c>
      <c r="V249" s="9">
        <f ca="1">IFERROR(OFFSET(ITEM_RES!$A$5,MATCH(BUILDING!U249,ITEM_RES!$J$5:$J$226,0)-1,0),0)</f>
        <v>0</v>
      </c>
      <c r="Y249" s="9">
        <f ca="1">IFERROR(OFFSET(ITEM_RES!$A$5,MATCH(BUILDING!X249,ITEM_RES!$J$5:$J$226,0)-1,0),0)</f>
        <v>0</v>
      </c>
      <c r="AA249" s="9" t="s">
        <v>519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435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1210</v>
      </c>
      <c r="S250" s="9" t="s">
        <v>697</v>
      </c>
      <c r="V250" s="9">
        <f ca="1">IFERROR(OFFSET(ITEM_RES!$A$5,MATCH(BUILDING!U250,ITEM_RES!$J$5:$J$226,0)-1,0),0)</f>
        <v>0</v>
      </c>
      <c r="Y250" s="9">
        <f ca="1">IFERROR(OFFSET(ITEM_RES!$A$5,MATCH(BUILDING!X250,ITEM_RES!$J$5:$J$226,0)-1,0),0)</f>
        <v>0</v>
      </c>
      <c r="AA250" s="9" t="s">
        <v>519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435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1211</v>
      </c>
      <c r="S251" s="9" t="s">
        <v>697</v>
      </c>
      <c r="V251" s="9">
        <f ca="1">IFERROR(OFFSET(ITEM_RES!$A$5,MATCH(BUILDING!U251,ITEM_RES!$J$5:$J$226,0)-1,0),0)</f>
        <v>0</v>
      </c>
      <c r="Y251" s="9">
        <f ca="1">IFERROR(OFFSET(ITEM_RES!$A$5,MATCH(BUILDING!X251,ITEM_RES!$J$5:$J$226,0)-1,0),0)</f>
        <v>0</v>
      </c>
      <c r="AA251" s="9" t="s">
        <v>519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435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1211</v>
      </c>
      <c r="S252" s="9" t="s">
        <v>697</v>
      </c>
      <c r="V252" s="9">
        <f ca="1">IFERROR(OFFSET(ITEM_RES!$A$5,MATCH(BUILDING!U252,ITEM_RES!$J$5:$J$226,0)-1,0),0)</f>
        <v>0</v>
      </c>
      <c r="Y252" s="9">
        <f ca="1">IFERROR(OFFSET(ITEM_RES!$A$5,MATCH(BUILDING!X252,ITEM_RES!$J$5:$J$226,0)-1,0),0)</f>
        <v>0</v>
      </c>
      <c r="AA252" s="9" t="s">
        <v>519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435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1211</v>
      </c>
      <c r="S253" s="9" t="s">
        <v>697</v>
      </c>
      <c r="V253" s="9">
        <f ca="1">IFERROR(OFFSET(ITEM_RES!$A$5,MATCH(BUILDING!U253,ITEM_RES!$J$5:$J$226,0)-1,0),0)</f>
        <v>0</v>
      </c>
      <c r="Y253" s="9">
        <f ca="1">IFERROR(OFFSET(ITEM_RES!$A$5,MATCH(BUILDING!X253,ITEM_RES!$J$5:$J$226,0)-1,0),0)</f>
        <v>0</v>
      </c>
      <c r="AA253" s="9" t="s">
        <v>519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435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1211</v>
      </c>
      <c r="S254" s="9" t="s">
        <v>697</v>
      </c>
      <c r="V254" s="9">
        <f ca="1">IFERROR(OFFSET(ITEM_RES!$A$5,MATCH(BUILDING!U254,ITEM_RES!$J$5:$J$226,0)-1,0),0)</f>
        <v>0</v>
      </c>
      <c r="Y254" s="9">
        <f ca="1">IFERROR(OFFSET(ITEM_RES!$A$5,MATCH(BUILDING!X254,ITEM_RES!$J$5:$J$226,0)-1,0),0)</f>
        <v>0</v>
      </c>
      <c r="AA254" s="9" t="s">
        <v>519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435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464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1211</v>
      </c>
      <c r="S255" s="9" t="s">
        <v>697</v>
      </c>
      <c r="V255" s="9">
        <f ca="1">IFERROR(OFFSET(ITEM_RES!$A$5,MATCH(BUILDING!U255,ITEM_RES!$J$5:$J$226,0)-1,0),0)</f>
        <v>0</v>
      </c>
      <c r="Y255" s="9">
        <f ca="1">IFERROR(OFFSET(ITEM_RES!$A$5,MATCH(BUILDING!X255,ITEM_RES!$J$5:$J$226,0)-1,0),0)</f>
        <v>0</v>
      </c>
      <c r="AA255" s="9" t="s">
        <v>519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435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1211</v>
      </c>
      <c r="S256" s="9" t="s">
        <v>697</v>
      </c>
      <c r="V256" s="9">
        <f ca="1">IFERROR(OFFSET(ITEM_RES!$A$5,MATCH(BUILDING!U256,ITEM_RES!$J$5:$J$226,0)-1,0),0)</f>
        <v>0</v>
      </c>
      <c r="Y256" s="9">
        <f ca="1">IFERROR(OFFSET(ITEM_RES!$A$5,MATCH(BUILDING!X256,ITEM_RES!$J$5:$J$226,0)-1,0),0)</f>
        <v>0</v>
      </c>
      <c r="AA256" s="9" t="s">
        <v>519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435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1211</v>
      </c>
      <c r="S257" s="9" t="s">
        <v>697</v>
      </c>
      <c r="V257" s="9">
        <f ca="1">IFERROR(OFFSET(ITEM_RES!$A$5,MATCH(BUILDING!U257,ITEM_RES!$J$5:$J$226,0)-1,0),0)</f>
        <v>0</v>
      </c>
      <c r="Y257" s="9">
        <f ca="1">IFERROR(OFFSET(ITEM_RES!$A$5,MATCH(BUILDING!X257,ITEM_RES!$J$5:$J$226,0)-1,0),0)</f>
        <v>0</v>
      </c>
      <c r="AA257" s="9" t="s">
        <v>519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445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1211</v>
      </c>
      <c r="S258" s="9" t="s">
        <v>697</v>
      </c>
      <c r="V258" s="9">
        <f ca="1">IFERROR(OFFSET(ITEM_RES!$A$5,MATCH(BUILDING!U258,ITEM_RES!$J$5:$J$226,0)-1,0),0)</f>
        <v>0</v>
      </c>
      <c r="Y258" s="9">
        <f ca="1">IFERROR(OFFSET(ITEM_RES!$A$5,MATCH(BUILDING!X258,ITEM_RES!$J$5:$J$226,0)-1,0),0)</f>
        <v>0</v>
      </c>
      <c r="AA258" s="9" t="s">
        <v>519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445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1211</v>
      </c>
      <c r="S259" s="9" t="s">
        <v>697</v>
      </c>
      <c r="V259" s="9">
        <f ca="1">IFERROR(OFFSET(ITEM_RES!$A$5,MATCH(BUILDING!U259,ITEM_RES!$J$5:$J$226,0)-1,0),0)</f>
        <v>0</v>
      </c>
      <c r="Y259" s="9">
        <f ca="1">IFERROR(OFFSET(ITEM_RES!$A$5,MATCH(BUILDING!X259,ITEM_RES!$J$5:$J$226,0)-1,0),0)</f>
        <v>0</v>
      </c>
      <c r="AA259" s="9" t="s">
        <v>519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445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1211</v>
      </c>
      <c r="S260" s="9" t="s">
        <v>697</v>
      </c>
      <c r="V260" s="9">
        <f ca="1">IFERROR(OFFSET(ITEM_RES!$A$5,MATCH(BUILDING!U260,ITEM_RES!$J$5:$J$226,0)-1,0),0)</f>
        <v>0</v>
      </c>
      <c r="Y260" s="9">
        <f ca="1">IFERROR(OFFSET(ITEM_RES!$A$5,MATCH(BUILDING!X260,ITEM_RES!$J$5:$J$226,0)-1,0),0)</f>
        <v>0</v>
      </c>
      <c r="AA260" s="9" t="s">
        <v>519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445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1211</v>
      </c>
      <c r="S261" s="9" t="s">
        <v>697</v>
      </c>
      <c r="V261" s="9">
        <f ca="1">IFERROR(OFFSET(ITEM_RES!$A$5,MATCH(BUILDING!U261,ITEM_RES!$J$5:$J$226,0)-1,0),0)</f>
        <v>0</v>
      </c>
      <c r="Y261" s="9">
        <f ca="1">IFERROR(OFFSET(ITEM_RES!$A$5,MATCH(BUILDING!X261,ITEM_RES!$J$5:$J$226,0)-1,0),0)</f>
        <v>0</v>
      </c>
      <c r="AA261" s="9" t="s">
        <v>519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445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1211</v>
      </c>
      <c r="S262" s="9" t="s">
        <v>697</v>
      </c>
      <c r="V262" s="9">
        <f ca="1">IFERROR(OFFSET(ITEM_RES!$A$5,MATCH(BUILDING!U262,ITEM_RES!$J$5:$J$226,0)-1,0),0)</f>
        <v>0</v>
      </c>
      <c r="Y262" s="9">
        <f ca="1">IFERROR(OFFSET(ITEM_RES!$A$5,MATCH(BUILDING!X262,ITEM_RES!$J$5:$J$226,0)-1,0),0)</f>
        <v>0</v>
      </c>
      <c r="AA262" s="9" t="s">
        <v>519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445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1211</v>
      </c>
      <c r="S263" s="9" t="s">
        <v>697</v>
      </c>
      <c r="V263" s="9">
        <f ca="1">IFERROR(OFFSET(ITEM_RES!$A$5,MATCH(BUILDING!U263,ITEM_RES!$J$5:$J$226,0)-1,0),0)</f>
        <v>0</v>
      </c>
      <c r="Y263" s="9">
        <f ca="1">IFERROR(OFFSET(ITEM_RES!$A$5,MATCH(BUILDING!X263,ITEM_RES!$J$5:$J$226,0)-1,0),0)</f>
        <v>0</v>
      </c>
      <c r="AA263" s="9" t="s">
        <v>519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445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1211</v>
      </c>
      <c r="S264" s="9" t="s">
        <v>697</v>
      </c>
      <c r="V264" s="9">
        <f ca="1">IFERROR(OFFSET(ITEM_RES!$A$5,MATCH(BUILDING!U264,ITEM_RES!$J$5:$J$226,0)-1,0),0)</f>
        <v>0</v>
      </c>
      <c r="Y264" s="9">
        <f ca="1">IFERROR(OFFSET(ITEM_RES!$A$5,MATCH(BUILDING!X264,ITEM_RES!$J$5:$J$226,0)-1,0),0)</f>
        <v>0</v>
      </c>
      <c r="AA264" s="9" t="s">
        <v>519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445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698</v>
      </c>
      <c r="T265" s="78"/>
      <c r="U265" s="86"/>
      <c r="V265" s="16">
        <f ca="1">IFERROR(OFFSET(ITEM_RES!$A$5,MATCH(BUILDING!U265,ITEM_RES!$J$5:$J$226,0)-1,0),0)</f>
        <v>0</v>
      </c>
      <c r="W265" s="18"/>
      <c r="X265" s="86"/>
      <c r="Y265" s="16">
        <f ca="1">IFERROR(OFFSET(ITEM_RES!$A$5,MATCH(BUILDING!X265,ITEM_RES!$J$5:$J$226,0)-1,0),0)</f>
        <v>0</v>
      </c>
      <c r="Z265" s="78"/>
      <c r="AA265" s="16" t="s">
        <v>520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435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423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452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698</v>
      </c>
      <c r="V266" s="9">
        <f ca="1">IFERROR(OFFSET(ITEM_RES!$A$5,MATCH(BUILDING!U266,ITEM_RES!$J$5:$J$226,0)-1,0),0)</f>
        <v>0</v>
      </c>
      <c r="Y266" s="9">
        <f ca="1">IFERROR(OFFSET(ITEM_RES!$A$5,MATCH(BUILDING!X266,ITEM_RES!$J$5:$J$226,0)-1,0),0)</f>
        <v>0</v>
      </c>
      <c r="AA266" s="9" t="s">
        <v>520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435</v>
      </c>
      <c r="AU266" s="11">
        <v>1</v>
      </c>
      <c r="AX266" s="11">
        <f ca="1">IFERROR(OFFSET(ITEM_RES!$A$1,MATCH(AY266,ITEM_RES!$J:$J,0)-1,0),0)</f>
        <v>211020401</v>
      </c>
      <c r="AY266" s="10" t="s">
        <v>423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698</v>
      </c>
      <c r="V267" s="9">
        <f ca="1">IFERROR(OFFSET(ITEM_RES!$A$5,MATCH(BUILDING!U267,ITEM_RES!$J$5:$J$226,0)-1,0),0)</f>
        <v>0</v>
      </c>
      <c r="Y267" s="9">
        <f ca="1">IFERROR(OFFSET(ITEM_RES!$A$5,MATCH(BUILDING!X267,ITEM_RES!$J$5:$J$226,0)-1,0),0)</f>
        <v>0</v>
      </c>
      <c r="AA267" s="9" t="s">
        <v>520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435</v>
      </c>
      <c r="AU267" s="11">
        <v>1</v>
      </c>
      <c r="AX267" s="11">
        <f ca="1">IFERROR(OFFSET(ITEM_RES!$A$1,MATCH(AY267,ITEM_RES!$J:$J,0)-1,0),0)</f>
        <v>211020401</v>
      </c>
      <c r="AY267" s="10" t="s">
        <v>423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698</v>
      </c>
      <c r="V268" s="9">
        <f ca="1">IFERROR(OFFSET(ITEM_RES!$A$5,MATCH(BUILDING!U268,ITEM_RES!$J$5:$J$226,0)-1,0),0)</f>
        <v>0</v>
      </c>
      <c r="Y268" s="9">
        <f ca="1">IFERROR(OFFSET(ITEM_RES!$A$5,MATCH(BUILDING!X268,ITEM_RES!$J$5:$J$226,0)-1,0),0)</f>
        <v>0</v>
      </c>
      <c r="AA268" s="9" t="s">
        <v>520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435</v>
      </c>
      <c r="AU268" s="11">
        <v>1</v>
      </c>
      <c r="AX268" s="11">
        <f ca="1">IFERROR(OFFSET(ITEM_RES!$A$1,MATCH(AY268,ITEM_RES!$J:$J,0)-1,0),0)</f>
        <v>211020401</v>
      </c>
      <c r="AY268" s="10" t="s">
        <v>423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698</v>
      </c>
      <c r="V269" s="9">
        <f ca="1">IFERROR(OFFSET(ITEM_RES!$A$5,MATCH(BUILDING!U269,ITEM_RES!$J$5:$J$226,0)-1,0),0)</f>
        <v>0</v>
      </c>
      <c r="Y269" s="9">
        <f ca="1">IFERROR(OFFSET(ITEM_RES!$A$5,MATCH(BUILDING!X269,ITEM_RES!$J$5:$J$226,0)-1,0),0)</f>
        <v>0</v>
      </c>
      <c r="AA269" s="9" t="s">
        <v>520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435</v>
      </c>
      <c r="AU269" s="11">
        <v>1</v>
      </c>
      <c r="AX269" s="11">
        <f ca="1">IFERROR(OFFSET(ITEM_RES!$A$1,MATCH(AY269,ITEM_RES!$J:$J,0)-1,0),0)</f>
        <v>211020401</v>
      </c>
      <c r="AY269" s="10" t="s">
        <v>423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698</v>
      </c>
      <c r="V270" s="9">
        <f ca="1">IFERROR(OFFSET(ITEM_RES!$A$5,MATCH(BUILDING!U270,ITEM_RES!$J$5:$J$226,0)-1,0),0)</f>
        <v>0</v>
      </c>
      <c r="Y270" s="9">
        <f ca="1">IFERROR(OFFSET(ITEM_RES!$A$5,MATCH(BUILDING!X270,ITEM_RES!$J$5:$J$226,0)-1,0),0)</f>
        <v>0</v>
      </c>
      <c r="AA270" s="9" t="s">
        <v>520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435</v>
      </c>
      <c r="AU270" s="11">
        <v>1</v>
      </c>
      <c r="AX270" s="11">
        <f ca="1">IFERROR(OFFSET(ITEM_RES!$A$1,MATCH(AY270,ITEM_RES!$J:$J,0)-1,0),0)</f>
        <v>211020401</v>
      </c>
      <c r="AY270" s="10" t="s">
        <v>423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698</v>
      </c>
      <c r="V271" s="9">
        <f ca="1">IFERROR(OFFSET(ITEM_RES!$A$5,MATCH(BUILDING!U271,ITEM_RES!$J$5:$J$226,0)-1,0),0)</f>
        <v>0</v>
      </c>
      <c r="Y271" s="9">
        <f ca="1">IFERROR(OFFSET(ITEM_RES!$A$5,MATCH(BUILDING!X271,ITEM_RES!$J$5:$J$226,0)-1,0),0)</f>
        <v>0</v>
      </c>
      <c r="AA271" s="9" t="s">
        <v>520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435</v>
      </c>
      <c r="AU271" s="11">
        <v>1</v>
      </c>
      <c r="AX271" s="11">
        <f ca="1">IFERROR(OFFSET(ITEM_RES!$A$1,MATCH(AY271,ITEM_RES!$J:$J,0)-1,0),0)</f>
        <v>211020401</v>
      </c>
      <c r="AY271" s="10" t="s">
        <v>423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698</v>
      </c>
      <c r="V272" s="9">
        <f ca="1">IFERROR(OFFSET(ITEM_RES!$A$5,MATCH(BUILDING!U272,ITEM_RES!$J$5:$J$226,0)-1,0),0)</f>
        <v>0</v>
      </c>
      <c r="Y272" s="9">
        <f ca="1">IFERROR(OFFSET(ITEM_RES!$A$5,MATCH(BUILDING!X272,ITEM_RES!$J$5:$J$226,0)-1,0),0)</f>
        <v>0</v>
      </c>
      <c r="AA272" s="9" t="s">
        <v>520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435</v>
      </c>
      <c r="AU272" s="11">
        <v>1</v>
      </c>
      <c r="AX272" s="11">
        <f ca="1">IFERROR(OFFSET(ITEM_RES!$A$1,MATCH(AY272,ITEM_RES!$J:$J,0)-1,0),0)</f>
        <v>211020401</v>
      </c>
      <c r="AY272" s="10" t="s">
        <v>423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464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698</v>
      </c>
      <c r="V273" s="9">
        <f ca="1">IFERROR(OFFSET(ITEM_RES!$A$5,MATCH(BUILDING!U273,ITEM_RES!$J$5:$J$226,0)-1,0),0)</f>
        <v>0</v>
      </c>
      <c r="Y273" s="9">
        <f ca="1">IFERROR(OFFSET(ITEM_RES!$A$5,MATCH(BUILDING!X273,ITEM_RES!$J$5:$J$226,0)-1,0),0)</f>
        <v>0</v>
      </c>
      <c r="AA273" s="9" t="s">
        <v>520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435</v>
      </c>
      <c r="AU273" s="11">
        <v>1</v>
      </c>
      <c r="AX273" s="11">
        <f ca="1">IFERROR(OFFSET(ITEM_RES!$A$1,MATCH(AY273,ITEM_RES!$J:$J,0)-1,0),0)</f>
        <v>211020401</v>
      </c>
      <c r="AY273" s="10" t="s">
        <v>423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698</v>
      </c>
      <c r="V274" s="9">
        <f ca="1">IFERROR(OFFSET(ITEM_RES!$A$5,MATCH(BUILDING!U274,ITEM_RES!$J$5:$J$226,0)-1,0),0)</f>
        <v>0</v>
      </c>
      <c r="Y274" s="9">
        <f ca="1">IFERROR(OFFSET(ITEM_RES!$A$5,MATCH(BUILDING!X274,ITEM_RES!$J$5:$J$226,0)-1,0),0)</f>
        <v>0</v>
      </c>
      <c r="AA274" s="9" t="s">
        <v>520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435</v>
      </c>
      <c r="AU274" s="11">
        <v>1</v>
      </c>
      <c r="AX274" s="11">
        <f ca="1">IFERROR(OFFSET(ITEM_RES!$A$1,MATCH(AY274,ITEM_RES!$J:$J,0)-1,0),0)</f>
        <v>211020401</v>
      </c>
      <c r="AY274" s="10" t="s">
        <v>423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698</v>
      </c>
      <c r="V275" s="9">
        <f ca="1">IFERROR(OFFSET(ITEM_RES!$A$5,MATCH(BUILDING!U275,ITEM_RES!$J$5:$J$226,0)-1,0),0)</f>
        <v>0</v>
      </c>
      <c r="Y275" s="9">
        <f ca="1">IFERROR(OFFSET(ITEM_RES!$A$5,MATCH(BUILDING!X275,ITEM_RES!$J$5:$J$226,0)-1,0),0)</f>
        <v>0</v>
      </c>
      <c r="AA275" s="9" t="s">
        <v>520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435</v>
      </c>
      <c r="AU275" s="11">
        <v>1</v>
      </c>
      <c r="AX275" s="11">
        <f ca="1">IFERROR(OFFSET(ITEM_RES!$A$1,MATCH(AY275,ITEM_RES!$J:$J,0)-1,0),0)</f>
        <v>211020401</v>
      </c>
      <c r="AY275" s="10" t="s">
        <v>423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698</v>
      </c>
      <c r="V276" s="9">
        <f ca="1">IFERROR(OFFSET(ITEM_RES!$A$5,MATCH(BUILDING!U276,ITEM_RES!$J$5:$J$226,0)-1,0),0)</f>
        <v>0</v>
      </c>
      <c r="Y276" s="9">
        <f ca="1">IFERROR(OFFSET(ITEM_RES!$A$5,MATCH(BUILDING!X276,ITEM_RES!$J$5:$J$226,0)-1,0),0)</f>
        <v>0</v>
      </c>
      <c r="AA276" s="9" t="s">
        <v>520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435</v>
      </c>
      <c r="AU276" s="11">
        <v>1</v>
      </c>
      <c r="AX276" s="11">
        <f ca="1">IFERROR(OFFSET(ITEM_RES!$A$1,MATCH(AY276,ITEM_RES!$J:$J,0)-1,0),0)</f>
        <v>211020401</v>
      </c>
      <c r="AY276" s="10" t="s">
        <v>423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698</v>
      </c>
      <c r="V277" s="9">
        <f ca="1">IFERROR(OFFSET(ITEM_RES!$A$5,MATCH(BUILDING!U277,ITEM_RES!$J$5:$J$226,0)-1,0),0)</f>
        <v>0</v>
      </c>
      <c r="Y277" s="9">
        <f ca="1">IFERROR(OFFSET(ITEM_RES!$A$5,MATCH(BUILDING!X277,ITEM_RES!$J$5:$J$226,0)-1,0),0)</f>
        <v>0</v>
      </c>
      <c r="AA277" s="9" t="s">
        <v>520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435</v>
      </c>
      <c r="AU277" s="11">
        <v>1</v>
      </c>
      <c r="AX277" s="11">
        <f ca="1">IFERROR(OFFSET(ITEM_RES!$A$1,MATCH(AY277,ITEM_RES!$J:$J,0)-1,0),0)</f>
        <v>211020401</v>
      </c>
      <c r="AY277" s="10" t="s">
        <v>423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698</v>
      </c>
      <c r="V278" s="9">
        <f ca="1">IFERROR(OFFSET(ITEM_RES!$A$5,MATCH(BUILDING!U278,ITEM_RES!$J$5:$J$226,0)-1,0),0)</f>
        <v>0</v>
      </c>
      <c r="Y278" s="9">
        <f ca="1">IFERROR(OFFSET(ITEM_RES!$A$5,MATCH(BUILDING!X278,ITEM_RES!$J$5:$J$226,0)-1,0),0)</f>
        <v>0</v>
      </c>
      <c r="AA278" s="9" t="s">
        <v>520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435</v>
      </c>
      <c r="AU278" s="11">
        <v>1</v>
      </c>
      <c r="AX278" s="11">
        <f ca="1">IFERROR(OFFSET(ITEM_RES!$A$1,MATCH(AY278,ITEM_RES!$J:$J,0)-1,0),0)</f>
        <v>211020401</v>
      </c>
      <c r="AY278" s="10" t="s">
        <v>423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698</v>
      </c>
      <c r="V279" s="9">
        <f ca="1">IFERROR(OFFSET(ITEM_RES!$A$5,MATCH(BUILDING!U279,ITEM_RES!$J$5:$J$226,0)-1,0),0)</f>
        <v>0</v>
      </c>
      <c r="Y279" s="9">
        <f ca="1">IFERROR(OFFSET(ITEM_RES!$A$5,MATCH(BUILDING!X279,ITEM_RES!$J$5:$J$226,0)-1,0),0)</f>
        <v>0</v>
      </c>
      <c r="AA279" s="9" t="s">
        <v>520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435</v>
      </c>
      <c r="AU279" s="11">
        <v>1</v>
      </c>
      <c r="AX279" s="11">
        <f ca="1">IFERROR(OFFSET(ITEM_RES!$A$1,MATCH(AY279,ITEM_RES!$J:$J,0)-1,0),0)</f>
        <v>211020401</v>
      </c>
      <c r="AY279" s="10" t="s">
        <v>436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698</v>
      </c>
      <c r="V280" s="9">
        <f ca="1">IFERROR(OFFSET(ITEM_RES!$A$5,MATCH(BUILDING!U280,ITEM_RES!$J$5:$J$226,0)-1,0),0)</f>
        <v>0</v>
      </c>
      <c r="Y280" s="9">
        <f ca="1">IFERROR(OFFSET(ITEM_RES!$A$5,MATCH(BUILDING!X280,ITEM_RES!$J$5:$J$226,0)-1,0),0)</f>
        <v>0</v>
      </c>
      <c r="AA280" s="9" t="s">
        <v>520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435</v>
      </c>
      <c r="AU280" s="11">
        <v>1</v>
      </c>
      <c r="AX280" s="11">
        <f ca="1">IFERROR(OFFSET(ITEM_RES!$A$1,MATCH(AY280,ITEM_RES!$J:$J,0)-1,0),0)</f>
        <v>211020401</v>
      </c>
      <c r="AY280" s="10" t="s">
        <v>436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698</v>
      </c>
      <c r="V281" s="9">
        <f ca="1">IFERROR(OFFSET(ITEM_RES!$A$5,MATCH(BUILDING!U281,ITEM_RES!$J$5:$J$226,0)-1,0),0)</f>
        <v>0</v>
      </c>
      <c r="Y281" s="9">
        <f ca="1">IFERROR(OFFSET(ITEM_RES!$A$5,MATCH(BUILDING!X281,ITEM_RES!$J$5:$J$226,0)-1,0),0)</f>
        <v>0</v>
      </c>
      <c r="AA281" s="9" t="s">
        <v>520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444</v>
      </c>
      <c r="AU281" s="11">
        <v>1</v>
      </c>
      <c r="AX281" s="11">
        <f ca="1">IFERROR(OFFSET(ITEM_RES!$A$1,MATCH(AY281,ITEM_RES!$J:$J,0)-1,0),0)</f>
        <v>211020401</v>
      </c>
      <c r="AY281" s="10" t="s">
        <v>436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698</v>
      </c>
      <c r="V282" s="9">
        <f ca="1">IFERROR(OFFSET(ITEM_RES!$A$5,MATCH(BUILDING!U282,ITEM_RES!$J$5:$J$226,0)-1,0),0)</f>
        <v>0</v>
      </c>
      <c r="Y282" s="9">
        <f ca="1">IFERROR(OFFSET(ITEM_RES!$A$5,MATCH(BUILDING!X282,ITEM_RES!$J$5:$J$226,0)-1,0),0)</f>
        <v>0</v>
      </c>
      <c r="AA282" s="9" t="s">
        <v>520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444</v>
      </c>
      <c r="AU282" s="11">
        <v>1</v>
      </c>
      <c r="AX282" s="11">
        <f ca="1">IFERROR(OFFSET(ITEM_RES!$A$1,MATCH(AY282,ITEM_RES!$J:$J,0)-1,0),0)</f>
        <v>211020501</v>
      </c>
      <c r="AY282" s="10" t="s">
        <v>424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698</v>
      </c>
      <c r="V283" s="9">
        <f ca="1">IFERROR(OFFSET(ITEM_RES!$A$5,MATCH(BUILDING!U283,ITEM_RES!$J$5:$J$226,0)-1,0),0)</f>
        <v>0</v>
      </c>
      <c r="Y283" s="9">
        <f ca="1">IFERROR(OFFSET(ITEM_RES!$A$5,MATCH(BUILDING!X283,ITEM_RES!$J$5:$J$226,0)-1,0),0)</f>
        <v>0</v>
      </c>
      <c r="AA283" s="9" t="s">
        <v>520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444</v>
      </c>
      <c r="AU283" s="11">
        <v>1</v>
      </c>
      <c r="AX283" s="11">
        <f ca="1">IFERROR(OFFSET(ITEM_RES!$A$1,MATCH(AY283,ITEM_RES!$J:$J,0)-1,0),0)</f>
        <v>211020501</v>
      </c>
      <c r="AY283" s="10" t="s">
        <v>424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698</v>
      </c>
      <c r="V284" s="9">
        <f ca="1">IFERROR(OFFSET(ITEM_RES!$A$5,MATCH(BUILDING!U284,ITEM_RES!$J$5:$J$226,0)-1,0),0)</f>
        <v>0</v>
      </c>
      <c r="Y284" s="9">
        <f ca="1">IFERROR(OFFSET(ITEM_RES!$A$5,MATCH(BUILDING!X284,ITEM_RES!$J$5:$J$226,0)-1,0),0)</f>
        <v>0</v>
      </c>
      <c r="AA284" s="9" t="s">
        <v>520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444</v>
      </c>
      <c r="AU284" s="11">
        <v>1</v>
      </c>
      <c r="AX284" s="11">
        <f ca="1">IFERROR(OFFSET(ITEM_RES!$A$1,MATCH(AY284,ITEM_RES!$J:$J,0)-1,0),0)</f>
        <v>211020501</v>
      </c>
      <c r="AY284" s="10" t="s">
        <v>424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1112</v>
      </c>
      <c r="L285" s="16">
        <v>10</v>
      </c>
      <c r="M285" s="16">
        <v>1</v>
      </c>
      <c r="N285" s="16">
        <v>15</v>
      </c>
      <c r="O285" s="140" t="s">
        <v>1118</v>
      </c>
      <c r="P285" s="17"/>
      <c r="Q285" s="17"/>
      <c r="R285" s="18"/>
      <c r="S285" s="16" t="s">
        <v>1113</v>
      </c>
      <c r="T285" s="78"/>
      <c r="U285" s="86"/>
      <c r="V285" s="16">
        <f ca="1">IFERROR(OFFSET(ITEM_RES!$A$5,MATCH(BUILDING!U285,ITEM_RES!$J$5:$J$226,0)-1,0),0)</f>
        <v>0</v>
      </c>
      <c r="W285" s="18"/>
      <c r="X285" s="86"/>
      <c r="Y285" s="16">
        <f ca="1">IFERROR(OFFSET(ITEM_RES!$A$5,MATCH(BUILDING!X285,ITEM_RES!$J$5:$J$226,0)-1,0),0)</f>
        <v>0</v>
      </c>
      <c r="Z285" s="78"/>
      <c r="AA285" s="16" t="s">
        <v>1117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392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395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1112</v>
      </c>
      <c r="M286" s="9">
        <v>1</v>
      </c>
      <c r="N286" s="9">
        <v>15</v>
      </c>
      <c r="O286" s="141" t="s">
        <v>1118</v>
      </c>
      <c r="S286" s="9" t="s">
        <v>1113</v>
      </c>
      <c r="V286" s="9">
        <f ca="1">IFERROR(OFFSET(ITEM_RES!$A$5,MATCH(BUILDING!U286,ITEM_RES!$J$5:$J$226,0)-1,0),0)</f>
        <v>0</v>
      </c>
      <c r="Y286" s="9">
        <f ca="1">IFERROR(OFFSET(ITEM_RES!$A$5,MATCH(BUILDING!X286,ITEM_RES!$J$5:$J$226,0)-1,0),0)</f>
        <v>0</v>
      </c>
      <c r="AA286" s="9" t="s">
        <v>1116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392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1112</v>
      </c>
      <c r="M287" s="9">
        <v>1</v>
      </c>
      <c r="N287" s="9">
        <v>15</v>
      </c>
      <c r="O287" s="141" t="s">
        <v>1118</v>
      </c>
      <c r="S287" s="9" t="s">
        <v>1113</v>
      </c>
      <c r="V287" s="9">
        <f ca="1">IFERROR(OFFSET(ITEM_RES!$A$5,MATCH(BUILDING!U287,ITEM_RES!$J$5:$J$226,0)-1,0),0)</f>
        <v>0</v>
      </c>
      <c r="Y287" s="9">
        <f ca="1">IFERROR(OFFSET(ITEM_RES!$A$5,MATCH(BUILDING!X287,ITEM_RES!$J$5:$J$226,0)-1,0),0)</f>
        <v>0</v>
      </c>
      <c r="AA287" s="9" t="s">
        <v>1116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392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1112</v>
      </c>
      <c r="M288" s="9">
        <v>1</v>
      </c>
      <c r="N288" s="9">
        <v>15</v>
      </c>
      <c r="O288" s="141" t="s">
        <v>1118</v>
      </c>
      <c r="S288" s="9" t="s">
        <v>1113</v>
      </c>
      <c r="V288" s="9">
        <f ca="1">IFERROR(OFFSET(ITEM_RES!$A$5,MATCH(BUILDING!U288,ITEM_RES!$J$5:$J$226,0)-1,0),0)</f>
        <v>0</v>
      </c>
      <c r="Y288" s="9">
        <f ca="1">IFERROR(OFFSET(ITEM_RES!$A$5,MATCH(BUILDING!X288,ITEM_RES!$J$5:$J$226,0)-1,0),0)</f>
        <v>0</v>
      </c>
      <c r="AA288" s="9" t="s">
        <v>1116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392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1112</v>
      </c>
      <c r="M289" s="9">
        <v>1</v>
      </c>
      <c r="N289" s="9">
        <v>15</v>
      </c>
      <c r="O289" s="141" t="s">
        <v>1118</v>
      </c>
      <c r="S289" s="9" t="s">
        <v>1113</v>
      </c>
      <c r="V289" s="9">
        <f ca="1">IFERROR(OFFSET(ITEM_RES!$A$5,MATCH(BUILDING!U289,ITEM_RES!$J$5:$J$226,0)-1,0),0)</f>
        <v>0</v>
      </c>
      <c r="Y289" s="9">
        <f ca="1">IFERROR(OFFSET(ITEM_RES!$A$5,MATCH(BUILDING!X289,ITEM_RES!$J$5:$J$226,0)-1,0),0)</f>
        <v>0</v>
      </c>
      <c r="AA289" s="9" t="s">
        <v>1116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392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1112</v>
      </c>
      <c r="M290" s="9">
        <v>1</v>
      </c>
      <c r="N290" s="9">
        <v>15</v>
      </c>
      <c r="O290" s="141" t="s">
        <v>1118</v>
      </c>
      <c r="S290" s="9" t="s">
        <v>1113</v>
      </c>
      <c r="V290" s="9">
        <f ca="1">IFERROR(OFFSET(ITEM_RES!$A$5,MATCH(BUILDING!U290,ITEM_RES!$J$5:$J$226,0)-1,0),0)</f>
        <v>0</v>
      </c>
      <c r="Y290" s="9">
        <f ca="1">IFERROR(OFFSET(ITEM_RES!$A$5,MATCH(BUILDING!X290,ITEM_RES!$J$5:$J$226,0)-1,0),0)</f>
        <v>0</v>
      </c>
      <c r="AA290" s="9" t="s">
        <v>1116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392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1112</v>
      </c>
      <c r="M291" s="9">
        <v>1</v>
      </c>
      <c r="N291" s="9">
        <v>15</v>
      </c>
      <c r="O291" s="141" t="s">
        <v>1118</v>
      </c>
      <c r="S291" s="9" t="s">
        <v>1113</v>
      </c>
      <c r="V291" s="9">
        <f ca="1">IFERROR(OFFSET(ITEM_RES!$A$5,MATCH(BUILDING!U291,ITEM_RES!$J$5:$J$226,0)-1,0),0)</f>
        <v>0</v>
      </c>
      <c r="Y291" s="9">
        <f ca="1">IFERROR(OFFSET(ITEM_RES!$A$5,MATCH(BUILDING!X291,ITEM_RES!$J$5:$J$226,0)-1,0),0)</f>
        <v>0</v>
      </c>
      <c r="AA291" s="9" t="s">
        <v>1116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392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1112</v>
      </c>
      <c r="M292" s="9">
        <v>1</v>
      </c>
      <c r="N292" s="9">
        <v>15</v>
      </c>
      <c r="O292" s="141" t="s">
        <v>1118</v>
      </c>
      <c r="S292" s="9" t="s">
        <v>1113</v>
      </c>
      <c r="V292" s="9">
        <f ca="1">IFERROR(OFFSET(ITEM_RES!$A$5,MATCH(BUILDING!U292,ITEM_RES!$J$5:$J$226,0)-1,0),0)</f>
        <v>0</v>
      </c>
      <c r="Y292" s="9">
        <f ca="1">IFERROR(OFFSET(ITEM_RES!$A$5,MATCH(BUILDING!X292,ITEM_RES!$J$5:$J$226,0)-1,0),0)</f>
        <v>0</v>
      </c>
      <c r="AA292" s="9" t="s">
        <v>1116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392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456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1112</v>
      </c>
      <c r="M293" s="9">
        <v>1</v>
      </c>
      <c r="N293" s="9">
        <v>15</v>
      </c>
      <c r="O293" s="141" t="s">
        <v>1118</v>
      </c>
      <c r="S293" s="9" t="s">
        <v>1113</v>
      </c>
      <c r="V293" s="9">
        <f ca="1">IFERROR(OFFSET(ITEM_RES!$A$5,MATCH(BUILDING!U293,ITEM_RES!$J$5:$J$226,0)-1,0),0)</f>
        <v>0</v>
      </c>
      <c r="Y293" s="9">
        <f ca="1">IFERROR(OFFSET(ITEM_RES!$A$5,MATCH(BUILDING!X293,ITEM_RES!$J$5:$J$226,0)-1,0),0)</f>
        <v>0</v>
      </c>
      <c r="AA293" s="9" t="s">
        <v>1116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392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1112</v>
      </c>
      <c r="M294" s="9">
        <v>1</v>
      </c>
      <c r="N294" s="9">
        <v>15</v>
      </c>
      <c r="O294" s="141" t="s">
        <v>1118</v>
      </c>
      <c r="S294" s="9" t="s">
        <v>1113</v>
      </c>
      <c r="V294" s="9">
        <f ca="1">IFERROR(OFFSET(ITEM_RES!$A$5,MATCH(BUILDING!U294,ITEM_RES!$J$5:$J$226,0)-1,0),0)</f>
        <v>0</v>
      </c>
      <c r="Y294" s="9">
        <f ca="1">IFERROR(OFFSET(ITEM_RES!$A$5,MATCH(BUILDING!X294,ITEM_RES!$J$5:$J$226,0)-1,0),0)</f>
        <v>0</v>
      </c>
      <c r="AA294" s="9" t="s">
        <v>1116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392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1112</v>
      </c>
      <c r="M295" s="9">
        <v>1</v>
      </c>
      <c r="N295" s="9">
        <v>15</v>
      </c>
      <c r="O295" s="141" t="s">
        <v>1118</v>
      </c>
      <c r="S295" s="9" t="s">
        <v>1113</v>
      </c>
      <c r="V295" s="9">
        <f ca="1">IFERROR(OFFSET(ITEM_RES!$A$5,MATCH(BUILDING!U295,ITEM_RES!$J$5:$J$226,0)-1,0),0)</f>
        <v>0</v>
      </c>
      <c r="Y295" s="9">
        <f ca="1">IFERROR(OFFSET(ITEM_RES!$A$5,MATCH(BUILDING!X295,ITEM_RES!$J$5:$J$226,0)-1,0),0)</f>
        <v>0</v>
      </c>
      <c r="AA295" s="9" t="s">
        <v>1116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392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1112</v>
      </c>
      <c r="M296" s="9">
        <v>1</v>
      </c>
      <c r="N296" s="9">
        <v>15</v>
      </c>
      <c r="O296" s="141" t="s">
        <v>1118</v>
      </c>
      <c r="S296" s="9" t="s">
        <v>1113</v>
      </c>
      <c r="V296" s="9">
        <f ca="1">IFERROR(OFFSET(ITEM_RES!$A$5,MATCH(BUILDING!U296,ITEM_RES!$J$5:$J$226,0)-1,0),0)</f>
        <v>0</v>
      </c>
      <c r="Y296" s="9">
        <f ca="1">IFERROR(OFFSET(ITEM_RES!$A$5,MATCH(BUILDING!X296,ITEM_RES!$J$5:$J$226,0)-1,0),0)</f>
        <v>0</v>
      </c>
      <c r="AA296" s="9" t="s">
        <v>1116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392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1112</v>
      </c>
      <c r="M297" s="9">
        <v>1</v>
      </c>
      <c r="N297" s="9">
        <v>15</v>
      </c>
      <c r="O297" s="141" t="s">
        <v>1118</v>
      </c>
      <c r="S297" s="9" t="s">
        <v>1113</v>
      </c>
      <c r="V297" s="9">
        <f ca="1">IFERROR(OFFSET(ITEM_RES!$A$5,MATCH(BUILDING!U297,ITEM_RES!$J$5:$J$226,0)-1,0),0)</f>
        <v>0</v>
      </c>
      <c r="Y297" s="9">
        <f ca="1">IFERROR(OFFSET(ITEM_RES!$A$5,MATCH(BUILDING!X297,ITEM_RES!$J$5:$J$226,0)-1,0),0)</f>
        <v>0</v>
      </c>
      <c r="AA297" s="9" t="s">
        <v>1116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392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1112</v>
      </c>
      <c r="M298" s="9">
        <v>1</v>
      </c>
      <c r="N298" s="9">
        <v>15</v>
      </c>
      <c r="O298" s="141" t="s">
        <v>1118</v>
      </c>
      <c r="S298" s="9" t="s">
        <v>1113</v>
      </c>
      <c r="V298" s="9">
        <f ca="1">IFERROR(OFFSET(ITEM_RES!$A$5,MATCH(BUILDING!U298,ITEM_RES!$J$5:$J$226,0)-1,0),0)</f>
        <v>0</v>
      </c>
      <c r="Y298" s="9">
        <f ca="1">IFERROR(OFFSET(ITEM_RES!$A$5,MATCH(BUILDING!X298,ITEM_RES!$J$5:$J$226,0)-1,0),0)</f>
        <v>0</v>
      </c>
      <c r="AA298" s="9" t="s">
        <v>1116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392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1112</v>
      </c>
      <c r="M299" s="9">
        <v>1</v>
      </c>
      <c r="N299" s="9">
        <v>15</v>
      </c>
      <c r="O299" s="141" t="s">
        <v>1118</v>
      </c>
      <c r="S299" s="9" t="s">
        <v>1113</v>
      </c>
      <c r="V299" s="9">
        <f ca="1">IFERROR(OFFSET(ITEM_RES!$A$5,MATCH(BUILDING!U299,ITEM_RES!$J$5:$J$226,0)-1,0),0)</f>
        <v>0</v>
      </c>
      <c r="Y299" s="9">
        <f ca="1">IFERROR(OFFSET(ITEM_RES!$A$5,MATCH(BUILDING!X299,ITEM_RES!$J$5:$J$226,0)-1,0),0)</f>
        <v>0</v>
      </c>
      <c r="AA299" s="9" t="s">
        <v>1116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392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1112</v>
      </c>
      <c r="M300" s="9">
        <v>0</v>
      </c>
      <c r="N300" s="9">
        <v>15</v>
      </c>
      <c r="O300" s="141" t="s">
        <v>1118</v>
      </c>
      <c r="S300" s="9" t="s">
        <v>1113</v>
      </c>
      <c r="V300" s="9">
        <f ca="1">IFERROR(OFFSET(ITEM_RES!$A$5,MATCH(BUILDING!U300,ITEM_RES!$J$5:$J$226,0)-1,0),0)</f>
        <v>0</v>
      </c>
      <c r="Y300" s="9">
        <f ca="1">IFERROR(OFFSET(ITEM_RES!$A$5,MATCH(BUILDING!X300,ITEM_RES!$J$5:$J$226,0)-1,0),0)</f>
        <v>0</v>
      </c>
      <c r="AA300" s="9" t="s">
        <v>1116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392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1112</v>
      </c>
      <c r="M301" s="9">
        <v>0</v>
      </c>
      <c r="N301" s="9">
        <v>15</v>
      </c>
      <c r="O301" s="141" t="s">
        <v>1118</v>
      </c>
      <c r="S301" s="9" t="s">
        <v>1113</v>
      </c>
      <c r="V301" s="9">
        <f ca="1">IFERROR(OFFSET(ITEM_RES!$A$5,MATCH(BUILDING!U301,ITEM_RES!$J$5:$J$226,0)-1,0),0)</f>
        <v>0</v>
      </c>
      <c r="Y301" s="9">
        <f ca="1">IFERROR(OFFSET(ITEM_RES!$A$5,MATCH(BUILDING!X301,ITEM_RES!$J$5:$J$226,0)-1,0),0)</f>
        <v>0</v>
      </c>
      <c r="AA301" s="9" t="s">
        <v>1116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393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1112</v>
      </c>
      <c r="M302" s="9">
        <v>0</v>
      </c>
      <c r="N302" s="9">
        <v>15</v>
      </c>
      <c r="O302" s="141" t="s">
        <v>1118</v>
      </c>
      <c r="S302" s="9" t="s">
        <v>1113</v>
      </c>
      <c r="V302" s="9">
        <f ca="1">IFERROR(OFFSET(ITEM_RES!$A$5,MATCH(BUILDING!U302,ITEM_RES!$J$5:$J$226,0)-1,0),0)</f>
        <v>0</v>
      </c>
      <c r="Y302" s="9">
        <f ca="1">IFERROR(OFFSET(ITEM_RES!$A$5,MATCH(BUILDING!X302,ITEM_RES!$J$5:$J$226,0)-1,0),0)</f>
        <v>0</v>
      </c>
      <c r="AA302" s="9" t="s">
        <v>1116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393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1112</v>
      </c>
      <c r="M303" s="9">
        <v>0</v>
      </c>
      <c r="N303" s="9">
        <v>15</v>
      </c>
      <c r="O303" s="141" t="s">
        <v>1118</v>
      </c>
      <c r="S303" s="9" t="s">
        <v>1113</v>
      </c>
      <c r="V303" s="9">
        <f ca="1">IFERROR(OFFSET(ITEM_RES!$A$5,MATCH(BUILDING!U303,ITEM_RES!$J$5:$J$226,0)-1,0),0)</f>
        <v>0</v>
      </c>
      <c r="Y303" s="9">
        <f ca="1">IFERROR(OFFSET(ITEM_RES!$A$5,MATCH(BUILDING!X303,ITEM_RES!$J$5:$J$226,0)-1,0),0)</f>
        <v>0</v>
      </c>
      <c r="AA303" s="9" t="s">
        <v>1116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393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1112</v>
      </c>
      <c r="M304" s="9">
        <v>0</v>
      </c>
      <c r="N304" s="9">
        <v>15</v>
      </c>
      <c r="O304" s="141" t="s">
        <v>1118</v>
      </c>
      <c r="S304" s="9" t="s">
        <v>1113</v>
      </c>
      <c r="V304" s="9">
        <f ca="1">IFERROR(OFFSET(ITEM_RES!$A$5,MATCH(BUILDING!U304,ITEM_RES!$J$5:$J$226,0)-1,0),0)</f>
        <v>0</v>
      </c>
      <c r="Y304" s="9">
        <f ca="1">IFERROR(OFFSET(ITEM_RES!$A$5,MATCH(BUILDING!X304,ITEM_RES!$J$5:$J$226,0)-1,0),0)</f>
        <v>0</v>
      </c>
      <c r="AA304" s="9" t="s">
        <v>1116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393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700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699</v>
      </c>
      <c r="T305" s="78"/>
      <c r="U305" s="86"/>
      <c r="V305" s="16">
        <f ca="1">IFERROR(OFFSET(ITEM_RES!$A$5,MATCH(BUILDING!U305,ITEM_RES!$J$5:$J$226,0)-1,0),0)</f>
        <v>0</v>
      </c>
      <c r="W305" s="18"/>
      <c r="X305" s="86"/>
      <c r="Y305" s="16">
        <f ca="1">IFERROR(OFFSET(ITEM_RES!$A$5,MATCH(BUILDING!X305,ITEM_RES!$J$5:$J$226,0)-1,0),0)</f>
        <v>0</v>
      </c>
      <c r="Z305" s="78"/>
      <c r="AA305" s="16" t="s">
        <v>521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435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452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700</v>
      </c>
      <c r="M306" s="9">
        <v>1</v>
      </c>
      <c r="N306" s="9">
        <v>15</v>
      </c>
      <c r="O306" s="141"/>
      <c r="S306" s="9" t="s">
        <v>699</v>
      </c>
      <c r="V306" s="9">
        <f ca="1">IFERROR(OFFSET(ITEM_RES!$A$5,MATCH(BUILDING!U306,ITEM_RES!$J$5:$J$226,0)-1,0),0)</f>
        <v>0</v>
      </c>
      <c r="Y306" s="9">
        <f ca="1">IFERROR(OFFSET(ITEM_RES!$A$5,MATCH(BUILDING!X306,ITEM_RES!$J$5:$J$226,0)-1,0),0)</f>
        <v>0</v>
      </c>
      <c r="AA306" s="9" t="s">
        <v>521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435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700</v>
      </c>
      <c r="M307" s="9">
        <v>1</v>
      </c>
      <c r="N307" s="9">
        <v>15</v>
      </c>
      <c r="O307" s="141"/>
      <c r="S307" s="9" t="s">
        <v>699</v>
      </c>
      <c r="V307" s="9">
        <f ca="1">IFERROR(OFFSET(ITEM_RES!$A$5,MATCH(BUILDING!U307,ITEM_RES!$J$5:$J$226,0)-1,0),0)</f>
        <v>0</v>
      </c>
      <c r="Y307" s="9">
        <f ca="1">IFERROR(OFFSET(ITEM_RES!$A$5,MATCH(BUILDING!X307,ITEM_RES!$J$5:$J$226,0)-1,0),0)</f>
        <v>0</v>
      </c>
      <c r="AA307" s="9" t="s">
        <v>521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435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700</v>
      </c>
      <c r="M308" s="9">
        <v>1</v>
      </c>
      <c r="N308" s="9">
        <v>15</v>
      </c>
      <c r="O308" s="141"/>
      <c r="S308" s="9" t="s">
        <v>699</v>
      </c>
      <c r="V308" s="9">
        <f ca="1">IFERROR(OFFSET(ITEM_RES!$A$5,MATCH(BUILDING!U308,ITEM_RES!$J$5:$J$226,0)-1,0),0)</f>
        <v>0</v>
      </c>
      <c r="Y308" s="9">
        <f ca="1">IFERROR(OFFSET(ITEM_RES!$A$5,MATCH(BUILDING!X308,ITEM_RES!$J$5:$J$226,0)-1,0),0)</f>
        <v>0</v>
      </c>
      <c r="AA308" s="9" t="s">
        <v>521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435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700</v>
      </c>
      <c r="M309" s="9">
        <v>1</v>
      </c>
      <c r="N309" s="9">
        <v>15</v>
      </c>
      <c r="O309" s="141"/>
      <c r="S309" s="9" t="s">
        <v>699</v>
      </c>
      <c r="V309" s="9">
        <f ca="1">IFERROR(OFFSET(ITEM_RES!$A$5,MATCH(BUILDING!U309,ITEM_RES!$J$5:$J$226,0)-1,0),0)</f>
        <v>0</v>
      </c>
      <c r="Y309" s="9">
        <f ca="1">IFERROR(OFFSET(ITEM_RES!$A$5,MATCH(BUILDING!X309,ITEM_RES!$J$5:$J$226,0)-1,0),0)</f>
        <v>0</v>
      </c>
      <c r="AA309" s="9" t="s">
        <v>521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435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700</v>
      </c>
      <c r="M310" s="9">
        <v>1</v>
      </c>
      <c r="N310" s="9">
        <v>15</v>
      </c>
      <c r="O310" s="141"/>
      <c r="S310" s="9" t="s">
        <v>699</v>
      </c>
      <c r="V310" s="9">
        <f ca="1">IFERROR(OFFSET(ITEM_RES!$A$5,MATCH(BUILDING!U310,ITEM_RES!$J$5:$J$226,0)-1,0),0)</f>
        <v>0</v>
      </c>
      <c r="Y310" s="9">
        <f ca="1">IFERROR(OFFSET(ITEM_RES!$A$5,MATCH(BUILDING!X310,ITEM_RES!$J$5:$J$226,0)-1,0),0)</f>
        <v>0</v>
      </c>
      <c r="AA310" s="9" t="s">
        <v>521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435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700</v>
      </c>
      <c r="M311" s="9">
        <v>1</v>
      </c>
      <c r="N311" s="9">
        <v>15</v>
      </c>
      <c r="O311" s="141"/>
      <c r="S311" s="9" t="s">
        <v>699</v>
      </c>
      <c r="V311" s="9">
        <f ca="1">IFERROR(OFFSET(ITEM_RES!$A$5,MATCH(BUILDING!U311,ITEM_RES!$J$5:$J$226,0)-1,0),0)</f>
        <v>0</v>
      </c>
      <c r="Y311" s="9">
        <f ca="1">IFERROR(OFFSET(ITEM_RES!$A$5,MATCH(BUILDING!X311,ITEM_RES!$J$5:$J$226,0)-1,0),0)</f>
        <v>0</v>
      </c>
      <c r="AA311" s="9" t="s">
        <v>521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435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700</v>
      </c>
      <c r="M312" s="9">
        <v>1</v>
      </c>
      <c r="N312" s="9">
        <v>15</v>
      </c>
      <c r="O312" s="141"/>
      <c r="S312" s="9" t="s">
        <v>699</v>
      </c>
      <c r="V312" s="9">
        <f ca="1">IFERROR(OFFSET(ITEM_RES!$A$5,MATCH(BUILDING!U312,ITEM_RES!$J$5:$J$226,0)-1,0),0)</f>
        <v>0</v>
      </c>
      <c r="Y312" s="9">
        <f ca="1">IFERROR(OFFSET(ITEM_RES!$A$5,MATCH(BUILDING!X312,ITEM_RES!$J$5:$J$226,0)-1,0),0)</f>
        <v>0</v>
      </c>
      <c r="AA312" s="9" t="s">
        <v>521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435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700</v>
      </c>
      <c r="M313" s="9">
        <v>1</v>
      </c>
      <c r="N313" s="9">
        <v>15</v>
      </c>
      <c r="O313" s="141"/>
      <c r="S313" s="9" t="s">
        <v>699</v>
      </c>
      <c r="V313" s="9">
        <f ca="1">IFERROR(OFFSET(ITEM_RES!$A$5,MATCH(BUILDING!U313,ITEM_RES!$J$5:$J$226,0)-1,0),0)</f>
        <v>0</v>
      </c>
      <c r="Y313" s="9">
        <f ca="1">IFERROR(OFFSET(ITEM_RES!$A$5,MATCH(BUILDING!X313,ITEM_RES!$J$5:$J$226,0)-1,0),0)</f>
        <v>0</v>
      </c>
      <c r="AA313" s="9" t="s">
        <v>521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435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700</v>
      </c>
      <c r="M314" s="9">
        <v>1</v>
      </c>
      <c r="N314" s="9">
        <v>15</v>
      </c>
      <c r="O314" s="141"/>
      <c r="S314" s="9" t="s">
        <v>699</v>
      </c>
      <c r="V314" s="9">
        <f ca="1">IFERROR(OFFSET(ITEM_RES!$A$5,MATCH(BUILDING!U314,ITEM_RES!$J$5:$J$226,0)-1,0),0)</f>
        <v>0</v>
      </c>
      <c r="Y314" s="9">
        <f ca="1">IFERROR(OFFSET(ITEM_RES!$A$5,MATCH(BUILDING!X314,ITEM_RES!$J$5:$J$226,0)-1,0),0)</f>
        <v>0</v>
      </c>
      <c r="AA314" s="9" t="s">
        <v>521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435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700</v>
      </c>
      <c r="M315" s="9">
        <v>1</v>
      </c>
      <c r="N315" s="9">
        <v>15</v>
      </c>
      <c r="O315" s="141"/>
      <c r="S315" s="9" t="s">
        <v>699</v>
      </c>
      <c r="V315" s="9">
        <f ca="1">IFERROR(OFFSET(ITEM_RES!$A$5,MATCH(BUILDING!U315,ITEM_RES!$J$5:$J$226,0)-1,0),0)</f>
        <v>0</v>
      </c>
      <c r="Y315" s="9">
        <f ca="1">IFERROR(OFFSET(ITEM_RES!$A$5,MATCH(BUILDING!X315,ITEM_RES!$J$5:$J$226,0)-1,0),0)</f>
        <v>0</v>
      </c>
      <c r="AA315" s="9" t="s">
        <v>521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435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700</v>
      </c>
      <c r="M316" s="9">
        <v>1</v>
      </c>
      <c r="N316" s="9">
        <v>15</v>
      </c>
      <c r="O316" s="141"/>
      <c r="S316" s="9" t="s">
        <v>699</v>
      </c>
      <c r="V316" s="9">
        <f ca="1">IFERROR(OFFSET(ITEM_RES!$A$5,MATCH(BUILDING!U316,ITEM_RES!$J$5:$J$226,0)-1,0),0)</f>
        <v>0</v>
      </c>
      <c r="Y316" s="9">
        <f ca="1">IFERROR(OFFSET(ITEM_RES!$A$5,MATCH(BUILDING!X316,ITEM_RES!$J$5:$J$226,0)-1,0),0)</f>
        <v>0</v>
      </c>
      <c r="AA316" s="9" t="s">
        <v>521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435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700</v>
      </c>
      <c r="M317" s="9">
        <v>1</v>
      </c>
      <c r="N317" s="9">
        <v>15</v>
      </c>
      <c r="O317" s="141"/>
      <c r="S317" s="9" t="s">
        <v>699</v>
      </c>
      <c r="V317" s="9">
        <f ca="1">IFERROR(OFFSET(ITEM_RES!$A$5,MATCH(BUILDING!U317,ITEM_RES!$J$5:$J$226,0)-1,0),0)</f>
        <v>0</v>
      </c>
      <c r="Y317" s="9">
        <f ca="1">IFERROR(OFFSET(ITEM_RES!$A$5,MATCH(BUILDING!X317,ITEM_RES!$J$5:$J$226,0)-1,0),0)</f>
        <v>0</v>
      </c>
      <c r="AA317" s="9" t="s">
        <v>521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435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700</v>
      </c>
      <c r="M318" s="9">
        <v>1</v>
      </c>
      <c r="N318" s="9">
        <v>15</v>
      </c>
      <c r="O318" s="141"/>
      <c r="S318" s="9" t="s">
        <v>699</v>
      </c>
      <c r="V318" s="9">
        <f ca="1">IFERROR(OFFSET(ITEM_RES!$A$5,MATCH(BUILDING!U318,ITEM_RES!$J$5:$J$226,0)-1,0),0)</f>
        <v>0</v>
      </c>
      <c r="Y318" s="9">
        <f ca="1">IFERROR(OFFSET(ITEM_RES!$A$5,MATCH(BUILDING!X318,ITEM_RES!$J$5:$J$226,0)-1,0),0)</f>
        <v>0</v>
      </c>
      <c r="AA318" s="9" t="s">
        <v>521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435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464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700</v>
      </c>
      <c r="M319" s="9">
        <v>1</v>
      </c>
      <c r="N319" s="9">
        <v>15</v>
      </c>
      <c r="O319" s="141"/>
      <c r="S319" s="9" t="s">
        <v>699</v>
      </c>
      <c r="V319" s="9">
        <f ca="1">IFERROR(OFFSET(ITEM_RES!$A$5,MATCH(BUILDING!U319,ITEM_RES!$J$5:$J$226,0)-1,0),0)</f>
        <v>0</v>
      </c>
      <c r="Y319" s="9">
        <f ca="1">IFERROR(OFFSET(ITEM_RES!$A$5,MATCH(BUILDING!X319,ITEM_RES!$J$5:$J$226,0)-1,0),0)</f>
        <v>0</v>
      </c>
      <c r="AA319" s="9" t="s">
        <v>521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435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700</v>
      </c>
      <c r="M320" s="9">
        <v>0</v>
      </c>
      <c r="N320" s="9">
        <v>15</v>
      </c>
      <c r="O320" s="141"/>
      <c r="S320" s="9" t="s">
        <v>699</v>
      </c>
      <c r="V320" s="9">
        <f ca="1">IFERROR(OFFSET(ITEM_RES!$A$5,MATCH(BUILDING!U320,ITEM_RES!$J$5:$J$226,0)-1,0),0)</f>
        <v>0</v>
      </c>
      <c r="Y320" s="9">
        <f ca="1">IFERROR(OFFSET(ITEM_RES!$A$5,MATCH(BUILDING!X320,ITEM_RES!$J$5:$J$226,0)-1,0),0)</f>
        <v>0</v>
      </c>
      <c r="AA320" s="9" t="s">
        <v>521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435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700</v>
      </c>
      <c r="M321" s="9">
        <v>0</v>
      </c>
      <c r="N321" s="9">
        <v>15</v>
      </c>
      <c r="O321" s="141"/>
      <c r="S321" s="9" t="s">
        <v>699</v>
      </c>
      <c r="V321" s="9">
        <f ca="1">IFERROR(OFFSET(ITEM_RES!$A$5,MATCH(BUILDING!U321,ITEM_RES!$J$5:$J$226,0)-1,0),0)</f>
        <v>0</v>
      </c>
      <c r="Y321" s="9">
        <f ca="1">IFERROR(OFFSET(ITEM_RES!$A$5,MATCH(BUILDING!X321,ITEM_RES!$J$5:$J$226,0)-1,0),0)</f>
        <v>0</v>
      </c>
      <c r="AA321" s="9" t="s">
        <v>521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435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700</v>
      </c>
      <c r="M322" s="9">
        <v>0</v>
      </c>
      <c r="N322" s="9">
        <v>15</v>
      </c>
      <c r="O322" s="141"/>
      <c r="S322" s="9" t="s">
        <v>699</v>
      </c>
      <c r="V322" s="9">
        <f ca="1">IFERROR(OFFSET(ITEM_RES!$A$5,MATCH(BUILDING!U322,ITEM_RES!$J$5:$J$226,0)-1,0),0)</f>
        <v>0</v>
      </c>
      <c r="Y322" s="9">
        <f ca="1">IFERROR(OFFSET(ITEM_RES!$A$5,MATCH(BUILDING!X322,ITEM_RES!$J$5:$J$226,0)-1,0),0)</f>
        <v>0</v>
      </c>
      <c r="AA322" s="9" t="s">
        <v>521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444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700</v>
      </c>
      <c r="M323" s="9">
        <v>0</v>
      </c>
      <c r="N323" s="9">
        <v>15</v>
      </c>
      <c r="O323" s="141"/>
      <c r="S323" s="9" t="s">
        <v>699</v>
      </c>
      <c r="V323" s="9">
        <f ca="1">IFERROR(OFFSET(ITEM_RES!$A$5,MATCH(BUILDING!U323,ITEM_RES!$J$5:$J$226,0)-1,0),0)</f>
        <v>0</v>
      </c>
      <c r="Y323" s="9">
        <f ca="1">IFERROR(OFFSET(ITEM_RES!$A$5,MATCH(BUILDING!X323,ITEM_RES!$J$5:$J$226,0)-1,0),0)</f>
        <v>0</v>
      </c>
      <c r="AA323" s="9" t="s">
        <v>521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444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700</v>
      </c>
      <c r="M324" s="9">
        <v>0</v>
      </c>
      <c r="N324" s="9">
        <v>15</v>
      </c>
      <c r="O324" s="141"/>
      <c r="S324" s="9" t="s">
        <v>699</v>
      </c>
      <c r="V324" s="9">
        <f ca="1">IFERROR(OFFSET(ITEM_RES!$A$5,MATCH(BUILDING!U324,ITEM_RES!$J$5:$J$226,0)-1,0),0)</f>
        <v>0</v>
      </c>
      <c r="Y324" s="9">
        <f ca="1">IFERROR(OFFSET(ITEM_RES!$A$5,MATCH(BUILDING!X324,ITEM_RES!$J$5:$J$226,0)-1,0),0)</f>
        <v>0</v>
      </c>
      <c r="AA324" s="9" t="s">
        <v>521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444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967</v>
      </c>
      <c r="L325" s="16">
        <v>6</v>
      </c>
      <c r="M325" s="16">
        <v>1</v>
      </c>
      <c r="N325" s="16">
        <v>15</v>
      </c>
      <c r="O325" s="16" t="s">
        <v>1212</v>
      </c>
      <c r="P325" s="17"/>
      <c r="Q325" s="17"/>
      <c r="R325" s="18"/>
      <c r="S325" s="16" t="s">
        <v>701</v>
      </c>
      <c r="T325" s="78"/>
      <c r="U325" s="86"/>
      <c r="V325" s="16">
        <f ca="1">IFERROR(OFFSET(ITEM_RES!$A$5,MATCH(BUILDING!U325,ITEM_RES!$J$5:$J$226,0)-1,0),0)</f>
        <v>0</v>
      </c>
      <c r="W325" s="18"/>
      <c r="X325" s="86"/>
      <c r="Y325" s="16">
        <f ca="1">IFERROR(OFFSET(ITEM_RES!$A$5,MATCH(BUILDING!X325,ITEM_RES!$J$5:$J$226,0)-1,0),0)</f>
        <v>0</v>
      </c>
      <c r="Z325" s="78"/>
      <c r="AA325" s="16" t="s">
        <v>522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435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452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967</v>
      </c>
      <c r="M326" s="9">
        <v>1</v>
      </c>
      <c r="N326" s="9">
        <v>15</v>
      </c>
      <c r="O326" s="9" t="s">
        <v>1213</v>
      </c>
      <c r="S326" s="9" t="s">
        <v>701</v>
      </c>
      <c r="V326" s="9">
        <f ca="1">IFERROR(OFFSET(ITEM_RES!$A$5,MATCH(BUILDING!U326,ITEM_RES!$J$5:$J$226,0)-1,0),0)</f>
        <v>0</v>
      </c>
      <c r="Y326" s="9">
        <f ca="1">IFERROR(OFFSET(ITEM_RES!$A$5,MATCH(BUILDING!X326,ITEM_RES!$J$5:$J$226,0)-1,0),0)</f>
        <v>0</v>
      </c>
      <c r="AA326" s="9" t="s">
        <v>522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435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967</v>
      </c>
      <c r="M327" s="9">
        <v>1</v>
      </c>
      <c r="N327" s="9">
        <v>15</v>
      </c>
      <c r="O327" s="9" t="s">
        <v>1214</v>
      </c>
      <c r="S327" s="9" t="s">
        <v>701</v>
      </c>
      <c r="V327" s="9">
        <f ca="1">IFERROR(OFFSET(ITEM_RES!$A$5,MATCH(BUILDING!U327,ITEM_RES!$J$5:$J$226,0)-1,0),0)</f>
        <v>0</v>
      </c>
      <c r="Y327" s="9">
        <f ca="1">IFERROR(OFFSET(ITEM_RES!$A$5,MATCH(BUILDING!X327,ITEM_RES!$J$5:$J$226,0)-1,0),0)</f>
        <v>0</v>
      </c>
      <c r="AA327" s="9" t="s">
        <v>522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435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967</v>
      </c>
      <c r="M328" s="9">
        <v>1</v>
      </c>
      <c r="N328" s="9">
        <v>15</v>
      </c>
      <c r="O328" s="9" t="s">
        <v>1215</v>
      </c>
      <c r="S328" s="9" t="s">
        <v>701</v>
      </c>
      <c r="V328" s="9">
        <f ca="1">IFERROR(OFFSET(ITEM_RES!$A$5,MATCH(BUILDING!U328,ITEM_RES!$J$5:$J$226,0)-1,0),0)</f>
        <v>0</v>
      </c>
      <c r="Y328" s="9">
        <f ca="1">IFERROR(OFFSET(ITEM_RES!$A$5,MATCH(BUILDING!X328,ITEM_RES!$J$5:$J$226,0)-1,0),0)</f>
        <v>0</v>
      </c>
      <c r="AA328" s="9" t="s">
        <v>522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435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967</v>
      </c>
      <c r="M329" s="9">
        <v>1</v>
      </c>
      <c r="N329" s="9">
        <v>15</v>
      </c>
      <c r="O329" s="9" t="s">
        <v>1216</v>
      </c>
      <c r="S329" s="9" t="s">
        <v>701</v>
      </c>
      <c r="V329" s="9">
        <f ca="1">IFERROR(OFFSET(ITEM_RES!$A$5,MATCH(BUILDING!U329,ITEM_RES!$J$5:$J$226,0)-1,0),0)</f>
        <v>0</v>
      </c>
      <c r="Y329" s="9">
        <f ca="1">IFERROR(OFFSET(ITEM_RES!$A$5,MATCH(BUILDING!X329,ITEM_RES!$J$5:$J$226,0)-1,0),0)</f>
        <v>0</v>
      </c>
      <c r="AA329" s="9" t="s">
        <v>522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435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967</v>
      </c>
      <c r="M330" s="9">
        <v>1</v>
      </c>
      <c r="N330" s="9">
        <v>15</v>
      </c>
      <c r="O330" s="9" t="s">
        <v>1217</v>
      </c>
      <c r="S330" s="9" t="s">
        <v>701</v>
      </c>
      <c r="V330" s="9">
        <f ca="1">IFERROR(OFFSET(ITEM_RES!$A$5,MATCH(BUILDING!U330,ITEM_RES!$J$5:$J$226,0)-1,0),0)</f>
        <v>0</v>
      </c>
      <c r="Y330" s="9">
        <f ca="1">IFERROR(OFFSET(ITEM_RES!$A$5,MATCH(BUILDING!X330,ITEM_RES!$J$5:$J$226,0)-1,0),0)</f>
        <v>0</v>
      </c>
      <c r="AA330" s="9" t="s">
        <v>522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435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967</v>
      </c>
      <c r="M331" s="9">
        <v>1</v>
      </c>
      <c r="N331" s="9">
        <v>15</v>
      </c>
      <c r="O331" s="9" t="s">
        <v>1218</v>
      </c>
      <c r="S331" s="9" t="s">
        <v>701</v>
      </c>
      <c r="V331" s="9">
        <f ca="1">IFERROR(OFFSET(ITEM_RES!$A$5,MATCH(BUILDING!U331,ITEM_RES!$J$5:$J$226,0)-1,0),0)</f>
        <v>0</v>
      </c>
      <c r="Y331" s="9">
        <f ca="1">IFERROR(OFFSET(ITEM_RES!$A$5,MATCH(BUILDING!X331,ITEM_RES!$J$5:$J$226,0)-1,0),0)</f>
        <v>0</v>
      </c>
      <c r="AA331" s="9" t="s">
        <v>522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435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967</v>
      </c>
      <c r="M332" s="9">
        <v>1</v>
      </c>
      <c r="N332" s="9">
        <v>15</v>
      </c>
      <c r="O332" s="9" t="s">
        <v>1218</v>
      </c>
      <c r="S332" s="9" t="s">
        <v>701</v>
      </c>
      <c r="V332" s="9">
        <f ca="1">IFERROR(OFFSET(ITEM_RES!$A$5,MATCH(BUILDING!U332,ITEM_RES!$J$5:$J$226,0)-1,0),0)</f>
        <v>0</v>
      </c>
      <c r="Y332" s="9">
        <f ca="1">IFERROR(OFFSET(ITEM_RES!$A$5,MATCH(BUILDING!X332,ITEM_RES!$J$5:$J$226,0)-1,0),0)</f>
        <v>0</v>
      </c>
      <c r="AA332" s="9" t="s">
        <v>522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435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967</v>
      </c>
      <c r="M333" s="9">
        <v>1</v>
      </c>
      <c r="N333" s="9">
        <v>15</v>
      </c>
      <c r="O333" s="9" t="s">
        <v>1218</v>
      </c>
      <c r="S333" s="9" t="s">
        <v>701</v>
      </c>
      <c r="V333" s="9">
        <f ca="1">IFERROR(OFFSET(ITEM_RES!$A$5,MATCH(BUILDING!U333,ITEM_RES!$J$5:$J$226,0)-1,0),0)</f>
        <v>0</v>
      </c>
      <c r="Y333" s="9">
        <f ca="1">IFERROR(OFFSET(ITEM_RES!$A$5,MATCH(BUILDING!X333,ITEM_RES!$J$5:$J$226,0)-1,0),0)</f>
        <v>0</v>
      </c>
      <c r="AA333" s="9" t="s">
        <v>522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435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967</v>
      </c>
      <c r="M334" s="9">
        <v>1</v>
      </c>
      <c r="N334" s="9">
        <v>15</v>
      </c>
      <c r="O334" s="9" t="s">
        <v>1218</v>
      </c>
      <c r="S334" s="9" t="s">
        <v>701</v>
      </c>
      <c r="V334" s="9">
        <f ca="1">IFERROR(OFFSET(ITEM_RES!$A$5,MATCH(BUILDING!U334,ITEM_RES!$J$5:$J$226,0)-1,0),0)</f>
        <v>0</v>
      </c>
      <c r="Y334" s="9">
        <f ca="1">IFERROR(OFFSET(ITEM_RES!$A$5,MATCH(BUILDING!X334,ITEM_RES!$J$5:$J$226,0)-1,0),0)</f>
        <v>0</v>
      </c>
      <c r="AA334" s="9" t="s">
        <v>522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435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967</v>
      </c>
      <c r="M335" s="9">
        <v>1</v>
      </c>
      <c r="N335" s="9">
        <v>15</v>
      </c>
      <c r="O335" s="9" t="s">
        <v>1218</v>
      </c>
      <c r="S335" s="9" t="s">
        <v>701</v>
      </c>
      <c r="V335" s="9">
        <f ca="1">IFERROR(OFFSET(ITEM_RES!$A$5,MATCH(BUILDING!U335,ITEM_RES!$J$5:$J$226,0)-1,0),0)</f>
        <v>0</v>
      </c>
      <c r="Y335" s="9">
        <f ca="1">IFERROR(OFFSET(ITEM_RES!$A$5,MATCH(BUILDING!X335,ITEM_RES!$J$5:$J$226,0)-1,0),0)</f>
        <v>0</v>
      </c>
      <c r="AA335" s="9" t="s">
        <v>522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435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967</v>
      </c>
      <c r="M336" s="9">
        <v>1</v>
      </c>
      <c r="N336" s="9">
        <v>15</v>
      </c>
      <c r="O336" s="9" t="s">
        <v>1218</v>
      </c>
      <c r="S336" s="9" t="s">
        <v>701</v>
      </c>
      <c r="V336" s="9">
        <f ca="1">IFERROR(OFFSET(ITEM_RES!$A$5,MATCH(BUILDING!U336,ITEM_RES!$J$5:$J$226,0)-1,0),0)</f>
        <v>0</v>
      </c>
      <c r="Y336" s="9">
        <f ca="1">IFERROR(OFFSET(ITEM_RES!$A$5,MATCH(BUILDING!X336,ITEM_RES!$J$5:$J$226,0)-1,0),0)</f>
        <v>0</v>
      </c>
      <c r="AA336" s="9" t="s">
        <v>522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435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967</v>
      </c>
      <c r="M337" s="9">
        <v>1</v>
      </c>
      <c r="N337" s="9">
        <v>15</v>
      </c>
      <c r="O337" s="9" t="s">
        <v>1218</v>
      </c>
      <c r="S337" s="9" t="s">
        <v>701</v>
      </c>
      <c r="V337" s="9">
        <f ca="1">IFERROR(OFFSET(ITEM_RES!$A$5,MATCH(BUILDING!U337,ITEM_RES!$J$5:$J$226,0)-1,0),0)</f>
        <v>0</v>
      </c>
      <c r="Y337" s="9">
        <f ca="1">IFERROR(OFFSET(ITEM_RES!$A$5,MATCH(BUILDING!X337,ITEM_RES!$J$5:$J$226,0)-1,0),0)</f>
        <v>0</v>
      </c>
      <c r="AA337" s="9" t="s">
        <v>522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435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967</v>
      </c>
      <c r="M338" s="9">
        <v>1</v>
      </c>
      <c r="N338" s="9">
        <v>15</v>
      </c>
      <c r="O338" s="9" t="s">
        <v>1218</v>
      </c>
      <c r="S338" s="9" t="s">
        <v>701</v>
      </c>
      <c r="V338" s="9">
        <f ca="1">IFERROR(OFFSET(ITEM_RES!$A$5,MATCH(BUILDING!U338,ITEM_RES!$J$5:$J$226,0)-1,0),0)</f>
        <v>0</v>
      </c>
      <c r="Y338" s="9">
        <f ca="1">IFERROR(OFFSET(ITEM_RES!$A$5,MATCH(BUILDING!X338,ITEM_RES!$J$5:$J$226,0)-1,0),0)</f>
        <v>0</v>
      </c>
      <c r="AA338" s="9" t="s">
        <v>522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435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464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967</v>
      </c>
      <c r="M339" s="9">
        <v>1</v>
      </c>
      <c r="N339" s="9">
        <v>15</v>
      </c>
      <c r="O339" s="9" t="s">
        <v>1218</v>
      </c>
      <c r="S339" s="9" t="s">
        <v>701</v>
      </c>
      <c r="V339" s="9">
        <f ca="1">IFERROR(OFFSET(ITEM_RES!$A$5,MATCH(BUILDING!U339,ITEM_RES!$J$5:$J$226,0)-1,0),0)</f>
        <v>0</v>
      </c>
      <c r="Y339" s="9">
        <f ca="1">IFERROR(OFFSET(ITEM_RES!$A$5,MATCH(BUILDING!X339,ITEM_RES!$J$5:$J$226,0)-1,0),0)</f>
        <v>0</v>
      </c>
      <c r="AA339" s="9" t="s">
        <v>522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435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967</v>
      </c>
      <c r="M340" s="9">
        <v>0</v>
      </c>
      <c r="N340" s="9">
        <v>15</v>
      </c>
      <c r="O340" s="9" t="s">
        <v>1218</v>
      </c>
      <c r="S340" s="9" t="s">
        <v>701</v>
      </c>
      <c r="V340" s="9">
        <f ca="1">IFERROR(OFFSET(ITEM_RES!$A$5,MATCH(BUILDING!U340,ITEM_RES!$J$5:$J$226,0)-1,0),0)</f>
        <v>0</v>
      </c>
      <c r="Y340" s="9">
        <f ca="1">IFERROR(OFFSET(ITEM_RES!$A$5,MATCH(BUILDING!X340,ITEM_RES!$J$5:$J$226,0)-1,0),0)</f>
        <v>0</v>
      </c>
      <c r="AA340" s="9" t="s">
        <v>522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435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967</v>
      </c>
      <c r="M341" s="9">
        <v>0</v>
      </c>
      <c r="N341" s="9">
        <v>15</v>
      </c>
      <c r="O341" s="9" t="s">
        <v>1218</v>
      </c>
      <c r="S341" s="9" t="s">
        <v>701</v>
      </c>
      <c r="V341" s="9">
        <f ca="1">IFERROR(OFFSET(ITEM_RES!$A$5,MATCH(BUILDING!U341,ITEM_RES!$J$5:$J$226,0)-1,0),0)</f>
        <v>0</v>
      </c>
      <c r="Y341" s="9">
        <f ca="1">IFERROR(OFFSET(ITEM_RES!$A$5,MATCH(BUILDING!X341,ITEM_RES!$J$5:$J$226,0)-1,0),0)</f>
        <v>0</v>
      </c>
      <c r="AA341" s="9" t="s">
        <v>522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435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967</v>
      </c>
      <c r="M342" s="9">
        <v>0</v>
      </c>
      <c r="N342" s="9">
        <v>15</v>
      </c>
      <c r="O342" s="9" t="s">
        <v>1218</v>
      </c>
      <c r="S342" s="9" t="s">
        <v>701</v>
      </c>
      <c r="V342" s="9">
        <f ca="1">IFERROR(OFFSET(ITEM_RES!$A$5,MATCH(BUILDING!U342,ITEM_RES!$J$5:$J$226,0)-1,0),0)</f>
        <v>0</v>
      </c>
      <c r="Y342" s="9">
        <f ca="1">IFERROR(OFFSET(ITEM_RES!$A$5,MATCH(BUILDING!X342,ITEM_RES!$J$5:$J$226,0)-1,0),0)</f>
        <v>0</v>
      </c>
      <c r="AA342" s="9" t="s">
        <v>522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435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967</v>
      </c>
      <c r="M343" s="9">
        <v>0</v>
      </c>
      <c r="N343" s="9">
        <v>15</v>
      </c>
      <c r="O343" s="9" t="s">
        <v>1218</v>
      </c>
      <c r="S343" s="9" t="s">
        <v>701</v>
      </c>
      <c r="V343" s="9">
        <f ca="1">IFERROR(OFFSET(ITEM_RES!$A$5,MATCH(BUILDING!U343,ITEM_RES!$J$5:$J$226,0)-1,0),0)</f>
        <v>0</v>
      </c>
      <c r="Y343" s="9">
        <f ca="1">IFERROR(OFFSET(ITEM_RES!$A$5,MATCH(BUILDING!X343,ITEM_RES!$J$5:$J$226,0)-1,0),0)</f>
        <v>0</v>
      </c>
      <c r="AA343" s="9" t="s">
        <v>522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444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967</v>
      </c>
      <c r="M344" s="9">
        <v>0</v>
      </c>
      <c r="N344" s="9">
        <v>15</v>
      </c>
      <c r="O344" s="9" t="s">
        <v>1218</v>
      </c>
      <c r="S344" s="9" t="s">
        <v>701</v>
      </c>
      <c r="V344" s="9">
        <f ca="1">IFERROR(OFFSET(ITEM_RES!$A$5,MATCH(BUILDING!U344,ITEM_RES!$J$5:$J$226,0)-1,0),0)</f>
        <v>0</v>
      </c>
      <c r="Y344" s="9">
        <f ca="1">IFERROR(OFFSET(ITEM_RES!$A$5,MATCH(BUILDING!X344,ITEM_RES!$J$5:$J$226,0)-1,0),0)</f>
        <v>0</v>
      </c>
      <c r="AA344" s="9" t="s">
        <v>522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444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761</v>
      </c>
      <c r="P345" s="17"/>
      <c r="Q345" s="17"/>
      <c r="R345" s="18"/>
      <c r="S345" s="16" t="s">
        <v>702</v>
      </c>
      <c r="T345" s="78"/>
      <c r="U345" s="86" t="s">
        <v>551</v>
      </c>
      <c r="V345" s="16">
        <f ca="1">IFERROR(OFFSET(ITEM_RES!$A$5,MATCH(BUILDING!U345,ITEM_RES!$J$5:$J$226,0)-1,0),0)</f>
        <v>211020601</v>
      </c>
      <c r="W345" s="18">
        <v>2</v>
      </c>
      <c r="X345" s="86" t="s">
        <v>546</v>
      </c>
      <c r="Y345" s="16">
        <f ca="1">IFERROR(OFFSET(ITEM_RES!$A$5,MATCH(BUILDING!X345,ITEM_RES!$J$5:$J$226,0)-1,0),0)</f>
        <v>211020701</v>
      </c>
      <c r="Z345" s="78"/>
      <c r="AA345" s="16" t="s">
        <v>523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436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435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452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761</v>
      </c>
      <c r="S346" s="9" t="s">
        <v>702</v>
      </c>
      <c r="U346" s="84" t="s">
        <v>551</v>
      </c>
      <c r="V346" s="9">
        <f ca="1">IFERROR(OFFSET(ITEM_RES!$A$5,MATCH(BUILDING!U346,ITEM_RES!$J$5:$J$226,0)-1,0),0)</f>
        <v>211020601</v>
      </c>
      <c r="W346" s="11">
        <v>2</v>
      </c>
      <c r="X346" s="84" t="s">
        <v>546</v>
      </c>
      <c r="Y346" s="9">
        <f ca="1">IFERROR(OFFSET(ITEM_RES!$A$5,MATCH(BUILDING!X346,ITEM_RES!$J$5:$J$226,0)-1,0),0)</f>
        <v>211020701</v>
      </c>
      <c r="AA346" s="9" t="s">
        <v>523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436</v>
      </c>
      <c r="AU346" s="11">
        <v>1</v>
      </c>
      <c r="AX346" s="11">
        <f ca="1">IFERROR(OFFSET(ITEM_RES!$A$1,MATCH(AY346,ITEM_RES!$J:$J,0)-1,0),0)</f>
        <v>211020801</v>
      </c>
      <c r="AY346" s="10" t="s">
        <v>435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761</v>
      </c>
      <c r="S347" s="9" t="s">
        <v>702</v>
      </c>
      <c r="U347" s="84" t="s">
        <v>551</v>
      </c>
      <c r="V347" s="9">
        <f ca="1">IFERROR(OFFSET(ITEM_RES!$A$5,MATCH(BUILDING!U347,ITEM_RES!$J$5:$J$226,0)-1,0),0)</f>
        <v>211020601</v>
      </c>
      <c r="W347" s="11">
        <v>2</v>
      </c>
      <c r="X347" s="84" t="s">
        <v>546</v>
      </c>
      <c r="Y347" s="9">
        <f ca="1">IFERROR(OFFSET(ITEM_RES!$A$5,MATCH(BUILDING!X347,ITEM_RES!$J$5:$J$226,0)-1,0),0)</f>
        <v>211020701</v>
      </c>
      <c r="AA347" s="9" t="s">
        <v>523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436</v>
      </c>
      <c r="AU347" s="11">
        <v>1</v>
      </c>
      <c r="AX347" s="11">
        <f ca="1">IFERROR(OFFSET(ITEM_RES!$A$1,MATCH(AY347,ITEM_RES!$J:$J,0)-1,0),0)</f>
        <v>211020801</v>
      </c>
      <c r="AY347" s="10" t="s">
        <v>435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761</v>
      </c>
      <c r="S348" s="9" t="s">
        <v>702</v>
      </c>
      <c r="U348" s="84" t="s">
        <v>551</v>
      </c>
      <c r="V348" s="9">
        <f ca="1">IFERROR(OFFSET(ITEM_RES!$A$5,MATCH(BUILDING!U348,ITEM_RES!$J$5:$J$226,0)-1,0),0)</f>
        <v>211020601</v>
      </c>
      <c r="W348" s="11">
        <v>2</v>
      </c>
      <c r="X348" s="84" t="s">
        <v>546</v>
      </c>
      <c r="Y348" s="9">
        <f ca="1">IFERROR(OFFSET(ITEM_RES!$A$5,MATCH(BUILDING!X348,ITEM_RES!$J$5:$J$226,0)-1,0),0)</f>
        <v>211020701</v>
      </c>
      <c r="AA348" s="9" t="s">
        <v>523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436</v>
      </c>
      <c r="AU348" s="11">
        <v>1</v>
      </c>
      <c r="AX348" s="11">
        <f ca="1">IFERROR(OFFSET(ITEM_RES!$A$1,MATCH(AY348,ITEM_RES!$J:$J,0)-1,0),0)</f>
        <v>211020801</v>
      </c>
      <c r="AY348" s="10" t="s">
        <v>435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761</v>
      </c>
      <c r="S349" s="9" t="s">
        <v>702</v>
      </c>
      <c r="U349" s="84" t="s">
        <v>551</v>
      </c>
      <c r="V349" s="9">
        <f ca="1">IFERROR(OFFSET(ITEM_RES!$A$5,MATCH(BUILDING!U349,ITEM_RES!$J$5:$J$226,0)-1,0),0)</f>
        <v>211020601</v>
      </c>
      <c r="W349" s="11">
        <v>2</v>
      </c>
      <c r="X349" s="84" t="s">
        <v>546</v>
      </c>
      <c r="Y349" s="9">
        <f ca="1">IFERROR(OFFSET(ITEM_RES!$A$5,MATCH(BUILDING!X349,ITEM_RES!$J$5:$J$226,0)-1,0),0)</f>
        <v>211020701</v>
      </c>
      <c r="AA349" s="9" t="s">
        <v>523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436</v>
      </c>
      <c r="AU349" s="11">
        <v>1</v>
      </c>
      <c r="AX349" s="11">
        <f ca="1">IFERROR(OFFSET(ITEM_RES!$A$1,MATCH(AY349,ITEM_RES!$J:$J,0)-1,0),0)</f>
        <v>211020801</v>
      </c>
      <c r="AY349" s="10" t="s">
        <v>435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761</v>
      </c>
      <c r="S350" s="9" t="s">
        <v>702</v>
      </c>
      <c r="U350" s="84" t="s">
        <v>551</v>
      </c>
      <c r="V350" s="9">
        <f ca="1">IFERROR(OFFSET(ITEM_RES!$A$5,MATCH(BUILDING!U350,ITEM_RES!$J$5:$J$226,0)-1,0),0)</f>
        <v>211020601</v>
      </c>
      <c r="W350" s="11">
        <v>2</v>
      </c>
      <c r="X350" s="84" t="s">
        <v>546</v>
      </c>
      <c r="Y350" s="9">
        <f ca="1">IFERROR(OFFSET(ITEM_RES!$A$5,MATCH(BUILDING!X350,ITEM_RES!$J$5:$J$226,0)-1,0),0)</f>
        <v>211020701</v>
      </c>
      <c r="AA350" s="9" t="s">
        <v>523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436</v>
      </c>
      <c r="AU350" s="11">
        <v>1</v>
      </c>
      <c r="AX350" s="11">
        <f ca="1">IFERROR(OFFSET(ITEM_RES!$A$1,MATCH(AY350,ITEM_RES!$J:$J,0)-1,0),0)</f>
        <v>211020801</v>
      </c>
      <c r="AY350" s="10" t="s">
        <v>435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761</v>
      </c>
      <c r="S351" s="9" t="s">
        <v>702</v>
      </c>
      <c r="U351" s="84" t="s">
        <v>551</v>
      </c>
      <c r="V351" s="9">
        <f ca="1">IFERROR(OFFSET(ITEM_RES!$A$5,MATCH(BUILDING!U351,ITEM_RES!$J$5:$J$226,0)-1,0),0)</f>
        <v>211020601</v>
      </c>
      <c r="W351" s="11">
        <v>2</v>
      </c>
      <c r="X351" s="84" t="s">
        <v>546</v>
      </c>
      <c r="Y351" s="9">
        <f ca="1">IFERROR(OFFSET(ITEM_RES!$A$5,MATCH(BUILDING!X351,ITEM_RES!$J$5:$J$226,0)-1,0),0)</f>
        <v>211020701</v>
      </c>
      <c r="AA351" s="9" t="s">
        <v>523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436</v>
      </c>
      <c r="AU351" s="11">
        <v>1</v>
      </c>
      <c r="AX351" s="11">
        <f ca="1">IFERROR(OFFSET(ITEM_RES!$A$1,MATCH(AY351,ITEM_RES!$J:$J,0)-1,0),0)</f>
        <v>211020801</v>
      </c>
      <c r="AY351" s="10" t="s">
        <v>435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761</v>
      </c>
      <c r="S352" s="9" t="s">
        <v>702</v>
      </c>
      <c r="U352" s="84" t="s">
        <v>551</v>
      </c>
      <c r="V352" s="9">
        <f ca="1">IFERROR(OFFSET(ITEM_RES!$A$5,MATCH(BUILDING!U352,ITEM_RES!$J$5:$J$226,0)-1,0),0)</f>
        <v>211020601</v>
      </c>
      <c r="W352" s="11">
        <v>2</v>
      </c>
      <c r="X352" s="84" t="s">
        <v>546</v>
      </c>
      <c r="Y352" s="9">
        <f ca="1">IFERROR(OFFSET(ITEM_RES!$A$5,MATCH(BUILDING!X352,ITEM_RES!$J$5:$J$226,0)-1,0),0)</f>
        <v>211020701</v>
      </c>
      <c r="AA352" s="9" t="s">
        <v>523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436</v>
      </c>
      <c r="AU352" s="11">
        <v>1</v>
      </c>
      <c r="AX352" s="11">
        <f ca="1">IFERROR(OFFSET(ITEM_RES!$A$1,MATCH(AY352,ITEM_RES!$J:$J,0)-1,0),0)</f>
        <v>211020801</v>
      </c>
      <c r="AY352" s="10" t="s">
        <v>435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465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761</v>
      </c>
      <c r="S353" s="9" t="s">
        <v>702</v>
      </c>
      <c r="U353" s="84" t="s">
        <v>551</v>
      </c>
      <c r="V353" s="9">
        <f ca="1">IFERROR(OFFSET(ITEM_RES!$A$5,MATCH(BUILDING!U353,ITEM_RES!$J$5:$J$226,0)-1,0),0)</f>
        <v>211020601</v>
      </c>
      <c r="W353" s="11">
        <v>2</v>
      </c>
      <c r="X353" s="84" t="s">
        <v>546</v>
      </c>
      <c r="Y353" s="9">
        <f ca="1">IFERROR(OFFSET(ITEM_RES!$A$5,MATCH(BUILDING!X353,ITEM_RES!$J$5:$J$226,0)-1,0),0)</f>
        <v>211020701</v>
      </c>
      <c r="AA353" s="9" t="s">
        <v>523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433</v>
      </c>
      <c r="AU353" s="11">
        <v>1</v>
      </c>
      <c r="AX353" s="11">
        <f ca="1">IFERROR(OFFSET(ITEM_RES!$A$1,MATCH(AY353,ITEM_RES!$J:$J,0)-1,0),0)</f>
        <v>211020801</v>
      </c>
      <c r="AY353" s="10" t="s">
        <v>435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761</v>
      </c>
      <c r="S354" s="9" t="s">
        <v>702</v>
      </c>
      <c r="U354" s="84" t="s">
        <v>551</v>
      </c>
      <c r="V354" s="9">
        <f ca="1">IFERROR(OFFSET(ITEM_RES!$A$5,MATCH(BUILDING!U354,ITEM_RES!$J$5:$J$226,0)-1,0),0)</f>
        <v>211020601</v>
      </c>
      <c r="W354" s="11">
        <v>2</v>
      </c>
      <c r="X354" s="84" t="s">
        <v>546</v>
      </c>
      <c r="Y354" s="9">
        <f ca="1">IFERROR(OFFSET(ITEM_RES!$A$5,MATCH(BUILDING!X354,ITEM_RES!$J$5:$J$226,0)-1,0),0)</f>
        <v>211020701</v>
      </c>
      <c r="AA354" s="9" t="s">
        <v>523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433</v>
      </c>
      <c r="AU354" s="11">
        <v>1</v>
      </c>
      <c r="AX354" s="11">
        <f ca="1">IFERROR(OFFSET(ITEM_RES!$A$1,MATCH(AY354,ITEM_RES!$J:$J,0)-1,0),0)</f>
        <v>211020801</v>
      </c>
      <c r="AY354" s="10" t="s">
        <v>435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761</v>
      </c>
      <c r="S355" s="9" t="s">
        <v>702</v>
      </c>
      <c r="U355" s="84" t="s">
        <v>551</v>
      </c>
      <c r="V355" s="9">
        <f ca="1">IFERROR(OFFSET(ITEM_RES!$A$5,MATCH(BUILDING!U355,ITEM_RES!$J$5:$J$226,0)-1,0),0)</f>
        <v>211020601</v>
      </c>
      <c r="W355" s="11">
        <v>2</v>
      </c>
      <c r="X355" s="84" t="s">
        <v>546</v>
      </c>
      <c r="Y355" s="9">
        <f ca="1">IFERROR(OFFSET(ITEM_RES!$A$5,MATCH(BUILDING!X355,ITEM_RES!$J$5:$J$226,0)-1,0),0)</f>
        <v>211020701</v>
      </c>
      <c r="AA355" s="9" t="s">
        <v>523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433</v>
      </c>
      <c r="AU355" s="11">
        <v>1</v>
      </c>
      <c r="AX355" s="11">
        <f ca="1">IFERROR(OFFSET(ITEM_RES!$A$1,MATCH(AY355,ITEM_RES!$J:$J,0)-1,0),0)</f>
        <v>211020801</v>
      </c>
      <c r="AY355" s="10" t="s">
        <v>435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761</v>
      </c>
      <c r="S356" s="9" t="s">
        <v>702</v>
      </c>
      <c r="U356" s="84" t="s">
        <v>551</v>
      </c>
      <c r="V356" s="9">
        <f ca="1">IFERROR(OFFSET(ITEM_RES!$A$5,MATCH(BUILDING!U356,ITEM_RES!$J$5:$J$226,0)-1,0),0)</f>
        <v>211020601</v>
      </c>
      <c r="W356" s="11">
        <v>2</v>
      </c>
      <c r="X356" s="84" t="s">
        <v>546</v>
      </c>
      <c r="Y356" s="9">
        <f ca="1">IFERROR(OFFSET(ITEM_RES!$A$5,MATCH(BUILDING!X356,ITEM_RES!$J$5:$J$226,0)-1,0),0)</f>
        <v>211020701</v>
      </c>
      <c r="AA356" s="9" t="s">
        <v>523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433</v>
      </c>
      <c r="AU356" s="11">
        <v>1</v>
      </c>
      <c r="AX356" s="11">
        <f ca="1">IFERROR(OFFSET(ITEM_RES!$A$1,MATCH(AY356,ITEM_RES!$J:$J,0)-1,0),0)</f>
        <v>211020801</v>
      </c>
      <c r="AY356" s="10" t="s">
        <v>435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761</v>
      </c>
      <c r="S357" s="9" t="s">
        <v>702</v>
      </c>
      <c r="U357" s="84" t="s">
        <v>551</v>
      </c>
      <c r="V357" s="9">
        <f ca="1">IFERROR(OFFSET(ITEM_RES!$A$5,MATCH(BUILDING!U357,ITEM_RES!$J$5:$J$226,0)-1,0),0)</f>
        <v>211020601</v>
      </c>
      <c r="W357" s="11">
        <v>2</v>
      </c>
      <c r="X357" s="84" t="s">
        <v>546</v>
      </c>
      <c r="Y357" s="9">
        <f ca="1">IFERROR(OFFSET(ITEM_RES!$A$5,MATCH(BUILDING!X357,ITEM_RES!$J$5:$J$226,0)-1,0),0)</f>
        <v>211020701</v>
      </c>
      <c r="AA357" s="9" t="s">
        <v>523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433</v>
      </c>
      <c r="AU357" s="11">
        <v>1</v>
      </c>
      <c r="AX357" s="11">
        <f ca="1">IFERROR(OFFSET(ITEM_RES!$A$1,MATCH(AY357,ITEM_RES!$J:$J,0)-1,0),0)</f>
        <v>211020801</v>
      </c>
      <c r="AY357" s="10" t="s">
        <v>435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761</v>
      </c>
      <c r="S358" s="9" t="s">
        <v>702</v>
      </c>
      <c r="U358" s="84" t="s">
        <v>551</v>
      </c>
      <c r="V358" s="9">
        <f ca="1">IFERROR(OFFSET(ITEM_RES!$A$5,MATCH(BUILDING!U358,ITEM_RES!$J$5:$J$226,0)-1,0),0)</f>
        <v>211020601</v>
      </c>
      <c r="W358" s="11">
        <v>2</v>
      </c>
      <c r="X358" s="84" t="s">
        <v>546</v>
      </c>
      <c r="Y358" s="9">
        <f ca="1">IFERROR(OFFSET(ITEM_RES!$A$5,MATCH(BUILDING!X358,ITEM_RES!$J$5:$J$226,0)-1,0),0)</f>
        <v>211020701</v>
      </c>
      <c r="AA358" s="9" t="s">
        <v>523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433</v>
      </c>
      <c r="AU358" s="11">
        <v>1</v>
      </c>
      <c r="AX358" s="11">
        <f ca="1">IFERROR(OFFSET(ITEM_RES!$A$1,MATCH(AY358,ITEM_RES!$J:$J,0)-1,0),0)</f>
        <v>211020801</v>
      </c>
      <c r="AY358" s="10" t="s">
        <v>435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761</v>
      </c>
      <c r="S359" s="9" t="s">
        <v>702</v>
      </c>
      <c r="U359" s="84" t="s">
        <v>551</v>
      </c>
      <c r="V359" s="9">
        <f ca="1">IFERROR(OFFSET(ITEM_RES!$A$5,MATCH(BUILDING!U359,ITEM_RES!$J$5:$J$226,0)-1,0),0)</f>
        <v>211020601</v>
      </c>
      <c r="W359" s="11">
        <v>2</v>
      </c>
      <c r="X359" s="84" t="s">
        <v>546</v>
      </c>
      <c r="Y359" s="9">
        <f ca="1">IFERROR(OFFSET(ITEM_RES!$A$5,MATCH(BUILDING!X359,ITEM_RES!$J$5:$J$226,0)-1,0),0)</f>
        <v>211020701</v>
      </c>
      <c r="AA359" s="9" t="s">
        <v>523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433</v>
      </c>
      <c r="AU359" s="11">
        <v>1</v>
      </c>
      <c r="AX359" s="11">
        <f ca="1">IFERROR(OFFSET(ITEM_RES!$A$1,MATCH(AY359,ITEM_RES!$J:$J,0)-1,0),0)</f>
        <v>211020801</v>
      </c>
      <c r="AY359" s="10" t="s">
        <v>435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761</v>
      </c>
      <c r="S360" s="9" t="s">
        <v>702</v>
      </c>
      <c r="U360" s="84" t="s">
        <v>551</v>
      </c>
      <c r="V360" s="9">
        <f ca="1">IFERROR(OFFSET(ITEM_RES!$A$5,MATCH(BUILDING!U360,ITEM_RES!$J$5:$J$226,0)-1,0),0)</f>
        <v>211020601</v>
      </c>
      <c r="W360" s="11">
        <v>2</v>
      </c>
      <c r="X360" s="84" t="s">
        <v>546</v>
      </c>
      <c r="Y360" s="9">
        <f ca="1">IFERROR(OFFSET(ITEM_RES!$A$5,MATCH(BUILDING!X360,ITEM_RES!$J$5:$J$226,0)-1,0),0)</f>
        <v>211020701</v>
      </c>
      <c r="AA360" s="9" t="s">
        <v>523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433</v>
      </c>
      <c r="AU360" s="11">
        <v>1</v>
      </c>
      <c r="AX360" s="11">
        <f ca="1">IFERROR(OFFSET(ITEM_RES!$A$1,MATCH(AY360,ITEM_RES!$J:$J,0)-1,0),0)</f>
        <v>211020801</v>
      </c>
      <c r="AY360" s="10" t="s">
        <v>435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761</v>
      </c>
      <c r="S361" s="9" t="s">
        <v>702</v>
      </c>
      <c r="U361" s="84" t="s">
        <v>551</v>
      </c>
      <c r="V361" s="9">
        <f ca="1">IFERROR(OFFSET(ITEM_RES!$A$5,MATCH(BUILDING!U361,ITEM_RES!$J$5:$J$226,0)-1,0),0)</f>
        <v>211020601</v>
      </c>
      <c r="W361" s="11">
        <v>2</v>
      </c>
      <c r="X361" s="84" t="s">
        <v>546</v>
      </c>
      <c r="Y361" s="9">
        <f ca="1">IFERROR(OFFSET(ITEM_RES!$A$5,MATCH(BUILDING!X361,ITEM_RES!$J$5:$J$226,0)-1,0),0)</f>
        <v>211020701</v>
      </c>
      <c r="AA361" s="9" t="s">
        <v>523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433</v>
      </c>
      <c r="AU361" s="11">
        <v>1</v>
      </c>
      <c r="AX361" s="11">
        <f ca="1">IFERROR(OFFSET(ITEM_RES!$A$1,MATCH(AY361,ITEM_RES!$J:$J,0)-1,0),0)</f>
        <v>211020801</v>
      </c>
      <c r="AY361" s="10" t="s">
        <v>435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761</v>
      </c>
      <c r="S362" s="9" t="s">
        <v>702</v>
      </c>
      <c r="U362" s="84" t="s">
        <v>551</v>
      </c>
      <c r="V362" s="9">
        <f ca="1">IFERROR(OFFSET(ITEM_RES!$A$5,MATCH(BUILDING!U362,ITEM_RES!$J$5:$J$226,0)-1,0),0)</f>
        <v>211020601</v>
      </c>
      <c r="W362" s="11">
        <v>2</v>
      </c>
      <c r="X362" s="84" t="s">
        <v>546</v>
      </c>
      <c r="Y362" s="9">
        <f ca="1">IFERROR(OFFSET(ITEM_RES!$A$5,MATCH(BUILDING!X362,ITEM_RES!$J$5:$J$226,0)-1,0),0)</f>
        <v>211020701</v>
      </c>
      <c r="AA362" s="9" t="s">
        <v>523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433</v>
      </c>
      <c r="AU362" s="11">
        <v>1</v>
      </c>
      <c r="AX362" s="11">
        <f ca="1">IFERROR(OFFSET(ITEM_RES!$A$1,MATCH(AY362,ITEM_RES!$J:$J,0)-1,0),0)</f>
        <v>211020801</v>
      </c>
      <c r="AY362" s="10" t="s">
        <v>435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761</v>
      </c>
      <c r="S363" s="9" t="s">
        <v>702</v>
      </c>
      <c r="U363" s="84" t="s">
        <v>551</v>
      </c>
      <c r="V363" s="9">
        <f ca="1">IFERROR(OFFSET(ITEM_RES!$A$5,MATCH(BUILDING!U363,ITEM_RES!$J$5:$J$226,0)-1,0),0)</f>
        <v>211020601</v>
      </c>
      <c r="W363" s="11">
        <v>2</v>
      </c>
      <c r="X363" s="84" t="s">
        <v>546</v>
      </c>
      <c r="Y363" s="9">
        <f ca="1">IFERROR(OFFSET(ITEM_RES!$A$5,MATCH(BUILDING!X363,ITEM_RES!$J$5:$J$226,0)-1,0),0)</f>
        <v>211020701</v>
      </c>
      <c r="AA363" s="9" t="s">
        <v>523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433</v>
      </c>
      <c r="AU363" s="11">
        <v>1</v>
      </c>
      <c r="AX363" s="11">
        <f ca="1">IFERROR(OFFSET(ITEM_RES!$A$1,MATCH(AY363,ITEM_RES!$J:$J,0)-1,0),0)</f>
        <v>211020801</v>
      </c>
      <c r="AY363" s="10" t="s">
        <v>435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761</v>
      </c>
      <c r="S364" s="9" t="s">
        <v>702</v>
      </c>
      <c r="U364" s="84" t="s">
        <v>551</v>
      </c>
      <c r="V364" s="9">
        <f ca="1">IFERROR(OFFSET(ITEM_RES!$A$5,MATCH(BUILDING!U364,ITEM_RES!$J$5:$J$226,0)-1,0),0)</f>
        <v>211020601</v>
      </c>
      <c r="W364" s="11">
        <v>2</v>
      </c>
      <c r="X364" s="84" t="s">
        <v>546</v>
      </c>
      <c r="Y364" s="9">
        <f ca="1">IFERROR(OFFSET(ITEM_RES!$A$5,MATCH(BUILDING!X364,ITEM_RES!$J$5:$J$226,0)-1,0),0)</f>
        <v>211020701</v>
      </c>
      <c r="AA364" s="9" t="s">
        <v>523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433</v>
      </c>
      <c r="AU364" s="11">
        <v>1</v>
      </c>
      <c r="AX364" s="11">
        <f ca="1">IFERROR(OFFSET(ITEM_RES!$A$1,MATCH(AY364,ITEM_RES!$J:$J,0)-1,0),0)</f>
        <v>211020801</v>
      </c>
      <c r="AY364" s="10" t="s">
        <v>435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762</v>
      </c>
      <c r="P365" s="17"/>
      <c r="Q365" s="17"/>
      <c r="R365" s="18"/>
      <c r="S365" s="16" t="s">
        <v>703</v>
      </c>
      <c r="T365" s="78"/>
      <c r="U365" s="86" t="s">
        <v>552</v>
      </c>
      <c r="V365" s="16">
        <f ca="1">IFERROR(OFFSET(ITEM_RES!$A$5,MATCH(BUILDING!U365,ITEM_RES!$J$5:$J$226,0)-1,0),0)</f>
        <v>211020801</v>
      </c>
      <c r="W365" s="18">
        <v>1</v>
      </c>
      <c r="X365" s="86" t="s">
        <v>393</v>
      </c>
      <c r="Y365" s="16">
        <f ca="1">IFERROR(OFFSET(ITEM_RES!$A$5,MATCH(BUILDING!X365,ITEM_RES!$J$5:$J$226,0)-1,0),0)</f>
        <v>211020901</v>
      </c>
      <c r="Z365" s="78"/>
      <c r="AA365" s="16" t="s">
        <v>524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436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435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452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762</v>
      </c>
      <c r="S366" s="9" t="s">
        <v>703</v>
      </c>
      <c r="U366" s="84" t="s">
        <v>552</v>
      </c>
      <c r="V366" s="9">
        <f ca="1">IFERROR(OFFSET(ITEM_RES!$A$5,MATCH(BUILDING!U366,ITEM_RES!$J$5:$J$226,0)-1,0),0)</f>
        <v>211020801</v>
      </c>
      <c r="W366" s="11">
        <v>1</v>
      </c>
      <c r="X366" s="84" t="s">
        <v>393</v>
      </c>
      <c r="Y366" s="9">
        <f ca="1">IFERROR(OFFSET(ITEM_RES!$A$5,MATCH(BUILDING!X366,ITEM_RES!$J$5:$J$226,0)-1,0),0)</f>
        <v>211020901</v>
      </c>
      <c r="AA366" s="9" t="s">
        <v>524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436</v>
      </c>
      <c r="AU366" s="11">
        <v>1</v>
      </c>
      <c r="AX366" s="11">
        <f ca="1">IFERROR(OFFSET(ITEM_RES!$A$1,MATCH(AY366,ITEM_RES!$J:$J,0)-1,0),0)</f>
        <v>211020801</v>
      </c>
      <c r="AY366" s="10" t="s">
        <v>435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762</v>
      </c>
      <c r="S367" s="9" t="s">
        <v>703</v>
      </c>
      <c r="U367" s="84" t="s">
        <v>552</v>
      </c>
      <c r="V367" s="9">
        <f ca="1">IFERROR(OFFSET(ITEM_RES!$A$5,MATCH(BUILDING!U367,ITEM_RES!$J$5:$J$226,0)-1,0),0)</f>
        <v>211020801</v>
      </c>
      <c r="W367" s="11">
        <v>1</v>
      </c>
      <c r="X367" s="84" t="s">
        <v>393</v>
      </c>
      <c r="Y367" s="9">
        <f ca="1">IFERROR(OFFSET(ITEM_RES!$A$5,MATCH(BUILDING!X367,ITEM_RES!$J$5:$J$226,0)-1,0),0)</f>
        <v>211020901</v>
      </c>
      <c r="AA367" s="9" t="s">
        <v>524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436</v>
      </c>
      <c r="AU367" s="11">
        <v>1</v>
      </c>
      <c r="AX367" s="11">
        <f ca="1">IFERROR(OFFSET(ITEM_RES!$A$1,MATCH(AY367,ITEM_RES!$J:$J,0)-1,0),0)</f>
        <v>211020801</v>
      </c>
      <c r="AY367" s="10" t="s">
        <v>435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762</v>
      </c>
      <c r="S368" s="9" t="s">
        <v>703</v>
      </c>
      <c r="U368" s="84" t="s">
        <v>552</v>
      </c>
      <c r="V368" s="9">
        <f ca="1">IFERROR(OFFSET(ITEM_RES!$A$5,MATCH(BUILDING!U368,ITEM_RES!$J$5:$J$226,0)-1,0),0)</f>
        <v>211020801</v>
      </c>
      <c r="W368" s="11">
        <v>1</v>
      </c>
      <c r="X368" s="84" t="s">
        <v>393</v>
      </c>
      <c r="Y368" s="9">
        <f ca="1">IFERROR(OFFSET(ITEM_RES!$A$5,MATCH(BUILDING!X368,ITEM_RES!$J$5:$J$226,0)-1,0),0)</f>
        <v>211020901</v>
      </c>
      <c r="AA368" s="9" t="s">
        <v>524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436</v>
      </c>
      <c r="AU368" s="11">
        <v>1</v>
      </c>
      <c r="AX368" s="11">
        <f ca="1">IFERROR(OFFSET(ITEM_RES!$A$1,MATCH(AY368,ITEM_RES!$J:$J,0)-1,0),0)</f>
        <v>211020801</v>
      </c>
      <c r="AY368" s="10" t="s">
        <v>435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762</v>
      </c>
      <c r="S369" s="9" t="s">
        <v>703</v>
      </c>
      <c r="U369" s="84" t="s">
        <v>552</v>
      </c>
      <c r="V369" s="9">
        <f ca="1">IFERROR(OFFSET(ITEM_RES!$A$5,MATCH(BUILDING!U369,ITEM_RES!$J$5:$J$226,0)-1,0),0)</f>
        <v>211020801</v>
      </c>
      <c r="W369" s="11">
        <v>1</v>
      </c>
      <c r="X369" s="84" t="s">
        <v>393</v>
      </c>
      <c r="Y369" s="9">
        <f ca="1">IFERROR(OFFSET(ITEM_RES!$A$5,MATCH(BUILDING!X369,ITEM_RES!$J$5:$J$226,0)-1,0),0)</f>
        <v>211020901</v>
      </c>
      <c r="AA369" s="9" t="s">
        <v>524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436</v>
      </c>
      <c r="AU369" s="11">
        <v>1</v>
      </c>
      <c r="AX369" s="11">
        <f ca="1">IFERROR(OFFSET(ITEM_RES!$A$1,MATCH(AY369,ITEM_RES!$J:$J,0)-1,0),0)</f>
        <v>211020801</v>
      </c>
      <c r="AY369" s="10" t="s">
        <v>435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762</v>
      </c>
      <c r="S370" s="9" t="s">
        <v>703</v>
      </c>
      <c r="U370" s="84" t="s">
        <v>552</v>
      </c>
      <c r="V370" s="9">
        <f ca="1">IFERROR(OFFSET(ITEM_RES!$A$5,MATCH(BUILDING!U370,ITEM_RES!$J$5:$J$226,0)-1,0),0)</f>
        <v>211020801</v>
      </c>
      <c r="W370" s="11">
        <v>1</v>
      </c>
      <c r="X370" s="84" t="s">
        <v>393</v>
      </c>
      <c r="Y370" s="9">
        <f ca="1">IFERROR(OFFSET(ITEM_RES!$A$5,MATCH(BUILDING!X370,ITEM_RES!$J$5:$J$226,0)-1,0),0)</f>
        <v>211020901</v>
      </c>
      <c r="AA370" s="9" t="s">
        <v>524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436</v>
      </c>
      <c r="AU370" s="11">
        <v>1</v>
      </c>
      <c r="AX370" s="11">
        <f ca="1">IFERROR(OFFSET(ITEM_RES!$A$1,MATCH(AY370,ITEM_RES!$J:$J,0)-1,0),0)</f>
        <v>211020801</v>
      </c>
      <c r="AY370" s="10" t="s">
        <v>435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762</v>
      </c>
      <c r="S371" s="9" t="s">
        <v>703</v>
      </c>
      <c r="U371" s="84" t="s">
        <v>552</v>
      </c>
      <c r="V371" s="9">
        <f ca="1">IFERROR(OFFSET(ITEM_RES!$A$5,MATCH(BUILDING!U371,ITEM_RES!$J$5:$J$226,0)-1,0),0)</f>
        <v>211020801</v>
      </c>
      <c r="W371" s="11">
        <v>1</v>
      </c>
      <c r="X371" s="84" t="s">
        <v>393</v>
      </c>
      <c r="Y371" s="9">
        <f ca="1">IFERROR(OFFSET(ITEM_RES!$A$5,MATCH(BUILDING!X371,ITEM_RES!$J$5:$J$226,0)-1,0),0)</f>
        <v>211020901</v>
      </c>
      <c r="AA371" s="9" t="s">
        <v>524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436</v>
      </c>
      <c r="AU371" s="11">
        <v>1</v>
      </c>
      <c r="AX371" s="11">
        <f ca="1">IFERROR(OFFSET(ITEM_RES!$A$1,MATCH(AY371,ITEM_RES!$J:$J,0)-1,0),0)</f>
        <v>211020801</v>
      </c>
      <c r="AY371" s="10" t="s">
        <v>435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466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762</v>
      </c>
      <c r="S372" s="9" t="s">
        <v>703</v>
      </c>
      <c r="U372" s="84" t="s">
        <v>552</v>
      </c>
      <c r="V372" s="9">
        <f ca="1">IFERROR(OFFSET(ITEM_RES!$A$5,MATCH(BUILDING!U372,ITEM_RES!$J$5:$J$226,0)-1,0),0)</f>
        <v>211020801</v>
      </c>
      <c r="W372" s="11">
        <v>1</v>
      </c>
      <c r="X372" s="84" t="s">
        <v>393</v>
      </c>
      <c r="Y372" s="9">
        <f ca="1">IFERROR(OFFSET(ITEM_RES!$A$5,MATCH(BUILDING!X372,ITEM_RES!$J$5:$J$226,0)-1,0),0)</f>
        <v>211020901</v>
      </c>
      <c r="AA372" s="9" t="s">
        <v>524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436</v>
      </c>
      <c r="AU372" s="11">
        <v>1</v>
      </c>
      <c r="AX372" s="11">
        <f ca="1">IFERROR(OFFSET(ITEM_RES!$A$1,MATCH(AY372,ITEM_RES!$J:$J,0)-1,0),0)</f>
        <v>211020801</v>
      </c>
      <c r="AY372" s="10" t="s">
        <v>435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762</v>
      </c>
      <c r="S373" s="9" t="s">
        <v>703</v>
      </c>
      <c r="U373" s="84" t="s">
        <v>552</v>
      </c>
      <c r="V373" s="9">
        <f ca="1">IFERROR(OFFSET(ITEM_RES!$A$5,MATCH(BUILDING!U373,ITEM_RES!$J$5:$J$226,0)-1,0),0)</f>
        <v>211020801</v>
      </c>
      <c r="W373" s="11">
        <v>1</v>
      </c>
      <c r="X373" s="84" t="s">
        <v>393</v>
      </c>
      <c r="Y373" s="9">
        <f ca="1">IFERROR(OFFSET(ITEM_RES!$A$5,MATCH(BUILDING!X373,ITEM_RES!$J$5:$J$226,0)-1,0),0)</f>
        <v>211020901</v>
      </c>
      <c r="AA373" s="9" t="s">
        <v>524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436</v>
      </c>
      <c r="AU373" s="11">
        <v>1</v>
      </c>
      <c r="AX373" s="11">
        <f ca="1">IFERROR(OFFSET(ITEM_RES!$A$1,MATCH(AY373,ITEM_RES!$J:$J,0)-1,0),0)</f>
        <v>211020801</v>
      </c>
      <c r="AY373" s="10" t="s">
        <v>435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762</v>
      </c>
      <c r="S374" s="9" t="s">
        <v>703</v>
      </c>
      <c r="U374" s="84" t="s">
        <v>552</v>
      </c>
      <c r="V374" s="9">
        <f ca="1">IFERROR(OFFSET(ITEM_RES!$A$5,MATCH(BUILDING!U374,ITEM_RES!$J$5:$J$226,0)-1,0),0)</f>
        <v>211020801</v>
      </c>
      <c r="W374" s="11">
        <v>1</v>
      </c>
      <c r="X374" s="84" t="s">
        <v>393</v>
      </c>
      <c r="Y374" s="9">
        <f ca="1">IFERROR(OFFSET(ITEM_RES!$A$5,MATCH(BUILDING!X374,ITEM_RES!$J$5:$J$226,0)-1,0),0)</f>
        <v>211020901</v>
      </c>
      <c r="AA374" s="9" t="s">
        <v>524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436</v>
      </c>
      <c r="AU374" s="11">
        <v>1</v>
      </c>
      <c r="AX374" s="11">
        <f ca="1">IFERROR(OFFSET(ITEM_RES!$A$1,MATCH(AY374,ITEM_RES!$J:$J,0)-1,0),0)</f>
        <v>211020801</v>
      </c>
      <c r="AY374" s="10" t="s">
        <v>435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762</v>
      </c>
      <c r="S375" s="9" t="s">
        <v>703</v>
      </c>
      <c r="U375" s="84" t="s">
        <v>552</v>
      </c>
      <c r="V375" s="9">
        <f ca="1">IFERROR(OFFSET(ITEM_RES!$A$5,MATCH(BUILDING!U375,ITEM_RES!$J$5:$J$226,0)-1,0),0)</f>
        <v>211020801</v>
      </c>
      <c r="W375" s="11">
        <v>1</v>
      </c>
      <c r="X375" s="84" t="s">
        <v>393</v>
      </c>
      <c r="Y375" s="9">
        <f ca="1">IFERROR(OFFSET(ITEM_RES!$A$5,MATCH(BUILDING!X375,ITEM_RES!$J$5:$J$226,0)-1,0),0)</f>
        <v>211020901</v>
      </c>
      <c r="AA375" s="9" t="s">
        <v>524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436</v>
      </c>
      <c r="AU375" s="11">
        <v>1</v>
      </c>
      <c r="AX375" s="11">
        <f ca="1">IFERROR(OFFSET(ITEM_RES!$A$1,MATCH(AY375,ITEM_RES!$J:$J,0)-1,0),0)</f>
        <v>211020801</v>
      </c>
      <c r="AY375" s="10" t="s">
        <v>435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762</v>
      </c>
      <c r="S376" s="9" t="s">
        <v>703</v>
      </c>
      <c r="U376" s="84" t="s">
        <v>552</v>
      </c>
      <c r="V376" s="9">
        <f ca="1">IFERROR(OFFSET(ITEM_RES!$A$5,MATCH(BUILDING!U376,ITEM_RES!$J$5:$J$226,0)-1,0),0)</f>
        <v>211020801</v>
      </c>
      <c r="W376" s="11">
        <v>1</v>
      </c>
      <c r="X376" s="84" t="s">
        <v>393</v>
      </c>
      <c r="Y376" s="9">
        <f ca="1">IFERROR(OFFSET(ITEM_RES!$A$5,MATCH(BUILDING!X376,ITEM_RES!$J$5:$J$226,0)-1,0),0)</f>
        <v>211020901</v>
      </c>
      <c r="AA376" s="9" t="s">
        <v>524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433</v>
      </c>
      <c r="AU376" s="11">
        <v>1</v>
      </c>
      <c r="AX376" s="11">
        <f ca="1">IFERROR(OFFSET(ITEM_RES!$A$1,MATCH(AY376,ITEM_RES!$J:$J,0)-1,0),0)</f>
        <v>211020801</v>
      </c>
      <c r="AY376" s="10" t="s">
        <v>435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762</v>
      </c>
      <c r="S377" s="9" t="s">
        <v>703</v>
      </c>
      <c r="U377" s="84" t="s">
        <v>552</v>
      </c>
      <c r="V377" s="9">
        <f ca="1">IFERROR(OFFSET(ITEM_RES!$A$5,MATCH(BUILDING!U377,ITEM_RES!$J$5:$J$226,0)-1,0),0)</f>
        <v>211020801</v>
      </c>
      <c r="W377" s="11">
        <v>1</v>
      </c>
      <c r="X377" s="84" t="s">
        <v>393</v>
      </c>
      <c r="Y377" s="9">
        <f ca="1">IFERROR(OFFSET(ITEM_RES!$A$5,MATCH(BUILDING!X377,ITEM_RES!$J$5:$J$226,0)-1,0),0)</f>
        <v>211020901</v>
      </c>
      <c r="AA377" s="9" t="s">
        <v>524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433</v>
      </c>
      <c r="AU377" s="11">
        <v>1</v>
      </c>
      <c r="AX377" s="11">
        <f ca="1">IFERROR(OFFSET(ITEM_RES!$A$1,MATCH(AY377,ITEM_RES!$J:$J,0)-1,0),0)</f>
        <v>211020801</v>
      </c>
      <c r="AY377" s="10" t="s">
        <v>435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762</v>
      </c>
      <c r="S378" s="9" t="s">
        <v>703</v>
      </c>
      <c r="U378" s="84" t="s">
        <v>552</v>
      </c>
      <c r="V378" s="9">
        <f ca="1">IFERROR(OFFSET(ITEM_RES!$A$5,MATCH(BUILDING!U378,ITEM_RES!$J$5:$J$226,0)-1,0),0)</f>
        <v>211020801</v>
      </c>
      <c r="W378" s="11">
        <v>1</v>
      </c>
      <c r="X378" s="84" t="s">
        <v>393</v>
      </c>
      <c r="Y378" s="9">
        <f ca="1">IFERROR(OFFSET(ITEM_RES!$A$5,MATCH(BUILDING!X378,ITEM_RES!$J$5:$J$226,0)-1,0),0)</f>
        <v>211020901</v>
      </c>
      <c r="AA378" s="9" t="s">
        <v>524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433</v>
      </c>
      <c r="AU378" s="11">
        <v>1</v>
      </c>
      <c r="AX378" s="11">
        <f ca="1">IFERROR(OFFSET(ITEM_RES!$A$1,MATCH(AY378,ITEM_RES!$J:$J,0)-1,0),0)</f>
        <v>211020801</v>
      </c>
      <c r="AY378" s="10" t="s">
        <v>435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762</v>
      </c>
      <c r="S379" s="9" t="s">
        <v>703</v>
      </c>
      <c r="U379" s="84" t="s">
        <v>552</v>
      </c>
      <c r="V379" s="9">
        <f ca="1">IFERROR(OFFSET(ITEM_RES!$A$5,MATCH(BUILDING!U379,ITEM_RES!$J$5:$J$226,0)-1,0),0)</f>
        <v>211020801</v>
      </c>
      <c r="W379" s="11">
        <v>1</v>
      </c>
      <c r="X379" s="84" t="s">
        <v>393</v>
      </c>
      <c r="Y379" s="9">
        <f ca="1">IFERROR(OFFSET(ITEM_RES!$A$5,MATCH(BUILDING!X379,ITEM_RES!$J$5:$J$226,0)-1,0),0)</f>
        <v>211020901</v>
      </c>
      <c r="AA379" s="9" t="s">
        <v>524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433</v>
      </c>
      <c r="AU379" s="11">
        <v>1</v>
      </c>
      <c r="AX379" s="11">
        <f ca="1">IFERROR(OFFSET(ITEM_RES!$A$1,MATCH(AY379,ITEM_RES!$J:$J,0)-1,0),0)</f>
        <v>211020801</v>
      </c>
      <c r="AY379" s="10" t="s">
        <v>435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762</v>
      </c>
      <c r="S380" s="9" t="s">
        <v>703</v>
      </c>
      <c r="U380" s="84" t="s">
        <v>552</v>
      </c>
      <c r="V380" s="9">
        <f ca="1">IFERROR(OFFSET(ITEM_RES!$A$5,MATCH(BUILDING!U380,ITEM_RES!$J$5:$J$226,0)-1,0),0)</f>
        <v>211020801</v>
      </c>
      <c r="W380" s="11">
        <v>1</v>
      </c>
      <c r="X380" s="84" t="s">
        <v>393</v>
      </c>
      <c r="Y380" s="9">
        <f ca="1">IFERROR(OFFSET(ITEM_RES!$A$5,MATCH(BUILDING!X380,ITEM_RES!$J$5:$J$226,0)-1,0),0)</f>
        <v>211020901</v>
      </c>
      <c r="AA380" s="9" t="s">
        <v>524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433</v>
      </c>
      <c r="AU380" s="11">
        <v>1</v>
      </c>
      <c r="AX380" s="11">
        <f ca="1">IFERROR(OFFSET(ITEM_RES!$A$1,MATCH(AY380,ITEM_RES!$J:$J,0)-1,0),0)</f>
        <v>211020801</v>
      </c>
      <c r="AY380" s="10" t="s">
        <v>435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762</v>
      </c>
      <c r="S381" s="9" t="s">
        <v>703</v>
      </c>
      <c r="U381" s="84" t="s">
        <v>552</v>
      </c>
      <c r="V381" s="9">
        <f ca="1">IFERROR(OFFSET(ITEM_RES!$A$5,MATCH(BUILDING!U381,ITEM_RES!$J$5:$J$226,0)-1,0),0)</f>
        <v>211020801</v>
      </c>
      <c r="W381" s="11">
        <v>1</v>
      </c>
      <c r="X381" s="84" t="s">
        <v>393</v>
      </c>
      <c r="Y381" s="9">
        <f ca="1">IFERROR(OFFSET(ITEM_RES!$A$5,MATCH(BUILDING!X381,ITEM_RES!$J$5:$J$226,0)-1,0),0)</f>
        <v>211020901</v>
      </c>
      <c r="AA381" s="9" t="s">
        <v>524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433</v>
      </c>
      <c r="AU381" s="11">
        <v>1</v>
      </c>
      <c r="AX381" s="11">
        <f ca="1">IFERROR(OFFSET(ITEM_RES!$A$1,MATCH(AY381,ITEM_RES!$J:$J,0)-1,0),0)</f>
        <v>211020801</v>
      </c>
      <c r="AY381" s="10" t="s">
        <v>435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762</v>
      </c>
      <c r="S382" s="9" t="s">
        <v>703</v>
      </c>
      <c r="U382" s="84" t="s">
        <v>552</v>
      </c>
      <c r="V382" s="9">
        <f ca="1">IFERROR(OFFSET(ITEM_RES!$A$5,MATCH(BUILDING!U382,ITEM_RES!$J$5:$J$226,0)-1,0),0)</f>
        <v>211020801</v>
      </c>
      <c r="W382" s="11">
        <v>1</v>
      </c>
      <c r="X382" s="84" t="s">
        <v>393</v>
      </c>
      <c r="Y382" s="9">
        <f ca="1">IFERROR(OFFSET(ITEM_RES!$A$5,MATCH(BUILDING!X382,ITEM_RES!$J$5:$J$226,0)-1,0),0)</f>
        <v>211020901</v>
      </c>
      <c r="AA382" s="9" t="s">
        <v>524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433</v>
      </c>
      <c r="AU382" s="11">
        <v>1</v>
      </c>
      <c r="AX382" s="11">
        <f ca="1">IFERROR(OFFSET(ITEM_RES!$A$1,MATCH(AY382,ITEM_RES!$J:$J,0)-1,0),0)</f>
        <v>211020801</v>
      </c>
      <c r="AY382" s="10" t="s">
        <v>435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762</v>
      </c>
      <c r="S383" s="9" t="s">
        <v>703</v>
      </c>
      <c r="U383" s="84" t="s">
        <v>552</v>
      </c>
      <c r="V383" s="9">
        <f ca="1">IFERROR(OFFSET(ITEM_RES!$A$5,MATCH(BUILDING!U383,ITEM_RES!$J$5:$J$226,0)-1,0),0)</f>
        <v>211020801</v>
      </c>
      <c r="W383" s="11">
        <v>1</v>
      </c>
      <c r="X383" s="84" t="s">
        <v>393</v>
      </c>
      <c r="Y383" s="9">
        <f ca="1">IFERROR(OFFSET(ITEM_RES!$A$5,MATCH(BUILDING!X383,ITEM_RES!$J$5:$J$226,0)-1,0),0)</f>
        <v>211020901</v>
      </c>
      <c r="AA383" s="9" t="s">
        <v>524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433</v>
      </c>
      <c r="AU383" s="11">
        <v>1</v>
      </c>
      <c r="AX383" s="11">
        <f ca="1">IFERROR(OFFSET(ITEM_RES!$A$1,MATCH(AY383,ITEM_RES!$J:$J,0)-1,0),0)</f>
        <v>211020801</v>
      </c>
      <c r="AY383" s="10" t="s">
        <v>435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762</v>
      </c>
      <c r="S384" s="9" t="s">
        <v>703</v>
      </c>
      <c r="U384" s="84" t="s">
        <v>552</v>
      </c>
      <c r="V384" s="9">
        <f ca="1">IFERROR(OFFSET(ITEM_RES!$A$5,MATCH(BUILDING!U384,ITEM_RES!$J$5:$J$226,0)-1,0),0)</f>
        <v>211020801</v>
      </c>
      <c r="W384" s="11">
        <v>1</v>
      </c>
      <c r="X384" s="84" t="s">
        <v>393</v>
      </c>
      <c r="Y384" s="9">
        <f ca="1">IFERROR(OFFSET(ITEM_RES!$A$5,MATCH(BUILDING!X384,ITEM_RES!$J$5:$J$226,0)-1,0),0)</f>
        <v>211020901</v>
      </c>
      <c r="AA384" s="9" t="s">
        <v>524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433</v>
      </c>
      <c r="AU384" s="11">
        <v>1</v>
      </c>
      <c r="AX384" s="11">
        <f ca="1">IFERROR(OFFSET(ITEM_RES!$A$1,MATCH(AY384,ITEM_RES!$J:$J,0)-1,0),0)</f>
        <v>211020801</v>
      </c>
      <c r="AY384" s="10" t="s">
        <v>435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1219</v>
      </c>
      <c r="P385" s="17"/>
      <c r="Q385" s="17"/>
      <c r="R385" s="18"/>
      <c r="S385" s="16" t="s">
        <v>709</v>
      </c>
      <c r="T385" s="78"/>
      <c r="U385" s="86"/>
      <c r="V385" s="16">
        <f ca="1">IFERROR(OFFSET(ITEM_RES!$A$5,MATCH(BUILDING!U385,ITEM_RES!$J$5:$J$226,0)-1,0),0)</f>
        <v>0</v>
      </c>
      <c r="W385" s="18"/>
      <c r="X385" s="86" t="s">
        <v>547</v>
      </c>
      <c r="Y385" s="16">
        <f ca="1">IFERROR(OFFSET(ITEM_RES!$A$5,MATCH(BUILDING!X385,ITEM_RES!$J$5:$J$226,0)-1,0),0)</f>
        <v>211020201</v>
      </c>
      <c r="Z385" s="78"/>
      <c r="AA385" s="16" t="s">
        <v>525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427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448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452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1220</v>
      </c>
      <c r="S386" s="9" t="s">
        <v>709</v>
      </c>
      <c r="V386" s="9">
        <f ca="1">IFERROR(OFFSET(ITEM_RES!$A$5,MATCH(BUILDING!U386,ITEM_RES!$J$5:$J$226,0)-1,0),0)</f>
        <v>0</v>
      </c>
      <c r="X386" s="84" t="s">
        <v>547</v>
      </c>
      <c r="Y386" s="9">
        <f ca="1">IFERROR(OFFSET(ITEM_RES!$A$5,MATCH(BUILDING!X386,ITEM_RES!$J$5:$J$226,0)-1,0),0)</f>
        <v>211020201</v>
      </c>
      <c r="AA386" s="9" t="s">
        <v>525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427</v>
      </c>
      <c r="AU386" s="11">
        <v>20</v>
      </c>
      <c r="AX386" s="11">
        <f ca="1">IFERROR(OFFSET(ITEM_RES!$A$1,MATCH(AY386,ITEM_RES!$J:$J,0)-1,0),0)</f>
        <v>211020101</v>
      </c>
      <c r="AY386" s="10" t="s">
        <v>448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1221</v>
      </c>
      <c r="S387" s="9" t="s">
        <v>709</v>
      </c>
      <c r="V387" s="9">
        <f ca="1">IFERROR(OFFSET(ITEM_RES!$A$5,MATCH(BUILDING!U387,ITEM_RES!$J$5:$J$226,0)-1,0),0)</f>
        <v>0</v>
      </c>
      <c r="X387" s="84" t="s">
        <v>547</v>
      </c>
      <c r="Y387" s="9">
        <f ca="1">IFERROR(OFFSET(ITEM_RES!$A$5,MATCH(BUILDING!X387,ITEM_RES!$J$5:$J$226,0)-1,0),0)</f>
        <v>211020201</v>
      </c>
      <c r="AA387" s="9" t="s">
        <v>525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427</v>
      </c>
      <c r="AU387" s="11">
        <v>160</v>
      </c>
      <c r="AX387" s="11">
        <f ca="1">IFERROR(OFFSET(ITEM_RES!$A$1,MATCH(AY387,ITEM_RES!$J:$J,0)-1,0),0)</f>
        <v>211020101</v>
      </c>
      <c r="AY387" s="10" t="s">
        <v>448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1222</v>
      </c>
      <c r="S388" s="9" t="s">
        <v>709</v>
      </c>
      <c r="V388" s="9">
        <f ca="1">IFERROR(OFFSET(ITEM_RES!$A$5,MATCH(BUILDING!U388,ITEM_RES!$J$5:$J$226,0)-1,0),0)</f>
        <v>0</v>
      </c>
      <c r="X388" s="84" t="s">
        <v>547</v>
      </c>
      <c r="Y388" s="9">
        <f ca="1">IFERROR(OFFSET(ITEM_RES!$A$5,MATCH(BUILDING!X388,ITEM_RES!$J$5:$J$226,0)-1,0),0)</f>
        <v>211020201</v>
      </c>
      <c r="AA388" s="9" t="s">
        <v>525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427</v>
      </c>
      <c r="AU388" s="11">
        <v>1920</v>
      </c>
      <c r="AX388" s="11">
        <f ca="1">IFERROR(OFFSET(ITEM_RES!$A$1,MATCH(AY388,ITEM_RES!$J:$J,0)-1,0),0)</f>
        <v>211020101</v>
      </c>
      <c r="AY388" s="10" t="s">
        <v>448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1223</v>
      </c>
      <c r="S389" s="9" t="s">
        <v>709</v>
      </c>
      <c r="V389" s="9">
        <f ca="1">IFERROR(OFFSET(ITEM_RES!$A$5,MATCH(BUILDING!U389,ITEM_RES!$J$5:$J$226,0)-1,0),0)</f>
        <v>0</v>
      </c>
      <c r="X389" s="84" t="s">
        <v>547</v>
      </c>
      <c r="Y389" s="9">
        <f ca="1">IFERROR(OFFSET(ITEM_RES!$A$5,MATCH(BUILDING!X389,ITEM_RES!$J$5:$J$226,0)-1,0),0)</f>
        <v>211020201</v>
      </c>
      <c r="AA389" s="9" t="s">
        <v>525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427</v>
      </c>
      <c r="AU389" s="11">
        <v>26000</v>
      </c>
      <c r="AX389" s="11">
        <f ca="1">IFERROR(OFFSET(ITEM_RES!$A$1,MATCH(AY389,ITEM_RES!$J:$J,0)-1,0),0)</f>
        <v>211020101</v>
      </c>
      <c r="AY389" s="10" t="s">
        <v>448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1224</v>
      </c>
      <c r="S390" s="9" t="s">
        <v>709</v>
      </c>
      <c r="V390" s="9">
        <f ca="1">IFERROR(OFFSET(ITEM_RES!$A$5,MATCH(BUILDING!U390,ITEM_RES!$J$5:$J$226,0)-1,0),0)</f>
        <v>0</v>
      </c>
      <c r="X390" s="84" t="s">
        <v>547</v>
      </c>
      <c r="Y390" s="9">
        <f ca="1">IFERROR(OFFSET(ITEM_RES!$A$5,MATCH(BUILDING!X390,ITEM_RES!$J$5:$J$226,0)-1,0),0)</f>
        <v>211020201</v>
      </c>
      <c r="AA390" s="9" t="s">
        <v>525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427</v>
      </c>
      <c r="AU390" s="11">
        <v>240000</v>
      </c>
      <c r="AX390" s="11">
        <f ca="1">IFERROR(OFFSET(ITEM_RES!$A$1,MATCH(AY390,ITEM_RES!$J:$J,0)-1,0),0)</f>
        <v>211020101</v>
      </c>
      <c r="AY390" s="10" t="s">
        <v>448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1225</v>
      </c>
      <c r="S391" s="9" t="s">
        <v>709</v>
      </c>
      <c r="V391" s="9">
        <f ca="1">IFERROR(OFFSET(ITEM_RES!$A$5,MATCH(BUILDING!U391,ITEM_RES!$J$5:$J$226,0)-1,0),0)</f>
        <v>0</v>
      </c>
      <c r="X391" s="84" t="s">
        <v>547</v>
      </c>
      <c r="Y391" s="9">
        <f ca="1">IFERROR(OFFSET(ITEM_RES!$A$5,MATCH(BUILDING!X391,ITEM_RES!$J$5:$J$226,0)-1,0),0)</f>
        <v>211020201</v>
      </c>
      <c r="AA391" s="9" t="s">
        <v>525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427</v>
      </c>
      <c r="AU391" s="11">
        <v>540000</v>
      </c>
      <c r="AX391" s="11">
        <f ca="1">IFERROR(OFFSET(ITEM_RES!$A$1,MATCH(AY391,ITEM_RES!$J:$J,0)-1,0),0)</f>
        <v>211020101</v>
      </c>
      <c r="AY391" s="10" t="s">
        <v>448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1225</v>
      </c>
      <c r="S392" s="9" t="s">
        <v>709</v>
      </c>
      <c r="V392" s="9">
        <f ca="1">IFERROR(OFFSET(ITEM_RES!$A$5,MATCH(BUILDING!U392,ITEM_RES!$J$5:$J$226,0)-1,0),0)</f>
        <v>0</v>
      </c>
      <c r="X392" s="84" t="s">
        <v>547</v>
      </c>
      <c r="Y392" s="9">
        <f ca="1">IFERROR(OFFSET(ITEM_RES!$A$5,MATCH(BUILDING!X392,ITEM_RES!$J$5:$J$226,0)-1,0),0)</f>
        <v>211020201</v>
      </c>
      <c r="AA392" s="9" t="s">
        <v>525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427</v>
      </c>
      <c r="AU392" s="11">
        <v>1000000</v>
      </c>
      <c r="AX392" s="11">
        <f ca="1">IFERROR(OFFSET(ITEM_RES!$A$1,MATCH(AY392,ITEM_RES!$J:$J,0)-1,0),0)</f>
        <v>211020101</v>
      </c>
      <c r="AY392" s="10" t="s">
        <v>448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1225</v>
      </c>
      <c r="S393" s="9" t="s">
        <v>709</v>
      </c>
      <c r="V393" s="9">
        <f ca="1">IFERROR(OFFSET(ITEM_RES!$A$5,MATCH(BUILDING!U393,ITEM_RES!$J$5:$J$226,0)-1,0),0)</f>
        <v>0</v>
      </c>
      <c r="X393" s="84" t="s">
        <v>547</v>
      </c>
      <c r="Y393" s="9">
        <f ca="1">IFERROR(OFFSET(ITEM_RES!$A$5,MATCH(BUILDING!X393,ITEM_RES!$J$5:$J$226,0)-1,0),0)</f>
        <v>211020201</v>
      </c>
      <c r="AA393" s="9" t="s">
        <v>525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427</v>
      </c>
      <c r="AU393" s="11">
        <v>1580000</v>
      </c>
      <c r="AX393" s="11">
        <f ca="1">IFERROR(OFFSET(ITEM_RES!$A$1,MATCH(AY393,ITEM_RES!$J:$J,0)-1,0),0)</f>
        <v>211020101</v>
      </c>
      <c r="AY393" s="10" t="s">
        <v>448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1225</v>
      </c>
      <c r="S394" s="9" t="s">
        <v>709</v>
      </c>
      <c r="V394" s="9">
        <f ca="1">IFERROR(OFFSET(ITEM_RES!$A$5,MATCH(BUILDING!U394,ITEM_RES!$J$5:$J$226,0)-1,0),0)</f>
        <v>0</v>
      </c>
      <c r="X394" s="84" t="s">
        <v>547</v>
      </c>
      <c r="Y394" s="9">
        <f ca="1">IFERROR(OFFSET(ITEM_RES!$A$5,MATCH(BUILDING!X394,ITEM_RES!$J$5:$J$226,0)-1,0),0)</f>
        <v>211020201</v>
      </c>
      <c r="AA394" s="9" t="s">
        <v>525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427</v>
      </c>
      <c r="AU394" s="11">
        <v>2200000</v>
      </c>
      <c r="AX394" s="11">
        <f ca="1">IFERROR(OFFSET(ITEM_RES!$A$1,MATCH(AY394,ITEM_RES!$J:$J,0)-1,0),0)</f>
        <v>211020101</v>
      </c>
      <c r="AY394" s="10" t="s">
        <v>448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1225</v>
      </c>
      <c r="S395" s="9" t="s">
        <v>709</v>
      </c>
      <c r="V395" s="9">
        <f ca="1">IFERROR(OFFSET(ITEM_RES!$A$5,MATCH(BUILDING!U395,ITEM_RES!$J$5:$J$226,0)-1,0),0)</f>
        <v>0</v>
      </c>
      <c r="X395" s="84" t="s">
        <v>547</v>
      </c>
      <c r="Y395" s="9">
        <f ca="1">IFERROR(OFFSET(ITEM_RES!$A$5,MATCH(BUILDING!X395,ITEM_RES!$J$5:$J$226,0)-1,0),0)</f>
        <v>211020201</v>
      </c>
      <c r="AA395" s="9" t="s">
        <v>525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427</v>
      </c>
      <c r="AU395" s="11">
        <v>4400000</v>
      </c>
      <c r="AX395" s="11">
        <f ca="1">IFERROR(OFFSET(ITEM_RES!$A$1,MATCH(AY395,ITEM_RES!$J:$J,0)-1,0),0)</f>
        <v>211020101</v>
      </c>
      <c r="AY395" s="10" t="s">
        <v>448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1225</v>
      </c>
      <c r="S396" s="9" t="s">
        <v>709</v>
      </c>
      <c r="V396" s="9">
        <f ca="1">IFERROR(OFFSET(ITEM_RES!$A$5,MATCH(BUILDING!U396,ITEM_RES!$J$5:$J$226,0)-1,0),0)</f>
        <v>0</v>
      </c>
      <c r="X396" s="84" t="s">
        <v>547</v>
      </c>
      <c r="Y396" s="9">
        <f ca="1">IFERROR(OFFSET(ITEM_RES!$A$5,MATCH(BUILDING!X396,ITEM_RES!$J$5:$J$226,0)-1,0),0)</f>
        <v>211020201</v>
      </c>
      <c r="AA396" s="9" t="s">
        <v>525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427</v>
      </c>
      <c r="AU396" s="11">
        <v>5200000</v>
      </c>
      <c r="AX396" s="11">
        <f ca="1">IFERROR(OFFSET(ITEM_RES!$A$1,MATCH(AY396,ITEM_RES!$J:$J,0)-1,0),0)</f>
        <v>211020101</v>
      </c>
      <c r="AY396" s="10" t="s">
        <v>448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1225</v>
      </c>
      <c r="S397" s="9" t="s">
        <v>709</v>
      </c>
      <c r="V397" s="9">
        <f ca="1">IFERROR(OFFSET(ITEM_RES!$A$5,MATCH(BUILDING!U397,ITEM_RES!$J$5:$J$226,0)-1,0),0)</f>
        <v>0</v>
      </c>
      <c r="X397" s="84" t="s">
        <v>547</v>
      </c>
      <c r="Y397" s="9">
        <f ca="1">IFERROR(OFFSET(ITEM_RES!$A$5,MATCH(BUILDING!X397,ITEM_RES!$J$5:$J$226,0)-1,0),0)</f>
        <v>211020201</v>
      </c>
      <c r="AA397" s="9" t="s">
        <v>525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427</v>
      </c>
      <c r="AU397" s="11">
        <v>8600000</v>
      </c>
      <c r="AX397" s="11">
        <f ca="1">IFERROR(OFFSET(ITEM_RES!$A$1,MATCH(AY397,ITEM_RES!$J:$J,0)-1,0),0)</f>
        <v>211020101</v>
      </c>
      <c r="AY397" s="10" t="s">
        <v>448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1225</v>
      </c>
      <c r="S398" s="9" t="s">
        <v>709</v>
      </c>
      <c r="V398" s="9">
        <f ca="1">IFERROR(OFFSET(ITEM_RES!$A$5,MATCH(BUILDING!U398,ITEM_RES!$J$5:$J$226,0)-1,0),0)</f>
        <v>0</v>
      </c>
      <c r="X398" s="84" t="s">
        <v>547</v>
      </c>
      <c r="Y398" s="9">
        <f ca="1">IFERROR(OFFSET(ITEM_RES!$A$5,MATCH(BUILDING!X398,ITEM_RES!$J$5:$J$226,0)-1,0),0)</f>
        <v>211020201</v>
      </c>
      <c r="AA398" s="9" t="s">
        <v>525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427</v>
      </c>
      <c r="AU398" s="11">
        <v>13200000</v>
      </c>
      <c r="AX398" s="11">
        <f ca="1">IFERROR(OFFSET(ITEM_RES!$A$1,MATCH(AY398,ITEM_RES!$J:$J,0)-1,0),0)</f>
        <v>211020101</v>
      </c>
      <c r="AY398" s="10" t="s">
        <v>448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1225</v>
      </c>
      <c r="S399" s="9" t="s">
        <v>709</v>
      </c>
      <c r="V399" s="9">
        <f ca="1">IFERROR(OFFSET(ITEM_RES!$A$5,MATCH(BUILDING!U399,ITEM_RES!$J$5:$J$226,0)-1,0),0)</f>
        <v>0</v>
      </c>
      <c r="X399" s="84" t="s">
        <v>547</v>
      </c>
      <c r="Y399" s="9">
        <f ca="1">IFERROR(OFFSET(ITEM_RES!$A$5,MATCH(BUILDING!X399,ITEM_RES!$J$5:$J$226,0)-1,0),0)</f>
        <v>211020201</v>
      </c>
      <c r="AA399" s="9" t="s">
        <v>525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443</v>
      </c>
      <c r="AU399" s="11">
        <v>22000000</v>
      </c>
      <c r="AX399" s="11">
        <f ca="1">IFERROR(OFFSET(ITEM_RES!$A$1,MATCH(AY399,ITEM_RES!$J:$J,0)-1,0),0)</f>
        <v>211020101</v>
      </c>
      <c r="AY399" s="10" t="s">
        <v>448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1225</v>
      </c>
      <c r="S400" s="9" t="s">
        <v>709</v>
      </c>
      <c r="V400" s="9">
        <f ca="1">IFERROR(OFFSET(ITEM_RES!$A$5,MATCH(BUILDING!U400,ITEM_RES!$J$5:$J$226,0)-1,0),0)</f>
        <v>0</v>
      </c>
      <c r="X400" s="84" t="s">
        <v>547</v>
      </c>
      <c r="Y400" s="9">
        <f ca="1">IFERROR(OFFSET(ITEM_RES!$A$5,MATCH(BUILDING!X400,ITEM_RES!$J$5:$J$226,0)-1,0),0)</f>
        <v>211020201</v>
      </c>
      <c r="AA400" s="9" t="s">
        <v>525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443</v>
      </c>
      <c r="AU400" s="11">
        <v>30000000</v>
      </c>
      <c r="AX400" s="11">
        <f ca="1">IFERROR(OFFSET(ITEM_RES!$A$1,MATCH(AY400,ITEM_RES!$J:$J,0)-1,0),0)</f>
        <v>211020101</v>
      </c>
      <c r="AY400" s="10" t="s">
        <v>448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1225</v>
      </c>
      <c r="S401" s="9" t="s">
        <v>709</v>
      </c>
      <c r="V401" s="9">
        <f ca="1">IFERROR(OFFSET(ITEM_RES!$A$5,MATCH(BUILDING!U401,ITEM_RES!$J$5:$J$226,0)-1,0),0)</f>
        <v>0</v>
      </c>
      <c r="X401" s="84" t="s">
        <v>547</v>
      </c>
      <c r="Y401" s="9">
        <f ca="1">IFERROR(OFFSET(ITEM_RES!$A$5,MATCH(BUILDING!X401,ITEM_RES!$J$5:$J$226,0)-1,0),0)</f>
        <v>211020201</v>
      </c>
      <c r="AA401" s="9" t="s">
        <v>525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443</v>
      </c>
      <c r="AU401" s="11">
        <v>46000000</v>
      </c>
      <c r="AX401" s="11">
        <f ca="1">IFERROR(OFFSET(ITEM_RES!$A$1,MATCH(AY401,ITEM_RES!$J:$J,0)-1,0),0)</f>
        <v>211020101</v>
      </c>
      <c r="AY401" s="10" t="s">
        <v>448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1225</v>
      </c>
      <c r="S402" s="9" t="s">
        <v>709</v>
      </c>
      <c r="V402" s="9">
        <f ca="1">IFERROR(OFFSET(ITEM_RES!$A$5,MATCH(BUILDING!U402,ITEM_RES!$J$5:$J$226,0)-1,0),0)</f>
        <v>0</v>
      </c>
      <c r="X402" s="84" t="s">
        <v>547</v>
      </c>
      <c r="Y402" s="9">
        <f ca="1">IFERROR(OFFSET(ITEM_RES!$A$5,MATCH(BUILDING!X402,ITEM_RES!$J$5:$J$226,0)-1,0),0)</f>
        <v>211020201</v>
      </c>
      <c r="AA402" s="9" t="s">
        <v>525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443</v>
      </c>
      <c r="AU402" s="11">
        <v>70000000</v>
      </c>
      <c r="AX402" s="11">
        <f ca="1">IFERROR(OFFSET(ITEM_RES!$A$1,MATCH(AY402,ITEM_RES!$J:$J,0)-1,0),0)</f>
        <v>211020101</v>
      </c>
      <c r="AY402" s="10" t="s">
        <v>448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1225</v>
      </c>
      <c r="S403" s="9" t="s">
        <v>709</v>
      </c>
      <c r="V403" s="9">
        <f ca="1">IFERROR(OFFSET(ITEM_RES!$A$5,MATCH(BUILDING!U403,ITEM_RES!$J$5:$J$226,0)-1,0),0)</f>
        <v>0</v>
      </c>
      <c r="X403" s="84" t="s">
        <v>547</v>
      </c>
      <c r="Y403" s="9">
        <f ca="1">IFERROR(OFFSET(ITEM_RES!$A$5,MATCH(BUILDING!X403,ITEM_RES!$J$5:$J$226,0)-1,0),0)</f>
        <v>211020201</v>
      </c>
      <c r="AA403" s="9" t="s">
        <v>525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443</v>
      </c>
      <c r="AU403" s="11">
        <v>96000000</v>
      </c>
      <c r="AX403" s="11">
        <f ca="1">IFERROR(OFFSET(ITEM_RES!$A$1,MATCH(AY403,ITEM_RES!$J:$J,0)-1,0),0)</f>
        <v>211020101</v>
      </c>
      <c r="AY403" s="10" t="s">
        <v>448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1225</v>
      </c>
      <c r="S404" s="9" t="s">
        <v>709</v>
      </c>
      <c r="V404" s="9">
        <f ca="1">IFERROR(OFFSET(ITEM_RES!$A$5,MATCH(BUILDING!U404,ITEM_RES!$J$5:$J$226,0)-1,0),0)</f>
        <v>0</v>
      </c>
      <c r="X404" s="84" t="s">
        <v>547</v>
      </c>
      <c r="Y404" s="9">
        <f ca="1">IFERROR(OFFSET(ITEM_RES!$A$5,MATCH(BUILDING!X404,ITEM_RES!$J$5:$J$226,0)-1,0),0)</f>
        <v>211020201</v>
      </c>
      <c r="AA404" s="9" t="s">
        <v>525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443</v>
      </c>
      <c r="AU404" s="11">
        <v>152000000</v>
      </c>
      <c r="AX404" s="11">
        <f ca="1">IFERROR(OFFSET(ITEM_RES!$A$1,MATCH(AY404,ITEM_RES!$J:$J,0)-1,0),0)</f>
        <v>211020101</v>
      </c>
      <c r="AY404" s="10" t="s">
        <v>448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>
        <v>1</v>
      </c>
      <c r="N405" s="16">
        <v>15</v>
      </c>
      <c r="O405" s="16" t="s">
        <v>1106</v>
      </c>
      <c r="P405" s="17"/>
      <c r="Q405" s="17"/>
      <c r="R405" s="18"/>
      <c r="S405" s="16" t="s">
        <v>708</v>
      </c>
      <c r="T405" s="78"/>
      <c r="U405" s="86" t="s">
        <v>553</v>
      </c>
      <c r="V405" s="16">
        <f ca="1">IFERROR(OFFSET(ITEM_RES!$A$5,MATCH(BUILDING!U405,ITEM_RES!$J$5:$J$226,0)-1,0),0)</f>
        <v>211020401</v>
      </c>
      <c r="W405" s="18">
        <v>1</v>
      </c>
      <c r="X405" s="86" t="s">
        <v>548</v>
      </c>
      <c r="Y405" s="16">
        <f ca="1">IFERROR(OFFSET(ITEM_RES!$A$5,MATCH(BUILDING!X405,ITEM_RES!$J$5:$J$226,0)-1,0),0)</f>
        <v>211020501</v>
      </c>
      <c r="Z405" s="78"/>
      <c r="AA405" s="16" t="s">
        <v>526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436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437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452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>
        <v>1</v>
      </c>
      <c r="N406" s="9">
        <v>15</v>
      </c>
      <c r="O406" s="9" t="s">
        <v>1106</v>
      </c>
      <c r="S406" s="9" t="s">
        <v>708</v>
      </c>
      <c r="U406" s="84" t="s">
        <v>553</v>
      </c>
      <c r="V406" s="9">
        <f ca="1">IFERROR(OFFSET(ITEM_RES!$A$5,MATCH(BUILDING!U406,ITEM_RES!$J$5:$J$226,0)-1,0),0)</f>
        <v>211020401</v>
      </c>
      <c r="W406" s="11">
        <v>1</v>
      </c>
      <c r="X406" s="84" t="s">
        <v>548</v>
      </c>
      <c r="Y406" s="9">
        <f ca="1">IFERROR(OFFSET(ITEM_RES!$A$5,MATCH(BUILDING!X406,ITEM_RES!$J$5:$J$226,0)-1,0),0)</f>
        <v>211020501</v>
      </c>
      <c r="AA406" s="9" t="s">
        <v>526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436</v>
      </c>
      <c r="AU406" s="11">
        <v>1</v>
      </c>
      <c r="AX406" s="11">
        <f ca="1">IFERROR(OFFSET(ITEM_RES!$A$1,MATCH(AY406,ITEM_RES!$J:$J,0)-1,0),0)</f>
        <v>211020801</v>
      </c>
      <c r="AY406" s="10" t="s">
        <v>437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>
        <v>1</v>
      </c>
      <c r="N407" s="9">
        <v>15</v>
      </c>
      <c r="O407" s="9" t="s">
        <v>1106</v>
      </c>
      <c r="S407" s="9" t="s">
        <v>708</v>
      </c>
      <c r="U407" s="84" t="s">
        <v>553</v>
      </c>
      <c r="V407" s="9">
        <f ca="1">IFERROR(OFFSET(ITEM_RES!$A$5,MATCH(BUILDING!U407,ITEM_RES!$J$5:$J$226,0)-1,0),0)</f>
        <v>211020401</v>
      </c>
      <c r="W407" s="11">
        <v>1</v>
      </c>
      <c r="X407" s="84" t="s">
        <v>548</v>
      </c>
      <c r="Y407" s="9">
        <f ca="1">IFERROR(OFFSET(ITEM_RES!$A$5,MATCH(BUILDING!X407,ITEM_RES!$J$5:$J$226,0)-1,0),0)</f>
        <v>211020501</v>
      </c>
      <c r="AA407" s="9" t="s">
        <v>526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436</v>
      </c>
      <c r="AU407" s="11">
        <v>1</v>
      </c>
      <c r="AX407" s="11">
        <f ca="1">IFERROR(OFFSET(ITEM_RES!$A$1,MATCH(AY407,ITEM_RES!$J:$J,0)-1,0),0)</f>
        <v>211020801</v>
      </c>
      <c r="AY407" s="10" t="s">
        <v>437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>
        <v>1</v>
      </c>
      <c r="N408" s="9">
        <v>15</v>
      </c>
      <c r="O408" s="9" t="s">
        <v>1106</v>
      </c>
      <c r="S408" s="9" t="s">
        <v>708</v>
      </c>
      <c r="U408" s="84" t="s">
        <v>553</v>
      </c>
      <c r="V408" s="9">
        <f ca="1">IFERROR(OFFSET(ITEM_RES!$A$5,MATCH(BUILDING!U408,ITEM_RES!$J$5:$J$226,0)-1,0),0)</f>
        <v>211020401</v>
      </c>
      <c r="W408" s="11">
        <v>1</v>
      </c>
      <c r="X408" s="84" t="s">
        <v>548</v>
      </c>
      <c r="Y408" s="9">
        <f ca="1">IFERROR(OFFSET(ITEM_RES!$A$5,MATCH(BUILDING!X408,ITEM_RES!$J$5:$J$226,0)-1,0),0)</f>
        <v>211020501</v>
      </c>
      <c r="AA408" s="9" t="s">
        <v>526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436</v>
      </c>
      <c r="AU408" s="11">
        <v>1</v>
      </c>
      <c r="AX408" s="11">
        <f ca="1">IFERROR(OFFSET(ITEM_RES!$A$1,MATCH(AY408,ITEM_RES!$J:$J,0)-1,0),0)</f>
        <v>211020801</v>
      </c>
      <c r="AY408" s="10" t="s">
        <v>437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>
        <v>1</v>
      </c>
      <c r="N409" s="9">
        <v>15</v>
      </c>
      <c r="O409" s="9" t="s">
        <v>1106</v>
      </c>
      <c r="S409" s="9" t="s">
        <v>708</v>
      </c>
      <c r="U409" s="84" t="s">
        <v>553</v>
      </c>
      <c r="V409" s="9">
        <f ca="1">IFERROR(OFFSET(ITEM_RES!$A$5,MATCH(BUILDING!U409,ITEM_RES!$J$5:$J$226,0)-1,0),0)</f>
        <v>211020401</v>
      </c>
      <c r="W409" s="11">
        <v>1</v>
      </c>
      <c r="X409" s="84" t="s">
        <v>548</v>
      </c>
      <c r="Y409" s="9">
        <f ca="1">IFERROR(OFFSET(ITEM_RES!$A$5,MATCH(BUILDING!X409,ITEM_RES!$J$5:$J$226,0)-1,0),0)</f>
        <v>211020501</v>
      </c>
      <c r="AA409" s="9" t="s">
        <v>526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436</v>
      </c>
      <c r="AU409" s="11">
        <v>1</v>
      </c>
      <c r="AX409" s="11">
        <f ca="1">IFERROR(OFFSET(ITEM_RES!$A$1,MATCH(AY409,ITEM_RES!$J:$J,0)-1,0),0)</f>
        <v>211020801</v>
      </c>
      <c r="AY409" s="10" t="s">
        <v>437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>
        <v>1</v>
      </c>
      <c r="N410" s="9">
        <v>15</v>
      </c>
      <c r="O410" s="9" t="s">
        <v>1106</v>
      </c>
      <c r="S410" s="9" t="s">
        <v>708</v>
      </c>
      <c r="U410" s="84" t="s">
        <v>553</v>
      </c>
      <c r="V410" s="9">
        <f ca="1">IFERROR(OFFSET(ITEM_RES!$A$5,MATCH(BUILDING!U410,ITEM_RES!$J$5:$J$226,0)-1,0),0)</f>
        <v>211020401</v>
      </c>
      <c r="W410" s="11">
        <v>1</v>
      </c>
      <c r="X410" s="84" t="s">
        <v>548</v>
      </c>
      <c r="Y410" s="9">
        <f ca="1">IFERROR(OFFSET(ITEM_RES!$A$5,MATCH(BUILDING!X410,ITEM_RES!$J$5:$J$226,0)-1,0),0)</f>
        <v>211020501</v>
      </c>
      <c r="AA410" s="9" t="s">
        <v>526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436</v>
      </c>
      <c r="AU410" s="11">
        <v>1</v>
      </c>
      <c r="AX410" s="11">
        <f ca="1">IFERROR(OFFSET(ITEM_RES!$A$1,MATCH(AY410,ITEM_RES!$J:$J,0)-1,0),0)</f>
        <v>211020801</v>
      </c>
      <c r="AY410" s="10" t="s">
        <v>437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469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>
        <v>1</v>
      </c>
      <c r="N411" s="9">
        <v>15</v>
      </c>
      <c r="O411" s="9" t="s">
        <v>1106</v>
      </c>
      <c r="S411" s="9" t="s">
        <v>708</v>
      </c>
      <c r="U411" s="84" t="s">
        <v>553</v>
      </c>
      <c r="V411" s="9">
        <f ca="1">IFERROR(OFFSET(ITEM_RES!$A$5,MATCH(BUILDING!U411,ITEM_RES!$J$5:$J$226,0)-1,0),0)</f>
        <v>211020401</v>
      </c>
      <c r="W411" s="11">
        <v>1</v>
      </c>
      <c r="X411" s="84" t="s">
        <v>548</v>
      </c>
      <c r="Y411" s="9">
        <f ca="1">IFERROR(OFFSET(ITEM_RES!$A$5,MATCH(BUILDING!X411,ITEM_RES!$J$5:$J$226,0)-1,0),0)</f>
        <v>211020501</v>
      </c>
      <c r="AA411" s="9" t="s">
        <v>526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436</v>
      </c>
      <c r="AU411" s="11">
        <v>1</v>
      </c>
      <c r="AX411" s="11">
        <f ca="1">IFERROR(OFFSET(ITEM_RES!$A$1,MATCH(AY411,ITEM_RES!$J:$J,0)-1,0),0)</f>
        <v>211020801</v>
      </c>
      <c r="AY411" s="10" t="s">
        <v>437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>
        <v>1</v>
      </c>
      <c r="N412" s="9">
        <v>15</v>
      </c>
      <c r="O412" s="9" t="s">
        <v>1106</v>
      </c>
      <c r="S412" s="9" t="s">
        <v>708</v>
      </c>
      <c r="U412" s="84" t="s">
        <v>553</v>
      </c>
      <c r="V412" s="9">
        <f ca="1">IFERROR(OFFSET(ITEM_RES!$A$5,MATCH(BUILDING!U412,ITEM_RES!$J$5:$J$226,0)-1,0),0)</f>
        <v>211020401</v>
      </c>
      <c r="W412" s="11">
        <v>1</v>
      </c>
      <c r="X412" s="84" t="s">
        <v>548</v>
      </c>
      <c r="Y412" s="9">
        <f ca="1">IFERROR(OFFSET(ITEM_RES!$A$5,MATCH(BUILDING!X412,ITEM_RES!$J$5:$J$226,0)-1,0),0)</f>
        <v>211020501</v>
      </c>
      <c r="AA412" s="9" t="s">
        <v>526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436</v>
      </c>
      <c r="AU412" s="11">
        <v>1</v>
      </c>
      <c r="AX412" s="11">
        <f ca="1">IFERROR(OFFSET(ITEM_RES!$A$1,MATCH(AY412,ITEM_RES!$J:$J,0)-1,0),0)</f>
        <v>211020801</v>
      </c>
      <c r="AY412" s="10" t="s">
        <v>437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>
        <v>1</v>
      </c>
      <c r="N413" s="9">
        <v>15</v>
      </c>
      <c r="O413" s="9" t="s">
        <v>1106</v>
      </c>
      <c r="S413" s="9" t="s">
        <v>708</v>
      </c>
      <c r="U413" s="84" t="s">
        <v>553</v>
      </c>
      <c r="V413" s="9">
        <f ca="1">IFERROR(OFFSET(ITEM_RES!$A$5,MATCH(BUILDING!U413,ITEM_RES!$J$5:$J$226,0)-1,0),0)</f>
        <v>211020401</v>
      </c>
      <c r="W413" s="11">
        <v>1</v>
      </c>
      <c r="X413" s="84" t="s">
        <v>548</v>
      </c>
      <c r="Y413" s="9">
        <f ca="1">IFERROR(OFFSET(ITEM_RES!$A$5,MATCH(BUILDING!X413,ITEM_RES!$J$5:$J$226,0)-1,0),0)</f>
        <v>211020501</v>
      </c>
      <c r="AA413" s="9" t="s">
        <v>526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436</v>
      </c>
      <c r="AU413" s="11">
        <v>1</v>
      </c>
      <c r="AX413" s="11">
        <f ca="1">IFERROR(OFFSET(ITEM_RES!$A$1,MATCH(AY413,ITEM_RES!$J:$J,0)-1,0),0)</f>
        <v>211020801</v>
      </c>
      <c r="AY413" s="10" t="s">
        <v>437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>
        <v>1</v>
      </c>
      <c r="N414" s="9">
        <v>15</v>
      </c>
      <c r="O414" s="9" t="s">
        <v>1106</v>
      </c>
      <c r="S414" s="9" t="s">
        <v>708</v>
      </c>
      <c r="U414" s="84" t="s">
        <v>553</v>
      </c>
      <c r="V414" s="9">
        <f ca="1">IFERROR(OFFSET(ITEM_RES!$A$5,MATCH(BUILDING!U414,ITEM_RES!$J$5:$J$226,0)-1,0),0)</f>
        <v>211020401</v>
      </c>
      <c r="W414" s="11">
        <v>1</v>
      </c>
      <c r="X414" s="84" t="s">
        <v>548</v>
      </c>
      <c r="Y414" s="9">
        <f ca="1">IFERROR(OFFSET(ITEM_RES!$A$5,MATCH(BUILDING!X414,ITEM_RES!$J$5:$J$226,0)-1,0),0)</f>
        <v>211020501</v>
      </c>
      <c r="AA414" s="9" t="s">
        <v>526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436</v>
      </c>
      <c r="AU414" s="11">
        <v>1</v>
      </c>
      <c r="AX414" s="11">
        <f ca="1">IFERROR(OFFSET(ITEM_RES!$A$1,MATCH(AY414,ITEM_RES!$J:$J,0)-1,0),0)</f>
        <v>211020801</v>
      </c>
      <c r="AY414" s="10" t="s">
        <v>437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>
        <v>1</v>
      </c>
      <c r="N415" s="9">
        <v>15</v>
      </c>
      <c r="O415" s="9" t="s">
        <v>1106</v>
      </c>
      <c r="S415" s="9" t="s">
        <v>708</v>
      </c>
      <c r="U415" s="84" t="s">
        <v>553</v>
      </c>
      <c r="V415" s="9">
        <f ca="1">IFERROR(OFFSET(ITEM_RES!$A$5,MATCH(BUILDING!U415,ITEM_RES!$J$5:$J$226,0)-1,0),0)</f>
        <v>211020401</v>
      </c>
      <c r="W415" s="11">
        <v>1</v>
      </c>
      <c r="X415" s="84" t="s">
        <v>548</v>
      </c>
      <c r="Y415" s="9">
        <f ca="1">IFERROR(OFFSET(ITEM_RES!$A$5,MATCH(BUILDING!X415,ITEM_RES!$J$5:$J$226,0)-1,0),0)</f>
        <v>211020501</v>
      </c>
      <c r="AA415" s="9" t="s">
        <v>526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436</v>
      </c>
      <c r="AU415" s="11">
        <v>1</v>
      </c>
      <c r="AX415" s="11">
        <f ca="1">IFERROR(OFFSET(ITEM_RES!$A$1,MATCH(AY415,ITEM_RES!$J:$J,0)-1,0),0)</f>
        <v>211020801</v>
      </c>
      <c r="AY415" s="10" t="s">
        <v>437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>
        <v>1</v>
      </c>
      <c r="N416" s="9">
        <v>15</v>
      </c>
      <c r="O416" s="9" t="s">
        <v>1106</v>
      </c>
      <c r="S416" s="9" t="s">
        <v>708</v>
      </c>
      <c r="U416" s="84" t="s">
        <v>553</v>
      </c>
      <c r="V416" s="9">
        <f ca="1">IFERROR(OFFSET(ITEM_RES!$A$5,MATCH(BUILDING!U416,ITEM_RES!$J$5:$J$226,0)-1,0),0)</f>
        <v>211020401</v>
      </c>
      <c r="W416" s="11">
        <v>1</v>
      </c>
      <c r="X416" s="84" t="s">
        <v>548</v>
      </c>
      <c r="Y416" s="9">
        <f ca="1">IFERROR(OFFSET(ITEM_RES!$A$5,MATCH(BUILDING!X416,ITEM_RES!$J$5:$J$226,0)-1,0),0)</f>
        <v>211020501</v>
      </c>
      <c r="AA416" s="9" t="s">
        <v>526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436</v>
      </c>
      <c r="AU416" s="11">
        <v>1</v>
      </c>
      <c r="AX416" s="11">
        <f ca="1">IFERROR(OFFSET(ITEM_RES!$A$1,MATCH(AY416,ITEM_RES!$J:$J,0)-1,0),0)</f>
        <v>211020801</v>
      </c>
      <c r="AY416" s="10" t="s">
        <v>437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>
        <v>1</v>
      </c>
      <c r="N417" s="9">
        <v>15</v>
      </c>
      <c r="O417" s="9" t="s">
        <v>1106</v>
      </c>
      <c r="S417" s="9" t="s">
        <v>708</v>
      </c>
      <c r="U417" s="84" t="s">
        <v>553</v>
      </c>
      <c r="V417" s="9">
        <f ca="1">IFERROR(OFFSET(ITEM_RES!$A$5,MATCH(BUILDING!U417,ITEM_RES!$J$5:$J$226,0)-1,0),0)</f>
        <v>211020401</v>
      </c>
      <c r="W417" s="11">
        <v>1</v>
      </c>
      <c r="X417" s="84" t="s">
        <v>548</v>
      </c>
      <c r="Y417" s="9">
        <f ca="1">IFERROR(OFFSET(ITEM_RES!$A$5,MATCH(BUILDING!X417,ITEM_RES!$J$5:$J$226,0)-1,0),0)</f>
        <v>211020501</v>
      </c>
      <c r="AA417" s="9" t="s">
        <v>526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436</v>
      </c>
      <c r="AU417" s="11">
        <v>1</v>
      </c>
      <c r="AX417" s="11">
        <f ca="1">IFERROR(OFFSET(ITEM_RES!$A$1,MATCH(AY417,ITEM_RES!$J:$J,0)-1,0),0)</f>
        <v>211020801</v>
      </c>
      <c r="AY417" s="10" t="s">
        <v>437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>
        <v>1</v>
      </c>
      <c r="N418" s="9">
        <v>15</v>
      </c>
      <c r="O418" s="9" t="s">
        <v>1106</v>
      </c>
      <c r="S418" s="9" t="s">
        <v>708</v>
      </c>
      <c r="U418" s="84" t="s">
        <v>553</v>
      </c>
      <c r="V418" s="9">
        <f ca="1">IFERROR(OFFSET(ITEM_RES!$A$5,MATCH(BUILDING!U418,ITEM_RES!$J$5:$J$226,0)-1,0),0)</f>
        <v>211020401</v>
      </c>
      <c r="W418" s="11">
        <v>1</v>
      </c>
      <c r="X418" s="84" t="s">
        <v>548</v>
      </c>
      <c r="Y418" s="9">
        <f ca="1">IFERROR(OFFSET(ITEM_RES!$A$5,MATCH(BUILDING!X418,ITEM_RES!$J$5:$J$226,0)-1,0),0)</f>
        <v>211020501</v>
      </c>
      <c r="AA418" s="9" t="s">
        <v>526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436</v>
      </c>
      <c r="AU418" s="11">
        <v>1</v>
      </c>
      <c r="AX418" s="11">
        <f ca="1">IFERROR(OFFSET(ITEM_RES!$A$1,MATCH(AY418,ITEM_RES!$J:$J,0)-1,0),0)</f>
        <v>211020801</v>
      </c>
      <c r="AY418" s="10" t="s">
        <v>437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>
        <v>1</v>
      </c>
      <c r="N419" s="9">
        <v>15</v>
      </c>
      <c r="O419" s="9" t="s">
        <v>1106</v>
      </c>
      <c r="S419" s="9" t="s">
        <v>708</v>
      </c>
      <c r="U419" s="84" t="s">
        <v>553</v>
      </c>
      <c r="V419" s="9">
        <f ca="1">IFERROR(OFFSET(ITEM_RES!$A$5,MATCH(BUILDING!U419,ITEM_RES!$J$5:$J$226,0)-1,0),0)</f>
        <v>211020401</v>
      </c>
      <c r="W419" s="11">
        <v>1</v>
      </c>
      <c r="X419" s="84" t="s">
        <v>548</v>
      </c>
      <c r="Y419" s="9">
        <f ca="1">IFERROR(OFFSET(ITEM_RES!$A$5,MATCH(BUILDING!X419,ITEM_RES!$J$5:$J$226,0)-1,0),0)</f>
        <v>211020501</v>
      </c>
      <c r="AA419" s="9" t="s">
        <v>526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433</v>
      </c>
      <c r="AU419" s="11">
        <v>1</v>
      </c>
      <c r="AX419" s="11">
        <f ca="1">IFERROR(OFFSET(ITEM_RES!$A$1,MATCH(AY419,ITEM_RES!$J:$J,0)-1,0),0)</f>
        <v>211020801</v>
      </c>
      <c r="AY419" s="10" t="s">
        <v>437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>
        <v>0</v>
      </c>
      <c r="N420" s="9">
        <v>15</v>
      </c>
      <c r="O420" s="9" t="s">
        <v>1106</v>
      </c>
      <c r="S420" s="9" t="s">
        <v>708</v>
      </c>
      <c r="U420" s="84" t="s">
        <v>553</v>
      </c>
      <c r="V420" s="9">
        <f ca="1">IFERROR(OFFSET(ITEM_RES!$A$5,MATCH(BUILDING!U420,ITEM_RES!$J$5:$J$226,0)-1,0),0)</f>
        <v>211020401</v>
      </c>
      <c r="W420" s="11">
        <v>1</v>
      </c>
      <c r="X420" s="84" t="s">
        <v>548</v>
      </c>
      <c r="Y420" s="9">
        <f ca="1">IFERROR(OFFSET(ITEM_RES!$A$5,MATCH(BUILDING!X420,ITEM_RES!$J$5:$J$226,0)-1,0),0)</f>
        <v>211020501</v>
      </c>
      <c r="AA420" s="9" t="s">
        <v>526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433</v>
      </c>
      <c r="AU420" s="11">
        <v>1</v>
      </c>
      <c r="AX420" s="11">
        <f ca="1">IFERROR(OFFSET(ITEM_RES!$A$1,MATCH(AY420,ITEM_RES!$J:$J,0)-1,0),0)</f>
        <v>211020801</v>
      </c>
      <c r="AY420" s="10" t="s">
        <v>437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>
        <v>0</v>
      </c>
      <c r="N421" s="9">
        <v>15</v>
      </c>
      <c r="O421" s="9" t="s">
        <v>1106</v>
      </c>
      <c r="S421" s="9" t="s">
        <v>708</v>
      </c>
      <c r="U421" s="84" t="s">
        <v>553</v>
      </c>
      <c r="V421" s="9">
        <f ca="1">IFERROR(OFFSET(ITEM_RES!$A$5,MATCH(BUILDING!U421,ITEM_RES!$J$5:$J$226,0)-1,0),0)</f>
        <v>211020401</v>
      </c>
      <c r="W421" s="11">
        <v>1</v>
      </c>
      <c r="X421" s="84" t="s">
        <v>548</v>
      </c>
      <c r="Y421" s="9">
        <f ca="1">IFERROR(OFFSET(ITEM_RES!$A$5,MATCH(BUILDING!X421,ITEM_RES!$J$5:$J$226,0)-1,0),0)</f>
        <v>211020501</v>
      </c>
      <c r="AA421" s="9" t="s">
        <v>526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433</v>
      </c>
      <c r="AU421" s="11">
        <v>1</v>
      </c>
      <c r="AX421" s="11">
        <f ca="1">IFERROR(OFFSET(ITEM_RES!$A$1,MATCH(AY421,ITEM_RES!$J:$J,0)-1,0),0)</f>
        <v>211020801</v>
      </c>
      <c r="AY421" s="10" t="s">
        <v>437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>
        <v>0</v>
      </c>
      <c r="N422" s="9">
        <v>15</v>
      </c>
      <c r="O422" s="9" t="s">
        <v>1106</v>
      </c>
      <c r="S422" s="9" t="s">
        <v>708</v>
      </c>
      <c r="U422" s="84" t="s">
        <v>553</v>
      </c>
      <c r="V422" s="9">
        <f ca="1">IFERROR(OFFSET(ITEM_RES!$A$5,MATCH(BUILDING!U422,ITEM_RES!$J$5:$J$226,0)-1,0),0)</f>
        <v>211020401</v>
      </c>
      <c r="W422" s="11">
        <v>1</v>
      </c>
      <c r="X422" s="84" t="s">
        <v>548</v>
      </c>
      <c r="Y422" s="9">
        <f ca="1">IFERROR(OFFSET(ITEM_RES!$A$5,MATCH(BUILDING!X422,ITEM_RES!$J$5:$J$226,0)-1,0),0)</f>
        <v>211020501</v>
      </c>
      <c r="AA422" s="9" t="s">
        <v>526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433</v>
      </c>
      <c r="AU422" s="11">
        <v>1</v>
      </c>
      <c r="AX422" s="11">
        <f ca="1">IFERROR(OFFSET(ITEM_RES!$A$1,MATCH(AY422,ITEM_RES!$J:$J,0)-1,0),0)</f>
        <v>211020801</v>
      </c>
      <c r="AY422" s="10" t="s">
        <v>437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>
        <v>0</v>
      </c>
      <c r="N423" s="9">
        <v>15</v>
      </c>
      <c r="O423" s="9" t="s">
        <v>1106</v>
      </c>
      <c r="S423" s="9" t="s">
        <v>708</v>
      </c>
      <c r="U423" s="84" t="s">
        <v>553</v>
      </c>
      <c r="V423" s="9">
        <f ca="1">IFERROR(OFFSET(ITEM_RES!$A$5,MATCH(BUILDING!U423,ITEM_RES!$J$5:$J$226,0)-1,0),0)</f>
        <v>211020401</v>
      </c>
      <c r="W423" s="11">
        <v>1</v>
      </c>
      <c r="X423" s="84" t="s">
        <v>548</v>
      </c>
      <c r="Y423" s="9">
        <f ca="1">IFERROR(OFFSET(ITEM_RES!$A$5,MATCH(BUILDING!X423,ITEM_RES!$J$5:$J$226,0)-1,0),0)</f>
        <v>211020501</v>
      </c>
      <c r="AA423" s="9" t="s">
        <v>526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433</v>
      </c>
      <c r="AU423" s="11">
        <v>1</v>
      </c>
      <c r="AX423" s="11">
        <f ca="1">IFERROR(OFFSET(ITEM_RES!$A$1,MATCH(AY423,ITEM_RES!$J:$J,0)-1,0),0)</f>
        <v>211020801</v>
      </c>
      <c r="AY423" s="10" t="s">
        <v>437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>
        <v>0</v>
      </c>
      <c r="N424" s="9">
        <v>15</v>
      </c>
      <c r="O424" s="9" t="s">
        <v>1106</v>
      </c>
      <c r="S424" s="9" t="s">
        <v>708</v>
      </c>
      <c r="U424" s="84" t="s">
        <v>553</v>
      </c>
      <c r="V424" s="9">
        <f ca="1">IFERROR(OFFSET(ITEM_RES!$A$5,MATCH(BUILDING!U424,ITEM_RES!$J$5:$J$226,0)-1,0),0)</f>
        <v>211020401</v>
      </c>
      <c r="W424" s="11">
        <v>1</v>
      </c>
      <c r="X424" s="84" t="s">
        <v>548</v>
      </c>
      <c r="Y424" s="9">
        <f ca="1">IFERROR(OFFSET(ITEM_RES!$A$5,MATCH(BUILDING!X424,ITEM_RES!$J$5:$J$226,0)-1,0),0)</f>
        <v>211020501</v>
      </c>
      <c r="AA424" s="9" t="s">
        <v>526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433</v>
      </c>
      <c r="AU424" s="11">
        <v>1</v>
      </c>
      <c r="AX424" s="11">
        <f ca="1">IFERROR(OFFSET(ITEM_RES!$A$1,MATCH(AY424,ITEM_RES!$J:$J,0)-1,0),0)</f>
        <v>211020801</v>
      </c>
      <c r="AY424" s="10" t="s">
        <v>437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>
        <v>1</v>
      </c>
      <c r="N425" s="16">
        <v>15</v>
      </c>
      <c r="O425" s="16" t="s">
        <v>1226</v>
      </c>
      <c r="P425" s="17"/>
      <c r="Q425" s="17"/>
      <c r="R425" s="18"/>
      <c r="S425" s="16" t="s">
        <v>704</v>
      </c>
      <c r="T425" s="78"/>
      <c r="U425" s="86" t="s">
        <v>547</v>
      </c>
      <c r="V425" s="16">
        <f ca="1">IFERROR(OFFSET(ITEM_RES!$A$5,MATCH(BUILDING!U425,ITEM_RES!$J$5:$J$226,0)-1,0),0)</f>
        <v>211020201</v>
      </c>
      <c r="W425" s="18">
        <v>1</v>
      </c>
      <c r="X425" s="86" t="s">
        <v>549</v>
      </c>
      <c r="Y425" s="16">
        <f ca="1">IFERROR(OFFSET(ITEM_RES!$A$5,MATCH(BUILDING!X425,ITEM_RES!$J$5:$J$226,0)-1,0),0)</f>
        <v>211020301</v>
      </c>
      <c r="Z425" s="78"/>
      <c r="AA425" s="16" t="s">
        <v>527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430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436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452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1226</v>
      </c>
      <c r="S426" s="9" t="s">
        <v>704</v>
      </c>
      <c r="U426" s="84" t="s">
        <v>547</v>
      </c>
      <c r="V426" s="9">
        <f ca="1">IFERROR(OFFSET(ITEM_RES!$A$5,MATCH(BUILDING!U426,ITEM_RES!$J$5:$J$226,0)-1,0),0)</f>
        <v>211020201</v>
      </c>
      <c r="W426" s="11">
        <v>1</v>
      </c>
      <c r="X426" s="84" t="s">
        <v>549</v>
      </c>
      <c r="Y426" s="9">
        <f ca="1">IFERROR(OFFSET(ITEM_RES!$A$5,MATCH(BUILDING!X426,ITEM_RES!$J$5:$J$226,0)-1,0),0)</f>
        <v>211020301</v>
      </c>
      <c r="AA426" s="9" t="s">
        <v>527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430</v>
      </c>
      <c r="AU426" s="11">
        <v>20</v>
      </c>
      <c r="AX426" s="11">
        <f ca="1">IFERROR(OFFSET(ITEM_RES!$A$1,MATCH(AY426,ITEM_RES!$J:$J,0)-1,0),0)</f>
        <v>211020401</v>
      </c>
      <c r="AY426" s="10" t="s">
        <v>436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1227</v>
      </c>
      <c r="S427" s="9" t="s">
        <v>704</v>
      </c>
      <c r="U427" s="84" t="s">
        <v>547</v>
      </c>
      <c r="V427" s="9">
        <f ca="1">IFERROR(OFFSET(ITEM_RES!$A$5,MATCH(BUILDING!U427,ITEM_RES!$J$5:$J$226,0)-1,0),0)</f>
        <v>211020201</v>
      </c>
      <c r="W427" s="11">
        <v>1</v>
      </c>
      <c r="X427" s="84" t="s">
        <v>549</v>
      </c>
      <c r="Y427" s="9">
        <f ca="1">IFERROR(OFFSET(ITEM_RES!$A$5,MATCH(BUILDING!X427,ITEM_RES!$J$5:$J$226,0)-1,0),0)</f>
        <v>211020301</v>
      </c>
      <c r="AA427" s="9" t="s">
        <v>527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430</v>
      </c>
      <c r="AU427" s="11">
        <v>160</v>
      </c>
      <c r="AX427" s="11">
        <f ca="1">IFERROR(OFFSET(ITEM_RES!$A$1,MATCH(AY427,ITEM_RES!$J:$J,0)-1,0),0)</f>
        <v>211020401</v>
      </c>
      <c r="AY427" s="10" t="s">
        <v>436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1228</v>
      </c>
      <c r="S428" s="9" t="s">
        <v>704</v>
      </c>
      <c r="U428" s="84" t="s">
        <v>547</v>
      </c>
      <c r="V428" s="9">
        <f ca="1">IFERROR(OFFSET(ITEM_RES!$A$5,MATCH(BUILDING!U428,ITEM_RES!$J$5:$J$226,0)-1,0),0)</f>
        <v>211020201</v>
      </c>
      <c r="W428" s="11">
        <v>1</v>
      </c>
      <c r="X428" s="84" t="s">
        <v>549</v>
      </c>
      <c r="Y428" s="9">
        <f ca="1">IFERROR(OFFSET(ITEM_RES!$A$5,MATCH(BUILDING!X428,ITEM_RES!$J$5:$J$226,0)-1,0),0)</f>
        <v>211020301</v>
      </c>
      <c r="AA428" s="9" t="s">
        <v>527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430</v>
      </c>
      <c r="AU428" s="11">
        <v>1920</v>
      </c>
      <c r="AX428" s="11">
        <f ca="1">IFERROR(OFFSET(ITEM_RES!$A$1,MATCH(AY428,ITEM_RES!$J:$J,0)-1,0),0)</f>
        <v>211020401</v>
      </c>
      <c r="AY428" s="10" t="s">
        <v>436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1229</v>
      </c>
      <c r="S429" s="9" t="s">
        <v>704</v>
      </c>
      <c r="U429" s="84" t="s">
        <v>547</v>
      </c>
      <c r="V429" s="9">
        <f ca="1">IFERROR(OFFSET(ITEM_RES!$A$5,MATCH(BUILDING!U429,ITEM_RES!$J$5:$J$226,0)-1,0),0)</f>
        <v>211020201</v>
      </c>
      <c r="W429" s="11">
        <v>1</v>
      </c>
      <c r="X429" s="84" t="s">
        <v>549</v>
      </c>
      <c r="Y429" s="9">
        <f ca="1">IFERROR(OFFSET(ITEM_RES!$A$5,MATCH(BUILDING!X429,ITEM_RES!$J$5:$J$226,0)-1,0),0)</f>
        <v>211020301</v>
      </c>
      <c r="AA429" s="9" t="s">
        <v>527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430</v>
      </c>
      <c r="AU429" s="11">
        <v>26000</v>
      </c>
      <c r="AX429" s="11">
        <f ca="1">IFERROR(OFFSET(ITEM_RES!$A$1,MATCH(AY429,ITEM_RES!$J:$J,0)-1,0),0)</f>
        <v>211020401</v>
      </c>
      <c r="AY429" s="10" t="s">
        <v>436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1230</v>
      </c>
      <c r="S430" s="9" t="s">
        <v>704</v>
      </c>
      <c r="U430" s="84" t="s">
        <v>547</v>
      </c>
      <c r="V430" s="9">
        <f ca="1">IFERROR(OFFSET(ITEM_RES!$A$5,MATCH(BUILDING!U430,ITEM_RES!$J$5:$J$226,0)-1,0),0)</f>
        <v>211020201</v>
      </c>
      <c r="W430" s="11">
        <v>1</v>
      </c>
      <c r="X430" s="84" t="s">
        <v>549</v>
      </c>
      <c r="Y430" s="9">
        <f ca="1">IFERROR(OFFSET(ITEM_RES!$A$5,MATCH(BUILDING!X430,ITEM_RES!$J$5:$J$226,0)-1,0),0)</f>
        <v>211020301</v>
      </c>
      <c r="AA430" s="9" t="s">
        <v>527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430</v>
      </c>
      <c r="AU430" s="11">
        <v>240000</v>
      </c>
      <c r="AX430" s="11">
        <f ca="1">IFERROR(OFFSET(ITEM_RES!$A$1,MATCH(AY430,ITEM_RES!$J:$J,0)-1,0),0)</f>
        <v>211020401</v>
      </c>
      <c r="AY430" s="10" t="s">
        <v>436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1231</v>
      </c>
      <c r="S431" s="9" t="s">
        <v>704</v>
      </c>
      <c r="U431" s="84" t="s">
        <v>547</v>
      </c>
      <c r="V431" s="9">
        <f ca="1">IFERROR(OFFSET(ITEM_RES!$A$5,MATCH(BUILDING!U431,ITEM_RES!$J$5:$J$226,0)-1,0),0)</f>
        <v>211020201</v>
      </c>
      <c r="W431" s="11">
        <v>1</v>
      </c>
      <c r="X431" s="84" t="s">
        <v>549</v>
      </c>
      <c r="Y431" s="9">
        <f ca="1">IFERROR(OFFSET(ITEM_RES!$A$5,MATCH(BUILDING!X431,ITEM_RES!$J$5:$J$226,0)-1,0),0)</f>
        <v>211020301</v>
      </c>
      <c r="AA431" s="9" t="s">
        <v>527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430</v>
      </c>
      <c r="AU431" s="11">
        <v>540000</v>
      </c>
      <c r="AX431" s="11">
        <f ca="1">IFERROR(OFFSET(ITEM_RES!$A$1,MATCH(AY431,ITEM_RES!$J:$J,0)-1,0),0)</f>
        <v>211020401</v>
      </c>
      <c r="AY431" s="10" t="s">
        <v>436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1231</v>
      </c>
      <c r="S432" s="9" t="s">
        <v>704</v>
      </c>
      <c r="U432" s="84" t="s">
        <v>547</v>
      </c>
      <c r="V432" s="9">
        <f ca="1">IFERROR(OFFSET(ITEM_RES!$A$5,MATCH(BUILDING!U432,ITEM_RES!$J$5:$J$226,0)-1,0),0)</f>
        <v>211020201</v>
      </c>
      <c r="W432" s="11">
        <v>1</v>
      </c>
      <c r="X432" s="84" t="s">
        <v>549</v>
      </c>
      <c r="Y432" s="9">
        <f ca="1">IFERROR(OFFSET(ITEM_RES!$A$5,MATCH(BUILDING!X432,ITEM_RES!$J$5:$J$226,0)-1,0),0)</f>
        <v>211020301</v>
      </c>
      <c r="AA432" s="9" t="s">
        <v>527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430</v>
      </c>
      <c r="AU432" s="11">
        <v>1000000</v>
      </c>
      <c r="AX432" s="11">
        <f ca="1">IFERROR(OFFSET(ITEM_RES!$A$1,MATCH(AY432,ITEM_RES!$J:$J,0)-1,0),0)</f>
        <v>211020401</v>
      </c>
      <c r="AY432" s="10" t="s">
        <v>436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1231</v>
      </c>
      <c r="S433" s="9" t="s">
        <v>704</v>
      </c>
      <c r="U433" s="84" t="s">
        <v>547</v>
      </c>
      <c r="V433" s="9">
        <f ca="1">IFERROR(OFFSET(ITEM_RES!$A$5,MATCH(BUILDING!U433,ITEM_RES!$J$5:$J$226,0)-1,0),0)</f>
        <v>211020201</v>
      </c>
      <c r="W433" s="11">
        <v>1</v>
      </c>
      <c r="X433" s="84" t="s">
        <v>549</v>
      </c>
      <c r="Y433" s="9">
        <f ca="1">IFERROR(OFFSET(ITEM_RES!$A$5,MATCH(BUILDING!X433,ITEM_RES!$J$5:$J$226,0)-1,0),0)</f>
        <v>211020301</v>
      </c>
      <c r="AA433" s="9" t="s">
        <v>527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430</v>
      </c>
      <c r="AU433" s="11">
        <v>1580000</v>
      </c>
      <c r="AX433" s="11">
        <f ca="1">IFERROR(OFFSET(ITEM_RES!$A$1,MATCH(AY433,ITEM_RES!$J:$J,0)-1,0),0)</f>
        <v>211020401</v>
      </c>
      <c r="AY433" s="10" t="s">
        <v>436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1231</v>
      </c>
      <c r="S434" s="9" t="s">
        <v>704</v>
      </c>
      <c r="U434" s="84" t="s">
        <v>547</v>
      </c>
      <c r="V434" s="9">
        <f ca="1">IFERROR(OFFSET(ITEM_RES!$A$5,MATCH(BUILDING!U434,ITEM_RES!$J$5:$J$226,0)-1,0),0)</f>
        <v>211020201</v>
      </c>
      <c r="W434" s="11">
        <v>1</v>
      </c>
      <c r="X434" s="84" t="s">
        <v>549</v>
      </c>
      <c r="Y434" s="9">
        <f ca="1">IFERROR(OFFSET(ITEM_RES!$A$5,MATCH(BUILDING!X434,ITEM_RES!$J$5:$J$226,0)-1,0),0)</f>
        <v>211020301</v>
      </c>
      <c r="AA434" s="9" t="s">
        <v>527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430</v>
      </c>
      <c r="AU434" s="11">
        <v>2200000</v>
      </c>
      <c r="AX434" s="11">
        <f ca="1">IFERROR(OFFSET(ITEM_RES!$A$1,MATCH(AY434,ITEM_RES!$J:$J,0)-1,0),0)</f>
        <v>211020401</v>
      </c>
      <c r="AY434" s="10" t="s">
        <v>436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1231</v>
      </c>
      <c r="S435" s="9" t="s">
        <v>704</v>
      </c>
      <c r="U435" s="84" t="s">
        <v>547</v>
      </c>
      <c r="V435" s="9">
        <f ca="1">IFERROR(OFFSET(ITEM_RES!$A$5,MATCH(BUILDING!U435,ITEM_RES!$J$5:$J$226,0)-1,0),0)</f>
        <v>211020201</v>
      </c>
      <c r="W435" s="11">
        <v>1</v>
      </c>
      <c r="X435" s="84" t="s">
        <v>549</v>
      </c>
      <c r="Y435" s="9">
        <f ca="1">IFERROR(OFFSET(ITEM_RES!$A$5,MATCH(BUILDING!X435,ITEM_RES!$J$5:$J$226,0)-1,0),0)</f>
        <v>211020301</v>
      </c>
      <c r="AA435" s="9" t="s">
        <v>527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430</v>
      </c>
      <c r="AU435" s="11">
        <v>4400000</v>
      </c>
      <c r="AX435" s="11">
        <f ca="1">IFERROR(OFFSET(ITEM_RES!$A$1,MATCH(AY435,ITEM_RES!$J:$J,0)-1,0),0)</f>
        <v>211020401</v>
      </c>
      <c r="AY435" s="10" t="s">
        <v>436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467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1231</v>
      </c>
      <c r="S436" s="9" t="s">
        <v>704</v>
      </c>
      <c r="U436" s="84" t="s">
        <v>547</v>
      </c>
      <c r="V436" s="9">
        <f ca="1">IFERROR(OFFSET(ITEM_RES!$A$5,MATCH(BUILDING!U436,ITEM_RES!$J$5:$J$226,0)-1,0),0)</f>
        <v>211020201</v>
      </c>
      <c r="W436" s="11">
        <v>1</v>
      </c>
      <c r="X436" s="84" t="s">
        <v>549</v>
      </c>
      <c r="Y436" s="9">
        <f ca="1">IFERROR(OFFSET(ITEM_RES!$A$5,MATCH(BUILDING!X436,ITEM_RES!$J$5:$J$226,0)-1,0),0)</f>
        <v>211020301</v>
      </c>
      <c r="AA436" s="9" t="s">
        <v>527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430</v>
      </c>
      <c r="AU436" s="11">
        <v>5200000</v>
      </c>
      <c r="AX436" s="11">
        <f ca="1">IFERROR(OFFSET(ITEM_RES!$A$1,MATCH(AY436,ITEM_RES!$J:$J,0)-1,0),0)</f>
        <v>211020401</v>
      </c>
      <c r="AY436" s="10" t="s">
        <v>436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1231</v>
      </c>
      <c r="S437" s="9" t="s">
        <v>704</v>
      </c>
      <c r="U437" s="84" t="s">
        <v>547</v>
      </c>
      <c r="V437" s="9">
        <f ca="1">IFERROR(OFFSET(ITEM_RES!$A$5,MATCH(BUILDING!U437,ITEM_RES!$J$5:$J$226,0)-1,0),0)</f>
        <v>211020201</v>
      </c>
      <c r="W437" s="11">
        <v>1</v>
      </c>
      <c r="X437" s="84" t="s">
        <v>549</v>
      </c>
      <c r="Y437" s="9">
        <f ca="1">IFERROR(OFFSET(ITEM_RES!$A$5,MATCH(BUILDING!X437,ITEM_RES!$J$5:$J$226,0)-1,0),0)</f>
        <v>211020301</v>
      </c>
      <c r="AA437" s="9" t="s">
        <v>527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430</v>
      </c>
      <c r="AU437" s="11">
        <v>8600000</v>
      </c>
      <c r="AX437" s="11">
        <f ca="1">IFERROR(OFFSET(ITEM_RES!$A$1,MATCH(AY437,ITEM_RES!$J:$J,0)-1,0),0)</f>
        <v>211020401</v>
      </c>
      <c r="AY437" s="10" t="s">
        <v>436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1231</v>
      </c>
      <c r="S438" s="9" t="s">
        <v>704</v>
      </c>
      <c r="U438" s="84" t="s">
        <v>547</v>
      </c>
      <c r="V438" s="9">
        <f ca="1">IFERROR(OFFSET(ITEM_RES!$A$5,MATCH(BUILDING!U438,ITEM_RES!$J$5:$J$226,0)-1,0),0)</f>
        <v>211020201</v>
      </c>
      <c r="W438" s="11">
        <v>1</v>
      </c>
      <c r="X438" s="84" t="s">
        <v>549</v>
      </c>
      <c r="Y438" s="9">
        <f ca="1">IFERROR(OFFSET(ITEM_RES!$A$5,MATCH(BUILDING!X438,ITEM_RES!$J$5:$J$226,0)-1,0),0)</f>
        <v>211020301</v>
      </c>
      <c r="AA438" s="9" t="s">
        <v>527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1163</v>
      </c>
      <c r="AU438" s="11">
        <v>13200000</v>
      </c>
      <c r="AX438" s="11">
        <f ca="1">IFERROR(OFFSET(ITEM_RES!$A$1,MATCH(AY438,ITEM_RES!$J:$J,0)-1,0),0)</f>
        <v>211020401</v>
      </c>
      <c r="AY438" s="10" t="s">
        <v>436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1231</v>
      </c>
      <c r="S439" s="9" t="s">
        <v>704</v>
      </c>
      <c r="U439" s="84" t="s">
        <v>547</v>
      </c>
      <c r="V439" s="9">
        <f ca="1">IFERROR(OFFSET(ITEM_RES!$A$5,MATCH(BUILDING!U439,ITEM_RES!$J$5:$J$226,0)-1,0),0)</f>
        <v>211020201</v>
      </c>
      <c r="W439" s="11">
        <v>1</v>
      </c>
      <c r="X439" s="84" t="s">
        <v>549</v>
      </c>
      <c r="Y439" s="9">
        <f ca="1">IFERROR(OFFSET(ITEM_RES!$A$5,MATCH(BUILDING!X439,ITEM_RES!$J$5:$J$226,0)-1,0),0)</f>
        <v>211020301</v>
      </c>
      <c r="AA439" s="9" t="s">
        <v>527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1163</v>
      </c>
      <c r="AU439" s="11">
        <v>22000000</v>
      </c>
      <c r="AX439" s="11">
        <f ca="1">IFERROR(OFFSET(ITEM_RES!$A$1,MATCH(AY439,ITEM_RES!$J:$J,0)-1,0),0)</f>
        <v>211020501</v>
      </c>
      <c r="AY439" s="10" t="s">
        <v>425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1231</v>
      </c>
      <c r="S440" s="9" t="s">
        <v>704</v>
      </c>
      <c r="U440" s="84" t="s">
        <v>547</v>
      </c>
      <c r="V440" s="9">
        <f ca="1">IFERROR(OFFSET(ITEM_RES!$A$5,MATCH(BUILDING!U440,ITEM_RES!$J$5:$J$226,0)-1,0),0)</f>
        <v>211020201</v>
      </c>
      <c r="W440" s="11">
        <v>1</v>
      </c>
      <c r="X440" s="84" t="s">
        <v>549</v>
      </c>
      <c r="Y440" s="9">
        <f ca="1">IFERROR(OFFSET(ITEM_RES!$A$5,MATCH(BUILDING!X440,ITEM_RES!$J$5:$J$226,0)-1,0),0)</f>
        <v>211020301</v>
      </c>
      <c r="AA440" s="9" t="s">
        <v>527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1163</v>
      </c>
      <c r="AU440" s="11">
        <v>30000000</v>
      </c>
      <c r="AX440" s="11">
        <f ca="1">IFERROR(OFFSET(ITEM_RES!$A$1,MATCH(AY440,ITEM_RES!$J:$J,0)-1,0),0)</f>
        <v>211020501</v>
      </c>
      <c r="AY440" s="10" t="s">
        <v>425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1231</v>
      </c>
      <c r="S441" s="9" t="s">
        <v>704</v>
      </c>
      <c r="U441" s="84" t="s">
        <v>547</v>
      </c>
      <c r="V441" s="9">
        <f ca="1">IFERROR(OFFSET(ITEM_RES!$A$5,MATCH(BUILDING!U441,ITEM_RES!$J$5:$J$226,0)-1,0),0)</f>
        <v>211020201</v>
      </c>
      <c r="W441" s="11">
        <v>1</v>
      </c>
      <c r="X441" s="84" t="s">
        <v>549</v>
      </c>
      <c r="Y441" s="9">
        <f ca="1">IFERROR(OFFSET(ITEM_RES!$A$5,MATCH(BUILDING!X441,ITEM_RES!$J$5:$J$226,0)-1,0),0)</f>
        <v>211020301</v>
      </c>
      <c r="AA441" s="9" t="s">
        <v>527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1163</v>
      </c>
      <c r="AU441" s="11">
        <v>46000000</v>
      </c>
      <c r="AX441" s="11">
        <f ca="1">IFERROR(OFFSET(ITEM_RES!$A$1,MATCH(AY441,ITEM_RES!$J:$J,0)-1,0),0)</f>
        <v>211020501</v>
      </c>
      <c r="AY441" s="10" t="s">
        <v>425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1231</v>
      </c>
      <c r="S442" s="9" t="s">
        <v>704</v>
      </c>
      <c r="U442" s="84" t="s">
        <v>547</v>
      </c>
      <c r="V442" s="9">
        <f ca="1">IFERROR(OFFSET(ITEM_RES!$A$5,MATCH(BUILDING!U442,ITEM_RES!$J$5:$J$226,0)-1,0),0)</f>
        <v>211020201</v>
      </c>
      <c r="W442" s="11">
        <v>1</v>
      </c>
      <c r="X442" s="84" t="s">
        <v>549</v>
      </c>
      <c r="Y442" s="9">
        <f ca="1">IFERROR(OFFSET(ITEM_RES!$A$5,MATCH(BUILDING!X442,ITEM_RES!$J$5:$J$226,0)-1,0),0)</f>
        <v>211020301</v>
      </c>
      <c r="AA442" s="9" t="s">
        <v>527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1163</v>
      </c>
      <c r="AU442" s="11">
        <v>70000000</v>
      </c>
      <c r="AX442" s="11">
        <f ca="1">IFERROR(OFFSET(ITEM_RES!$A$1,MATCH(AY442,ITEM_RES!$J:$J,0)-1,0),0)</f>
        <v>211020501</v>
      </c>
      <c r="AY442" s="10" t="s">
        <v>425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1231</v>
      </c>
      <c r="S443" s="9" t="s">
        <v>704</v>
      </c>
      <c r="U443" s="84" t="s">
        <v>547</v>
      </c>
      <c r="V443" s="9">
        <f ca="1">IFERROR(OFFSET(ITEM_RES!$A$5,MATCH(BUILDING!U443,ITEM_RES!$J$5:$J$226,0)-1,0),0)</f>
        <v>211020201</v>
      </c>
      <c r="W443" s="11">
        <v>1</v>
      </c>
      <c r="X443" s="84" t="s">
        <v>549</v>
      </c>
      <c r="Y443" s="9">
        <f ca="1">IFERROR(OFFSET(ITEM_RES!$A$5,MATCH(BUILDING!X443,ITEM_RES!$J$5:$J$226,0)-1,0),0)</f>
        <v>211020301</v>
      </c>
      <c r="AA443" s="9" t="s">
        <v>527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1163</v>
      </c>
      <c r="AU443" s="11">
        <v>96000000</v>
      </c>
      <c r="AX443" s="11">
        <f ca="1">IFERROR(OFFSET(ITEM_RES!$A$1,MATCH(AY443,ITEM_RES!$J:$J,0)-1,0),0)</f>
        <v>211020501</v>
      </c>
      <c r="AY443" s="10" t="s">
        <v>425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1231</v>
      </c>
      <c r="S444" s="9" t="s">
        <v>704</v>
      </c>
      <c r="U444" s="84" t="s">
        <v>547</v>
      </c>
      <c r="V444" s="9">
        <f ca="1">IFERROR(OFFSET(ITEM_RES!$A$5,MATCH(BUILDING!U444,ITEM_RES!$J$5:$J$226,0)-1,0),0)</f>
        <v>211020201</v>
      </c>
      <c r="W444" s="11">
        <v>1</v>
      </c>
      <c r="X444" s="84" t="s">
        <v>549</v>
      </c>
      <c r="Y444" s="9">
        <f ca="1">IFERROR(OFFSET(ITEM_RES!$A$5,MATCH(BUILDING!X444,ITEM_RES!$J$5:$J$226,0)-1,0),0)</f>
        <v>211020301</v>
      </c>
      <c r="AA444" s="9" t="s">
        <v>527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1163</v>
      </c>
      <c r="AU444" s="11">
        <v>152000000</v>
      </c>
      <c r="AX444" s="11">
        <f ca="1">IFERROR(OFFSET(ITEM_RES!$A$1,MATCH(AY444,ITEM_RES!$J:$J,0)-1,0),0)</f>
        <v>211020501</v>
      </c>
      <c r="AY444" s="10" t="s">
        <v>425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705</v>
      </c>
      <c r="T445" s="78"/>
      <c r="U445" s="86"/>
      <c r="V445" s="16">
        <f ca="1">IFERROR(OFFSET(ITEM_RES!$A$5,MATCH(BUILDING!U445,ITEM_RES!$J$5:$J$226,0)-1,0),0)</f>
        <v>0</v>
      </c>
      <c r="W445" s="18"/>
      <c r="X445" s="86"/>
      <c r="Y445" s="16">
        <f ca="1">IFERROR(OFFSET(ITEM_RES!$A$5,MATCH(BUILDING!X445,ITEM_RES!$J$5:$J$226,0)-1,0),0)</f>
        <v>0</v>
      </c>
      <c r="Z445" s="78"/>
      <c r="AA445" s="16" t="s">
        <v>528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436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452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M446" s="9">
        <v>1</v>
      </c>
      <c r="N446" s="9">
        <v>15</v>
      </c>
      <c r="O446" s="141"/>
      <c r="S446" s="9" t="s">
        <v>705</v>
      </c>
      <c r="V446" s="9">
        <f ca="1">IFERROR(OFFSET(ITEM_RES!$A$5,MATCH(BUILDING!U446,ITEM_RES!$J$5:$J$226,0)-1,0),0)</f>
        <v>0</v>
      </c>
      <c r="Y446" s="9">
        <f ca="1">IFERROR(OFFSET(ITEM_RES!$A$5,MATCH(BUILDING!X446,ITEM_RES!$J$5:$J$226,0)-1,0),0)</f>
        <v>0</v>
      </c>
      <c r="AA446" s="9" t="s">
        <v>528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436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M447" s="9">
        <v>1</v>
      </c>
      <c r="N447" s="9">
        <v>15</v>
      </c>
      <c r="O447" s="141"/>
      <c r="S447" s="9" t="s">
        <v>705</v>
      </c>
      <c r="V447" s="9">
        <f ca="1">IFERROR(OFFSET(ITEM_RES!$A$5,MATCH(BUILDING!U447,ITEM_RES!$J$5:$J$226,0)-1,0),0)</f>
        <v>0</v>
      </c>
      <c r="Y447" s="9">
        <f ca="1">IFERROR(OFFSET(ITEM_RES!$A$5,MATCH(BUILDING!X447,ITEM_RES!$J$5:$J$226,0)-1,0),0)</f>
        <v>0</v>
      </c>
      <c r="AA447" s="9" t="s">
        <v>528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436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M448" s="9">
        <v>1</v>
      </c>
      <c r="N448" s="9">
        <v>15</v>
      </c>
      <c r="O448" s="141"/>
      <c r="S448" s="9" t="s">
        <v>705</v>
      </c>
      <c r="V448" s="9">
        <f ca="1">IFERROR(OFFSET(ITEM_RES!$A$5,MATCH(BUILDING!U448,ITEM_RES!$J$5:$J$226,0)-1,0),0)</f>
        <v>0</v>
      </c>
      <c r="Y448" s="9">
        <f ca="1">IFERROR(OFFSET(ITEM_RES!$A$5,MATCH(BUILDING!X448,ITEM_RES!$J$5:$J$226,0)-1,0),0)</f>
        <v>0</v>
      </c>
      <c r="AA448" s="9" t="s">
        <v>528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436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M449" s="9">
        <v>1</v>
      </c>
      <c r="N449" s="9">
        <v>15</v>
      </c>
      <c r="O449" s="141"/>
      <c r="S449" s="9" t="s">
        <v>705</v>
      </c>
      <c r="V449" s="9">
        <f ca="1">IFERROR(OFFSET(ITEM_RES!$A$5,MATCH(BUILDING!U449,ITEM_RES!$J$5:$J$226,0)-1,0),0)</f>
        <v>0</v>
      </c>
      <c r="Y449" s="9">
        <f ca="1">IFERROR(OFFSET(ITEM_RES!$A$5,MATCH(BUILDING!X449,ITEM_RES!$J$5:$J$226,0)-1,0),0)</f>
        <v>0</v>
      </c>
      <c r="AA449" s="9" t="s">
        <v>528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436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M450" s="9">
        <v>1</v>
      </c>
      <c r="N450" s="9">
        <v>15</v>
      </c>
      <c r="O450" s="141"/>
      <c r="S450" s="9" t="s">
        <v>705</v>
      </c>
      <c r="V450" s="9">
        <f ca="1">IFERROR(OFFSET(ITEM_RES!$A$5,MATCH(BUILDING!U450,ITEM_RES!$J$5:$J$226,0)-1,0),0)</f>
        <v>0</v>
      </c>
      <c r="Y450" s="9">
        <f ca="1">IFERROR(OFFSET(ITEM_RES!$A$5,MATCH(BUILDING!X450,ITEM_RES!$J$5:$J$226,0)-1,0),0)</f>
        <v>0</v>
      </c>
      <c r="AA450" s="9" t="s">
        <v>528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436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M451" s="9">
        <v>1</v>
      </c>
      <c r="N451" s="9">
        <v>15</v>
      </c>
      <c r="O451" s="141"/>
      <c r="S451" s="9" t="s">
        <v>705</v>
      </c>
      <c r="V451" s="9">
        <f ca="1">IFERROR(OFFSET(ITEM_RES!$A$5,MATCH(BUILDING!U451,ITEM_RES!$J$5:$J$226,0)-1,0),0)</f>
        <v>0</v>
      </c>
      <c r="Y451" s="9">
        <f ca="1">IFERROR(OFFSET(ITEM_RES!$A$5,MATCH(BUILDING!X451,ITEM_RES!$J$5:$J$226,0)-1,0),0)</f>
        <v>0</v>
      </c>
      <c r="AA451" s="9" t="s">
        <v>528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436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706</v>
      </c>
      <c r="V452" s="9">
        <f ca="1">IFERROR(OFFSET(ITEM_RES!$A$5,MATCH(BUILDING!U452,ITEM_RES!$J$5:$J$226,0)-1,0),0)</f>
        <v>0</v>
      </c>
      <c r="Y452" s="9">
        <f ca="1">IFERROR(OFFSET(ITEM_RES!$A$5,MATCH(BUILDING!X452,ITEM_RES!$J$5:$J$226,0)-1,0),0)</f>
        <v>0</v>
      </c>
      <c r="AA452" s="9" t="s">
        <v>528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433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706</v>
      </c>
      <c r="V453" s="9">
        <f ca="1">IFERROR(OFFSET(ITEM_RES!$A$5,MATCH(BUILDING!U453,ITEM_RES!$J$5:$J$226,0)-1,0),0)</f>
        <v>0</v>
      </c>
      <c r="Y453" s="9">
        <f ca="1">IFERROR(OFFSET(ITEM_RES!$A$5,MATCH(BUILDING!X453,ITEM_RES!$J$5:$J$226,0)-1,0),0)</f>
        <v>0</v>
      </c>
      <c r="AA453" s="9" t="s">
        <v>528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433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706</v>
      </c>
      <c r="V454" s="9">
        <f ca="1">IFERROR(OFFSET(ITEM_RES!$A$5,MATCH(BUILDING!U454,ITEM_RES!$J$5:$J$226,0)-1,0),0)</f>
        <v>0</v>
      </c>
      <c r="Y454" s="9">
        <f ca="1">IFERROR(OFFSET(ITEM_RES!$A$5,MATCH(BUILDING!X454,ITEM_RES!$J$5:$J$226,0)-1,0),0)</f>
        <v>0</v>
      </c>
      <c r="AA454" s="9" t="s">
        <v>528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433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706</v>
      </c>
      <c r="V455" s="9">
        <f ca="1">IFERROR(OFFSET(ITEM_RES!$A$5,MATCH(BUILDING!U455,ITEM_RES!$J$5:$J$226,0)-1,0),0)</f>
        <v>0</v>
      </c>
      <c r="Y455" s="9">
        <f ca="1">IFERROR(OFFSET(ITEM_RES!$A$5,MATCH(BUILDING!X455,ITEM_RES!$J$5:$J$226,0)-1,0),0)</f>
        <v>0</v>
      </c>
      <c r="AA455" s="9" t="s">
        <v>528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433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706</v>
      </c>
      <c r="V456" s="9">
        <f ca="1">IFERROR(OFFSET(ITEM_RES!$A$5,MATCH(BUILDING!U456,ITEM_RES!$J$5:$J$226,0)-1,0),0)</f>
        <v>0</v>
      </c>
      <c r="Y456" s="9">
        <f ca="1">IFERROR(OFFSET(ITEM_RES!$A$5,MATCH(BUILDING!X456,ITEM_RES!$J$5:$J$226,0)-1,0),0)</f>
        <v>0</v>
      </c>
      <c r="AA456" s="9" t="s">
        <v>528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433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706</v>
      </c>
      <c r="V457" s="9">
        <f ca="1">IFERROR(OFFSET(ITEM_RES!$A$5,MATCH(BUILDING!U457,ITEM_RES!$J$5:$J$226,0)-1,0),0)</f>
        <v>0</v>
      </c>
      <c r="Y457" s="9">
        <f ca="1">IFERROR(OFFSET(ITEM_RES!$A$5,MATCH(BUILDING!X457,ITEM_RES!$J$5:$J$226,0)-1,0),0)</f>
        <v>0</v>
      </c>
      <c r="AA457" s="9" t="s">
        <v>528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433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470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706</v>
      </c>
      <c r="V458" s="9">
        <f ca="1">IFERROR(OFFSET(ITEM_RES!$A$5,MATCH(BUILDING!U458,ITEM_RES!$J$5:$J$226,0)-1,0),0)</f>
        <v>0</v>
      </c>
      <c r="Y458" s="9">
        <f ca="1">IFERROR(OFFSET(ITEM_RES!$A$5,MATCH(BUILDING!X458,ITEM_RES!$J$5:$J$226,0)-1,0),0)</f>
        <v>0</v>
      </c>
      <c r="AA458" s="9" t="s">
        <v>528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433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706</v>
      </c>
      <c r="V459" s="9">
        <f ca="1">IFERROR(OFFSET(ITEM_RES!$A$5,MATCH(BUILDING!U459,ITEM_RES!$J$5:$J$226,0)-1,0),0)</f>
        <v>0</v>
      </c>
      <c r="Y459" s="9">
        <f ca="1">IFERROR(OFFSET(ITEM_RES!$A$5,MATCH(BUILDING!X459,ITEM_RES!$J$5:$J$226,0)-1,0),0)</f>
        <v>0</v>
      </c>
      <c r="AA459" s="9" t="s">
        <v>528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433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706</v>
      </c>
      <c r="V460" s="9">
        <f ca="1">IFERROR(OFFSET(ITEM_RES!$A$5,MATCH(BUILDING!U460,ITEM_RES!$J$5:$J$226,0)-1,0),0)</f>
        <v>0</v>
      </c>
      <c r="Y460" s="9">
        <f ca="1">IFERROR(OFFSET(ITEM_RES!$A$5,MATCH(BUILDING!X460,ITEM_RES!$J$5:$J$226,0)-1,0),0)</f>
        <v>0</v>
      </c>
      <c r="AA460" s="9" t="s">
        <v>528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433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706</v>
      </c>
      <c r="V461" s="9">
        <f ca="1">IFERROR(OFFSET(ITEM_RES!$A$5,MATCH(BUILDING!U461,ITEM_RES!$J$5:$J$226,0)-1,0),0)</f>
        <v>0</v>
      </c>
      <c r="Y461" s="9">
        <f ca="1">IFERROR(OFFSET(ITEM_RES!$A$5,MATCH(BUILDING!X461,ITEM_RES!$J$5:$J$226,0)-1,0),0)</f>
        <v>0</v>
      </c>
      <c r="AA461" s="9" t="s">
        <v>528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433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706</v>
      </c>
      <c r="V462" s="9">
        <f ca="1">IFERROR(OFFSET(ITEM_RES!$A$5,MATCH(BUILDING!U462,ITEM_RES!$J$5:$J$226,0)-1,0),0)</f>
        <v>0</v>
      </c>
      <c r="Y462" s="9">
        <f ca="1">IFERROR(OFFSET(ITEM_RES!$A$5,MATCH(BUILDING!X462,ITEM_RES!$J$5:$J$226,0)-1,0),0)</f>
        <v>0</v>
      </c>
      <c r="AA462" s="9" t="s">
        <v>528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433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706</v>
      </c>
      <c r="V463" s="9">
        <f ca="1">IFERROR(OFFSET(ITEM_RES!$A$5,MATCH(BUILDING!U463,ITEM_RES!$J$5:$J$226,0)-1,0),0)</f>
        <v>0</v>
      </c>
      <c r="Y463" s="9">
        <f ca="1">IFERROR(OFFSET(ITEM_RES!$A$5,MATCH(BUILDING!X463,ITEM_RES!$J$5:$J$226,0)-1,0),0)</f>
        <v>0</v>
      </c>
      <c r="AA463" s="9" t="s">
        <v>528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433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706</v>
      </c>
      <c r="V464" s="9">
        <f ca="1">IFERROR(OFFSET(ITEM_RES!$A$5,MATCH(BUILDING!U464,ITEM_RES!$J$5:$J$226,0)-1,0),0)</f>
        <v>0</v>
      </c>
      <c r="Y464" s="9">
        <f ca="1">IFERROR(OFFSET(ITEM_RES!$A$5,MATCH(BUILDING!X464,ITEM_RES!$J$5:$J$226,0)-1,0),0)</f>
        <v>0</v>
      </c>
      <c r="AA464" s="9" t="s">
        <v>528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433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1234</v>
      </c>
      <c r="P465" s="17"/>
      <c r="Q465" s="17"/>
      <c r="R465" s="18"/>
      <c r="S465" s="16" t="s">
        <v>707</v>
      </c>
      <c r="T465" s="78"/>
      <c r="U465" s="86"/>
      <c r="V465" s="16">
        <f ca="1">IFERROR(OFFSET(ITEM_RES!$A$5,MATCH(BUILDING!U465,ITEM_RES!$J$5:$J$226,0)-1,0),0)</f>
        <v>0</v>
      </c>
      <c r="W465" s="18"/>
      <c r="X465" s="86"/>
      <c r="Y465" s="16">
        <f ca="1">IFERROR(OFFSET(ITEM_RES!$A$5,MATCH(BUILDING!X465,ITEM_RES!$J$5:$J$226,0)-1,0),0)</f>
        <v>0</v>
      </c>
      <c r="Z465" s="78"/>
      <c r="AA465" s="16" t="s">
        <v>529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437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1156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452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1232</v>
      </c>
      <c r="S466" s="9" t="s">
        <v>707</v>
      </c>
      <c r="V466" s="9">
        <f ca="1">IFERROR(OFFSET(ITEM_RES!$A$5,MATCH(BUILDING!U466,ITEM_RES!$J$5:$J$226,0)-1,0),0)</f>
        <v>0</v>
      </c>
      <c r="Y466" s="9">
        <f ca="1">IFERROR(OFFSET(ITEM_RES!$A$5,MATCH(BUILDING!X466,ITEM_RES!$J$5:$J$226,0)-1,0),0)</f>
        <v>0</v>
      </c>
      <c r="AA466" s="9" t="s">
        <v>529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437</v>
      </c>
      <c r="AU466" s="11">
        <v>1</v>
      </c>
      <c r="AX466" s="11">
        <f ca="1">IFERROR(OFFSET(ITEM_RES!$A$1,MATCH(AY466,ITEM_RES!$J:$J,0)-1,0),0)</f>
        <v>211020401</v>
      </c>
      <c r="AY466" s="10" t="s">
        <v>1156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1233</v>
      </c>
      <c r="S467" s="9" t="s">
        <v>707</v>
      </c>
      <c r="V467" s="9">
        <f ca="1">IFERROR(OFFSET(ITEM_RES!$A$5,MATCH(BUILDING!U467,ITEM_RES!$J$5:$J$226,0)-1,0),0)</f>
        <v>0</v>
      </c>
      <c r="Y467" s="9">
        <f ca="1">IFERROR(OFFSET(ITEM_RES!$A$5,MATCH(BUILDING!X467,ITEM_RES!$J$5:$J$226,0)-1,0),0)</f>
        <v>0</v>
      </c>
      <c r="AA467" s="9" t="s">
        <v>529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437</v>
      </c>
      <c r="AU467" s="11">
        <v>1</v>
      </c>
      <c r="AX467" s="11">
        <f ca="1">IFERROR(OFFSET(ITEM_RES!$A$1,MATCH(AY467,ITEM_RES!$J:$J,0)-1,0),0)</f>
        <v>211020401</v>
      </c>
      <c r="AY467" s="10" t="s">
        <v>1156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1233</v>
      </c>
      <c r="S468" s="9" t="s">
        <v>707</v>
      </c>
      <c r="V468" s="9">
        <f ca="1">IFERROR(OFFSET(ITEM_RES!$A$5,MATCH(BUILDING!U468,ITEM_RES!$J$5:$J$226,0)-1,0),0)</f>
        <v>0</v>
      </c>
      <c r="Y468" s="9">
        <f ca="1">IFERROR(OFFSET(ITEM_RES!$A$5,MATCH(BUILDING!X468,ITEM_RES!$J$5:$J$226,0)-1,0),0)</f>
        <v>0</v>
      </c>
      <c r="AA468" s="9" t="s">
        <v>529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437</v>
      </c>
      <c r="AU468" s="11">
        <v>1</v>
      </c>
      <c r="AX468" s="11">
        <f ca="1">IFERROR(OFFSET(ITEM_RES!$A$1,MATCH(AY468,ITEM_RES!$J:$J,0)-1,0),0)</f>
        <v>211020401</v>
      </c>
      <c r="AY468" s="10" t="s">
        <v>1156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1235</v>
      </c>
      <c r="S469" s="9" t="s">
        <v>707</v>
      </c>
      <c r="V469" s="9">
        <f ca="1">IFERROR(OFFSET(ITEM_RES!$A$5,MATCH(BUILDING!U469,ITEM_RES!$J$5:$J$226,0)-1,0),0)</f>
        <v>0</v>
      </c>
      <c r="Y469" s="9">
        <f ca="1">IFERROR(OFFSET(ITEM_RES!$A$5,MATCH(BUILDING!X469,ITEM_RES!$J$5:$J$226,0)-1,0),0)</f>
        <v>0</v>
      </c>
      <c r="AA469" s="9" t="s">
        <v>529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437</v>
      </c>
      <c r="AU469" s="11">
        <v>1</v>
      </c>
      <c r="AX469" s="11">
        <f ca="1">IFERROR(OFFSET(ITEM_RES!$A$1,MATCH(AY469,ITEM_RES!$J:$J,0)-1,0),0)</f>
        <v>211020401</v>
      </c>
      <c r="AY469" s="10" t="s">
        <v>1156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1235</v>
      </c>
      <c r="S470" s="9" t="s">
        <v>707</v>
      </c>
      <c r="V470" s="9">
        <f ca="1">IFERROR(OFFSET(ITEM_RES!$A$5,MATCH(BUILDING!U470,ITEM_RES!$J$5:$J$226,0)-1,0),0)</f>
        <v>0</v>
      </c>
      <c r="Y470" s="9">
        <f ca="1">IFERROR(OFFSET(ITEM_RES!$A$5,MATCH(BUILDING!X470,ITEM_RES!$J$5:$J$226,0)-1,0),0)</f>
        <v>0</v>
      </c>
      <c r="AA470" s="9" t="s">
        <v>529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446</v>
      </c>
      <c r="AU470" s="11">
        <v>1</v>
      </c>
      <c r="AX470" s="11">
        <f ca="1">IFERROR(OFFSET(ITEM_RES!$A$1,MATCH(AY470,ITEM_RES!$J:$J,0)-1,0),0)</f>
        <v>211020401</v>
      </c>
      <c r="AY470" s="10" t="s">
        <v>1156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1236</v>
      </c>
      <c r="S471" s="9" t="s">
        <v>707</v>
      </c>
      <c r="V471" s="9">
        <f ca="1">IFERROR(OFFSET(ITEM_RES!$A$5,MATCH(BUILDING!U471,ITEM_RES!$J$5:$J$226,0)-1,0),0)</f>
        <v>0</v>
      </c>
      <c r="Y471" s="9">
        <f ca="1">IFERROR(OFFSET(ITEM_RES!$A$5,MATCH(BUILDING!X471,ITEM_RES!$J$5:$J$226,0)-1,0),0)</f>
        <v>0</v>
      </c>
      <c r="AA471" s="9" t="s">
        <v>529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437</v>
      </c>
      <c r="AU471" s="11">
        <v>1</v>
      </c>
      <c r="AX471" s="11">
        <f ca="1">IFERROR(OFFSET(ITEM_RES!$A$1,MATCH(AY471,ITEM_RES!$J:$J,0)-1,0),0)</f>
        <v>211020401</v>
      </c>
      <c r="AY471" s="10" t="s">
        <v>1156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1236</v>
      </c>
      <c r="S472" s="9" t="s">
        <v>707</v>
      </c>
      <c r="V472" s="9">
        <f ca="1">IFERROR(OFFSET(ITEM_RES!$A$5,MATCH(BUILDING!U472,ITEM_RES!$J$5:$J$226,0)-1,0),0)</f>
        <v>0</v>
      </c>
      <c r="Y472" s="9">
        <f ca="1">IFERROR(OFFSET(ITEM_RES!$A$5,MATCH(BUILDING!X472,ITEM_RES!$J$5:$J$226,0)-1,0),0)</f>
        <v>0</v>
      </c>
      <c r="AA472" s="9" t="s">
        <v>529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437</v>
      </c>
      <c r="AU472" s="11">
        <v>1</v>
      </c>
      <c r="AX472" s="11">
        <f ca="1">IFERROR(OFFSET(ITEM_RES!$A$1,MATCH(AY472,ITEM_RES!$J:$J,0)-1,0),0)</f>
        <v>211020401</v>
      </c>
      <c r="AY472" s="10" t="s">
        <v>1156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1236</v>
      </c>
      <c r="S473" s="9" t="s">
        <v>707</v>
      </c>
      <c r="V473" s="9">
        <f ca="1">IFERROR(OFFSET(ITEM_RES!$A$5,MATCH(BUILDING!U473,ITEM_RES!$J$5:$J$226,0)-1,0),0)</f>
        <v>0</v>
      </c>
      <c r="Y473" s="9">
        <f ca="1">IFERROR(OFFSET(ITEM_RES!$A$5,MATCH(BUILDING!X473,ITEM_RES!$J$5:$J$226,0)-1,0),0)</f>
        <v>0</v>
      </c>
      <c r="AA473" s="9" t="s">
        <v>529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447</v>
      </c>
      <c r="AU473" s="11">
        <v>1</v>
      </c>
      <c r="AX473" s="11">
        <f ca="1">IFERROR(OFFSET(ITEM_RES!$A$1,MATCH(AY473,ITEM_RES!$J:$J,0)-1,0),0)</f>
        <v>211020401</v>
      </c>
      <c r="AY473" s="10" t="s">
        <v>1156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1236</v>
      </c>
      <c r="S474" s="9" t="s">
        <v>707</v>
      </c>
      <c r="V474" s="9">
        <f ca="1">IFERROR(OFFSET(ITEM_RES!$A$5,MATCH(BUILDING!U474,ITEM_RES!$J$5:$J$226,0)-1,0),0)</f>
        <v>0</v>
      </c>
      <c r="Y474" s="9">
        <f ca="1">IFERROR(OFFSET(ITEM_RES!$A$5,MATCH(BUILDING!X474,ITEM_RES!$J$5:$J$226,0)-1,0),0)</f>
        <v>0</v>
      </c>
      <c r="AA474" s="9" t="s">
        <v>529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447</v>
      </c>
      <c r="AU474" s="11">
        <v>1</v>
      </c>
      <c r="AX474" s="11">
        <f ca="1">IFERROR(OFFSET(ITEM_RES!$A$1,MATCH(AY474,ITEM_RES!$J:$J,0)-1,0),0)</f>
        <v>211020401</v>
      </c>
      <c r="AY474" s="10" t="s">
        <v>1156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1236</v>
      </c>
      <c r="S475" s="9" t="s">
        <v>707</v>
      </c>
      <c r="V475" s="9">
        <f ca="1">IFERROR(OFFSET(ITEM_RES!$A$5,MATCH(BUILDING!U475,ITEM_RES!$J$5:$J$226,0)-1,0),0)</f>
        <v>0</v>
      </c>
      <c r="Y475" s="9">
        <f ca="1">IFERROR(OFFSET(ITEM_RES!$A$5,MATCH(BUILDING!X475,ITEM_RES!$J$5:$J$226,0)-1,0),0)</f>
        <v>0</v>
      </c>
      <c r="AA475" s="9" t="s">
        <v>529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447</v>
      </c>
      <c r="AU475" s="11">
        <v>1</v>
      </c>
      <c r="AX475" s="11">
        <f ca="1">IFERROR(OFFSET(ITEM_RES!$A$1,MATCH(AY475,ITEM_RES!$J:$J,0)-1,0),0)</f>
        <v>211020401</v>
      </c>
      <c r="AY475" s="10" t="s">
        <v>1156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1236</v>
      </c>
      <c r="S476" s="9" t="s">
        <v>707</v>
      </c>
      <c r="V476" s="9">
        <f ca="1">IFERROR(OFFSET(ITEM_RES!$A$5,MATCH(BUILDING!U476,ITEM_RES!$J$5:$J$226,0)-1,0),0)</f>
        <v>0</v>
      </c>
      <c r="Y476" s="9">
        <f ca="1">IFERROR(OFFSET(ITEM_RES!$A$5,MATCH(BUILDING!X476,ITEM_RES!$J$5:$J$226,0)-1,0),0)</f>
        <v>0</v>
      </c>
      <c r="AA476" s="9" t="s">
        <v>529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447</v>
      </c>
      <c r="AU476" s="11">
        <v>1</v>
      </c>
      <c r="AX476" s="11">
        <f ca="1">IFERROR(OFFSET(ITEM_RES!$A$1,MATCH(AY476,ITEM_RES!$J:$J,0)-1,0),0)</f>
        <v>211020401</v>
      </c>
      <c r="AY476" s="10" t="s">
        <v>1156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471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1236</v>
      </c>
      <c r="S477" s="9" t="s">
        <v>707</v>
      </c>
      <c r="V477" s="9">
        <f ca="1">IFERROR(OFFSET(ITEM_RES!$A$5,MATCH(BUILDING!U477,ITEM_RES!$J$5:$J$226,0)-1,0),0)</f>
        <v>0</v>
      </c>
      <c r="Y477" s="9">
        <f ca="1">IFERROR(OFFSET(ITEM_RES!$A$5,MATCH(BUILDING!X477,ITEM_RES!$J$5:$J$226,0)-1,0),0)</f>
        <v>0</v>
      </c>
      <c r="AA477" s="9" t="s">
        <v>529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447</v>
      </c>
      <c r="AU477" s="11">
        <v>1</v>
      </c>
      <c r="AX477" s="11">
        <f ca="1">IFERROR(OFFSET(ITEM_RES!$A$1,MATCH(AY477,ITEM_RES!$J:$J,0)-1,0),0)</f>
        <v>211020401</v>
      </c>
      <c r="AY477" s="10" t="s">
        <v>1156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1236</v>
      </c>
      <c r="S478" s="9" t="s">
        <v>707</v>
      </c>
      <c r="V478" s="9">
        <f ca="1">IFERROR(OFFSET(ITEM_RES!$A$5,MATCH(BUILDING!U478,ITEM_RES!$J$5:$J$226,0)-1,0),0)</f>
        <v>0</v>
      </c>
      <c r="Y478" s="9">
        <f ca="1">IFERROR(OFFSET(ITEM_RES!$A$5,MATCH(BUILDING!X478,ITEM_RES!$J$5:$J$226,0)-1,0),0)</f>
        <v>0</v>
      </c>
      <c r="AA478" s="9" t="s">
        <v>529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447</v>
      </c>
      <c r="AU478" s="11">
        <v>1</v>
      </c>
      <c r="AX478" s="11">
        <f ca="1">IFERROR(OFFSET(ITEM_RES!$A$1,MATCH(AY478,ITEM_RES!$J:$J,0)-1,0),0)</f>
        <v>211020501</v>
      </c>
      <c r="AY478" s="10" t="s">
        <v>1160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1236</v>
      </c>
      <c r="S479" s="9" t="s">
        <v>707</v>
      </c>
      <c r="V479" s="9">
        <f ca="1">IFERROR(OFFSET(ITEM_RES!$A$5,MATCH(BUILDING!U479,ITEM_RES!$J$5:$J$226,0)-1,0),0)</f>
        <v>0</v>
      </c>
      <c r="Y479" s="9">
        <f ca="1">IFERROR(OFFSET(ITEM_RES!$A$5,MATCH(BUILDING!X479,ITEM_RES!$J$5:$J$226,0)-1,0),0)</f>
        <v>0</v>
      </c>
      <c r="AA479" s="9" t="s">
        <v>529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447</v>
      </c>
      <c r="AU479" s="11">
        <v>1</v>
      </c>
      <c r="AX479" s="11">
        <f ca="1">IFERROR(OFFSET(ITEM_RES!$A$1,MATCH(AY479,ITEM_RES!$J:$J,0)-1,0),0)</f>
        <v>211020501</v>
      </c>
      <c r="AY479" s="10" t="s">
        <v>1160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1236</v>
      </c>
      <c r="S480" s="9" t="s">
        <v>707</v>
      </c>
      <c r="V480" s="9">
        <f ca="1">IFERROR(OFFSET(ITEM_RES!$A$5,MATCH(BUILDING!U480,ITEM_RES!$J$5:$J$226,0)-1,0),0)</f>
        <v>0</v>
      </c>
      <c r="Y480" s="9">
        <f ca="1">IFERROR(OFFSET(ITEM_RES!$A$5,MATCH(BUILDING!X480,ITEM_RES!$J$5:$J$226,0)-1,0),0)</f>
        <v>0</v>
      </c>
      <c r="AA480" s="9" t="s">
        <v>529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447</v>
      </c>
      <c r="AU480" s="11">
        <v>1</v>
      </c>
      <c r="AX480" s="11">
        <f ca="1">IFERROR(OFFSET(ITEM_RES!$A$1,MATCH(AY480,ITEM_RES!$J:$J,0)-1,0),0)</f>
        <v>211020501</v>
      </c>
      <c r="AY480" s="10" t="s">
        <v>1160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1236</v>
      </c>
      <c r="S481" s="9" t="s">
        <v>707</v>
      </c>
      <c r="V481" s="9">
        <f ca="1">IFERROR(OFFSET(ITEM_RES!$A$5,MATCH(BUILDING!U481,ITEM_RES!$J$5:$J$226,0)-1,0),0)</f>
        <v>0</v>
      </c>
      <c r="Y481" s="9">
        <f ca="1">IFERROR(OFFSET(ITEM_RES!$A$5,MATCH(BUILDING!X481,ITEM_RES!$J$5:$J$226,0)-1,0),0)</f>
        <v>0</v>
      </c>
      <c r="AA481" s="9" t="s">
        <v>529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447</v>
      </c>
      <c r="AU481" s="11">
        <v>1</v>
      </c>
      <c r="AX481" s="11">
        <f ca="1">IFERROR(OFFSET(ITEM_RES!$A$1,MATCH(AY481,ITEM_RES!$J:$J,0)-1,0),0)</f>
        <v>211020501</v>
      </c>
      <c r="AY481" s="10" t="s">
        <v>1160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1236</v>
      </c>
      <c r="S482" s="9" t="s">
        <v>707</v>
      </c>
      <c r="V482" s="9">
        <f ca="1">IFERROR(OFFSET(ITEM_RES!$A$5,MATCH(BUILDING!U482,ITEM_RES!$J$5:$J$226,0)-1,0),0)</f>
        <v>0</v>
      </c>
      <c r="Y482" s="9">
        <f ca="1">IFERROR(OFFSET(ITEM_RES!$A$5,MATCH(BUILDING!X482,ITEM_RES!$J$5:$J$226,0)-1,0),0)</f>
        <v>0</v>
      </c>
      <c r="AA482" s="9" t="s">
        <v>529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447</v>
      </c>
      <c r="AU482" s="11">
        <v>1</v>
      </c>
      <c r="AX482" s="11">
        <f ca="1">IFERROR(OFFSET(ITEM_RES!$A$1,MATCH(AY482,ITEM_RES!$J:$J,0)-1,0),0)</f>
        <v>211020501</v>
      </c>
      <c r="AY482" s="10" t="s">
        <v>1160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1236</v>
      </c>
      <c r="S483" s="9" t="s">
        <v>707</v>
      </c>
      <c r="V483" s="9">
        <f ca="1">IFERROR(OFFSET(ITEM_RES!$A$5,MATCH(BUILDING!U483,ITEM_RES!$J$5:$J$226,0)-1,0),0)</f>
        <v>0</v>
      </c>
      <c r="Y483" s="9">
        <f ca="1">IFERROR(OFFSET(ITEM_RES!$A$5,MATCH(BUILDING!X483,ITEM_RES!$J$5:$J$226,0)-1,0),0)</f>
        <v>0</v>
      </c>
      <c r="AA483" s="9" t="s">
        <v>529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447</v>
      </c>
      <c r="AU483" s="11">
        <v>1</v>
      </c>
      <c r="AX483" s="11">
        <f ca="1">IFERROR(OFFSET(ITEM_RES!$A$1,MATCH(AY483,ITEM_RES!$J:$J,0)-1,0),0)</f>
        <v>211020501</v>
      </c>
      <c r="AY483" s="10" t="s">
        <v>1160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1236</v>
      </c>
      <c r="S484" s="9" t="s">
        <v>707</v>
      </c>
      <c r="V484" s="9">
        <f ca="1">IFERROR(OFFSET(ITEM_RES!$A$5,MATCH(BUILDING!U484,ITEM_RES!$J$5:$J$226,0)-1,0),0)</f>
        <v>0</v>
      </c>
      <c r="Y484" s="9">
        <f ca="1">IFERROR(OFFSET(ITEM_RES!$A$5,MATCH(BUILDING!X484,ITEM_RES!$J$5:$J$226,0)-1,0),0)</f>
        <v>0</v>
      </c>
      <c r="AA484" s="9" t="s">
        <v>529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447</v>
      </c>
      <c r="AU484" s="11">
        <v>1</v>
      </c>
      <c r="AX484" s="11">
        <f ca="1">IFERROR(OFFSET(ITEM_RES!$A$1,MATCH(AY484,ITEM_RES!$J:$J,0)-1,0),0)</f>
        <v>211020501</v>
      </c>
      <c r="AY484" s="10" t="s">
        <v>1160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1085</v>
      </c>
      <c r="L485" s="16">
        <v>1</v>
      </c>
      <c r="M485" s="16">
        <v>1</v>
      </c>
      <c r="N485" s="16">
        <v>15</v>
      </c>
      <c r="O485" s="16" t="s">
        <v>1237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IFERROR(OFFSET(ITEM_RES!$A$5,MATCH(BUILDING!U485,ITEM_RES!$J$5:$J$226,0)-1,0),0)</f>
        <v>0</v>
      </c>
      <c r="W485" s="18"/>
      <c r="X485" s="86"/>
      <c r="Y485" s="16">
        <f ca="1">IFERROR(OFFSET(ITEM_RES!$A$5,MATCH(BUILDING!X485,ITEM_RES!$J$5:$J$226,0)-1,0),0)</f>
        <v>0</v>
      </c>
      <c r="Z485" s="78"/>
      <c r="AA485" s="16" t="s">
        <v>530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437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452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474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1085</v>
      </c>
      <c r="M486" s="9">
        <v>1</v>
      </c>
      <c r="N486" s="9">
        <v>15</v>
      </c>
      <c r="O486" s="9" t="s">
        <v>1238</v>
      </c>
      <c r="S486" s="9">
        <v>2222</v>
      </c>
      <c r="V486" s="9">
        <f ca="1">IFERROR(OFFSET(ITEM_RES!$A$5,MATCH(BUILDING!U486,ITEM_RES!$J$5:$J$226,0)-1,0),0)</f>
        <v>0</v>
      </c>
      <c r="Y486" s="9">
        <f ca="1">IFERROR(OFFSET(ITEM_RES!$A$5,MATCH(BUILDING!X486,ITEM_RES!$J$5:$J$226,0)-1,0),0)</f>
        <v>0</v>
      </c>
      <c r="AA486" s="9" t="s">
        <v>530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437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1239</v>
      </c>
      <c r="S487" s="9">
        <v>2222</v>
      </c>
      <c r="V487" s="9">
        <f ca="1">IFERROR(OFFSET(ITEM_RES!$A$5,MATCH(BUILDING!U487,ITEM_RES!$J$5:$J$226,0)-1,0),0)</f>
        <v>0</v>
      </c>
      <c r="Y487" s="9">
        <f ca="1">IFERROR(OFFSET(ITEM_RES!$A$5,MATCH(BUILDING!X487,ITEM_RES!$J$5:$J$226,0)-1,0),0)</f>
        <v>0</v>
      </c>
      <c r="AA487" s="9" t="s">
        <v>530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437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1239</v>
      </c>
      <c r="S488" s="9">
        <v>2222</v>
      </c>
      <c r="V488" s="9">
        <f ca="1">IFERROR(OFFSET(ITEM_RES!$A$5,MATCH(BUILDING!U488,ITEM_RES!$J$5:$J$226,0)-1,0),0)</f>
        <v>0</v>
      </c>
      <c r="Y488" s="9">
        <f ca="1">IFERROR(OFFSET(ITEM_RES!$A$5,MATCH(BUILDING!X488,ITEM_RES!$J$5:$J$226,0)-1,0),0)</f>
        <v>0</v>
      </c>
      <c r="AA488" s="9" t="s">
        <v>530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437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1239</v>
      </c>
      <c r="S489" s="9">
        <v>2222</v>
      </c>
      <c r="V489" s="9">
        <f ca="1">IFERROR(OFFSET(ITEM_RES!$A$5,MATCH(BUILDING!U489,ITEM_RES!$J$5:$J$226,0)-1,0),0)</f>
        <v>0</v>
      </c>
      <c r="Y489" s="9">
        <f ca="1">IFERROR(OFFSET(ITEM_RES!$A$5,MATCH(BUILDING!X489,ITEM_RES!$J$5:$J$226,0)-1,0),0)</f>
        <v>0</v>
      </c>
      <c r="AA489" s="9" t="s">
        <v>530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437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1239</v>
      </c>
      <c r="S490" s="9">
        <v>2222</v>
      </c>
      <c r="V490" s="9">
        <f ca="1">IFERROR(OFFSET(ITEM_RES!$A$5,MATCH(BUILDING!U490,ITEM_RES!$J$5:$J$226,0)-1,0),0)</f>
        <v>0</v>
      </c>
      <c r="Y490" s="9">
        <f ca="1">IFERROR(OFFSET(ITEM_RES!$A$5,MATCH(BUILDING!X490,ITEM_RES!$J$5:$J$226,0)-1,0),0)</f>
        <v>0</v>
      </c>
      <c r="AA490" s="9" t="s">
        <v>530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437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1239</v>
      </c>
      <c r="S491" s="9">
        <v>2222</v>
      </c>
      <c r="V491" s="9">
        <f ca="1">IFERROR(OFFSET(ITEM_RES!$A$5,MATCH(BUILDING!U491,ITEM_RES!$J$5:$J$226,0)-1,0),0)</f>
        <v>0</v>
      </c>
      <c r="Y491" s="9">
        <f ca="1">IFERROR(OFFSET(ITEM_RES!$A$5,MATCH(BUILDING!X491,ITEM_RES!$J$5:$J$226,0)-1,0),0)</f>
        <v>0</v>
      </c>
      <c r="AA491" s="9" t="s">
        <v>530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437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1239</v>
      </c>
      <c r="S492" s="9">
        <v>2222</v>
      </c>
      <c r="V492" s="9">
        <f ca="1">IFERROR(OFFSET(ITEM_RES!$A$5,MATCH(BUILDING!U492,ITEM_RES!$J$5:$J$226,0)-1,0),0)</f>
        <v>0</v>
      </c>
      <c r="Y492" s="9">
        <f ca="1">IFERROR(OFFSET(ITEM_RES!$A$5,MATCH(BUILDING!X492,ITEM_RES!$J$5:$J$226,0)-1,0),0)</f>
        <v>0</v>
      </c>
      <c r="AA492" s="9" t="s">
        <v>530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437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1240</v>
      </c>
      <c r="S493" s="9">
        <v>2222</v>
      </c>
      <c r="V493" s="9">
        <f ca="1">IFERROR(OFFSET(ITEM_RES!$A$5,MATCH(BUILDING!U493,ITEM_RES!$J$5:$J$226,0)-1,0),0)</f>
        <v>0</v>
      </c>
      <c r="Y493" s="9">
        <f ca="1">IFERROR(OFFSET(ITEM_RES!$A$5,MATCH(BUILDING!X493,ITEM_RES!$J$5:$J$226,0)-1,0),0)</f>
        <v>0</v>
      </c>
      <c r="AA493" s="9" t="s">
        <v>530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56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437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1240</v>
      </c>
      <c r="S494" s="9">
        <v>2222</v>
      </c>
      <c r="V494" s="9">
        <f ca="1">IFERROR(OFFSET(ITEM_RES!$A$5,MATCH(BUILDING!U494,ITEM_RES!$J$5:$J$226,0)-1,0),0)</f>
        <v>0</v>
      </c>
      <c r="Y494" s="9">
        <f ca="1">IFERROR(OFFSET(ITEM_RES!$A$5,MATCH(BUILDING!X494,ITEM_RES!$J$5:$J$226,0)-1,0),0)</f>
        <v>0</v>
      </c>
      <c r="AA494" s="9" t="s">
        <v>530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57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57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437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476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1240</v>
      </c>
      <c r="S495" s="9">
        <v>2222</v>
      </c>
      <c r="V495" s="9">
        <f ca="1">IFERROR(OFFSET(ITEM_RES!$A$5,MATCH(BUILDING!U495,ITEM_RES!$J$5:$J$226,0)-1,0),0)</f>
        <v>0</v>
      </c>
      <c r="Y495" s="9">
        <f ca="1">IFERROR(OFFSET(ITEM_RES!$A$5,MATCH(BUILDING!X495,ITEM_RES!$J$5:$J$226,0)-1,0),0)</f>
        <v>0</v>
      </c>
      <c r="AA495" s="9" t="s">
        <v>530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437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1240</v>
      </c>
      <c r="S496" s="9">
        <v>2222</v>
      </c>
      <c r="V496" s="9">
        <f ca="1">IFERROR(OFFSET(ITEM_RES!$A$5,MATCH(BUILDING!U496,ITEM_RES!$J$5:$J$226,0)-1,0),0)</f>
        <v>0</v>
      </c>
      <c r="Y496" s="9">
        <f ca="1">IFERROR(OFFSET(ITEM_RES!$A$5,MATCH(BUILDING!X496,ITEM_RES!$J$5:$J$226,0)-1,0),0)</f>
        <v>0</v>
      </c>
      <c r="AA496" s="9" t="s">
        <v>530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437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1241</v>
      </c>
      <c r="S497" s="9">
        <v>2222</v>
      </c>
      <c r="V497" s="9">
        <f ca="1">IFERROR(OFFSET(ITEM_RES!$A$5,MATCH(BUILDING!U497,ITEM_RES!$J$5:$J$226,0)-1,0),0)</f>
        <v>0</v>
      </c>
      <c r="Y497" s="9">
        <f ca="1">IFERROR(OFFSET(ITEM_RES!$A$5,MATCH(BUILDING!X497,ITEM_RES!$J$5:$J$226,0)-1,0),0)</f>
        <v>0</v>
      </c>
      <c r="AA497" s="9" t="s">
        <v>530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437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1241</v>
      </c>
      <c r="S498" s="9">
        <v>2222</v>
      </c>
      <c r="V498" s="9">
        <f ca="1">IFERROR(OFFSET(ITEM_RES!$A$5,MATCH(BUILDING!U498,ITEM_RES!$J$5:$J$226,0)-1,0),0)</f>
        <v>0</v>
      </c>
      <c r="Y498" s="9">
        <f ca="1">IFERROR(OFFSET(ITEM_RES!$A$5,MATCH(BUILDING!X498,ITEM_RES!$J$5:$J$226,0)-1,0),0)</f>
        <v>0</v>
      </c>
      <c r="AA498" s="9" t="s">
        <v>530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437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1242</v>
      </c>
      <c r="S499" s="9">
        <v>2222</v>
      </c>
      <c r="V499" s="9">
        <f ca="1">IFERROR(OFFSET(ITEM_RES!$A$5,MATCH(BUILDING!U499,ITEM_RES!$J$5:$J$226,0)-1,0),0)</f>
        <v>0</v>
      </c>
      <c r="Y499" s="9">
        <f ca="1">IFERROR(OFFSET(ITEM_RES!$A$5,MATCH(BUILDING!X499,ITEM_RES!$J$5:$J$226,0)-1,0),0)</f>
        <v>0</v>
      </c>
      <c r="AA499" s="9" t="s">
        <v>530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437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1242</v>
      </c>
      <c r="S500" s="9">
        <v>2222</v>
      </c>
      <c r="V500" s="9">
        <f ca="1">IFERROR(OFFSET(ITEM_RES!$A$5,MATCH(BUILDING!U500,ITEM_RES!$J$5:$J$226,0)-1,0),0)</f>
        <v>0</v>
      </c>
      <c r="Y500" s="9">
        <f ca="1">IFERROR(OFFSET(ITEM_RES!$A$5,MATCH(BUILDING!X500,ITEM_RES!$J$5:$J$226,0)-1,0),0)</f>
        <v>0</v>
      </c>
      <c r="AA500" s="9" t="s">
        <v>530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444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1242</v>
      </c>
      <c r="S501" s="9">
        <v>2222</v>
      </c>
      <c r="V501" s="9">
        <f ca="1">IFERROR(OFFSET(ITEM_RES!$A$5,MATCH(BUILDING!U501,ITEM_RES!$J$5:$J$226,0)-1,0),0)</f>
        <v>0</v>
      </c>
      <c r="Y501" s="9">
        <f ca="1">IFERROR(OFFSET(ITEM_RES!$A$5,MATCH(BUILDING!X501,ITEM_RES!$J$5:$J$226,0)-1,0),0)</f>
        <v>0</v>
      </c>
      <c r="AA501" s="9" t="s">
        <v>530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444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1242</v>
      </c>
      <c r="S502" s="9">
        <v>2222</v>
      </c>
      <c r="V502" s="9">
        <f ca="1">IFERROR(OFFSET(ITEM_RES!$A$5,MATCH(BUILDING!U502,ITEM_RES!$J$5:$J$226,0)-1,0),0)</f>
        <v>0</v>
      </c>
      <c r="Y502" s="9">
        <f ca="1">IFERROR(OFFSET(ITEM_RES!$A$5,MATCH(BUILDING!X502,ITEM_RES!$J$5:$J$226,0)-1,0),0)</f>
        <v>0</v>
      </c>
      <c r="AA502" s="9" t="s">
        <v>530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444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1242</v>
      </c>
      <c r="S503" s="9">
        <v>2222</v>
      </c>
      <c r="V503" s="9">
        <f ca="1">IFERROR(OFFSET(ITEM_RES!$A$5,MATCH(BUILDING!U503,ITEM_RES!$J$5:$J$226,0)-1,0),0)</f>
        <v>0</v>
      </c>
      <c r="Y503" s="9">
        <f ca="1">IFERROR(OFFSET(ITEM_RES!$A$5,MATCH(BUILDING!X503,ITEM_RES!$J$5:$J$226,0)-1,0),0)</f>
        <v>0</v>
      </c>
      <c r="AA503" s="9" t="s">
        <v>530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444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1242</v>
      </c>
      <c r="S504" s="9">
        <v>2222</v>
      </c>
      <c r="V504" s="9">
        <f ca="1">IFERROR(OFFSET(ITEM_RES!$A$5,MATCH(BUILDING!U504,ITEM_RES!$J$5:$J$226,0)-1,0),0)</f>
        <v>0</v>
      </c>
      <c r="Y504" s="9">
        <f ca="1">IFERROR(OFFSET(ITEM_RES!$A$5,MATCH(BUILDING!X504,ITEM_RES!$J$5:$J$226,0)-1,0),0)</f>
        <v>0</v>
      </c>
      <c r="AA504" s="9" t="s">
        <v>530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444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1086</v>
      </c>
      <c r="L505" s="16">
        <v>1</v>
      </c>
      <c r="M505" s="16">
        <v>1</v>
      </c>
      <c r="N505" s="16">
        <v>15</v>
      </c>
      <c r="O505" s="16" t="s">
        <v>1243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IFERROR(OFFSET(ITEM_RES!$A$5,MATCH(BUILDING!U505,ITEM_RES!$J$5:$J$226,0)-1,0),0)</f>
        <v>0</v>
      </c>
      <c r="W505" s="18"/>
      <c r="X505" s="86"/>
      <c r="Y505" s="16">
        <f ca="1">IFERROR(OFFSET(ITEM_RES!$A$5,MATCH(BUILDING!X505,ITEM_RES!$J$5:$J$226,0)-1,0),0)</f>
        <v>0</v>
      </c>
      <c r="Z505" s="78"/>
      <c r="AA505" s="16" t="s">
        <v>382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437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452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474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1086</v>
      </c>
      <c r="M506" s="9">
        <v>1</v>
      </c>
      <c r="N506" s="9">
        <v>15</v>
      </c>
      <c r="O506" s="9" t="s">
        <v>1244</v>
      </c>
      <c r="S506" s="9">
        <v>3333</v>
      </c>
      <c r="V506" s="9">
        <f ca="1">IFERROR(OFFSET(ITEM_RES!$A$5,MATCH(BUILDING!U506,ITEM_RES!$J$5:$J$226,0)-1,0),0)</f>
        <v>0</v>
      </c>
      <c r="Y506" s="9">
        <f ca="1">IFERROR(OFFSET(ITEM_RES!$A$5,MATCH(BUILDING!X506,ITEM_RES!$J$5:$J$226,0)-1,0),0)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437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1086</v>
      </c>
      <c r="M507" s="9">
        <v>1</v>
      </c>
      <c r="N507" s="9">
        <v>15</v>
      </c>
      <c r="O507" s="9" t="s">
        <v>1244</v>
      </c>
      <c r="S507" s="9">
        <v>3333</v>
      </c>
      <c r="V507" s="9">
        <f ca="1">IFERROR(OFFSET(ITEM_RES!$A$5,MATCH(BUILDING!U507,ITEM_RES!$J$5:$J$226,0)-1,0),0)</f>
        <v>0</v>
      </c>
      <c r="Y507" s="9">
        <f ca="1">IFERROR(OFFSET(ITEM_RES!$A$5,MATCH(BUILDING!X507,ITEM_RES!$J$5:$J$226,0)-1,0),0)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437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1086</v>
      </c>
      <c r="M508" s="9">
        <v>1</v>
      </c>
      <c r="N508" s="9">
        <v>15</v>
      </c>
      <c r="O508" s="9" t="s">
        <v>1245</v>
      </c>
      <c r="S508" s="9">
        <v>3333</v>
      </c>
      <c r="V508" s="9">
        <f ca="1">IFERROR(OFFSET(ITEM_RES!$A$5,MATCH(BUILDING!U508,ITEM_RES!$J$5:$J$226,0)-1,0),0)</f>
        <v>0</v>
      </c>
      <c r="Y508" s="9">
        <f ca="1">IFERROR(OFFSET(ITEM_RES!$A$5,MATCH(BUILDING!X508,ITEM_RES!$J$5:$J$226,0)-1,0),0)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437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1086</v>
      </c>
      <c r="M509" s="9">
        <v>1</v>
      </c>
      <c r="N509" s="9">
        <v>15</v>
      </c>
      <c r="O509" s="9" t="s">
        <v>1245</v>
      </c>
      <c r="S509" s="9">
        <v>3333</v>
      </c>
      <c r="V509" s="9">
        <f ca="1">IFERROR(OFFSET(ITEM_RES!$A$5,MATCH(BUILDING!U509,ITEM_RES!$J$5:$J$226,0)-1,0),0)</f>
        <v>0</v>
      </c>
      <c r="Y509" s="9">
        <f ca="1">IFERROR(OFFSET(ITEM_RES!$A$5,MATCH(BUILDING!X509,ITEM_RES!$J$5:$J$226,0)-1,0),0)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437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1086</v>
      </c>
      <c r="M510" s="9">
        <v>1</v>
      </c>
      <c r="N510" s="9">
        <v>15</v>
      </c>
      <c r="O510" s="9" t="s">
        <v>1245</v>
      </c>
      <c r="S510" s="9">
        <v>3333</v>
      </c>
      <c r="V510" s="9">
        <f ca="1">IFERROR(OFFSET(ITEM_RES!$A$5,MATCH(BUILDING!U510,ITEM_RES!$J$5:$J$226,0)-1,0),0)</f>
        <v>0</v>
      </c>
      <c r="Y510" s="9">
        <f ca="1">IFERROR(OFFSET(ITEM_RES!$A$5,MATCH(BUILDING!X510,ITEM_RES!$J$5:$J$226,0)-1,0),0)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437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1086</v>
      </c>
      <c r="M511" s="9">
        <v>1</v>
      </c>
      <c r="N511" s="9">
        <v>15</v>
      </c>
      <c r="O511" s="9" t="s">
        <v>1246</v>
      </c>
      <c r="S511" s="9">
        <v>3333</v>
      </c>
      <c r="V511" s="9">
        <f ca="1">IFERROR(OFFSET(ITEM_RES!$A$5,MATCH(BUILDING!U511,ITEM_RES!$J$5:$J$226,0)-1,0),0)</f>
        <v>0</v>
      </c>
      <c r="Y511" s="9">
        <f ca="1">IFERROR(OFFSET(ITEM_RES!$A$5,MATCH(BUILDING!X511,ITEM_RES!$J$5:$J$226,0)-1,0),0)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437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1086</v>
      </c>
      <c r="M512" s="9">
        <v>1</v>
      </c>
      <c r="N512" s="9">
        <v>15</v>
      </c>
      <c r="O512" s="9" t="s">
        <v>1246</v>
      </c>
      <c r="S512" s="9">
        <v>3333</v>
      </c>
      <c r="V512" s="9">
        <f ca="1">IFERROR(OFFSET(ITEM_RES!$A$5,MATCH(BUILDING!U512,ITEM_RES!$J$5:$J$226,0)-1,0),0)</f>
        <v>0</v>
      </c>
      <c r="Y512" s="9">
        <f ca="1">IFERROR(OFFSET(ITEM_RES!$A$5,MATCH(BUILDING!X512,ITEM_RES!$J$5:$J$226,0)-1,0),0)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437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1086</v>
      </c>
      <c r="M513" s="9">
        <v>1</v>
      </c>
      <c r="N513" s="9">
        <v>15</v>
      </c>
      <c r="O513" s="9" t="s">
        <v>1246</v>
      </c>
      <c r="S513" s="9">
        <v>3333</v>
      </c>
      <c r="V513" s="9">
        <f ca="1">IFERROR(OFFSET(ITEM_RES!$A$5,MATCH(BUILDING!U513,ITEM_RES!$J$5:$J$226,0)-1,0),0)</f>
        <v>0</v>
      </c>
      <c r="Y513" s="9">
        <f ca="1">IFERROR(OFFSET(ITEM_RES!$A$5,MATCH(BUILDING!X513,ITEM_RES!$J$5:$J$226,0)-1,0),0)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437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1086</v>
      </c>
      <c r="M514" s="9">
        <v>1</v>
      </c>
      <c r="N514" s="9">
        <v>15</v>
      </c>
      <c r="O514" s="9" t="s">
        <v>1246</v>
      </c>
      <c r="S514" s="9">
        <v>3333</v>
      </c>
      <c r="V514" s="9">
        <f ca="1">IFERROR(OFFSET(ITEM_RES!$A$5,MATCH(BUILDING!U514,ITEM_RES!$J$5:$J$226,0)-1,0),0)</f>
        <v>0</v>
      </c>
      <c r="Y514" s="9">
        <f ca="1">IFERROR(OFFSET(ITEM_RES!$A$5,MATCH(BUILDING!X514,ITEM_RES!$J$5:$J$226,0)-1,0),0)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6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437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482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1086</v>
      </c>
      <c r="M515" s="9">
        <v>1</v>
      </c>
      <c r="N515" s="9">
        <v>15</v>
      </c>
      <c r="O515" s="9" t="s">
        <v>1247</v>
      </c>
      <c r="S515" s="9">
        <v>3333</v>
      </c>
      <c r="V515" s="9">
        <f ca="1">IFERROR(OFFSET(ITEM_RES!$A$5,MATCH(BUILDING!U515,ITEM_RES!$J$5:$J$226,0)-1,0),0)</f>
        <v>0</v>
      </c>
      <c r="Y515" s="9">
        <f ca="1">IFERROR(OFFSET(ITEM_RES!$A$5,MATCH(BUILDING!X515,ITEM_RES!$J$5:$J$226,0)-1,0),0)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437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1086</v>
      </c>
      <c r="M516" s="9">
        <v>1</v>
      </c>
      <c r="N516" s="9">
        <v>15</v>
      </c>
      <c r="O516" s="9" t="s">
        <v>1247</v>
      </c>
      <c r="S516" s="9">
        <v>3333</v>
      </c>
      <c r="V516" s="9">
        <f ca="1">IFERROR(OFFSET(ITEM_RES!$A$5,MATCH(BUILDING!U516,ITEM_RES!$J$5:$J$226,0)-1,0),0)</f>
        <v>0</v>
      </c>
      <c r="Y516" s="9">
        <f ca="1">IFERROR(OFFSET(ITEM_RES!$A$5,MATCH(BUILDING!X516,ITEM_RES!$J$5:$J$226,0)-1,0),0)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437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1086</v>
      </c>
      <c r="M517" s="9">
        <v>1</v>
      </c>
      <c r="N517" s="9">
        <v>15</v>
      </c>
      <c r="O517" s="9" t="s">
        <v>1247</v>
      </c>
      <c r="S517" s="9">
        <v>3333</v>
      </c>
      <c r="V517" s="9">
        <f ca="1">IFERROR(OFFSET(ITEM_RES!$A$5,MATCH(BUILDING!U517,ITEM_RES!$J$5:$J$226,0)-1,0),0)</f>
        <v>0</v>
      </c>
      <c r="Y517" s="9">
        <f ca="1">IFERROR(OFFSET(ITEM_RES!$A$5,MATCH(BUILDING!X517,ITEM_RES!$J$5:$J$226,0)-1,0),0)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437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1086</v>
      </c>
      <c r="M518" s="9">
        <v>1</v>
      </c>
      <c r="N518" s="9">
        <v>15</v>
      </c>
      <c r="O518" s="9" t="s">
        <v>1247</v>
      </c>
      <c r="S518" s="9">
        <v>3333</v>
      </c>
      <c r="V518" s="9">
        <f ca="1">IFERROR(OFFSET(ITEM_RES!$A$5,MATCH(BUILDING!U518,ITEM_RES!$J$5:$J$226,0)-1,0),0)</f>
        <v>0</v>
      </c>
      <c r="Y518" s="9">
        <f ca="1">IFERROR(OFFSET(ITEM_RES!$A$5,MATCH(BUILDING!X518,ITEM_RES!$J$5:$J$226,0)-1,0),0)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437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1086</v>
      </c>
      <c r="M519" s="9">
        <v>1</v>
      </c>
      <c r="N519" s="9">
        <v>15</v>
      </c>
      <c r="O519" s="9" t="s">
        <v>1247</v>
      </c>
      <c r="S519" s="9">
        <v>3333</v>
      </c>
      <c r="V519" s="9">
        <f ca="1">IFERROR(OFFSET(ITEM_RES!$A$5,MATCH(BUILDING!U519,ITEM_RES!$J$5:$J$226,0)-1,0),0)</f>
        <v>0</v>
      </c>
      <c r="Y519" s="9">
        <f ca="1">IFERROR(OFFSET(ITEM_RES!$A$5,MATCH(BUILDING!X519,ITEM_RES!$J$5:$J$226,0)-1,0),0)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444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1086</v>
      </c>
      <c r="M520" s="9">
        <v>0</v>
      </c>
      <c r="N520" s="9">
        <v>15</v>
      </c>
      <c r="O520" s="9" t="s">
        <v>1247</v>
      </c>
      <c r="S520" s="9">
        <v>3333</v>
      </c>
      <c r="V520" s="9">
        <f ca="1">IFERROR(OFFSET(ITEM_RES!$A$5,MATCH(BUILDING!U520,ITEM_RES!$J$5:$J$226,0)-1,0),0)</f>
        <v>0</v>
      </c>
      <c r="Y520" s="9">
        <f ca="1">IFERROR(OFFSET(ITEM_RES!$A$5,MATCH(BUILDING!X520,ITEM_RES!$J$5:$J$226,0)-1,0),0)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444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1086</v>
      </c>
      <c r="M521" s="9">
        <v>0</v>
      </c>
      <c r="N521" s="9">
        <v>15</v>
      </c>
      <c r="O521" s="9" t="s">
        <v>1247</v>
      </c>
      <c r="S521" s="9">
        <v>3333</v>
      </c>
      <c r="V521" s="9">
        <f ca="1">IFERROR(OFFSET(ITEM_RES!$A$5,MATCH(BUILDING!U521,ITEM_RES!$J$5:$J$226,0)-1,0),0)</f>
        <v>0</v>
      </c>
      <c r="Y521" s="9">
        <f ca="1">IFERROR(OFFSET(ITEM_RES!$A$5,MATCH(BUILDING!X521,ITEM_RES!$J$5:$J$226,0)-1,0),0)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444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1086</v>
      </c>
      <c r="M522" s="9">
        <v>0</v>
      </c>
      <c r="N522" s="9">
        <v>15</v>
      </c>
      <c r="O522" s="9" t="s">
        <v>1247</v>
      </c>
      <c r="S522" s="9">
        <v>3333</v>
      </c>
      <c r="V522" s="9">
        <f ca="1">IFERROR(OFFSET(ITEM_RES!$A$5,MATCH(BUILDING!U522,ITEM_RES!$J$5:$J$226,0)-1,0),0)</f>
        <v>0</v>
      </c>
      <c r="Y522" s="9">
        <f ca="1">IFERROR(OFFSET(ITEM_RES!$A$5,MATCH(BUILDING!X522,ITEM_RES!$J$5:$J$226,0)-1,0),0)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444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1086</v>
      </c>
      <c r="M523" s="9">
        <v>0</v>
      </c>
      <c r="N523" s="9">
        <v>15</v>
      </c>
      <c r="O523" s="9" t="s">
        <v>1247</v>
      </c>
      <c r="S523" s="9">
        <v>3333</v>
      </c>
      <c r="V523" s="9">
        <f ca="1">IFERROR(OFFSET(ITEM_RES!$A$5,MATCH(BUILDING!U523,ITEM_RES!$J$5:$J$226,0)-1,0),0)</f>
        <v>0</v>
      </c>
      <c r="Y523" s="9">
        <f ca="1">IFERROR(OFFSET(ITEM_RES!$A$5,MATCH(BUILDING!X523,ITEM_RES!$J$5:$J$226,0)-1,0),0)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444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1086</v>
      </c>
      <c r="M524" s="9">
        <v>0</v>
      </c>
      <c r="N524" s="9">
        <v>15</v>
      </c>
      <c r="O524" s="9" t="s">
        <v>1247</v>
      </c>
      <c r="S524" s="9">
        <v>3333</v>
      </c>
      <c r="V524" s="9">
        <f ca="1">IFERROR(OFFSET(ITEM_RES!$A$5,MATCH(BUILDING!U524,ITEM_RES!$J$5:$J$226,0)-1,0),0)</f>
        <v>0</v>
      </c>
      <c r="Y524" s="9">
        <f ca="1">IFERROR(OFFSET(ITEM_RES!$A$5,MATCH(BUILDING!X524,ITEM_RES!$J$5:$J$226,0)-1,0),0)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444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1088</v>
      </c>
      <c r="L525" s="16">
        <v>10</v>
      </c>
      <c r="M525" s="16">
        <v>1</v>
      </c>
      <c r="N525" s="16">
        <v>15</v>
      </c>
      <c r="O525" s="16" t="s">
        <v>1109</v>
      </c>
      <c r="P525" s="17"/>
      <c r="Q525" s="17"/>
      <c r="R525" s="18"/>
      <c r="S525" s="16">
        <v>4444</v>
      </c>
      <c r="T525" s="78"/>
      <c r="U525" s="86"/>
      <c r="V525" s="16">
        <f ca="1">IFERROR(OFFSET(ITEM_RES!$A$5,MATCH(BUILDING!U525,ITEM_RES!$J$5:$J$226,0)-1,0),0)</f>
        <v>0</v>
      </c>
      <c r="W525" s="18"/>
      <c r="X525" s="86"/>
      <c r="Y525" s="16">
        <f ca="1">IFERROR(OFFSET(ITEM_RES!$A$5,MATCH(BUILDING!X525,ITEM_RES!$J$5:$J$226,0)-1,0),0)</f>
        <v>0</v>
      </c>
      <c r="Z525" s="78"/>
      <c r="AA525" s="16" t="s">
        <v>380</v>
      </c>
      <c r="AB525" s="16">
        <v>1</v>
      </c>
      <c r="AC525" s="78"/>
      <c r="AD525" s="18">
        <f ca="1">IFERROR(OFFSET(MANOR_LEVEL!$B$1,MATCH(AE525-1,MANOR_LEVEL!$A:$A,0)-1,0),0)</f>
        <v>0</v>
      </c>
      <c r="AE525" s="57">
        <v>1</v>
      </c>
      <c r="AF525" s="78"/>
      <c r="AG525" s="57">
        <f t="shared" ca="1" si="148"/>
        <v>205</v>
      </c>
      <c r="AH525" s="17">
        <f ca="1">AM525+AO525+(IFERROR(OFFSET(ITEM_RES!$S$1,MATCH(AS525,ITEM_RES!$A:$A,0)-1,0),0)*AU525+IFERROR(OFFSET(ITEM_RES!$S$1,MATCH(AX525,ITEM_RES!$A:$A,0)-1,0),0)*AZ525+IFERROR(OFFSET(ITEM_RES!$S$1,MATCH(BC525,ITEM_RES!$A:$A,0)-1,0),0)*BE525+IFERROR(OFFSET(ITEM_RES!$S$1,MATCH(BH525,ITEM_RES!$A:$A,0)-1,0),0)*BJ525+IFERROR(OFFSET(ITEM_RES!$S$1,MATCH(BM525,ITEM_RES!$A:$A,0)-1,0),0)*BO525)/1000</f>
        <v>205.1</v>
      </c>
      <c r="AI525" s="184">
        <f ca="1">AG525</f>
        <v>205</v>
      </c>
      <c r="AJ525" s="78"/>
      <c r="AK525" s="18">
        <f t="shared" si="147"/>
        <v>5</v>
      </c>
      <c r="AL525" s="17">
        <v>5</v>
      </c>
      <c r="AM525" s="18">
        <f t="shared" si="154"/>
        <v>5</v>
      </c>
      <c r="AN525" s="17">
        <v>5</v>
      </c>
      <c r="AO525" s="18">
        <f t="shared" si="154"/>
        <v>0</v>
      </c>
      <c r="AP525" s="17">
        <v>0</v>
      </c>
      <c r="AQ525" s="57">
        <f t="shared" si="149"/>
        <v>3</v>
      </c>
      <c r="AR525" s="18"/>
      <c r="AS525" s="18">
        <f ca="1">IFERROR(OFFSET(ITEM_RES!$A$1,MATCH(AT525,ITEM_RES!$J:$J,0)-1,0),0)</f>
        <v>211020801</v>
      </c>
      <c r="AT525" s="17" t="s">
        <v>434</v>
      </c>
      <c r="AU525" s="18">
        <v>1</v>
      </c>
      <c r="AV525" s="17"/>
      <c r="AW525" s="18"/>
      <c r="AX525" s="18">
        <f ca="1">IFERROR(OFFSET(ITEM_RES!$A$1,MATCH(AY525,ITEM_RES!$J:$J,0)-1,0),0)</f>
        <v>0</v>
      </c>
      <c r="AY525" s="17"/>
      <c r="AZ525" s="18"/>
      <c r="BA525" s="17"/>
      <c r="BB525" s="18"/>
      <c r="BC525" s="18">
        <f ca="1">IFERROR(OFFSET(ITEM_RES!$A$1,MATCH(BD525,ITEM_RES!$J:$J,0)-1,0),0)</f>
        <v>213010101</v>
      </c>
      <c r="BD525" s="17" t="s">
        <v>452</v>
      </c>
      <c r="BE525" s="18">
        <v>1</v>
      </c>
      <c r="BF525" s="17"/>
      <c r="BG525" s="18"/>
      <c r="BH525" s="18">
        <f ca="1">IFERROR(OFFSET(ITEM_RES!$A$1,MATCH(BI525,ITEM_RES!$J:$J,0)-1,0),0)</f>
        <v>213010201</v>
      </c>
      <c r="BI525" s="17" t="s">
        <v>474</v>
      </c>
      <c r="BJ525" s="18">
        <v>1</v>
      </c>
      <c r="BK525" s="17"/>
      <c r="BL525" s="18"/>
      <c r="BM525" s="18">
        <f ca="1">IFERROR(OFFSET(ITEM_RES!$A$1,MATCH(BN525,ITEM_RES!$J:$J,0)-1,0),0)</f>
        <v>0</v>
      </c>
      <c r="BN525" s="17"/>
      <c r="BO525" s="18"/>
      <c r="BP525" s="17"/>
    </row>
    <row r="526" spans="1:68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1088</v>
      </c>
      <c r="M526" s="9">
        <v>1</v>
      </c>
      <c r="N526" s="9">
        <v>15</v>
      </c>
      <c r="O526" s="9" t="s">
        <v>1107</v>
      </c>
      <c r="S526" s="9">
        <v>4444</v>
      </c>
      <c r="V526" s="9">
        <f ca="1">IFERROR(OFFSET(ITEM_RES!$A$5,MATCH(BUILDING!U526,ITEM_RES!$J$5:$J$226,0)-1,0),0)</f>
        <v>0</v>
      </c>
      <c r="Y526" s="9">
        <f ca="1">IFERROR(OFFSET(ITEM_RES!$A$5,MATCH(BUILDING!X526,ITEM_RES!$J$5:$J$226,0)-1,0),0)</f>
        <v>0</v>
      </c>
      <c r="AA526" s="9" t="s">
        <v>379</v>
      </c>
      <c r="AB526" s="9">
        <v>2</v>
      </c>
      <c r="AD526" s="11">
        <f ca="1">IFERROR(OFFSET(MANOR_LEVEL!$B$1,MATCH(AE526-1,MANOR_LEVEL!$A:$A,0)-1,0),0)</f>
        <v>0</v>
      </c>
      <c r="AE526" s="56">
        <v>1</v>
      </c>
      <c r="AG526" s="56">
        <f t="shared" ca="1" si="148"/>
        <v>10</v>
      </c>
      <c r="AH526" s="10">
        <f ca="1">AM526+AO526+(IFERROR(OFFSET(ITEM_RES!$S$1,MATCH(AS526,ITEM_RES!$A:$A,0)-1,0),0)*AU526+IFERROR(OFFSET(ITEM_RES!$S$1,MATCH(AX526,ITEM_RES!$A:$A,0)-1,0),0)*AZ526+IFERROR(OFFSET(ITEM_RES!$S$1,MATCH(BC526,ITEM_RES!$A:$A,0)-1,0),0)*BE526+IFERROR(OFFSET(ITEM_RES!$S$1,MATCH(BH526,ITEM_RES!$A:$A,0)-1,0),0)*BJ526+IFERROR(OFFSET(ITEM_RES!$S$1,MATCH(BM526,ITEM_RES!$A:$A,0)-1,0),0)*BO526)/1000</f>
        <v>10.1</v>
      </c>
      <c r="AI526" s="182">
        <f ca="1">AG525+AG526</f>
        <v>215</v>
      </c>
      <c r="AK526" s="11">
        <f t="shared" si="147"/>
        <v>10</v>
      </c>
      <c r="AL526" s="10">
        <v>10</v>
      </c>
      <c r="AM526" s="11">
        <f t="shared" si="154"/>
        <v>10</v>
      </c>
      <c r="AN526" s="10">
        <v>10</v>
      </c>
      <c r="AO526" s="11">
        <f t="shared" si="154"/>
        <v>0</v>
      </c>
      <c r="AP526" s="10">
        <v>0</v>
      </c>
      <c r="AQ526" s="56">
        <f t="shared" si="149"/>
        <v>1</v>
      </c>
      <c r="AS526" s="11">
        <f ca="1">IFERROR(OFFSET(ITEM_RES!$A$1,MATCH(AT526,ITEM_RES!$J:$J,0)-1,0),0)</f>
        <v>211020801</v>
      </c>
      <c r="AT526" s="10" t="s">
        <v>434</v>
      </c>
      <c r="AU526" s="11">
        <v>1</v>
      </c>
      <c r="AX526" s="11">
        <f ca="1">IFERROR(OFFSET(ITEM_RES!$A$1,MATCH(AY526,ITEM_RES!$J:$J,0)-1,0),0)</f>
        <v>0</v>
      </c>
      <c r="BC526" s="11">
        <f ca="1">IFERROR(OFFSET(ITEM_RES!$A$1,MATCH(BD526,ITEM_RES!$J:$J,0)-1,0),0)</f>
        <v>0</v>
      </c>
      <c r="BH526" s="11">
        <f ca="1">IFERROR(OFFSET(ITEM_RES!$A$1,MATCH(BI526,ITEM_RES!$J:$J,0)-1,0),0)</f>
        <v>0</v>
      </c>
      <c r="BM526" s="11">
        <f ca="1">IFERROR(OFFSET(ITEM_RES!$A$1,MATCH(BN526,ITEM_RES!$J:$J,0)-1,0),0)</f>
        <v>0</v>
      </c>
    </row>
    <row r="527" spans="1:68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1087</v>
      </c>
      <c r="M527" s="9">
        <v>1</v>
      </c>
      <c r="N527" s="9">
        <v>15</v>
      </c>
      <c r="O527" s="9" t="s">
        <v>1107</v>
      </c>
      <c r="S527" s="9">
        <v>4444</v>
      </c>
      <c r="V527" s="9">
        <f ca="1">IFERROR(OFFSET(ITEM_RES!$A$5,MATCH(BUILDING!U527,ITEM_RES!$J$5:$J$226,0)-1,0),0)</f>
        <v>0</v>
      </c>
      <c r="Y527" s="9">
        <f ca="1">IFERROR(OFFSET(ITEM_RES!$A$5,MATCH(BUILDING!X527,ITEM_RES!$J$5:$J$226,0)-1,0),0)</f>
        <v>0</v>
      </c>
      <c r="AA527" s="9" t="s">
        <v>379</v>
      </c>
      <c r="AB527" s="9">
        <v>3</v>
      </c>
      <c r="AD527" s="11">
        <f ca="1">IFERROR(OFFSET(MANOR_LEVEL!$B$1,MATCH(AE527-1,MANOR_LEVEL!$A:$A,0)-1,0),0)</f>
        <v>0</v>
      </c>
      <c r="AE527" s="56">
        <v>1</v>
      </c>
      <c r="AG527" s="56">
        <f t="shared" ca="1" si="148"/>
        <v>15</v>
      </c>
      <c r="AH527" s="10">
        <f ca="1">AM527+AO527+(IFERROR(OFFSET(ITEM_RES!$S$1,MATCH(AS527,ITEM_RES!$A:$A,0)-1,0),0)*AU527+IFERROR(OFFSET(ITEM_RES!$S$1,MATCH(AX527,ITEM_RES!$A:$A,0)-1,0),0)*AZ527+IFERROR(OFFSET(ITEM_RES!$S$1,MATCH(BC527,ITEM_RES!$A:$A,0)-1,0),0)*BE527+IFERROR(OFFSET(ITEM_RES!$S$1,MATCH(BH527,ITEM_RES!$A:$A,0)-1,0),0)*BJ527+IFERROR(OFFSET(ITEM_RES!$S$1,MATCH(BM527,ITEM_RES!$A:$A,0)-1,0),0)*BO527)/1000</f>
        <v>15.1</v>
      </c>
      <c r="AI527" s="182">
        <f t="shared" ref="AI527:AI544" ca="1" si="155">AG526+AG527</f>
        <v>25</v>
      </c>
      <c r="AK527" s="11">
        <f t="shared" si="147"/>
        <v>15</v>
      </c>
      <c r="AL527" s="10">
        <v>15</v>
      </c>
      <c r="AM527" s="11">
        <f t="shared" si="154"/>
        <v>15</v>
      </c>
      <c r="AN527" s="10">
        <v>15</v>
      </c>
      <c r="AO527" s="11">
        <f t="shared" si="154"/>
        <v>0</v>
      </c>
      <c r="AP527" s="10">
        <v>0</v>
      </c>
      <c r="AQ527" s="56">
        <f t="shared" si="149"/>
        <v>1</v>
      </c>
      <c r="AS527" s="11">
        <f ca="1">IFERROR(OFFSET(ITEM_RES!$A$1,MATCH(AT527,ITEM_RES!$J:$J,0)-1,0),0)</f>
        <v>211020801</v>
      </c>
      <c r="AT527" s="10" t="s">
        <v>434</v>
      </c>
      <c r="AU527" s="11">
        <v>1</v>
      </c>
      <c r="AX527" s="11">
        <f ca="1">IFERROR(OFFSET(ITEM_RES!$A$1,MATCH(AY527,ITEM_RES!$J:$J,0)-1,0),0)</f>
        <v>0</v>
      </c>
      <c r="BC527" s="11">
        <f ca="1">IFERROR(OFFSET(ITEM_RES!$A$1,MATCH(BD527,ITEM_RES!$J:$J,0)-1,0),0)</f>
        <v>0</v>
      </c>
      <c r="BH527" s="11">
        <f ca="1">IFERROR(OFFSET(ITEM_RES!$A$1,MATCH(BI527,ITEM_RES!$J:$J,0)-1,0),0)</f>
        <v>0</v>
      </c>
      <c r="BM527" s="11">
        <f ca="1">IFERROR(OFFSET(ITEM_RES!$A$1,MATCH(BN527,ITEM_RES!$J:$J,0)-1,0),0)</f>
        <v>0</v>
      </c>
    </row>
    <row r="528" spans="1:68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1087</v>
      </c>
      <c r="M528" s="9">
        <v>1</v>
      </c>
      <c r="N528" s="9">
        <v>15</v>
      </c>
      <c r="O528" s="9" t="s">
        <v>1107</v>
      </c>
      <c r="S528" s="9">
        <v>4444</v>
      </c>
      <c r="V528" s="9">
        <f ca="1">IFERROR(OFFSET(ITEM_RES!$A$5,MATCH(BUILDING!U528,ITEM_RES!$J$5:$J$226,0)-1,0),0)</f>
        <v>0</v>
      </c>
      <c r="Y528" s="9">
        <f ca="1">IFERROR(OFFSET(ITEM_RES!$A$5,MATCH(BUILDING!X528,ITEM_RES!$J$5:$J$226,0)-1,0),0)</f>
        <v>0</v>
      </c>
      <c r="AA528" s="9" t="s">
        <v>379</v>
      </c>
      <c r="AB528" s="9">
        <v>4</v>
      </c>
      <c r="AD528" s="11">
        <f ca="1">IFERROR(OFFSET(MANOR_LEVEL!$B$1,MATCH(AE528-1,MANOR_LEVEL!$A:$A,0)-1,0),0)</f>
        <v>444</v>
      </c>
      <c r="AE528" s="56">
        <v>2</v>
      </c>
      <c r="AG528" s="56">
        <f t="shared" ca="1" si="148"/>
        <v>25</v>
      </c>
      <c r="AH528" s="10">
        <f ca="1">AM528+AO528+(IFERROR(OFFSET(ITEM_RES!$S$1,MATCH(AS528,ITEM_RES!$A:$A,0)-1,0),0)*AU528+IFERROR(OFFSET(ITEM_RES!$S$1,MATCH(AX528,ITEM_RES!$A:$A,0)-1,0),0)*AZ528+IFERROR(OFFSET(ITEM_RES!$S$1,MATCH(BC528,ITEM_RES!$A:$A,0)-1,0),0)*BE528+IFERROR(OFFSET(ITEM_RES!$S$1,MATCH(BH528,ITEM_RES!$A:$A,0)-1,0),0)*BJ528+IFERROR(OFFSET(ITEM_RES!$S$1,MATCH(BM528,ITEM_RES!$A:$A,0)-1,0),0)*BO528)/1000</f>
        <v>25.1</v>
      </c>
      <c r="AI528" s="182">
        <f t="shared" ca="1" si="155"/>
        <v>40</v>
      </c>
      <c r="AK528" s="11">
        <f t="shared" si="147"/>
        <v>20</v>
      </c>
      <c r="AL528" s="10">
        <v>20</v>
      </c>
      <c r="AM528" s="11">
        <f t="shared" si="154"/>
        <v>25</v>
      </c>
      <c r="AN528" s="10">
        <v>25</v>
      </c>
      <c r="AO528" s="11">
        <f t="shared" si="154"/>
        <v>0</v>
      </c>
      <c r="AP528" s="10">
        <v>0</v>
      </c>
      <c r="AQ528" s="56">
        <f t="shared" si="149"/>
        <v>1</v>
      </c>
      <c r="AS528" s="11">
        <f ca="1">IFERROR(OFFSET(ITEM_RES!$A$1,MATCH(AT528,ITEM_RES!$J:$J,0)-1,0),0)</f>
        <v>211020801</v>
      </c>
      <c r="AT528" s="10" t="s">
        <v>434</v>
      </c>
      <c r="AU528" s="11">
        <v>1</v>
      </c>
      <c r="AX528" s="11">
        <f ca="1">IFERROR(OFFSET(ITEM_RES!$A$1,MATCH(AY528,ITEM_RES!$J:$J,0)-1,0),0)</f>
        <v>0</v>
      </c>
      <c r="BC528" s="11">
        <f ca="1">IFERROR(OFFSET(ITEM_RES!$A$1,MATCH(BD528,ITEM_RES!$J:$J,0)-1,0),0)</f>
        <v>0</v>
      </c>
      <c r="BH528" s="11">
        <f ca="1">IFERROR(OFFSET(ITEM_RES!$A$1,MATCH(BI528,ITEM_RES!$J:$J,0)-1,0),0)</f>
        <v>0</v>
      </c>
      <c r="BM528" s="11">
        <f ca="1">IFERROR(OFFSET(ITEM_RES!$A$1,MATCH(BN528,ITEM_RES!$J:$J,0)-1,0),0)</f>
        <v>0</v>
      </c>
    </row>
    <row r="529" spans="1:65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1087</v>
      </c>
      <c r="M529" s="9">
        <v>1</v>
      </c>
      <c r="N529" s="9">
        <v>15</v>
      </c>
      <c r="O529" s="9" t="s">
        <v>1107</v>
      </c>
      <c r="S529" s="9">
        <v>4444</v>
      </c>
      <c r="V529" s="9">
        <f ca="1">IFERROR(OFFSET(ITEM_RES!$A$5,MATCH(BUILDING!U529,ITEM_RES!$J$5:$J$226,0)-1,0),0)</f>
        <v>0</v>
      </c>
      <c r="Y529" s="9">
        <f ca="1">IFERROR(OFFSET(ITEM_RES!$A$5,MATCH(BUILDING!X529,ITEM_RES!$J$5:$J$226,0)-1,0),0)</f>
        <v>0</v>
      </c>
      <c r="AA529" s="9" t="s">
        <v>379</v>
      </c>
      <c r="AB529" s="9">
        <v>5</v>
      </c>
      <c r="AD529" s="11">
        <f ca="1">IFERROR(OFFSET(MANOR_LEVEL!$B$1,MATCH(AE529-1,MANOR_LEVEL!$A:$A,0)-1,0),0)</f>
        <v>444</v>
      </c>
      <c r="AE529" s="56">
        <v>2</v>
      </c>
      <c r="AG529" s="56">
        <f t="shared" ca="1" si="148"/>
        <v>40</v>
      </c>
      <c r="AH529" s="10">
        <f ca="1">AM529+AO529+(IFERROR(OFFSET(ITEM_RES!$S$1,MATCH(AS529,ITEM_RES!$A:$A,0)-1,0),0)*AU529+IFERROR(OFFSET(ITEM_RES!$S$1,MATCH(AX529,ITEM_RES!$A:$A,0)-1,0),0)*AZ529+IFERROR(OFFSET(ITEM_RES!$S$1,MATCH(BC529,ITEM_RES!$A:$A,0)-1,0),0)*BE529+IFERROR(OFFSET(ITEM_RES!$S$1,MATCH(BH529,ITEM_RES!$A:$A,0)-1,0),0)*BJ529+IFERROR(OFFSET(ITEM_RES!$S$1,MATCH(BM529,ITEM_RES!$A:$A,0)-1,0),0)*BO529)/1000</f>
        <v>40.1</v>
      </c>
      <c r="AI529" s="182">
        <f t="shared" ca="1" si="155"/>
        <v>65</v>
      </c>
      <c r="AK529" s="11">
        <f t="shared" si="147"/>
        <v>25</v>
      </c>
      <c r="AL529" s="10">
        <v>25</v>
      </c>
      <c r="AM529" s="11">
        <f t="shared" si="154"/>
        <v>40</v>
      </c>
      <c r="AN529" s="10">
        <v>40</v>
      </c>
      <c r="AO529" s="11">
        <f t="shared" si="154"/>
        <v>0</v>
      </c>
      <c r="AP529" s="10">
        <v>0</v>
      </c>
      <c r="AQ529" s="56">
        <f t="shared" si="149"/>
        <v>1</v>
      </c>
      <c r="AS529" s="11">
        <f ca="1">IFERROR(OFFSET(ITEM_RES!$A$1,MATCH(AT529,ITEM_RES!$J:$J,0)-1,0),0)</f>
        <v>211020801</v>
      </c>
      <c r="AT529" s="10" t="s">
        <v>434</v>
      </c>
      <c r="AU529" s="11">
        <v>1</v>
      </c>
      <c r="AX529" s="11">
        <f ca="1">IFERROR(OFFSET(ITEM_RES!$A$1,MATCH(AY529,ITEM_RES!$J:$J,0)-1,0),0)</f>
        <v>0</v>
      </c>
      <c r="BC529" s="11">
        <f ca="1">IFERROR(OFFSET(ITEM_RES!$A$1,MATCH(BD529,ITEM_RES!$J:$J,0)-1,0),0)</f>
        <v>0</v>
      </c>
      <c r="BH529" s="11">
        <f ca="1">IFERROR(OFFSET(ITEM_RES!$A$1,MATCH(BI529,ITEM_RES!$J:$J,0)-1,0),0)</f>
        <v>0</v>
      </c>
      <c r="BM529" s="11">
        <f ca="1">IFERROR(OFFSET(ITEM_RES!$A$1,MATCH(BN529,ITEM_RES!$J:$J,0)-1,0),0)</f>
        <v>0</v>
      </c>
    </row>
    <row r="530" spans="1:65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1087</v>
      </c>
      <c r="M530" s="9">
        <v>1</v>
      </c>
      <c r="N530" s="9">
        <v>15</v>
      </c>
      <c r="O530" s="9" t="s">
        <v>1107</v>
      </c>
      <c r="S530" s="9">
        <v>4444</v>
      </c>
      <c r="V530" s="9">
        <f ca="1">IFERROR(OFFSET(ITEM_RES!$A$5,MATCH(BUILDING!U530,ITEM_RES!$J$5:$J$226,0)-1,0),0)</f>
        <v>0</v>
      </c>
      <c r="Y530" s="9">
        <f ca="1">IFERROR(OFFSET(ITEM_RES!$A$5,MATCH(BUILDING!X530,ITEM_RES!$J$5:$J$226,0)-1,0),0)</f>
        <v>0</v>
      </c>
      <c r="AA530" s="9" t="s">
        <v>379</v>
      </c>
      <c r="AB530" s="9">
        <v>6</v>
      </c>
      <c r="AD530" s="11">
        <f ca="1">IFERROR(OFFSET(MANOR_LEVEL!$B$1,MATCH(AE530-1,MANOR_LEVEL!$A:$A,0)-1,0),0)</f>
        <v>444</v>
      </c>
      <c r="AE530" s="56">
        <v>2</v>
      </c>
      <c r="AG530" s="56">
        <f t="shared" ca="1" si="148"/>
        <v>50</v>
      </c>
      <c r="AH530" s="10">
        <f ca="1">AM530+AO530+(IFERROR(OFFSET(ITEM_RES!$S$1,MATCH(AS530,ITEM_RES!$A:$A,0)-1,0),0)*AU530+IFERROR(OFFSET(ITEM_RES!$S$1,MATCH(AX530,ITEM_RES!$A:$A,0)-1,0),0)*AZ530+IFERROR(OFFSET(ITEM_RES!$S$1,MATCH(BC530,ITEM_RES!$A:$A,0)-1,0),0)*BE530+IFERROR(OFFSET(ITEM_RES!$S$1,MATCH(BH530,ITEM_RES!$A:$A,0)-1,0),0)*BJ530+IFERROR(OFFSET(ITEM_RES!$S$1,MATCH(BM530,ITEM_RES!$A:$A,0)-1,0),0)*BO530)/1000</f>
        <v>50.1</v>
      </c>
      <c r="AI530" s="182">
        <f t="shared" ca="1" si="155"/>
        <v>90</v>
      </c>
      <c r="AK530" s="11">
        <f t="shared" si="147"/>
        <v>30</v>
      </c>
      <c r="AL530" s="10">
        <v>30</v>
      </c>
      <c r="AM530" s="11">
        <f t="shared" si="154"/>
        <v>50</v>
      </c>
      <c r="AN530" s="10">
        <v>50</v>
      </c>
      <c r="AO530" s="11">
        <f t="shared" si="154"/>
        <v>0</v>
      </c>
      <c r="AP530" s="10">
        <v>0</v>
      </c>
      <c r="AQ530" s="56">
        <f t="shared" si="149"/>
        <v>1</v>
      </c>
      <c r="AS530" s="11">
        <f ca="1">IFERROR(OFFSET(ITEM_RES!$A$1,MATCH(AT530,ITEM_RES!$J:$J,0)-1,0),0)</f>
        <v>211020801</v>
      </c>
      <c r="AT530" s="10" t="s">
        <v>434</v>
      </c>
      <c r="AU530" s="11">
        <v>1</v>
      </c>
      <c r="AX530" s="11">
        <f ca="1">IFERROR(OFFSET(ITEM_RES!$A$1,MATCH(AY530,ITEM_RES!$J:$J,0)-1,0),0)</f>
        <v>0</v>
      </c>
      <c r="BC530" s="11">
        <f ca="1">IFERROR(OFFSET(ITEM_RES!$A$1,MATCH(BD530,ITEM_RES!$J:$J,0)-1,0),0)</f>
        <v>0</v>
      </c>
      <c r="BH530" s="11">
        <f ca="1">IFERROR(OFFSET(ITEM_RES!$A$1,MATCH(BI530,ITEM_RES!$J:$J,0)-1,0),0)</f>
        <v>0</v>
      </c>
      <c r="BM530" s="11">
        <f ca="1">IFERROR(OFFSET(ITEM_RES!$A$1,MATCH(BN530,ITEM_RES!$J:$J,0)-1,0),0)</f>
        <v>0</v>
      </c>
    </row>
    <row r="531" spans="1:65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1087</v>
      </c>
      <c r="M531" s="9">
        <v>1</v>
      </c>
      <c r="N531" s="9">
        <v>15</v>
      </c>
      <c r="O531" s="9" t="s">
        <v>1107</v>
      </c>
      <c r="S531" s="9">
        <v>4444</v>
      </c>
      <c r="V531" s="9">
        <f ca="1">IFERROR(OFFSET(ITEM_RES!$A$5,MATCH(BUILDING!U531,ITEM_RES!$J$5:$J$226,0)-1,0),0)</f>
        <v>0</v>
      </c>
      <c r="Y531" s="9">
        <f ca="1">IFERROR(OFFSET(ITEM_RES!$A$5,MATCH(BUILDING!X531,ITEM_RES!$J$5:$J$226,0)-1,0),0)</f>
        <v>0</v>
      </c>
      <c r="AA531" s="9" t="s">
        <v>379</v>
      </c>
      <c r="AB531" s="9">
        <v>7</v>
      </c>
      <c r="AD531" s="11">
        <f ca="1">IFERROR(OFFSET(MANOR_LEVEL!$B$1,MATCH(AE531-1,MANOR_LEVEL!$A:$A,0)-1,0),0)</f>
        <v>444</v>
      </c>
      <c r="AE531" s="56">
        <v>2</v>
      </c>
      <c r="AG531" s="56">
        <f t="shared" ca="1" si="148"/>
        <v>100</v>
      </c>
      <c r="AH531" s="10">
        <f ca="1">AM531+AO531+(IFERROR(OFFSET(ITEM_RES!$S$1,MATCH(AS531,ITEM_RES!$A:$A,0)-1,0),0)*AU531+IFERROR(OFFSET(ITEM_RES!$S$1,MATCH(AX531,ITEM_RES!$A:$A,0)-1,0),0)*AZ531+IFERROR(OFFSET(ITEM_RES!$S$1,MATCH(BC531,ITEM_RES!$A:$A,0)-1,0),0)*BE531+IFERROR(OFFSET(ITEM_RES!$S$1,MATCH(BH531,ITEM_RES!$A:$A,0)-1,0),0)*BJ531+IFERROR(OFFSET(ITEM_RES!$S$1,MATCH(BM531,ITEM_RES!$A:$A,0)-1,0),0)*BO531)/1000</f>
        <v>100.1</v>
      </c>
      <c r="AI531" s="182">
        <f t="shared" ca="1" si="155"/>
        <v>150</v>
      </c>
      <c r="AK531" s="11">
        <f t="shared" si="147"/>
        <v>35</v>
      </c>
      <c r="AL531" s="10">
        <v>35</v>
      </c>
      <c r="AM531" s="11">
        <f t="shared" si="154"/>
        <v>100</v>
      </c>
      <c r="AN531" s="10">
        <v>100</v>
      </c>
      <c r="AO531" s="11">
        <f t="shared" si="154"/>
        <v>0</v>
      </c>
      <c r="AP531" s="10">
        <v>0</v>
      </c>
      <c r="AQ531" s="56">
        <f t="shared" si="149"/>
        <v>1</v>
      </c>
      <c r="AS531" s="11">
        <f ca="1">IFERROR(OFFSET(ITEM_RES!$A$1,MATCH(AT531,ITEM_RES!$J:$J,0)-1,0),0)</f>
        <v>211020801</v>
      </c>
      <c r="AT531" s="10" t="s">
        <v>434</v>
      </c>
      <c r="AU531" s="11">
        <v>1</v>
      </c>
      <c r="AX531" s="11">
        <f ca="1">IFERROR(OFFSET(ITEM_RES!$A$1,MATCH(AY531,ITEM_RES!$J:$J,0)-1,0),0)</f>
        <v>0</v>
      </c>
      <c r="BC531" s="11">
        <f ca="1">IFERROR(OFFSET(ITEM_RES!$A$1,MATCH(BD531,ITEM_RES!$J:$J,0)-1,0),0)</f>
        <v>0</v>
      </c>
      <c r="BH531" s="11">
        <f ca="1">IFERROR(OFFSET(ITEM_RES!$A$1,MATCH(BI531,ITEM_RES!$J:$J,0)-1,0),0)</f>
        <v>0</v>
      </c>
      <c r="BM531" s="11">
        <f ca="1">IFERROR(OFFSET(ITEM_RES!$A$1,MATCH(BN531,ITEM_RES!$J:$J,0)-1,0),0)</f>
        <v>0</v>
      </c>
    </row>
    <row r="532" spans="1:65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1087</v>
      </c>
      <c r="M532" s="9">
        <v>1</v>
      </c>
      <c r="N532" s="9">
        <v>15</v>
      </c>
      <c r="O532" s="9" t="s">
        <v>1107</v>
      </c>
      <c r="S532" s="9">
        <v>4444</v>
      </c>
      <c r="V532" s="9">
        <f ca="1">IFERROR(OFFSET(ITEM_RES!$A$5,MATCH(BUILDING!U532,ITEM_RES!$J$5:$J$226,0)-1,0),0)</f>
        <v>0</v>
      </c>
      <c r="Y532" s="9">
        <f ca="1">IFERROR(OFFSET(ITEM_RES!$A$5,MATCH(BUILDING!X532,ITEM_RES!$J$5:$J$226,0)-1,0),0)</f>
        <v>0</v>
      </c>
      <c r="AA532" s="9" t="s">
        <v>379</v>
      </c>
      <c r="AB532" s="9">
        <v>8</v>
      </c>
      <c r="AD532" s="11">
        <f ca="1">IFERROR(OFFSET(MANOR_LEVEL!$B$1,MATCH(AE532-1,MANOR_LEVEL!$A:$A,0)-1,0),0)</f>
        <v>528</v>
      </c>
      <c r="AE532" s="56">
        <v>3</v>
      </c>
      <c r="AG532" s="56">
        <f t="shared" ca="1" si="148"/>
        <v>1100</v>
      </c>
      <c r="AH532" s="10">
        <f ca="1">AM532+AO532+(IFERROR(OFFSET(ITEM_RES!$S$1,MATCH(AS532,ITEM_RES!$A:$A,0)-1,0),0)*AU532+IFERROR(OFFSET(ITEM_RES!$S$1,MATCH(AX532,ITEM_RES!$A:$A,0)-1,0),0)*AZ532+IFERROR(OFFSET(ITEM_RES!$S$1,MATCH(BC532,ITEM_RES!$A:$A,0)-1,0),0)*BE532+IFERROR(OFFSET(ITEM_RES!$S$1,MATCH(BH532,ITEM_RES!$A:$A,0)-1,0),0)*BJ532+IFERROR(OFFSET(ITEM_RES!$S$1,MATCH(BM532,ITEM_RES!$A:$A,0)-1,0),0)*BO532)/1000</f>
        <v>1100.0999999999999</v>
      </c>
      <c r="AI532" s="182">
        <f t="shared" ca="1" si="155"/>
        <v>1200</v>
      </c>
      <c r="AK532" s="11">
        <f t="shared" si="147"/>
        <v>40</v>
      </c>
      <c r="AL532" s="10">
        <v>40</v>
      </c>
      <c r="AM532" s="11">
        <f t="shared" si="154"/>
        <v>100</v>
      </c>
      <c r="AN532" s="10">
        <v>100</v>
      </c>
      <c r="AO532" s="11">
        <f t="shared" si="154"/>
        <v>0</v>
      </c>
      <c r="AP532" s="10">
        <v>0</v>
      </c>
      <c r="AQ532" s="56">
        <f t="shared" si="149"/>
        <v>2</v>
      </c>
      <c r="AS532" s="11">
        <f ca="1">IFERROR(OFFSET(ITEM_RES!$A$1,MATCH(AT532,ITEM_RES!$J:$J,0)-1,0),0)</f>
        <v>211020801</v>
      </c>
      <c r="AT532" s="10" t="s">
        <v>434</v>
      </c>
      <c r="AU532" s="11">
        <v>1</v>
      </c>
      <c r="AX532" s="11">
        <f ca="1">IFERROR(OFFSET(ITEM_RES!$A$1,MATCH(AY532,ITEM_RES!$J:$J,0)-1,0),0)</f>
        <v>0</v>
      </c>
      <c r="BC532" s="11">
        <f ca="1">IFERROR(OFFSET(ITEM_RES!$A$1,MATCH(BD532,ITEM_RES!$J:$J,0)-1,0),0)</f>
        <v>0</v>
      </c>
      <c r="BH532" s="11">
        <f ca="1">IFERROR(OFFSET(ITEM_RES!$A$1,MATCH(BI532,ITEM_RES!$J:$J,0)-1,0),0)</f>
        <v>213011701</v>
      </c>
      <c r="BI532" s="10" t="s">
        <v>478</v>
      </c>
      <c r="BJ532" s="11">
        <v>1</v>
      </c>
      <c r="BM532" s="11">
        <f ca="1">IFERROR(OFFSET(ITEM_RES!$A$1,MATCH(BN532,ITEM_RES!$J:$J,0)-1,0),0)</f>
        <v>0</v>
      </c>
    </row>
    <row r="533" spans="1:65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1087</v>
      </c>
      <c r="M533" s="9">
        <v>1</v>
      </c>
      <c r="N533" s="9">
        <v>15</v>
      </c>
      <c r="O533" s="9" t="s">
        <v>1107</v>
      </c>
      <c r="S533" s="9">
        <v>4444</v>
      </c>
      <c r="V533" s="9">
        <f ca="1">IFERROR(OFFSET(ITEM_RES!$A$5,MATCH(BUILDING!U533,ITEM_RES!$J$5:$J$226,0)-1,0),0)</f>
        <v>0</v>
      </c>
      <c r="Y533" s="9">
        <f ca="1">IFERROR(OFFSET(ITEM_RES!$A$5,MATCH(BUILDING!X533,ITEM_RES!$J$5:$J$226,0)-1,0),0)</f>
        <v>0</v>
      </c>
      <c r="AA533" s="9" t="s">
        <v>379</v>
      </c>
      <c r="AB533" s="9">
        <v>9</v>
      </c>
      <c r="AD533" s="11">
        <f ca="1">IFERROR(OFFSET(MANOR_LEVEL!$B$1,MATCH(AE533-1,MANOR_LEVEL!$A:$A,0)-1,0),0)</f>
        <v>528</v>
      </c>
      <c r="AE533" s="56">
        <v>3</v>
      </c>
      <c r="AG533" s="56">
        <f t="shared" ca="1" si="148"/>
        <v>150</v>
      </c>
      <c r="AH533" s="10">
        <f ca="1">AM533+AO533+(IFERROR(OFFSET(ITEM_RES!$S$1,MATCH(AS533,ITEM_RES!$A:$A,0)-1,0),0)*AU533+IFERROR(OFFSET(ITEM_RES!$S$1,MATCH(AX533,ITEM_RES!$A:$A,0)-1,0),0)*AZ533+IFERROR(OFFSET(ITEM_RES!$S$1,MATCH(BC533,ITEM_RES!$A:$A,0)-1,0),0)*BE533+IFERROR(OFFSET(ITEM_RES!$S$1,MATCH(BH533,ITEM_RES!$A:$A,0)-1,0),0)*BJ533+IFERROR(OFFSET(ITEM_RES!$S$1,MATCH(BM533,ITEM_RES!$A:$A,0)-1,0),0)*BO533)/1000</f>
        <v>150.1</v>
      </c>
      <c r="AI533" s="182">
        <f t="shared" ca="1" si="155"/>
        <v>1250</v>
      </c>
      <c r="AK533" s="11">
        <f t="shared" si="147"/>
        <v>45</v>
      </c>
      <c r="AL533" s="10">
        <v>45</v>
      </c>
      <c r="AM533" s="11">
        <f t="shared" si="154"/>
        <v>150</v>
      </c>
      <c r="AN533" s="10">
        <v>150</v>
      </c>
      <c r="AO533" s="11">
        <f t="shared" si="154"/>
        <v>0</v>
      </c>
      <c r="AP533" s="10">
        <v>0</v>
      </c>
      <c r="AQ533" s="56">
        <f t="shared" si="149"/>
        <v>1</v>
      </c>
      <c r="AS533" s="11">
        <f ca="1">IFERROR(OFFSET(ITEM_RES!$A$1,MATCH(AT533,ITEM_RES!$J:$J,0)-1,0),0)</f>
        <v>211020801</v>
      </c>
      <c r="AT533" s="10" t="s">
        <v>434</v>
      </c>
      <c r="AU533" s="11">
        <v>1</v>
      </c>
      <c r="AX533" s="11">
        <f ca="1">IFERROR(OFFSET(ITEM_RES!$A$1,MATCH(AY533,ITEM_RES!$J:$J,0)-1,0),0)</f>
        <v>0</v>
      </c>
      <c r="BC533" s="11">
        <f ca="1">IFERROR(OFFSET(ITEM_RES!$A$1,MATCH(BD533,ITEM_RES!$J:$J,0)-1,0),0)</f>
        <v>0</v>
      </c>
      <c r="BH533" s="11">
        <f ca="1">IFERROR(OFFSET(ITEM_RES!$A$1,MATCH(BI533,ITEM_RES!$J:$J,0)-1,0),0)</f>
        <v>0</v>
      </c>
      <c r="BM533" s="11">
        <f ca="1">IFERROR(OFFSET(ITEM_RES!$A$1,MATCH(BN533,ITEM_RES!$J:$J,0)-1,0),0)</f>
        <v>0</v>
      </c>
    </row>
    <row r="534" spans="1:65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1087</v>
      </c>
      <c r="M534" s="9">
        <v>1</v>
      </c>
      <c r="N534" s="9">
        <v>15</v>
      </c>
      <c r="O534" s="9" t="s">
        <v>1107</v>
      </c>
      <c r="S534" s="9">
        <v>4444</v>
      </c>
      <c r="V534" s="9">
        <f ca="1">IFERROR(OFFSET(ITEM_RES!$A$5,MATCH(BUILDING!U534,ITEM_RES!$J$5:$J$226,0)-1,0),0)</f>
        <v>0</v>
      </c>
      <c r="Y534" s="9">
        <f ca="1">IFERROR(OFFSET(ITEM_RES!$A$5,MATCH(BUILDING!X534,ITEM_RES!$J$5:$J$226,0)-1,0),0)</f>
        <v>0</v>
      </c>
      <c r="AA534" s="9" t="s">
        <v>379</v>
      </c>
      <c r="AB534" s="9">
        <v>10</v>
      </c>
      <c r="AD534" s="11">
        <f ca="1">IFERROR(OFFSET(MANOR_LEVEL!$B$1,MATCH(AE534-1,MANOR_LEVEL!$A:$A,0)-1,0),0)</f>
        <v>528</v>
      </c>
      <c r="AE534" s="56">
        <v>3</v>
      </c>
      <c r="AG534" s="56">
        <f t="shared" ca="1" si="148"/>
        <v>200</v>
      </c>
      <c r="AH534" s="10">
        <f ca="1">AM534+AO534+(IFERROR(OFFSET(ITEM_RES!$S$1,MATCH(AS534,ITEM_RES!$A:$A,0)-1,0),0)*AU534+IFERROR(OFFSET(ITEM_RES!$S$1,MATCH(AX534,ITEM_RES!$A:$A,0)-1,0),0)*AZ534+IFERROR(OFFSET(ITEM_RES!$S$1,MATCH(BC534,ITEM_RES!$A:$A,0)-1,0),0)*BE534+IFERROR(OFFSET(ITEM_RES!$S$1,MATCH(BH534,ITEM_RES!$A:$A,0)-1,0),0)*BJ534+IFERROR(OFFSET(ITEM_RES!$S$1,MATCH(BM534,ITEM_RES!$A:$A,0)-1,0),0)*BO534)/1000</f>
        <v>200.1</v>
      </c>
      <c r="AI534" s="182">
        <f t="shared" ca="1" si="155"/>
        <v>350</v>
      </c>
      <c r="AK534" s="11">
        <f t="shared" si="147"/>
        <v>50</v>
      </c>
      <c r="AL534" s="10">
        <v>50</v>
      </c>
      <c r="AM534" s="11">
        <f t="shared" si="154"/>
        <v>200</v>
      </c>
      <c r="AN534" s="10">
        <v>200</v>
      </c>
      <c r="AO534" s="11">
        <f t="shared" si="154"/>
        <v>0</v>
      </c>
      <c r="AP534" s="10">
        <v>0</v>
      </c>
      <c r="AQ534" s="56">
        <f t="shared" si="149"/>
        <v>1</v>
      </c>
      <c r="AS534" s="11">
        <f ca="1">IFERROR(OFFSET(ITEM_RES!$A$1,MATCH(AT534,ITEM_RES!$J:$J,0)-1,0),0)</f>
        <v>211020801</v>
      </c>
      <c r="AT534" s="10" t="s">
        <v>434</v>
      </c>
      <c r="AU534" s="11">
        <v>1</v>
      </c>
      <c r="AX534" s="11">
        <f ca="1">IFERROR(OFFSET(ITEM_RES!$A$1,MATCH(AY534,ITEM_RES!$J:$J,0)-1,0),0)</f>
        <v>0</v>
      </c>
      <c r="BC534" s="11">
        <f ca="1">IFERROR(OFFSET(ITEM_RES!$A$1,MATCH(BD534,ITEM_RES!$J:$J,0)-1,0),0)</f>
        <v>0</v>
      </c>
      <c r="BH534" s="11">
        <f ca="1">IFERROR(OFFSET(ITEM_RES!$A$1,MATCH(BI534,ITEM_RES!$J:$J,0)-1,0),0)</f>
        <v>0</v>
      </c>
      <c r="BM534" s="11">
        <f ca="1">IFERROR(OFFSET(ITEM_RES!$A$1,MATCH(BN534,ITEM_RES!$J:$J,0)-1,0),0)</f>
        <v>0</v>
      </c>
    </row>
    <row r="535" spans="1:65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1087</v>
      </c>
      <c r="M535" s="9">
        <v>1</v>
      </c>
      <c r="N535" s="9">
        <v>15</v>
      </c>
      <c r="O535" s="9" t="s">
        <v>1107</v>
      </c>
      <c r="S535" s="9">
        <v>4444</v>
      </c>
      <c r="V535" s="9">
        <f ca="1">IFERROR(OFFSET(ITEM_RES!$A$5,MATCH(BUILDING!U535,ITEM_RES!$J$5:$J$226,0)-1,0),0)</f>
        <v>0</v>
      </c>
      <c r="Y535" s="9">
        <f ca="1">IFERROR(OFFSET(ITEM_RES!$A$5,MATCH(BUILDING!X535,ITEM_RES!$J$5:$J$226,0)-1,0),0)</f>
        <v>0</v>
      </c>
      <c r="AA535" s="9" t="s">
        <v>379</v>
      </c>
      <c r="AB535" s="9">
        <v>11</v>
      </c>
      <c r="AD535" s="11">
        <f ca="1">IFERROR(OFFSET(MANOR_LEVEL!$B$1,MATCH(AE535-1,MANOR_LEVEL!$A:$A,0)-1,0),0)</f>
        <v>528</v>
      </c>
      <c r="AE535" s="56">
        <v>3</v>
      </c>
      <c r="AG535" s="56">
        <f t="shared" ca="1" si="148"/>
        <v>250</v>
      </c>
      <c r="AH535" s="10">
        <f ca="1">AM535+AO535+(IFERROR(OFFSET(ITEM_RES!$S$1,MATCH(AS535,ITEM_RES!$A:$A,0)-1,0),0)*AU535+IFERROR(OFFSET(ITEM_RES!$S$1,MATCH(AX535,ITEM_RES!$A:$A,0)-1,0),0)*AZ535+IFERROR(OFFSET(ITEM_RES!$S$1,MATCH(BC535,ITEM_RES!$A:$A,0)-1,0),0)*BE535+IFERROR(OFFSET(ITEM_RES!$S$1,MATCH(BH535,ITEM_RES!$A:$A,0)-1,0),0)*BJ535+IFERROR(OFFSET(ITEM_RES!$S$1,MATCH(BM535,ITEM_RES!$A:$A,0)-1,0),0)*BO535)/1000</f>
        <v>250.1</v>
      </c>
      <c r="AI535" s="182">
        <f t="shared" ca="1" si="155"/>
        <v>450</v>
      </c>
      <c r="AK535" s="11">
        <f t="shared" si="147"/>
        <v>55</v>
      </c>
      <c r="AL535" s="10">
        <v>55</v>
      </c>
      <c r="AM535" s="11">
        <f t="shared" si="154"/>
        <v>250</v>
      </c>
      <c r="AN535" s="10">
        <v>250</v>
      </c>
      <c r="AO535" s="11">
        <f t="shared" si="154"/>
        <v>0</v>
      </c>
      <c r="AP535" s="10">
        <v>0</v>
      </c>
      <c r="AQ535" s="56">
        <f t="shared" si="149"/>
        <v>1</v>
      </c>
      <c r="AS535" s="11">
        <f ca="1">IFERROR(OFFSET(ITEM_RES!$A$1,MATCH(AT535,ITEM_RES!$J:$J,0)-1,0),0)</f>
        <v>211020801</v>
      </c>
      <c r="AT535" s="10" t="s">
        <v>434</v>
      </c>
      <c r="AU535" s="11">
        <v>1</v>
      </c>
      <c r="AX535" s="11">
        <f ca="1">IFERROR(OFFSET(ITEM_RES!$A$1,MATCH(AY535,ITEM_RES!$J:$J,0)-1,0),0)</f>
        <v>0</v>
      </c>
      <c r="BC535" s="11">
        <f ca="1">IFERROR(OFFSET(ITEM_RES!$A$1,MATCH(BD535,ITEM_RES!$J:$J,0)-1,0),0)</f>
        <v>0</v>
      </c>
      <c r="BH535" s="11">
        <f ca="1">IFERROR(OFFSET(ITEM_RES!$A$1,MATCH(BI535,ITEM_RES!$J:$J,0)-1,0),0)</f>
        <v>0</v>
      </c>
      <c r="BM535" s="11">
        <f ca="1">IFERROR(OFFSET(ITEM_RES!$A$1,MATCH(BN535,ITEM_RES!$J:$J,0)-1,0),0)</f>
        <v>0</v>
      </c>
    </row>
    <row r="536" spans="1:65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1087</v>
      </c>
      <c r="M536" s="9">
        <v>1</v>
      </c>
      <c r="N536" s="9">
        <v>15</v>
      </c>
      <c r="O536" s="9" t="s">
        <v>1107</v>
      </c>
      <c r="S536" s="9">
        <v>4444</v>
      </c>
      <c r="V536" s="9">
        <f ca="1">IFERROR(OFFSET(ITEM_RES!$A$5,MATCH(BUILDING!U536,ITEM_RES!$J$5:$J$226,0)-1,0),0)</f>
        <v>0</v>
      </c>
      <c r="Y536" s="9">
        <f ca="1">IFERROR(OFFSET(ITEM_RES!$A$5,MATCH(BUILDING!X536,ITEM_RES!$J$5:$J$226,0)-1,0),0)</f>
        <v>0</v>
      </c>
      <c r="AA536" s="9" t="s">
        <v>379</v>
      </c>
      <c r="AB536" s="9">
        <v>12</v>
      </c>
      <c r="AD536" s="11">
        <f ca="1">IFERROR(OFFSET(MANOR_LEVEL!$B$1,MATCH(AE536-1,MANOR_LEVEL!$A:$A,0)-1,0),0)</f>
        <v>800</v>
      </c>
      <c r="AE536" s="56">
        <v>4</v>
      </c>
      <c r="AG536" s="56">
        <f t="shared" ca="1" si="148"/>
        <v>300</v>
      </c>
      <c r="AH536" s="10">
        <f ca="1">AM536+AO536+(IFERROR(OFFSET(ITEM_RES!$S$1,MATCH(AS536,ITEM_RES!$A:$A,0)-1,0),0)*AU536+IFERROR(OFFSET(ITEM_RES!$S$1,MATCH(AX536,ITEM_RES!$A:$A,0)-1,0),0)*AZ536+IFERROR(OFFSET(ITEM_RES!$S$1,MATCH(BC536,ITEM_RES!$A:$A,0)-1,0),0)*BE536+IFERROR(OFFSET(ITEM_RES!$S$1,MATCH(BH536,ITEM_RES!$A:$A,0)-1,0),0)*BJ536+IFERROR(OFFSET(ITEM_RES!$S$1,MATCH(BM536,ITEM_RES!$A:$A,0)-1,0),0)*BO536)/1000</f>
        <v>300.10000000000002</v>
      </c>
      <c r="AI536" s="182">
        <f t="shared" ca="1" si="155"/>
        <v>550</v>
      </c>
      <c r="AK536" s="11">
        <f t="shared" si="147"/>
        <v>60</v>
      </c>
      <c r="AL536" s="10">
        <v>60</v>
      </c>
      <c r="AM536" s="11">
        <f t="shared" si="154"/>
        <v>300</v>
      </c>
      <c r="AN536" s="10">
        <v>300</v>
      </c>
      <c r="AO536" s="11">
        <f t="shared" si="154"/>
        <v>0</v>
      </c>
      <c r="AP536" s="10">
        <v>0</v>
      </c>
      <c r="AQ536" s="56">
        <f t="shared" si="149"/>
        <v>1</v>
      </c>
      <c r="AS536" s="11">
        <f ca="1">IFERROR(OFFSET(ITEM_RES!$A$1,MATCH(AT536,ITEM_RES!$J:$J,0)-1,0),0)</f>
        <v>211020801</v>
      </c>
      <c r="AT536" s="10" t="s">
        <v>434</v>
      </c>
      <c r="AU536" s="11">
        <v>1</v>
      </c>
      <c r="AX536" s="11">
        <f ca="1">IFERROR(OFFSET(ITEM_RES!$A$1,MATCH(AY536,ITEM_RES!$J:$J,0)-1,0),0)</f>
        <v>0</v>
      </c>
      <c r="BC536" s="11">
        <f ca="1">IFERROR(OFFSET(ITEM_RES!$A$1,MATCH(BD536,ITEM_RES!$J:$J,0)-1,0),0)</f>
        <v>0</v>
      </c>
      <c r="BH536" s="11">
        <f ca="1">IFERROR(OFFSET(ITEM_RES!$A$1,MATCH(BI536,ITEM_RES!$J:$J,0)-1,0),0)</f>
        <v>0</v>
      </c>
      <c r="BM536" s="11">
        <f ca="1">IFERROR(OFFSET(ITEM_RES!$A$1,MATCH(BN536,ITEM_RES!$J:$J,0)-1,0),0)</f>
        <v>0</v>
      </c>
    </row>
    <row r="537" spans="1:65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1087</v>
      </c>
      <c r="M537" s="9">
        <v>1</v>
      </c>
      <c r="N537" s="9">
        <v>15</v>
      </c>
      <c r="O537" s="9" t="s">
        <v>1107</v>
      </c>
      <c r="S537" s="9">
        <v>4444</v>
      </c>
      <c r="V537" s="9">
        <f ca="1">IFERROR(OFFSET(ITEM_RES!$A$5,MATCH(BUILDING!U537,ITEM_RES!$J$5:$J$226,0)-1,0),0)</f>
        <v>0</v>
      </c>
      <c r="Y537" s="9">
        <f ca="1">IFERROR(OFFSET(ITEM_RES!$A$5,MATCH(BUILDING!X537,ITEM_RES!$J$5:$J$226,0)-1,0),0)</f>
        <v>0</v>
      </c>
      <c r="AA537" s="9" t="s">
        <v>379</v>
      </c>
      <c r="AB537" s="9">
        <v>13</v>
      </c>
      <c r="AD537" s="11">
        <f ca="1">IFERROR(OFFSET(MANOR_LEVEL!$B$1,MATCH(AE537-1,MANOR_LEVEL!$A:$A,0)-1,0),0)</f>
        <v>800</v>
      </c>
      <c r="AE537" s="56">
        <v>4</v>
      </c>
      <c r="AG537" s="56">
        <f t="shared" ca="1" si="148"/>
        <v>350</v>
      </c>
      <c r="AH537" s="10">
        <f ca="1">AM537+AO537+(IFERROR(OFFSET(ITEM_RES!$S$1,MATCH(AS537,ITEM_RES!$A:$A,0)-1,0),0)*AU537+IFERROR(OFFSET(ITEM_RES!$S$1,MATCH(AX537,ITEM_RES!$A:$A,0)-1,0),0)*AZ537+IFERROR(OFFSET(ITEM_RES!$S$1,MATCH(BC537,ITEM_RES!$A:$A,0)-1,0),0)*BE537+IFERROR(OFFSET(ITEM_RES!$S$1,MATCH(BH537,ITEM_RES!$A:$A,0)-1,0),0)*BJ537+IFERROR(OFFSET(ITEM_RES!$S$1,MATCH(BM537,ITEM_RES!$A:$A,0)-1,0),0)*BO537)/1000</f>
        <v>350.1</v>
      </c>
      <c r="AI537" s="182">
        <f t="shared" ca="1" si="155"/>
        <v>650</v>
      </c>
      <c r="AK537" s="11">
        <f t="shared" si="147"/>
        <v>65</v>
      </c>
      <c r="AL537" s="10">
        <v>65</v>
      </c>
      <c r="AM537" s="11">
        <f t="shared" si="154"/>
        <v>350</v>
      </c>
      <c r="AN537" s="10">
        <v>350</v>
      </c>
      <c r="AO537" s="11">
        <f t="shared" si="154"/>
        <v>0</v>
      </c>
      <c r="AP537" s="10">
        <v>0</v>
      </c>
      <c r="AQ537" s="56">
        <f t="shared" si="149"/>
        <v>1</v>
      </c>
      <c r="AS537" s="11">
        <f ca="1">IFERROR(OFFSET(ITEM_RES!$A$1,MATCH(AT537,ITEM_RES!$J:$J,0)-1,0),0)</f>
        <v>211020801</v>
      </c>
      <c r="AT537" s="10" t="s">
        <v>434</v>
      </c>
      <c r="AU537" s="11">
        <v>1</v>
      </c>
      <c r="AX537" s="11">
        <f ca="1">IFERROR(OFFSET(ITEM_RES!$A$1,MATCH(AY537,ITEM_RES!$J:$J,0)-1,0),0)</f>
        <v>0</v>
      </c>
      <c r="BC537" s="11">
        <f ca="1">IFERROR(OFFSET(ITEM_RES!$A$1,MATCH(BD537,ITEM_RES!$J:$J,0)-1,0),0)</f>
        <v>0</v>
      </c>
      <c r="BH537" s="11">
        <f ca="1">IFERROR(OFFSET(ITEM_RES!$A$1,MATCH(BI537,ITEM_RES!$J:$J,0)-1,0),0)</f>
        <v>0</v>
      </c>
      <c r="BM537" s="11">
        <f ca="1">IFERROR(OFFSET(ITEM_RES!$A$1,MATCH(BN537,ITEM_RES!$J:$J,0)-1,0),0)</f>
        <v>0</v>
      </c>
    </row>
    <row r="538" spans="1:65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1087</v>
      </c>
      <c r="M538" s="9">
        <v>1</v>
      </c>
      <c r="N538" s="9">
        <v>15</v>
      </c>
      <c r="O538" s="9" t="s">
        <v>1107</v>
      </c>
      <c r="S538" s="9">
        <v>4444</v>
      </c>
      <c r="V538" s="9">
        <f ca="1">IFERROR(OFFSET(ITEM_RES!$A$5,MATCH(BUILDING!U538,ITEM_RES!$J$5:$J$226,0)-1,0),0)</f>
        <v>0</v>
      </c>
      <c r="Y538" s="9">
        <f ca="1">IFERROR(OFFSET(ITEM_RES!$A$5,MATCH(BUILDING!X538,ITEM_RES!$J$5:$J$226,0)-1,0),0)</f>
        <v>0</v>
      </c>
      <c r="AA538" s="9" t="s">
        <v>379</v>
      </c>
      <c r="AB538" s="9">
        <v>14</v>
      </c>
      <c r="AD538" s="11">
        <f ca="1">IFERROR(OFFSET(MANOR_LEVEL!$B$1,MATCH(AE538-1,MANOR_LEVEL!$A:$A,0)-1,0),0)</f>
        <v>800</v>
      </c>
      <c r="AE538" s="56">
        <v>4</v>
      </c>
      <c r="AG538" s="56">
        <f t="shared" ca="1" si="148"/>
        <v>450</v>
      </c>
      <c r="AH538" s="10">
        <f ca="1">AM538+AO538+(IFERROR(OFFSET(ITEM_RES!$S$1,MATCH(AS538,ITEM_RES!$A:$A,0)-1,0),0)*AU538+IFERROR(OFFSET(ITEM_RES!$S$1,MATCH(AX538,ITEM_RES!$A:$A,0)-1,0),0)*AZ538+IFERROR(OFFSET(ITEM_RES!$S$1,MATCH(BC538,ITEM_RES!$A:$A,0)-1,0),0)*BE538+IFERROR(OFFSET(ITEM_RES!$S$1,MATCH(BH538,ITEM_RES!$A:$A,0)-1,0),0)*BJ538+IFERROR(OFFSET(ITEM_RES!$S$1,MATCH(BM538,ITEM_RES!$A:$A,0)-1,0),0)*BO538)/1000</f>
        <v>450.2</v>
      </c>
      <c r="AI538" s="182">
        <f t="shared" ca="1" si="155"/>
        <v>800</v>
      </c>
      <c r="AK538" s="11">
        <f t="shared" si="147"/>
        <v>70</v>
      </c>
      <c r="AL538" s="10">
        <v>70</v>
      </c>
      <c r="AM538" s="11">
        <f t="shared" si="154"/>
        <v>450</v>
      </c>
      <c r="AN538" s="10">
        <v>450</v>
      </c>
      <c r="AO538" s="11">
        <f t="shared" si="154"/>
        <v>0</v>
      </c>
      <c r="AP538" s="10">
        <v>0</v>
      </c>
      <c r="AQ538" s="56">
        <f t="shared" si="149"/>
        <v>1</v>
      </c>
      <c r="AS538" s="11">
        <f ca="1">IFERROR(OFFSET(ITEM_RES!$A$1,MATCH(AT538,ITEM_RES!$J:$J,0)-1,0),0)</f>
        <v>211020901</v>
      </c>
      <c r="AT538" s="10" t="s">
        <v>444</v>
      </c>
      <c r="AU538" s="11">
        <v>1</v>
      </c>
      <c r="AX538" s="11">
        <f ca="1">IFERROR(OFFSET(ITEM_RES!$A$1,MATCH(AY538,ITEM_RES!$J:$J,0)-1,0),0)</f>
        <v>0</v>
      </c>
      <c r="BC538" s="11">
        <f ca="1">IFERROR(OFFSET(ITEM_RES!$A$1,MATCH(BD538,ITEM_RES!$J:$J,0)-1,0),0)</f>
        <v>0</v>
      </c>
      <c r="BH538" s="11">
        <f ca="1">IFERROR(OFFSET(ITEM_RES!$A$1,MATCH(BI538,ITEM_RES!$J:$J,0)-1,0),0)</f>
        <v>0</v>
      </c>
      <c r="BM538" s="11">
        <f ca="1">IFERROR(OFFSET(ITEM_RES!$A$1,MATCH(BN538,ITEM_RES!$J:$J,0)-1,0),0)</f>
        <v>0</v>
      </c>
    </row>
    <row r="539" spans="1:65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1087</v>
      </c>
      <c r="M539" s="9">
        <v>1</v>
      </c>
      <c r="N539" s="9">
        <v>15</v>
      </c>
      <c r="O539" s="9" t="s">
        <v>1107</v>
      </c>
      <c r="S539" s="9">
        <v>4444</v>
      </c>
      <c r="V539" s="9">
        <f ca="1">IFERROR(OFFSET(ITEM_RES!$A$5,MATCH(BUILDING!U539,ITEM_RES!$J$5:$J$226,0)-1,0),0)</f>
        <v>0</v>
      </c>
      <c r="Y539" s="9">
        <f ca="1">IFERROR(OFFSET(ITEM_RES!$A$5,MATCH(BUILDING!X539,ITEM_RES!$J$5:$J$226,0)-1,0),0)</f>
        <v>0</v>
      </c>
      <c r="AA539" s="9" t="s">
        <v>379</v>
      </c>
      <c r="AB539" s="9">
        <v>15</v>
      </c>
      <c r="AD539" s="11">
        <f ca="1">IFERROR(OFFSET(MANOR_LEVEL!$B$1,MATCH(AE539-1,MANOR_LEVEL!$A:$A,0)-1,0),0)</f>
        <v>1500</v>
      </c>
      <c r="AE539" s="56">
        <v>5</v>
      </c>
      <c r="AG539" s="56">
        <f t="shared" ca="1" si="148"/>
        <v>550</v>
      </c>
      <c r="AH539" s="10">
        <f ca="1">AM539+AO539+(IFERROR(OFFSET(ITEM_RES!$S$1,MATCH(AS539,ITEM_RES!$A:$A,0)-1,0),0)*AU539+IFERROR(OFFSET(ITEM_RES!$S$1,MATCH(AX539,ITEM_RES!$A:$A,0)-1,0),0)*AZ539+IFERROR(OFFSET(ITEM_RES!$S$1,MATCH(BC539,ITEM_RES!$A:$A,0)-1,0),0)*BE539+IFERROR(OFFSET(ITEM_RES!$S$1,MATCH(BH539,ITEM_RES!$A:$A,0)-1,0),0)*BJ539+IFERROR(OFFSET(ITEM_RES!$S$1,MATCH(BM539,ITEM_RES!$A:$A,0)-1,0),0)*BO539)/1000</f>
        <v>550.20000000000005</v>
      </c>
      <c r="AI539" s="182">
        <f t="shared" ca="1" si="155"/>
        <v>1000</v>
      </c>
      <c r="AK539" s="11">
        <f t="shared" si="147"/>
        <v>75</v>
      </c>
      <c r="AL539" s="10">
        <v>75</v>
      </c>
      <c r="AM539" s="11">
        <f t="shared" si="154"/>
        <v>550</v>
      </c>
      <c r="AN539" s="10">
        <v>550</v>
      </c>
      <c r="AO539" s="11">
        <f t="shared" si="154"/>
        <v>0</v>
      </c>
      <c r="AP539" s="10">
        <v>0</v>
      </c>
      <c r="AQ539" s="56">
        <f t="shared" si="149"/>
        <v>1</v>
      </c>
      <c r="AS539" s="11">
        <f ca="1">IFERROR(OFFSET(ITEM_RES!$A$1,MATCH(AT539,ITEM_RES!$J:$J,0)-1,0),0)</f>
        <v>211020901</v>
      </c>
      <c r="AT539" s="10" t="s">
        <v>444</v>
      </c>
      <c r="AU539" s="11">
        <v>1</v>
      </c>
      <c r="AX539" s="11">
        <f ca="1">IFERROR(OFFSET(ITEM_RES!$A$1,MATCH(AY539,ITEM_RES!$J:$J,0)-1,0),0)</f>
        <v>0</v>
      </c>
      <c r="BC539" s="11">
        <f ca="1">IFERROR(OFFSET(ITEM_RES!$A$1,MATCH(BD539,ITEM_RES!$J:$J,0)-1,0),0)</f>
        <v>0</v>
      </c>
      <c r="BH539" s="11">
        <f ca="1">IFERROR(OFFSET(ITEM_RES!$A$1,MATCH(BI539,ITEM_RES!$J:$J,0)-1,0),0)</f>
        <v>0</v>
      </c>
      <c r="BM539" s="11">
        <f ca="1">IFERROR(OFFSET(ITEM_RES!$A$1,MATCH(BN539,ITEM_RES!$J:$J,0)-1,0),0)</f>
        <v>0</v>
      </c>
    </row>
    <row r="540" spans="1:65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1087</v>
      </c>
      <c r="M540" s="9">
        <v>0</v>
      </c>
      <c r="N540" s="9">
        <v>15</v>
      </c>
      <c r="O540" s="9" t="s">
        <v>1107</v>
      </c>
      <c r="S540" s="9">
        <v>4444</v>
      </c>
      <c r="V540" s="9">
        <f ca="1">IFERROR(OFFSET(ITEM_RES!$A$5,MATCH(BUILDING!U540,ITEM_RES!$J$5:$J$226,0)-1,0),0)</f>
        <v>0</v>
      </c>
      <c r="Y540" s="9">
        <f ca="1">IFERROR(OFFSET(ITEM_RES!$A$5,MATCH(BUILDING!X540,ITEM_RES!$J$5:$J$226,0)-1,0),0)</f>
        <v>0</v>
      </c>
      <c r="AA540" s="9" t="s">
        <v>379</v>
      </c>
      <c r="AB540" s="9">
        <v>16</v>
      </c>
      <c r="AD540" s="11">
        <f ca="1">IFERROR(OFFSET(MANOR_LEVEL!$B$1,MATCH(AE540-1,MANOR_LEVEL!$A:$A,0)-1,0),0)</f>
        <v>1500</v>
      </c>
      <c r="AE540" s="56">
        <v>5</v>
      </c>
      <c r="AG540" s="56">
        <f t="shared" ca="1" si="148"/>
        <v>700</v>
      </c>
      <c r="AH540" s="10">
        <f ca="1">AM540+AO540+(IFERROR(OFFSET(ITEM_RES!$S$1,MATCH(AS540,ITEM_RES!$A:$A,0)-1,0),0)*AU540+IFERROR(OFFSET(ITEM_RES!$S$1,MATCH(AX540,ITEM_RES!$A:$A,0)-1,0),0)*AZ540+IFERROR(OFFSET(ITEM_RES!$S$1,MATCH(BC540,ITEM_RES!$A:$A,0)-1,0),0)*BE540+IFERROR(OFFSET(ITEM_RES!$S$1,MATCH(BH540,ITEM_RES!$A:$A,0)-1,0),0)*BJ540+IFERROR(OFFSET(ITEM_RES!$S$1,MATCH(BM540,ITEM_RES!$A:$A,0)-1,0),0)*BO540)/1000</f>
        <v>700.2</v>
      </c>
      <c r="AI540" s="182">
        <f t="shared" ca="1" si="155"/>
        <v>1250</v>
      </c>
      <c r="AK540" s="11">
        <f t="shared" si="147"/>
        <v>80</v>
      </c>
      <c r="AL540" s="10">
        <v>80</v>
      </c>
      <c r="AM540" s="11">
        <f t="shared" si="154"/>
        <v>700</v>
      </c>
      <c r="AN540" s="10">
        <v>700</v>
      </c>
      <c r="AO540" s="11">
        <f t="shared" si="154"/>
        <v>0</v>
      </c>
      <c r="AP540" s="10">
        <v>0</v>
      </c>
      <c r="AQ540" s="56">
        <f t="shared" si="149"/>
        <v>1</v>
      </c>
      <c r="AS540" s="11">
        <f ca="1">IFERROR(OFFSET(ITEM_RES!$A$1,MATCH(AT540,ITEM_RES!$J:$J,0)-1,0),0)</f>
        <v>211020901</v>
      </c>
      <c r="AT540" s="10" t="s">
        <v>444</v>
      </c>
      <c r="AU540" s="11">
        <v>1</v>
      </c>
      <c r="AX540" s="11">
        <f ca="1">IFERROR(OFFSET(ITEM_RES!$A$1,MATCH(AY540,ITEM_RES!$J:$J,0)-1,0),0)</f>
        <v>0</v>
      </c>
      <c r="BC540" s="11">
        <f ca="1">IFERROR(OFFSET(ITEM_RES!$A$1,MATCH(BD540,ITEM_RES!$J:$J,0)-1,0),0)</f>
        <v>0</v>
      </c>
      <c r="BH540" s="11">
        <f ca="1">IFERROR(OFFSET(ITEM_RES!$A$1,MATCH(BI540,ITEM_RES!$J:$J,0)-1,0),0)</f>
        <v>0</v>
      </c>
      <c r="BM540" s="11">
        <f ca="1">IFERROR(OFFSET(ITEM_RES!$A$1,MATCH(BN540,ITEM_RES!$J:$J,0)-1,0),0)</f>
        <v>0</v>
      </c>
    </row>
    <row r="541" spans="1:65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1087</v>
      </c>
      <c r="M541" s="9">
        <v>0</v>
      </c>
      <c r="N541" s="9">
        <v>15</v>
      </c>
      <c r="O541" s="9" t="s">
        <v>1107</v>
      </c>
      <c r="S541" s="9">
        <v>4444</v>
      </c>
      <c r="V541" s="9">
        <f ca="1">IFERROR(OFFSET(ITEM_RES!$A$5,MATCH(BUILDING!U541,ITEM_RES!$J$5:$J$226,0)-1,0),0)</f>
        <v>0</v>
      </c>
      <c r="Y541" s="9">
        <f ca="1">IFERROR(OFFSET(ITEM_RES!$A$5,MATCH(BUILDING!X541,ITEM_RES!$J$5:$J$226,0)-1,0),0)</f>
        <v>0</v>
      </c>
      <c r="AA541" s="9" t="s">
        <v>379</v>
      </c>
      <c r="AB541" s="9">
        <v>17</v>
      </c>
      <c r="AD541" s="11">
        <f ca="1">IFERROR(OFFSET(MANOR_LEVEL!$B$1,MATCH(AE541-1,MANOR_LEVEL!$A:$A,0)-1,0),0)</f>
        <v>3872</v>
      </c>
      <c r="AE541" s="56">
        <v>6</v>
      </c>
      <c r="AG541" s="56">
        <f t="shared" ca="1" si="148"/>
        <v>850</v>
      </c>
      <c r="AH541" s="10">
        <f ca="1">AM541+AO541+(IFERROR(OFFSET(ITEM_RES!$S$1,MATCH(AS541,ITEM_RES!$A:$A,0)-1,0),0)*AU541+IFERROR(OFFSET(ITEM_RES!$S$1,MATCH(AX541,ITEM_RES!$A:$A,0)-1,0),0)*AZ541+IFERROR(OFFSET(ITEM_RES!$S$1,MATCH(BC541,ITEM_RES!$A:$A,0)-1,0),0)*BE541+IFERROR(OFFSET(ITEM_RES!$S$1,MATCH(BH541,ITEM_RES!$A:$A,0)-1,0),0)*BJ541+IFERROR(OFFSET(ITEM_RES!$S$1,MATCH(BM541,ITEM_RES!$A:$A,0)-1,0),0)*BO541)/1000</f>
        <v>850.2</v>
      </c>
      <c r="AI541" s="182">
        <f t="shared" ca="1" si="155"/>
        <v>1550</v>
      </c>
      <c r="AK541" s="11">
        <f t="shared" si="147"/>
        <v>85</v>
      </c>
      <c r="AL541" s="10">
        <v>85</v>
      </c>
      <c r="AM541" s="11">
        <f t="shared" si="154"/>
        <v>850</v>
      </c>
      <c r="AN541" s="10">
        <v>850</v>
      </c>
      <c r="AO541" s="11">
        <f t="shared" si="154"/>
        <v>0</v>
      </c>
      <c r="AP541" s="10">
        <v>0</v>
      </c>
      <c r="AQ541" s="56">
        <f t="shared" si="149"/>
        <v>1</v>
      </c>
      <c r="AS541" s="11">
        <f ca="1">IFERROR(OFFSET(ITEM_RES!$A$1,MATCH(AT541,ITEM_RES!$J:$J,0)-1,0),0)</f>
        <v>211020901</v>
      </c>
      <c r="AT541" s="10" t="s">
        <v>444</v>
      </c>
      <c r="AU541" s="11">
        <v>1</v>
      </c>
      <c r="AX541" s="11">
        <f ca="1">IFERROR(OFFSET(ITEM_RES!$A$1,MATCH(AY541,ITEM_RES!$J:$J,0)-1,0),0)</f>
        <v>0</v>
      </c>
      <c r="BC541" s="11">
        <f ca="1">IFERROR(OFFSET(ITEM_RES!$A$1,MATCH(BD541,ITEM_RES!$J:$J,0)-1,0),0)</f>
        <v>0</v>
      </c>
      <c r="BH541" s="11">
        <f ca="1">IFERROR(OFFSET(ITEM_RES!$A$1,MATCH(BI541,ITEM_RES!$J:$J,0)-1,0),0)</f>
        <v>0</v>
      </c>
      <c r="BM541" s="11">
        <f ca="1">IFERROR(OFFSET(ITEM_RES!$A$1,MATCH(BN541,ITEM_RES!$J:$J,0)-1,0),0)</f>
        <v>0</v>
      </c>
    </row>
    <row r="542" spans="1:65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1087</v>
      </c>
      <c r="M542" s="9">
        <v>0</v>
      </c>
      <c r="N542" s="9">
        <v>15</v>
      </c>
      <c r="O542" s="9" t="s">
        <v>1107</v>
      </c>
      <c r="S542" s="9">
        <v>4444</v>
      </c>
      <c r="V542" s="9">
        <f ca="1">IFERROR(OFFSET(ITEM_RES!$A$5,MATCH(BUILDING!U542,ITEM_RES!$J$5:$J$226,0)-1,0),0)</f>
        <v>0</v>
      </c>
      <c r="Y542" s="9">
        <f ca="1">IFERROR(OFFSET(ITEM_RES!$A$5,MATCH(BUILDING!X542,ITEM_RES!$J$5:$J$226,0)-1,0),0)</f>
        <v>0</v>
      </c>
      <c r="AA542" s="9" t="s">
        <v>379</v>
      </c>
      <c r="AB542" s="9">
        <v>18</v>
      </c>
      <c r="AD542" s="11">
        <f ca="1">IFERROR(OFFSET(MANOR_LEVEL!$B$1,MATCH(AE542-1,MANOR_LEVEL!$A:$A,0)-1,0),0)</f>
        <v>32640</v>
      </c>
      <c r="AE542" s="56">
        <v>7</v>
      </c>
      <c r="AG542" s="56">
        <f t="shared" ca="1" si="148"/>
        <v>1050</v>
      </c>
      <c r="AH542" s="10">
        <f ca="1">AM542+AO542+(IFERROR(OFFSET(ITEM_RES!$S$1,MATCH(AS542,ITEM_RES!$A:$A,0)-1,0),0)*AU542+IFERROR(OFFSET(ITEM_RES!$S$1,MATCH(AX542,ITEM_RES!$A:$A,0)-1,0),0)*AZ542+IFERROR(OFFSET(ITEM_RES!$S$1,MATCH(BC542,ITEM_RES!$A:$A,0)-1,0),0)*BE542+IFERROR(OFFSET(ITEM_RES!$S$1,MATCH(BH542,ITEM_RES!$A:$A,0)-1,0),0)*BJ542+IFERROR(OFFSET(ITEM_RES!$S$1,MATCH(BM542,ITEM_RES!$A:$A,0)-1,0),0)*BO542)/1000</f>
        <v>1050.2</v>
      </c>
      <c r="AI542" s="182">
        <f t="shared" ca="1" si="155"/>
        <v>1900</v>
      </c>
      <c r="AK542" s="11">
        <f t="shared" si="147"/>
        <v>90</v>
      </c>
      <c r="AL542" s="10">
        <v>90</v>
      </c>
      <c r="AM542" s="11">
        <f t="shared" si="154"/>
        <v>1050</v>
      </c>
      <c r="AN542" s="10">
        <v>1050</v>
      </c>
      <c r="AO542" s="11">
        <f t="shared" si="154"/>
        <v>0</v>
      </c>
      <c r="AP542" s="10">
        <v>0</v>
      </c>
      <c r="AQ542" s="56">
        <f t="shared" si="149"/>
        <v>1</v>
      </c>
      <c r="AS542" s="11">
        <f ca="1">IFERROR(OFFSET(ITEM_RES!$A$1,MATCH(AT542,ITEM_RES!$J:$J,0)-1,0),0)</f>
        <v>211020901</v>
      </c>
      <c r="AT542" s="10" t="s">
        <v>444</v>
      </c>
      <c r="AU542" s="11">
        <v>1</v>
      </c>
      <c r="AX542" s="11">
        <f ca="1">IFERROR(OFFSET(ITEM_RES!$A$1,MATCH(AY542,ITEM_RES!$J:$J,0)-1,0),0)</f>
        <v>0</v>
      </c>
      <c r="BC542" s="11">
        <f ca="1">IFERROR(OFFSET(ITEM_RES!$A$1,MATCH(BD542,ITEM_RES!$J:$J,0)-1,0),0)</f>
        <v>0</v>
      </c>
      <c r="BH542" s="11">
        <f ca="1">IFERROR(OFFSET(ITEM_RES!$A$1,MATCH(BI542,ITEM_RES!$J:$J,0)-1,0),0)</f>
        <v>0</v>
      </c>
      <c r="BM542" s="11">
        <f ca="1">IFERROR(OFFSET(ITEM_RES!$A$1,MATCH(BN542,ITEM_RES!$J:$J,0)-1,0),0)</f>
        <v>0</v>
      </c>
    </row>
    <row r="543" spans="1:65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1087</v>
      </c>
      <c r="M543" s="9">
        <v>0</v>
      </c>
      <c r="N543" s="9">
        <v>15</v>
      </c>
      <c r="O543" s="9" t="s">
        <v>1107</v>
      </c>
      <c r="S543" s="9">
        <v>4444</v>
      </c>
      <c r="V543" s="9">
        <f ca="1">IFERROR(OFFSET(ITEM_RES!$A$5,MATCH(BUILDING!U543,ITEM_RES!$J$5:$J$226,0)-1,0),0)</f>
        <v>0</v>
      </c>
      <c r="Y543" s="9">
        <f ca="1">IFERROR(OFFSET(ITEM_RES!$A$5,MATCH(BUILDING!X543,ITEM_RES!$J$5:$J$226,0)-1,0),0)</f>
        <v>0</v>
      </c>
      <c r="AA543" s="9" t="s">
        <v>379</v>
      </c>
      <c r="AB543" s="9">
        <v>19</v>
      </c>
      <c r="AD543" s="11">
        <f ca="1">IFERROR(OFFSET(MANOR_LEVEL!$B$1,MATCH(AE543-1,MANOR_LEVEL!$A:$A,0)-1,0),0)</f>
        <v>32640</v>
      </c>
      <c r="AE543" s="56">
        <v>7</v>
      </c>
      <c r="AG543" s="56">
        <f t="shared" ca="1" si="148"/>
        <v>1250</v>
      </c>
      <c r="AH543" s="10">
        <f ca="1">AM543+AO543+(IFERROR(OFFSET(ITEM_RES!$S$1,MATCH(AS543,ITEM_RES!$A:$A,0)-1,0),0)*AU543+IFERROR(OFFSET(ITEM_RES!$S$1,MATCH(AX543,ITEM_RES!$A:$A,0)-1,0),0)*AZ543+IFERROR(OFFSET(ITEM_RES!$S$1,MATCH(BC543,ITEM_RES!$A:$A,0)-1,0),0)*BE543+IFERROR(OFFSET(ITEM_RES!$S$1,MATCH(BH543,ITEM_RES!$A:$A,0)-1,0),0)*BJ543+IFERROR(OFFSET(ITEM_RES!$S$1,MATCH(BM543,ITEM_RES!$A:$A,0)-1,0),0)*BO543)/1000</f>
        <v>1250.2</v>
      </c>
      <c r="AI543" s="182">
        <f t="shared" ca="1" si="155"/>
        <v>2300</v>
      </c>
      <c r="AK543" s="11">
        <f t="shared" si="147"/>
        <v>95</v>
      </c>
      <c r="AL543" s="10">
        <v>95</v>
      </c>
      <c r="AM543" s="11">
        <f t="shared" si="154"/>
        <v>1250</v>
      </c>
      <c r="AN543" s="10">
        <v>1250</v>
      </c>
      <c r="AO543" s="11">
        <f t="shared" si="154"/>
        <v>0</v>
      </c>
      <c r="AP543" s="10">
        <v>0</v>
      </c>
      <c r="AQ543" s="56">
        <f t="shared" si="149"/>
        <v>1</v>
      </c>
      <c r="AS543" s="11">
        <f ca="1">IFERROR(OFFSET(ITEM_RES!$A$1,MATCH(AT543,ITEM_RES!$J:$J,0)-1,0),0)</f>
        <v>211020901</v>
      </c>
      <c r="AT543" s="10" t="s">
        <v>444</v>
      </c>
      <c r="AU543" s="11">
        <v>1</v>
      </c>
      <c r="AX543" s="11">
        <f ca="1">IFERROR(OFFSET(ITEM_RES!$A$1,MATCH(AY543,ITEM_RES!$J:$J,0)-1,0),0)</f>
        <v>0</v>
      </c>
      <c r="BC543" s="11">
        <f ca="1">IFERROR(OFFSET(ITEM_RES!$A$1,MATCH(BD543,ITEM_RES!$J:$J,0)-1,0),0)</f>
        <v>0</v>
      </c>
      <c r="BH543" s="11">
        <f ca="1">IFERROR(OFFSET(ITEM_RES!$A$1,MATCH(BI543,ITEM_RES!$J:$J,0)-1,0),0)</f>
        <v>0</v>
      </c>
      <c r="BM543" s="11">
        <f ca="1">IFERROR(OFFSET(ITEM_RES!$A$1,MATCH(BN543,ITEM_RES!$J:$J,0)-1,0),0)</f>
        <v>0</v>
      </c>
    </row>
    <row r="544" spans="1:65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1087</v>
      </c>
      <c r="M544" s="9">
        <v>0</v>
      </c>
      <c r="N544" s="9">
        <v>15</v>
      </c>
      <c r="O544" s="9" t="s">
        <v>1107</v>
      </c>
      <c r="S544" s="9">
        <v>4444</v>
      </c>
      <c r="V544" s="9">
        <f ca="1">IFERROR(OFFSET(ITEM_RES!$A$5,MATCH(BUILDING!U544,ITEM_RES!$J$5:$J$226,0)-1,0),0)</f>
        <v>0</v>
      </c>
      <c r="Y544" s="9">
        <f ca="1">IFERROR(OFFSET(ITEM_RES!$A$5,MATCH(BUILDING!X544,ITEM_RES!$J$5:$J$226,0)-1,0),0)</f>
        <v>0</v>
      </c>
      <c r="AA544" s="9" t="s">
        <v>379</v>
      </c>
      <c r="AB544" s="9">
        <v>20</v>
      </c>
      <c r="AD544" s="11">
        <f ca="1">IFERROR(OFFSET(MANOR_LEVEL!$B$1,MATCH(AE544-1,MANOR_LEVEL!$A:$A,0)-1,0),0)</f>
        <v>32640</v>
      </c>
      <c r="AE544" s="56">
        <v>7</v>
      </c>
      <c r="AG544" s="56">
        <f t="shared" ca="1" si="148"/>
        <v>1500</v>
      </c>
      <c r="AH544" s="10">
        <f ca="1">AM544+AO544+(IFERROR(OFFSET(ITEM_RES!$S$1,MATCH(AS544,ITEM_RES!$A:$A,0)-1,0),0)*AU544+IFERROR(OFFSET(ITEM_RES!$S$1,MATCH(AX544,ITEM_RES!$A:$A,0)-1,0),0)*AZ544+IFERROR(OFFSET(ITEM_RES!$S$1,MATCH(BC544,ITEM_RES!$A:$A,0)-1,0),0)*BE544+IFERROR(OFFSET(ITEM_RES!$S$1,MATCH(BH544,ITEM_RES!$A:$A,0)-1,0),0)*BJ544+IFERROR(OFFSET(ITEM_RES!$S$1,MATCH(BM544,ITEM_RES!$A:$A,0)-1,0),0)*BO544)/1000</f>
        <v>1500.2</v>
      </c>
      <c r="AI544" s="182">
        <f t="shared" ca="1" si="155"/>
        <v>2750</v>
      </c>
      <c r="AK544" s="11">
        <f t="shared" si="147"/>
        <v>100</v>
      </c>
      <c r="AL544" s="10">
        <v>100</v>
      </c>
      <c r="AM544" s="11">
        <f t="shared" si="154"/>
        <v>1500</v>
      </c>
      <c r="AN544" s="10">
        <v>1500</v>
      </c>
      <c r="AO544" s="11">
        <f t="shared" si="154"/>
        <v>0</v>
      </c>
      <c r="AP544" s="10">
        <v>0</v>
      </c>
      <c r="AQ544" s="56">
        <f t="shared" si="149"/>
        <v>1</v>
      </c>
      <c r="AS544" s="11">
        <f ca="1">IFERROR(OFFSET(ITEM_RES!$A$1,MATCH(AT544,ITEM_RES!$J:$J,0)-1,0),0)</f>
        <v>211020901</v>
      </c>
      <c r="AT544" s="10" t="s">
        <v>444</v>
      </c>
      <c r="AU544" s="11">
        <v>1</v>
      </c>
      <c r="AX544" s="11">
        <f ca="1">IFERROR(OFFSET(ITEM_RES!$A$1,MATCH(AY544,ITEM_RES!$J:$J,0)-1,0),0)</f>
        <v>0</v>
      </c>
      <c r="BC544" s="11">
        <f ca="1">IFERROR(OFFSET(ITEM_RES!$A$1,MATCH(BD544,ITEM_RES!$J:$J,0)-1,0),0)</f>
        <v>0</v>
      </c>
      <c r="BH544" s="11">
        <f ca="1">IFERROR(OFFSET(ITEM_RES!$A$1,MATCH(BI544,ITEM_RES!$J:$J,0)-1,0),0)</f>
        <v>0</v>
      </c>
      <c r="BM544" s="11">
        <f ca="1">IFERROR(OFFSET(ITEM_RES!$A$1,MATCH(BN544,ITEM_RES!$J:$J,0)-1,0),0)</f>
        <v>0</v>
      </c>
    </row>
    <row r="545" spans="1:68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1089</v>
      </c>
      <c r="L545" s="16">
        <v>10</v>
      </c>
      <c r="M545" s="16">
        <v>1</v>
      </c>
      <c r="N545" s="16">
        <v>15</v>
      </c>
      <c r="O545" s="16" t="s">
        <v>1110</v>
      </c>
      <c r="P545" s="17"/>
      <c r="Q545" s="17"/>
      <c r="R545" s="18"/>
      <c r="S545" s="16">
        <v>5555</v>
      </c>
      <c r="T545" s="78"/>
      <c r="U545" s="86"/>
      <c r="V545" s="16">
        <f ca="1">IFERROR(OFFSET(ITEM_RES!$A$5,MATCH(BUILDING!U545,ITEM_RES!$J$5:$J$226,0)-1,0),0)</f>
        <v>0</v>
      </c>
      <c r="W545" s="18"/>
      <c r="X545" s="86"/>
      <c r="Y545" s="16">
        <f ca="1">IFERROR(OFFSET(ITEM_RES!$A$5,MATCH(BUILDING!X545,ITEM_RES!$J$5:$J$226,0)-1,0),0)</f>
        <v>0</v>
      </c>
      <c r="Z545" s="78"/>
      <c r="AA545" s="16" t="s">
        <v>381</v>
      </c>
      <c r="AB545" s="16">
        <v>1</v>
      </c>
      <c r="AC545" s="78"/>
      <c r="AD545" s="18">
        <f ca="1">IFERROR(OFFSET(MANOR_LEVEL!$B$1,MATCH(AE545-1,MANOR_LEVEL!$A:$A,0)-1,0),0)</f>
        <v>0</v>
      </c>
      <c r="AE545" s="57">
        <v>1</v>
      </c>
      <c r="AF545" s="78"/>
      <c r="AG545" s="57">
        <f t="shared" ca="1" si="148"/>
        <v>205</v>
      </c>
      <c r="AH545" s="17">
        <f ca="1">AM545+AO545+(IFERROR(OFFSET(ITEM_RES!$S$1,MATCH(AS545,ITEM_RES!$A:$A,0)-1,0),0)*AU545+IFERROR(OFFSET(ITEM_RES!$S$1,MATCH(AX545,ITEM_RES!$A:$A,0)-1,0),0)*AZ545+IFERROR(OFFSET(ITEM_RES!$S$1,MATCH(BC545,ITEM_RES!$A:$A,0)-1,0),0)*BE545+IFERROR(OFFSET(ITEM_RES!$S$1,MATCH(BH545,ITEM_RES!$A:$A,0)-1,0),0)*BJ545+IFERROR(OFFSET(ITEM_RES!$S$1,MATCH(BM545,ITEM_RES!$A:$A,0)-1,0),0)*BO545)/1000</f>
        <v>205.1</v>
      </c>
      <c r="AI545" s="184">
        <f ca="1">AG545</f>
        <v>205</v>
      </c>
      <c r="AJ545" s="78"/>
      <c r="AK545" s="18">
        <f t="shared" si="147"/>
        <v>5</v>
      </c>
      <c r="AL545" s="17">
        <v>5</v>
      </c>
      <c r="AM545" s="18">
        <f t="shared" si="154"/>
        <v>5</v>
      </c>
      <c r="AN545" s="17">
        <v>5</v>
      </c>
      <c r="AO545" s="18">
        <f t="shared" si="154"/>
        <v>0</v>
      </c>
      <c r="AP545" s="17">
        <v>0</v>
      </c>
      <c r="AQ545" s="57">
        <f t="shared" si="149"/>
        <v>3</v>
      </c>
      <c r="AR545" s="18"/>
      <c r="AS545" s="18">
        <f ca="1">IFERROR(OFFSET(ITEM_RES!$A$1,MATCH(AT545,ITEM_RES!$J:$J,0)-1,0),0)</f>
        <v>211020801</v>
      </c>
      <c r="AT545" s="17" t="s">
        <v>439</v>
      </c>
      <c r="AU545" s="18">
        <v>1</v>
      </c>
      <c r="AV545" s="17"/>
      <c r="AW545" s="18"/>
      <c r="AX545" s="18">
        <f ca="1">IFERROR(OFFSET(ITEM_RES!$A$1,MATCH(AY545,ITEM_RES!$J:$J,0)-1,0),0)</f>
        <v>0</v>
      </c>
      <c r="AY545" s="17"/>
      <c r="AZ545" s="18"/>
      <c r="BA545" s="17"/>
      <c r="BB545" s="18"/>
      <c r="BC545" s="18">
        <f ca="1">IFERROR(OFFSET(ITEM_RES!$A$1,MATCH(BD545,ITEM_RES!$J:$J,0)-1,0),0)</f>
        <v>213010101</v>
      </c>
      <c r="BD545" s="17" t="s">
        <v>452</v>
      </c>
      <c r="BE545" s="18">
        <v>1</v>
      </c>
      <c r="BF545" s="17"/>
      <c r="BG545" s="18"/>
      <c r="BH545" s="18">
        <f ca="1">IFERROR(OFFSET(ITEM_RES!$A$1,MATCH(BI545,ITEM_RES!$J:$J,0)-1,0),0)</f>
        <v>213010401</v>
      </c>
      <c r="BI545" s="17" t="s">
        <v>475</v>
      </c>
      <c r="BJ545" s="18">
        <v>1</v>
      </c>
      <c r="BK545" s="17"/>
      <c r="BL545" s="18"/>
      <c r="BM545" s="18">
        <f ca="1">IFERROR(OFFSET(ITEM_RES!$A$1,MATCH(BN545,ITEM_RES!$J:$J,0)-1,0),0)</f>
        <v>0</v>
      </c>
      <c r="BN545" s="17"/>
      <c r="BO545" s="18"/>
      <c r="BP545" s="17"/>
    </row>
    <row r="546" spans="1:68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1089</v>
      </c>
      <c r="M546" s="9">
        <v>1</v>
      </c>
      <c r="N546" s="9">
        <v>15</v>
      </c>
      <c r="O546" s="9" t="s">
        <v>1110</v>
      </c>
      <c r="S546" s="9">
        <v>5555</v>
      </c>
      <c r="V546" s="9">
        <f ca="1">IFERROR(OFFSET(ITEM_RES!$A$5,MATCH(BUILDING!U546,ITEM_RES!$J$5:$J$226,0)-1,0),0)</f>
        <v>0</v>
      </c>
      <c r="Y546" s="9">
        <f ca="1">IFERROR(OFFSET(ITEM_RES!$A$5,MATCH(BUILDING!X546,ITEM_RES!$J$5:$J$226,0)-1,0),0)</f>
        <v>0</v>
      </c>
      <c r="AA546" s="9" t="s">
        <v>381</v>
      </c>
      <c r="AB546" s="9">
        <v>2</v>
      </c>
      <c r="AD546" s="11">
        <f ca="1">IFERROR(OFFSET(MANOR_LEVEL!$B$1,MATCH(AE546-1,MANOR_LEVEL!$A:$A,0)-1,0),0)</f>
        <v>0</v>
      </c>
      <c r="AE546" s="56">
        <v>1</v>
      </c>
      <c r="AG546" s="56">
        <f t="shared" ca="1" si="148"/>
        <v>10</v>
      </c>
      <c r="AH546" s="10">
        <f ca="1">AM546+AO546+(IFERROR(OFFSET(ITEM_RES!$S$1,MATCH(AS546,ITEM_RES!$A:$A,0)-1,0),0)*AU546+IFERROR(OFFSET(ITEM_RES!$S$1,MATCH(AX546,ITEM_RES!$A:$A,0)-1,0),0)*AZ546+IFERROR(OFFSET(ITEM_RES!$S$1,MATCH(BC546,ITEM_RES!$A:$A,0)-1,0),0)*BE546+IFERROR(OFFSET(ITEM_RES!$S$1,MATCH(BH546,ITEM_RES!$A:$A,0)-1,0),0)*BJ546+IFERROR(OFFSET(ITEM_RES!$S$1,MATCH(BM546,ITEM_RES!$A:$A,0)-1,0),0)*BO546)/1000</f>
        <v>10.1</v>
      </c>
      <c r="AI546" s="182">
        <f ca="1">AG545+AG546</f>
        <v>215</v>
      </c>
      <c r="AK546" s="11">
        <f t="shared" si="147"/>
        <v>10</v>
      </c>
      <c r="AL546" s="10">
        <v>10</v>
      </c>
      <c r="AM546" s="11">
        <f t="shared" si="154"/>
        <v>10</v>
      </c>
      <c r="AN546" s="10">
        <v>10</v>
      </c>
      <c r="AO546" s="11">
        <f t="shared" si="154"/>
        <v>0</v>
      </c>
      <c r="AP546" s="10">
        <v>0</v>
      </c>
      <c r="AQ546" s="56">
        <f t="shared" si="149"/>
        <v>1</v>
      </c>
      <c r="AS546" s="11">
        <f ca="1">IFERROR(OFFSET(ITEM_RES!$A$1,MATCH(AT546,ITEM_RES!$J:$J,0)-1,0),0)</f>
        <v>211020801</v>
      </c>
      <c r="AT546" s="10" t="s">
        <v>439</v>
      </c>
      <c r="AU546" s="11">
        <v>1</v>
      </c>
      <c r="AX546" s="11">
        <f ca="1">IFERROR(OFFSET(ITEM_RES!$A$1,MATCH(AY546,ITEM_RES!$J:$J,0)-1,0),0)</f>
        <v>0</v>
      </c>
      <c r="BC546" s="11">
        <f ca="1">IFERROR(OFFSET(ITEM_RES!$A$1,MATCH(BD546,ITEM_RES!$J:$J,0)-1,0),0)</f>
        <v>0</v>
      </c>
      <c r="BH546" s="11">
        <f ca="1">IFERROR(OFFSET(ITEM_RES!$A$1,MATCH(BI546,ITEM_RES!$J:$J,0)-1,0),0)</f>
        <v>0</v>
      </c>
      <c r="BM546" s="11">
        <f ca="1">IFERROR(OFFSET(ITEM_RES!$A$1,MATCH(BN546,ITEM_RES!$J:$J,0)-1,0),0)</f>
        <v>0</v>
      </c>
    </row>
    <row r="547" spans="1:68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1089</v>
      </c>
      <c r="M547" s="9">
        <v>1</v>
      </c>
      <c r="N547" s="9">
        <v>15</v>
      </c>
      <c r="O547" s="9" t="s">
        <v>1108</v>
      </c>
      <c r="S547" s="9">
        <v>5555</v>
      </c>
      <c r="V547" s="9">
        <f ca="1">IFERROR(OFFSET(ITEM_RES!$A$5,MATCH(BUILDING!U547,ITEM_RES!$J$5:$J$226,0)-1,0),0)</f>
        <v>0</v>
      </c>
      <c r="Y547" s="9">
        <f ca="1">IFERROR(OFFSET(ITEM_RES!$A$5,MATCH(BUILDING!X547,ITEM_RES!$J$5:$J$226,0)-1,0),0)</f>
        <v>0</v>
      </c>
      <c r="AA547" s="9" t="s">
        <v>365</v>
      </c>
      <c r="AB547" s="9">
        <v>3</v>
      </c>
      <c r="AD547" s="11">
        <f ca="1">IFERROR(OFFSET(MANOR_LEVEL!$B$1,MATCH(AE547-1,MANOR_LEVEL!$A:$A,0)-1,0),0)</f>
        <v>0</v>
      </c>
      <c r="AE547" s="56">
        <v>1</v>
      </c>
      <c r="AG547" s="56">
        <f t="shared" ca="1" si="148"/>
        <v>15</v>
      </c>
      <c r="AH547" s="10">
        <f ca="1">AM547+AO547+(IFERROR(OFFSET(ITEM_RES!$S$1,MATCH(AS547,ITEM_RES!$A:$A,0)-1,0),0)*AU547+IFERROR(OFFSET(ITEM_RES!$S$1,MATCH(AX547,ITEM_RES!$A:$A,0)-1,0),0)*AZ547+IFERROR(OFFSET(ITEM_RES!$S$1,MATCH(BC547,ITEM_RES!$A:$A,0)-1,0),0)*BE547+IFERROR(OFFSET(ITEM_RES!$S$1,MATCH(BH547,ITEM_RES!$A:$A,0)-1,0),0)*BJ547+IFERROR(OFFSET(ITEM_RES!$S$1,MATCH(BM547,ITEM_RES!$A:$A,0)-1,0),0)*BO547)/1000</f>
        <v>15.1</v>
      </c>
      <c r="AI547" s="182">
        <f t="shared" ref="AI547:AI564" ca="1" si="156">AG546+AG547</f>
        <v>25</v>
      </c>
      <c r="AK547" s="11">
        <f t="shared" si="147"/>
        <v>15</v>
      </c>
      <c r="AL547" s="10">
        <v>15</v>
      </c>
      <c r="AM547" s="11">
        <f t="shared" si="154"/>
        <v>15</v>
      </c>
      <c r="AN547" s="10">
        <v>15</v>
      </c>
      <c r="AO547" s="11">
        <f t="shared" si="154"/>
        <v>0</v>
      </c>
      <c r="AP547" s="10">
        <v>0</v>
      </c>
      <c r="AQ547" s="56">
        <f t="shared" si="149"/>
        <v>1</v>
      </c>
      <c r="AS547" s="11">
        <f ca="1">IFERROR(OFFSET(ITEM_RES!$A$1,MATCH(AT547,ITEM_RES!$J:$J,0)-1,0),0)</f>
        <v>211020801</v>
      </c>
      <c r="AT547" s="10" t="s">
        <v>439</v>
      </c>
      <c r="AU547" s="11">
        <v>1</v>
      </c>
      <c r="AX547" s="11">
        <f ca="1">IFERROR(OFFSET(ITEM_RES!$A$1,MATCH(AY547,ITEM_RES!$J:$J,0)-1,0),0)</f>
        <v>0</v>
      </c>
      <c r="BC547" s="11">
        <f ca="1">IFERROR(OFFSET(ITEM_RES!$A$1,MATCH(BD547,ITEM_RES!$J:$J,0)-1,0),0)</f>
        <v>0</v>
      </c>
      <c r="BH547" s="11">
        <f ca="1">IFERROR(OFFSET(ITEM_RES!$A$1,MATCH(BI547,ITEM_RES!$J:$J,0)-1,0),0)</f>
        <v>0</v>
      </c>
      <c r="BM547" s="11">
        <f ca="1">IFERROR(OFFSET(ITEM_RES!$A$1,MATCH(BN547,ITEM_RES!$J:$J,0)-1,0),0)</f>
        <v>0</v>
      </c>
    </row>
    <row r="548" spans="1:68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1089</v>
      </c>
      <c r="M548" s="9">
        <v>1</v>
      </c>
      <c r="N548" s="9">
        <v>15</v>
      </c>
      <c r="O548" s="9" t="s">
        <v>1108</v>
      </c>
      <c r="S548" s="9">
        <v>5555</v>
      </c>
      <c r="V548" s="9">
        <f ca="1">IFERROR(OFFSET(ITEM_RES!$A$5,MATCH(BUILDING!U548,ITEM_RES!$J$5:$J$226,0)-1,0),0)</f>
        <v>0</v>
      </c>
      <c r="Y548" s="9">
        <f ca="1">IFERROR(OFFSET(ITEM_RES!$A$5,MATCH(BUILDING!X548,ITEM_RES!$J$5:$J$226,0)-1,0),0)</f>
        <v>0</v>
      </c>
      <c r="AA548" s="9" t="s">
        <v>365</v>
      </c>
      <c r="AB548" s="9">
        <v>4</v>
      </c>
      <c r="AD548" s="11">
        <f ca="1">IFERROR(OFFSET(MANOR_LEVEL!$B$1,MATCH(AE548-1,MANOR_LEVEL!$A:$A,0)-1,0),0)</f>
        <v>444</v>
      </c>
      <c r="AE548" s="56">
        <v>2</v>
      </c>
      <c r="AG548" s="56">
        <f t="shared" ca="1" si="148"/>
        <v>25</v>
      </c>
      <c r="AH548" s="10">
        <f ca="1">AM548+AO548+(IFERROR(OFFSET(ITEM_RES!$S$1,MATCH(AS548,ITEM_RES!$A:$A,0)-1,0),0)*AU548+IFERROR(OFFSET(ITEM_RES!$S$1,MATCH(AX548,ITEM_RES!$A:$A,0)-1,0),0)*AZ548+IFERROR(OFFSET(ITEM_RES!$S$1,MATCH(BC548,ITEM_RES!$A:$A,0)-1,0),0)*BE548+IFERROR(OFFSET(ITEM_RES!$S$1,MATCH(BH548,ITEM_RES!$A:$A,0)-1,0),0)*BJ548+IFERROR(OFFSET(ITEM_RES!$S$1,MATCH(BM548,ITEM_RES!$A:$A,0)-1,0),0)*BO548)/1000</f>
        <v>25.1</v>
      </c>
      <c r="AI548" s="182">
        <f t="shared" ca="1" si="156"/>
        <v>40</v>
      </c>
      <c r="AK548" s="11">
        <f t="shared" si="147"/>
        <v>20</v>
      </c>
      <c r="AL548" s="10">
        <v>20</v>
      </c>
      <c r="AM548" s="11">
        <f t="shared" si="154"/>
        <v>25</v>
      </c>
      <c r="AN548" s="10">
        <v>25</v>
      </c>
      <c r="AO548" s="11">
        <f t="shared" si="154"/>
        <v>0</v>
      </c>
      <c r="AP548" s="10">
        <v>0</v>
      </c>
      <c r="AQ548" s="56">
        <f t="shared" si="149"/>
        <v>1</v>
      </c>
      <c r="AS548" s="11">
        <f ca="1">IFERROR(OFFSET(ITEM_RES!$A$1,MATCH(AT548,ITEM_RES!$J:$J,0)-1,0),0)</f>
        <v>211020801</v>
      </c>
      <c r="AT548" s="10" t="s">
        <v>439</v>
      </c>
      <c r="AU548" s="11">
        <v>1</v>
      </c>
      <c r="AX548" s="11">
        <f ca="1">IFERROR(OFFSET(ITEM_RES!$A$1,MATCH(AY548,ITEM_RES!$J:$J,0)-1,0),0)</f>
        <v>0</v>
      </c>
      <c r="BC548" s="11">
        <f ca="1">IFERROR(OFFSET(ITEM_RES!$A$1,MATCH(BD548,ITEM_RES!$J:$J,0)-1,0),0)</f>
        <v>0</v>
      </c>
      <c r="BH548" s="11">
        <f ca="1">IFERROR(OFFSET(ITEM_RES!$A$1,MATCH(BI548,ITEM_RES!$J:$J,0)-1,0),0)</f>
        <v>0</v>
      </c>
      <c r="BM548" s="11">
        <f ca="1">IFERROR(OFFSET(ITEM_RES!$A$1,MATCH(BN548,ITEM_RES!$J:$J,0)-1,0),0)</f>
        <v>0</v>
      </c>
    </row>
    <row r="549" spans="1:68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1089</v>
      </c>
      <c r="M549" s="9">
        <v>1</v>
      </c>
      <c r="N549" s="9">
        <v>15</v>
      </c>
      <c r="O549" s="9" t="s">
        <v>1108</v>
      </c>
      <c r="S549" s="9">
        <v>5555</v>
      </c>
      <c r="V549" s="9">
        <f ca="1">IFERROR(OFFSET(ITEM_RES!$A$5,MATCH(BUILDING!U549,ITEM_RES!$J$5:$J$226,0)-1,0),0)</f>
        <v>0</v>
      </c>
      <c r="Y549" s="9">
        <f ca="1">IFERROR(OFFSET(ITEM_RES!$A$5,MATCH(BUILDING!X549,ITEM_RES!$J$5:$J$226,0)-1,0),0)</f>
        <v>0</v>
      </c>
      <c r="AA549" s="9" t="s">
        <v>365</v>
      </c>
      <c r="AB549" s="9">
        <v>5</v>
      </c>
      <c r="AD549" s="11">
        <f ca="1">IFERROR(OFFSET(MANOR_LEVEL!$B$1,MATCH(AE549-1,MANOR_LEVEL!$A:$A,0)-1,0),0)</f>
        <v>444</v>
      </c>
      <c r="AE549" s="56">
        <v>2</v>
      </c>
      <c r="AG549" s="56">
        <f t="shared" ca="1" si="148"/>
        <v>40</v>
      </c>
      <c r="AH549" s="10">
        <f ca="1">AM549+AO549+(IFERROR(OFFSET(ITEM_RES!$S$1,MATCH(AS549,ITEM_RES!$A:$A,0)-1,0),0)*AU549+IFERROR(OFFSET(ITEM_RES!$S$1,MATCH(AX549,ITEM_RES!$A:$A,0)-1,0),0)*AZ549+IFERROR(OFFSET(ITEM_RES!$S$1,MATCH(BC549,ITEM_RES!$A:$A,0)-1,0),0)*BE549+IFERROR(OFFSET(ITEM_RES!$S$1,MATCH(BH549,ITEM_RES!$A:$A,0)-1,0),0)*BJ549+IFERROR(OFFSET(ITEM_RES!$S$1,MATCH(BM549,ITEM_RES!$A:$A,0)-1,0),0)*BO549)/1000</f>
        <v>40.1</v>
      </c>
      <c r="AI549" s="182">
        <f t="shared" ca="1" si="156"/>
        <v>65</v>
      </c>
      <c r="AK549" s="11">
        <f t="shared" si="147"/>
        <v>25</v>
      </c>
      <c r="AL549" s="10">
        <v>25</v>
      </c>
      <c r="AM549" s="11">
        <f t="shared" si="154"/>
        <v>40</v>
      </c>
      <c r="AN549" s="10">
        <v>40</v>
      </c>
      <c r="AO549" s="11">
        <f t="shared" si="154"/>
        <v>0</v>
      </c>
      <c r="AP549" s="10">
        <v>0</v>
      </c>
      <c r="AQ549" s="56">
        <f t="shared" si="149"/>
        <v>1</v>
      </c>
      <c r="AS549" s="11">
        <f ca="1">IFERROR(OFFSET(ITEM_RES!$A$1,MATCH(AT549,ITEM_RES!$J:$J,0)-1,0),0)</f>
        <v>211020801</v>
      </c>
      <c r="AT549" s="10" t="s">
        <v>439</v>
      </c>
      <c r="AU549" s="11">
        <v>1</v>
      </c>
      <c r="AX549" s="11">
        <f ca="1">IFERROR(OFFSET(ITEM_RES!$A$1,MATCH(AY549,ITEM_RES!$J:$J,0)-1,0),0)</f>
        <v>0</v>
      </c>
      <c r="BC549" s="11">
        <f ca="1">IFERROR(OFFSET(ITEM_RES!$A$1,MATCH(BD549,ITEM_RES!$J:$J,0)-1,0),0)</f>
        <v>0</v>
      </c>
      <c r="BH549" s="11">
        <f ca="1">IFERROR(OFFSET(ITEM_RES!$A$1,MATCH(BI549,ITEM_RES!$J:$J,0)-1,0),0)</f>
        <v>0</v>
      </c>
      <c r="BM549" s="11">
        <f ca="1">IFERROR(OFFSET(ITEM_RES!$A$1,MATCH(BN549,ITEM_RES!$J:$J,0)-1,0),0)</f>
        <v>0</v>
      </c>
    </row>
    <row r="550" spans="1:68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1089</v>
      </c>
      <c r="M550" s="9">
        <v>1</v>
      </c>
      <c r="N550" s="9">
        <v>15</v>
      </c>
      <c r="O550" s="9" t="s">
        <v>1108</v>
      </c>
      <c r="S550" s="9">
        <v>5555</v>
      </c>
      <c r="V550" s="9">
        <f ca="1">IFERROR(OFFSET(ITEM_RES!$A$5,MATCH(BUILDING!U550,ITEM_RES!$J$5:$J$226,0)-1,0),0)</f>
        <v>0</v>
      </c>
      <c r="Y550" s="9">
        <f ca="1">IFERROR(OFFSET(ITEM_RES!$A$5,MATCH(BUILDING!X550,ITEM_RES!$J$5:$J$226,0)-1,0),0)</f>
        <v>0</v>
      </c>
      <c r="AA550" s="9" t="s">
        <v>365</v>
      </c>
      <c r="AB550" s="9">
        <v>6</v>
      </c>
      <c r="AD550" s="11">
        <f ca="1">IFERROR(OFFSET(MANOR_LEVEL!$B$1,MATCH(AE550-1,MANOR_LEVEL!$A:$A,0)-1,0),0)</f>
        <v>444</v>
      </c>
      <c r="AE550" s="56">
        <v>2</v>
      </c>
      <c r="AG550" s="56">
        <f t="shared" ca="1" si="148"/>
        <v>50</v>
      </c>
      <c r="AH550" s="10">
        <f ca="1">AM550+AO550+(IFERROR(OFFSET(ITEM_RES!$S$1,MATCH(AS550,ITEM_RES!$A:$A,0)-1,0),0)*AU550+IFERROR(OFFSET(ITEM_RES!$S$1,MATCH(AX550,ITEM_RES!$A:$A,0)-1,0),0)*AZ550+IFERROR(OFFSET(ITEM_RES!$S$1,MATCH(BC550,ITEM_RES!$A:$A,0)-1,0),0)*BE550+IFERROR(OFFSET(ITEM_RES!$S$1,MATCH(BH550,ITEM_RES!$A:$A,0)-1,0),0)*BJ550+IFERROR(OFFSET(ITEM_RES!$S$1,MATCH(BM550,ITEM_RES!$A:$A,0)-1,0),0)*BO550)/1000</f>
        <v>50.1</v>
      </c>
      <c r="AI550" s="182">
        <f t="shared" ca="1" si="156"/>
        <v>90</v>
      </c>
      <c r="AK550" s="11">
        <f t="shared" si="147"/>
        <v>30</v>
      </c>
      <c r="AL550" s="10">
        <v>30</v>
      </c>
      <c r="AM550" s="11">
        <f t="shared" si="154"/>
        <v>50</v>
      </c>
      <c r="AN550" s="10">
        <v>50</v>
      </c>
      <c r="AO550" s="11">
        <f t="shared" si="154"/>
        <v>0</v>
      </c>
      <c r="AP550" s="10">
        <v>0</v>
      </c>
      <c r="AQ550" s="56">
        <f t="shared" si="149"/>
        <v>1</v>
      </c>
      <c r="AS550" s="11">
        <f ca="1">IFERROR(OFFSET(ITEM_RES!$A$1,MATCH(AT550,ITEM_RES!$J:$J,0)-1,0),0)</f>
        <v>211020801</v>
      </c>
      <c r="AT550" s="10" t="s">
        <v>439</v>
      </c>
      <c r="AU550" s="11">
        <v>1</v>
      </c>
      <c r="AX550" s="11">
        <f ca="1">IFERROR(OFFSET(ITEM_RES!$A$1,MATCH(AY550,ITEM_RES!$J:$J,0)-1,0),0)</f>
        <v>0</v>
      </c>
      <c r="BC550" s="11">
        <f ca="1">IFERROR(OFFSET(ITEM_RES!$A$1,MATCH(BD550,ITEM_RES!$J:$J,0)-1,0),0)</f>
        <v>0</v>
      </c>
      <c r="BH550" s="11">
        <f ca="1">IFERROR(OFFSET(ITEM_RES!$A$1,MATCH(BI550,ITEM_RES!$J:$J,0)-1,0),0)</f>
        <v>0</v>
      </c>
      <c r="BM550" s="11">
        <f ca="1">IFERROR(OFFSET(ITEM_RES!$A$1,MATCH(BN550,ITEM_RES!$J:$J,0)-1,0),0)</f>
        <v>0</v>
      </c>
    </row>
    <row r="551" spans="1:68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1089</v>
      </c>
      <c r="M551" s="9">
        <v>1</v>
      </c>
      <c r="N551" s="9">
        <v>15</v>
      </c>
      <c r="O551" s="9" t="s">
        <v>1108</v>
      </c>
      <c r="S551" s="9">
        <v>5555</v>
      </c>
      <c r="V551" s="9">
        <f ca="1">IFERROR(OFFSET(ITEM_RES!$A$5,MATCH(BUILDING!U551,ITEM_RES!$J$5:$J$226,0)-1,0),0)</f>
        <v>0</v>
      </c>
      <c r="Y551" s="9">
        <f ca="1">IFERROR(OFFSET(ITEM_RES!$A$5,MATCH(BUILDING!X551,ITEM_RES!$J$5:$J$226,0)-1,0),0)</f>
        <v>0</v>
      </c>
      <c r="AA551" s="9" t="s">
        <v>365</v>
      </c>
      <c r="AB551" s="9">
        <v>7</v>
      </c>
      <c r="AD551" s="11">
        <f ca="1">IFERROR(OFFSET(MANOR_LEVEL!$B$1,MATCH(AE551-1,MANOR_LEVEL!$A:$A,0)-1,0),0)</f>
        <v>444</v>
      </c>
      <c r="AE551" s="56">
        <v>2</v>
      </c>
      <c r="AG551" s="56">
        <f t="shared" ca="1" si="148"/>
        <v>100</v>
      </c>
      <c r="AH551" s="10">
        <f ca="1">AM551+AO551+(IFERROR(OFFSET(ITEM_RES!$S$1,MATCH(AS551,ITEM_RES!$A:$A,0)-1,0),0)*AU551+IFERROR(OFFSET(ITEM_RES!$S$1,MATCH(AX551,ITEM_RES!$A:$A,0)-1,0),0)*AZ551+IFERROR(OFFSET(ITEM_RES!$S$1,MATCH(BC551,ITEM_RES!$A:$A,0)-1,0),0)*BE551+IFERROR(OFFSET(ITEM_RES!$S$1,MATCH(BH551,ITEM_RES!$A:$A,0)-1,0),0)*BJ551+IFERROR(OFFSET(ITEM_RES!$S$1,MATCH(BM551,ITEM_RES!$A:$A,0)-1,0),0)*BO551)/1000</f>
        <v>100.1</v>
      </c>
      <c r="AI551" s="182">
        <f t="shared" ca="1" si="156"/>
        <v>150</v>
      </c>
      <c r="AK551" s="11">
        <f t="shared" si="147"/>
        <v>35</v>
      </c>
      <c r="AL551" s="10">
        <v>35</v>
      </c>
      <c r="AM551" s="11">
        <f t="shared" si="154"/>
        <v>100</v>
      </c>
      <c r="AN551" s="10">
        <v>100</v>
      </c>
      <c r="AO551" s="11">
        <f t="shared" si="154"/>
        <v>0</v>
      </c>
      <c r="AP551" s="10">
        <v>0</v>
      </c>
      <c r="AQ551" s="56">
        <f t="shared" si="149"/>
        <v>1</v>
      </c>
      <c r="AS551" s="11">
        <f ca="1">IFERROR(OFFSET(ITEM_RES!$A$1,MATCH(AT551,ITEM_RES!$J:$J,0)-1,0),0)</f>
        <v>211020801</v>
      </c>
      <c r="AT551" s="10" t="s">
        <v>439</v>
      </c>
      <c r="AU551" s="11">
        <v>1</v>
      </c>
      <c r="AX551" s="11">
        <f ca="1">IFERROR(OFFSET(ITEM_RES!$A$1,MATCH(AY551,ITEM_RES!$J:$J,0)-1,0),0)</f>
        <v>0</v>
      </c>
      <c r="BC551" s="11">
        <f ca="1">IFERROR(OFFSET(ITEM_RES!$A$1,MATCH(BD551,ITEM_RES!$J:$J,0)-1,0),0)</f>
        <v>0</v>
      </c>
      <c r="BH551" s="11">
        <f ca="1">IFERROR(OFFSET(ITEM_RES!$A$1,MATCH(BI551,ITEM_RES!$J:$J,0)-1,0),0)</f>
        <v>0</v>
      </c>
      <c r="BM551" s="11">
        <f ca="1">IFERROR(OFFSET(ITEM_RES!$A$1,MATCH(BN551,ITEM_RES!$J:$J,0)-1,0),0)</f>
        <v>0</v>
      </c>
    </row>
    <row r="552" spans="1:68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1089</v>
      </c>
      <c r="M552" s="9">
        <v>1</v>
      </c>
      <c r="N552" s="9">
        <v>15</v>
      </c>
      <c r="O552" s="9" t="s">
        <v>1108</v>
      </c>
      <c r="S552" s="9">
        <v>5555</v>
      </c>
      <c r="V552" s="9">
        <f ca="1">IFERROR(OFFSET(ITEM_RES!$A$5,MATCH(BUILDING!U552,ITEM_RES!$J$5:$J$226,0)-1,0),0)</f>
        <v>0</v>
      </c>
      <c r="Y552" s="9">
        <f ca="1">IFERROR(OFFSET(ITEM_RES!$A$5,MATCH(BUILDING!X552,ITEM_RES!$J$5:$J$226,0)-1,0),0)</f>
        <v>0</v>
      </c>
      <c r="AA552" s="9" t="s">
        <v>365</v>
      </c>
      <c r="AB552" s="9">
        <v>8</v>
      </c>
      <c r="AD552" s="11">
        <f ca="1">IFERROR(OFFSET(MANOR_LEVEL!$B$1,MATCH(AE552-1,MANOR_LEVEL!$A:$A,0)-1,0),0)</f>
        <v>528</v>
      </c>
      <c r="AE552" s="56">
        <v>3</v>
      </c>
      <c r="AG552" s="56">
        <f t="shared" ca="1" si="148"/>
        <v>100</v>
      </c>
      <c r="AH552" s="10">
        <f ca="1">AM552+AO552+(IFERROR(OFFSET(ITEM_RES!$S$1,MATCH(AS552,ITEM_RES!$A:$A,0)-1,0),0)*AU552+IFERROR(OFFSET(ITEM_RES!$S$1,MATCH(AX552,ITEM_RES!$A:$A,0)-1,0),0)*AZ552+IFERROR(OFFSET(ITEM_RES!$S$1,MATCH(BC552,ITEM_RES!$A:$A,0)-1,0),0)*BE552+IFERROR(OFFSET(ITEM_RES!$S$1,MATCH(BH552,ITEM_RES!$A:$A,0)-1,0),0)*BJ552+IFERROR(OFFSET(ITEM_RES!$S$1,MATCH(BM552,ITEM_RES!$A:$A,0)-1,0),0)*BO552)/1000</f>
        <v>100.1</v>
      </c>
      <c r="AI552" s="182">
        <f t="shared" ca="1" si="156"/>
        <v>200</v>
      </c>
      <c r="AK552" s="11">
        <f t="shared" si="147"/>
        <v>40</v>
      </c>
      <c r="AL552" s="10">
        <v>40</v>
      </c>
      <c r="AM552" s="11">
        <f t="shared" si="154"/>
        <v>100</v>
      </c>
      <c r="AN552" s="10">
        <v>100</v>
      </c>
      <c r="AO552" s="11">
        <f t="shared" si="154"/>
        <v>0</v>
      </c>
      <c r="AP552" s="10">
        <v>0</v>
      </c>
      <c r="AQ552" s="56">
        <f t="shared" si="149"/>
        <v>1</v>
      </c>
      <c r="AS552" s="11">
        <f ca="1">IFERROR(OFFSET(ITEM_RES!$A$1,MATCH(AT552,ITEM_RES!$J:$J,0)-1,0),0)</f>
        <v>211020801</v>
      </c>
      <c r="AT552" s="10" t="s">
        <v>439</v>
      </c>
      <c r="AU552" s="11">
        <v>1</v>
      </c>
      <c r="AX552" s="11">
        <f ca="1">IFERROR(OFFSET(ITEM_RES!$A$1,MATCH(AY552,ITEM_RES!$J:$J,0)-1,0),0)</f>
        <v>0</v>
      </c>
      <c r="BC552" s="11">
        <f ca="1">IFERROR(OFFSET(ITEM_RES!$A$1,MATCH(BD552,ITEM_RES!$J:$J,0)-1,0),0)</f>
        <v>0</v>
      </c>
      <c r="BH552" s="11">
        <f ca="1">IFERROR(OFFSET(ITEM_RES!$A$1,MATCH(BI552,ITEM_RES!$J:$J,0)-1,0),0)</f>
        <v>0</v>
      </c>
      <c r="BM552" s="11">
        <f ca="1">IFERROR(OFFSET(ITEM_RES!$A$1,MATCH(BN552,ITEM_RES!$J:$J,0)-1,0),0)</f>
        <v>0</v>
      </c>
    </row>
    <row r="553" spans="1:68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1089</v>
      </c>
      <c r="M553" s="9">
        <v>1</v>
      </c>
      <c r="N553" s="9">
        <v>15</v>
      </c>
      <c r="O553" s="9" t="s">
        <v>1108</v>
      </c>
      <c r="S553" s="9">
        <v>5555</v>
      </c>
      <c r="V553" s="9">
        <f ca="1">IFERROR(OFFSET(ITEM_RES!$A$5,MATCH(BUILDING!U553,ITEM_RES!$J$5:$J$226,0)-1,0),0)</f>
        <v>0</v>
      </c>
      <c r="Y553" s="9">
        <f ca="1">IFERROR(OFFSET(ITEM_RES!$A$5,MATCH(BUILDING!X553,ITEM_RES!$J$5:$J$226,0)-1,0),0)</f>
        <v>0</v>
      </c>
      <c r="AA553" s="9" t="s">
        <v>365</v>
      </c>
      <c r="AB553" s="9">
        <v>9</v>
      </c>
      <c r="AD553" s="11">
        <f ca="1">IFERROR(OFFSET(MANOR_LEVEL!$B$1,MATCH(AE553-1,MANOR_LEVEL!$A:$A,0)-1,0),0)</f>
        <v>528</v>
      </c>
      <c r="AE553" s="56">
        <v>3</v>
      </c>
      <c r="AG553" s="56">
        <f t="shared" ca="1" si="148"/>
        <v>150</v>
      </c>
      <c r="AH553" s="10">
        <f ca="1">AM553+AO553+(IFERROR(OFFSET(ITEM_RES!$S$1,MATCH(AS553,ITEM_RES!$A:$A,0)-1,0),0)*AU553+IFERROR(OFFSET(ITEM_RES!$S$1,MATCH(AX553,ITEM_RES!$A:$A,0)-1,0),0)*AZ553+IFERROR(OFFSET(ITEM_RES!$S$1,MATCH(BC553,ITEM_RES!$A:$A,0)-1,0),0)*BE553+IFERROR(OFFSET(ITEM_RES!$S$1,MATCH(BH553,ITEM_RES!$A:$A,0)-1,0),0)*BJ553+IFERROR(OFFSET(ITEM_RES!$S$1,MATCH(BM553,ITEM_RES!$A:$A,0)-1,0),0)*BO553)/1000</f>
        <v>150.1</v>
      </c>
      <c r="AI553" s="182">
        <f t="shared" ca="1" si="156"/>
        <v>250</v>
      </c>
      <c r="AK553" s="11">
        <f t="shared" si="147"/>
        <v>45</v>
      </c>
      <c r="AL553" s="10">
        <v>45</v>
      </c>
      <c r="AM553" s="11">
        <f t="shared" si="154"/>
        <v>150</v>
      </c>
      <c r="AN553" s="10">
        <v>150</v>
      </c>
      <c r="AO553" s="11">
        <f t="shared" si="154"/>
        <v>0</v>
      </c>
      <c r="AP553" s="10">
        <v>0</v>
      </c>
      <c r="AQ553" s="56">
        <f t="shared" si="149"/>
        <v>1</v>
      </c>
      <c r="AS553" s="11">
        <f ca="1">IFERROR(OFFSET(ITEM_RES!$A$1,MATCH(AT553,ITEM_RES!$J:$J,0)-1,0),0)</f>
        <v>211020801</v>
      </c>
      <c r="AT553" s="10" t="s">
        <v>439</v>
      </c>
      <c r="AU553" s="11">
        <v>1</v>
      </c>
      <c r="AX553" s="11">
        <f ca="1">IFERROR(OFFSET(ITEM_RES!$A$1,MATCH(AY553,ITEM_RES!$J:$J,0)-1,0),0)</f>
        <v>0</v>
      </c>
      <c r="BC553" s="11">
        <f ca="1">IFERROR(OFFSET(ITEM_RES!$A$1,MATCH(BD553,ITEM_RES!$J:$J,0)-1,0),0)</f>
        <v>0</v>
      </c>
      <c r="BH553" s="11">
        <f ca="1">IFERROR(OFFSET(ITEM_RES!$A$1,MATCH(BI553,ITEM_RES!$J:$J,0)-1,0),0)</f>
        <v>0</v>
      </c>
      <c r="BM553" s="11">
        <f ca="1">IFERROR(OFFSET(ITEM_RES!$A$1,MATCH(BN553,ITEM_RES!$J:$J,0)-1,0),0)</f>
        <v>0</v>
      </c>
    </row>
    <row r="554" spans="1:68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1089</v>
      </c>
      <c r="M554" s="9">
        <v>1</v>
      </c>
      <c r="N554" s="9">
        <v>15</v>
      </c>
      <c r="O554" s="9" t="s">
        <v>1108</v>
      </c>
      <c r="S554" s="9">
        <v>5555</v>
      </c>
      <c r="V554" s="9">
        <f ca="1">IFERROR(OFFSET(ITEM_RES!$A$5,MATCH(BUILDING!U554,ITEM_RES!$J$5:$J$226,0)-1,0),0)</f>
        <v>0</v>
      </c>
      <c r="Y554" s="9">
        <f ca="1">IFERROR(OFFSET(ITEM_RES!$A$5,MATCH(BUILDING!X554,ITEM_RES!$J$5:$J$226,0)-1,0),0)</f>
        <v>0</v>
      </c>
      <c r="AA554" s="9" t="s">
        <v>365</v>
      </c>
      <c r="AB554" s="9">
        <v>10</v>
      </c>
      <c r="AD554" s="11">
        <f ca="1">IFERROR(OFFSET(MANOR_LEVEL!$B$1,MATCH(AE554-1,MANOR_LEVEL!$A:$A,0)-1,0),0)</f>
        <v>528</v>
      </c>
      <c r="AE554" s="56">
        <v>3</v>
      </c>
      <c r="AG554" s="56">
        <f t="shared" ca="1" si="148"/>
        <v>200</v>
      </c>
      <c r="AH554" s="10">
        <f ca="1">AM554+AO554+(IFERROR(OFFSET(ITEM_RES!$S$1,MATCH(AS554,ITEM_RES!$A:$A,0)-1,0),0)*AU554+IFERROR(OFFSET(ITEM_RES!$S$1,MATCH(AX554,ITEM_RES!$A:$A,0)-1,0),0)*AZ554+IFERROR(OFFSET(ITEM_RES!$S$1,MATCH(BC554,ITEM_RES!$A:$A,0)-1,0),0)*BE554+IFERROR(OFFSET(ITEM_RES!$S$1,MATCH(BH554,ITEM_RES!$A:$A,0)-1,0),0)*BJ554+IFERROR(OFFSET(ITEM_RES!$S$1,MATCH(BM554,ITEM_RES!$A:$A,0)-1,0),0)*BO554)/1000</f>
        <v>200.1</v>
      </c>
      <c r="AI554" s="182">
        <f t="shared" ca="1" si="156"/>
        <v>350</v>
      </c>
      <c r="AK554" s="11">
        <f t="shared" si="147"/>
        <v>50</v>
      </c>
      <c r="AL554" s="10">
        <v>50</v>
      </c>
      <c r="AM554" s="11">
        <f t="shared" si="154"/>
        <v>200</v>
      </c>
      <c r="AN554" s="10">
        <v>200</v>
      </c>
      <c r="AO554" s="11">
        <f t="shared" si="154"/>
        <v>0</v>
      </c>
      <c r="AP554" s="10">
        <v>0</v>
      </c>
      <c r="AQ554" s="56">
        <f t="shared" si="149"/>
        <v>1</v>
      </c>
      <c r="AS554" s="11">
        <f ca="1">IFERROR(OFFSET(ITEM_RES!$A$1,MATCH(AT554,ITEM_RES!$J:$J,0)-1,0),0)</f>
        <v>211020801</v>
      </c>
      <c r="AT554" s="10" t="s">
        <v>439</v>
      </c>
      <c r="AU554" s="11">
        <v>1</v>
      </c>
      <c r="AX554" s="11">
        <f ca="1">IFERROR(OFFSET(ITEM_RES!$A$1,MATCH(AY554,ITEM_RES!$J:$J,0)-1,0),0)</f>
        <v>0</v>
      </c>
      <c r="BC554" s="11">
        <f ca="1">IFERROR(OFFSET(ITEM_RES!$A$1,MATCH(BD554,ITEM_RES!$J:$J,0)-1,0),0)</f>
        <v>0</v>
      </c>
      <c r="BH554" s="11">
        <f ca="1">IFERROR(OFFSET(ITEM_RES!$A$1,MATCH(BI554,ITEM_RES!$J:$J,0)-1,0),0)</f>
        <v>0</v>
      </c>
      <c r="BM554" s="11">
        <f ca="1">IFERROR(OFFSET(ITEM_RES!$A$1,MATCH(BN554,ITEM_RES!$J:$J,0)-1,0),0)</f>
        <v>0</v>
      </c>
    </row>
    <row r="555" spans="1:68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1089</v>
      </c>
      <c r="M555" s="9">
        <v>1</v>
      </c>
      <c r="N555" s="9">
        <v>15</v>
      </c>
      <c r="O555" s="9" t="s">
        <v>1108</v>
      </c>
      <c r="S555" s="9">
        <v>5555</v>
      </c>
      <c r="V555" s="9">
        <f ca="1">IFERROR(OFFSET(ITEM_RES!$A$5,MATCH(BUILDING!U555,ITEM_RES!$J$5:$J$226,0)-1,0),0)</f>
        <v>0</v>
      </c>
      <c r="Y555" s="9">
        <f ca="1">IFERROR(OFFSET(ITEM_RES!$A$5,MATCH(BUILDING!X555,ITEM_RES!$J$5:$J$226,0)-1,0),0)</f>
        <v>0</v>
      </c>
      <c r="AA555" s="9" t="s">
        <v>365</v>
      </c>
      <c r="AB555" s="9">
        <v>11</v>
      </c>
      <c r="AD555" s="11">
        <f ca="1">IFERROR(OFFSET(MANOR_LEVEL!$B$1,MATCH(AE555-1,MANOR_LEVEL!$A:$A,0)-1,0),0)</f>
        <v>528</v>
      </c>
      <c r="AE555" s="56">
        <v>3</v>
      </c>
      <c r="AG555" s="56">
        <f t="shared" ca="1" si="148"/>
        <v>250</v>
      </c>
      <c r="AH555" s="10">
        <f ca="1">AM555+AO555+(IFERROR(OFFSET(ITEM_RES!$S$1,MATCH(AS555,ITEM_RES!$A:$A,0)-1,0),0)*AU555+IFERROR(OFFSET(ITEM_RES!$S$1,MATCH(AX555,ITEM_RES!$A:$A,0)-1,0),0)*AZ555+IFERROR(OFFSET(ITEM_RES!$S$1,MATCH(BC555,ITEM_RES!$A:$A,0)-1,0),0)*BE555+IFERROR(OFFSET(ITEM_RES!$S$1,MATCH(BH555,ITEM_RES!$A:$A,0)-1,0),0)*BJ555+IFERROR(OFFSET(ITEM_RES!$S$1,MATCH(BM555,ITEM_RES!$A:$A,0)-1,0),0)*BO555)/1000</f>
        <v>250.1</v>
      </c>
      <c r="AI555" s="182">
        <f t="shared" ca="1" si="156"/>
        <v>450</v>
      </c>
      <c r="AK555" s="11">
        <f t="shared" si="147"/>
        <v>55</v>
      </c>
      <c r="AL555" s="10">
        <v>55</v>
      </c>
      <c r="AM555" s="11">
        <f t="shared" si="154"/>
        <v>250</v>
      </c>
      <c r="AN555" s="10">
        <v>250</v>
      </c>
      <c r="AO555" s="11">
        <f t="shared" si="154"/>
        <v>0</v>
      </c>
      <c r="AP555" s="10">
        <v>0</v>
      </c>
      <c r="AQ555" s="56">
        <f t="shared" si="149"/>
        <v>1</v>
      </c>
      <c r="AS555" s="11">
        <f ca="1">IFERROR(OFFSET(ITEM_RES!$A$1,MATCH(AT555,ITEM_RES!$J:$J,0)-1,0),0)</f>
        <v>211020801</v>
      </c>
      <c r="AT555" s="10" t="s">
        <v>439</v>
      </c>
      <c r="AU555" s="11">
        <v>1</v>
      </c>
      <c r="AX555" s="11">
        <f ca="1">IFERROR(OFFSET(ITEM_RES!$A$1,MATCH(AY555,ITEM_RES!$J:$J,0)-1,0),0)</f>
        <v>0</v>
      </c>
      <c r="BC555" s="11">
        <f ca="1">IFERROR(OFFSET(ITEM_RES!$A$1,MATCH(BD555,ITEM_RES!$J:$J,0)-1,0),0)</f>
        <v>0</v>
      </c>
      <c r="BH555" s="11">
        <f ca="1">IFERROR(OFFSET(ITEM_RES!$A$1,MATCH(BI555,ITEM_RES!$J:$J,0)-1,0),0)</f>
        <v>0</v>
      </c>
      <c r="BM555" s="11">
        <f ca="1">IFERROR(OFFSET(ITEM_RES!$A$1,MATCH(BN555,ITEM_RES!$J:$J,0)-1,0),0)</f>
        <v>0</v>
      </c>
    </row>
    <row r="556" spans="1:68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1089</v>
      </c>
      <c r="M556" s="9">
        <v>1</v>
      </c>
      <c r="N556" s="9">
        <v>15</v>
      </c>
      <c r="O556" s="9" t="s">
        <v>1108</v>
      </c>
      <c r="S556" s="9">
        <v>5555</v>
      </c>
      <c r="V556" s="9">
        <f ca="1">IFERROR(OFFSET(ITEM_RES!$A$5,MATCH(BUILDING!U556,ITEM_RES!$J$5:$J$226,0)-1,0),0)</f>
        <v>0</v>
      </c>
      <c r="Y556" s="9">
        <f ca="1">IFERROR(OFFSET(ITEM_RES!$A$5,MATCH(BUILDING!X556,ITEM_RES!$J$5:$J$226,0)-1,0),0)</f>
        <v>0</v>
      </c>
      <c r="AA556" s="9" t="s">
        <v>365</v>
      </c>
      <c r="AB556" s="9">
        <v>12</v>
      </c>
      <c r="AD556" s="11">
        <f ca="1">IFERROR(OFFSET(MANOR_LEVEL!$B$1,MATCH(AE556-1,MANOR_LEVEL!$A:$A,0)-1,0),0)</f>
        <v>800</v>
      </c>
      <c r="AE556" s="56">
        <v>4</v>
      </c>
      <c r="AG556" s="56">
        <f t="shared" ca="1" si="148"/>
        <v>1300</v>
      </c>
      <c r="AH556" s="10">
        <f ca="1">AM556+AO556+(IFERROR(OFFSET(ITEM_RES!$S$1,MATCH(AS556,ITEM_RES!$A:$A,0)-1,0),0)*AU556+IFERROR(OFFSET(ITEM_RES!$S$1,MATCH(AX556,ITEM_RES!$A:$A,0)-1,0),0)*AZ556+IFERROR(OFFSET(ITEM_RES!$S$1,MATCH(BC556,ITEM_RES!$A:$A,0)-1,0),0)*BE556+IFERROR(OFFSET(ITEM_RES!$S$1,MATCH(BH556,ITEM_RES!$A:$A,0)-1,0),0)*BJ556+IFERROR(OFFSET(ITEM_RES!$S$1,MATCH(BM556,ITEM_RES!$A:$A,0)-1,0),0)*BO556)/1000</f>
        <v>1300.0999999999999</v>
      </c>
      <c r="AI556" s="182">
        <f t="shared" ca="1" si="156"/>
        <v>1550</v>
      </c>
      <c r="AK556" s="11">
        <f t="shared" si="147"/>
        <v>60</v>
      </c>
      <c r="AL556" s="10">
        <v>60</v>
      </c>
      <c r="AM556" s="11">
        <f t="shared" si="154"/>
        <v>300</v>
      </c>
      <c r="AN556" s="10">
        <v>300</v>
      </c>
      <c r="AO556" s="11">
        <f t="shared" si="154"/>
        <v>0</v>
      </c>
      <c r="AP556" s="10">
        <v>0</v>
      </c>
      <c r="AQ556" s="56">
        <f t="shared" si="149"/>
        <v>2</v>
      </c>
      <c r="AS556" s="11">
        <f ca="1">IFERROR(OFFSET(ITEM_RES!$A$1,MATCH(AT556,ITEM_RES!$J:$J,0)-1,0),0)</f>
        <v>211020801</v>
      </c>
      <c r="AT556" s="10" t="s">
        <v>439</v>
      </c>
      <c r="AU556" s="11">
        <v>1</v>
      </c>
      <c r="AX556" s="11">
        <f ca="1">IFERROR(OFFSET(ITEM_RES!$A$1,MATCH(AY556,ITEM_RES!$J:$J,0)-1,0),0)</f>
        <v>0</v>
      </c>
      <c r="BC556" s="11">
        <f ca="1">IFERROR(OFFSET(ITEM_RES!$A$1,MATCH(BD556,ITEM_RES!$J:$J,0)-1,0),0)</f>
        <v>0</v>
      </c>
      <c r="BH556" s="11">
        <f ca="1">IFERROR(OFFSET(ITEM_RES!$A$1,MATCH(BI556,ITEM_RES!$J:$J,0)-1,0),0)</f>
        <v>213011701</v>
      </c>
      <c r="BI556" s="10" t="s">
        <v>478</v>
      </c>
      <c r="BJ556" s="11">
        <v>1</v>
      </c>
      <c r="BM556" s="11">
        <f ca="1">IFERROR(OFFSET(ITEM_RES!$A$1,MATCH(BN556,ITEM_RES!$J:$J,0)-1,0),0)</f>
        <v>0</v>
      </c>
    </row>
    <row r="557" spans="1:68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1089</v>
      </c>
      <c r="M557" s="9">
        <v>1</v>
      </c>
      <c r="N557" s="9">
        <v>15</v>
      </c>
      <c r="O557" s="9" t="s">
        <v>1108</v>
      </c>
      <c r="S557" s="9">
        <v>5555</v>
      </c>
      <c r="V557" s="9">
        <f ca="1">IFERROR(OFFSET(ITEM_RES!$A$5,MATCH(BUILDING!U557,ITEM_RES!$J$5:$J$226,0)-1,0),0)</f>
        <v>0</v>
      </c>
      <c r="Y557" s="9">
        <f ca="1">IFERROR(OFFSET(ITEM_RES!$A$5,MATCH(BUILDING!X557,ITEM_RES!$J$5:$J$226,0)-1,0),0)</f>
        <v>0</v>
      </c>
      <c r="AA557" s="9" t="s">
        <v>365</v>
      </c>
      <c r="AB557" s="9">
        <v>13</v>
      </c>
      <c r="AD557" s="11">
        <f ca="1">IFERROR(OFFSET(MANOR_LEVEL!$B$1,MATCH(AE557-1,MANOR_LEVEL!$A:$A,0)-1,0),0)</f>
        <v>800</v>
      </c>
      <c r="AE557" s="56">
        <v>4</v>
      </c>
      <c r="AG557" s="56">
        <f t="shared" ca="1" si="148"/>
        <v>350</v>
      </c>
      <c r="AH557" s="10">
        <f ca="1">AM557+AO557+(IFERROR(OFFSET(ITEM_RES!$S$1,MATCH(AS557,ITEM_RES!$A:$A,0)-1,0),0)*AU557+IFERROR(OFFSET(ITEM_RES!$S$1,MATCH(AX557,ITEM_RES!$A:$A,0)-1,0),0)*AZ557+IFERROR(OFFSET(ITEM_RES!$S$1,MATCH(BC557,ITEM_RES!$A:$A,0)-1,0),0)*BE557+IFERROR(OFFSET(ITEM_RES!$S$1,MATCH(BH557,ITEM_RES!$A:$A,0)-1,0),0)*BJ557+IFERROR(OFFSET(ITEM_RES!$S$1,MATCH(BM557,ITEM_RES!$A:$A,0)-1,0),0)*BO557)/1000</f>
        <v>350.2</v>
      </c>
      <c r="AI557" s="182">
        <f t="shared" ca="1" si="156"/>
        <v>1650</v>
      </c>
      <c r="AK557" s="11">
        <f t="shared" ref="AK557:AK564" si="157">ROUND(AL557,0)</f>
        <v>65</v>
      </c>
      <c r="AL557" s="10">
        <v>65</v>
      </c>
      <c r="AM557" s="11">
        <f t="shared" si="154"/>
        <v>350</v>
      </c>
      <c r="AN557" s="10">
        <v>350</v>
      </c>
      <c r="AO557" s="11">
        <f t="shared" si="154"/>
        <v>0</v>
      </c>
      <c r="AP557" s="10">
        <v>0</v>
      </c>
      <c r="AQ557" s="56">
        <f t="shared" si="149"/>
        <v>1</v>
      </c>
      <c r="AS557" s="11">
        <f ca="1">IFERROR(OFFSET(ITEM_RES!$A$1,MATCH(AT557,ITEM_RES!$J:$J,0)-1,0),0)</f>
        <v>211020901</v>
      </c>
      <c r="AT557" s="10" t="s">
        <v>445</v>
      </c>
      <c r="AU557" s="11">
        <v>1</v>
      </c>
      <c r="AX557" s="11">
        <f ca="1">IFERROR(OFFSET(ITEM_RES!$A$1,MATCH(AY557,ITEM_RES!$J:$J,0)-1,0),0)</f>
        <v>0</v>
      </c>
      <c r="BC557" s="11">
        <f ca="1">IFERROR(OFFSET(ITEM_RES!$A$1,MATCH(BD557,ITEM_RES!$J:$J,0)-1,0),0)</f>
        <v>0</v>
      </c>
      <c r="BH557" s="11">
        <f ca="1">IFERROR(OFFSET(ITEM_RES!$A$1,MATCH(BI557,ITEM_RES!$J:$J,0)-1,0),0)</f>
        <v>0</v>
      </c>
      <c r="BM557" s="11">
        <f ca="1">IFERROR(OFFSET(ITEM_RES!$A$1,MATCH(BN557,ITEM_RES!$J:$J,0)-1,0),0)</f>
        <v>0</v>
      </c>
    </row>
    <row r="558" spans="1:68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1089</v>
      </c>
      <c r="M558" s="9">
        <v>1</v>
      </c>
      <c r="N558" s="9">
        <v>15</v>
      </c>
      <c r="O558" s="9" t="s">
        <v>1108</v>
      </c>
      <c r="S558" s="9">
        <v>5555</v>
      </c>
      <c r="V558" s="9">
        <f ca="1">IFERROR(OFFSET(ITEM_RES!$A$5,MATCH(BUILDING!U558,ITEM_RES!$J$5:$J$226,0)-1,0),0)</f>
        <v>0</v>
      </c>
      <c r="Y558" s="9">
        <f ca="1">IFERROR(OFFSET(ITEM_RES!$A$5,MATCH(BUILDING!X558,ITEM_RES!$J$5:$J$226,0)-1,0),0)</f>
        <v>0</v>
      </c>
      <c r="AA558" s="9" t="s">
        <v>365</v>
      </c>
      <c r="AB558" s="9">
        <v>14</v>
      </c>
      <c r="AD558" s="11">
        <f ca="1">IFERROR(OFFSET(MANOR_LEVEL!$B$1,MATCH(AE558-1,MANOR_LEVEL!$A:$A,0)-1,0),0)</f>
        <v>800</v>
      </c>
      <c r="AE558" s="56">
        <v>4</v>
      </c>
      <c r="AG558" s="56">
        <f t="shared" ref="AG558:AG564" ca="1" si="158">ROUND(AH558,0)</f>
        <v>450</v>
      </c>
      <c r="AH558" s="10">
        <f ca="1">AM558+AO558+(IFERROR(OFFSET(ITEM_RES!$S$1,MATCH(AS558,ITEM_RES!$A:$A,0)-1,0),0)*AU558+IFERROR(OFFSET(ITEM_RES!$S$1,MATCH(AX558,ITEM_RES!$A:$A,0)-1,0),0)*AZ558+IFERROR(OFFSET(ITEM_RES!$S$1,MATCH(BC558,ITEM_RES!$A:$A,0)-1,0),0)*BE558+IFERROR(OFFSET(ITEM_RES!$S$1,MATCH(BH558,ITEM_RES!$A:$A,0)-1,0),0)*BJ558+IFERROR(OFFSET(ITEM_RES!$S$1,MATCH(BM558,ITEM_RES!$A:$A,0)-1,0),0)*BO558)/1000</f>
        <v>450.2</v>
      </c>
      <c r="AI558" s="182">
        <f t="shared" ca="1" si="156"/>
        <v>800</v>
      </c>
      <c r="AK558" s="11">
        <f t="shared" si="157"/>
        <v>70</v>
      </c>
      <c r="AL558" s="10">
        <v>70</v>
      </c>
      <c r="AM558" s="11">
        <f t="shared" si="154"/>
        <v>450</v>
      </c>
      <c r="AN558" s="10">
        <v>450</v>
      </c>
      <c r="AO558" s="11">
        <f t="shared" si="154"/>
        <v>0</v>
      </c>
      <c r="AP558" s="10">
        <v>0</v>
      </c>
      <c r="AQ558" s="56">
        <f t="shared" ref="AQ558:AQ564" si="159">(AU558&gt;0)*1+(AZ558&gt;0)*1+(BE558&gt;0)*1+(BJ558&gt;0)*1+(BO558&gt;0)*1</f>
        <v>1</v>
      </c>
      <c r="AS558" s="11">
        <f ca="1">IFERROR(OFFSET(ITEM_RES!$A$1,MATCH(AT558,ITEM_RES!$J:$J,0)-1,0),0)</f>
        <v>211020901</v>
      </c>
      <c r="AT558" s="10" t="s">
        <v>445</v>
      </c>
      <c r="AU558" s="11">
        <v>1</v>
      </c>
      <c r="AX558" s="11">
        <f ca="1">IFERROR(OFFSET(ITEM_RES!$A$1,MATCH(AY558,ITEM_RES!$J:$J,0)-1,0),0)</f>
        <v>0</v>
      </c>
      <c r="BC558" s="11">
        <f ca="1">IFERROR(OFFSET(ITEM_RES!$A$1,MATCH(BD558,ITEM_RES!$J:$J,0)-1,0),0)</f>
        <v>0</v>
      </c>
      <c r="BH558" s="11">
        <f ca="1">IFERROR(OFFSET(ITEM_RES!$A$1,MATCH(BI558,ITEM_RES!$J:$J,0)-1,0),0)</f>
        <v>0</v>
      </c>
      <c r="BM558" s="11">
        <f ca="1">IFERROR(OFFSET(ITEM_RES!$A$1,MATCH(BN558,ITEM_RES!$J:$J,0)-1,0),0)</f>
        <v>0</v>
      </c>
    </row>
    <row r="559" spans="1:68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1089</v>
      </c>
      <c r="M559" s="9">
        <v>1</v>
      </c>
      <c r="N559" s="9">
        <v>15</v>
      </c>
      <c r="O559" s="9" t="s">
        <v>1108</v>
      </c>
      <c r="S559" s="9">
        <v>5555</v>
      </c>
      <c r="V559" s="9">
        <f ca="1">IFERROR(OFFSET(ITEM_RES!$A$5,MATCH(BUILDING!U559,ITEM_RES!$J$5:$J$226,0)-1,0),0)</f>
        <v>0</v>
      </c>
      <c r="Y559" s="9">
        <f ca="1">IFERROR(OFFSET(ITEM_RES!$A$5,MATCH(BUILDING!X559,ITEM_RES!$J$5:$J$226,0)-1,0),0)</f>
        <v>0</v>
      </c>
      <c r="AA559" s="9" t="s">
        <v>365</v>
      </c>
      <c r="AB559" s="9">
        <v>15</v>
      </c>
      <c r="AD559" s="11">
        <f ca="1">IFERROR(OFFSET(MANOR_LEVEL!$B$1,MATCH(AE559-1,MANOR_LEVEL!$A:$A,0)-1,0),0)</f>
        <v>1500</v>
      </c>
      <c r="AE559" s="56">
        <v>5</v>
      </c>
      <c r="AG559" s="56">
        <f t="shared" ca="1" si="158"/>
        <v>550</v>
      </c>
      <c r="AH559" s="10">
        <f ca="1">AM559+AO559+(IFERROR(OFFSET(ITEM_RES!$S$1,MATCH(AS559,ITEM_RES!$A:$A,0)-1,0),0)*AU559+IFERROR(OFFSET(ITEM_RES!$S$1,MATCH(AX559,ITEM_RES!$A:$A,0)-1,0),0)*AZ559+IFERROR(OFFSET(ITEM_RES!$S$1,MATCH(BC559,ITEM_RES!$A:$A,0)-1,0),0)*BE559+IFERROR(OFFSET(ITEM_RES!$S$1,MATCH(BH559,ITEM_RES!$A:$A,0)-1,0),0)*BJ559+IFERROR(OFFSET(ITEM_RES!$S$1,MATCH(BM559,ITEM_RES!$A:$A,0)-1,0),0)*BO559)/1000</f>
        <v>550.20000000000005</v>
      </c>
      <c r="AI559" s="182">
        <f t="shared" ca="1" si="156"/>
        <v>1000</v>
      </c>
      <c r="AK559" s="11">
        <f t="shared" si="157"/>
        <v>75</v>
      </c>
      <c r="AL559" s="10">
        <v>75</v>
      </c>
      <c r="AM559" s="11">
        <f t="shared" si="154"/>
        <v>550</v>
      </c>
      <c r="AN559" s="10">
        <v>550</v>
      </c>
      <c r="AO559" s="11">
        <f t="shared" si="154"/>
        <v>0</v>
      </c>
      <c r="AP559" s="10">
        <v>0</v>
      </c>
      <c r="AQ559" s="56">
        <f t="shared" si="159"/>
        <v>1</v>
      </c>
      <c r="AS559" s="11">
        <f ca="1">IFERROR(OFFSET(ITEM_RES!$A$1,MATCH(AT559,ITEM_RES!$J:$J,0)-1,0),0)</f>
        <v>211020901</v>
      </c>
      <c r="AT559" s="10" t="s">
        <v>445</v>
      </c>
      <c r="AU559" s="11">
        <v>1</v>
      </c>
      <c r="AX559" s="11">
        <f ca="1">IFERROR(OFFSET(ITEM_RES!$A$1,MATCH(AY559,ITEM_RES!$J:$J,0)-1,0),0)</f>
        <v>0</v>
      </c>
      <c r="BC559" s="11">
        <f ca="1">IFERROR(OFFSET(ITEM_RES!$A$1,MATCH(BD559,ITEM_RES!$J:$J,0)-1,0),0)</f>
        <v>0</v>
      </c>
      <c r="BH559" s="11">
        <f ca="1">IFERROR(OFFSET(ITEM_RES!$A$1,MATCH(BI559,ITEM_RES!$J:$J,0)-1,0),0)</f>
        <v>0</v>
      </c>
      <c r="BM559" s="11">
        <f ca="1">IFERROR(OFFSET(ITEM_RES!$A$1,MATCH(BN559,ITEM_RES!$J:$J,0)-1,0),0)</f>
        <v>0</v>
      </c>
    </row>
    <row r="560" spans="1:68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1089</v>
      </c>
      <c r="M560" s="9">
        <v>0</v>
      </c>
      <c r="N560" s="9">
        <v>15</v>
      </c>
      <c r="O560" s="9" t="s">
        <v>1108</v>
      </c>
      <c r="S560" s="9">
        <v>5555</v>
      </c>
      <c r="V560" s="9">
        <f ca="1">IFERROR(OFFSET(ITEM_RES!$A$5,MATCH(BUILDING!U560,ITEM_RES!$J$5:$J$226,0)-1,0),0)</f>
        <v>0</v>
      </c>
      <c r="Y560" s="9">
        <f ca="1">IFERROR(OFFSET(ITEM_RES!$A$5,MATCH(BUILDING!X560,ITEM_RES!$J$5:$J$226,0)-1,0),0)</f>
        <v>0</v>
      </c>
      <c r="AA560" s="9" t="s">
        <v>365</v>
      </c>
      <c r="AB560" s="9">
        <v>16</v>
      </c>
      <c r="AD560" s="11">
        <f ca="1">IFERROR(OFFSET(MANOR_LEVEL!$B$1,MATCH(AE560-1,MANOR_LEVEL!$A:$A,0)-1,0),0)</f>
        <v>1500</v>
      </c>
      <c r="AE560" s="56">
        <v>5</v>
      </c>
      <c r="AG560" s="56">
        <f t="shared" ca="1" si="158"/>
        <v>700</v>
      </c>
      <c r="AH560" s="10">
        <f ca="1">AM560+AO560+(IFERROR(OFFSET(ITEM_RES!$S$1,MATCH(AS560,ITEM_RES!$A:$A,0)-1,0),0)*AU560+IFERROR(OFFSET(ITEM_RES!$S$1,MATCH(AX560,ITEM_RES!$A:$A,0)-1,0),0)*AZ560+IFERROR(OFFSET(ITEM_RES!$S$1,MATCH(BC560,ITEM_RES!$A:$A,0)-1,0),0)*BE560+IFERROR(OFFSET(ITEM_RES!$S$1,MATCH(BH560,ITEM_RES!$A:$A,0)-1,0),0)*BJ560+IFERROR(OFFSET(ITEM_RES!$S$1,MATCH(BM560,ITEM_RES!$A:$A,0)-1,0),0)*BO560)/1000</f>
        <v>700.2</v>
      </c>
      <c r="AI560" s="182">
        <f t="shared" ca="1" si="156"/>
        <v>1250</v>
      </c>
      <c r="AK560" s="11">
        <f t="shared" si="157"/>
        <v>80</v>
      </c>
      <c r="AL560" s="10">
        <v>80</v>
      </c>
      <c r="AM560" s="11">
        <f t="shared" si="154"/>
        <v>700</v>
      </c>
      <c r="AN560" s="10">
        <v>700</v>
      </c>
      <c r="AO560" s="11">
        <f t="shared" si="154"/>
        <v>0</v>
      </c>
      <c r="AP560" s="10">
        <v>0</v>
      </c>
      <c r="AQ560" s="56">
        <f t="shared" si="159"/>
        <v>1</v>
      </c>
      <c r="AS560" s="11">
        <f ca="1">IFERROR(OFFSET(ITEM_RES!$A$1,MATCH(AT560,ITEM_RES!$J:$J,0)-1,0),0)</f>
        <v>211020901</v>
      </c>
      <c r="AT560" s="10" t="s">
        <v>445</v>
      </c>
      <c r="AU560" s="11">
        <v>1</v>
      </c>
      <c r="AX560" s="11">
        <f ca="1">IFERROR(OFFSET(ITEM_RES!$A$1,MATCH(AY560,ITEM_RES!$J:$J,0)-1,0),0)</f>
        <v>0</v>
      </c>
      <c r="BC560" s="11">
        <f ca="1">IFERROR(OFFSET(ITEM_RES!$A$1,MATCH(BD560,ITEM_RES!$J:$J,0)-1,0),0)</f>
        <v>0</v>
      </c>
      <c r="BH560" s="11">
        <f ca="1">IFERROR(OFFSET(ITEM_RES!$A$1,MATCH(BI560,ITEM_RES!$J:$J,0)-1,0),0)</f>
        <v>0</v>
      </c>
      <c r="BM560" s="11">
        <f ca="1">IFERROR(OFFSET(ITEM_RES!$A$1,MATCH(BN560,ITEM_RES!$J:$J,0)-1,0),0)</f>
        <v>0</v>
      </c>
    </row>
    <row r="561" spans="1:68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1089</v>
      </c>
      <c r="M561" s="9">
        <v>0</v>
      </c>
      <c r="N561" s="9">
        <v>15</v>
      </c>
      <c r="O561" s="9" t="s">
        <v>1108</v>
      </c>
      <c r="S561" s="9">
        <v>5555</v>
      </c>
      <c r="V561" s="9">
        <f ca="1">IFERROR(OFFSET(ITEM_RES!$A$5,MATCH(BUILDING!U561,ITEM_RES!$J$5:$J$226,0)-1,0),0)</f>
        <v>0</v>
      </c>
      <c r="Y561" s="9">
        <f ca="1">IFERROR(OFFSET(ITEM_RES!$A$5,MATCH(BUILDING!X561,ITEM_RES!$J$5:$J$226,0)-1,0),0)</f>
        <v>0</v>
      </c>
      <c r="AA561" s="9" t="s">
        <v>365</v>
      </c>
      <c r="AB561" s="9">
        <v>17</v>
      </c>
      <c r="AD561" s="11">
        <f ca="1">IFERROR(OFFSET(MANOR_LEVEL!$B$1,MATCH(AE561-1,MANOR_LEVEL!$A:$A,0)-1,0),0)</f>
        <v>3872</v>
      </c>
      <c r="AE561" s="56">
        <v>6</v>
      </c>
      <c r="AG561" s="56">
        <f t="shared" ca="1" si="158"/>
        <v>850</v>
      </c>
      <c r="AH561" s="10">
        <f ca="1">AM561+AO561+(IFERROR(OFFSET(ITEM_RES!$S$1,MATCH(AS561,ITEM_RES!$A:$A,0)-1,0),0)*AU561+IFERROR(OFFSET(ITEM_RES!$S$1,MATCH(AX561,ITEM_RES!$A:$A,0)-1,0),0)*AZ561+IFERROR(OFFSET(ITEM_RES!$S$1,MATCH(BC561,ITEM_RES!$A:$A,0)-1,0),0)*BE561+IFERROR(OFFSET(ITEM_RES!$S$1,MATCH(BH561,ITEM_RES!$A:$A,0)-1,0),0)*BJ561+IFERROR(OFFSET(ITEM_RES!$S$1,MATCH(BM561,ITEM_RES!$A:$A,0)-1,0),0)*BO561)/1000</f>
        <v>850.2</v>
      </c>
      <c r="AI561" s="182">
        <f t="shared" ca="1" si="156"/>
        <v>1550</v>
      </c>
      <c r="AK561" s="11">
        <f t="shared" si="157"/>
        <v>85</v>
      </c>
      <c r="AL561" s="10">
        <v>85</v>
      </c>
      <c r="AM561" s="11">
        <f t="shared" si="154"/>
        <v>850</v>
      </c>
      <c r="AN561" s="10">
        <v>850</v>
      </c>
      <c r="AO561" s="11">
        <f t="shared" si="154"/>
        <v>0</v>
      </c>
      <c r="AP561" s="10">
        <v>0</v>
      </c>
      <c r="AQ561" s="56">
        <f t="shared" si="159"/>
        <v>1</v>
      </c>
      <c r="AS561" s="11">
        <f ca="1">IFERROR(OFFSET(ITEM_RES!$A$1,MATCH(AT561,ITEM_RES!$J:$J,0)-1,0),0)</f>
        <v>211020901</v>
      </c>
      <c r="AT561" s="10" t="s">
        <v>445</v>
      </c>
      <c r="AU561" s="11">
        <v>1</v>
      </c>
      <c r="AX561" s="11">
        <f ca="1">IFERROR(OFFSET(ITEM_RES!$A$1,MATCH(AY561,ITEM_RES!$J:$J,0)-1,0),0)</f>
        <v>0</v>
      </c>
      <c r="BC561" s="11">
        <f ca="1">IFERROR(OFFSET(ITEM_RES!$A$1,MATCH(BD561,ITEM_RES!$J:$J,0)-1,0),0)</f>
        <v>0</v>
      </c>
      <c r="BH561" s="11">
        <f ca="1">IFERROR(OFFSET(ITEM_RES!$A$1,MATCH(BI561,ITEM_RES!$J:$J,0)-1,0),0)</f>
        <v>0</v>
      </c>
      <c r="BM561" s="11">
        <f ca="1">IFERROR(OFFSET(ITEM_RES!$A$1,MATCH(BN561,ITEM_RES!$J:$J,0)-1,0),0)</f>
        <v>0</v>
      </c>
    </row>
    <row r="562" spans="1:68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1089</v>
      </c>
      <c r="M562" s="9">
        <v>0</v>
      </c>
      <c r="N562" s="9">
        <v>15</v>
      </c>
      <c r="O562" s="9" t="s">
        <v>1108</v>
      </c>
      <c r="S562" s="9">
        <v>5555</v>
      </c>
      <c r="V562" s="9">
        <f ca="1">IFERROR(OFFSET(ITEM_RES!$A$5,MATCH(BUILDING!U562,ITEM_RES!$J$5:$J$226,0)-1,0),0)</f>
        <v>0</v>
      </c>
      <c r="Y562" s="9">
        <f ca="1">IFERROR(OFFSET(ITEM_RES!$A$5,MATCH(BUILDING!X562,ITEM_RES!$J$5:$J$226,0)-1,0),0)</f>
        <v>0</v>
      </c>
      <c r="AA562" s="9" t="s">
        <v>365</v>
      </c>
      <c r="AB562" s="9">
        <v>18</v>
      </c>
      <c r="AD562" s="11">
        <f ca="1">IFERROR(OFFSET(MANOR_LEVEL!$B$1,MATCH(AE562-1,MANOR_LEVEL!$A:$A,0)-1,0),0)</f>
        <v>32640</v>
      </c>
      <c r="AE562" s="56">
        <v>7</v>
      </c>
      <c r="AG562" s="56">
        <f t="shared" ca="1" si="158"/>
        <v>1050</v>
      </c>
      <c r="AH562" s="10">
        <f ca="1">AM562+AO562+(IFERROR(OFFSET(ITEM_RES!$S$1,MATCH(AS562,ITEM_RES!$A:$A,0)-1,0),0)*AU562+IFERROR(OFFSET(ITEM_RES!$S$1,MATCH(AX562,ITEM_RES!$A:$A,0)-1,0),0)*AZ562+IFERROR(OFFSET(ITEM_RES!$S$1,MATCH(BC562,ITEM_RES!$A:$A,0)-1,0),0)*BE562+IFERROR(OFFSET(ITEM_RES!$S$1,MATCH(BH562,ITEM_RES!$A:$A,0)-1,0),0)*BJ562+IFERROR(OFFSET(ITEM_RES!$S$1,MATCH(BM562,ITEM_RES!$A:$A,0)-1,0),0)*BO562)/1000</f>
        <v>1050.2</v>
      </c>
      <c r="AI562" s="182">
        <f t="shared" ca="1" si="156"/>
        <v>1900</v>
      </c>
      <c r="AK562" s="11">
        <f t="shared" si="157"/>
        <v>90</v>
      </c>
      <c r="AL562" s="10">
        <v>90</v>
      </c>
      <c r="AM562" s="11">
        <f t="shared" si="154"/>
        <v>1050</v>
      </c>
      <c r="AN562" s="10">
        <v>1050</v>
      </c>
      <c r="AO562" s="11">
        <f t="shared" si="154"/>
        <v>0</v>
      </c>
      <c r="AP562" s="10">
        <v>0</v>
      </c>
      <c r="AQ562" s="56">
        <f t="shared" si="159"/>
        <v>1</v>
      </c>
      <c r="AS562" s="11">
        <f ca="1">IFERROR(OFFSET(ITEM_RES!$A$1,MATCH(AT562,ITEM_RES!$J:$J,0)-1,0),0)</f>
        <v>211020901</v>
      </c>
      <c r="AT562" s="10" t="s">
        <v>445</v>
      </c>
      <c r="AU562" s="11">
        <v>1</v>
      </c>
      <c r="AX562" s="11">
        <f ca="1">IFERROR(OFFSET(ITEM_RES!$A$1,MATCH(AY562,ITEM_RES!$J:$J,0)-1,0),0)</f>
        <v>0</v>
      </c>
      <c r="BC562" s="11">
        <f ca="1">IFERROR(OFFSET(ITEM_RES!$A$1,MATCH(BD562,ITEM_RES!$J:$J,0)-1,0),0)</f>
        <v>0</v>
      </c>
      <c r="BH562" s="11">
        <f ca="1">IFERROR(OFFSET(ITEM_RES!$A$1,MATCH(BI562,ITEM_RES!$J:$J,0)-1,0),0)</f>
        <v>0</v>
      </c>
      <c r="BM562" s="11">
        <f ca="1">IFERROR(OFFSET(ITEM_RES!$A$1,MATCH(BN562,ITEM_RES!$J:$J,0)-1,0),0)</f>
        <v>0</v>
      </c>
    </row>
    <row r="563" spans="1:68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1089</v>
      </c>
      <c r="M563" s="9">
        <v>0</v>
      </c>
      <c r="N563" s="9">
        <v>15</v>
      </c>
      <c r="O563" s="9" t="s">
        <v>1108</v>
      </c>
      <c r="S563" s="9">
        <v>5555</v>
      </c>
      <c r="V563" s="9">
        <f ca="1">IFERROR(OFFSET(ITEM_RES!$A$5,MATCH(BUILDING!U563,ITEM_RES!$J$5:$J$226,0)-1,0),0)</f>
        <v>0</v>
      </c>
      <c r="Y563" s="9">
        <f ca="1">IFERROR(OFFSET(ITEM_RES!$A$5,MATCH(BUILDING!X563,ITEM_RES!$J$5:$J$226,0)-1,0),0)</f>
        <v>0</v>
      </c>
      <c r="AA563" s="9" t="s">
        <v>365</v>
      </c>
      <c r="AB563" s="9">
        <v>19</v>
      </c>
      <c r="AD563" s="11">
        <f ca="1">IFERROR(OFFSET(MANOR_LEVEL!$B$1,MATCH(AE563-1,MANOR_LEVEL!$A:$A,0)-1,0),0)</f>
        <v>32640</v>
      </c>
      <c r="AE563" s="56">
        <v>7</v>
      </c>
      <c r="AG563" s="56">
        <f t="shared" ca="1" si="158"/>
        <v>1250</v>
      </c>
      <c r="AH563" s="10">
        <f ca="1">AM563+AO563+(IFERROR(OFFSET(ITEM_RES!$S$1,MATCH(AS563,ITEM_RES!$A:$A,0)-1,0),0)*AU563+IFERROR(OFFSET(ITEM_RES!$S$1,MATCH(AX563,ITEM_RES!$A:$A,0)-1,0),0)*AZ563+IFERROR(OFFSET(ITEM_RES!$S$1,MATCH(BC563,ITEM_RES!$A:$A,0)-1,0),0)*BE563+IFERROR(OFFSET(ITEM_RES!$S$1,MATCH(BH563,ITEM_RES!$A:$A,0)-1,0),0)*BJ563+IFERROR(OFFSET(ITEM_RES!$S$1,MATCH(BM563,ITEM_RES!$A:$A,0)-1,0),0)*BO563)/1000</f>
        <v>1250.2</v>
      </c>
      <c r="AI563" s="182">
        <f t="shared" ca="1" si="156"/>
        <v>2300</v>
      </c>
      <c r="AK563" s="11">
        <f t="shared" si="157"/>
        <v>95</v>
      </c>
      <c r="AL563" s="10">
        <v>95</v>
      </c>
      <c r="AM563" s="11">
        <f t="shared" si="154"/>
        <v>1250</v>
      </c>
      <c r="AN563" s="10">
        <v>1250</v>
      </c>
      <c r="AO563" s="11">
        <f t="shared" si="154"/>
        <v>0</v>
      </c>
      <c r="AP563" s="10">
        <v>0</v>
      </c>
      <c r="AQ563" s="56">
        <f t="shared" si="159"/>
        <v>1</v>
      </c>
      <c r="AS563" s="11">
        <f ca="1">IFERROR(OFFSET(ITEM_RES!$A$1,MATCH(AT563,ITEM_RES!$J:$J,0)-1,0),0)</f>
        <v>211020901</v>
      </c>
      <c r="AT563" s="10" t="s">
        <v>445</v>
      </c>
      <c r="AU563" s="11">
        <v>1</v>
      </c>
      <c r="AX563" s="11">
        <f ca="1">IFERROR(OFFSET(ITEM_RES!$A$1,MATCH(AY563,ITEM_RES!$J:$J,0)-1,0),0)</f>
        <v>0</v>
      </c>
      <c r="BC563" s="11">
        <f ca="1">IFERROR(OFFSET(ITEM_RES!$A$1,MATCH(BD563,ITEM_RES!$J:$J,0)-1,0),0)</f>
        <v>0</v>
      </c>
      <c r="BH563" s="11">
        <f ca="1">IFERROR(OFFSET(ITEM_RES!$A$1,MATCH(BI563,ITEM_RES!$J:$J,0)-1,0),0)</f>
        <v>0</v>
      </c>
      <c r="BM563" s="11">
        <f ca="1">IFERROR(OFFSET(ITEM_RES!$A$1,MATCH(BN563,ITEM_RES!$J:$J,0)-1,0),0)</f>
        <v>0</v>
      </c>
    </row>
    <row r="564" spans="1:68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1089</v>
      </c>
      <c r="M564" s="9">
        <v>0</v>
      </c>
      <c r="N564" s="9">
        <v>15</v>
      </c>
      <c r="O564" s="9" t="s">
        <v>1108</v>
      </c>
      <c r="S564" s="9">
        <v>5555</v>
      </c>
      <c r="V564" s="9">
        <f ca="1">IFERROR(OFFSET(ITEM_RES!$A$5,MATCH(BUILDING!U564,ITEM_RES!$J$5:$J$226,0)-1,0),0)</f>
        <v>0</v>
      </c>
      <c r="Y564" s="9">
        <f ca="1">IFERROR(OFFSET(ITEM_RES!$A$5,MATCH(BUILDING!X564,ITEM_RES!$J$5:$J$226,0)-1,0),0)</f>
        <v>0</v>
      </c>
      <c r="AA564" s="9" t="s">
        <v>365</v>
      </c>
      <c r="AB564" s="9">
        <v>20</v>
      </c>
      <c r="AD564" s="11">
        <f ca="1">IFERROR(OFFSET(MANOR_LEVEL!$B$1,MATCH(AE564-1,MANOR_LEVEL!$A:$A,0)-1,0),0)</f>
        <v>32640</v>
      </c>
      <c r="AE564" s="56">
        <v>7</v>
      </c>
      <c r="AG564" s="56">
        <f t="shared" ca="1" si="158"/>
        <v>1500</v>
      </c>
      <c r="AH564" s="10">
        <f ca="1">AM564+AO564+(IFERROR(OFFSET(ITEM_RES!$S$1,MATCH(AS564,ITEM_RES!$A:$A,0)-1,0),0)*AU564+IFERROR(OFFSET(ITEM_RES!$S$1,MATCH(AX564,ITEM_RES!$A:$A,0)-1,0),0)*AZ564+IFERROR(OFFSET(ITEM_RES!$S$1,MATCH(BC564,ITEM_RES!$A:$A,0)-1,0),0)*BE564+IFERROR(OFFSET(ITEM_RES!$S$1,MATCH(BH564,ITEM_RES!$A:$A,0)-1,0),0)*BJ564+IFERROR(OFFSET(ITEM_RES!$S$1,MATCH(BM564,ITEM_RES!$A:$A,0)-1,0),0)*BO564)/1000</f>
        <v>1500.2</v>
      </c>
      <c r="AI564" s="182">
        <f t="shared" ca="1" si="156"/>
        <v>2750</v>
      </c>
      <c r="AK564" s="11">
        <f t="shared" si="157"/>
        <v>100</v>
      </c>
      <c r="AL564" s="10">
        <v>100</v>
      </c>
      <c r="AM564" s="11">
        <f t="shared" si="154"/>
        <v>1500</v>
      </c>
      <c r="AN564" s="10">
        <v>1500</v>
      </c>
      <c r="AO564" s="11">
        <f t="shared" si="154"/>
        <v>0</v>
      </c>
      <c r="AP564" s="10">
        <v>0</v>
      </c>
      <c r="AQ564" s="56">
        <f t="shared" si="159"/>
        <v>1</v>
      </c>
      <c r="AS564" s="11">
        <f ca="1">IFERROR(OFFSET(ITEM_RES!$A$1,MATCH(AT564,ITEM_RES!$J:$J,0)-1,0),0)</f>
        <v>211020901</v>
      </c>
      <c r="AT564" s="10" t="s">
        <v>445</v>
      </c>
      <c r="AU564" s="11">
        <v>1</v>
      </c>
      <c r="AX564" s="11">
        <f ca="1">IFERROR(OFFSET(ITEM_RES!$A$1,MATCH(AY564,ITEM_RES!$J:$J,0)-1,0),0)</f>
        <v>0</v>
      </c>
      <c r="BC564" s="11">
        <f ca="1">IFERROR(OFFSET(ITEM_RES!$A$1,MATCH(BD564,ITEM_RES!$J:$J,0)-1,0),0)</f>
        <v>0</v>
      </c>
      <c r="BH564" s="11">
        <f ca="1">IFERROR(OFFSET(ITEM_RES!$A$1,MATCH(BI564,ITEM_RES!$J:$J,0)-1,0),0)</f>
        <v>0</v>
      </c>
      <c r="BM564" s="11">
        <f ca="1">IFERROR(OFFSET(ITEM_RES!$A$1,MATCH(BN564,ITEM_RES!$J:$J,0)-1,0),0)</f>
        <v>0</v>
      </c>
    </row>
    <row r="565" spans="1:68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7"/>
      <c r="Q565" s="17"/>
      <c r="R565" s="18"/>
      <c r="S565" s="16"/>
      <c r="T565" s="78"/>
      <c r="U565" s="86"/>
      <c r="V565" s="16"/>
      <c r="W565" s="18"/>
      <c r="X565" s="86"/>
      <c r="Y565" s="16"/>
      <c r="Z565" s="78"/>
      <c r="AA565" s="16"/>
      <c r="AB565" s="16"/>
      <c r="AC565" s="78"/>
      <c r="AD565" s="18"/>
      <c r="AE565" s="57"/>
      <c r="AF565" s="78"/>
      <c r="AG565" s="57"/>
      <c r="AH565" s="17"/>
      <c r="AI565" s="184"/>
      <c r="AJ565" s="78"/>
      <c r="AK565" s="18"/>
      <c r="AL565" s="17"/>
      <c r="AM565" s="18"/>
      <c r="AN565" s="17"/>
      <c r="AO565" s="18"/>
      <c r="AP565" s="17"/>
      <c r="AQ565" s="57"/>
      <c r="AR565" s="18"/>
      <c r="AS565" s="18"/>
      <c r="AT565" s="17"/>
      <c r="AU565" s="18"/>
      <c r="AV565" s="17"/>
      <c r="AW565" s="18"/>
      <c r="AX565" s="18"/>
      <c r="AY565" s="17"/>
      <c r="AZ565" s="18"/>
      <c r="BA565" s="17"/>
      <c r="BB565" s="18"/>
      <c r="BC565" s="18"/>
      <c r="BD565" s="17"/>
      <c r="BE565" s="18"/>
      <c r="BF565" s="17"/>
      <c r="BG565" s="18"/>
      <c r="BH565" s="18"/>
      <c r="BI565" s="17"/>
      <c r="BJ565" s="18"/>
      <c r="BK565" s="17"/>
      <c r="BL565" s="18"/>
      <c r="BM565" s="18"/>
      <c r="BN565" s="17"/>
      <c r="BO565" s="18"/>
      <c r="BP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E105"/>
  <sheetViews>
    <sheetView zoomScale="90" zoomScaleNormal="90" workbookViewId="0">
      <selection activeCell="N21" sqref="N21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16384" width="8.75" style="34"/>
  </cols>
  <sheetData>
    <row r="1" spans="1:31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805</v>
      </c>
      <c r="L1" s="35" t="s">
        <v>593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593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</row>
    <row r="2" spans="1:31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804</v>
      </c>
      <c r="L2" s="35" t="s">
        <v>912</v>
      </c>
      <c r="O2" s="34" t="s">
        <v>62</v>
      </c>
      <c r="P2" s="35" t="s">
        <v>62</v>
      </c>
      <c r="Q2" s="35" t="s">
        <v>62</v>
      </c>
      <c r="R2" s="69"/>
      <c r="S2" s="34" t="s">
        <v>843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</row>
    <row r="3" spans="1:31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803</v>
      </c>
      <c r="L3" s="35" t="s">
        <v>908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1267</v>
      </c>
      <c r="Y3" s="1" t="s">
        <v>1268</v>
      </c>
      <c r="Z3" s="147" t="s">
        <v>1269</v>
      </c>
      <c r="AA3" s="147" t="s">
        <v>1265</v>
      </c>
      <c r="AB3" s="147" t="s">
        <v>1266</v>
      </c>
      <c r="AC3" s="1" t="s">
        <v>1270</v>
      </c>
      <c r="AD3" s="147" t="s">
        <v>1271</v>
      </c>
      <c r="AE3" s="1" t="s">
        <v>1272</v>
      </c>
    </row>
    <row r="4" spans="1:31" s="79" customFormat="1" ht="83.25" thickBot="1" x14ac:dyDescent="0.2">
      <c r="A4" s="79" t="s">
        <v>337</v>
      </c>
      <c r="B4" s="80" t="s">
        <v>414</v>
      </c>
      <c r="C4" s="80" t="s">
        <v>596</v>
      </c>
      <c r="D4" s="80" t="s">
        <v>597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846</v>
      </c>
      <c r="L4" s="81" t="s">
        <v>911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913</v>
      </c>
      <c r="S4" s="79" t="s">
        <v>909</v>
      </c>
      <c r="T4" s="80" t="s">
        <v>910</v>
      </c>
      <c r="U4" s="70" t="s">
        <v>346</v>
      </c>
      <c r="V4" s="2" t="s">
        <v>413</v>
      </c>
      <c r="W4" s="70" t="s">
        <v>885</v>
      </c>
      <c r="X4" s="191" t="s">
        <v>886</v>
      </c>
      <c r="Y4" s="2" t="s">
        <v>884</v>
      </c>
      <c r="Z4" s="148" t="s">
        <v>1273</v>
      </c>
      <c r="AA4" s="148" t="s">
        <v>889</v>
      </c>
      <c r="AB4" s="148" t="s">
        <v>891</v>
      </c>
      <c r="AC4" s="2" t="s">
        <v>892</v>
      </c>
      <c r="AD4" s="148" t="s">
        <v>890</v>
      </c>
      <c r="AE4" s="2" t="s">
        <v>1274</v>
      </c>
    </row>
    <row r="5" spans="1:31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1275</v>
      </c>
      <c r="L5" s="38">
        <v>1</v>
      </c>
      <c r="M5" s="39" t="s">
        <v>409</v>
      </c>
      <c r="N5" s="39" t="s">
        <v>406</v>
      </c>
      <c r="O5" s="37" t="s">
        <v>784</v>
      </c>
      <c r="P5" s="38"/>
      <c r="Q5" s="38" t="s">
        <v>713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</row>
    <row r="6" spans="1:31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1276</v>
      </c>
      <c r="L6" s="62">
        <v>2</v>
      </c>
      <c r="M6" s="39" t="s">
        <v>409</v>
      </c>
      <c r="N6" s="39" t="s">
        <v>406</v>
      </c>
      <c r="O6" s="68" t="s">
        <v>785</v>
      </c>
      <c r="P6" s="62"/>
      <c r="Q6" s="38" t="s">
        <v>714</v>
      </c>
      <c r="R6" s="75"/>
      <c r="S6" s="37">
        <f t="shared" ref="S6:S56" si="2">T6*1000</f>
        <v>20</v>
      </c>
      <c r="T6" s="151">
        <v>0.02</v>
      </c>
      <c r="U6" s="75"/>
      <c r="V6" s="62">
        <v>1</v>
      </c>
      <c r="W6" s="75"/>
      <c r="X6" s="68">
        <f t="shared" ref="X6:X56" si="3">IF(Y6+Z6+AA6+AB6+AC6+AD6+AE6&gt;0,1,0)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</row>
    <row r="7" spans="1:31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1277</v>
      </c>
      <c r="L7" s="62">
        <v>3</v>
      </c>
      <c r="M7" s="39" t="s">
        <v>409</v>
      </c>
      <c r="N7" s="39" t="s">
        <v>406</v>
      </c>
      <c r="O7" s="68" t="s">
        <v>786</v>
      </c>
      <c r="P7" s="62"/>
      <c r="Q7" s="38" t="s">
        <v>715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68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</row>
    <row r="8" spans="1:31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1278</v>
      </c>
      <c r="L8" s="62">
        <v>4</v>
      </c>
      <c r="M8" s="39" t="s">
        <v>441</v>
      </c>
      <c r="N8" s="39" t="s">
        <v>451</v>
      </c>
      <c r="O8" s="68" t="s">
        <v>787</v>
      </c>
      <c r="P8" s="62"/>
      <c r="Q8" s="38" t="s">
        <v>716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68">
        <f t="shared" si="3"/>
        <v>0</v>
      </c>
      <c r="Y8" s="62"/>
      <c r="Z8" s="150"/>
      <c r="AA8" s="150"/>
      <c r="AB8" s="150"/>
      <c r="AC8" s="62"/>
      <c r="AD8" s="150"/>
      <c r="AE8" s="62"/>
    </row>
    <row r="9" spans="1:31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1279</v>
      </c>
      <c r="L9" s="38">
        <v>5</v>
      </c>
      <c r="M9" s="39" t="s">
        <v>409</v>
      </c>
      <c r="N9" s="39" t="s">
        <v>406</v>
      </c>
      <c r="O9" s="68" t="s">
        <v>788</v>
      </c>
      <c r="P9" s="62"/>
      <c r="Q9" s="38" t="s">
        <v>717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68">
        <f t="shared" si="3"/>
        <v>1</v>
      </c>
      <c r="Y9" s="62"/>
      <c r="Z9" s="150"/>
      <c r="AA9" s="150">
        <v>50</v>
      </c>
      <c r="AB9" s="150"/>
      <c r="AC9" s="62"/>
      <c r="AD9" s="150"/>
      <c r="AE9" s="62"/>
    </row>
    <row r="10" spans="1:31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1280</v>
      </c>
      <c r="L10" s="62">
        <v>6</v>
      </c>
      <c r="M10" s="39" t="s">
        <v>409</v>
      </c>
      <c r="N10" s="39" t="s">
        <v>406</v>
      </c>
      <c r="O10" s="34" t="s">
        <v>789</v>
      </c>
      <c r="Q10" s="38" t="s">
        <v>718</v>
      </c>
      <c r="S10" s="37">
        <f t="shared" si="2"/>
        <v>10</v>
      </c>
      <c r="T10" s="151">
        <v>0.01</v>
      </c>
      <c r="V10" s="35">
        <v>1</v>
      </c>
      <c r="X10" s="34">
        <f t="shared" si="3"/>
        <v>0</v>
      </c>
    </row>
    <row r="11" spans="1:31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1281</v>
      </c>
      <c r="L11" s="62">
        <v>7</v>
      </c>
      <c r="M11" s="39" t="s">
        <v>406</v>
      </c>
      <c r="N11" s="39"/>
      <c r="O11" s="34" t="s">
        <v>790</v>
      </c>
      <c r="Q11" s="38" t="s">
        <v>719</v>
      </c>
      <c r="S11" s="37">
        <f t="shared" si="2"/>
        <v>10</v>
      </c>
      <c r="T11" s="151">
        <v>0.01</v>
      </c>
      <c r="V11" s="35">
        <v>1</v>
      </c>
      <c r="X11" s="34">
        <f t="shared" si="3"/>
        <v>0</v>
      </c>
    </row>
    <row r="12" spans="1:31" x14ac:dyDescent="0.15">
      <c r="A12" s="34">
        <f t="shared" ref="A12:A56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1282</v>
      </c>
      <c r="L12" s="62">
        <v>8</v>
      </c>
      <c r="M12" s="39" t="s">
        <v>406</v>
      </c>
      <c r="O12" s="34" t="s">
        <v>791</v>
      </c>
      <c r="Q12" s="38" t="s">
        <v>887</v>
      </c>
      <c r="S12" s="37">
        <f t="shared" si="2"/>
        <v>5</v>
      </c>
      <c r="T12" s="151">
        <v>5.0000000000000001E-3</v>
      </c>
      <c r="V12" s="35">
        <v>1</v>
      </c>
      <c r="X12" s="34">
        <f t="shared" si="3"/>
        <v>1</v>
      </c>
      <c r="Z12" s="149">
        <v>10</v>
      </c>
      <c r="AA12" s="149">
        <v>10</v>
      </c>
      <c r="AB12" s="149">
        <v>-10</v>
      </c>
    </row>
    <row r="13" spans="1:31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1283</v>
      </c>
      <c r="L13" s="38">
        <v>9</v>
      </c>
      <c r="M13" s="36" t="s">
        <v>406</v>
      </c>
      <c r="O13" s="34" t="s">
        <v>792</v>
      </c>
      <c r="Q13" s="38" t="s">
        <v>720</v>
      </c>
      <c r="S13" s="37">
        <f t="shared" si="2"/>
        <v>100</v>
      </c>
      <c r="T13" s="151">
        <v>0.1</v>
      </c>
      <c r="V13" s="35">
        <v>1</v>
      </c>
      <c r="X13" s="34">
        <f t="shared" si="3"/>
        <v>0</v>
      </c>
    </row>
    <row r="14" spans="1:31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1284</v>
      </c>
      <c r="L14" s="62">
        <v>10</v>
      </c>
      <c r="M14" s="36" t="s">
        <v>406</v>
      </c>
      <c r="O14" s="34" t="s">
        <v>793</v>
      </c>
      <c r="Q14" s="38" t="s">
        <v>721</v>
      </c>
      <c r="S14" s="37">
        <f t="shared" si="2"/>
        <v>100</v>
      </c>
      <c r="T14" s="39">
        <v>0.1</v>
      </c>
      <c r="V14" s="35">
        <v>1</v>
      </c>
      <c r="X14" s="34">
        <f t="shared" si="3"/>
        <v>0</v>
      </c>
    </row>
    <row r="15" spans="1:31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1285</v>
      </c>
      <c r="L15" s="62">
        <v>15</v>
      </c>
      <c r="M15" s="36" t="s">
        <v>500</v>
      </c>
      <c r="N15" s="36" t="s">
        <v>501</v>
      </c>
      <c r="O15" s="34" t="s">
        <v>1111</v>
      </c>
      <c r="Q15" s="38" t="s">
        <v>722</v>
      </c>
      <c r="S15" s="37">
        <f t="shared" si="2"/>
        <v>1000</v>
      </c>
      <c r="T15" s="151">
        <v>1</v>
      </c>
      <c r="V15" s="35">
        <v>1</v>
      </c>
      <c r="X15" s="34">
        <f t="shared" si="3"/>
        <v>1</v>
      </c>
      <c r="Y15" s="35">
        <v>50</v>
      </c>
    </row>
    <row r="16" spans="1:31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1286</v>
      </c>
      <c r="L16" s="35">
        <v>10</v>
      </c>
      <c r="M16" s="36" t="s">
        <v>406</v>
      </c>
      <c r="O16" s="34" t="s">
        <v>794</v>
      </c>
      <c r="Q16" s="38" t="s">
        <v>723</v>
      </c>
      <c r="S16" s="37">
        <f t="shared" si="2"/>
        <v>100000</v>
      </c>
      <c r="T16" s="151">
        <v>100</v>
      </c>
      <c r="V16" s="35">
        <v>1</v>
      </c>
      <c r="X16" s="34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1287</v>
      </c>
      <c r="L17" s="35">
        <v>5</v>
      </c>
      <c r="M17" s="36" t="s">
        <v>406</v>
      </c>
      <c r="O17" s="34" t="s">
        <v>795</v>
      </c>
      <c r="Q17" s="38" t="s">
        <v>724</v>
      </c>
      <c r="S17" s="37">
        <f t="shared" si="2"/>
        <v>100000</v>
      </c>
      <c r="T17" s="39">
        <v>100</v>
      </c>
      <c r="V17" s="35">
        <v>1</v>
      </c>
      <c r="X17" s="34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1288</v>
      </c>
      <c r="L18" s="35">
        <v>6</v>
      </c>
      <c r="M18" s="36" t="s">
        <v>406</v>
      </c>
      <c r="O18" s="34" t="s">
        <v>795</v>
      </c>
      <c r="Q18" s="38" t="s">
        <v>725</v>
      </c>
      <c r="S18" s="37">
        <f t="shared" si="2"/>
        <v>100000</v>
      </c>
      <c r="T18" s="39">
        <v>100</v>
      </c>
      <c r="V18" s="35">
        <v>1</v>
      </c>
      <c r="X18" s="34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1289</v>
      </c>
      <c r="L19" s="35">
        <v>7</v>
      </c>
      <c r="M19" s="36" t="s">
        <v>406</v>
      </c>
      <c r="O19" s="34" t="s">
        <v>795</v>
      </c>
      <c r="Q19" s="38" t="s">
        <v>726</v>
      </c>
      <c r="S19" s="37">
        <f t="shared" si="2"/>
        <v>100000</v>
      </c>
      <c r="T19" s="39">
        <v>100</v>
      </c>
      <c r="V19" s="35">
        <v>1</v>
      </c>
      <c r="X19" s="34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1290</v>
      </c>
      <c r="L20" s="35">
        <v>8</v>
      </c>
      <c r="M20" s="36" t="s">
        <v>451</v>
      </c>
      <c r="O20" s="34" t="s">
        <v>794</v>
      </c>
      <c r="Q20" s="38" t="s">
        <v>727</v>
      </c>
      <c r="S20" s="37">
        <f t="shared" si="2"/>
        <v>100000</v>
      </c>
      <c r="T20" s="39">
        <v>100</v>
      </c>
      <c r="V20" s="35">
        <v>1</v>
      </c>
      <c r="X20" s="34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6" si="7">H21</f>
        <v>1</v>
      </c>
      <c r="G21" s="72"/>
      <c r="H21" s="62">
        <v>1</v>
      </c>
      <c r="J21" s="35" t="s">
        <v>454</v>
      </c>
      <c r="K21" s="35" t="s">
        <v>1291</v>
      </c>
      <c r="L21" s="35">
        <v>9</v>
      </c>
      <c r="M21" s="36" t="s">
        <v>451</v>
      </c>
      <c r="O21" s="34" t="s">
        <v>794</v>
      </c>
      <c r="Q21" s="38" t="s">
        <v>728</v>
      </c>
      <c r="S21" s="37">
        <f t="shared" si="2"/>
        <v>100000</v>
      </c>
      <c r="T21" s="39">
        <v>100</v>
      </c>
      <c r="V21" s="35">
        <v>1</v>
      </c>
      <c r="X21" s="34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1292</v>
      </c>
      <c r="L22" s="35">
        <v>10</v>
      </c>
      <c r="M22" s="36" t="s">
        <v>451</v>
      </c>
      <c r="O22" s="34" t="s">
        <v>794</v>
      </c>
      <c r="Q22" s="38" t="s">
        <v>729</v>
      </c>
      <c r="S22" s="37">
        <f t="shared" si="2"/>
        <v>500000</v>
      </c>
      <c r="T22" s="39">
        <v>500</v>
      </c>
      <c r="V22" s="35">
        <v>1</v>
      </c>
      <c r="X22" s="34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1293</v>
      </c>
      <c r="L23" s="35">
        <v>11</v>
      </c>
      <c r="M23" s="36" t="s">
        <v>451</v>
      </c>
      <c r="O23" s="34" t="s">
        <v>794</v>
      </c>
      <c r="Q23" s="38" t="s">
        <v>730</v>
      </c>
      <c r="S23" s="37">
        <f t="shared" si="2"/>
        <v>100000</v>
      </c>
      <c r="T23" s="39">
        <v>100</v>
      </c>
      <c r="V23" s="35">
        <v>1</v>
      </c>
      <c r="X23" s="34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1294</v>
      </c>
      <c r="L24" s="35">
        <v>12</v>
      </c>
      <c r="M24" s="36" t="s">
        <v>451</v>
      </c>
      <c r="O24" s="34" t="s">
        <v>794</v>
      </c>
      <c r="Q24" s="38" t="s">
        <v>732</v>
      </c>
      <c r="S24" s="37">
        <f t="shared" si="2"/>
        <v>100000</v>
      </c>
      <c r="T24" s="39">
        <v>100</v>
      </c>
      <c r="V24" s="35">
        <v>1</v>
      </c>
      <c r="X24" s="34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1295</v>
      </c>
      <c r="L25" s="35">
        <v>13</v>
      </c>
      <c r="M25" s="36" t="s">
        <v>451</v>
      </c>
      <c r="O25" s="34" t="s">
        <v>794</v>
      </c>
      <c r="Q25" s="38" t="s">
        <v>731</v>
      </c>
      <c r="S25" s="37">
        <f t="shared" si="2"/>
        <v>500000</v>
      </c>
      <c r="T25" s="39">
        <v>500</v>
      </c>
      <c r="V25" s="35">
        <v>1</v>
      </c>
      <c r="X25" s="34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1296</v>
      </c>
      <c r="L26" s="35">
        <v>14</v>
      </c>
      <c r="M26" s="36" t="s">
        <v>451</v>
      </c>
      <c r="O26" s="34" t="s">
        <v>794</v>
      </c>
      <c r="Q26" s="38" t="s">
        <v>733</v>
      </c>
      <c r="S26" s="37">
        <f t="shared" si="2"/>
        <v>1000000</v>
      </c>
      <c r="T26" s="39">
        <v>1000</v>
      </c>
      <c r="V26" s="35">
        <v>1</v>
      </c>
      <c r="X26" s="34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1297</v>
      </c>
      <c r="L27" s="35">
        <v>15</v>
      </c>
      <c r="M27" s="36" t="s">
        <v>451</v>
      </c>
      <c r="O27" s="34" t="s">
        <v>794</v>
      </c>
      <c r="Q27" s="38" t="s">
        <v>734</v>
      </c>
      <c r="S27" s="37">
        <f t="shared" si="2"/>
        <v>300000</v>
      </c>
      <c r="T27" s="39">
        <v>300</v>
      </c>
      <c r="V27" s="35">
        <v>1</v>
      </c>
      <c r="X27" s="34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1298</v>
      </c>
      <c r="L28" s="35">
        <v>15</v>
      </c>
      <c r="M28" s="36" t="s">
        <v>451</v>
      </c>
      <c r="O28" s="34" t="s">
        <v>794</v>
      </c>
      <c r="Q28" s="38" t="s">
        <v>735</v>
      </c>
      <c r="S28" s="37">
        <f t="shared" si="2"/>
        <v>500000</v>
      </c>
      <c r="T28" s="39">
        <v>500</v>
      </c>
      <c r="V28" s="35">
        <v>1</v>
      </c>
      <c r="X28" s="34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1299</v>
      </c>
      <c r="L29" s="35">
        <v>15</v>
      </c>
      <c r="M29" s="36" t="s">
        <v>451</v>
      </c>
      <c r="O29" s="34" t="s">
        <v>794</v>
      </c>
      <c r="Q29" s="38" t="s">
        <v>736</v>
      </c>
      <c r="S29" s="37">
        <f t="shared" si="2"/>
        <v>100000</v>
      </c>
      <c r="T29" s="39">
        <v>100</v>
      </c>
      <c r="V29" s="35">
        <v>1</v>
      </c>
      <c r="X29" s="34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1300</v>
      </c>
      <c r="L30" s="35">
        <v>15</v>
      </c>
      <c r="M30" s="36" t="s">
        <v>451</v>
      </c>
      <c r="O30" s="34" t="s">
        <v>794</v>
      </c>
      <c r="Q30" s="38" t="s">
        <v>737</v>
      </c>
      <c r="S30" s="37">
        <f t="shared" si="2"/>
        <v>100000</v>
      </c>
      <c r="T30" s="39">
        <v>100</v>
      </c>
      <c r="V30" s="35">
        <v>1</v>
      </c>
      <c r="X30" s="34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1301</v>
      </c>
      <c r="L31" s="35">
        <v>15</v>
      </c>
      <c r="M31" s="36" t="s">
        <v>451</v>
      </c>
      <c r="O31" s="34" t="s">
        <v>794</v>
      </c>
      <c r="Q31" s="38" t="s">
        <v>738</v>
      </c>
      <c r="S31" s="37">
        <f t="shared" si="2"/>
        <v>500000</v>
      </c>
      <c r="T31" s="39">
        <v>500</v>
      </c>
      <c r="V31" s="35">
        <v>1</v>
      </c>
      <c r="X31" s="34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1302</v>
      </c>
      <c r="L32" s="35">
        <v>15</v>
      </c>
      <c r="M32" s="36" t="s">
        <v>451</v>
      </c>
      <c r="O32" s="34" t="s">
        <v>794</v>
      </c>
      <c r="Q32" s="38" t="s">
        <v>739</v>
      </c>
      <c r="S32" s="37">
        <f t="shared" si="2"/>
        <v>1000000</v>
      </c>
      <c r="T32" s="39">
        <v>1000</v>
      </c>
      <c r="V32" s="35">
        <v>1</v>
      </c>
      <c r="X32" s="34">
        <f t="shared" si="3"/>
        <v>0</v>
      </c>
    </row>
    <row r="33" spans="1:24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1303</v>
      </c>
      <c r="L33" s="35">
        <v>15</v>
      </c>
      <c r="M33" s="36" t="s">
        <v>451</v>
      </c>
      <c r="O33" s="34" t="s">
        <v>794</v>
      </c>
      <c r="Q33" s="38" t="s">
        <v>740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4">
        <f t="shared" si="3"/>
        <v>0</v>
      </c>
    </row>
    <row r="34" spans="1:24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1304</v>
      </c>
      <c r="L34" s="35">
        <v>15</v>
      </c>
      <c r="M34" s="36" t="s">
        <v>451</v>
      </c>
      <c r="O34" s="34" t="s">
        <v>794</v>
      </c>
      <c r="Q34" s="38" t="s">
        <v>741</v>
      </c>
      <c r="S34" s="37">
        <f t="shared" si="2"/>
        <v>1000000</v>
      </c>
      <c r="T34" s="39">
        <v>1000</v>
      </c>
      <c r="V34" s="35">
        <v>1</v>
      </c>
      <c r="X34" s="34">
        <f t="shared" si="3"/>
        <v>0</v>
      </c>
    </row>
    <row r="35" spans="1:24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1305</v>
      </c>
      <c r="L35" s="35">
        <v>5</v>
      </c>
      <c r="M35" s="36" t="s">
        <v>498</v>
      </c>
      <c r="O35" s="34" t="s">
        <v>1090</v>
      </c>
      <c r="Q35" s="38" t="s">
        <v>742</v>
      </c>
      <c r="S35" s="37">
        <f t="shared" si="2"/>
        <v>10000</v>
      </c>
      <c r="T35" s="39">
        <v>10</v>
      </c>
      <c r="V35" s="35">
        <v>1</v>
      </c>
      <c r="X35" s="34">
        <f t="shared" si="3"/>
        <v>0</v>
      </c>
    </row>
    <row r="36" spans="1:24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1306</v>
      </c>
      <c r="L36" s="35">
        <v>6</v>
      </c>
      <c r="M36" s="36" t="s">
        <v>498</v>
      </c>
      <c r="O36" s="34" t="s">
        <v>1091</v>
      </c>
      <c r="Q36" s="38" t="s">
        <v>742</v>
      </c>
      <c r="S36" s="37">
        <f t="shared" si="2"/>
        <v>100000</v>
      </c>
      <c r="T36" s="39">
        <v>100</v>
      </c>
      <c r="V36" s="35">
        <v>1</v>
      </c>
      <c r="X36" s="34">
        <f t="shared" si="3"/>
        <v>0</v>
      </c>
    </row>
    <row r="37" spans="1:24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1307</v>
      </c>
      <c r="L37" s="35">
        <v>7</v>
      </c>
      <c r="M37" s="36" t="s">
        <v>498</v>
      </c>
      <c r="O37" s="34" t="s">
        <v>1092</v>
      </c>
      <c r="Q37" s="38" t="s">
        <v>742</v>
      </c>
      <c r="S37" s="37">
        <f t="shared" si="2"/>
        <v>1000000</v>
      </c>
      <c r="T37" s="39">
        <v>1000</v>
      </c>
      <c r="V37" s="35">
        <v>1</v>
      </c>
      <c r="X37" s="34">
        <f t="shared" si="3"/>
        <v>0</v>
      </c>
    </row>
    <row r="38" spans="1:24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1308</v>
      </c>
      <c r="L38" s="35">
        <v>8</v>
      </c>
      <c r="M38" s="36" t="s">
        <v>406</v>
      </c>
      <c r="O38" s="34" t="s">
        <v>1093</v>
      </c>
      <c r="Q38" s="38" t="s">
        <v>743</v>
      </c>
      <c r="S38" s="37">
        <f t="shared" si="2"/>
        <v>10000</v>
      </c>
      <c r="T38" s="39">
        <v>10</v>
      </c>
      <c r="V38" s="35">
        <v>1</v>
      </c>
      <c r="X38" s="34">
        <f t="shared" si="3"/>
        <v>0</v>
      </c>
    </row>
    <row r="39" spans="1:24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1309</v>
      </c>
      <c r="L39" s="35">
        <v>9</v>
      </c>
      <c r="M39" s="36" t="s">
        <v>406</v>
      </c>
      <c r="O39" s="34" t="s">
        <v>1094</v>
      </c>
      <c r="Q39" s="38" t="s">
        <v>744</v>
      </c>
      <c r="S39" s="37">
        <f t="shared" si="2"/>
        <v>100000</v>
      </c>
      <c r="T39" s="39">
        <v>100</v>
      </c>
      <c r="V39" s="35">
        <v>1</v>
      </c>
      <c r="X39" s="34">
        <f t="shared" si="3"/>
        <v>0</v>
      </c>
    </row>
    <row r="40" spans="1:24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1310</v>
      </c>
      <c r="L40" s="35">
        <v>10</v>
      </c>
      <c r="M40" s="36" t="s">
        <v>406</v>
      </c>
      <c r="O40" s="34" t="s">
        <v>1095</v>
      </c>
      <c r="Q40" s="38" t="s">
        <v>745</v>
      </c>
      <c r="S40" s="37">
        <f t="shared" si="2"/>
        <v>1000000</v>
      </c>
      <c r="T40" s="39">
        <v>1000</v>
      </c>
      <c r="V40" s="35">
        <v>1</v>
      </c>
      <c r="X40" s="34">
        <f t="shared" si="3"/>
        <v>0</v>
      </c>
    </row>
    <row r="41" spans="1:24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1311</v>
      </c>
      <c r="L41" s="35">
        <v>11</v>
      </c>
      <c r="M41" s="36" t="s">
        <v>406</v>
      </c>
      <c r="O41" s="34" t="s">
        <v>1096</v>
      </c>
      <c r="Q41" s="38" t="s">
        <v>746</v>
      </c>
      <c r="S41" s="37">
        <f t="shared" si="2"/>
        <v>10000</v>
      </c>
      <c r="T41" s="39">
        <v>10</v>
      </c>
      <c r="V41" s="35">
        <v>1</v>
      </c>
      <c r="X41" s="34">
        <f t="shared" si="3"/>
        <v>0</v>
      </c>
    </row>
    <row r="42" spans="1:24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1312</v>
      </c>
      <c r="L42" s="35">
        <v>12</v>
      </c>
      <c r="M42" s="36" t="s">
        <v>406</v>
      </c>
      <c r="O42" s="34" t="s">
        <v>1097</v>
      </c>
      <c r="Q42" s="38" t="s">
        <v>747</v>
      </c>
      <c r="S42" s="37">
        <f t="shared" si="2"/>
        <v>100000</v>
      </c>
      <c r="T42" s="39">
        <v>100</v>
      </c>
      <c r="V42" s="35">
        <v>1</v>
      </c>
      <c r="X42" s="34">
        <f t="shared" si="3"/>
        <v>0</v>
      </c>
    </row>
    <row r="43" spans="1:24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1313</v>
      </c>
      <c r="L43" s="35">
        <v>13</v>
      </c>
      <c r="M43" s="36" t="s">
        <v>406</v>
      </c>
      <c r="O43" s="34" t="s">
        <v>1098</v>
      </c>
      <c r="Q43" s="38" t="s">
        <v>748</v>
      </c>
      <c r="S43" s="37">
        <f t="shared" si="2"/>
        <v>1000000</v>
      </c>
      <c r="T43" s="39">
        <v>1000</v>
      </c>
      <c r="V43" s="35">
        <v>1</v>
      </c>
      <c r="X43" s="34">
        <f t="shared" si="3"/>
        <v>0</v>
      </c>
    </row>
    <row r="44" spans="1:24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1314</v>
      </c>
      <c r="L44" s="35">
        <v>14</v>
      </c>
      <c r="M44" s="36" t="s">
        <v>406</v>
      </c>
      <c r="O44" s="34" t="s">
        <v>1099</v>
      </c>
      <c r="Q44" s="38" t="s">
        <v>749</v>
      </c>
      <c r="S44" s="37">
        <f t="shared" si="2"/>
        <v>10000</v>
      </c>
      <c r="T44" s="39">
        <v>10</v>
      </c>
      <c r="V44" s="35">
        <v>1</v>
      </c>
      <c r="X44" s="34">
        <f t="shared" si="3"/>
        <v>0</v>
      </c>
    </row>
    <row r="45" spans="1:24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1315</v>
      </c>
      <c r="L45" s="35">
        <v>15</v>
      </c>
      <c r="M45" s="36" t="s">
        <v>406</v>
      </c>
      <c r="O45" s="34" t="s">
        <v>1100</v>
      </c>
      <c r="Q45" s="38" t="s">
        <v>750</v>
      </c>
      <c r="S45" s="37">
        <f t="shared" si="2"/>
        <v>100000</v>
      </c>
      <c r="T45" s="39">
        <v>100</v>
      </c>
      <c r="V45" s="35">
        <v>1</v>
      </c>
      <c r="X45" s="34">
        <f t="shared" si="3"/>
        <v>0</v>
      </c>
    </row>
    <row r="46" spans="1:24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1316</v>
      </c>
      <c r="L46" s="35">
        <v>16</v>
      </c>
      <c r="M46" s="36" t="s">
        <v>406</v>
      </c>
      <c r="O46" s="34" t="s">
        <v>1101</v>
      </c>
      <c r="Q46" s="38" t="s">
        <v>751</v>
      </c>
      <c r="S46" s="37">
        <f t="shared" si="2"/>
        <v>1000000</v>
      </c>
      <c r="T46" s="39">
        <v>1000</v>
      </c>
      <c r="V46" s="35">
        <v>1</v>
      </c>
      <c r="X46" s="34">
        <f t="shared" si="3"/>
        <v>0</v>
      </c>
    </row>
    <row r="47" spans="1:24" x14ac:dyDescent="0.15">
      <c r="A47" s="34">
        <f t="shared" ref="A47:A49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1317</v>
      </c>
      <c r="L47" s="35">
        <v>17</v>
      </c>
      <c r="M47" s="36" t="s">
        <v>406</v>
      </c>
      <c r="O47" s="34" t="s">
        <v>1102</v>
      </c>
      <c r="Q47" s="38" t="s">
        <v>752</v>
      </c>
      <c r="S47" s="37">
        <f t="shared" si="2"/>
        <v>10000</v>
      </c>
      <c r="T47" s="39">
        <v>10</v>
      </c>
      <c r="V47" s="35">
        <v>1</v>
      </c>
      <c r="X47" s="34">
        <f t="shared" si="3"/>
        <v>0</v>
      </c>
    </row>
    <row r="48" spans="1:24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1318</v>
      </c>
      <c r="L48" s="35">
        <v>18</v>
      </c>
      <c r="M48" s="36" t="s">
        <v>406</v>
      </c>
      <c r="O48" s="34" t="s">
        <v>1103</v>
      </c>
      <c r="Q48" s="38" t="s">
        <v>753</v>
      </c>
      <c r="S48" s="37">
        <f t="shared" si="2"/>
        <v>100000</v>
      </c>
      <c r="T48" s="39">
        <v>100</v>
      </c>
      <c r="V48" s="35">
        <v>1</v>
      </c>
      <c r="X48" s="34">
        <f t="shared" si="3"/>
        <v>0</v>
      </c>
    </row>
    <row r="49" spans="1:28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1319</v>
      </c>
      <c r="L49" s="35">
        <v>19</v>
      </c>
      <c r="M49" s="36" t="s">
        <v>406</v>
      </c>
      <c r="O49" s="34" t="s">
        <v>1104</v>
      </c>
      <c r="Q49" s="38" t="s">
        <v>754</v>
      </c>
      <c r="S49" s="37">
        <f t="shared" si="2"/>
        <v>1000000</v>
      </c>
      <c r="T49" s="39">
        <v>1000</v>
      </c>
      <c r="V49" s="35">
        <v>1</v>
      </c>
      <c r="X49" s="34">
        <f t="shared" si="3"/>
        <v>0</v>
      </c>
    </row>
    <row r="50" spans="1:28" x14ac:dyDescent="0.15">
      <c r="A50" s="34">
        <f t="shared" si="4"/>
        <v>211010601</v>
      </c>
      <c r="B50" s="36">
        <v>21</v>
      </c>
      <c r="C50" s="116">
        <v>1</v>
      </c>
      <c r="D50" s="120">
        <v>1</v>
      </c>
      <c r="E50" s="36">
        <v>6</v>
      </c>
      <c r="F50" s="39">
        <f t="shared" si="7"/>
        <v>1</v>
      </c>
      <c r="G50" s="72"/>
      <c r="H50" s="62">
        <v>1</v>
      </c>
      <c r="J50" s="35" t="s">
        <v>387</v>
      </c>
      <c r="K50" s="35" t="s">
        <v>1320</v>
      </c>
      <c r="L50" s="35">
        <v>10</v>
      </c>
      <c r="M50" s="36" t="s">
        <v>408</v>
      </c>
      <c r="O50" s="34" t="s">
        <v>796</v>
      </c>
      <c r="Q50" s="38" t="s">
        <v>755</v>
      </c>
      <c r="S50" s="37">
        <f t="shared" si="2"/>
        <v>20</v>
      </c>
      <c r="T50" s="39">
        <v>0.02</v>
      </c>
      <c r="V50" s="35">
        <v>1</v>
      </c>
      <c r="X50" s="34">
        <f t="shared" si="3"/>
        <v>1</v>
      </c>
      <c r="AA50" s="149">
        <v>100</v>
      </c>
    </row>
    <row r="51" spans="1:28" x14ac:dyDescent="0.15">
      <c r="A51" s="34">
        <f t="shared" si="4"/>
        <v>211021101</v>
      </c>
      <c r="B51" s="36">
        <v>21</v>
      </c>
      <c r="C51" s="116">
        <v>1</v>
      </c>
      <c r="D51" s="121">
        <v>2</v>
      </c>
      <c r="E51" s="36">
        <v>11</v>
      </c>
      <c r="F51" s="39">
        <f t="shared" si="7"/>
        <v>1</v>
      </c>
      <c r="G51" s="72"/>
      <c r="H51" s="62">
        <v>1</v>
      </c>
      <c r="J51" s="35" t="s">
        <v>389</v>
      </c>
      <c r="K51" s="35" t="s">
        <v>1321</v>
      </c>
      <c r="L51" s="35">
        <v>11</v>
      </c>
      <c r="M51" s="36" t="s">
        <v>408</v>
      </c>
      <c r="O51" s="34" t="s">
        <v>797</v>
      </c>
      <c r="Q51" s="38" t="s">
        <v>888</v>
      </c>
      <c r="S51" s="37">
        <f t="shared" si="2"/>
        <v>10</v>
      </c>
      <c r="T51" s="151">
        <v>0.01</v>
      </c>
      <c r="V51" s="35">
        <v>1</v>
      </c>
      <c r="X51" s="34">
        <f t="shared" si="3"/>
        <v>0</v>
      </c>
      <c r="Z51" s="149">
        <v>10</v>
      </c>
      <c r="AA51" s="149">
        <v>-10</v>
      </c>
      <c r="AB51" s="149">
        <v>-10</v>
      </c>
    </row>
    <row r="52" spans="1:28" x14ac:dyDescent="0.15">
      <c r="A52" s="34">
        <f t="shared" si="4"/>
        <v>211010401</v>
      </c>
      <c r="B52" s="36">
        <v>21</v>
      </c>
      <c r="C52" s="116">
        <v>1</v>
      </c>
      <c r="D52" s="120">
        <v>1</v>
      </c>
      <c r="E52" s="36">
        <v>4</v>
      </c>
      <c r="F52" s="39">
        <f t="shared" si="7"/>
        <v>1</v>
      </c>
      <c r="G52" s="72"/>
      <c r="H52" s="62">
        <v>1</v>
      </c>
      <c r="J52" s="35" t="s">
        <v>388</v>
      </c>
      <c r="K52" s="35" t="s">
        <v>1322</v>
      </c>
      <c r="L52" s="35">
        <v>12</v>
      </c>
      <c r="M52" s="36" t="s">
        <v>407</v>
      </c>
      <c r="O52" s="34" t="s">
        <v>798</v>
      </c>
      <c r="Q52" s="38" t="s">
        <v>756</v>
      </c>
      <c r="S52" s="37">
        <f t="shared" si="2"/>
        <v>200</v>
      </c>
      <c r="T52" s="39">
        <v>0.2</v>
      </c>
      <c r="V52" s="35">
        <v>1</v>
      </c>
      <c r="X52" s="34">
        <f t="shared" si="3"/>
        <v>1</v>
      </c>
      <c r="Z52" s="149">
        <v>50</v>
      </c>
      <c r="AB52" s="149">
        <v>10</v>
      </c>
    </row>
    <row r="53" spans="1:28" x14ac:dyDescent="0.15">
      <c r="A53" s="34">
        <f t="shared" si="4"/>
        <v>211020701</v>
      </c>
      <c r="B53" s="36">
        <v>21</v>
      </c>
      <c r="C53" s="116">
        <v>1</v>
      </c>
      <c r="D53" s="121">
        <v>2</v>
      </c>
      <c r="E53" s="36">
        <v>7</v>
      </c>
      <c r="F53" s="39">
        <f t="shared" si="7"/>
        <v>1</v>
      </c>
      <c r="G53" s="72"/>
      <c r="H53" s="38">
        <v>1</v>
      </c>
      <c r="J53" s="35" t="s">
        <v>391</v>
      </c>
      <c r="K53" s="35" t="s">
        <v>1323</v>
      </c>
      <c r="L53" s="35">
        <v>13</v>
      </c>
      <c r="M53" s="36" t="s">
        <v>407</v>
      </c>
      <c r="O53" s="34" t="s">
        <v>799</v>
      </c>
      <c r="Q53" s="38" t="s">
        <v>757</v>
      </c>
      <c r="S53" s="37">
        <f t="shared" si="2"/>
        <v>200</v>
      </c>
      <c r="T53" s="151">
        <v>0.2</v>
      </c>
      <c r="V53" s="35">
        <v>1</v>
      </c>
      <c r="X53" s="34">
        <f t="shared" si="3"/>
        <v>0</v>
      </c>
    </row>
    <row r="54" spans="1:28" x14ac:dyDescent="0.15">
      <c r="A54" s="34">
        <f t="shared" si="4"/>
        <v>211020901</v>
      </c>
      <c r="B54" s="36">
        <v>21</v>
      </c>
      <c r="C54" s="116">
        <v>1</v>
      </c>
      <c r="D54" s="121">
        <v>2</v>
      </c>
      <c r="E54" s="36">
        <v>9</v>
      </c>
      <c r="F54" s="39">
        <f t="shared" si="7"/>
        <v>1</v>
      </c>
      <c r="G54" s="72"/>
      <c r="H54" s="62">
        <v>1</v>
      </c>
      <c r="J54" s="35" t="s">
        <v>393</v>
      </c>
      <c r="K54" s="35" t="s">
        <v>1324</v>
      </c>
      <c r="L54" s="35">
        <v>14</v>
      </c>
      <c r="M54" s="36" t="s">
        <v>407</v>
      </c>
      <c r="O54" s="34" t="s">
        <v>800</v>
      </c>
      <c r="Q54" s="38" t="s">
        <v>758</v>
      </c>
      <c r="S54" s="37">
        <f t="shared" si="2"/>
        <v>200</v>
      </c>
      <c r="T54" s="39">
        <v>0.2</v>
      </c>
      <c r="V54" s="35">
        <v>1</v>
      </c>
      <c r="X54" s="34">
        <f t="shared" si="3"/>
        <v>0</v>
      </c>
    </row>
    <row r="55" spans="1:28" x14ac:dyDescent="0.15">
      <c r="A55" s="34">
        <f t="shared" si="4"/>
        <v>211020301</v>
      </c>
      <c r="B55" s="36">
        <v>21</v>
      </c>
      <c r="C55" s="116">
        <v>1</v>
      </c>
      <c r="D55" s="121">
        <v>2</v>
      </c>
      <c r="E55" s="36">
        <v>3</v>
      </c>
      <c r="F55" s="39">
        <f t="shared" si="7"/>
        <v>1</v>
      </c>
      <c r="G55" s="72"/>
      <c r="H55" s="62">
        <v>1</v>
      </c>
      <c r="J55" s="35" t="s">
        <v>394</v>
      </c>
      <c r="K55" s="35" t="s">
        <v>1325</v>
      </c>
      <c r="L55" s="35">
        <v>15</v>
      </c>
      <c r="M55" s="36" t="s">
        <v>407</v>
      </c>
      <c r="O55" s="34" t="s">
        <v>801</v>
      </c>
      <c r="Q55" s="38" t="s">
        <v>759</v>
      </c>
      <c r="S55" s="37">
        <f t="shared" si="2"/>
        <v>200</v>
      </c>
      <c r="T55" s="151">
        <v>0.2</v>
      </c>
      <c r="V55" s="35">
        <v>1</v>
      </c>
      <c r="X55" s="34">
        <f t="shared" si="3"/>
        <v>0</v>
      </c>
    </row>
    <row r="56" spans="1:28" x14ac:dyDescent="0.15">
      <c r="A56" s="34">
        <f t="shared" si="4"/>
        <v>211020501</v>
      </c>
      <c r="B56" s="36">
        <v>21</v>
      </c>
      <c r="C56" s="116">
        <v>1</v>
      </c>
      <c r="D56" s="121">
        <v>2</v>
      </c>
      <c r="E56" s="36">
        <v>5</v>
      </c>
      <c r="F56" s="39">
        <f t="shared" si="7"/>
        <v>1</v>
      </c>
      <c r="G56" s="72"/>
      <c r="H56" s="62">
        <v>1</v>
      </c>
      <c r="J56" s="35" t="s">
        <v>425</v>
      </c>
      <c r="K56" s="35" t="s">
        <v>1326</v>
      </c>
      <c r="L56" s="35">
        <v>16</v>
      </c>
      <c r="M56" s="36" t="s">
        <v>407</v>
      </c>
      <c r="O56" s="34" t="s">
        <v>802</v>
      </c>
      <c r="Q56" s="38" t="s">
        <v>760</v>
      </c>
      <c r="S56" s="37">
        <f t="shared" si="2"/>
        <v>200</v>
      </c>
      <c r="T56" s="39">
        <v>0.2</v>
      </c>
      <c r="V56" s="35">
        <v>1</v>
      </c>
      <c r="X56" s="34">
        <f t="shared" si="3"/>
        <v>0</v>
      </c>
    </row>
    <row r="57" spans="1:28" x14ac:dyDescent="0.15">
      <c r="G57" s="72"/>
    </row>
    <row r="58" spans="1:28" x14ac:dyDescent="0.15">
      <c r="G58" s="72"/>
    </row>
    <row r="59" spans="1:28" x14ac:dyDescent="0.15">
      <c r="G59" s="72"/>
    </row>
    <row r="60" spans="1:28" x14ac:dyDescent="0.15">
      <c r="G60" s="72"/>
    </row>
    <row r="61" spans="1:28" x14ac:dyDescent="0.15">
      <c r="G61" s="72"/>
    </row>
    <row r="62" spans="1:28" x14ac:dyDescent="0.15">
      <c r="G62" s="72"/>
    </row>
    <row r="63" spans="1:28" x14ac:dyDescent="0.15">
      <c r="G63" s="72"/>
    </row>
    <row r="64" spans="1:28" x14ac:dyDescent="0.15">
      <c r="G64" s="72"/>
    </row>
    <row r="65" spans="7:7" ht="17.25" thickBot="1" x14ac:dyDescent="0.2">
      <c r="G65" s="72"/>
    </row>
    <row r="66" spans="7:7" x14ac:dyDescent="0.15">
      <c r="G66" s="71"/>
    </row>
    <row r="67" spans="7:7" x14ac:dyDescent="0.15">
      <c r="G67" s="72"/>
    </row>
    <row r="68" spans="7:7" x14ac:dyDescent="0.15">
      <c r="G68" s="72"/>
    </row>
    <row r="69" spans="7:7" x14ac:dyDescent="0.15">
      <c r="G69" s="72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ht="17.25" thickBot="1" x14ac:dyDescent="0.2">
      <c r="G85" s="72"/>
    </row>
    <row r="86" spans="7:7" x14ac:dyDescent="0.15">
      <c r="G86" s="71"/>
    </row>
    <row r="87" spans="7:7" x14ac:dyDescent="0.15">
      <c r="G87" s="72"/>
    </row>
    <row r="88" spans="7:7" x14ac:dyDescent="0.15">
      <c r="G88" s="72"/>
    </row>
    <row r="89" spans="7:7" x14ac:dyDescent="0.15">
      <c r="G89" s="72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ht="17.25" thickBot="1" x14ac:dyDescent="0.2">
      <c r="G105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806</v>
      </c>
      <c r="C3" s="62" t="s">
        <v>807</v>
      </c>
      <c r="D3" s="62" t="s">
        <v>808</v>
      </c>
      <c r="E3" s="62" t="s">
        <v>809</v>
      </c>
      <c r="F3" s="35" t="s">
        <v>810</v>
      </c>
      <c r="G3" s="35" t="s">
        <v>811</v>
      </c>
      <c r="H3" s="35" t="s">
        <v>812</v>
      </c>
      <c r="I3" s="62" t="s">
        <v>813</v>
      </c>
      <c r="J3" s="35" t="s">
        <v>814</v>
      </c>
      <c r="K3" s="35" t="s">
        <v>815</v>
      </c>
      <c r="L3" s="35" t="s">
        <v>816</v>
      </c>
      <c r="M3" s="35" t="s">
        <v>817</v>
      </c>
      <c r="N3" s="35" t="s">
        <v>818</v>
      </c>
      <c r="O3" s="35" t="s">
        <v>819</v>
      </c>
      <c r="P3" s="35" t="s">
        <v>820</v>
      </c>
      <c r="Q3" s="35" t="s">
        <v>821</v>
      </c>
      <c r="R3" s="35" t="s">
        <v>822</v>
      </c>
      <c r="S3" s="35" t="s">
        <v>823</v>
      </c>
      <c r="T3" s="35" t="s">
        <v>824</v>
      </c>
      <c r="U3" s="35" t="s">
        <v>825</v>
      </c>
      <c r="V3" s="35" t="s">
        <v>826</v>
      </c>
      <c r="W3" s="35" t="s">
        <v>827</v>
      </c>
      <c r="X3" s="35" t="s">
        <v>828</v>
      </c>
      <c r="Y3" s="35" t="s">
        <v>829</v>
      </c>
      <c r="Z3" s="35" t="s">
        <v>830</v>
      </c>
      <c r="AA3" s="35" t="s">
        <v>831</v>
      </c>
      <c r="AB3" s="35" t="s">
        <v>832</v>
      </c>
      <c r="AC3" s="35" t="s">
        <v>833</v>
      </c>
      <c r="AD3" s="35" t="s">
        <v>834</v>
      </c>
      <c r="AE3" s="35" t="s">
        <v>835</v>
      </c>
      <c r="AF3" s="35" t="s">
        <v>893</v>
      </c>
      <c r="AG3" s="35" t="s">
        <v>894</v>
      </c>
      <c r="AH3" s="35" t="s">
        <v>895</v>
      </c>
      <c r="AI3" s="35" t="s">
        <v>896</v>
      </c>
      <c r="AJ3" s="35" t="s">
        <v>897</v>
      </c>
      <c r="AK3" s="35" t="s">
        <v>898</v>
      </c>
      <c r="AL3" s="35" t="s">
        <v>899</v>
      </c>
      <c r="AM3" s="35" t="s">
        <v>900</v>
      </c>
      <c r="AN3" s="35" t="s">
        <v>901</v>
      </c>
      <c r="AO3" s="35" t="s">
        <v>902</v>
      </c>
      <c r="AP3" s="35" t="s">
        <v>903</v>
      </c>
      <c r="AQ3" s="35" t="s">
        <v>904</v>
      </c>
      <c r="AR3" s="35" t="s">
        <v>905</v>
      </c>
      <c r="AS3" s="35" t="s">
        <v>906</v>
      </c>
      <c r="AT3" s="35" t="s">
        <v>907</v>
      </c>
      <c r="AU3" s="35" t="s">
        <v>836</v>
      </c>
      <c r="AV3" s="35" t="s">
        <v>837</v>
      </c>
      <c r="AW3" s="35" t="s">
        <v>838</v>
      </c>
      <c r="AX3" s="35" t="s">
        <v>839</v>
      </c>
      <c r="AY3" s="35" t="s">
        <v>840</v>
      </c>
      <c r="AZ3" s="35" t="s">
        <v>841</v>
      </c>
      <c r="BA3" s="35" t="s">
        <v>842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666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666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776</v>
      </c>
      <c r="B1" s="94" t="s">
        <v>777</v>
      </c>
      <c r="C1" s="142" t="s">
        <v>777</v>
      </c>
      <c r="D1" s="94" t="s">
        <v>777</v>
      </c>
      <c r="E1" s="142" t="s">
        <v>777</v>
      </c>
      <c r="F1" s="94" t="s">
        <v>777</v>
      </c>
    </row>
    <row r="2" spans="1:6" x14ac:dyDescent="0.15">
      <c r="A2" s="101" t="s">
        <v>778</v>
      </c>
      <c r="B2" s="94" t="s">
        <v>778</v>
      </c>
      <c r="C2" s="142" t="s">
        <v>778</v>
      </c>
      <c r="D2" s="94" t="s">
        <v>778</v>
      </c>
      <c r="E2" s="142" t="s">
        <v>778</v>
      </c>
      <c r="F2" s="94" t="s">
        <v>778</v>
      </c>
    </row>
    <row r="3" spans="1:6" x14ac:dyDescent="0.15">
      <c r="A3" s="101" t="s">
        <v>779</v>
      </c>
      <c r="B3" s="94" t="s">
        <v>772</v>
      </c>
      <c r="C3" s="142" t="s">
        <v>773</v>
      </c>
      <c r="D3" s="94" t="s">
        <v>770</v>
      </c>
      <c r="E3" s="142" t="s">
        <v>771</v>
      </c>
      <c r="F3" s="94" t="s">
        <v>769</v>
      </c>
    </row>
    <row r="4" spans="1:6" ht="22.5" customHeight="1" x14ac:dyDescent="0.15">
      <c r="A4" s="101" t="s">
        <v>775</v>
      </c>
      <c r="B4" s="94" t="s">
        <v>780</v>
      </c>
      <c r="C4" s="142" t="s">
        <v>781</v>
      </c>
      <c r="D4" s="94" t="s">
        <v>782</v>
      </c>
      <c r="E4" s="142" t="s">
        <v>774</v>
      </c>
      <c r="F4" s="94" t="s">
        <v>783</v>
      </c>
    </row>
    <row r="5" spans="1:6" x14ac:dyDescent="0.15">
      <c r="A5" s="101">
        <v>1</v>
      </c>
      <c r="B5" s="94">
        <v>50</v>
      </c>
      <c r="C5" s="142">
        <v>20</v>
      </c>
      <c r="D5" s="94">
        <v>620</v>
      </c>
      <c r="E5" s="142">
        <v>20</v>
      </c>
      <c r="F5" s="94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20" sqref="K20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593</v>
      </c>
      <c r="J1" s="126" t="s">
        <v>623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804</v>
      </c>
      <c r="J2" s="126" t="s">
        <v>618</v>
      </c>
      <c r="L2" s="126" t="s">
        <v>618</v>
      </c>
      <c r="M2" s="126" t="s">
        <v>618</v>
      </c>
      <c r="O2" s="126" t="s">
        <v>618</v>
      </c>
      <c r="Q2" s="126" t="s">
        <v>618</v>
      </c>
      <c r="R2" s="126" t="s">
        <v>618</v>
      </c>
      <c r="S2" s="126" t="s">
        <v>618</v>
      </c>
      <c r="U2" s="126" t="s">
        <v>618</v>
      </c>
      <c r="V2" s="126" t="s">
        <v>618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879</v>
      </c>
      <c r="J3" s="126" t="s">
        <v>624</v>
      </c>
      <c r="L3" s="126" t="s">
        <v>625</v>
      </c>
      <c r="M3" s="126" t="s">
        <v>626</v>
      </c>
      <c r="O3" s="126" t="s">
        <v>627</v>
      </c>
      <c r="Q3" s="126" t="s">
        <v>628</v>
      </c>
      <c r="R3" s="126" t="s">
        <v>629</v>
      </c>
      <c r="S3" s="126" t="s">
        <v>630</v>
      </c>
      <c r="U3" s="126" t="s">
        <v>631</v>
      </c>
      <c r="V3" s="126" t="s">
        <v>632</v>
      </c>
    </row>
    <row r="4" spans="1:22" ht="55.5" customHeight="1" thickBot="1" x14ac:dyDescent="0.35">
      <c r="A4" s="88" t="s">
        <v>601</v>
      </c>
      <c r="B4" s="90" t="s">
        <v>599</v>
      </c>
      <c r="C4" s="106" t="s">
        <v>600</v>
      </c>
      <c r="D4" s="90"/>
      <c r="E4" s="90"/>
      <c r="F4" s="106" t="s">
        <v>622</v>
      </c>
      <c r="G4" s="132" t="s">
        <v>602</v>
      </c>
      <c r="H4" s="89"/>
      <c r="I4" s="90" t="s">
        <v>603</v>
      </c>
      <c r="J4" s="89" t="s">
        <v>604</v>
      </c>
      <c r="K4" s="132" t="s">
        <v>656</v>
      </c>
      <c r="L4" s="89" t="s">
        <v>657</v>
      </c>
      <c r="M4" s="89" t="s">
        <v>658</v>
      </c>
      <c r="N4" s="132" t="s">
        <v>646</v>
      </c>
      <c r="O4" s="89" t="s">
        <v>605</v>
      </c>
      <c r="P4" s="132" t="s">
        <v>650</v>
      </c>
      <c r="Q4" s="89" t="s">
        <v>621</v>
      </c>
      <c r="R4" s="89" t="s">
        <v>619</v>
      </c>
      <c r="S4" s="89" t="s">
        <v>620</v>
      </c>
      <c r="T4" s="132" t="s">
        <v>606</v>
      </c>
      <c r="U4" s="89" t="s">
        <v>619</v>
      </c>
      <c r="V4" s="89" t="s">
        <v>620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607</v>
      </c>
      <c r="H5" s="128"/>
      <c r="J5" s="128">
        <v>100</v>
      </c>
      <c r="K5" s="135"/>
      <c r="L5" s="128"/>
      <c r="M5" s="128"/>
      <c r="N5" s="137" t="s">
        <v>647</v>
      </c>
      <c r="O5" s="128">
        <v>50</v>
      </c>
      <c r="P5" s="137" t="s">
        <v>652</v>
      </c>
      <c r="Q5" s="128"/>
      <c r="R5" s="128">
        <v>2000</v>
      </c>
      <c r="S5" s="128">
        <v>200</v>
      </c>
      <c r="T5" s="135" t="s">
        <v>653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608</v>
      </c>
      <c r="I6" s="125" t="s">
        <v>633</v>
      </c>
      <c r="J6" s="126">
        <v>50</v>
      </c>
      <c r="N6" s="138" t="s">
        <v>648</v>
      </c>
      <c r="O6" s="126">
        <v>200</v>
      </c>
      <c r="P6" s="136" t="s">
        <v>651</v>
      </c>
      <c r="R6" s="126">
        <v>2000</v>
      </c>
      <c r="S6" s="126">
        <v>200</v>
      </c>
      <c r="T6" s="131" t="s">
        <v>655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609</v>
      </c>
      <c r="I7" s="125" t="s">
        <v>633</v>
      </c>
      <c r="J7" s="126">
        <v>30</v>
      </c>
      <c r="N7" s="138" t="s">
        <v>649</v>
      </c>
      <c r="O7" s="126">
        <v>200</v>
      </c>
      <c r="P7" s="136" t="s">
        <v>651</v>
      </c>
      <c r="R7" s="126">
        <v>2000</v>
      </c>
      <c r="S7" s="126">
        <v>200</v>
      </c>
      <c r="T7" s="131" t="s">
        <v>654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610</v>
      </c>
      <c r="H8" s="146" t="s">
        <v>880</v>
      </c>
      <c r="I8" s="125" t="s">
        <v>634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611</v>
      </c>
      <c r="H9" s="146" t="s">
        <v>881</v>
      </c>
      <c r="I9" s="125" t="s">
        <v>635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612</v>
      </c>
      <c r="J10" s="126">
        <v>50</v>
      </c>
      <c r="K10" s="136" t="s">
        <v>641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613</v>
      </c>
      <c r="J11" s="126">
        <v>50</v>
      </c>
      <c r="K11" s="136" t="s">
        <v>641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614</v>
      </c>
      <c r="I12" s="125" t="s">
        <v>636</v>
      </c>
      <c r="J12" s="126">
        <v>50</v>
      </c>
      <c r="K12" s="136" t="s">
        <v>642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615</v>
      </c>
      <c r="I13" s="125" t="s">
        <v>637</v>
      </c>
      <c r="J13" s="126">
        <v>50</v>
      </c>
      <c r="K13" s="136" t="s">
        <v>1114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616</v>
      </c>
      <c r="I14" s="125" t="s">
        <v>638</v>
      </c>
      <c r="J14" s="126">
        <v>50</v>
      </c>
      <c r="K14" s="136" t="s">
        <v>1115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617</v>
      </c>
      <c r="I15" s="125" t="s">
        <v>640</v>
      </c>
      <c r="J15" s="126">
        <v>50</v>
      </c>
      <c r="K15" s="136" t="s">
        <v>645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639</v>
      </c>
      <c r="I16" s="125" t="s">
        <v>640</v>
      </c>
      <c r="J16" s="126">
        <v>50</v>
      </c>
      <c r="K16" s="136" t="s">
        <v>644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1248</v>
      </c>
      <c r="B1" s="13"/>
      <c r="C1" s="12"/>
      <c r="D1" s="13"/>
      <c r="E1" s="13"/>
      <c r="F1" s="12"/>
      <c r="G1" s="56" t="s">
        <v>1249</v>
      </c>
      <c r="H1" s="56" t="s">
        <v>1249</v>
      </c>
      <c r="I1" s="56" t="s">
        <v>1249</v>
      </c>
      <c r="J1" s="56" t="s">
        <v>1249</v>
      </c>
      <c r="K1" s="56" t="s">
        <v>1249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1250</v>
      </c>
      <c r="B3" s="13"/>
      <c r="C3" s="12"/>
      <c r="D3" s="13"/>
      <c r="E3" s="13"/>
      <c r="F3" s="12"/>
      <c r="G3" s="56" t="s">
        <v>1251</v>
      </c>
      <c r="H3" s="56" t="s">
        <v>1252</v>
      </c>
      <c r="I3" s="56" t="s">
        <v>1253</v>
      </c>
      <c r="J3" s="56" t="s">
        <v>1254</v>
      </c>
      <c r="K3" s="56" t="s">
        <v>1255</v>
      </c>
      <c r="L3" s="10"/>
      <c r="M3" s="10"/>
    </row>
    <row r="4" spans="1:23" s="187" customFormat="1" ht="57.75" customHeight="1" thickBot="1" x14ac:dyDescent="0.2">
      <c r="A4" s="97" t="s">
        <v>1256</v>
      </c>
      <c r="B4" s="109" t="s">
        <v>1257</v>
      </c>
      <c r="C4" s="110"/>
      <c r="D4" s="109"/>
      <c r="E4" s="109"/>
      <c r="F4" s="110"/>
      <c r="G4" s="92" t="s">
        <v>1258</v>
      </c>
      <c r="H4" s="92" t="s">
        <v>1259</v>
      </c>
      <c r="I4" s="92" t="s">
        <v>1260</v>
      </c>
      <c r="J4" s="92" t="s">
        <v>1261</v>
      </c>
      <c r="K4" s="92" t="s">
        <v>1262</v>
      </c>
      <c r="L4" s="93" t="s">
        <v>1263</v>
      </c>
      <c r="M4" s="93" t="s">
        <v>1264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F614"/>
  <sheetViews>
    <sheetView tabSelected="1" zoomScaleNormal="100" workbookViewId="0">
      <pane xSplit="7" ySplit="4" topLeftCell="CX50" activePane="bottomRight" state="frozen"/>
      <selection pane="topRight" activeCell="H1" sqref="H1"/>
      <selection pane="bottomLeft" activeCell="A5" sqref="A5"/>
      <selection pane="bottomRight" activeCell="DB77" sqref="DB7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0" width="21.125" style="56" customWidth="1"/>
    <col min="41" max="41" width="15.25" style="171" customWidth="1"/>
    <col min="42" max="47" width="23.5" style="56" customWidth="1"/>
    <col min="48" max="48" width="33" style="56" customWidth="1"/>
    <col min="49" max="49" width="12.875" style="171" customWidth="1"/>
    <col min="50" max="50" width="23.5" style="56" customWidth="1"/>
    <col min="51" max="51" width="31.625" style="56" customWidth="1"/>
    <col min="52" max="52" width="25.25" style="56" customWidth="1"/>
    <col min="53" max="53" width="10.25" style="171" customWidth="1"/>
    <col min="54" max="54" width="19.125" style="56" customWidth="1"/>
    <col min="55" max="55" width="21.625" style="10" customWidth="1"/>
    <col min="56" max="56" width="13.375" style="56" customWidth="1"/>
    <col min="57" max="59" width="11.75" style="56" customWidth="1"/>
    <col min="60" max="66" width="11.75" style="96" customWidth="1"/>
    <col min="67" max="67" width="17.5" style="144" customWidth="1"/>
    <col min="68" max="86" width="18.5" style="94" customWidth="1"/>
    <col min="87" max="87" width="17.875" style="7" customWidth="1"/>
    <col min="88" max="102" width="17.25" style="94" customWidth="1"/>
    <col min="103" max="103" width="20.125" style="7" customWidth="1"/>
    <col min="104" max="110" width="11.75" style="94" customWidth="1"/>
    <col min="111" max="16384" width="9" style="94"/>
  </cols>
  <sheetData>
    <row r="1" spans="1:110" s="96" customFormat="1" x14ac:dyDescent="0.15">
      <c r="A1" s="11" t="s">
        <v>569</v>
      </c>
      <c r="B1" s="13"/>
      <c r="C1" s="12"/>
      <c r="D1" s="13"/>
      <c r="E1" s="13"/>
      <c r="F1" s="12"/>
      <c r="G1" s="56" t="s">
        <v>805</v>
      </c>
      <c r="H1" s="56" t="s">
        <v>593</v>
      </c>
      <c r="I1" s="56" t="s">
        <v>805</v>
      </c>
      <c r="J1" s="56" t="s">
        <v>593</v>
      </c>
      <c r="K1" s="56" t="s">
        <v>593</v>
      </c>
      <c r="L1" s="164" t="s">
        <v>805</v>
      </c>
      <c r="M1" s="10"/>
      <c r="N1" s="56" t="s">
        <v>805</v>
      </c>
      <c r="O1" s="56" t="s">
        <v>805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1055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593</v>
      </c>
      <c r="AJ1" s="56" t="s">
        <v>593</v>
      </c>
      <c r="AK1" s="56" t="s">
        <v>593</v>
      </c>
      <c r="AL1" s="56" t="s">
        <v>593</v>
      </c>
      <c r="AM1" s="56" t="s">
        <v>593</v>
      </c>
      <c r="AN1" s="56" t="s">
        <v>593</v>
      </c>
      <c r="AO1" s="171"/>
      <c r="AP1" s="56" t="s">
        <v>593</v>
      </c>
      <c r="AQ1" s="56" t="s">
        <v>593</v>
      </c>
      <c r="AR1" s="56" t="s">
        <v>593</v>
      </c>
      <c r="AS1" s="56" t="s">
        <v>593</v>
      </c>
      <c r="AT1" s="56" t="s">
        <v>593</v>
      </c>
      <c r="AU1" s="56" t="s">
        <v>593</v>
      </c>
      <c r="AV1" s="56" t="s">
        <v>593</v>
      </c>
      <c r="AW1" s="171"/>
      <c r="AX1" s="56" t="s">
        <v>593</v>
      </c>
      <c r="AY1" s="56" t="s">
        <v>593</v>
      </c>
      <c r="AZ1" s="56" t="s">
        <v>1122</v>
      </c>
      <c r="BA1" s="171"/>
      <c r="BB1" s="56" t="s">
        <v>593</v>
      </c>
      <c r="BC1" s="10"/>
      <c r="BD1" s="56" t="s">
        <v>593</v>
      </c>
      <c r="BE1" s="56" t="s">
        <v>593</v>
      </c>
      <c r="BF1" s="56" t="s">
        <v>593</v>
      </c>
      <c r="BG1" s="56" t="s">
        <v>593</v>
      </c>
      <c r="BH1" s="56" t="s">
        <v>593</v>
      </c>
      <c r="BI1" s="56" t="s">
        <v>593</v>
      </c>
      <c r="BJ1" s="56" t="s">
        <v>593</v>
      </c>
      <c r="BK1" s="56" t="s">
        <v>593</v>
      </c>
      <c r="BL1" s="56" t="s">
        <v>593</v>
      </c>
      <c r="BM1" s="56" t="s">
        <v>593</v>
      </c>
      <c r="BN1" s="56" t="s">
        <v>593</v>
      </c>
      <c r="BO1" s="10"/>
      <c r="BP1" s="56" t="s">
        <v>593</v>
      </c>
      <c r="BQ1" s="56" t="s">
        <v>593</v>
      </c>
      <c r="BR1" s="56" t="s">
        <v>593</v>
      </c>
      <c r="BS1" s="56" t="s">
        <v>593</v>
      </c>
      <c r="BT1" s="56" t="s">
        <v>593</v>
      </c>
      <c r="BU1" s="56" t="s">
        <v>593</v>
      </c>
      <c r="BV1" s="56" t="s">
        <v>593</v>
      </c>
      <c r="BW1" s="56" t="s">
        <v>593</v>
      </c>
      <c r="BX1" s="56" t="s">
        <v>593</v>
      </c>
      <c r="BY1" s="56" t="s">
        <v>593</v>
      </c>
      <c r="BZ1" s="56" t="s">
        <v>593</v>
      </c>
      <c r="CA1" s="56" t="s">
        <v>593</v>
      </c>
      <c r="CB1" s="56" t="s">
        <v>593</v>
      </c>
      <c r="CC1" s="56" t="s">
        <v>593</v>
      </c>
      <c r="CD1" s="56" t="s">
        <v>593</v>
      </c>
      <c r="CE1" s="56" t="s">
        <v>593</v>
      </c>
      <c r="CF1" s="56" t="s">
        <v>593</v>
      </c>
      <c r="CG1" s="56" t="s">
        <v>593</v>
      </c>
      <c r="CH1" s="56" t="s">
        <v>593</v>
      </c>
      <c r="CI1" s="10"/>
      <c r="CJ1" s="56" t="s">
        <v>593</v>
      </c>
      <c r="CK1" s="56" t="s">
        <v>593</v>
      </c>
      <c r="CL1" s="56" t="s">
        <v>593</v>
      </c>
      <c r="CM1" s="56" t="s">
        <v>593</v>
      </c>
      <c r="CN1" s="56" t="s">
        <v>593</v>
      </c>
      <c r="CO1" s="56" t="s">
        <v>593</v>
      </c>
      <c r="CP1" s="56" t="s">
        <v>593</v>
      </c>
      <c r="CQ1" s="56" t="s">
        <v>593</v>
      </c>
      <c r="CR1" s="56" t="s">
        <v>593</v>
      </c>
      <c r="CS1" s="56" t="s">
        <v>593</v>
      </c>
      <c r="CT1" s="56" t="s">
        <v>593</v>
      </c>
      <c r="CU1" s="56" t="s">
        <v>593</v>
      </c>
      <c r="CV1" s="56" t="s">
        <v>593</v>
      </c>
      <c r="CW1" s="56" t="s">
        <v>593</v>
      </c>
      <c r="CX1" s="56" t="s">
        <v>593</v>
      </c>
      <c r="CY1" s="10"/>
      <c r="CZ1" s="56" t="s">
        <v>593</v>
      </c>
      <c r="DA1" s="56" t="s">
        <v>593</v>
      </c>
      <c r="DB1" s="56" t="s">
        <v>593</v>
      </c>
      <c r="DC1" s="56" t="s">
        <v>593</v>
      </c>
      <c r="DD1" s="56" t="s">
        <v>593</v>
      </c>
      <c r="DE1" s="56" t="s">
        <v>593</v>
      </c>
      <c r="DF1" s="56" t="s">
        <v>593</v>
      </c>
    </row>
    <row r="2" spans="1:110" s="96" customFormat="1" x14ac:dyDescent="0.15">
      <c r="A2" s="11" t="s">
        <v>61</v>
      </c>
      <c r="B2" s="13"/>
      <c r="C2" s="12"/>
      <c r="D2" s="13"/>
      <c r="E2" s="13"/>
      <c r="F2" s="12"/>
      <c r="G2" s="56" t="s">
        <v>804</v>
      </c>
      <c r="H2" s="56" t="s">
        <v>1030</v>
      </c>
      <c r="I2" s="56" t="s">
        <v>804</v>
      </c>
      <c r="J2" s="56" t="s">
        <v>484</v>
      </c>
      <c r="K2" s="56" t="s">
        <v>484</v>
      </c>
      <c r="L2" s="164" t="s">
        <v>843</v>
      </c>
      <c r="M2" s="10"/>
      <c r="N2" s="56" t="s">
        <v>804</v>
      </c>
      <c r="O2" s="56" t="s">
        <v>843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1054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1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1"/>
      <c r="AX2" s="56" t="s">
        <v>61</v>
      </c>
      <c r="AY2" s="56" t="s">
        <v>61</v>
      </c>
      <c r="AZ2" s="56" t="s">
        <v>1121</v>
      </c>
      <c r="BA2" s="171"/>
      <c r="BB2" s="56" t="s">
        <v>61</v>
      </c>
      <c r="BC2" s="10"/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10"/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10"/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10"/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  <c r="DF2" s="56" t="s">
        <v>61</v>
      </c>
    </row>
    <row r="3" spans="1:110" s="96" customFormat="1" x14ac:dyDescent="0.15">
      <c r="A3" s="11" t="s">
        <v>575</v>
      </c>
      <c r="B3" s="13"/>
      <c r="C3" s="12"/>
      <c r="D3" s="13"/>
      <c r="E3" s="13"/>
      <c r="F3" s="12"/>
      <c r="G3" s="56" t="s">
        <v>852</v>
      </c>
      <c r="H3" s="56" t="s">
        <v>1029</v>
      </c>
      <c r="I3" s="56" t="s">
        <v>855</v>
      </c>
      <c r="J3" s="56" t="s">
        <v>1041</v>
      </c>
      <c r="K3" s="56" t="s">
        <v>1042</v>
      </c>
      <c r="L3" s="164" t="s">
        <v>872</v>
      </c>
      <c r="M3" s="10"/>
      <c r="N3" s="56" t="s">
        <v>845</v>
      </c>
      <c r="O3" s="56" t="s">
        <v>864</v>
      </c>
      <c r="P3" s="161"/>
      <c r="Q3" s="177"/>
      <c r="R3" s="167"/>
      <c r="S3" s="56" t="s">
        <v>1046</v>
      </c>
      <c r="T3" s="56"/>
      <c r="U3" s="56"/>
      <c r="V3" s="161"/>
      <c r="W3" s="177"/>
      <c r="X3" s="171"/>
      <c r="Y3" s="10"/>
      <c r="Z3" s="56" t="s">
        <v>1053</v>
      </c>
      <c r="AA3" s="56" t="s">
        <v>847</v>
      </c>
      <c r="AB3" s="56" t="s">
        <v>848</v>
      </c>
      <c r="AC3" s="56" t="s">
        <v>849</v>
      </c>
      <c r="AD3" s="56" t="s">
        <v>850</v>
      </c>
      <c r="AE3" s="173"/>
      <c r="AF3" s="56" t="s">
        <v>1327</v>
      </c>
      <c r="AG3" s="56" t="s">
        <v>1328</v>
      </c>
      <c r="AH3" s="171"/>
      <c r="AI3" s="38" t="s">
        <v>914</v>
      </c>
      <c r="AJ3" s="62" t="s">
        <v>915</v>
      </c>
      <c r="AK3" s="62" t="s">
        <v>916</v>
      </c>
      <c r="AL3" s="62" t="s">
        <v>917</v>
      </c>
      <c r="AM3" s="62" t="s">
        <v>918</v>
      </c>
      <c r="AN3" s="62" t="s">
        <v>919</v>
      </c>
      <c r="AO3" s="171"/>
      <c r="AP3" s="38" t="s">
        <v>920</v>
      </c>
      <c r="AQ3" s="62" t="s">
        <v>921</v>
      </c>
      <c r="AR3" s="62" t="s">
        <v>922</v>
      </c>
      <c r="AS3" s="62" t="s">
        <v>923</v>
      </c>
      <c r="AT3" s="62" t="s">
        <v>924</v>
      </c>
      <c r="AU3" s="62" t="s">
        <v>925</v>
      </c>
      <c r="AV3" s="62" t="s">
        <v>968</v>
      </c>
      <c r="AW3" s="171"/>
      <c r="AX3" s="38" t="s">
        <v>964</v>
      </c>
      <c r="AY3" s="62" t="s">
        <v>882</v>
      </c>
      <c r="AZ3" s="62" t="s">
        <v>1119</v>
      </c>
      <c r="BA3" s="171"/>
      <c r="BB3" s="38" t="s">
        <v>861</v>
      </c>
      <c r="BC3" s="10"/>
      <c r="BD3" s="38" t="s">
        <v>1275</v>
      </c>
      <c r="BE3" s="62" t="s">
        <v>1276</v>
      </c>
      <c r="BF3" s="62" t="s">
        <v>1277</v>
      </c>
      <c r="BG3" s="62" t="s">
        <v>1278</v>
      </c>
      <c r="BH3" s="35" t="s">
        <v>1279</v>
      </c>
      <c r="BI3" s="35" t="s">
        <v>1280</v>
      </c>
      <c r="BJ3" s="35" t="s">
        <v>1281</v>
      </c>
      <c r="BK3" s="62" t="s">
        <v>1282</v>
      </c>
      <c r="BL3" s="35" t="s">
        <v>1283</v>
      </c>
      <c r="BM3" s="35" t="s">
        <v>1284</v>
      </c>
      <c r="BN3" s="35" t="s">
        <v>1285</v>
      </c>
      <c r="BO3" s="36"/>
      <c r="BP3" s="35" t="s">
        <v>1286</v>
      </c>
      <c r="BQ3" s="35" t="s">
        <v>1287</v>
      </c>
      <c r="BR3" s="35" t="s">
        <v>1288</v>
      </c>
      <c r="BS3" s="35" t="s">
        <v>1289</v>
      </c>
      <c r="BT3" s="35" t="s">
        <v>1290</v>
      </c>
      <c r="BU3" s="35" t="s">
        <v>1291</v>
      </c>
      <c r="BV3" s="35" t="s">
        <v>1292</v>
      </c>
      <c r="BW3" s="35" t="s">
        <v>1293</v>
      </c>
      <c r="BX3" s="35" t="s">
        <v>1294</v>
      </c>
      <c r="BY3" s="35" t="s">
        <v>1295</v>
      </c>
      <c r="BZ3" s="35" t="s">
        <v>1296</v>
      </c>
      <c r="CA3" s="35" t="s">
        <v>1297</v>
      </c>
      <c r="CB3" s="35" t="s">
        <v>1298</v>
      </c>
      <c r="CC3" s="35" t="s">
        <v>1299</v>
      </c>
      <c r="CD3" s="35" t="s">
        <v>1300</v>
      </c>
      <c r="CE3" s="35" t="s">
        <v>1301</v>
      </c>
      <c r="CF3" s="35" t="s">
        <v>1302</v>
      </c>
      <c r="CG3" s="35" t="s">
        <v>1303</v>
      </c>
      <c r="CH3" s="35" t="s">
        <v>1304</v>
      </c>
      <c r="CI3" s="36"/>
      <c r="CJ3" s="35" t="s">
        <v>1305</v>
      </c>
      <c r="CK3" s="35" t="s">
        <v>1306</v>
      </c>
      <c r="CL3" s="35" t="s">
        <v>1307</v>
      </c>
      <c r="CM3" s="35" t="s">
        <v>1308</v>
      </c>
      <c r="CN3" s="35" t="s">
        <v>1309</v>
      </c>
      <c r="CO3" s="35" t="s">
        <v>1310</v>
      </c>
      <c r="CP3" s="35" t="s">
        <v>1311</v>
      </c>
      <c r="CQ3" s="35" t="s">
        <v>1312</v>
      </c>
      <c r="CR3" s="35" t="s">
        <v>1313</v>
      </c>
      <c r="CS3" s="35" t="s">
        <v>1314</v>
      </c>
      <c r="CT3" s="35" t="s">
        <v>1315</v>
      </c>
      <c r="CU3" s="35" t="s">
        <v>1316</v>
      </c>
      <c r="CV3" s="35" t="s">
        <v>1317</v>
      </c>
      <c r="CW3" s="35" t="s">
        <v>1318</v>
      </c>
      <c r="CX3" s="35" t="s">
        <v>1319</v>
      </c>
      <c r="CY3" s="36"/>
      <c r="CZ3" s="35" t="s">
        <v>1320</v>
      </c>
      <c r="DA3" s="35" t="s">
        <v>1321</v>
      </c>
      <c r="DB3" s="35" t="s">
        <v>1322</v>
      </c>
      <c r="DC3" s="35" t="s">
        <v>1323</v>
      </c>
      <c r="DD3" s="35" t="s">
        <v>1324</v>
      </c>
      <c r="DE3" s="35" t="s">
        <v>1325</v>
      </c>
      <c r="DF3" s="35" t="s">
        <v>1326</v>
      </c>
    </row>
    <row r="4" spans="1:110" s="95" customFormat="1" ht="118.5" customHeight="1" thickBot="1" x14ac:dyDescent="0.2">
      <c r="A4" s="97" t="s">
        <v>575</v>
      </c>
      <c r="B4" s="109" t="s">
        <v>595</v>
      </c>
      <c r="C4" s="110"/>
      <c r="D4" s="109" t="s">
        <v>943</v>
      </c>
      <c r="E4" s="109" t="s">
        <v>944</v>
      </c>
      <c r="F4" s="110"/>
      <c r="G4" s="58" t="s">
        <v>853</v>
      </c>
      <c r="H4" s="58" t="s">
        <v>1031</v>
      </c>
      <c r="I4" s="58" t="s">
        <v>1124</v>
      </c>
      <c r="J4" s="58" t="s">
        <v>1125</v>
      </c>
      <c r="K4" s="58" t="s">
        <v>1126</v>
      </c>
      <c r="L4" s="165" t="s">
        <v>871</v>
      </c>
      <c r="M4" s="145" t="s">
        <v>854</v>
      </c>
      <c r="N4" s="92" t="s">
        <v>844</v>
      </c>
      <c r="O4" s="56" t="s">
        <v>1032</v>
      </c>
      <c r="P4" s="161" t="s">
        <v>1074</v>
      </c>
      <c r="Q4" s="177" t="s">
        <v>1047</v>
      </c>
      <c r="R4" s="167" t="s">
        <v>1050</v>
      </c>
      <c r="S4" s="56" t="s">
        <v>1051</v>
      </c>
      <c r="T4" s="56" t="s">
        <v>1068</v>
      </c>
      <c r="U4" s="56" t="s">
        <v>1069</v>
      </c>
      <c r="V4" s="161" t="s">
        <v>1065</v>
      </c>
      <c r="W4" s="177" t="s">
        <v>1048</v>
      </c>
      <c r="X4" s="171" t="s">
        <v>860</v>
      </c>
      <c r="Y4" s="10" t="s">
        <v>851</v>
      </c>
      <c r="Z4" s="56" t="s">
        <v>1052</v>
      </c>
      <c r="AA4" s="56" t="s">
        <v>945</v>
      </c>
      <c r="AB4" s="56" t="s">
        <v>946</v>
      </c>
      <c r="AC4" s="56" t="s">
        <v>947</v>
      </c>
      <c r="AD4" s="56" t="s">
        <v>948</v>
      </c>
      <c r="AE4" s="174" t="s">
        <v>1049</v>
      </c>
      <c r="AF4" s="56" t="s">
        <v>949</v>
      </c>
      <c r="AG4" s="56" t="s">
        <v>950</v>
      </c>
      <c r="AH4" s="176" t="s">
        <v>1033</v>
      </c>
      <c r="AI4" s="38" t="s">
        <v>951</v>
      </c>
      <c r="AJ4" s="62" t="s">
        <v>952</v>
      </c>
      <c r="AK4" s="62" t="s">
        <v>953</v>
      </c>
      <c r="AL4" s="62" t="s">
        <v>954</v>
      </c>
      <c r="AM4" s="62" t="s">
        <v>955</v>
      </c>
      <c r="AN4" s="62" t="s">
        <v>956</v>
      </c>
      <c r="AO4" s="171" t="s">
        <v>957</v>
      </c>
      <c r="AP4" s="38" t="s">
        <v>958</v>
      </c>
      <c r="AQ4" s="62" t="s">
        <v>959</v>
      </c>
      <c r="AR4" s="62" t="s">
        <v>960</v>
      </c>
      <c r="AS4" s="62" t="s">
        <v>961</v>
      </c>
      <c r="AT4" s="62" t="s">
        <v>962</v>
      </c>
      <c r="AU4" s="62" t="s">
        <v>963</v>
      </c>
      <c r="AV4" s="62" t="s">
        <v>969</v>
      </c>
      <c r="AW4" s="171" t="s">
        <v>883</v>
      </c>
      <c r="AX4" s="38" t="s">
        <v>965</v>
      </c>
      <c r="AY4" s="62" t="s">
        <v>966</v>
      </c>
      <c r="AZ4" s="62" t="s">
        <v>1120</v>
      </c>
      <c r="BA4" s="171" t="s">
        <v>926</v>
      </c>
      <c r="BB4" s="38" t="s">
        <v>970</v>
      </c>
      <c r="BC4" s="10" t="s">
        <v>1059</v>
      </c>
      <c r="BD4" s="38" t="s">
        <v>971</v>
      </c>
      <c r="BE4" s="62" t="s">
        <v>972</v>
      </c>
      <c r="BF4" s="62" t="s">
        <v>973</v>
      </c>
      <c r="BG4" s="62" t="s">
        <v>974</v>
      </c>
      <c r="BH4" s="35" t="s">
        <v>975</v>
      </c>
      <c r="BI4" s="35" t="s">
        <v>976</v>
      </c>
      <c r="BJ4" s="35" t="s">
        <v>977</v>
      </c>
      <c r="BK4" s="62" t="s">
        <v>978</v>
      </c>
      <c r="BL4" s="35" t="s">
        <v>979</v>
      </c>
      <c r="BM4" s="35" t="s">
        <v>980</v>
      </c>
      <c r="BN4" s="35" t="s">
        <v>981</v>
      </c>
      <c r="BO4" s="36" t="s">
        <v>1058</v>
      </c>
      <c r="BP4" s="35" t="s">
        <v>982</v>
      </c>
      <c r="BQ4" s="35" t="s">
        <v>983</v>
      </c>
      <c r="BR4" s="35" t="s">
        <v>984</v>
      </c>
      <c r="BS4" s="35" t="s">
        <v>985</v>
      </c>
      <c r="BT4" s="35" t="s">
        <v>986</v>
      </c>
      <c r="BU4" s="35" t="s">
        <v>987</v>
      </c>
      <c r="BV4" s="35" t="s">
        <v>988</v>
      </c>
      <c r="BW4" s="35" t="s">
        <v>989</v>
      </c>
      <c r="BX4" s="35" t="s">
        <v>990</v>
      </c>
      <c r="BY4" s="35" t="s">
        <v>991</v>
      </c>
      <c r="BZ4" s="35" t="s">
        <v>992</v>
      </c>
      <c r="CA4" s="35" t="s">
        <v>993</v>
      </c>
      <c r="CB4" s="35" t="s">
        <v>994</v>
      </c>
      <c r="CC4" s="35" t="s">
        <v>995</v>
      </c>
      <c r="CD4" s="35" t="s">
        <v>996</v>
      </c>
      <c r="CE4" s="35" t="s">
        <v>997</v>
      </c>
      <c r="CF4" s="35" t="s">
        <v>998</v>
      </c>
      <c r="CG4" s="35" t="s">
        <v>999</v>
      </c>
      <c r="CH4" s="35" t="s">
        <v>1000</v>
      </c>
      <c r="CI4" s="36" t="s">
        <v>1057</v>
      </c>
      <c r="CJ4" s="35" t="s">
        <v>1001</v>
      </c>
      <c r="CK4" s="35" t="s">
        <v>1002</v>
      </c>
      <c r="CL4" s="35" t="s">
        <v>1003</v>
      </c>
      <c r="CM4" s="35" t="s">
        <v>1004</v>
      </c>
      <c r="CN4" s="35" t="s">
        <v>1005</v>
      </c>
      <c r="CO4" s="35" t="s">
        <v>1006</v>
      </c>
      <c r="CP4" s="35" t="s">
        <v>1007</v>
      </c>
      <c r="CQ4" s="35" t="s">
        <v>1008</v>
      </c>
      <c r="CR4" s="35" t="s">
        <v>1022</v>
      </c>
      <c r="CS4" s="35" t="s">
        <v>1021</v>
      </c>
      <c r="CT4" s="35" t="s">
        <v>1020</v>
      </c>
      <c r="CU4" s="35" t="s">
        <v>1019</v>
      </c>
      <c r="CV4" s="35" t="s">
        <v>1018</v>
      </c>
      <c r="CW4" s="35" t="s">
        <v>1017</v>
      </c>
      <c r="CX4" s="35" t="s">
        <v>1016</v>
      </c>
      <c r="CY4" s="36" t="s">
        <v>1056</v>
      </c>
      <c r="CZ4" s="35" t="s">
        <v>1015</v>
      </c>
      <c r="DA4" s="35" t="s">
        <v>1014</v>
      </c>
      <c r="DB4" s="35" t="s">
        <v>1013</v>
      </c>
      <c r="DC4" s="35" t="s">
        <v>1012</v>
      </c>
      <c r="DD4" s="35" t="s">
        <v>1011</v>
      </c>
      <c r="DE4" s="35" t="s">
        <v>1010</v>
      </c>
      <c r="DF4" s="35" t="s">
        <v>1009</v>
      </c>
    </row>
    <row r="5" spans="1:110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927</v>
      </c>
      <c r="H5" s="57">
        <v>1</v>
      </c>
      <c r="I5" s="57" t="s">
        <v>1123</v>
      </c>
      <c r="J5" s="57" t="s">
        <v>1140</v>
      </c>
      <c r="K5" s="57" t="s">
        <v>1154</v>
      </c>
      <c r="L5" s="166">
        <v>360</v>
      </c>
      <c r="M5" s="17" t="s">
        <v>1026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172"/>
      <c r="AP5" s="57"/>
      <c r="AQ5" s="57"/>
      <c r="AR5" s="57"/>
      <c r="AS5" s="57"/>
      <c r="AT5" s="57"/>
      <c r="AU5" s="57"/>
      <c r="AV5" s="57"/>
      <c r="AW5" s="172"/>
      <c r="AX5" s="57"/>
      <c r="AY5" s="57"/>
      <c r="AZ5" s="57"/>
      <c r="BA5" s="172"/>
      <c r="BB5" s="153">
        <v>200</v>
      </c>
      <c r="BC5" s="17"/>
      <c r="BD5" s="153">
        <v>110</v>
      </c>
      <c r="BE5" s="153">
        <v>110</v>
      </c>
      <c r="BF5" s="153">
        <v>110</v>
      </c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43"/>
      <c r="BP5" s="154">
        <v>110</v>
      </c>
      <c r="BQ5" s="154">
        <v>110</v>
      </c>
      <c r="BR5" s="154">
        <v>110</v>
      </c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43"/>
      <c r="CJ5" s="154">
        <v>120</v>
      </c>
      <c r="CK5" s="154">
        <v>120</v>
      </c>
      <c r="CL5" s="154">
        <v>120</v>
      </c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43"/>
      <c r="CZ5" s="154">
        <v>120</v>
      </c>
      <c r="DA5" s="154">
        <v>120</v>
      </c>
      <c r="DB5" s="154">
        <v>120</v>
      </c>
      <c r="DC5" s="154">
        <v>120</v>
      </c>
      <c r="DD5" s="154">
        <v>120</v>
      </c>
      <c r="DE5" s="154">
        <v>120</v>
      </c>
      <c r="DF5" s="154">
        <v>120</v>
      </c>
    </row>
    <row r="6" spans="1:110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856</v>
      </c>
      <c r="H6" s="56">
        <v>3</v>
      </c>
      <c r="I6" s="56" t="s">
        <v>1123</v>
      </c>
      <c r="J6" s="56" t="s">
        <v>1140</v>
      </c>
      <c r="L6" s="164">
        <v>360</v>
      </c>
      <c r="M6" s="10" t="s">
        <v>1027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B6" s="152">
        <v>300</v>
      </c>
      <c r="BD6" s="152">
        <v>120</v>
      </c>
      <c r="BE6" s="152">
        <v>120</v>
      </c>
      <c r="BF6" s="152">
        <v>120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P6" s="155">
        <v>120</v>
      </c>
      <c r="BQ6" s="155">
        <v>120</v>
      </c>
      <c r="BR6" s="155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J6" s="155">
        <v>140</v>
      </c>
      <c r="CK6" s="155">
        <v>140</v>
      </c>
      <c r="CL6" s="155">
        <v>140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Z6" s="155">
        <v>140</v>
      </c>
      <c r="DA6" s="155">
        <v>140</v>
      </c>
      <c r="DB6" s="155">
        <v>140</v>
      </c>
      <c r="DC6" s="155">
        <v>140</v>
      </c>
      <c r="DD6" s="155">
        <v>140</v>
      </c>
      <c r="DE6" s="155">
        <v>140</v>
      </c>
      <c r="DF6" s="155">
        <v>140</v>
      </c>
    </row>
    <row r="7" spans="1:110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857</v>
      </c>
      <c r="H7" s="56">
        <v>5</v>
      </c>
      <c r="I7" s="56" t="s">
        <v>1123</v>
      </c>
      <c r="J7" s="56" t="s">
        <v>1140</v>
      </c>
      <c r="L7" s="164">
        <v>360</v>
      </c>
      <c r="M7" s="156" t="s">
        <v>1028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B7" s="152">
        <v>400</v>
      </c>
      <c r="BD7" s="152">
        <v>130</v>
      </c>
      <c r="BE7" s="152">
        <v>130</v>
      </c>
      <c r="BF7" s="152">
        <v>130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P7" s="155">
        <v>130</v>
      </c>
      <c r="BQ7" s="155">
        <v>130</v>
      </c>
      <c r="BR7" s="155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J7" s="155">
        <v>160</v>
      </c>
      <c r="CK7" s="155">
        <v>160</v>
      </c>
      <c r="CL7" s="155">
        <v>160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Z7" s="155">
        <v>160</v>
      </c>
      <c r="DA7" s="155">
        <v>160</v>
      </c>
      <c r="DB7" s="155">
        <v>160</v>
      </c>
      <c r="DC7" s="155">
        <v>160</v>
      </c>
      <c r="DD7" s="155">
        <v>160</v>
      </c>
      <c r="DE7" s="155">
        <v>160</v>
      </c>
      <c r="DF7" s="155">
        <v>160</v>
      </c>
    </row>
    <row r="8" spans="1:110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928</v>
      </c>
      <c r="H8" s="56">
        <v>1</v>
      </c>
      <c r="I8" s="56" t="s">
        <v>1129</v>
      </c>
      <c r="J8" s="56" t="s">
        <v>1141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B8" s="152">
        <v>75</v>
      </c>
      <c r="BD8" s="152">
        <v>90</v>
      </c>
      <c r="BE8" s="152">
        <v>90</v>
      </c>
      <c r="BF8" s="152">
        <v>90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P8" s="155">
        <v>90</v>
      </c>
      <c r="BQ8" s="155">
        <v>90</v>
      </c>
      <c r="BR8" s="155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J8" s="155">
        <v>90</v>
      </c>
      <c r="CK8" s="155">
        <v>90</v>
      </c>
      <c r="CL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Z8" s="155">
        <v>90</v>
      </c>
      <c r="DA8" s="155">
        <v>90</v>
      </c>
      <c r="DB8" s="155">
        <v>90</v>
      </c>
      <c r="DC8" s="155">
        <v>90</v>
      </c>
      <c r="DD8" s="155">
        <v>90</v>
      </c>
      <c r="DE8" s="155">
        <v>90</v>
      </c>
      <c r="DF8" s="155">
        <v>90</v>
      </c>
    </row>
    <row r="9" spans="1:110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929</v>
      </c>
      <c r="H9" s="56">
        <v>3</v>
      </c>
      <c r="I9" s="56" t="s">
        <v>1127</v>
      </c>
      <c r="J9" s="56" t="s">
        <v>1141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B9" s="152">
        <v>60</v>
      </c>
      <c r="BD9" s="152">
        <v>80</v>
      </c>
      <c r="BE9" s="152">
        <v>80</v>
      </c>
      <c r="BF9" s="152">
        <v>80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P9" s="155">
        <v>80</v>
      </c>
      <c r="BQ9" s="155">
        <v>80</v>
      </c>
      <c r="BR9" s="155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J9" s="155">
        <v>80</v>
      </c>
      <c r="CK9" s="155">
        <v>80</v>
      </c>
      <c r="CL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Z9" s="155">
        <v>80</v>
      </c>
      <c r="DA9" s="155">
        <v>80</v>
      </c>
      <c r="DB9" s="155">
        <v>80</v>
      </c>
      <c r="DC9" s="155">
        <v>80</v>
      </c>
      <c r="DD9" s="155">
        <v>80</v>
      </c>
      <c r="DE9" s="155">
        <v>80</v>
      </c>
      <c r="DF9" s="155">
        <v>80</v>
      </c>
    </row>
    <row r="10" spans="1:110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930</v>
      </c>
      <c r="H10" s="56">
        <v>5</v>
      </c>
      <c r="I10" s="56" t="s">
        <v>1127</v>
      </c>
      <c r="J10" s="56" t="s">
        <v>1141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B10" s="152">
        <v>50</v>
      </c>
      <c r="BD10" s="152">
        <v>70</v>
      </c>
      <c r="BE10" s="152">
        <v>70</v>
      </c>
      <c r="BF10" s="152">
        <v>70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P10" s="155">
        <v>70</v>
      </c>
      <c r="BQ10" s="155">
        <v>70</v>
      </c>
      <c r="BR10" s="155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J10" s="155">
        <v>70</v>
      </c>
      <c r="CK10" s="155">
        <v>70</v>
      </c>
      <c r="CL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Z10" s="155">
        <v>70</v>
      </c>
      <c r="DA10" s="155">
        <v>70</v>
      </c>
      <c r="DB10" s="155">
        <v>70</v>
      </c>
      <c r="DC10" s="155">
        <v>70</v>
      </c>
      <c r="DD10" s="155">
        <v>70</v>
      </c>
      <c r="DE10" s="155">
        <v>70</v>
      </c>
      <c r="DF10" s="155">
        <v>70</v>
      </c>
    </row>
    <row r="11" spans="1:110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931</v>
      </c>
      <c r="H11" s="56">
        <v>1</v>
      </c>
      <c r="I11" s="56" t="s">
        <v>1128</v>
      </c>
      <c r="J11" s="56" t="s">
        <v>1142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B11" s="152">
        <v>200</v>
      </c>
      <c r="BD11" s="152">
        <v>110</v>
      </c>
      <c r="BE11" s="152">
        <v>110</v>
      </c>
      <c r="BF11" s="152">
        <v>110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P11" s="155">
        <v>110</v>
      </c>
      <c r="BQ11" s="155">
        <v>110</v>
      </c>
      <c r="BR11" s="155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J11" s="155">
        <v>120</v>
      </c>
      <c r="CK11" s="155">
        <v>120</v>
      </c>
      <c r="CL11" s="155">
        <v>120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Z11" s="155">
        <v>120</v>
      </c>
      <c r="DA11" s="155">
        <v>120</v>
      </c>
      <c r="DB11" s="155">
        <v>120</v>
      </c>
      <c r="DC11" s="155">
        <v>120</v>
      </c>
      <c r="DD11" s="155">
        <v>120</v>
      </c>
      <c r="DE11" s="155">
        <v>120</v>
      </c>
      <c r="DF11" s="155">
        <v>120</v>
      </c>
    </row>
    <row r="12" spans="1:110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858</v>
      </c>
      <c r="H12" s="56">
        <v>3</v>
      </c>
      <c r="I12" s="56" t="s">
        <v>1128</v>
      </c>
      <c r="J12" s="56" t="s">
        <v>1142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B12" s="152">
        <v>300</v>
      </c>
      <c r="BD12" s="152">
        <v>120</v>
      </c>
      <c r="BE12" s="152">
        <v>120</v>
      </c>
      <c r="BF12" s="152">
        <v>120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P12" s="155">
        <v>120</v>
      </c>
      <c r="BQ12" s="155">
        <v>120</v>
      </c>
      <c r="BR12" s="155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J12" s="155">
        <v>140</v>
      </c>
      <c r="CK12" s="155">
        <v>140</v>
      </c>
      <c r="CL12" s="155">
        <v>140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Z12" s="155">
        <v>140</v>
      </c>
      <c r="DA12" s="155">
        <v>140</v>
      </c>
      <c r="DB12" s="155">
        <v>140</v>
      </c>
      <c r="DC12" s="155">
        <v>140</v>
      </c>
      <c r="DD12" s="155">
        <v>140</v>
      </c>
      <c r="DE12" s="155">
        <v>140</v>
      </c>
      <c r="DF12" s="155">
        <v>140</v>
      </c>
    </row>
    <row r="13" spans="1:110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859</v>
      </c>
      <c r="H13" s="56">
        <v>5</v>
      </c>
      <c r="I13" s="56" t="s">
        <v>1128</v>
      </c>
      <c r="J13" s="56" t="s">
        <v>1142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B13" s="152">
        <v>400</v>
      </c>
      <c r="BD13" s="152">
        <v>130</v>
      </c>
      <c r="BE13" s="152">
        <v>130</v>
      </c>
      <c r="BF13" s="152">
        <v>130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P13" s="155">
        <v>130</v>
      </c>
      <c r="BQ13" s="155">
        <v>130</v>
      </c>
      <c r="BR13" s="155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J13" s="155">
        <v>160</v>
      </c>
      <c r="CK13" s="155">
        <v>160</v>
      </c>
      <c r="CL13" s="155">
        <v>160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Z13" s="155">
        <v>160</v>
      </c>
      <c r="DA13" s="155">
        <v>160</v>
      </c>
      <c r="DB13" s="155">
        <v>160</v>
      </c>
      <c r="DC13" s="155">
        <v>160</v>
      </c>
      <c r="DD13" s="155">
        <v>160</v>
      </c>
      <c r="DE13" s="155">
        <v>160</v>
      </c>
      <c r="DF13" s="155">
        <v>160</v>
      </c>
    </row>
    <row r="14" spans="1:110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0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171"/>
      <c r="AP15" s="56"/>
      <c r="AQ15" s="56"/>
      <c r="AR15" s="56"/>
      <c r="AS15" s="56"/>
      <c r="AT15" s="56"/>
      <c r="AU15" s="56"/>
      <c r="AV15" s="56"/>
      <c r="AW15" s="171"/>
      <c r="AX15" s="56"/>
      <c r="AY15" s="56"/>
      <c r="AZ15" s="56"/>
      <c r="BA15" s="171"/>
      <c r="BB15" s="56"/>
      <c r="BC15" s="10"/>
      <c r="BD15" s="56"/>
      <c r="BE15" s="56"/>
      <c r="BF15" s="56"/>
      <c r="BG15" s="56"/>
      <c r="BO15" s="144"/>
      <c r="CI15" s="144"/>
      <c r="CY15" s="144"/>
    </row>
    <row r="16" spans="1:110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171"/>
      <c r="AP16" s="56"/>
      <c r="AQ16" s="56"/>
      <c r="AR16" s="56"/>
      <c r="AS16" s="56"/>
      <c r="AT16" s="56"/>
      <c r="AU16" s="56"/>
      <c r="AV16" s="56"/>
      <c r="AW16" s="171"/>
      <c r="AX16" s="56"/>
      <c r="AY16" s="56"/>
      <c r="AZ16" s="56"/>
      <c r="BA16" s="171"/>
      <c r="BB16" s="56"/>
      <c r="BC16" s="10"/>
      <c r="BD16" s="56"/>
      <c r="BE16" s="56"/>
      <c r="BF16" s="56"/>
      <c r="BG16" s="56"/>
      <c r="BO16" s="144"/>
      <c r="CI16" s="144"/>
      <c r="CY16" s="144"/>
    </row>
    <row r="17" spans="1:110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171"/>
      <c r="AP17" s="56"/>
      <c r="AQ17" s="56"/>
      <c r="AR17" s="56"/>
      <c r="AS17" s="56"/>
      <c r="AT17" s="56"/>
      <c r="AU17" s="56"/>
      <c r="AV17" s="56"/>
      <c r="AW17" s="171"/>
      <c r="AX17" s="56"/>
      <c r="AY17" s="56"/>
      <c r="AZ17" s="56"/>
      <c r="BA17" s="171"/>
      <c r="BB17" s="56"/>
      <c r="BC17" s="10"/>
      <c r="BD17" s="56"/>
      <c r="BE17" s="56"/>
      <c r="BF17" s="56"/>
      <c r="BG17" s="56"/>
      <c r="BO17" s="144"/>
      <c r="CI17" s="144"/>
      <c r="CY17" s="144"/>
    </row>
    <row r="18" spans="1:110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171"/>
      <c r="AP18" s="56"/>
      <c r="AQ18" s="56"/>
      <c r="AR18" s="56"/>
      <c r="AS18" s="56"/>
      <c r="AT18" s="56"/>
      <c r="AU18" s="56"/>
      <c r="AV18" s="56"/>
      <c r="AW18" s="171"/>
      <c r="AX18" s="56"/>
      <c r="AY18" s="56"/>
      <c r="AZ18" s="56"/>
      <c r="BA18" s="171"/>
      <c r="BB18" s="56"/>
      <c r="BC18" s="10"/>
      <c r="BD18" s="56"/>
      <c r="BE18" s="56"/>
      <c r="BF18" s="56"/>
      <c r="BG18" s="56"/>
      <c r="BO18" s="144"/>
      <c r="CI18" s="144"/>
      <c r="CY18" s="144"/>
    </row>
    <row r="19" spans="1:110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171"/>
      <c r="AP19" s="56"/>
      <c r="AQ19" s="56"/>
      <c r="AR19" s="56"/>
      <c r="AS19" s="56"/>
      <c r="AT19" s="56"/>
      <c r="AU19" s="56"/>
      <c r="AV19" s="56"/>
      <c r="AW19" s="171"/>
      <c r="AX19" s="56"/>
      <c r="AY19" s="56"/>
      <c r="AZ19" s="56"/>
      <c r="BA19" s="171"/>
      <c r="BB19" s="56"/>
      <c r="BC19" s="10"/>
      <c r="BD19" s="56"/>
      <c r="BE19" s="56"/>
      <c r="BF19" s="56"/>
      <c r="BG19" s="56"/>
      <c r="BO19" s="144"/>
      <c r="CI19" s="144"/>
      <c r="CY19" s="144"/>
    </row>
    <row r="20" spans="1:110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171"/>
      <c r="AP20" s="56"/>
      <c r="AQ20" s="56"/>
      <c r="AR20" s="56"/>
      <c r="AS20" s="56"/>
      <c r="AT20" s="56"/>
      <c r="AU20" s="56"/>
      <c r="AV20" s="56"/>
      <c r="AW20" s="171"/>
      <c r="AX20" s="56"/>
      <c r="AY20" s="56"/>
      <c r="AZ20" s="56"/>
      <c r="BA20" s="171"/>
      <c r="BB20" s="56"/>
      <c r="BC20" s="10"/>
      <c r="BD20" s="56"/>
      <c r="BE20" s="56"/>
      <c r="BF20" s="56"/>
      <c r="BG20" s="56"/>
      <c r="BO20" s="144"/>
      <c r="CI20" s="144"/>
      <c r="CY20" s="144"/>
    </row>
    <row r="21" spans="1:110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171"/>
      <c r="AP21" s="56"/>
      <c r="AQ21" s="56"/>
      <c r="AR21" s="56"/>
      <c r="AS21" s="56"/>
      <c r="AT21" s="56"/>
      <c r="AU21" s="56"/>
      <c r="AV21" s="56"/>
      <c r="AW21" s="171"/>
      <c r="AX21" s="56"/>
      <c r="AY21" s="56"/>
      <c r="AZ21" s="56"/>
      <c r="BA21" s="171"/>
      <c r="BB21" s="56"/>
      <c r="BC21" s="10"/>
      <c r="BD21" s="56"/>
      <c r="BE21" s="56"/>
      <c r="BF21" s="56"/>
      <c r="BG21" s="56"/>
      <c r="BO21" s="144"/>
      <c r="CI21" s="144"/>
      <c r="CY21" s="144"/>
    </row>
    <row r="22" spans="1:110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171"/>
      <c r="AP22" s="56"/>
      <c r="AQ22" s="56"/>
      <c r="AR22" s="56"/>
      <c r="AS22" s="56"/>
      <c r="AT22" s="56"/>
      <c r="AU22" s="56"/>
      <c r="AV22" s="56"/>
      <c r="AW22" s="171"/>
      <c r="AX22" s="56"/>
      <c r="AY22" s="56"/>
      <c r="AZ22" s="56"/>
      <c r="BA22" s="171"/>
      <c r="BB22" s="56"/>
      <c r="BC22" s="10"/>
      <c r="BD22" s="56"/>
      <c r="BE22" s="56"/>
      <c r="BF22" s="56"/>
      <c r="BG22" s="56"/>
      <c r="BO22" s="144"/>
      <c r="CI22" s="144"/>
      <c r="CY22" s="144"/>
    </row>
    <row r="23" spans="1:110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171"/>
      <c r="AP23" s="56"/>
      <c r="AQ23" s="56"/>
      <c r="AR23" s="56"/>
      <c r="AS23" s="56"/>
      <c r="AT23" s="56"/>
      <c r="AU23" s="56"/>
      <c r="AV23" s="56"/>
      <c r="AW23" s="171"/>
      <c r="AX23" s="56"/>
      <c r="AY23" s="56"/>
      <c r="AZ23" s="56"/>
      <c r="BA23" s="171"/>
      <c r="BB23" s="56"/>
      <c r="BC23" s="10"/>
      <c r="BD23" s="56"/>
      <c r="BE23" s="56"/>
      <c r="BF23" s="56"/>
      <c r="BG23" s="56"/>
      <c r="BO23" s="144"/>
      <c r="CI23" s="144"/>
      <c r="CY23" s="144"/>
    </row>
    <row r="24" spans="1:110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171"/>
      <c r="AP24" s="56"/>
      <c r="AQ24" s="56"/>
      <c r="AR24" s="56"/>
      <c r="AS24" s="56"/>
      <c r="AT24" s="56"/>
      <c r="AU24" s="56"/>
      <c r="AV24" s="56"/>
      <c r="AW24" s="171"/>
      <c r="AX24" s="56"/>
      <c r="AY24" s="56"/>
      <c r="AZ24" s="56"/>
      <c r="BA24" s="171"/>
      <c r="BB24" s="56"/>
      <c r="BC24" s="10"/>
      <c r="BD24" s="56"/>
      <c r="BE24" s="56"/>
      <c r="BF24" s="56"/>
      <c r="BG24" s="56"/>
      <c r="BO24" s="144"/>
      <c r="CI24" s="144"/>
      <c r="CY24" s="144"/>
    </row>
    <row r="25" spans="1:110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1023</v>
      </c>
      <c r="H25" s="57">
        <v>1</v>
      </c>
      <c r="I25" s="57" t="s">
        <v>1130</v>
      </c>
      <c r="J25" s="57" t="s">
        <v>1143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172"/>
      <c r="AP25" s="57"/>
      <c r="AQ25" s="57"/>
      <c r="AR25" s="57"/>
      <c r="AS25" s="57"/>
      <c r="AT25" s="57"/>
      <c r="AU25" s="57"/>
      <c r="AV25" s="57"/>
      <c r="AW25" s="172"/>
      <c r="AX25" s="57"/>
      <c r="AY25" s="57"/>
      <c r="AZ25" s="57"/>
      <c r="BA25" s="172"/>
      <c r="BB25" s="153">
        <v>120</v>
      </c>
      <c r="BC25" s="17"/>
      <c r="BD25" s="153">
        <v>140</v>
      </c>
      <c r="BE25" s="153">
        <v>140</v>
      </c>
      <c r="BF25" s="153">
        <v>140</v>
      </c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200</v>
      </c>
      <c r="BN25" s="153">
        <v>140</v>
      </c>
      <c r="BO25" s="143"/>
      <c r="BP25" s="154">
        <v>110</v>
      </c>
      <c r="BQ25" s="154">
        <v>110</v>
      </c>
      <c r="BR25" s="154">
        <v>110</v>
      </c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43"/>
      <c r="CJ25" s="154">
        <v>150</v>
      </c>
      <c r="CK25" s="154">
        <v>150</v>
      </c>
      <c r="CL25" s="154">
        <v>150</v>
      </c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43"/>
      <c r="CZ25" s="153">
        <v>140</v>
      </c>
      <c r="DA25" s="153">
        <v>140</v>
      </c>
      <c r="DB25" s="153">
        <v>140</v>
      </c>
      <c r="DC25" s="153">
        <v>140</v>
      </c>
      <c r="DD25" s="153">
        <v>200</v>
      </c>
      <c r="DE25" s="153">
        <v>140</v>
      </c>
      <c r="DF25" s="153">
        <v>140</v>
      </c>
    </row>
    <row r="26" spans="1:110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1024</v>
      </c>
      <c r="H26" s="56">
        <v>3</v>
      </c>
      <c r="I26" s="56" t="s">
        <v>1130</v>
      </c>
      <c r="J26" s="56" t="s">
        <v>1143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B26" s="152">
        <v>140</v>
      </c>
      <c r="BD26" s="152">
        <v>180</v>
      </c>
      <c r="BE26" s="152">
        <v>180</v>
      </c>
      <c r="BF26" s="152">
        <v>180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400</v>
      </c>
      <c r="BN26" s="152">
        <v>180</v>
      </c>
      <c r="BP26" s="155">
        <v>120</v>
      </c>
      <c r="BQ26" s="155">
        <v>120</v>
      </c>
      <c r="BR26" s="155">
        <v>120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J26" s="155">
        <v>200</v>
      </c>
      <c r="CK26" s="155">
        <v>200</v>
      </c>
      <c r="CL26" s="155">
        <v>200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Z26" s="152">
        <v>180</v>
      </c>
      <c r="DA26" s="152">
        <v>180</v>
      </c>
      <c r="DB26" s="152">
        <v>180</v>
      </c>
      <c r="DC26" s="152">
        <v>180</v>
      </c>
      <c r="DD26" s="152">
        <v>400</v>
      </c>
      <c r="DE26" s="152">
        <v>180</v>
      </c>
      <c r="DF26" s="152">
        <v>180</v>
      </c>
    </row>
    <row r="27" spans="1:110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1025</v>
      </c>
      <c r="H27" s="56">
        <v>5</v>
      </c>
      <c r="I27" s="56" t="s">
        <v>1130</v>
      </c>
      <c r="J27" s="56" t="s">
        <v>1143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B27" s="152">
        <v>160</v>
      </c>
      <c r="BD27" s="152">
        <v>220</v>
      </c>
      <c r="BE27" s="152">
        <v>220</v>
      </c>
      <c r="BF27" s="152">
        <v>220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800</v>
      </c>
      <c r="BN27" s="152">
        <v>220</v>
      </c>
      <c r="BP27" s="155">
        <v>130</v>
      </c>
      <c r="BQ27" s="155">
        <v>130</v>
      </c>
      <c r="BR27" s="155">
        <v>130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J27" s="155">
        <v>250</v>
      </c>
      <c r="CK27" s="155">
        <v>250</v>
      </c>
      <c r="CL27" s="155">
        <v>250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Z27" s="152">
        <v>220</v>
      </c>
      <c r="DA27" s="152">
        <v>220</v>
      </c>
      <c r="DB27" s="152">
        <v>220</v>
      </c>
      <c r="DC27" s="152">
        <v>220</v>
      </c>
      <c r="DD27" s="152">
        <v>800</v>
      </c>
      <c r="DE27" s="152">
        <v>220</v>
      </c>
      <c r="DF27" s="152">
        <v>220</v>
      </c>
    </row>
    <row r="28" spans="1:110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1037</v>
      </c>
      <c r="H28" s="56">
        <v>1</v>
      </c>
      <c r="I28" s="56" t="s">
        <v>1145</v>
      </c>
      <c r="J28" s="56" t="s">
        <v>1144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AG28" s="152">
        <v>110</v>
      </c>
      <c r="BB28" s="152">
        <v>70</v>
      </c>
      <c r="BD28" s="152">
        <v>80</v>
      </c>
      <c r="BE28" s="152">
        <v>80</v>
      </c>
      <c r="BF28" s="152">
        <v>80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50</v>
      </c>
      <c r="BN28" s="152">
        <v>80</v>
      </c>
      <c r="BP28" s="152">
        <v>80</v>
      </c>
      <c r="BQ28" s="152">
        <v>80</v>
      </c>
      <c r="BR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J28" s="152">
        <v>70</v>
      </c>
      <c r="CK28" s="152">
        <v>70</v>
      </c>
      <c r="CL28" s="152">
        <v>70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Z28" s="152">
        <v>70</v>
      </c>
      <c r="DA28" s="152">
        <v>70</v>
      </c>
      <c r="DB28" s="152">
        <v>70</v>
      </c>
      <c r="DC28" s="152">
        <v>70</v>
      </c>
      <c r="DD28" s="152">
        <v>50</v>
      </c>
      <c r="DE28" s="152">
        <v>70</v>
      </c>
      <c r="DF28" s="152">
        <v>70</v>
      </c>
    </row>
    <row r="29" spans="1:110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1038</v>
      </c>
      <c r="H29" s="56">
        <v>3</v>
      </c>
      <c r="I29" s="56" t="s">
        <v>1145</v>
      </c>
      <c r="J29" s="56" t="s">
        <v>1144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AG29" s="152">
        <v>120</v>
      </c>
      <c r="BB29" s="152">
        <v>50</v>
      </c>
      <c r="BD29" s="152">
        <v>70</v>
      </c>
      <c r="BE29" s="152">
        <v>70</v>
      </c>
      <c r="BF29" s="152">
        <v>70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40</v>
      </c>
      <c r="BN29" s="152">
        <v>70</v>
      </c>
      <c r="BP29" s="152">
        <v>70</v>
      </c>
      <c r="BQ29" s="152">
        <v>70</v>
      </c>
      <c r="BR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J29" s="152">
        <v>60</v>
      </c>
      <c r="CK29" s="152">
        <v>60</v>
      </c>
      <c r="CL29" s="152">
        <v>60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Z29" s="152">
        <v>60</v>
      </c>
      <c r="DA29" s="152">
        <v>60</v>
      </c>
      <c r="DB29" s="152">
        <v>60</v>
      </c>
      <c r="DC29" s="152">
        <v>60</v>
      </c>
      <c r="DD29" s="152">
        <v>40</v>
      </c>
      <c r="DE29" s="152">
        <v>60</v>
      </c>
      <c r="DF29" s="152">
        <v>60</v>
      </c>
    </row>
    <row r="30" spans="1:110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1039</v>
      </c>
      <c r="H30" s="56">
        <v>5</v>
      </c>
      <c r="I30" s="56" t="s">
        <v>1145</v>
      </c>
      <c r="J30" s="56" t="s">
        <v>1144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AG30" s="152">
        <v>130</v>
      </c>
      <c r="BB30" s="152">
        <v>20</v>
      </c>
      <c r="BD30" s="152">
        <v>60</v>
      </c>
      <c r="BE30" s="152">
        <v>60</v>
      </c>
      <c r="BF30" s="152">
        <v>60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30</v>
      </c>
      <c r="BN30" s="152">
        <v>60</v>
      </c>
      <c r="BP30" s="152">
        <v>60</v>
      </c>
      <c r="BQ30" s="152">
        <v>60</v>
      </c>
      <c r="BR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J30" s="152">
        <v>50</v>
      </c>
      <c r="CK30" s="152">
        <v>50</v>
      </c>
      <c r="CL30" s="152">
        <v>50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Z30" s="152">
        <v>50</v>
      </c>
      <c r="DA30" s="152">
        <v>50</v>
      </c>
      <c r="DB30" s="152">
        <v>50</v>
      </c>
      <c r="DC30" s="152">
        <v>50</v>
      </c>
      <c r="DD30" s="152">
        <v>30</v>
      </c>
      <c r="DE30" s="152">
        <v>50</v>
      </c>
      <c r="DF30" s="152">
        <v>50</v>
      </c>
    </row>
    <row r="31" spans="1:110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0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09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09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09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171"/>
      <c r="AP35" s="56"/>
      <c r="AQ35" s="56"/>
      <c r="AR35" s="56"/>
      <c r="AS35" s="56"/>
      <c r="AT35" s="56"/>
      <c r="AU35" s="56"/>
      <c r="AV35" s="56"/>
      <c r="AW35" s="171"/>
      <c r="AX35" s="56"/>
      <c r="AY35" s="56"/>
      <c r="AZ35" s="56"/>
      <c r="BA35" s="171"/>
      <c r="BB35" s="56"/>
      <c r="BC35" s="10"/>
      <c r="BD35" s="56"/>
      <c r="BE35" s="56"/>
      <c r="BF35" s="56"/>
      <c r="BG35" s="56"/>
      <c r="BO35" s="144"/>
      <c r="CI35" s="144"/>
      <c r="CY35" s="144"/>
    </row>
    <row r="36" spans="1:109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171"/>
      <c r="AP36" s="56"/>
      <c r="AQ36" s="56"/>
      <c r="AR36" s="56"/>
      <c r="AS36" s="56"/>
      <c r="AT36" s="56"/>
      <c r="AU36" s="56"/>
      <c r="AV36" s="56"/>
      <c r="AW36" s="171"/>
      <c r="AX36" s="56"/>
      <c r="AY36" s="56"/>
      <c r="AZ36" s="56"/>
      <c r="BA36" s="171"/>
      <c r="BB36" s="56"/>
      <c r="BC36" s="10"/>
      <c r="BD36" s="56"/>
      <c r="BE36" s="56"/>
      <c r="BF36" s="56"/>
      <c r="BG36" s="56"/>
      <c r="BO36" s="144"/>
      <c r="CI36" s="144"/>
      <c r="CY36" s="144"/>
    </row>
    <row r="37" spans="1:109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171"/>
      <c r="AP37" s="56"/>
      <c r="AQ37" s="56"/>
      <c r="AR37" s="56"/>
      <c r="AS37" s="56"/>
      <c r="AT37" s="56"/>
      <c r="AU37" s="56"/>
      <c r="AV37" s="56"/>
      <c r="AW37" s="171"/>
      <c r="AX37" s="56"/>
      <c r="AY37" s="56"/>
      <c r="AZ37" s="56"/>
      <c r="BA37" s="171"/>
      <c r="BB37" s="56"/>
      <c r="BC37" s="10"/>
      <c r="BD37" s="56"/>
      <c r="BE37" s="56"/>
      <c r="BF37" s="56"/>
      <c r="BG37" s="56"/>
      <c r="BO37" s="144"/>
      <c r="CI37" s="144"/>
      <c r="CY37" s="144"/>
    </row>
    <row r="38" spans="1:109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171"/>
      <c r="AP38" s="56"/>
      <c r="AQ38" s="56"/>
      <c r="AR38" s="56"/>
      <c r="AS38" s="56"/>
      <c r="AT38" s="56"/>
      <c r="AU38" s="56"/>
      <c r="AV38" s="56"/>
      <c r="AW38" s="171"/>
      <c r="AX38" s="56"/>
      <c r="AY38" s="56"/>
      <c r="AZ38" s="56"/>
      <c r="BA38" s="171"/>
      <c r="BB38" s="56"/>
      <c r="BC38" s="10"/>
      <c r="BD38" s="56"/>
      <c r="BE38" s="56"/>
      <c r="BF38" s="56"/>
      <c r="BG38" s="56"/>
      <c r="BO38" s="144"/>
      <c r="CI38" s="144"/>
      <c r="CY38" s="144"/>
    </row>
    <row r="39" spans="1:109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171"/>
      <c r="AP39" s="56"/>
      <c r="AQ39" s="56"/>
      <c r="AR39" s="56"/>
      <c r="AS39" s="56"/>
      <c r="AT39" s="56"/>
      <c r="AU39" s="56"/>
      <c r="AV39" s="56"/>
      <c r="AW39" s="171"/>
      <c r="AX39" s="56"/>
      <c r="AY39" s="56"/>
      <c r="AZ39" s="56"/>
      <c r="BA39" s="171"/>
      <c r="BB39" s="56"/>
      <c r="BC39" s="10"/>
      <c r="BD39" s="56"/>
      <c r="BE39" s="56"/>
      <c r="BF39" s="56"/>
      <c r="BG39" s="56"/>
      <c r="BO39" s="144"/>
      <c r="CI39" s="144"/>
      <c r="CY39" s="144"/>
    </row>
    <row r="40" spans="1:109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171"/>
      <c r="AP40" s="56"/>
      <c r="AQ40" s="56"/>
      <c r="AR40" s="56"/>
      <c r="AS40" s="56"/>
      <c r="AT40" s="56"/>
      <c r="AU40" s="56"/>
      <c r="AV40" s="56"/>
      <c r="AW40" s="171"/>
      <c r="AX40" s="56"/>
      <c r="AY40" s="56"/>
      <c r="AZ40" s="56"/>
      <c r="BA40" s="171"/>
      <c r="BB40" s="56"/>
      <c r="BC40" s="10"/>
      <c r="BD40" s="56"/>
      <c r="BE40" s="56"/>
      <c r="BF40" s="56"/>
      <c r="BG40" s="56"/>
      <c r="BO40" s="144"/>
      <c r="CI40" s="144"/>
      <c r="CY40" s="144"/>
    </row>
    <row r="41" spans="1:109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171"/>
      <c r="AP41" s="56"/>
      <c r="AQ41" s="56"/>
      <c r="AR41" s="56"/>
      <c r="AS41" s="56"/>
      <c r="AT41" s="56"/>
      <c r="AU41" s="56"/>
      <c r="AV41" s="56"/>
      <c r="AW41" s="171"/>
      <c r="AX41" s="56"/>
      <c r="AY41" s="56"/>
      <c r="AZ41" s="56"/>
      <c r="BA41" s="171"/>
      <c r="BB41" s="56"/>
      <c r="BC41" s="10"/>
      <c r="BD41" s="56"/>
      <c r="BE41" s="56"/>
      <c r="BF41" s="56"/>
      <c r="BG41" s="56"/>
      <c r="BO41" s="144"/>
      <c r="CI41" s="144"/>
      <c r="CY41" s="144"/>
    </row>
    <row r="42" spans="1:109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171"/>
      <c r="AP42" s="56"/>
      <c r="AQ42" s="56"/>
      <c r="AR42" s="56"/>
      <c r="AS42" s="56"/>
      <c r="AT42" s="56"/>
      <c r="AU42" s="56"/>
      <c r="AV42" s="56"/>
      <c r="AW42" s="171"/>
      <c r="AX42" s="56"/>
      <c r="AY42" s="56"/>
      <c r="AZ42" s="56"/>
      <c r="BA42" s="171"/>
      <c r="BB42" s="56"/>
      <c r="BC42" s="10"/>
      <c r="BD42" s="56"/>
      <c r="BE42" s="56"/>
      <c r="BF42" s="56"/>
      <c r="BG42" s="56"/>
      <c r="BO42" s="144"/>
      <c r="CI42" s="144"/>
      <c r="CY42" s="144"/>
    </row>
    <row r="43" spans="1:109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171"/>
      <c r="AP43" s="56"/>
      <c r="AQ43" s="56"/>
      <c r="AR43" s="56"/>
      <c r="AS43" s="56"/>
      <c r="AT43" s="56"/>
      <c r="AU43" s="56"/>
      <c r="AV43" s="56"/>
      <c r="AW43" s="171"/>
      <c r="AX43" s="56"/>
      <c r="AY43" s="56"/>
      <c r="AZ43" s="56"/>
      <c r="BA43" s="171"/>
      <c r="BB43" s="56"/>
      <c r="BC43" s="10"/>
      <c r="BD43" s="56"/>
      <c r="BE43" s="56"/>
      <c r="BF43" s="56"/>
      <c r="BG43" s="56"/>
      <c r="BO43" s="144"/>
      <c r="CI43" s="144"/>
      <c r="CY43" s="144"/>
    </row>
    <row r="44" spans="1:109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171"/>
      <c r="AP44" s="56"/>
      <c r="AQ44" s="56"/>
      <c r="AR44" s="56"/>
      <c r="AS44" s="56"/>
      <c r="AT44" s="56"/>
      <c r="AU44" s="56"/>
      <c r="AV44" s="56"/>
      <c r="AW44" s="171"/>
      <c r="AX44" s="56"/>
      <c r="AY44" s="56"/>
      <c r="AZ44" s="56"/>
      <c r="BA44" s="171"/>
      <c r="BB44" s="56"/>
      <c r="BC44" s="10"/>
      <c r="BD44" s="56"/>
      <c r="BE44" s="56"/>
      <c r="BF44" s="56"/>
      <c r="BG44" s="56"/>
      <c r="BO44" s="144"/>
      <c r="CI44" s="144"/>
      <c r="CY44" s="144"/>
    </row>
    <row r="45" spans="1:109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865</v>
      </c>
      <c r="H45" s="57">
        <v>1</v>
      </c>
      <c r="I45" s="57" t="s">
        <v>1131</v>
      </c>
      <c r="J45" s="57" t="s">
        <v>1146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172"/>
      <c r="AP45" s="57"/>
      <c r="AQ45" s="57"/>
      <c r="AR45" s="57"/>
      <c r="AS45" s="57"/>
      <c r="AT45" s="57"/>
      <c r="AU45" s="57"/>
      <c r="AV45" s="57"/>
      <c r="AW45" s="172"/>
      <c r="AX45" s="57"/>
      <c r="AY45" s="57"/>
      <c r="AZ45" s="57"/>
      <c r="BA45" s="172"/>
      <c r="BB45" s="57"/>
      <c r="BC45" s="17"/>
      <c r="BD45" s="153">
        <v>150</v>
      </c>
      <c r="BE45" s="153">
        <v>150</v>
      </c>
      <c r="BF45" s="153">
        <v>150</v>
      </c>
      <c r="BG45" s="57"/>
      <c r="BK45" s="153">
        <v>150</v>
      </c>
      <c r="BO45" s="143"/>
      <c r="CI45" s="143"/>
      <c r="CY45" s="143"/>
    </row>
    <row r="46" spans="1:109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866</v>
      </c>
      <c r="H46" s="56">
        <v>3</v>
      </c>
      <c r="I46" s="56" t="s">
        <v>1131</v>
      </c>
      <c r="J46" s="56" t="s">
        <v>1146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D46" s="152">
        <v>180</v>
      </c>
      <c r="BE46" s="152">
        <v>180</v>
      </c>
      <c r="BF46" s="152">
        <v>180</v>
      </c>
      <c r="BH46" s="108"/>
      <c r="BK46" s="152">
        <v>180</v>
      </c>
    </row>
    <row r="47" spans="1:109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867</v>
      </c>
      <c r="H47" s="56">
        <v>5</v>
      </c>
      <c r="I47" s="56" t="s">
        <v>1131</v>
      </c>
      <c r="J47" s="56" t="s">
        <v>1146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D47" s="152">
        <v>210</v>
      </c>
      <c r="BE47" s="152">
        <v>210</v>
      </c>
      <c r="BF47" s="152">
        <v>210</v>
      </c>
      <c r="BH47" s="108"/>
      <c r="BK47" s="152">
        <v>210</v>
      </c>
    </row>
    <row r="48" spans="1:109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868</v>
      </c>
      <c r="H48" s="56">
        <v>1</v>
      </c>
      <c r="I48" s="56" t="s">
        <v>1132</v>
      </c>
      <c r="J48" s="56" t="s">
        <v>1148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P48" s="152">
        <v>70</v>
      </c>
      <c r="AQ48" s="152">
        <v>70</v>
      </c>
      <c r="AR48" s="152">
        <v>80</v>
      </c>
      <c r="AS48" s="152">
        <v>60</v>
      </c>
      <c r="AT48" s="152">
        <v>60</v>
      </c>
      <c r="AU48" s="152">
        <v>80</v>
      </c>
      <c r="BD48" s="152">
        <v>150</v>
      </c>
      <c r="BE48" s="152">
        <v>150</v>
      </c>
      <c r="BF48" s="152">
        <v>150</v>
      </c>
      <c r="BH48" s="152">
        <v>150</v>
      </c>
      <c r="BI48" s="152">
        <v>150</v>
      </c>
      <c r="BK48" s="152">
        <v>150</v>
      </c>
      <c r="CZ48" s="152">
        <v>150</v>
      </c>
      <c r="DA48" s="155">
        <v>110</v>
      </c>
      <c r="DB48" s="155">
        <v>110</v>
      </c>
      <c r="DE48" s="152">
        <v>150</v>
      </c>
    </row>
    <row r="49" spans="1:109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869</v>
      </c>
      <c r="H49" s="56">
        <v>3</v>
      </c>
      <c r="I49" s="56" t="s">
        <v>1132</v>
      </c>
      <c r="J49" s="56" t="s">
        <v>1148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P49" s="152">
        <v>50</v>
      </c>
      <c r="AQ49" s="152">
        <v>50</v>
      </c>
      <c r="AR49" s="152">
        <v>50</v>
      </c>
      <c r="AS49" s="152">
        <v>40</v>
      </c>
      <c r="AT49" s="152">
        <v>40</v>
      </c>
      <c r="AU49" s="152">
        <v>50</v>
      </c>
      <c r="BD49" s="152">
        <v>180</v>
      </c>
      <c r="BE49" s="152">
        <v>180</v>
      </c>
      <c r="BF49" s="152">
        <v>180</v>
      </c>
      <c r="BH49" s="152">
        <v>180</v>
      </c>
      <c r="BI49" s="152">
        <v>180</v>
      </c>
      <c r="BK49" s="152">
        <v>180</v>
      </c>
      <c r="CZ49" s="152">
        <v>180</v>
      </c>
      <c r="DA49" s="155">
        <v>120</v>
      </c>
      <c r="DB49" s="155">
        <v>120</v>
      </c>
      <c r="DE49" s="152">
        <v>180</v>
      </c>
    </row>
    <row r="50" spans="1:109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870</v>
      </c>
      <c r="H50" s="56">
        <v>5</v>
      </c>
      <c r="I50" s="56" t="s">
        <v>1132</v>
      </c>
      <c r="J50" s="56" t="s">
        <v>1148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P50" s="152">
        <v>20</v>
      </c>
      <c r="AQ50" s="152">
        <v>20</v>
      </c>
      <c r="AR50" s="152">
        <v>20</v>
      </c>
      <c r="AS50" s="152">
        <v>10</v>
      </c>
      <c r="AT50" s="152">
        <v>10</v>
      </c>
      <c r="AU50" s="152">
        <v>20</v>
      </c>
      <c r="BD50" s="152">
        <v>210</v>
      </c>
      <c r="BE50" s="152">
        <v>210</v>
      </c>
      <c r="BF50" s="152">
        <v>210</v>
      </c>
      <c r="BH50" s="152">
        <v>210</v>
      </c>
      <c r="BI50" s="152">
        <v>210</v>
      </c>
      <c r="BK50" s="152">
        <v>210</v>
      </c>
      <c r="CZ50" s="152">
        <v>210</v>
      </c>
      <c r="DA50" s="155">
        <v>130</v>
      </c>
      <c r="DB50" s="155">
        <v>130</v>
      </c>
      <c r="DE50" s="152">
        <v>210</v>
      </c>
    </row>
    <row r="51" spans="1:109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932</v>
      </c>
      <c r="H51" s="56">
        <v>1</v>
      </c>
      <c r="I51" s="56" t="s">
        <v>1133</v>
      </c>
      <c r="J51" s="56" t="s">
        <v>1147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P51" s="152">
        <v>70</v>
      </c>
      <c r="AQ51" s="152">
        <v>70</v>
      </c>
      <c r="AR51" s="152">
        <v>70</v>
      </c>
      <c r="AS51" s="152">
        <v>150</v>
      </c>
      <c r="AT51" s="152">
        <v>150</v>
      </c>
      <c r="AU51" s="152">
        <v>70</v>
      </c>
      <c r="BD51" s="152">
        <v>150</v>
      </c>
      <c r="BE51" s="152">
        <v>150</v>
      </c>
      <c r="BF51" s="152">
        <v>150</v>
      </c>
      <c r="BH51" s="157">
        <v>70</v>
      </c>
      <c r="CZ51" s="157">
        <v>70</v>
      </c>
      <c r="DA51" s="155">
        <v>110</v>
      </c>
      <c r="DB51" s="155">
        <v>110</v>
      </c>
      <c r="DE51" s="152">
        <v>150</v>
      </c>
    </row>
    <row r="52" spans="1:109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933</v>
      </c>
      <c r="H52" s="56">
        <v>3</v>
      </c>
      <c r="I52" s="56" t="s">
        <v>1133</v>
      </c>
      <c r="J52" s="56" t="s">
        <v>1147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P52" s="152">
        <v>50</v>
      </c>
      <c r="AQ52" s="152">
        <v>50</v>
      </c>
      <c r="AR52" s="152">
        <v>50</v>
      </c>
      <c r="AS52" s="152">
        <v>180</v>
      </c>
      <c r="AT52" s="152">
        <v>180</v>
      </c>
      <c r="AU52" s="152">
        <v>50</v>
      </c>
      <c r="BD52" s="152">
        <v>180</v>
      </c>
      <c r="BE52" s="152">
        <v>180</v>
      </c>
      <c r="BF52" s="152">
        <v>180</v>
      </c>
      <c r="BH52" s="157">
        <v>50</v>
      </c>
      <c r="CZ52" s="157">
        <v>50</v>
      </c>
      <c r="DA52" s="155">
        <v>120</v>
      </c>
      <c r="DB52" s="155">
        <v>120</v>
      </c>
      <c r="DE52" s="152">
        <v>180</v>
      </c>
    </row>
    <row r="53" spans="1:109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934</v>
      </c>
      <c r="H53" s="56">
        <v>5</v>
      </c>
      <c r="I53" s="56" t="s">
        <v>1133</v>
      </c>
      <c r="J53" s="56" t="s">
        <v>1147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P53" s="152">
        <v>20</v>
      </c>
      <c r="AQ53" s="152">
        <v>20</v>
      </c>
      <c r="AR53" s="152">
        <v>20</v>
      </c>
      <c r="AS53" s="152">
        <v>200</v>
      </c>
      <c r="AT53" s="152">
        <v>200</v>
      </c>
      <c r="AU53" s="152">
        <v>20</v>
      </c>
      <c r="BD53" s="152">
        <v>210</v>
      </c>
      <c r="BE53" s="152">
        <v>210</v>
      </c>
      <c r="BF53" s="152">
        <v>210</v>
      </c>
      <c r="BH53" s="157">
        <v>20</v>
      </c>
      <c r="CZ53" s="157">
        <v>20</v>
      </c>
      <c r="DA53" s="155">
        <v>130</v>
      </c>
      <c r="DB53" s="155">
        <v>130</v>
      </c>
      <c r="DE53" s="152">
        <v>210</v>
      </c>
    </row>
    <row r="54" spans="1:109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1043</v>
      </c>
      <c r="H54" s="56">
        <v>1</v>
      </c>
      <c r="I54" s="56" t="s">
        <v>1134</v>
      </c>
      <c r="J54" s="56" t="s">
        <v>1149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P54" s="152">
        <v>70</v>
      </c>
      <c r="AQ54" s="152">
        <v>70</v>
      </c>
      <c r="AR54" s="152">
        <v>70</v>
      </c>
      <c r="AU54" s="152">
        <v>70</v>
      </c>
      <c r="AV54" s="152">
        <v>200</v>
      </c>
      <c r="AX54" s="152"/>
      <c r="AY54" s="152"/>
      <c r="AZ54" s="152">
        <v>50</v>
      </c>
      <c r="BB54" s="152">
        <v>150</v>
      </c>
      <c r="BD54" s="152">
        <v>150</v>
      </c>
      <c r="BE54" s="152">
        <v>150</v>
      </c>
      <c r="BF54" s="152">
        <v>150</v>
      </c>
      <c r="BI54" s="152">
        <v>150</v>
      </c>
      <c r="BK54" s="152">
        <v>150</v>
      </c>
      <c r="DA54" s="155">
        <v>110</v>
      </c>
      <c r="DB54" s="155">
        <v>110</v>
      </c>
      <c r="DE54" s="152">
        <v>150</v>
      </c>
    </row>
    <row r="55" spans="1:109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1044</v>
      </c>
      <c r="H55" s="56">
        <v>3</v>
      </c>
      <c r="I55" s="56" t="s">
        <v>1134</v>
      </c>
      <c r="J55" s="56" t="s">
        <v>1149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71"/>
      <c r="AP55" s="152">
        <v>50</v>
      </c>
      <c r="AQ55" s="152">
        <v>50</v>
      </c>
      <c r="AR55" s="152">
        <v>50</v>
      </c>
      <c r="AS55" s="56"/>
      <c r="AT55" s="56"/>
      <c r="AU55" s="152">
        <v>50</v>
      </c>
      <c r="AV55" s="152">
        <v>400</v>
      </c>
      <c r="AW55" s="171"/>
      <c r="AX55" s="152">
        <v>40</v>
      </c>
      <c r="AY55" s="152">
        <v>40</v>
      </c>
      <c r="AZ55" s="152">
        <v>35</v>
      </c>
      <c r="BA55" s="171"/>
      <c r="BB55" s="152">
        <v>200</v>
      </c>
      <c r="BC55" s="10"/>
      <c r="BD55" s="152">
        <v>180</v>
      </c>
      <c r="BE55" s="152">
        <v>180</v>
      </c>
      <c r="BF55" s="152">
        <v>180</v>
      </c>
      <c r="BG55" s="56"/>
      <c r="BI55" s="152">
        <v>180</v>
      </c>
      <c r="BK55" s="152">
        <v>180</v>
      </c>
      <c r="BO55" s="144"/>
      <c r="CI55" s="144"/>
      <c r="CY55" s="144"/>
      <c r="DA55" s="155">
        <v>120</v>
      </c>
      <c r="DB55" s="155">
        <v>120</v>
      </c>
      <c r="DE55" s="152">
        <v>180</v>
      </c>
    </row>
    <row r="56" spans="1:109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1045</v>
      </c>
      <c r="H56" s="56">
        <v>5</v>
      </c>
      <c r="I56" s="56" t="s">
        <v>1134</v>
      </c>
      <c r="J56" s="56" t="s">
        <v>1149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71"/>
      <c r="AP56" s="152">
        <v>20</v>
      </c>
      <c r="AQ56" s="152">
        <v>20</v>
      </c>
      <c r="AR56" s="152">
        <v>20</v>
      </c>
      <c r="AS56" s="56"/>
      <c r="AT56" s="56"/>
      <c r="AU56" s="152">
        <v>20</v>
      </c>
      <c r="AV56" s="152">
        <v>600</v>
      </c>
      <c r="AW56" s="171"/>
      <c r="AX56" s="152">
        <v>10</v>
      </c>
      <c r="AY56" s="152">
        <v>10</v>
      </c>
      <c r="AZ56" s="152">
        <v>20</v>
      </c>
      <c r="BA56" s="171"/>
      <c r="BB56" s="152">
        <v>300</v>
      </c>
      <c r="BC56" s="10"/>
      <c r="BD56" s="152">
        <v>210</v>
      </c>
      <c r="BE56" s="152">
        <v>210</v>
      </c>
      <c r="BF56" s="152">
        <v>210</v>
      </c>
      <c r="BG56" s="56"/>
      <c r="BI56" s="152">
        <v>210</v>
      </c>
      <c r="BK56" s="152">
        <v>210</v>
      </c>
      <c r="BO56" s="144"/>
      <c r="CI56" s="144"/>
      <c r="CY56" s="144"/>
      <c r="DA56" s="155">
        <v>130</v>
      </c>
      <c r="DB56" s="155">
        <v>130</v>
      </c>
      <c r="DE56" s="152">
        <v>210</v>
      </c>
    </row>
    <row r="57" spans="1:109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1135</v>
      </c>
      <c r="H57" s="56">
        <v>1</v>
      </c>
      <c r="I57" s="56" t="s">
        <v>1136</v>
      </c>
      <c r="J57" s="56" t="s">
        <v>1150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171"/>
      <c r="AP57" s="56"/>
      <c r="AQ57" s="56"/>
      <c r="AR57" s="56"/>
      <c r="AS57" s="56"/>
      <c r="AT57" s="56"/>
      <c r="AU57" s="56"/>
      <c r="AV57" s="56"/>
      <c r="AW57" s="171"/>
      <c r="AX57" s="152">
        <v>50</v>
      </c>
      <c r="AY57" s="152">
        <v>50</v>
      </c>
      <c r="AZ57" s="152"/>
      <c r="BA57" s="171"/>
      <c r="BB57" s="56"/>
      <c r="BC57" s="10"/>
      <c r="BD57" s="56"/>
      <c r="BE57" s="56"/>
      <c r="BF57" s="56"/>
      <c r="BG57" s="56"/>
      <c r="BO57" s="144"/>
      <c r="CI57" s="144"/>
      <c r="CY57" s="144"/>
    </row>
    <row r="58" spans="1:109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935</v>
      </c>
      <c r="H58" s="56">
        <v>3</v>
      </c>
      <c r="I58" s="56" t="s">
        <v>1136</v>
      </c>
      <c r="J58" s="56" t="s">
        <v>1150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171"/>
      <c r="AP58" s="56"/>
      <c r="AQ58" s="56"/>
      <c r="AR58" s="56"/>
      <c r="AS58" s="56"/>
      <c r="AT58" s="56"/>
      <c r="AU58" s="56"/>
      <c r="AV58" s="56"/>
      <c r="AW58" s="171"/>
      <c r="AX58" s="152">
        <v>30</v>
      </c>
      <c r="AY58" s="152">
        <v>30</v>
      </c>
      <c r="AZ58" s="152"/>
      <c r="BA58" s="171"/>
      <c r="BB58" s="56"/>
      <c r="BC58" s="10"/>
      <c r="BD58" s="56"/>
      <c r="BE58" s="56"/>
      <c r="BF58" s="56"/>
      <c r="BG58" s="56"/>
      <c r="BO58" s="144"/>
      <c r="CI58" s="144"/>
      <c r="CY58" s="144"/>
    </row>
    <row r="59" spans="1:109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936</v>
      </c>
      <c r="H59" s="56">
        <v>5</v>
      </c>
      <c r="I59" s="56" t="s">
        <v>1136</v>
      </c>
      <c r="J59" s="56" t="s">
        <v>1150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171"/>
      <c r="AP59" s="56"/>
      <c r="AQ59" s="56"/>
      <c r="AR59" s="56"/>
      <c r="AS59" s="56"/>
      <c r="AT59" s="56"/>
      <c r="AU59" s="56"/>
      <c r="AV59" s="56"/>
      <c r="AW59" s="171"/>
      <c r="AX59" s="152">
        <v>0</v>
      </c>
      <c r="AY59" s="152">
        <v>0</v>
      </c>
      <c r="AZ59" s="152"/>
      <c r="BA59" s="171"/>
      <c r="BB59" s="56"/>
      <c r="BC59" s="10"/>
      <c r="BD59" s="56"/>
      <c r="BE59" s="56"/>
      <c r="BF59" s="56"/>
      <c r="BG59" s="56"/>
      <c r="BO59" s="144"/>
      <c r="CI59" s="144"/>
      <c r="CY59" s="144"/>
    </row>
    <row r="60" spans="1:109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873</v>
      </c>
      <c r="H60" s="56">
        <v>1</v>
      </c>
      <c r="I60" s="56" t="s">
        <v>1137</v>
      </c>
      <c r="J60" s="56" t="s">
        <v>1151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71"/>
      <c r="AP60" s="152">
        <v>60</v>
      </c>
      <c r="AQ60" s="152">
        <v>60</v>
      </c>
      <c r="AR60" s="152">
        <v>60</v>
      </c>
      <c r="AS60" s="56"/>
      <c r="AT60" s="56"/>
      <c r="AU60" s="152">
        <v>60</v>
      </c>
      <c r="AV60" s="56"/>
      <c r="AW60" s="171"/>
      <c r="AX60" s="56"/>
      <c r="AY60" s="56"/>
      <c r="AZ60" s="56"/>
      <c r="BA60" s="171"/>
      <c r="BB60" s="56"/>
      <c r="BC60" s="10"/>
      <c r="BD60" s="152">
        <v>150</v>
      </c>
      <c r="BE60" s="152">
        <v>150</v>
      </c>
      <c r="BF60" s="152">
        <v>150</v>
      </c>
      <c r="BG60" s="56"/>
      <c r="BI60" s="152">
        <v>150</v>
      </c>
      <c r="BK60" s="152">
        <v>150</v>
      </c>
      <c r="BO60" s="144"/>
      <c r="CI60" s="144"/>
      <c r="CY60" s="144"/>
      <c r="DA60" s="155">
        <v>110</v>
      </c>
      <c r="DB60" s="155">
        <v>110</v>
      </c>
      <c r="DE60" s="152">
        <v>150</v>
      </c>
    </row>
    <row r="61" spans="1:109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874</v>
      </c>
      <c r="H61" s="56">
        <v>3</v>
      </c>
      <c r="I61" s="56" t="s">
        <v>1137</v>
      </c>
      <c r="J61" s="56" t="s">
        <v>1151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71"/>
      <c r="AP61" s="152">
        <v>30</v>
      </c>
      <c r="AQ61" s="152">
        <v>30</v>
      </c>
      <c r="AR61" s="152">
        <v>30</v>
      </c>
      <c r="AS61" s="56"/>
      <c r="AT61" s="56"/>
      <c r="AU61" s="152">
        <v>30</v>
      </c>
      <c r="AV61" s="56"/>
      <c r="AW61" s="171"/>
      <c r="AX61" s="56"/>
      <c r="AY61" s="56"/>
      <c r="AZ61" s="56"/>
      <c r="BA61" s="171"/>
      <c r="BB61" s="56"/>
      <c r="BC61" s="10"/>
      <c r="BD61" s="152">
        <v>180</v>
      </c>
      <c r="BE61" s="152">
        <v>180</v>
      </c>
      <c r="BF61" s="152">
        <v>180</v>
      </c>
      <c r="BG61" s="56"/>
      <c r="BI61" s="152">
        <v>180</v>
      </c>
      <c r="BK61" s="152">
        <v>180</v>
      </c>
      <c r="BO61" s="144"/>
      <c r="CI61" s="144"/>
      <c r="CY61" s="144"/>
      <c r="DA61" s="155">
        <v>120</v>
      </c>
      <c r="DB61" s="155">
        <v>120</v>
      </c>
      <c r="DE61" s="152">
        <v>180</v>
      </c>
    </row>
    <row r="62" spans="1:109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875</v>
      </c>
      <c r="H62" s="56">
        <v>5</v>
      </c>
      <c r="I62" s="56" t="s">
        <v>1137</v>
      </c>
      <c r="J62" s="56" t="s">
        <v>1151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71"/>
      <c r="AP62" s="152">
        <v>0</v>
      </c>
      <c r="AQ62" s="152">
        <v>0</v>
      </c>
      <c r="AR62" s="152">
        <v>0</v>
      </c>
      <c r="AS62" s="56"/>
      <c r="AT62" s="56"/>
      <c r="AU62" s="152">
        <v>0</v>
      </c>
      <c r="AV62" s="56"/>
      <c r="AW62" s="171"/>
      <c r="AX62" s="56"/>
      <c r="AY62" s="56"/>
      <c r="AZ62" s="56"/>
      <c r="BA62" s="171"/>
      <c r="BB62" s="56"/>
      <c r="BC62" s="10"/>
      <c r="BD62" s="152">
        <v>260</v>
      </c>
      <c r="BE62" s="152">
        <v>260</v>
      </c>
      <c r="BF62" s="152">
        <v>260</v>
      </c>
      <c r="BG62" s="56"/>
      <c r="BI62" s="152">
        <v>260</v>
      </c>
      <c r="BK62" s="152">
        <v>260</v>
      </c>
      <c r="BO62" s="144"/>
      <c r="CI62" s="144"/>
      <c r="CY62" s="144"/>
      <c r="DA62" s="155">
        <v>130</v>
      </c>
      <c r="DB62" s="155">
        <v>130</v>
      </c>
      <c r="DE62" s="152">
        <v>260</v>
      </c>
    </row>
    <row r="63" spans="1:109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937</v>
      </c>
      <c r="H63" s="56">
        <v>1</v>
      </c>
      <c r="I63" s="56" t="s">
        <v>1138</v>
      </c>
      <c r="J63" s="56" t="s">
        <v>1152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171"/>
      <c r="AP63" s="152">
        <v>60</v>
      </c>
      <c r="AQ63" s="56"/>
      <c r="AR63" s="56"/>
      <c r="AS63" s="56"/>
      <c r="AT63" s="56"/>
      <c r="AU63" s="56"/>
      <c r="AV63" s="56"/>
      <c r="AW63" s="171"/>
      <c r="AX63" s="56"/>
      <c r="AY63" s="56"/>
      <c r="AZ63" s="56"/>
      <c r="BA63" s="171"/>
      <c r="BB63" s="56"/>
      <c r="BC63" s="10"/>
      <c r="BD63" s="152">
        <v>150</v>
      </c>
      <c r="BE63" s="56"/>
      <c r="BF63" s="56"/>
      <c r="BG63" s="56"/>
      <c r="BO63" s="144"/>
      <c r="CI63" s="144"/>
      <c r="CY63" s="144"/>
      <c r="DB63" s="155">
        <v>110</v>
      </c>
    </row>
    <row r="64" spans="1:109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938</v>
      </c>
      <c r="H64" s="56">
        <v>3</v>
      </c>
      <c r="I64" s="56" t="s">
        <v>1138</v>
      </c>
      <c r="J64" s="56" t="s">
        <v>1152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171"/>
      <c r="AP64" s="152">
        <v>30</v>
      </c>
      <c r="AQ64" s="56"/>
      <c r="AR64" s="56"/>
      <c r="AS64" s="56"/>
      <c r="AT64" s="56"/>
      <c r="AU64" s="56"/>
      <c r="AV64" s="56"/>
      <c r="AW64" s="171"/>
      <c r="AX64" s="56"/>
      <c r="AY64" s="56"/>
      <c r="AZ64" s="56"/>
      <c r="BA64" s="171"/>
      <c r="BB64" s="56"/>
      <c r="BC64" s="10"/>
      <c r="BD64" s="152">
        <v>180</v>
      </c>
      <c r="BE64" s="56"/>
      <c r="BF64" s="56"/>
      <c r="BG64" s="56"/>
      <c r="BO64" s="144"/>
      <c r="CI64" s="144"/>
      <c r="CY64" s="144"/>
      <c r="DB64" s="155">
        <v>120</v>
      </c>
    </row>
    <row r="65" spans="1:109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939</v>
      </c>
      <c r="H65" s="56">
        <v>5</v>
      </c>
      <c r="I65" s="56" t="s">
        <v>1138</v>
      </c>
      <c r="J65" s="56" t="s">
        <v>1152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171"/>
      <c r="AP65" s="152">
        <v>0</v>
      </c>
      <c r="AQ65" s="56"/>
      <c r="AR65" s="56"/>
      <c r="AS65" s="56"/>
      <c r="AT65" s="56"/>
      <c r="AU65" s="56"/>
      <c r="AV65" s="56"/>
      <c r="AW65" s="171"/>
      <c r="AX65" s="56"/>
      <c r="AY65" s="56"/>
      <c r="AZ65" s="56"/>
      <c r="BA65" s="171"/>
      <c r="BB65" s="56"/>
      <c r="BC65" s="10"/>
      <c r="BD65" s="152">
        <v>260</v>
      </c>
      <c r="BE65" s="56"/>
      <c r="BF65" s="56"/>
      <c r="BG65" s="56"/>
      <c r="BO65" s="144"/>
      <c r="CI65" s="144"/>
      <c r="CY65" s="144"/>
      <c r="DB65" s="155">
        <v>130</v>
      </c>
    </row>
    <row r="66" spans="1:109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1034</v>
      </c>
      <c r="H66" s="56">
        <v>1</v>
      </c>
      <c r="I66" s="56" t="s">
        <v>1139</v>
      </c>
      <c r="J66" s="56" t="s">
        <v>1153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P66" s="152">
        <v>130</v>
      </c>
      <c r="AQ66" s="152">
        <v>130</v>
      </c>
      <c r="AR66" s="152">
        <v>130</v>
      </c>
      <c r="AU66" s="152">
        <v>130</v>
      </c>
      <c r="AZ66" s="152">
        <v>120</v>
      </c>
      <c r="BD66" s="152">
        <v>80</v>
      </c>
      <c r="BE66" s="152">
        <v>80</v>
      </c>
      <c r="BF66" s="152">
        <v>80</v>
      </c>
      <c r="BG66" s="152">
        <v>130</v>
      </c>
      <c r="BH66" s="108"/>
      <c r="BI66" s="152">
        <v>80</v>
      </c>
      <c r="BK66" s="152">
        <v>80</v>
      </c>
      <c r="CZ66" s="152">
        <v>80</v>
      </c>
      <c r="DA66" s="152">
        <v>80</v>
      </c>
      <c r="DB66" s="152">
        <v>80</v>
      </c>
      <c r="DC66" s="155">
        <v>130</v>
      </c>
      <c r="DE66" s="152">
        <v>80</v>
      </c>
    </row>
    <row r="67" spans="1:109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1035</v>
      </c>
      <c r="H67" s="56">
        <v>3</v>
      </c>
      <c r="I67" s="56" t="s">
        <v>1139</v>
      </c>
      <c r="J67" s="56" t="s">
        <v>1153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P67" s="152">
        <v>160</v>
      </c>
      <c r="AQ67" s="152">
        <v>160</v>
      </c>
      <c r="AR67" s="152">
        <v>160</v>
      </c>
      <c r="AU67" s="152">
        <v>160</v>
      </c>
      <c r="AZ67" s="152">
        <v>150</v>
      </c>
      <c r="BD67" s="152">
        <v>70</v>
      </c>
      <c r="BE67" s="152">
        <v>70</v>
      </c>
      <c r="BF67" s="152">
        <v>70</v>
      </c>
      <c r="BG67" s="152">
        <v>150</v>
      </c>
      <c r="BH67" s="108"/>
      <c r="BI67" s="152">
        <v>70</v>
      </c>
      <c r="BK67" s="152">
        <v>70</v>
      </c>
      <c r="CZ67" s="152">
        <v>70</v>
      </c>
      <c r="DA67" s="152">
        <v>70</v>
      </c>
      <c r="DB67" s="152">
        <v>70</v>
      </c>
      <c r="DC67" s="155">
        <v>140</v>
      </c>
      <c r="DE67" s="152">
        <v>70</v>
      </c>
    </row>
    <row r="68" spans="1:109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1036</v>
      </c>
      <c r="H68" s="56">
        <v>5</v>
      </c>
      <c r="I68" s="56" t="s">
        <v>1139</v>
      </c>
      <c r="J68" s="56" t="s">
        <v>1153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P68" s="152">
        <v>200</v>
      </c>
      <c r="AQ68" s="152">
        <v>200</v>
      </c>
      <c r="AR68" s="152">
        <v>200</v>
      </c>
      <c r="AU68" s="152">
        <v>200</v>
      </c>
      <c r="AZ68" s="152">
        <v>180</v>
      </c>
      <c r="BD68" s="152">
        <v>50</v>
      </c>
      <c r="BE68" s="152">
        <v>50</v>
      </c>
      <c r="BF68" s="152">
        <v>50</v>
      </c>
      <c r="BG68" s="152">
        <v>200</v>
      </c>
      <c r="BI68" s="152">
        <v>50</v>
      </c>
      <c r="BK68" s="152">
        <v>50</v>
      </c>
      <c r="CZ68" s="152">
        <v>50</v>
      </c>
      <c r="DA68" s="152">
        <v>50</v>
      </c>
      <c r="DB68" s="152">
        <v>50</v>
      </c>
      <c r="DC68" s="155">
        <v>150</v>
      </c>
      <c r="DE68" s="152">
        <v>50</v>
      </c>
    </row>
    <row r="69" spans="1:109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09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09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09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09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09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09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171"/>
      <c r="AP75" s="56"/>
      <c r="AQ75" s="56"/>
      <c r="AR75" s="56"/>
      <c r="AS75" s="56"/>
      <c r="AT75" s="56"/>
      <c r="AU75" s="56"/>
      <c r="AV75" s="56"/>
      <c r="AW75" s="171"/>
      <c r="AX75" s="56"/>
      <c r="AY75" s="56"/>
      <c r="AZ75" s="56"/>
      <c r="BA75" s="171"/>
      <c r="BB75" s="56"/>
      <c r="BC75" s="10"/>
      <c r="BD75" s="56"/>
      <c r="BE75" s="56"/>
      <c r="BF75" s="56"/>
      <c r="BG75" s="56"/>
      <c r="BO75" s="144"/>
      <c r="CI75" s="144"/>
      <c r="CY75" s="144"/>
    </row>
    <row r="76" spans="1:109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171"/>
      <c r="AP76" s="56"/>
      <c r="AQ76" s="56"/>
      <c r="AR76" s="56"/>
      <c r="AS76" s="56"/>
      <c r="AT76" s="56"/>
      <c r="AU76" s="56"/>
      <c r="AV76" s="56"/>
      <c r="AW76" s="171"/>
      <c r="AX76" s="56"/>
      <c r="AY76" s="56"/>
      <c r="AZ76" s="56"/>
      <c r="BA76" s="171"/>
      <c r="BB76" s="56"/>
      <c r="BC76" s="10"/>
      <c r="BD76" s="56"/>
      <c r="BE76" s="56"/>
      <c r="BF76" s="56"/>
      <c r="BG76" s="56"/>
      <c r="BO76" s="144"/>
      <c r="CI76" s="144"/>
      <c r="CY76" s="144"/>
    </row>
    <row r="77" spans="1:109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171"/>
      <c r="AP77" s="56"/>
      <c r="AQ77" s="56"/>
      <c r="AR77" s="56"/>
      <c r="AS77" s="56"/>
      <c r="AT77" s="56"/>
      <c r="AU77" s="56"/>
      <c r="AV77" s="56"/>
      <c r="AW77" s="171"/>
      <c r="AX77" s="56"/>
      <c r="AY77" s="56"/>
      <c r="AZ77" s="56"/>
      <c r="BA77" s="171"/>
      <c r="BB77" s="56"/>
      <c r="BC77" s="10"/>
      <c r="BD77" s="56"/>
      <c r="BE77" s="56"/>
      <c r="BF77" s="56"/>
      <c r="BG77" s="56"/>
      <c r="BO77" s="144"/>
      <c r="CI77" s="144"/>
      <c r="CY77" s="144"/>
    </row>
    <row r="78" spans="1:109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171"/>
      <c r="AP78" s="56"/>
      <c r="AQ78" s="56"/>
      <c r="AR78" s="56"/>
      <c r="AS78" s="56"/>
      <c r="AT78" s="56"/>
      <c r="AU78" s="56"/>
      <c r="AV78" s="56"/>
      <c r="AW78" s="171"/>
      <c r="AX78" s="56"/>
      <c r="AY78" s="56"/>
      <c r="AZ78" s="56"/>
      <c r="BA78" s="171"/>
      <c r="BB78" s="56"/>
      <c r="BC78" s="10"/>
      <c r="BD78" s="56"/>
      <c r="BE78" s="56"/>
      <c r="BF78" s="56"/>
      <c r="BG78" s="56"/>
      <c r="BO78" s="144"/>
      <c r="CI78" s="144"/>
      <c r="CY78" s="144"/>
    </row>
    <row r="79" spans="1:109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171"/>
      <c r="AP79" s="56"/>
      <c r="AQ79" s="56"/>
      <c r="AR79" s="56"/>
      <c r="AS79" s="56"/>
      <c r="AT79" s="56"/>
      <c r="AU79" s="56"/>
      <c r="AV79" s="56"/>
      <c r="AW79" s="171"/>
      <c r="AX79" s="56"/>
      <c r="AY79" s="56"/>
      <c r="AZ79" s="56"/>
      <c r="BA79" s="171"/>
      <c r="BB79" s="56"/>
      <c r="BC79" s="10"/>
      <c r="BD79" s="56"/>
      <c r="BE79" s="56"/>
      <c r="BF79" s="56"/>
      <c r="BG79" s="56"/>
      <c r="BO79" s="144"/>
      <c r="CI79" s="144"/>
      <c r="CY79" s="144"/>
    </row>
    <row r="80" spans="1:109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171"/>
      <c r="AP80" s="56"/>
      <c r="AQ80" s="56"/>
      <c r="AR80" s="56"/>
      <c r="AS80" s="56"/>
      <c r="AT80" s="56"/>
      <c r="AU80" s="56"/>
      <c r="AV80" s="56"/>
      <c r="AW80" s="171"/>
      <c r="AX80" s="56"/>
      <c r="AY80" s="56"/>
      <c r="AZ80" s="56"/>
      <c r="BA80" s="171"/>
      <c r="BB80" s="56"/>
      <c r="BC80" s="10"/>
      <c r="BD80" s="56"/>
      <c r="BE80" s="56"/>
      <c r="BF80" s="56"/>
      <c r="BG80" s="56"/>
      <c r="BO80" s="144"/>
      <c r="CI80" s="144"/>
      <c r="CY80" s="144"/>
    </row>
    <row r="81" spans="1:106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171"/>
      <c r="AP81" s="56"/>
      <c r="AQ81" s="56"/>
      <c r="AR81" s="56"/>
      <c r="AS81" s="56"/>
      <c r="AT81" s="56"/>
      <c r="AU81" s="56"/>
      <c r="AV81" s="56"/>
      <c r="AW81" s="171"/>
      <c r="AX81" s="56"/>
      <c r="AY81" s="56"/>
      <c r="AZ81" s="56"/>
      <c r="BA81" s="171"/>
      <c r="BB81" s="56"/>
      <c r="BC81" s="10"/>
      <c r="BD81" s="56"/>
      <c r="BE81" s="56"/>
      <c r="BF81" s="56"/>
      <c r="BG81" s="56"/>
      <c r="BO81" s="144"/>
      <c r="CI81" s="144"/>
      <c r="CY81" s="144"/>
    </row>
    <row r="82" spans="1:106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171"/>
      <c r="AP82" s="56"/>
      <c r="AQ82" s="56"/>
      <c r="AR82" s="56"/>
      <c r="AS82" s="56"/>
      <c r="AT82" s="56"/>
      <c r="AU82" s="56"/>
      <c r="AV82" s="56"/>
      <c r="AW82" s="171"/>
      <c r="AX82" s="56"/>
      <c r="AY82" s="56"/>
      <c r="AZ82" s="56"/>
      <c r="BA82" s="171"/>
      <c r="BB82" s="56"/>
      <c r="BC82" s="10"/>
      <c r="BD82" s="56"/>
      <c r="BE82" s="56"/>
      <c r="BF82" s="56"/>
      <c r="BG82" s="56"/>
      <c r="BO82" s="144"/>
      <c r="CI82" s="144"/>
      <c r="CY82" s="144"/>
    </row>
    <row r="83" spans="1:106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171"/>
      <c r="AP83" s="56"/>
      <c r="AQ83" s="56"/>
      <c r="AR83" s="56"/>
      <c r="AS83" s="56"/>
      <c r="AT83" s="56"/>
      <c r="AU83" s="56"/>
      <c r="AV83" s="56"/>
      <c r="AW83" s="171"/>
      <c r="AX83" s="56"/>
      <c r="AY83" s="56"/>
      <c r="AZ83" s="56"/>
      <c r="BA83" s="171"/>
      <c r="BB83" s="56"/>
      <c r="BC83" s="10"/>
      <c r="BD83" s="56"/>
      <c r="BE83" s="56"/>
      <c r="BF83" s="56"/>
      <c r="BG83" s="56"/>
      <c r="BO83" s="144"/>
      <c r="CI83" s="144"/>
      <c r="CY83" s="144"/>
    </row>
    <row r="84" spans="1:106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171"/>
      <c r="AP84" s="56"/>
      <c r="AQ84" s="56"/>
      <c r="AR84" s="56"/>
      <c r="AS84" s="56"/>
      <c r="AT84" s="56"/>
      <c r="AU84" s="56"/>
      <c r="AV84" s="56"/>
      <c r="AW84" s="171"/>
      <c r="AX84" s="56"/>
      <c r="AY84" s="56"/>
      <c r="AZ84" s="56"/>
      <c r="BA84" s="171"/>
      <c r="BB84" s="56"/>
      <c r="BC84" s="10"/>
      <c r="BD84" s="56"/>
      <c r="BE84" s="56"/>
      <c r="BF84" s="56"/>
      <c r="BG84" s="56"/>
      <c r="BO84" s="144"/>
      <c r="CI84" s="144"/>
      <c r="CY84" s="144"/>
    </row>
    <row r="85" spans="1:106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876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1066</v>
      </c>
      <c r="S85" s="57">
        <v>100</v>
      </c>
      <c r="T85" s="57" t="s">
        <v>1070</v>
      </c>
      <c r="U85" s="57" t="s">
        <v>1071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172"/>
      <c r="AP85" s="57"/>
      <c r="AQ85" s="57"/>
      <c r="AR85" s="57"/>
      <c r="AS85" s="57"/>
      <c r="AT85" s="57"/>
      <c r="AU85" s="57"/>
      <c r="AV85" s="57"/>
      <c r="AW85" s="172"/>
      <c r="AX85" s="57"/>
      <c r="AY85" s="57"/>
      <c r="AZ85" s="57"/>
      <c r="BA85" s="172"/>
      <c r="BB85" s="57"/>
      <c r="BC85" s="17"/>
      <c r="BD85" s="57"/>
      <c r="BE85" s="153">
        <v>150</v>
      </c>
      <c r="BF85" s="153">
        <v>150</v>
      </c>
      <c r="BG85" s="57"/>
      <c r="BN85" s="153">
        <v>250</v>
      </c>
      <c r="BO85" s="143"/>
      <c r="CI85" s="143"/>
      <c r="CY85" s="143"/>
      <c r="DA85" s="154">
        <v>90</v>
      </c>
      <c r="DB85" s="154">
        <v>80</v>
      </c>
    </row>
    <row r="86" spans="1:106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877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1067</v>
      </c>
      <c r="S86" s="56">
        <v>200</v>
      </c>
      <c r="T86" s="56" t="s">
        <v>1070</v>
      </c>
      <c r="U86" s="56" t="s">
        <v>1072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E86" s="152">
        <v>180</v>
      </c>
      <c r="BF86" s="152">
        <v>180</v>
      </c>
      <c r="BH86" s="108"/>
      <c r="BN86" s="152">
        <v>280</v>
      </c>
      <c r="DA86" s="155">
        <v>70</v>
      </c>
      <c r="DB86" s="155">
        <v>60</v>
      </c>
    </row>
    <row r="87" spans="1:106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878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1067</v>
      </c>
      <c r="S87" s="56">
        <v>300</v>
      </c>
      <c r="T87" s="56" t="s">
        <v>1070</v>
      </c>
      <c r="U87" s="56" t="s">
        <v>1073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E87" s="152">
        <v>260</v>
      </c>
      <c r="BF87" s="152">
        <v>260</v>
      </c>
      <c r="BH87" s="108"/>
      <c r="BN87" s="152">
        <v>360</v>
      </c>
      <c r="DA87" s="155">
        <v>60</v>
      </c>
      <c r="DB87" s="155">
        <v>50</v>
      </c>
    </row>
    <row r="88" spans="1:106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940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1067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AZ88" s="56">
        <v>80</v>
      </c>
      <c r="BE88" s="152">
        <v>150</v>
      </c>
      <c r="BF88" s="152">
        <v>150</v>
      </c>
      <c r="BN88" s="152">
        <v>250</v>
      </c>
    </row>
    <row r="89" spans="1:106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941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1067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AZ89" s="56">
        <v>70</v>
      </c>
      <c r="BE89" s="152">
        <v>180</v>
      </c>
      <c r="BF89" s="152">
        <v>180</v>
      </c>
      <c r="BN89" s="152">
        <v>280</v>
      </c>
    </row>
    <row r="90" spans="1:106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942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1067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AZ90" s="56">
        <v>60</v>
      </c>
      <c r="BE90" s="152">
        <v>260</v>
      </c>
      <c r="BF90" s="152">
        <v>260</v>
      </c>
      <c r="BN90" s="152">
        <v>360</v>
      </c>
    </row>
    <row r="91" spans="1:106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6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6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6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6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171"/>
      <c r="AP95" s="56"/>
      <c r="AQ95" s="56"/>
      <c r="AR95" s="56"/>
      <c r="AS95" s="56"/>
      <c r="AT95" s="56"/>
      <c r="AU95" s="56"/>
      <c r="AV95" s="56"/>
      <c r="AW95" s="171"/>
      <c r="AX95" s="56"/>
      <c r="AY95" s="56"/>
      <c r="AZ95" s="56"/>
      <c r="BA95" s="171"/>
      <c r="BB95" s="56"/>
      <c r="BC95" s="10"/>
      <c r="BD95" s="56"/>
      <c r="BE95" s="56"/>
      <c r="BF95" s="56"/>
      <c r="BG95" s="56"/>
      <c r="BO95" s="144"/>
      <c r="CI95" s="144"/>
      <c r="CY95" s="144"/>
    </row>
    <row r="96" spans="1:106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171"/>
      <c r="AP96" s="56"/>
      <c r="AQ96" s="56"/>
      <c r="AR96" s="56"/>
      <c r="AS96" s="56"/>
      <c r="AT96" s="56"/>
      <c r="AU96" s="56"/>
      <c r="AV96" s="56"/>
      <c r="AW96" s="171"/>
      <c r="AX96" s="56"/>
      <c r="AY96" s="56"/>
      <c r="AZ96" s="56"/>
      <c r="BA96" s="171"/>
      <c r="BB96" s="56"/>
      <c r="BC96" s="10"/>
      <c r="BD96" s="56"/>
      <c r="BE96" s="56"/>
      <c r="BF96" s="56"/>
      <c r="BG96" s="56"/>
      <c r="BO96" s="144"/>
      <c r="CI96" s="144"/>
      <c r="CY96" s="144"/>
    </row>
    <row r="97" spans="1:103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171"/>
      <c r="AP97" s="56"/>
      <c r="AQ97" s="56"/>
      <c r="AR97" s="56"/>
      <c r="AS97" s="56"/>
      <c r="AT97" s="56"/>
      <c r="AU97" s="56"/>
      <c r="AV97" s="56"/>
      <c r="AW97" s="171"/>
      <c r="AX97" s="56"/>
      <c r="AY97" s="56"/>
      <c r="AZ97" s="56"/>
      <c r="BA97" s="171"/>
      <c r="BB97" s="56"/>
      <c r="BC97" s="10"/>
      <c r="BD97" s="56"/>
      <c r="BE97" s="56"/>
      <c r="BF97" s="56"/>
      <c r="BG97" s="56"/>
      <c r="BO97" s="144"/>
      <c r="CI97" s="144"/>
      <c r="CY97" s="144"/>
    </row>
    <row r="98" spans="1:103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171"/>
      <c r="AP98" s="56"/>
      <c r="AQ98" s="56"/>
      <c r="AR98" s="56"/>
      <c r="AS98" s="56"/>
      <c r="AT98" s="56"/>
      <c r="AU98" s="56"/>
      <c r="AV98" s="56"/>
      <c r="AW98" s="171"/>
      <c r="AX98" s="56"/>
      <c r="AY98" s="56"/>
      <c r="AZ98" s="56"/>
      <c r="BA98" s="171"/>
      <c r="BB98" s="56"/>
      <c r="BC98" s="10"/>
      <c r="BD98" s="56"/>
      <c r="BE98" s="56"/>
      <c r="BF98" s="56"/>
      <c r="BG98" s="56"/>
      <c r="BO98" s="144"/>
      <c r="CI98" s="144"/>
      <c r="CY98" s="144"/>
    </row>
    <row r="99" spans="1:103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171"/>
      <c r="AP99" s="56"/>
      <c r="AQ99" s="56"/>
      <c r="AR99" s="56"/>
      <c r="AS99" s="56"/>
      <c r="AT99" s="56"/>
      <c r="AU99" s="56"/>
      <c r="AV99" s="56"/>
      <c r="AW99" s="171"/>
      <c r="AX99" s="56"/>
      <c r="AY99" s="56"/>
      <c r="AZ99" s="56"/>
      <c r="BA99" s="171"/>
      <c r="BB99" s="56"/>
      <c r="BC99" s="10"/>
      <c r="BD99" s="56"/>
      <c r="BE99" s="56"/>
      <c r="BF99" s="56"/>
      <c r="BG99" s="56"/>
      <c r="BO99" s="144"/>
      <c r="CI99" s="144"/>
      <c r="CY99" s="144"/>
    </row>
    <row r="100" spans="1:103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171"/>
      <c r="AP100" s="56"/>
      <c r="AQ100" s="56"/>
      <c r="AR100" s="56"/>
      <c r="AS100" s="56"/>
      <c r="AT100" s="56"/>
      <c r="AU100" s="56"/>
      <c r="AV100" s="56"/>
      <c r="AW100" s="171"/>
      <c r="AX100" s="56"/>
      <c r="AY100" s="56"/>
      <c r="AZ100" s="56"/>
      <c r="BA100" s="171"/>
      <c r="BB100" s="56"/>
      <c r="BC100" s="10"/>
      <c r="BD100" s="56"/>
      <c r="BE100" s="56"/>
      <c r="BF100" s="56"/>
      <c r="BG100" s="56"/>
      <c r="BO100" s="144"/>
      <c r="CI100" s="144"/>
      <c r="CY100" s="144"/>
    </row>
    <row r="101" spans="1:103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171"/>
      <c r="AP101" s="56"/>
      <c r="AQ101" s="56"/>
      <c r="AR101" s="56"/>
      <c r="AS101" s="56"/>
      <c r="AT101" s="56"/>
      <c r="AU101" s="56"/>
      <c r="AV101" s="56"/>
      <c r="AW101" s="171"/>
      <c r="AX101" s="56"/>
      <c r="AY101" s="56"/>
      <c r="AZ101" s="56"/>
      <c r="BA101" s="171"/>
      <c r="BB101" s="56"/>
      <c r="BC101" s="10"/>
      <c r="BD101" s="56"/>
      <c r="BE101" s="56"/>
      <c r="BF101" s="56"/>
      <c r="BG101" s="56"/>
      <c r="BO101" s="144"/>
      <c r="CI101" s="144"/>
      <c r="CY101" s="144"/>
    </row>
    <row r="102" spans="1:103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171"/>
      <c r="AP102" s="56"/>
      <c r="AQ102" s="56"/>
      <c r="AR102" s="56"/>
      <c r="AS102" s="56"/>
      <c r="AT102" s="56"/>
      <c r="AU102" s="56"/>
      <c r="AV102" s="56"/>
      <c r="AW102" s="171"/>
      <c r="AX102" s="56"/>
      <c r="AY102" s="56"/>
      <c r="AZ102" s="56"/>
      <c r="BA102" s="171"/>
      <c r="BB102" s="56"/>
      <c r="BC102" s="10"/>
      <c r="BD102" s="56"/>
      <c r="BE102" s="56"/>
      <c r="BF102" s="56"/>
      <c r="BG102" s="56"/>
      <c r="BO102" s="144"/>
      <c r="CI102" s="144"/>
      <c r="CY102" s="144"/>
    </row>
    <row r="103" spans="1:103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171"/>
      <c r="AP103" s="56"/>
      <c r="AQ103" s="56"/>
      <c r="AR103" s="56"/>
      <c r="AS103" s="56"/>
      <c r="AT103" s="56"/>
      <c r="AU103" s="56"/>
      <c r="AV103" s="56"/>
      <c r="AW103" s="171"/>
      <c r="AX103" s="56"/>
      <c r="AY103" s="56"/>
      <c r="AZ103" s="56"/>
      <c r="BA103" s="171"/>
      <c r="BB103" s="56"/>
      <c r="BC103" s="10"/>
      <c r="BD103" s="56"/>
      <c r="BE103" s="56"/>
      <c r="BF103" s="56"/>
      <c r="BG103" s="56"/>
      <c r="BO103" s="144"/>
      <c r="CI103" s="144"/>
      <c r="CY103" s="144"/>
    </row>
    <row r="104" spans="1:103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171"/>
      <c r="AP104" s="56"/>
      <c r="AQ104" s="56"/>
      <c r="AR104" s="56"/>
      <c r="AS104" s="56"/>
      <c r="AT104" s="56"/>
      <c r="AU104" s="56"/>
      <c r="AV104" s="56"/>
      <c r="AW104" s="171"/>
      <c r="AX104" s="56"/>
      <c r="AY104" s="56"/>
      <c r="AZ104" s="56"/>
      <c r="BA104" s="171"/>
      <c r="BB104" s="56"/>
      <c r="BC104" s="10"/>
      <c r="BD104" s="56"/>
      <c r="BE104" s="56"/>
      <c r="BF104" s="56"/>
      <c r="BG104" s="56"/>
      <c r="BO104" s="144"/>
      <c r="CI104" s="144"/>
      <c r="CY104" s="144"/>
    </row>
    <row r="105" spans="1:103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172"/>
      <c r="AP105" s="57"/>
      <c r="AQ105" s="57"/>
      <c r="AR105" s="57"/>
      <c r="AS105" s="57"/>
      <c r="AT105" s="57"/>
      <c r="AU105" s="57"/>
      <c r="AV105" s="57"/>
      <c r="AW105" s="172"/>
      <c r="AX105" s="57"/>
      <c r="AY105" s="57"/>
      <c r="AZ105" s="57"/>
      <c r="BA105" s="172"/>
      <c r="BB105" s="57"/>
      <c r="BC105" s="17"/>
      <c r="BD105" s="57"/>
      <c r="BE105" s="57"/>
      <c r="BF105" s="57"/>
      <c r="BG105" s="57"/>
      <c r="BO105" s="143"/>
      <c r="CI105" s="143"/>
      <c r="CY105" s="143"/>
    </row>
    <row r="106" spans="1:103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H106" s="108"/>
    </row>
    <row r="107" spans="1:103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H107" s="108"/>
    </row>
    <row r="108" spans="1:103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3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3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3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3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3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3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3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171"/>
      <c r="AP115" s="56"/>
      <c r="AQ115" s="56"/>
      <c r="AR115" s="56"/>
      <c r="AS115" s="56"/>
      <c r="AT115" s="56"/>
      <c r="AU115" s="56"/>
      <c r="AV115" s="56"/>
      <c r="AW115" s="171"/>
      <c r="AX115" s="56"/>
      <c r="AY115" s="56"/>
      <c r="AZ115" s="56"/>
      <c r="BA115" s="171"/>
      <c r="BB115" s="56"/>
      <c r="BC115" s="10"/>
      <c r="BD115" s="56"/>
      <c r="BE115" s="56"/>
      <c r="BF115" s="56"/>
      <c r="BG115" s="56"/>
      <c r="BO115" s="144"/>
      <c r="CI115" s="144"/>
      <c r="CY115" s="144"/>
    </row>
    <row r="116" spans="1:103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171"/>
      <c r="AP116" s="56"/>
      <c r="AQ116" s="56"/>
      <c r="AR116" s="56"/>
      <c r="AS116" s="56"/>
      <c r="AT116" s="56"/>
      <c r="AU116" s="56"/>
      <c r="AV116" s="56"/>
      <c r="AW116" s="171"/>
      <c r="AX116" s="56"/>
      <c r="AY116" s="56"/>
      <c r="AZ116" s="56"/>
      <c r="BA116" s="171"/>
      <c r="BB116" s="56"/>
      <c r="BC116" s="10"/>
      <c r="BD116" s="56"/>
      <c r="BE116" s="56"/>
      <c r="BF116" s="56"/>
      <c r="BG116" s="56"/>
      <c r="BO116" s="144"/>
      <c r="CI116" s="144"/>
      <c r="CY116" s="144"/>
    </row>
    <row r="117" spans="1:103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171"/>
      <c r="AP117" s="56"/>
      <c r="AQ117" s="56"/>
      <c r="AR117" s="56"/>
      <c r="AS117" s="56"/>
      <c r="AT117" s="56"/>
      <c r="AU117" s="56"/>
      <c r="AV117" s="56"/>
      <c r="AW117" s="171"/>
      <c r="AX117" s="56"/>
      <c r="AY117" s="56"/>
      <c r="AZ117" s="56"/>
      <c r="BA117" s="171"/>
      <c r="BB117" s="56"/>
      <c r="BC117" s="10"/>
      <c r="BD117" s="56"/>
      <c r="BE117" s="56"/>
      <c r="BF117" s="56"/>
      <c r="BG117" s="56"/>
      <c r="BO117" s="144"/>
      <c r="CI117" s="144"/>
      <c r="CY117" s="144"/>
    </row>
    <row r="118" spans="1:103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171"/>
      <c r="AP118" s="56"/>
      <c r="AQ118" s="56"/>
      <c r="AR118" s="56"/>
      <c r="AS118" s="56"/>
      <c r="AT118" s="56"/>
      <c r="AU118" s="56"/>
      <c r="AV118" s="56"/>
      <c r="AW118" s="171"/>
      <c r="AX118" s="56"/>
      <c r="AY118" s="56"/>
      <c r="AZ118" s="56"/>
      <c r="BA118" s="171"/>
      <c r="BB118" s="56"/>
      <c r="BC118" s="10"/>
      <c r="BD118" s="56"/>
      <c r="BE118" s="56"/>
      <c r="BF118" s="56"/>
      <c r="BG118" s="56"/>
      <c r="BO118" s="144"/>
      <c r="CI118" s="144"/>
      <c r="CY118" s="144"/>
    </row>
    <row r="119" spans="1:103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171"/>
      <c r="AP119" s="56"/>
      <c r="AQ119" s="56"/>
      <c r="AR119" s="56"/>
      <c r="AS119" s="56"/>
      <c r="AT119" s="56"/>
      <c r="AU119" s="56"/>
      <c r="AV119" s="56"/>
      <c r="AW119" s="171"/>
      <c r="AX119" s="56"/>
      <c r="AY119" s="56"/>
      <c r="AZ119" s="56"/>
      <c r="BA119" s="171"/>
      <c r="BB119" s="56"/>
      <c r="BC119" s="10"/>
      <c r="BD119" s="56"/>
      <c r="BE119" s="56"/>
      <c r="BF119" s="56"/>
      <c r="BG119" s="56"/>
      <c r="BO119" s="144"/>
      <c r="CI119" s="144"/>
      <c r="CY119" s="144"/>
    </row>
    <row r="120" spans="1:103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171"/>
      <c r="AP120" s="56"/>
      <c r="AQ120" s="56"/>
      <c r="AR120" s="56"/>
      <c r="AS120" s="56"/>
      <c r="AT120" s="56"/>
      <c r="AU120" s="56"/>
      <c r="AV120" s="56"/>
      <c r="AW120" s="171"/>
      <c r="AX120" s="56"/>
      <c r="AY120" s="56"/>
      <c r="AZ120" s="56"/>
      <c r="BA120" s="171"/>
      <c r="BB120" s="56"/>
      <c r="BC120" s="10"/>
      <c r="BD120" s="56"/>
      <c r="BE120" s="56"/>
      <c r="BF120" s="56"/>
      <c r="BG120" s="56"/>
      <c r="BO120" s="144"/>
      <c r="CI120" s="144"/>
      <c r="CY120" s="144"/>
    </row>
    <row r="121" spans="1:103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171"/>
      <c r="AP121" s="56"/>
      <c r="AQ121" s="56"/>
      <c r="AR121" s="56"/>
      <c r="AS121" s="56"/>
      <c r="AT121" s="56"/>
      <c r="AU121" s="56"/>
      <c r="AV121" s="56"/>
      <c r="AW121" s="171"/>
      <c r="AX121" s="56"/>
      <c r="AY121" s="56"/>
      <c r="AZ121" s="56"/>
      <c r="BA121" s="171"/>
      <c r="BB121" s="56"/>
      <c r="BC121" s="10"/>
      <c r="BD121" s="56"/>
      <c r="BE121" s="56"/>
      <c r="BF121" s="56"/>
      <c r="BG121" s="56"/>
      <c r="BO121" s="144"/>
      <c r="CI121" s="144"/>
      <c r="CY121" s="144"/>
    </row>
    <row r="122" spans="1:103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171"/>
      <c r="AP122" s="56"/>
      <c r="AQ122" s="56"/>
      <c r="AR122" s="56"/>
      <c r="AS122" s="56"/>
      <c r="AT122" s="56"/>
      <c r="AU122" s="56"/>
      <c r="AV122" s="56"/>
      <c r="AW122" s="171"/>
      <c r="AX122" s="56"/>
      <c r="AY122" s="56"/>
      <c r="AZ122" s="56"/>
      <c r="BA122" s="171"/>
      <c r="BB122" s="56"/>
      <c r="BC122" s="10"/>
      <c r="BD122" s="56"/>
      <c r="BE122" s="56"/>
      <c r="BF122" s="56"/>
      <c r="BG122" s="56"/>
      <c r="BO122" s="144"/>
      <c r="CI122" s="144"/>
      <c r="CY122" s="144"/>
    </row>
    <row r="123" spans="1:103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171"/>
      <c r="AP123" s="56"/>
      <c r="AQ123" s="56"/>
      <c r="AR123" s="56"/>
      <c r="AS123" s="56"/>
      <c r="AT123" s="56"/>
      <c r="AU123" s="56"/>
      <c r="AV123" s="56"/>
      <c r="AW123" s="171"/>
      <c r="AX123" s="56"/>
      <c r="AY123" s="56"/>
      <c r="AZ123" s="56"/>
      <c r="BA123" s="171"/>
      <c r="BB123" s="56"/>
      <c r="BC123" s="10"/>
      <c r="BD123" s="56"/>
      <c r="BE123" s="56"/>
      <c r="BF123" s="56"/>
      <c r="BG123" s="56"/>
      <c r="BO123" s="144"/>
      <c r="CI123" s="144"/>
      <c r="CY123" s="144"/>
    </row>
    <row r="124" spans="1:103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171"/>
      <c r="AP124" s="56"/>
      <c r="AQ124" s="56"/>
      <c r="AR124" s="56"/>
      <c r="AS124" s="56"/>
      <c r="AT124" s="56"/>
      <c r="AU124" s="56"/>
      <c r="AV124" s="56"/>
      <c r="AW124" s="171"/>
      <c r="AX124" s="56"/>
      <c r="AY124" s="56"/>
      <c r="AZ124" s="56"/>
      <c r="BA124" s="171"/>
      <c r="BB124" s="56"/>
      <c r="BC124" s="10"/>
      <c r="BD124" s="56"/>
      <c r="BE124" s="56"/>
      <c r="BF124" s="56"/>
      <c r="BG124" s="56"/>
      <c r="BO124" s="144"/>
      <c r="CI124" s="144"/>
      <c r="CY124" s="144"/>
    </row>
    <row r="125" spans="1:103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172"/>
      <c r="AP125" s="57"/>
      <c r="AQ125" s="57"/>
      <c r="AR125" s="57"/>
      <c r="AS125" s="57"/>
      <c r="AT125" s="57"/>
      <c r="AU125" s="57"/>
      <c r="AV125" s="57"/>
      <c r="AW125" s="172"/>
      <c r="AX125" s="57"/>
      <c r="AY125" s="57"/>
      <c r="AZ125" s="57"/>
      <c r="BA125" s="172"/>
      <c r="BB125" s="57"/>
      <c r="BC125" s="17"/>
      <c r="BD125" s="57"/>
      <c r="BE125" s="57"/>
      <c r="BF125" s="57"/>
      <c r="BG125" s="57"/>
      <c r="BO125" s="143"/>
      <c r="CI125" s="143"/>
      <c r="CY125" s="143"/>
    </row>
    <row r="126" spans="1:103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H126" s="108"/>
    </row>
    <row r="127" spans="1:103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H127" s="108"/>
    </row>
    <row r="128" spans="1:103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3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3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3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3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3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3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3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171"/>
      <c r="AP135" s="56"/>
      <c r="AQ135" s="56"/>
      <c r="AR135" s="56"/>
      <c r="AS135" s="56"/>
      <c r="AT135" s="56"/>
      <c r="AU135" s="56"/>
      <c r="AV135" s="56"/>
      <c r="AW135" s="171"/>
      <c r="AX135" s="56"/>
      <c r="AY135" s="56"/>
      <c r="AZ135" s="56"/>
      <c r="BA135" s="171"/>
      <c r="BB135" s="56"/>
      <c r="BC135" s="10"/>
      <c r="BD135" s="56"/>
      <c r="BE135" s="56"/>
      <c r="BF135" s="56"/>
      <c r="BG135" s="56"/>
      <c r="BO135" s="144"/>
      <c r="CI135" s="144"/>
      <c r="CY135" s="144"/>
    </row>
    <row r="136" spans="1:103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171"/>
      <c r="AP136" s="56"/>
      <c r="AQ136" s="56"/>
      <c r="AR136" s="56"/>
      <c r="AS136" s="56"/>
      <c r="AT136" s="56"/>
      <c r="AU136" s="56"/>
      <c r="AV136" s="56"/>
      <c r="AW136" s="171"/>
      <c r="AX136" s="56"/>
      <c r="AY136" s="56"/>
      <c r="AZ136" s="56"/>
      <c r="BA136" s="171"/>
      <c r="BB136" s="56"/>
      <c r="BC136" s="10"/>
      <c r="BD136" s="56"/>
      <c r="BE136" s="56"/>
      <c r="BF136" s="56"/>
      <c r="BG136" s="56"/>
      <c r="BO136" s="144"/>
      <c r="CI136" s="144"/>
      <c r="CY136" s="144"/>
    </row>
    <row r="137" spans="1:103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171"/>
      <c r="AP137" s="56"/>
      <c r="AQ137" s="56"/>
      <c r="AR137" s="56"/>
      <c r="AS137" s="56"/>
      <c r="AT137" s="56"/>
      <c r="AU137" s="56"/>
      <c r="AV137" s="56"/>
      <c r="AW137" s="171"/>
      <c r="AX137" s="56"/>
      <c r="AY137" s="56"/>
      <c r="AZ137" s="56"/>
      <c r="BA137" s="171"/>
      <c r="BB137" s="56"/>
      <c r="BC137" s="10"/>
      <c r="BD137" s="56"/>
      <c r="BE137" s="56"/>
      <c r="BF137" s="56"/>
      <c r="BG137" s="56"/>
      <c r="BO137" s="144"/>
      <c r="CI137" s="144"/>
      <c r="CY137" s="144"/>
    </row>
    <row r="138" spans="1:103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171"/>
      <c r="AP138" s="56"/>
      <c r="AQ138" s="56"/>
      <c r="AR138" s="56"/>
      <c r="AS138" s="56"/>
      <c r="AT138" s="56"/>
      <c r="AU138" s="56"/>
      <c r="AV138" s="56"/>
      <c r="AW138" s="171"/>
      <c r="AX138" s="56"/>
      <c r="AY138" s="56"/>
      <c r="AZ138" s="56"/>
      <c r="BA138" s="171"/>
      <c r="BB138" s="56"/>
      <c r="BC138" s="10"/>
      <c r="BD138" s="56"/>
      <c r="BE138" s="56"/>
      <c r="BF138" s="56"/>
      <c r="BG138" s="56"/>
      <c r="BO138" s="144"/>
      <c r="CI138" s="144"/>
      <c r="CY138" s="144"/>
    </row>
    <row r="139" spans="1:103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171"/>
      <c r="AP139" s="56"/>
      <c r="AQ139" s="56"/>
      <c r="AR139" s="56"/>
      <c r="AS139" s="56"/>
      <c r="AT139" s="56"/>
      <c r="AU139" s="56"/>
      <c r="AV139" s="56"/>
      <c r="AW139" s="171"/>
      <c r="AX139" s="56"/>
      <c r="AY139" s="56"/>
      <c r="AZ139" s="56"/>
      <c r="BA139" s="171"/>
      <c r="BB139" s="56"/>
      <c r="BC139" s="10"/>
      <c r="BD139" s="56"/>
      <c r="BE139" s="56"/>
      <c r="BF139" s="56"/>
      <c r="BG139" s="56"/>
      <c r="BO139" s="144"/>
      <c r="CI139" s="144"/>
      <c r="CY139" s="144"/>
    </row>
    <row r="140" spans="1:103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171"/>
      <c r="AP140" s="56"/>
      <c r="AQ140" s="56"/>
      <c r="AR140" s="56"/>
      <c r="AS140" s="56"/>
      <c r="AT140" s="56"/>
      <c r="AU140" s="56"/>
      <c r="AV140" s="56"/>
      <c r="AW140" s="171"/>
      <c r="AX140" s="56"/>
      <c r="AY140" s="56"/>
      <c r="AZ140" s="56"/>
      <c r="BA140" s="171"/>
      <c r="BB140" s="56"/>
      <c r="BC140" s="10"/>
      <c r="BD140" s="56"/>
      <c r="BE140" s="56"/>
      <c r="BF140" s="56"/>
      <c r="BG140" s="56"/>
      <c r="BO140" s="144"/>
      <c r="CI140" s="144"/>
      <c r="CY140" s="144"/>
    </row>
    <row r="141" spans="1:103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171"/>
      <c r="AP141" s="56"/>
      <c r="AQ141" s="56"/>
      <c r="AR141" s="56"/>
      <c r="AS141" s="56"/>
      <c r="AT141" s="56"/>
      <c r="AU141" s="56"/>
      <c r="AV141" s="56"/>
      <c r="AW141" s="171"/>
      <c r="AX141" s="56"/>
      <c r="AY141" s="56"/>
      <c r="AZ141" s="56"/>
      <c r="BA141" s="171"/>
      <c r="BB141" s="56"/>
      <c r="BC141" s="10"/>
      <c r="BD141" s="56"/>
      <c r="BE141" s="56"/>
      <c r="BF141" s="56"/>
      <c r="BG141" s="56"/>
      <c r="BO141" s="144"/>
      <c r="CI141" s="144"/>
      <c r="CY141" s="144"/>
    </row>
    <row r="142" spans="1:103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171"/>
      <c r="AP142" s="56"/>
      <c r="AQ142" s="56"/>
      <c r="AR142" s="56"/>
      <c r="AS142" s="56"/>
      <c r="AT142" s="56"/>
      <c r="AU142" s="56"/>
      <c r="AV142" s="56"/>
      <c r="AW142" s="171"/>
      <c r="AX142" s="56"/>
      <c r="AY142" s="56"/>
      <c r="AZ142" s="56"/>
      <c r="BA142" s="171"/>
      <c r="BB142" s="56"/>
      <c r="BC142" s="10"/>
      <c r="BD142" s="56"/>
      <c r="BE142" s="56"/>
      <c r="BF142" s="56"/>
      <c r="BG142" s="56"/>
      <c r="BO142" s="144"/>
      <c r="CI142" s="144"/>
      <c r="CY142" s="144"/>
    </row>
    <row r="143" spans="1:103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171"/>
      <c r="AP143" s="56"/>
      <c r="AQ143" s="56"/>
      <c r="AR143" s="56"/>
      <c r="AS143" s="56"/>
      <c r="AT143" s="56"/>
      <c r="AU143" s="56"/>
      <c r="AV143" s="56"/>
      <c r="AW143" s="171"/>
      <c r="AX143" s="56"/>
      <c r="AY143" s="56"/>
      <c r="AZ143" s="56"/>
      <c r="BA143" s="171"/>
      <c r="BB143" s="56"/>
      <c r="BC143" s="10"/>
      <c r="BD143" s="56"/>
      <c r="BE143" s="56"/>
      <c r="BF143" s="56"/>
      <c r="BG143" s="56"/>
      <c r="BO143" s="144"/>
      <c r="CI143" s="144"/>
      <c r="CY143" s="144"/>
    </row>
    <row r="144" spans="1:103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171"/>
      <c r="AP144" s="56"/>
      <c r="AQ144" s="56"/>
      <c r="AR144" s="56"/>
      <c r="AS144" s="56"/>
      <c r="AT144" s="56"/>
      <c r="AU144" s="56"/>
      <c r="AV144" s="56"/>
      <c r="AW144" s="171"/>
      <c r="AX144" s="56"/>
      <c r="AY144" s="56"/>
      <c r="AZ144" s="56"/>
      <c r="BA144" s="171"/>
      <c r="BB144" s="56"/>
      <c r="BC144" s="10"/>
      <c r="BD144" s="56"/>
      <c r="BE144" s="56"/>
      <c r="BF144" s="56"/>
      <c r="BG144" s="56"/>
      <c r="BO144" s="144"/>
      <c r="CI144" s="144"/>
      <c r="CY144" s="144"/>
    </row>
    <row r="145" spans="1:103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172"/>
      <c r="AP145" s="57"/>
      <c r="AQ145" s="57"/>
      <c r="AR145" s="57"/>
      <c r="AS145" s="57"/>
      <c r="AT145" s="57"/>
      <c r="AU145" s="57"/>
      <c r="AV145" s="57"/>
      <c r="AW145" s="172"/>
      <c r="AX145" s="57"/>
      <c r="AY145" s="57"/>
      <c r="AZ145" s="57"/>
      <c r="BA145" s="172"/>
      <c r="BB145" s="57"/>
      <c r="BC145" s="17"/>
      <c r="BD145" s="57"/>
      <c r="BE145" s="57"/>
      <c r="BF145" s="57"/>
      <c r="BG145" s="57"/>
      <c r="BO145" s="143"/>
      <c r="CI145" s="143"/>
      <c r="CY145" s="143"/>
    </row>
    <row r="146" spans="1:103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H146" s="108"/>
    </row>
    <row r="147" spans="1:103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H147" s="108"/>
    </row>
    <row r="148" spans="1:103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3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3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3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3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3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3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3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171"/>
      <c r="AP155" s="56"/>
      <c r="AQ155" s="56"/>
      <c r="AR155" s="56"/>
      <c r="AS155" s="56"/>
      <c r="AT155" s="56"/>
      <c r="AU155" s="56"/>
      <c r="AV155" s="56"/>
      <c r="AW155" s="171"/>
      <c r="AX155" s="56"/>
      <c r="AY155" s="56"/>
      <c r="AZ155" s="56"/>
      <c r="BA155" s="171"/>
      <c r="BB155" s="56"/>
      <c r="BC155" s="10"/>
      <c r="BD155" s="56"/>
      <c r="BE155" s="56"/>
      <c r="BF155" s="56"/>
      <c r="BG155" s="56"/>
      <c r="BO155" s="144"/>
      <c r="CI155" s="144"/>
      <c r="CY155" s="144"/>
    </row>
    <row r="156" spans="1:103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171"/>
      <c r="AP156" s="56"/>
      <c r="AQ156" s="56"/>
      <c r="AR156" s="56"/>
      <c r="AS156" s="56"/>
      <c r="AT156" s="56"/>
      <c r="AU156" s="56"/>
      <c r="AV156" s="56"/>
      <c r="AW156" s="171"/>
      <c r="AX156" s="56"/>
      <c r="AY156" s="56"/>
      <c r="AZ156" s="56"/>
      <c r="BA156" s="171"/>
      <c r="BB156" s="56"/>
      <c r="BC156" s="10"/>
      <c r="BD156" s="56"/>
      <c r="BE156" s="56"/>
      <c r="BF156" s="56"/>
      <c r="BG156" s="56"/>
      <c r="BO156" s="144"/>
      <c r="CI156" s="144"/>
      <c r="CY156" s="144"/>
    </row>
    <row r="157" spans="1:103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171"/>
      <c r="AP157" s="56"/>
      <c r="AQ157" s="56"/>
      <c r="AR157" s="56"/>
      <c r="AS157" s="56"/>
      <c r="AT157" s="56"/>
      <c r="AU157" s="56"/>
      <c r="AV157" s="56"/>
      <c r="AW157" s="171"/>
      <c r="AX157" s="56"/>
      <c r="AY157" s="56"/>
      <c r="AZ157" s="56"/>
      <c r="BA157" s="171"/>
      <c r="BB157" s="56"/>
      <c r="BC157" s="10"/>
      <c r="BD157" s="56"/>
      <c r="BE157" s="56"/>
      <c r="BF157" s="56"/>
      <c r="BG157" s="56"/>
      <c r="BO157" s="144"/>
      <c r="CI157" s="144"/>
      <c r="CY157" s="144"/>
    </row>
    <row r="158" spans="1:103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171"/>
      <c r="AP158" s="56"/>
      <c r="AQ158" s="56"/>
      <c r="AR158" s="56"/>
      <c r="AS158" s="56"/>
      <c r="AT158" s="56"/>
      <c r="AU158" s="56"/>
      <c r="AV158" s="56"/>
      <c r="AW158" s="171"/>
      <c r="AX158" s="56"/>
      <c r="AY158" s="56"/>
      <c r="AZ158" s="56"/>
      <c r="BA158" s="171"/>
      <c r="BB158" s="56"/>
      <c r="BC158" s="10"/>
      <c r="BD158" s="56"/>
      <c r="BE158" s="56"/>
      <c r="BF158" s="56"/>
      <c r="BG158" s="56"/>
      <c r="BO158" s="144"/>
      <c r="CI158" s="144"/>
      <c r="CY158" s="144"/>
    </row>
    <row r="159" spans="1:103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171"/>
      <c r="AP159" s="56"/>
      <c r="AQ159" s="56"/>
      <c r="AR159" s="56"/>
      <c r="AS159" s="56"/>
      <c r="AT159" s="56"/>
      <c r="AU159" s="56"/>
      <c r="AV159" s="56"/>
      <c r="AW159" s="171"/>
      <c r="AX159" s="56"/>
      <c r="AY159" s="56"/>
      <c r="AZ159" s="56"/>
      <c r="BA159" s="171"/>
      <c r="BB159" s="56"/>
      <c r="BC159" s="10"/>
      <c r="BD159" s="56"/>
      <c r="BE159" s="56"/>
      <c r="BF159" s="56"/>
      <c r="BG159" s="56"/>
      <c r="BO159" s="144"/>
      <c r="CI159" s="144"/>
      <c r="CY159" s="144"/>
    </row>
    <row r="160" spans="1:103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171"/>
      <c r="AP160" s="56"/>
      <c r="AQ160" s="56"/>
      <c r="AR160" s="56"/>
      <c r="AS160" s="56"/>
      <c r="AT160" s="56"/>
      <c r="AU160" s="56"/>
      <c r="AV160" s="56"/>
      <c r="AW160" s="171"/>
      <c r="AX160" s="56"/>
      <c r="AY160" s="56"/>
      <c r="AZ160" s="56"/>
      <c r="BA160" s="171"/>
      <c r="BB160" s="56"/>
      <c r="BC160" s="10"/>
      <c r="BD160" s="56"/>
      <c r="BE160" s="56"/>
      <c r="BF160" s="56"/>
      <c r="BG160" s="56"/>
      <c r="BO160" s="144"/>
      <c r="CI160" s="144"/>
      <c r="CY160" s="144"/>
    </row>
    <row r="161" spans="1:103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171"/>
      <c r="AP161" s="56"/>
      <c r="AQ161" s="56"/>
      <c r="AR161" s="56"/>
      <c r="AS161" s="56"/>
      <c r="AT161" s="56"/>
      <c r="AU161" s="56"/>
      <c r="AV161" s="56"/>
      <c r="AW161" s="171"/>
      <c r="AX161" s="56"/>
      <c r="AY161" s="56"/>
      <c r="AZ161" s="56"/>
      <c r="BA161" s="171"/>
      <c r="BB161" s="56"/>
      <c r="BC161" s="10"/>
      <c r="BD161" s="56"/>
      <c r="BE161" s="56"/>
      <c r="BF161" s="56"/>
      <c r="BG161" s="56"/>
      <c r="BO161" s="144"/>
      <c r="CI161" s="144"/>
      <c r="CY161" s="144"/>
    </row>
    <row r="162" spans="1:103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171"/>
      <c r="AP162" s="56"/>
      <c r="AQ162" s="56"/>
      <c r="AR162" s="56"/>
      <c r="AS162" s="56"/>
      <c r="AT162" s="56"/>
      <c r="AU162" s="56"/>
      <c r="AV162" s="56"/>
      <c r="AW162" s="171"/>
      <c r="AX162" s="56"/>
      <c r="AY162" s="56"/>
      <c r="AZ162" s="56"/>
      <c r="BA162" s="171"/>
      <c r="BB162" s="56"/>
      <c r="BC162" s="10"/>
      <c r="BD162" s="56"/>
      <c r="BE162" s="56"/>
      <c r="BF162" s="56"/>
      <c r="BG162" s="56"/>
      <c r="BO162" s="144"/>
      <c r="CI162" s="144"/>
      <c r="CY162" s="144"/>
    </row>
    <row r="163" spans="1:103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171"/>
      <c r="AP163" s="56"/>
      <c r="AQ163" s="56"/>
      <c r="AR163" s="56"/>
      <c r="AS163" s="56"/>
      <c r="AT163" s="56"/>
      <c r="AU163" s="56"/>
      <c r="AV163" s="56"/>
      <c r="AW163" s="171"/>
      <c r="AX163" s="56"/>
      <c r="AY163" s="56"/>
      <c r="AZ163" s="56"/>
      <c r="BA163" s="171"/>
      <c r="BB163" s="56"/>
      <c r="BC163" s="10"/>
      <c r="BD163" s="56"/>
      <c r="BE163" s="56"/>
      <c r="BF163" s="56"/>
      <c r="BG163" s="56"/>
      <c r="BO163" s="144"/>
      <c r="CI163" s="144"/>
      <c r="CY163" s="144"/>
    </row>
    <row r="164" spans="1:103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171"/>
      <c r="AP164" s="56"/>
      <c r="AQ164" s="56"/>
      <c r="AR164" s="56"/>
      <c r="AS164" s="56"/>
      <c r="AT164" s="56"/>
      <c r="AU164" s="56"/>
      <c r="AV164" s="56"/>
      <c r="AW164" s="171"/>
      <c r="AX164" s="56"/>
      <c r="AY164" s="56"/>
      <c r="AZ164" s="56"/>
      <c r="BA164" s="171"/>
      <c r="BB164" s="56"/>
      <c r="BC164" s="10"/>
      <c r="BD164" s="56"/>
      <c r="BE164" s="56"/>
      <c r="BF164" s="56"/>
      <c r="BG164" s="56"/>
      <c r="BO164" s="144"/>
      <c r="CI164" s="144"/>
      <c r="CY164" s="144"/>
    </row>
    <row r="165" spans="1:103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172"/>
      <c r="AP165" s="57"/>
      <c r="AQ165" s="57"/>
      <c r="AR165" s="57"/>
      <c r="AS165" s="57"/>
      <c r="AT165" s="57"/>
      <c r="AU165" s="57"/>
      <c r="AV165" s="57"/>
      <c r="AW165" s="172"/>
      <c r="AX165" s="57"/>
      <c r="AY165" s="57"/>
      <c r="AZ165" s="57"/>
      <c r="BA165" s="172"/>
      <c r="BB165" s="57"/>
      <c r="BC165" s="17"/>
      <c r="BD165" s="57"/>
      <c r="BE165" s="57"/>
      <c r="BF165" s="57"/>
      <c r="BG165" s="57"/>
      <c r="BO165" s="143"/>
      <c r="CI165" s="143"/>
      <c r="CY165" s="143"/>
    </row>
    <row r="166" spans="1:103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H166" s="108"/>
    </row>
    <row r="167" spans="1:103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H167" s="108"/>
    </row>
    <row r="168" spans="1:103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3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3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3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3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3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3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3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171"/>
      <c r="AP175" s="56"/>
      <c r="AQ175" s="56"/>
      <c r="AR175" s="56"/>
      <c r="AS175" s="56"/>
      <c r="AT175" s="56"/>
      <c r="AU175" s="56"/>
      <c r="AV175" s="56"/>
      <c r="AW175" s="171"/>
      <c r="AX175" s="56"/>
      <c r="AY175" s="56"/>
      <c r="AZ175" s="56"/>
      <c r="BA175" s="171"/>
      <c r="BB175" s="56"/>
      <c r="BC175" s="10"/>
      <c r="BD175" s="56"/>
      <c r="BE175" s="56"/>
      <c r="BF175" s="56"/>
      <c r="BG175" s="56"/>
      <c r="BO175" s="144"/>
      <c r="CI175" s="144"/>
      <c r="CY175" s="144"/>
    </row>
    <row r="176" spans="1:103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171"/>
      <c r="AP176" s="56"/>
      <c r="AQ176" s="56"/>
      <c r="AR176" s="56"/>
      <c r="AS176" s="56"/>
      <c r="AT176" s="56"/>
      <c r="AU176" s="56"/>
      <c r="AV176" s="56"/>
      <c r="AW176" s="171"/>
      <c r="AX176" s="56"/>
      <c r="AY176" s="56"/>
      <c r="AZ176" s="56"/>
      <c r="BA176" s="171"/>
      <c r="BB176" s="56"/>
      <c r="BC176" s="10"/>
      <c r="BD176" s="56"/>
      <c r="BE176" s="56"/>
      <c r="BF176" s="56"/>
      <c r="BG176" s="56"/>
      <c r="BO176" s="144"/>
      <c r="CI176" s="144"/>
      <c r="CY176" s="144"/>
    </row>
    <row r="177" spans="1:103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171"/>
      <c r="AP177" s="56"/>
      <c r="AQ177" s="56"/>
      <c r="AR177" s="56"/>
      <c r="AS177" s="56"/>
      <c r="AT177" s="56"/>
      <c r="AU177" s="56"/>
      <c r="AV177" s="56"/>
      <c r="AW177" s="171"/>
      <c r="AX177" s="56"/>
      <c r="AY177" s="56"/>
      <c r="AZ177" s="56"/>
      <c r="BA177" s="171"/>
      <c r="BB177" s="56"/>
      <c r="BC177" s="10"/>
      <c r="BD177" s="56"/>
      <c r="BE177" s="56"/>
      <c r="BF177" s="56"/>
      <c r="BG177" s="56"/>
      <c r="BO177" s="144"/>
      <c r="CI177" s="144"/>
      <c r="CY177" s="144"/>
    </row>
    <row r="178" spans="1:103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171"/>
      <c r="AP178" s="56"/>
      <c r="AQ178" s="56"/>
      <c r="AR178" s="56"/>
      <c r="AS178" s="56"/>
      <c r="AT178" s="56"/>
      <c r="AU178" s="56"/>
      <c r="AV178" s="56"/>
      <c r="AW178" s="171"/>
      <c r="AX178" s="56"/>
      <c r="AY178" s="56"/>
      <c r="AZ178" s="56"/>
      <c r="BA178" s="171"/>
      <c r="BB178" s="56"/>
      <c r="BC178" s="10"/>
      <c r="BD178" s="56"/>
      <c r="BE178" s="56"/>
      <c r="BF178" s="56"/>
      <c r="BG178" s="56"/>
      <c r="BO178" s="144"/>
      <c r="CI178" s="144"/>
      <c r="CY178" s="144"/>
    </row>
    <row r="179" spans="1:103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171"/>
      <c r="AP179" s="56"/>
      <c r="AQ179" s="56"/>
      <c r="AR179" s="56"/>
      <c r="AS179" s="56"/>
      <c r="AT179" s="56"/>
      <c r="AU179" s="56"/>
      <c r="AV179" s="56"/>
      <c r="AW179" s="171"/>
      <c r="AX179" s="56"/>
      <c r="AY179" s="56"/>
      <c r="AZ179" s="56"/>
      <c r="BA179" s="171"/>
      <c r="BB179" s="56"/>
      <c r="BC179" s="10"/>
      <c r="BD179" s="56"/>
      <c r="BE179" s="56"/>
      <c r="BF179" s="56"/>
      <c r="BG179" s="56"/>
      <c r="BO179" s="144"/>
      <c r="CI179" s="144"/>
      <c r="CY179" s="144"/>
    </row>
    <row r="180" spans="1:103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171"/>
      <c r="AP180" s="56"/>
      <c r="AQ180" s="56"/>
      <c r="AR180" s="56"/>
      <c r="AS180" s="56"/>
      <c r="AT180" s="56"/>
      <c r="AU180" s="56"/>
      <c r="AV180" s="56"/>
      <c r="AW180" s="171"/>
      <c r="AX180" s="56"/>
      <c r="AY180" s="56"/>
      <c r="AZ180" s="56"/>
      <c r="BA180" s="171"/>
      <c r="BB180" s="56"/>
      <c r="BC180" s="10"/>
      <c r="BD180" s="56"/>
      <c r="BE180" s="56"/>
      <c r="BF180" s="56"/>
      <c r="BG180" s="56"/>
      <c r="BO180" s="144"/>
      <c r="CI180" s="144"/>
      <c r="CY180" s="144"/>
    </row>
    <row r="181" spans="1:103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171"/>
      <c r="AP181" s="56"/>
      <c r="AQ181" s="56"/>
      <c r="AR181" s="56"/>
      <c r="AS181" s="56"/>
      <c r="AT181" s="56"/>
      <c r="AU181" s="56"/>
      <c r="AV181" s="56"/>
      <c r="AW181" s="171"/>
      <c r="AX181" s="56"/>
      <c r="AY181" s="56"/>
      <c r="AZ181" s="56"/>
      <c r="BA181" s="171"/>
      <c r="BB181" s="56"/>
      <c r="BC181" s="10"/>
      <c r="BD181" s="56"/>
      <c r="BE181" s="56"/>
      <c r="BF181" s="56"/>
      <c r="BG181" s="56"/>
      <c r="BO181" s="144"/>
      <c r="CI181" s="144"/>
      <c r="CY181" s="144"/>
    </row>
    <row r="182" spans="1:103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171"/>
      <c r="AP182" s="56"/>
      <c r="AQ182" s="56"/>
      <c r="AR182" s="56"/>
      <c r="AS182" s="56"/>
      <c r="AT182" s="56"/>
      <c r="AU182" s="56"/>
      <c r="AV182" s="56"/>
      <c r="AW182" s="171"/>
      <c r="AX182" s="56"/>
      <c r="AY182" s="56"/>
      <c r="AZ182" s="56"/>
      <c r="BA182" s="171"/>
      <c r="BB182" s="56"/>
      <c r="BC182" s="10"/>
      <c r="BD182" s="56"/>
      <c r="BE182" s="56"/>
      <c r="BF182" s="56"/>
      <c r="BG182" s="56"/>
      <c r="BO182" s="144"/>
      <c r="CI182" s="144"/>
      <c r="CY182" s="144"/>
    </row>
    <row r="183" spans="1:103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171"/>
      <c r="AP183" s="56"/>
      <c r="AQ183" s="56"/>
      <c r="AR183" s="56"/>
      <c r="AS183" s="56"/>
      <c r="AT183" s="56"/>
      <c r="AU183" s="56"/>
      <c r="AV183" s="56"/>
      <c r="AW183" s="171"/>
      <c r="AX183" s="56"/>
      <c r="AY183" s="56"/>
      <c r="AZ183" s="56"/>
      <c r="BA183" s="171"/>
      <c r="BB183" s="56"/>
      <c r="BC183" s="10"/>
      <c r="BD183" s="56"/>
      <c r="BE183" s="56"/>
      <c r="BF183" s="56"/>
      <c r="BG183" s="56"/>
      <c r="BO183" s="144"/>
      <c r="CI183" s="144"/>
      <c r="CY183" s="144"/>
    </row>
    <row r="184" spans="1:103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171"/>
      <c r="AP184" s="56"/>
      <c r="AQ184" s="56"/>
      <c r="AR184" s="56"/>
      <c r="AS184" s="56"/>
      <c r="AT184" s="56"/>
      <c r="AU184" s="56"/>
      <c r="AV184" s="56"/>
      <c r="AW184" s="171"/>
      <c r="AX184" s="56"/>
      <c r="AY184" s="56"/>
      <c r="AZ184" s="56"/>
      <c r="BA184" s="171"/>
      <c r="BB184" s="56"/>
      <c r="BC184" s="10"/>
      <c r="BD184" s="56"/>
      <c r="BE184" s="56"/>
      <c r="BF184" s="56"/>
      <c r="BG184" s="56"/>
      <c r="BO184" s="144"/>
      <c r="CI184" s="144"/>
      <c r="CY184" s="144"/>
    </row>
    <row r="185" spans="1:103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172"/>
      <c r="AP185" s="57"/>
      <c r="AQ185" s="57"/>
      <c r="AR185" s="57"/>
      <c r="AS185" s="57"/>
      <c r="AT185" s="57"/>
      <c r="AU185" s="57"/>
      <c r="AV185" s="57"/>
      <c r="AW185" s="172"/>
      <c r="AX185" s="57"/>
      <c r="AY185" s="57"/>
      <c r="AZ185" s="57"/>
      <c r="BA185" s="172"/>
      <c r="BB185" s="57"/>
      <c r="BC185" s="17"/>
      <c r="BD185" s="57"/>
      <c r="BE185" s="57"/>
      <c r="BF185" s="57"/>
      <c r="BG185" s="57"/>
      <c r="BO185" s="143"/>
      <c r="CI185" s="143"/>
      <c r="CY185" s="143"/>
    </row>
    <row r="186" spans="1:103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H186" s="108"/>
    </row>
    <row r="187" spans="1:103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H187" s="108"/>
    </row>
    <row r="188" spans="1:103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3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3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3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3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3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3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3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171"/>
      <c r="AP195" s="56"/>
      <c r="AQ195" s="56"/>
      <c r="AR195" s="56"/>
      <c r="AS195" s="56"/>
      <c r="AT195" s="56"/>
      <c r="AU195" s="56"/>
      <c r="AV195" s="56"/>
      <c r="AW195" s="171"/>
      <c r="AX195" s="56"/>
      <c r="AY195" s="56"/>
      <c r="AZ195" s="56"/>
      <c r="BA195" s="171"/>
      <c r="BB195" s="56"/>
      <c r="BC195" s="10"/>
      <c r="BD195" s="56"/>
      <c r="BE195" s="56"/>
      <c r="BF195" s="56"/>
      <c r="BG195" s="56"/>
      <c r="BO195" s="144"/>
      <c r="CI195" s="144"/>
      <c r="CY195" s="144"/>
    </row>
    <row r="196" spans="1:103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171"/>
      <c r="AP196" s="56"/>
      <c r="AQ196" s="56"/>
      <c r="AR196" s="56"/>
      <c r="AS196" s="56"/>
      <c r="AT196" s="56"/>
      <c r="AU196" s="56"/>
      <c r="AV196" s="56"/>
      <c r="AW196" s="171"/>
      <c r="AX196" s="56"/>
      <c r="AY196" s="56"/>
      <c r="AZ196" s="56"/>
      <c r="BA196" s="171"/>
      <c r="BB196" s="56"/>
      <c r="BC196" s="10"/>
      <c r="BD196" s="56"/>
      <c r="BE196" s="56"/>
      <c r="BF196" s="56"/>
      <c r="BG196" s="56"/>
      <c r="BO196" s="144"/>
      <c r="CI196" s="144"/>
      <c r="CY196" s="144"/>
    </row>
    <row r="197" spans="1:103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171"/>
      <c r="AP197" s="56"/>
      <c r="AQ197" s="56"/>
      <c r="AR197" s="56"/>
      <c r="AS197" s="56"/>
      <c r="AT197" s="56"/>
      <c r="AU197" s="56"/>
      <c r="AV197" s="56"/>
      <c r="AW197" s="171"/>
      <c r="AX197" s="56"/>
      <c r="AY197" s="56"/>
      <c r="AZ197" s="56"/>
      <c r="BA197" s="171"/>
      <c r="BB197" s="56"/>
      <c r="BC197" s="10"/>
      <c r="BD197" s="56"/>
      <c r="BE197" s="56"/>
      <c r="BF197" s="56"/>
      <c r="BG197" s="56"/>
      <c r="BO197" s="144"/>
      <c r="CI197" s="144"/>
      <c r="CY197" s="144"/>
    </row>
    <row r="198" spans="1:103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171"/>
      <c r="AP198" s="56"/>
      <c r="AQ198" s="56"/>
      <c r="AR198" s="56"/>
      <c r="AS198" s="56"/>
      <c r="AT198" s="56"/>
      <c r="AU198" s="56"/>
      <c r="AV198" s="56"/>
      <c r="AW198" s="171"/>
      <c r="AX198" s="56"/>
      <c r="AY198" s="56"/>
      <c r="AZ198" s="56"/>
      <c r="BA198" s="171"/>
      <c r="BB198" s="56"/>
      <c r="BC198" s="10"/>
      <c r="BD198" s="56"/>
      <c r="BE198" s="56"/>
      <c r="BF198" s="56"/>
      <c r="BG198" s="56"/>
      <c r="BO198" s="144"/>
      <c r="CI198" s="144"/>
      <c r="CY198" s="144"/>
    </row>
    <row r="199" spans="1:103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171"/>
      <c r="AP199" s="56"/>
      <c r="AQ199" s="56"/>
      <c r="AR199" s="56"/>
      <c r="AS199" s="56"/>
      <c r="AT199" s="56"/>
      <c r="AU199" s="56"/>
      <c r="AV199" s="56"/>
      <c r="AW199" s="171"/>
      <c r="AX199" s="56"/>
      <c r="AY199" s="56"/>
      <c r="AZ199" s="56"/>
      <c r="BA199" s="171"/>
      <c r="BB199" s="56"/>
      <c r="BC199" s="10"/>
      <c r="BD199" s="56"/>
      <c r="BE199" s="56"/>
      <c r="BF199" s="56"/>
      <c r="BG199" s="56"/>
      <c r="BO199" s="144"/>
      <c r="CI199" s="144"/>
      <c r="CY199" s="144"/>
    </row>
    <row r="200" spans="1:103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171"/>
      <c r="AP200" s="56"/>
      <c r="AQ200" s="56"/>
      <c r="AR200" s="56"/>
      <c r="AS200" s="56"/>
      <c r="AT200" s="56"/>
      <c r="AU200" s="56"/>
      <c r="AV200" s="56"/>
      <c r="AW200" s="171"/>
      <c r="AX200" s="56"/>
      <c r="AY200" s="56"/>
      <c r="AZ200" s="56"/>
      <c r="BA200" s="171"/>
      <c r="BB200" s="56"/>
      <c r="BC200" s="10"/>
      <c r="BD200" s="56"/>
      <c r="BE200" s="56"/>
      <c r="BF200" s="56"/>
      <c r="BG200" s="56"/>
      <c r="BO200" s="144"/>
      <c r="CI200" s="144"/>
      <c r="CY200" s="144"/>
    </row>
    <row r="201" spans="1:103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171"/>
      <c r="AP201" s="56"/>
      <c r="AQ201" s="56"/>
      <c r="AR201" s="56"/>
      <c r="AS201" s="56"/>
      <c r="AT201" s="56"/>
      <c r="AU201" s="56"/>
      <c r="AV201" s="56"/>
      <c r="AW201" s="171"/>
      <c r="AX201" s="56"/>
      <c r="AY201" s="56"/>
      <c r="AZ201" s="56"/>
      <c r="BA201" s="171"/>
      <c r="BB201" s="56"/>
      <c r="BC201" s="10"/>
      <c r="BD201" s="56"/>
      <c r="BE201" s="56"/>
      <c r="BF201" s="56"/>
      <c r="BG201" s="56"/>
      <c r="BO201" s="144"/>
      <c r="CI201" s="144"/>
      <c r="CY201" s="144"/>
    </row>
    <row r="202" spans="1:103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171"/>
      <c r="AP202" s="56"/>
      <c r="AQ202" s="56"/>
      <c r="AR202" s="56"/>
      <c r="AS202" s="56"/>
      <c r="AT202" s="56"/>
      <c r="AU202" s="56"/>
      <c r="AV202" s="56"/>
      <c r="AW202" s="171"/>
      <c r="AX202" s="56"/>
      <c r="AY202" s="56"/>
      <c r="AZ202" s="56"/>
      <c r="BA202" s="171"/>
      <c r="BB202" s="56"/>
      <c r="BC202" s="10"/>
      <c r="BD202" s="56"/>
      <c r="BE202" s="56"/>
      <c r="BF202" s="56"/>
      <c r="BG202" s="56"/>
      <c r="BO202" s="144"/>
      <c r="CI202" s="144"/>
      <c r="CY202" s="144"/>
    </row>
    <row r="203" spans="1:103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171"/>
      <c r="AP203" s="56"/>
      <c r="AQ203" s="56"/>
      <c r="AR203" s="56"/>
      <c r="AS203" s="56"/>
      <c r="AT203" s="56"/>
      <c r="AU203" s="56"/>
      <c r="AV203" s="56"/>
      <c r="AW203" s="171"/>
      <c r="AX203" s="56"/>
      <c r="AY203" s="56"/>
      <c r="AZ203" s="56"/>
      <c r="BA203" s="171"/>
      <c r="BB203" s="56"/>
      <c r="BC203" s="10"/>
      <c r="BD203" s="56"/>
      <c r="BE203" s="56"/>
      <c r="BF203" s="56"/>
      <c r="BG203" s="56"/>
      <c r="BO203" s="144"/>
      <c r="CI203" s="144"/>
      <c r="CY203" s="144"/>
    </row>
    <row r="204" spans="1:103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171"/>
      <c r="AP204" s="56"/>
      <c r="AQ204" s="56"/>
      <c r="AR204" s="56"/>
      <c r="AS204" s="56"/>
      <c r="AT204" s="56"/>
      <c r="AU204" s="56"/>
      <c r="AV204" s="56"/>
      <c r="AW204" s="171"/>
      <c r="AX204" s="56"/>
      <c r="AY204" s="56"/>
      <c r="AZ204" s="56"/>
      <c r="BA204" s="171"/>
      <c r="BB204" s="56"/>
      <c r="BC204" s="10"/>
      <c r="BD204" s="56"/>
      <c r="BE204" s="56"/>
      <c r="BF204" s="56"/>
      <c r="BG204" s="56"/>
      <c r="BO204" s="144"/>
      <c r="CI204" s="144"/>
      <c r="CY204" s="144"/>
    </row>
    <row r="205" spans="1:103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172"/>
      <c r="AP205" s="57"/>
      <c r="AQ205" s="57"/>
      <c r="AR205" s="57"/>
      <c r="AS205" s="57"/>
      <c r="AT205" s="57"/>
      <c r="AU205" s="57"/>
      <c r="AV205" s="57"/>
      <c r="AW205" s="172"/>
      <c r="AX205" s="57"/>
      <c r="AY205" s="57"/>
      <c r="AZ205" s="57"/>
      <c r="BA205" s="172"/>
      <c r="BB205" s="57"/>
      <c r="BC205" s="17"/>
      <c r="BD205" s="57"/>
      <c r="BE205" s="57"/>
      <c r="BF205" s="57"/>
      <c r="BG205" s="57"/>
      <c r="BO205" s="143"/>
      <c r="CI205" s="143"/>
      <c r="CY205" s="143"/>
    </row>
    <row r="206" spans="1:103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H206" s="108"/>
    </row>
    <row r="207" spans="1:103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H207" s="108"/>
    </row>
    <row r="208" spans="1:103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3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3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3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3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3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3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3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171"/>
      <c r="AP215" s="56"/>
      <c r="AQ215" s="56"/>
      <c r="AR215" s="56"/>
      <c r="AS215" s="56"/>
      <c r="AT215" s="56"/>
      <c r="AU215" s="56"/>
      <c r="AV215" s="56"/>
      <c r="AW215" s="171"/>
      <c r="AX215" s="56"/>
      <c r="AY215" s="56"/>
      <c r="AZ215" s="56"/>
      <c r="BA215" s="171"/>
      <c r="BB215" s="56"/>
      <c r="BC215" s="10"/>
      <c r="BD215" s="56"/>
      <c r="BE215" s="56"/>
      <c r="BF215" s="56"/>
      <c r="BG215" s="56"/>
      <c r="BO215" s="144"/>
      <c r="CI215" s="144"/>
      <c r="CY215" s="144"/>
    </row>
    <row r="216" spans="1:103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171"/>
      <c r="AP216" s="56"/>
      <c r="AQ216" s="56"/>
      <c r="AR216" s="56"/>
      <c r="AS216" s="56"/>
      <c r="AT216" s="56"/>
      <c r="AU216" s="56"/>
      <c r="AV216" s="56"/>
      <c r="AW216" s="171"/>
      <c r="AX216" s="56"/>
      <c r="AY216" s="56"/>
      <c r="AZ216" s="56"/>
      <c r="BA216" s="171"/>
      <c r="BB216" s="56"/>
      <c r="BC216" s="10"/>
      <c r="BD216" s="56"/>
      <c r="BE216" s="56"/>
      <c r="BF216" s="56"/>
      <c r="BG216" s="56"/>
      <c r="BO216" s="144"/>
      <c r="CI216" s="144"/>
      <c r="CY216" s="144"/>
    </row>
    <row r="217" spans="1:103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171"/>
      <c r="AP217" s="56"/>
      <c r="AQ217" s="56"/>
      <c r="AR217" s="56"/>
      <c r="AS217" s="56"/>
      <c r="AT217" s="56"/>
      <c r="AU217" s="56"/>
      <c r="AV217" s="56"/>
      <c r="AW217" s="171"/>
      <c r="AX217" s="56"/>
      <c r="AY217" s="56"/>
      <c r="AZ217" s="56"/>
      <c r="BA217" s="171"/>
      <c r="BB217" s="56"/>
      <c r="BC217" s="10"/>
      <c r="BD217" s="56"/>
      <c r="BE217" s="56"/>
      <c r="BF217" s="56"/>
      <c r="BG217" s="56"/>
      <c r="BO217" s="144"/>
      <c r="CI217" s="144"/>
      <c r="CY217" s="144"/>
    </row>
    <row r="218" spans="1:103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171"/>
      <c r="AP218" s="56"/>
      <c r="AQ218" s="56"/>
      <c r="AR218" s="56"/>
      <c r="AS218" s="56"/>
      <c r="AT218" s="56"/>
      <c r="AU218" s="56"/>
      <c r="AV218" s="56"/>
      <c r="AW218" s="171"/>
      <c r="AX218" s="56"/>
      <c r="AY218" s="56"/>
      <c r="AZ218" s="56"/>
      <c r="BA218" s="171"/>
      <c r="BB218" s="56"/>
      <c r="BC218" s="10"/>
      <c r="BD218" s="56"/>
      <c r="BE218" s="56"/>
      <c r="BF218" s="56"/>
      <c r="BG218" s="56"/>
      <c r="BO218" s="144"/>
      <c r="CI218" s="144"/>
      <c r="CY218" s="144"/>
    </row>
    <row r="219" spans="1:103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171"/>
      <c r="AP219" s="56"/>
      <c r="AQ219" s="56"/>
      <c r="AR219" s="56"/>
      <c r="AS219" s="56"/>
      <c r="AT219" s="56"/>
      <c r="AU219" s="56"/>
      <c r="AV219" s="56"/>
      <c r="AW219" s="171"/>
      <c r="AX219" s="56"/>
      <c r="AY219" s="56"/>
      <c r="AZ219" s="56"/>
      <c r="BA219" s="171"/>
      <c r="BB219" s="56"/>
      <c r="BC219" s="10"/>
      <c r="BD219" s="56"/>
      <c r="BE219" s="56"/>
      <c r="BF219" s="56"/>
      <c r="BG219" s="56"/>
      <c r="BO219" s="144"/>
      <c r="CI219" s="144"/>
      <c r="CY219" s="144"/>
    </row>
    <row r="220" spans="1:103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171"/>
      <c r="AP220" s="56"/>
      <c r="AQ220" s="56"/>
      <c r="AR220" s="56"/>
      <c r="AS220" s="56"/>
      <c r="AT220" s="56"/>
      <c r="AU220" s="56"/>
      <c r="AV220" s="56"/>
      <c r="AW220" s="171"/>
      <c r="AX220" s="56"/>
      <c r="AY220" s="56"/>
      <c r="AZ220" s="56"/>
      <c r="BA220" s="171"/>
      <c r="BB220" s="56"/>
      <c r="BC220" s="10"/>
      <c r="BD220" s="56"/>
      <c r="BE220" s="56"/>
      <c r="BF220" s="56"/>
      <c r="BG220" s="56"/>
      <c r="BO220" s="144"/>
      <c r="CI220" s="144"/>
      <c r="CY220" s="144"/>
    </row>
    <row r="221" spans="1:103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171"/>
      <c r="AP221" s="56"/>
      <c r="AQ221" s="56"/>
      <c r="AR221" s="56"/>
      <c r="AS221" s="56"/>
      <c r="AT221" s="56"/>
      <c r="AU221" s="56"/>
      <c r="AV221" s="56"/>
      <c r="AW221" s="171"/>
      <c r="AX221" s="56"/>
      <c r="AY221" s="56"/>
      <c r="AZ221" s="56"/>
      <c r="BA221" s="171"/>
      <c r="BB221" s="56"/>
      <c r="BC221" s="10"/>
      <c r="BD221" s="56"/>
      <c r="BE221" s="56"/>
      <c r="BF221" s="56"/>
      <c r="BG221" s="56"/>
      <c r="BO221" s="144"/>
      <c r="CI221" s="144"/>
      <c r="CY221" s="144"/>
    </row>
    <row r="222" spans="1:103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171"/>
      <c r="AP222" s="56"/>
      <c r="AQ222" s="56"/>
      <c r="AR222" s="56"/>
      <c r="AS222" s="56"/>
      <c r="AT222" s="56"/>
      <c r="AU222" s="56"/>
      <c r="AV222" s="56"/>
      <c r="AW222" s="171"/>
      <c r="AX222" s="56"/>
      <c r="AY222" s="56"/>
      <c r="AZ222" s="56"/>
      <c r="BA222" s="171"/>
      <c r="BB222" s="56"/>
      <c r="BC222" s="10"/>
      <c r="BD222" s="56"/>
      <c r="BE222" s="56"/>
      <c r="BF222" s="56"/>
      <c r="BG222" s="56"/>
      <c r="BO222" s="144"/>
      <c r="CI222" s="144"/>
      <c r="CY222" s="144"/>
    </row>
    <row r="223" spans="1:103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171"/>
      <c r="AP223" s="56"/>
      <c r="AQ223" s="56"/>
      <c r="AR223" s="56"/>
      <c r="AS223" s="56"/>
      <c r="AT223" s="56"/>
      <c r="AU223" s="56"/>
      <c r="AV223" s="56"/>
      <c r="AW223" s="171"/>
      <c r="AX223" s="56"/>
      <c r="AY223" s="56"/>
      <c r="AZ223" s="56"/>
      <c r="BA223" s="171"/>
      <c r="BB223" s="56"/>
      <c r="BC223" s="10"/>
      <c r="BD223" s="56"/>
      <c r="BE223" s="56"/>
      <c r="BF223" s="56"/>
      <c r="BG223" s="56"/>
      <c r="BO223" s="144"/>
      <c r="CI223" s="144"/>
      <c r="CY223" s="144"/>
    </row>
    <row r="224" spans="1:103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171"/>
      <c r="AP224" s="56"/>
      <c r="AQ224" s="56"/>
      <c r="AR224" s="56"/>
      <c r="AS224" s="56"/>
      <c r="AT224" s="56"/>
      <c r="AU224" s="56"/>
      <c r="AV224" s="56"/>
      <c r="AW224" s="171"/>
      <c r="AX224" s="56"/>
      <c r="AY224" s="56"/>
      <c r="AZ224" s="56"/>
      <c r="BA224" s="171"/>
      <c r="BB224" s="56"/>
      <c r="BC224" s="10"/>
      <c r="BD224" s="56"/>
      <c r="BE224" s="56"/>
      <c r="BF224" s="56"/>
      <c r="BG224" s="56"/>
      <c r="BO224" s="144"/>
      <c r="CI224" s="144"/>
      <c r="CY224" s="144"/>
    </row>
    <row r="225" spans="1:103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172"/>
      <c r="AP225" s="57"/>
      <c r="AQ225" s="57"/>
      <c r="AR225" s="57"/>
      <c r="AS225" s="57"/>
      <c r="AT225" s="57"/>
      <c r="AU225" s="57"/>
      <c r="AV225" s="57"/>
      <c r="AW225" s="172"/>
      <c r="AX225" s="57"/>
      <c r="AY225" s="57"/>
      <c r="AZ225" s="57"/>
      <c r="BA225" s="172"/>
      <c r="BB225" s="57"/>
      <c r="BC225" s="17"/>
      <c r="BD225" s="57"/>
      <c r="BE225" s="57"/>
      <c r="BF225" s="57"/>
      <c r="BG225" s="57"/>
      <c r="BO225" s="143"/>
      <c r="CI225" s="143"/>
      <c r="CY225" s="143"/>
    </row>
    <row r="226" spans="1:103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171"/>
      <c r="AP226" s="56"/>
      <c r="AQ226" s="56"/>
      <c r="AR226" s="56"/>
      <c r="AS226" s="56"/>
      <c r="AT226" s="56"/>
      <c r="AU226" s="56"/>
      <c r="AV226" s="56"/>
      <c r="AW226" s="171"/>
      <c r="AX226" s="56"/>
      <c r="AY226" s="56"/>
      <c r="AZ226" s="56"/>
      <c r="BA226" s="171"/>
      <c r="BB226" s="56"/>
      <c r="BC226" s="10"/>
      <c r="BD226" s="56"/>
      <c r="BE226" s="56"/>
      <c r="BF226" s="56"/>
      <c r="BG226" s="56"/>
      <c r="BO226" s="144"/>
      <c r="CI226" s="144"/>
      <c r="CY226" s="144"/>
    </row>
    <row r="227" spans="1:103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171"/>
      <c r="AP227" s="56"/>
      <c r="AQ227" s="56"/>
      <c r="AR227" s="56"/>
      <c r="AS227" s="56"/>
      <c r="AT227" s="56"/>
      <c r="AU227" s="56"/>
      <c r="AV227" s="56"/>
      <c r="AW227" s="171"/>
      <c r="AX227" s="56"/>
      <c r="AY227" s="56"/>
      <c r="AZ227" s="56"/>
      <c r="BA227" s="171"/>
      <c r="BB227" s="56"/>
      <c r="BC227" s="10"/>
      <c r="BD227" s="56"/>
      <c r="BE227" s="56"/>
      <c r="BF227" s="56"/>
      <c r="BG227" s="56"/>
      <c r="BO227" s="144"/>
      <c r="CI227" s="144"/>
      <c r="CY227" s="144"/>
    </row>
    <row r="228" spans="1:103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171"/>
      <c r="AP228" s="56"/>
      <c r="AQ228" s="56"/>
      <c r="AR228" s="56"/>
      <c r="AS228" s="56"/>
      <c r="AT228" s="56"/>
      <c r="AU228" s="56"/>
      <c r="AV228" s="56"/>
      <c r="AW228" s="171"/>
      <c r="AX228" s="56"/>
      <c r="AY228" s="56"/>
      <c r="AZ228" s="56"/>
      <c r="BA228" s="171"/>
      <c r="BB228" s="56"/>
      <c r="BC228" s="10"/>
      <c r="BD228" s="56"/>
      <c r="BE228" s="56"/>
      <c r="BF228" s="56"/>
      <c r="BG228" s="56"/>
      <c r="BO228" s="144"/>
      <c r="CI228" s="144"/>
      <c r="CY228" s="144"/>
    </row>
    <row r="229" spans="1:103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171"/>
      <c r="AP229" s="56"/>
      <c r="AQ229" s="56"/>
      <c r="AR229" s="56"/>
      <c r="AS229" s="56"/>
      <c r="AT229" s="56"/>
      <c r="AU229" s="56"/>
      <c r="AV229" s="56"/>
      <c r="AW229" s="171"/>
      <c r="AX229" s="56"/>
      <c r="AY229" s="56"/>
      <c r="AZ229" s="56"/>
      <c r="BA229" s="171"/>
      <c r="BB229" s="56"/>
      <c r="BC229" s="10"/>
      <c r="BD229" s="56"/>
      <c r="BE229" s="56"/>
      <c r="BF229" s="56"/>
      <c r="BG229" s="56"/>
      <c r="BO229" s="144"/>
      <c r="CI229" s="144"/>
      <c r="CY229" s="144"/>
    </row>
    <row r="230" spans="1:103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171"/>
      <c r="AP230" s="56"/>
      <c r="AQ230" s="56"/>
      <c r="AR230" s="56"/>
      <c r="AS230" s="56"/>
      <c r="AT230" s="56"/>
      <c r="AU230" s="56"/>
      <c r="AV230" s="56"/>
      <c r="AW230" s="171"/>
      <c r="AX230" s="56"/>
      <c r="AY230" s="56"/>
      <c r="AZ230" s="56"/>
      <c r="BA230" s="171"/>
      <c r="BB230" s="56"/>
      <c r="BC230" s="10"/>
      <c r="BD230" s="56"/>
      <c r="BE230" s="56"/>
      <c r="BF230" s="56"/>
      <c r="BG230" s="56"/>
      <c r="BO230" s="144"/>
      <c r="CI230" s="144"/>
      <c r="CY230" s="144"/>
    </row>
    <row r="231" spans="1:103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171"/>
      <c r="AP231" s="56"/>
      <c r="AQ231" s="56"/>
      <c r="AR231" s="56"/>
      <c r="AS231" s="56"/>
      <c r="AT231" s="56"/>
      <c r="AU231" s="56"/>
      <c r="AV231" s="56"/>
      <c r="AW231" s="171"/>
      <c r="AX231" s="56"/>
      <c r="AY231" s="56"/>
      <c r="AZ231" s="56"/>
      <c r="BA231" s="171"/>
      <c r="BB231" s="56"/>
      <c r="BC231" s="10"/>
      <c r="BD231" s="56"/>
      <c r="BE231" s="56"/>
      <c r="BF231" s="56"/>
      <c r="BG231" s="56"/>
      <c r="BO231" s="144"/>
      <c r="CI231" s="144"/>
      <c r="CY231" s="144"/>
    </row>
    <row r="232" spans="1:103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171"/>
      <c r="AP232" s="56"/>
      <c r="AQ232" s="56"/>
      <c r="AR232" s="56"/>
      <c r="AS232" s="56"/>
      <c r="AT232" s="56"/>
      <c r="AU232" s="56"/>
      <c r="AV232" s="56"/>
      <c r="AW232" s="171"/>
      <c r="AX232" s="56"/>
      <c r="AY232" s="56"/>
      <c r="AZ232" s="56"/>
      <c r="BA232" s="171"/>
      <c r="BB232" s="56"/>
      <c r="BC232" s="10"/>
      <c r="BD232" s="56"/>
      <c r="BE232" s="56"/>
      <c r="BF232" s="56"/>
      <c r="BG232" s="56"/>
      <c r="BO232" s="144"/>
      <c r="CI232" s="144"/>
      <c r="CY232" s="144"/>
    </row>
    <row r="233" spans="1:103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171"/>
      <c r="AP233" s="56"/>
      <c r="AQ233" s="56"/>
      <c r="AR233" s="56"/>
      <c r="AS233" s="56"/>
      <c r="AT233" s="56"/>
      <c r="AU233" s="56"/>
      <c r="AV233" s="56"/>
      <c r="AW233" s="171"/>
      <c r="AX233" s="56"/>
      <c r="AY233" s="56"/>
      <c r="AZ233" s="56"/>
      <c r="BA233" s="171"/>
      <c r="BB233" s="56"/>
      <c r="BC233" s="10"/>
      <c r="BD233" s="56"/>
      <c r="BE233" s="56"/>
      <c r="BF233" s="56"/>
      <c r="BG233" s="56"/>
      <c r="BO233" s="144"/>
      <c r="CI233" s="144"/>
      <c r="CY233" s="144"/>
    </row>
    <row r="234" spans="1:103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171"/>
      <c r="AP234" s="56"/>
      <c r="AQ234" s="56"/>
      <c r="AR234" s="56"/>
      <c r="AS234" s="56"/>
      <c r="AT234" s="56"/>
      <c r="AU234" s="56"/>
      <c r="AV234" s="56"/>
      <c r="AW234" s="171"/>
      <c r="AX234" s="56"/>
      <c r="AY234" s="56"/>
      <c r="AZ234" s="56"/>
      <c r="BA234" s="171"/>
      <c r="BB234" s="56"/>
      <c r="BC234" s="10"/>
      <c r="BD234" s="56"/>
      <c r="BE234" s="56"/>
      <c r="BF234" s="56"/>
      <c r="BG234" s="56"/>
      <c r="BO234" s="144"/>
      <c r="CI234" s="144"/>
      <c r="CY234" s="144"/>
    </row>
    <row r="235" spans="1:103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171"/>
      <c r="AP235" s="56"/>
      <c r="AQ235" s="56"/>
      <c r="AR235" s="56"/>
      <c r="AS235" s="56"/>
      <c r="AT235" s="56"/>
      <c r="AU235" s="56"/>
      <c r="AV235" s="56"/>
      <c r="AW235" s="171"/>
      <c r="AX235" s="56"/>
      <c r="AY235" s="56"/>
      <c r="AZ235" s="56"/>
      <c r="BA235" s="171"/>
      <c r="BB235" s="56"/>
      <c r="BC235" s="10"/>
      <c r="BD235" s="56"/>
      <c r="BE235" s="56"/>
      <c r="BF235" s="56"/>
      <c r="BG235" s="56"/>
      <c r="BO235" s="144"/>
      <c r="CI235" s="144"/>
      <c r="CY235" s="144"/>
    </row>
    <row r="236" spans="1:103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171"/>
      <c r="AP236" s="56"/>
      <c r="AQ236" s="56"/>
      <c r="AR236" s="56"/>
      <c r="AS236" s="56"/>
      <c r="AT236" s="56"/>
      <c r="AU236" s="56"/>
      <c r="AV236" s="56"/>
      <c r="AW236" s="171"/>
      <c r="AX236" s="56"/>
      <c r="AY236" s="56"/>
      <c r="AZ236" s="56"/>
      <c r="BA236" s="171"/>
      <c r="BB236" s="56"/>
      <c r="BC236" s="10"/>
      <c r="BD236" s="56"/>
      <c r="BE236" s="56"/>
      <c r="BF236" s="56"/>
      <c r="BG236" s="56"/>
      <c r="BO236" s="144"/>
      <c r="CI236" s="144"/>
      <c r="CY236" s="144"/>
    </row>
    <row r="237" spans="1:103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171"/>
      <c r="AP237" s="56"/>
      <c r="AQ237" s="56"/>
      <c r="AR237" s="56"/>
      <c r="AS237" s="56"/>
      <c r="AT237" s="56"/>
      <c r="AU237" s="56"/>
      <c r="AV237" s="56"/>
      <c r="AW237" s="171"/>
      <c r="AX237" s="56"/>
      <c r="AY237" s="56"/>
      <c r="AZ237" s="56"/>
      <c r="BA237" s="171"/>
      <c r="BB237" s="56"/>
      <c r="BC237" s="10"/>
      <c r="BD237" s="56"/>
      <c r="BE237" s="56"/>
      <c r="BF237" s="56"/>
      <c r="BG237" s="56"/>
      <c r="BO237" s="144"/>
      <c r="CI237" s="144"/>
      <c r="CY237" s="144"/>
    </row>
    <row r="238" spans="1:103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171"/>
      <c r="AP238" s="56"/>
      <c r="AQ238" s="56"/>
      <c r="AR238" s="56"/>
      <c r="AS238" s="56"/>
      <c r="AT238" s="56"/>
      <c r="AU238" s="56"/>
      <c r="AV238" s="56"/>
      <c r="AW238" s="171"/>
      <c r="AX238" s="56"/>
      <c r="AY238" s="56"/>
      <c r="AZ238" s="56"/>
      <c r="BA238" s="171"/>
      <c r="BB238" s="56"/>
      <c r="BC238" s="10"/>
      <c r="BD238" s="56"/>
      <c r="BE238" s="56"/>
      <c r="BF238" s="56"/>
      <c r="BG238" s="56"/>
      <c r="BO238" s="144"/>
      <c r="CI238" s="144"/>
      <c r="CY238" s="144"/>
    </row>
    <row r="239" spans="1:103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171"/>
      <c r="AP239" s="56"/>
      <c r="AQ239" s="56"/>
      <c r="AR239" s="56"/>
      <c r="AS239" s="56"/>
      <c r="AT239" s="56"/>
      <c r="AU239" s="56"/>
      <c r="AV239" s="56"/>
      <c r="AW239" s="171"/>
      <c r="AX239" s="56"/>
      <c r="AY239" s="56"/>
      <c r="AZ239" s="56"/>
      <c r="BA239" s="171"/>
      <c r="BB239" s="56"/>
      <c r="BC239" s="10"/>
      <c r="BD239" s="56"/>
      <c r="BE239" s="56"/>
      <c r="BF239" s="56"/>
      <c r="BG239" s="56"/>
      <c r="BO239" s="144"/>
      <c r="CI239" s="144"/>
      <c r="CY239" s="144"/>
    </row>
    <row r="240" spans="1:103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171"/>
      <c r="AP240" s="56"/>
      <c r="AQ240" s="56"/>
      <c r="AR240" s="56"/>
      <c r="AS240" s="56"/>
      <c r="AT240" s="56"/>
      <c r="AU240" s="56"/>
      <c r="AV240" s="56"/>
      <c r="AW240" s="171"/>
      <c r="AX240" s="56"/>
      <c r="AY240" s="56"/>
      <c r="AZ240" s="56"/>
      <c r="BA240" s="171"/>
      <c r="BB240" s="56"/>
      <c r="BC240" s="10"/>
      <c r="BD240" s="56"/>
      <c r="BE240" s="56"/>
      <c r="BF240" s="56"/>
      <c r="BG240" s="56"/>
      <c r="BO240" s="144"/>
      <c r="CI240" s="144"/>
      <c r="CY240" s="144"/>
    </row>
    <row r="241" spans="1:103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171"/>
      <c r="AP241" s="56"/>
      <c r="AQ241" s="56"/>
      <c r="AR241" s="56"/>
      <c r="AS241" s="56"/>
      <c r="AT241" s="56"/>
      <c r="AU241" s="56"/>
      <c r="AV241" s="56"/>
      <c r="AW241" s="171"/>
      <c r="AX241" s="56"/>
      <c r="AY241" s="56"/>
      <c r="AZ241" s="56"/>
      <c r="BA241" s="171"/>
      <c r="BB241" s="56"/>
      <c r="BC241" s="10"/>
      <c r="BD241" s="56"/>
      <c r="BE241" s="56"/>
      <c r="BF241" s="56"/>
      <c r="BG241" s="56"/>
      <c r="BO241" s="144"/>
      <c r="CI241" s="144"/>
      <c r="CY241" s="144"/>
    </row>
    <row r="242" spans="1:103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171"/>
      <c r="AP242" s="56"/>
      <c r="AQ242" s="56"/>
      <c r="AR242" s="56"/>
      <c r="AS242" s="56"/>
      <c r="AT242" s="56"/>
      <c r="AU242" s="56"/>
      <c r="AV242" s="56"/>
      <c r="AW242" s="171"/>
      <c r="AX242" s="56"/>
      <c r="AY242" s="56"/>
      <c r="AZ242" s="56"/>
      <c r="BA242" s="171"/>
      <c r="BB242" s="56"/>
      <c r="BC242" s="10"/>
      <c r="BD242" s="56"/>
      <c r="BE242" s="56"/>
      <c r="BF242" s="56"/>
      <c r="BG242" s="56"/>
      <c r="BO242" s="144"/>
      <c r="CI242" s="144"/>
      <c r="CY242" s="144"/>
    </row>
    <row r="243" spans="1:103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171"/>
      <c r="AP243" s="56"/>
      <c r="AQ243" s="56"/>
      <c r="AR243" s="56"/>
      <c r="AS243" s="56"/>
      <c r="AT243" s="56"/>
      <c r="AU243" s="56"/>
      <c r="AV243" s="56"/>
      <c r="AW243" s="171"/>
      <c r="AX243" s="56"/>
      <c r="AY243" s="56"/>
      <c r="AZ243" s="56"/>
      <c r="BA243" s="171"/>
      <c r="BB243" s="56"/>
      <c r="BC243" s="10"/>
      <c r="BD243" s="56"/>
      <c r="BE243" s="56"/>
      <c r="BF243" s="56"/>
      <c r="BG243" s="56"/>
      <c r="BO243" s="144"/>
      <c r="CI243" s="144"/>
      <c r="CY243" s="144"/>
    </row>
    <row r="244" spans="1:103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171"/>
      <c r="AP244" s="56"/>
      <c r="AQ244" s="56"/>
      <c r="AR244" s="56"/>
      <c r="AS244" s="56"/>
      <c r="AT244" s="56"/>
      <c r="AU244" s="56"/>
      <c r="AV244" s="56"/>
      <c r="AW244" s="171"/>
      <c r="AX244" s="56"/>
      <c r="AY244" s="56"/>
      <c r="AZ244" s="56"/>
      <c r="BA244" s="171"/>
      <c r="BB244" s="56"/>
      <c r="BC244" s="10"/>
      <c r="BD244" s="56"/>
      <c r="BE244" s="56"/>
      <c r="BF244" s="56"/>
      <c r="BG244" s="56"/>
      <c r="BO244" s="144"/>
      <c r="CI244" s="144"/>
      <c r="CY244" s="144"/>
    </row>
    <row r="245" spans="1:103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171"/>
      <c r="AP245" s="56"/>
      <c r="AQ245" s="56"/>
      <c r="AR245" s="56"/>
      <c r="AS245" s="56"/>
      <c r="AT245" s="56"/>
      <c r="AU245" s="56"/>
      <c r="AV245" s="56"/>
      <c r="AW245" s="171"/>
      <c r="AX245" s="56"/>
      <c r="AY245" s="56"/>
      <c r="AZ245" s="56"/>
      <c r="BA245" s="171"/>
      <c r="BB245" s="56"/>
      <c r="BC245" s="10"/>
      <c r="BD245" s="56"/>
      <c r="BE245" s="56"/>
      <c r="BF245" s="56"/>
      <c r="BG245" s="56"/>
      <c r="BO245" s="144"/>
      <c r="CI245" s="144"/>
      <c r="CY245" s="144"/>
    </row>
    <row r="246" spans="1:103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171"/>
      <c r="AP246" s="56"/>
      <c r="AQ246" s="56"/>
      <c r="AR246" s="56"/>
      <c r="AS246" s="56"/>
      <c r="AT246" s="56"/>
      <c r="AU246" s="56"/>
      <c r="AV246" s="56"/>
      <c r="AW246" s="171"/>
      <c r="AX246" s="56"/>
      <c r="AY246" s="56"/>
      <c r="AZ246" s="56"/>
      <c r="BA246" s="171"/>
      <c r="BB246" s="56"/>
      <c r="BC246" s="10"/>
      <c r="BD246" s="56"/>
      <c r="BE246" s="56"/>
      <c r="BF246" s="56"/>
      <c r="BG246" s="56"/>
      <c r="BO246" s="144"/>
      <c r="CI246" s="144"/>
      <c r="CY246" s="144"/>
    </row>
    <row r="247" spans="1:103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171"/>
      <c r="AP247" s="56"/>
      <c r="AQ247" s="56"/>
      <c r="AR247" s="56"/>
      <c r="AS247" s="56"/>
      <c r="AT247" s="56"/>
      <c r="AU247" s="56"/>
      <c r="AV247" s="56"/>
      <c r="AW247" s="171"/>
      <c r="AX247" s="56"/>
      <c r="AY247" s="56"/>
      <c r="AZ247" s="56"/>
      <c r="BA247" s="171"/>
      <c r="BB247" s="56"/>
      <c r="BC247" s="10"/>
      <c r="BD247" s="56"/>
      <c r="BE247" s="56"/>
      <c r="BF247" s="56"/>
      <c r="BG247" s="56"/>
      <c r="BO247" s="144"/>
      <c r="CI247" s="144"/>
      <c r="CY247" s="144"/>
    </row>
    <row r="248" spans="1:103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171"/>
      <c r="AP248" s="56"/>
      <c r="AQ248" s="56"/>
      <c r="AR248" s="56"/>
      <c r="AS248" s="56"/>
      <c r="AT248" s="56"/>
      <c r="AU248" s="56"/>
      <c r="AV248" s="56"/>
      <c r="AW248" s="171"/>
      <c r="AX248" s="56"/>
      <c r="AY248" s="56"/>
      <c r="AZ248" s="56"/>
      <c r="BA248" s="171"/>
      <c r="BB248" s="56"/>
      <c r="BC248" s="10"/>
      <c r="BD248" s="56"/>
      <c r="BE248" s="56"/>
      <c r="BF248" s="56"/>
      <c r="BG248" s="56"/>
      <c r="BO248" s="144"/>
      <c r="CI248" s="144"/>
      <c r="CY248" s="144"/>
    </row>
    <row r="249" spans="1:103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171"/>
      <c r="AP249" s="56"/>
      <c r="AQ249" s="56"/>
      <c r="AR249" s="56"/>
      <c r="AS249" s="56"/>
      <c r="AT249" s="56"/>
      <c r="AU249" s="56"/>
      <c r="AV249" s="56"/>
      <c r="AW249" s="171"/>
      <c r="AX249" s="56"/>
      <c r="AY249" s="56"/>
      <c r="AZ249" s="56"/>
      <c r="BA249" s="171"/>
      <c r="BB249" s="56"/>
      <c r="BC249" s="10"/>
      <c r="BD249" s="56"/>
      <c r="BE249" s="56"/>
      <c r="BF249" s="56"/>
      <c r="BG249" s="56"/>
      <c r="BO249" s="144"/>
      <c r="CI249" s="144"/>
      <c r="CY249" s="144"/>
    </row>
    <row r="250" spans="1:103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171"/>
      <c r="AP250" s="56"/>
      <c r="AQ250" s="56"/>
      <c r="AR250" s="56"/>
      <c r="AS250" s="56"/>
      <c r="AT250" s="56"/>
      <c r="AU250" s="56"/>
      <c r="AV250" s="56"/>
      <c r="AW250" s="171"/>
      <c r="AX250" s="56"/>
      <c r="AY250" s="56"/>
      <c r="AZ250" s="56"/>
      <c r="BA250" s="171"/>
      <c r="BB250" s="56"/>
      <c r="BC250" s="10"/>
      <c r="BD250" s="56"/>
      <c r="BE250" s="56"/>
      <c r="BF250" s="56"/>
      <c r="BG250" s="56"/>
      <c r="BO250" s="144"/>
      <c r="CI250" s="144"/>
      <c r="CY250" s="144"/>
    </row>
    <row r="251" spans="1:103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171"/>
      <c r="AP251" s="56"/>
      <c r="AQ251" s="56"/>
      <c r="AR251" s="56"/>
      <c r="AS251" s="56"/>
      <c r="AT251" s="56"/>
      <c r="AU251" s="56"/>
      <c r="AV251" s="56"/>
      <c r="AW251" s="171"/>
      <c r="AX251" s="56"/>
      <c r="AY251" s="56"/>
      <c r="AZ251" s="56"/>
      <c r="BA251" s="171"/>
      <c r="BB251" s="56"/>
      <c r="BC251" s="10"/>
      <c r="BD251" s="56"/>
      <c r="BE251" s="56"/>
      <c r="BF251" s="56"/>
      <c r="BG251" s="56"/>
      <c r="BO251" s="144"/>
      <c r="CI251" s="144"/>
      <c r="CY251" s="144"/>
    </row>
    <row r="252" spans="1:103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171"/>
      <c r="AP252" s="56"/>
      <c r="AQ252" s="56"/>
      <c r="AR252" s="56"/>
      <c r="AS252" s="56"/>
      <c r="AT252" s="56"/>
      <c r="AU252" s="56"/>
      <c r="AV252" s="56"/>
      <c r="AW252" s="171"/>
      <c r="AX252" s="56"/>
      <c r="AY252" s="56"/>
      <c r="AZ252" s="56"/>
      <c r="BA252" s="171"/>
      <c r="BB252" s="56"/>
      <c r="BC252" s="10"/>
      <c r="BD252" s="56"/>
      <c r="BE252" s="56"/>
      <c r="BF252" s="56"/>
      <c r="BG252" s="56"/>
      <c r="BO252" s="144"/>
      <c r="CI252" s="144"/>
      <c r="CY252" s="144"/>
    </row>
    <row r="253" spans="1:103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171"/>
      <c r="AP253" s="56"/>
      <c r="AQ253" s="56"/>
      <c r="AR253" s="56"/>
      <c r="AS253" s="56"/>
      <c r="AT253" s="56"/>
      <c r="AU253" s="56"/>
      <c r="AV253" s="56"/>
      <c r="AW253" s="171"/>
      <c r="AX253" s="56"/>
      <c r="AY253" s="56"/>
      <c r="AZ253" s="56"/>
      <c r="BA253" s="171"/>
      <c r="BB253" s="56"/>
      <c r="BC253" s="10"/>
      <c r="BD253" s="56"/>
      <c r="BE253" s="56"/>
      <c r="BF253" s="56"/>
      <c r="BG253" s="56"/>
      <c r="BO253" s="144"/>
      <c r="CI253" s="144"/>
      <c r="CY253" s="144"/>
    </row>
    <row r="254" spans="1:103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171"/>
      <c r="AP254" s="56"/>
      <c r="AQ254" s="56"/>
      <c r="AR254" s="56"/>
      <c r="AS254" s="56"/>
      <c r="AT254" s="56"/>
      <c r="AU254" s="56"/>
      <c r="AV254" s="56"/>
      <c r="AW254" s="171"/>
      <c r="AX254" s="56"/>
      <c r="AY254" s="56"/>
      <c r="AZ254" s="56"/>
      <c r="BA254" s="171"/>
      <c r="BB254" s="56"/>
      <c r="BC254" s="10"/>
      <c r="BD254" s="56"/>
      <c r="BE254" s="56"/>
      <c r="BF254" s="56"/>
      <c r="BG254" s="56"/>
      <c r="BO254" s="144"/>
      <c r="CI254" s="144"/>
      <c r="CY254" s="144"/>
    </row>
    <row r="255" spans="1:103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171"/>
      <c r="AP255" s="56"/>
      <c r="AQ255" s="56"/>
      <c r="AR255" s="56"/>
      <c r="AS255" s="56"/>
      <c r="AT255" s="56"/>
      <c r="AU255" s="56"/>
      <c r="AV255" s="56"/>
      <c r="AW255" s="171"/>
      <c r="AX255" s="56"/>
      <c r="AY255" s="56"/>
      <c r="AZ255" s="56"/>
      <c r="BA255" s="171"/>
      <c r="BB255" s="56"/>
      <c r="BC255" s="10"/>
      <c r="BD255" s="56"/>
      <c r="BE255" s="56"/>
      <c r="BF255" s="56"/>
      <c r="BG255" s="56"/>
      <c r="BO255" s="144"/>
      <c r="CI255" s="144"/>
      <c r="CY255" s="144"/>
    </row>
    <row r="256" spans="1:103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171"/>
      <c r="AP256" s="56"/>
      <c r="AQ256" s="56"/>
      <c r="AR256" s="56"/>
      <c r="AS256" s="56"/>
      <c r="AT256" s="56"/>
      <c r="AU256" s="56"/>
      <c r="AV256" s="56"/>
      <c r="AW256" s="171"/>
      <c r="AX256" s="56"/>
      <c r="AY256" s="56"/>
      <c r="AZ256" s="56"/>
      <c r="BA256" s="171"/>
      <c r="BB256" s="56"/>
      <c r="BC256" s="10"/>
      <c r="BD256" s="56"/>
      <c r="BE256" s="56"/>
      <c r="BF256" s="56"/>
      <c r="BG256" s="56"/>
      <c r="BO256" s="144"/>
      <c r="CI256" s="144"/>
      <c r="CY256" s="144"/>
    </row>
    <row r="257" spans="1:103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171"/>
      <c r="AP257" s="56"/>
      <c r="AQ257" s="56"/>
      <c r="AR257" s="56"/>
      <c r="AS257" s="56"/>
      <c r="AT257" s="56"/>
      <c r="AU257" s="56"/>
      <c r="AV257" s="56"/>
      <c r="AW257" s="171"/>
      <c r="AX257" s="56"/>
      <c r="AY257" s="56"/>
      <c r="AZ257" s="56"/>
      <c r="BA257" s="171"/>
      <c r="BB257" s="56"/>
      <c r="BC257" s="10"/>
      <c r="BD257" s="56"/>
      <c r="BE257" s="56"/>
      <c r="BF257" s="56"/>
      <c r="BG257" s="56"/>
      <c r="BO257" s="144"/>
      <c r="CI257" s="144"/>
      <c r="CY257" s="144"/>
    </row>
    <row r="258" spans="1:103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171"/>
      <c r="AP258" s="56"/>
      <c r="AQ258" s="56"/>
      <c r="AR258" s="56"/>
      <c r="AS258" s="56"/>
      <c r="AT258" s="56"/>
      <c r="AU258" s="56"/>
      <c r="AV258" s="56"/>
      <c r="AW258" s="171"/>
      <c r="AX258" s="56"/>
      <c r="AY258" s="56"/>
      <c r="AZ258" s="56"/>
      <c r="BA258" s="171"/>
      <c r="BB258" s="56"/>
      <c r="BC258" s="10"/>
      <c r="BD258" s="56"/>
      <c r="BE258" s="56"/>
      <c r="BF258" s="56"/>
      <c r="BG258" s="56"/>
      <c r="BO258" s="144"/>
      <c r="CI258" s="144"/>
      <c r="CY258" s="144"/>
    </row>
    <row r="259" spans="1:103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171"/>
      <c r="AP259" s="56"/>
      <c r="AQ259" s="56"/>
      <c r="AR259" s="56"/>
      <c r="AS259" s="56"/>
      <c r="AT259" s="56"/>
      <c r="AU259" s="56"/>
      <c r="AV259" s="56"/>
      <c r="AW259" s="171"/>
      <c r="AX259" s="56"/>
      <c r="AY259" s="56"/>
      <c r="AZ259" s="56"/>
      <c r="BA259" s="171"/>
      <c r="BB259" s="56"/>
      <c r="BC259" s="10"/>
      <c r="BD259" s="56"/>
      <c r="BE259" s="56"/>
      <c r="BF259" s="56"/>
      <c r="BG259" s="56"/>
      <c r="BO259" s="144"/>
      <c r="CI259" s="144"/>
      <c r="CY259" s="144"/>
    </row>
    <row r="260" spans="1:103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171"/>
      <c r="AP260" s="56"/>
      <c r="AQ260" s="56"/>
      <c r="AR260" s="56"/>
      <c r="AS260" s="56"/>
      <c r="AT260" s="56"/>
      <c r="AU260" s="56"/>
      <c r="AV260" s="56"/>
      <c r="AW260" s="171"/>
      <c r="AX260" s="56"/>
      <c r="AY260" s="56"/>
      <c r="AZ260" s="56"/>
      <c r="BA260" s="171"/>
      <c r="BB260" s="56"/>
      <c r="BC260" s="10"/>
      <c r="BD260" s="56"/>
      <c r="BE260" s="56"/>
      <c r="BF260" s="56"/>
      <c r="BG260" s="56"/>
      <c r="BO260" s="144"/>
      <c r="CI260" s="144"/>
      <c r="CY260" s="144"/>
    </row>
    <row r="261" spans="1:103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171"/>
      <c r="AP261" s="56"/>
      <c r="AQ261" s="56"/>
      <c r="AR261" s="56"/>
      <c r="AS261" s="56"/>
      <c r="AT261" s="56"/>
      <c r="AU261" s="56"/>
      <c r="AV261" s="56"/>
      <c r="AW261" s="171"/>
      <c r="AX261" s="56"/>
      <c r="AY261" s="56"/>
      <c r="AZ261" s="56"/>
      <c r="BA261" s="171"/>
      <c r="BB261" s="56"/>
      <c r="BC261" s="10"/>
      <c r="BD261" s="56"/>
      <c r="BE261" s="56"/>
      <c r="BF261" s="56"/>
      <c r="BG261" s="56"/>
      <c r="BO261" s="144"/>
      <c r="CI261" s="144"/>
      <c r="CY261" s="144"/>
    </row>
    <row r="262" spans="1:103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171"/>
      <c r="AP262" s="56"/>
      <c r="AQ262" s="56"/>
      <c r="AR262" s="56"/>
      <c r="AS262" s="56"/>
      <c r="AT262" s="56"/>
      <c r="AU262" s="56"/>
      <c r="AV262" s="56"/>
      <c r="AW262" s="171"/>
      <c r="AX262" s="56"/>
      <c r="AY262" s="56"/>
      <c r="AZ262" s="56"/>
      <c r="BA262" s="171"/>
      <c r="BB262" s="56"/>
      <c r="BC262" s="10"/>
      <c r="BD262" s="56"/>
      <c r="BE262" s="56"/>
      <c r="BF262" s="56"/>
      <c r="BG262" s="56"/>
      <c r="BO262" s="144"/>
      <c r="CI262" s="144"/>
      <c r="CY262" s="144"/>
    </row>
    <row r="263" spans="1:103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171"/>
      <c r="AP263" s="56"/>
      <c r="AQ263" s="56"/>
      <c r="AR263" s="56"/>
      <c r="AS263" s="56"/>
      <c r="AT263" s="56"/>
      <c r="AU263" s="56"/>
      <c r="AV263" s="56"/>
      <c r="AW263" s="171"/>
      <c r="AX263" s="56"/>
      <c r="AY263" s="56"/>
      <c r="AZ263" s="56"/>
      <c r="BA263" s="171"/>
      <c r="BB263" s="56"/>
      <c r="BC263" s="10"/>
      <c r="BD263" s="56"/>
      <c r="BE263" s="56"/>
      <c r="BF263" s="56"/>
      <c r="BG263" s="56"/>
      <c r="BO263" s="144"/>
      <c r="CI263" s="144"/>
      <c r="CY263" s="144"/>
    </row>
    <row r="264" spans="1:103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171"/>
      <c r="AP264" s="56"/>
      <c r="AQ264" s="56"/>
      <c r="AR264" s="56"/>
      <c r="AS264" s="56"/>
      <c r="AT264" s="56"/>
      <c r="AU264" s="56"/>
      <c r="AV264" s="56"/>
      <c r="AW264" s="171"/>
      <c r="AX264" s="56"/>
      <c r="AY264" s="56"/>
      <c r="AZ264" s="56"/>
      <c r="BA264" s="171"/>
      <c r="BB264" s="56"/>
      <c r="BC264" s="10"/>
      <c r="BD264" s="56"/>
      <c r="BE264" s="56"/>
      <c r="BF264" s="56"/>
      <c r="BG264" s="56"/>
      <c r="BO264" s="144"/>
      <c r="CI264" s="144"/>
      <c r="CY264" s="144"/>
    </row>
    <row r="265" spans="1:103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171"/>
      <c r="AP265" s="56"/>
      <c r="AQ265" s="56"/>
      <c r="AR265" s="56"/>
      <c r="AS265" s="56"/>
      <c r="AT265" s="56"/>
      <c r="AU265" s="56"/>
      <c r="AV265" s="56"/>
      <c r="AW265" s="171"/>
      <c r="AX265" s="56"/>
      <c r="AY265" s="56"/>
      <c r="AZ265" s="56"/>
      <c r="BA265" s="171"/>
      <c r="BB265" s="56"/>
      <c r="BC265" s="10"/>
      <c r="BD265" s="56"/>
      <c r="BE265" s="56"/>
      <c r="BF265" s="56"/>
      <c r="BG265" s="56"/>
      <c r="BO265" s="144"/>
      <c r="CI265" s="144"/>
      <c r="CY265" s="144"/>
    </row>
    <row r="266" spans="1:103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171"/>
      <c r="AP266" s="56"/>
      <c r="AQ266" s="56"/>
      <c r="AR266" s="56"/>
      <c r="AS266" s="56"/>
      <c r="AT266" s="56"/>
      <c r="AU266" s="56"/>
      <c r="AV266" s="56"/>
      <c r="AW266" s="171"/>
      <c r="AX266" s="56"/>
      <c r="AY266" s="56"/>
      <c r="AZ266" s="56"/>
      <c r="BA266" s="171"/>
      <c r="BB266" s="56"/>
      <c r="BC266" s="10"/>
      <c r="BD266" s="56"/>
      <c r="BE266" s="56"/>
      <c r="BF266" s="56"/>
      <c r="BG266" s="56"/>
      <c r="BO266" s="144"/>
      <c r="CI266" s="144"/>
      <c r="CY266" s="144"/>
    </row>
    <row r="267" spans="1:103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171"/>
      <c r="AP267" s="56"/>
      <c r="AQ267" s="56"/>
      <c r="AR267" s="56"/>
      <c r="AS267" s="56"/>
      <c r="AT267" s="56"/>
      <c r="AU267" s="56"/>
      <c r="AV267" s="56"/>
      <c r="AW267" s="171"/>
      <c r="AX267" s="56"/>
      <c r="AY267" s="56"/>
      <c r="AZ267" s="56"/>
      <c r="BA267" s="171"/>
      <c r="BB267" s="56"/>
      <c r="BC267" s="10"/>
      <c r="BD267" s="56"/>
      <c r="BE267" s="56"/>
      <c r="BF267" s="56"/>
      <c r="BG267" s="56"/>
      <c r="BO267" s="144"/>
      <c r="CI267" s="144"/>
      <c r="CY267" s="144"/>
    </row>
    <row r="268" spans="1:103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171"/>
      <c r="AP268" s="56"/>
      <c r="AQ268" s="56"/>
      <c r="AR268" s="56"/>
      <c r="AS268" s="56"/>
      <c r="AT268" s="56"/>
      <c r="AU268" s="56"/>
      <c r="AV268" s="56"/>
      <c r="AW268" s="171"/>
      <c r="AX268" s="56"/>
      <c r="AY268" s="56"/>
      <c r="AZ268" s="56"/>
      <c r="BA268" s="171"/>
      <c r="BB268" s="56"/>
      <c r="BC268" s="10"/>
      <c r="BD268" s="56"/>
      <c r="BE268" s="56"/>
      <c r="BF268" s="56"/>
      <c r="BG268" s="56"/>
      <c r="BO268" s="144"/>
      <c r="CI268" s="144"/>
      <c r="CY268" s="144"/>
    </row>
    <row r="269" spans="1:103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171"/>
      <c r="AP269" s="56"/>
      <c r="AQ269" s="56"/>
      <c r="AR269" s="56"/>
      <c r="AS269" s="56"/>
      <c r="AT269" s="56"/>
      <c r="AU269" s="56"/>
      <c r="AV269" s="56"/>
      <c r="AW269" s="171"/>
      <c r="AX269" s="56"/>
      <c r="AY269" s="56"/>
      <c r="AZ269" s="56"/>
      <c r="BA269" s="171"/>
      <c r="BB269" s="56"/>
      <c r="BC269" s="10"/>
      <c r="BD269" s="56"/>
      <c r="BE269" s="56"/>
      <c r="BF269" s="56"/>
      <c r="BG269" s="56"/>
      <c r="BO269" s="144"/>
      <c r="CI269" s="144"/>
      <c r="CY269" s="144"/>
    </row>
    <row r="270" spans="1:103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171"/>
      <c r="AP270" s="56"/>
      <c r="AQ270" s="56"/>
      <c r="AR270" s="56"/>
      <c r="AS270" s="56"/>
      <c r="AT270" s="56"/>
      <c r="AU270" s="56"/>
      <c r="AV270" s="56"/>
      <c r="AW270" s="171"/>
      <c r="AX270" s="56"/>
      <c r="AY270" s="56"/>
      <c r="AZ270" s="56"/>
      <c r="BA270" s="171"/>
      <c r="BB270" s="56"/>
      <c r="BC270" s="10"/>
      <c r="BD270" s="56"/>
      <c r="BE270" s="56"/>
      <c r="BF270" s="56"/>
      <c r="BG270" s="56"/>
      <c r="BO270" s="144"/>
      <c r="CI270" s="144"/>
      <c r="CY270" s="144"/>
    </row>
    <row r="271" spans="1:103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171"/>
      <c r="AP271" s="56"/>
      <c r="AQ271" s="56"/>
      <c r="AR271" s="56"/>
      <c r="AS271" s="56"/>
      <c r="AT271" s="56"/>
      <c r="AU271" s="56"/>
      <c r="AV271" s="56"/>
      <c r="AW271" s="171"/>
      <c r="AX271" s="56"/>
      <c r="AY271" s="56"/>
      <c r="AZ271" s="56"/>
      <c r="BA271" s="171"/>
      <c r="BB271" s="56"/>
      <c r="BC271" s="10"/>
      <c r="BD271" s="56"/>
      <c r="BE271" s="56"/>
      <c r="BF271" s="56"/>
      <c r="BG271" s="56"/>
      <c r="BO271" s="144"/>
      <c r="CI271" s="144"/>
      <c r="CY271" s="144"/>
    </row>
    <row r="272" spans="1:103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171"/>
      <c r="AP272" s="56"/>
      <c r="AQ272" s="56"/>
      <c r="AR272" s="56"/>
      <c r="AS272" s="56"/>
      <c r="AT272" s="56"/>
      <c r="AU272" s="56"/>
      <c r="AV272" s="56"/>
      <c r="AW272" s="171"/>
      <c r="AX272" s="56"/>
      <c r="AY272" s="56"/>
      <c r="AZ272" s="56"/>
      <c r="BA272" s="171"/>
      <c r="BB272" s="56"/>
      <c r="BC272" s="10"/>
      <c r="BD272" s="56"/>
      <c r="BE272" s="56"/>
      <c r="BF272" s="56"/>
      <c r="BG272" s="56"/>
      <c r="BO272" s="144"/>
      <c r="CI272" s="144"/>
      <c r="CY272" s="144"/>
    </row>
    <row r="273" spans="1:103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171"/>
      <c r="AP273" s="56"/>
      <c r="AQ273" s="56"/>
      <c r="AR273" s="56"/>
      <c r="AS273" s="56"/>
      <c r="AT273" s="56"/>
      <c r="AU273" s="56"/>
      <c r="AV273" s="56"/>
      <c r="AW273" s="171"/>
      <c r="AX273" s="56"/>
      <c r="AY273" s="56"/>
      <c r="AZ273" s="56"/>
      <c r="BA273" s="171"/>
      <c r="BB273" s="56"/>
      <c r="BC273" s="10"/>
      <c r="BD273" s="56"/>
      <c r="BE273" s="56"/>
      <c r="BF273" s="56"/>
      <c r="BG273" s="56"/>
      <c r="BO273" s="144"/>
      <c r="CI273" s="144"/>
      <c r="CY273" s="144"/>
    </row>
    <row r="274" spans="1:103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171"/>
      <c r="AP274" s="56"/>
      <c r="AQ274" s="56"/>
      <c r="AR274" s="56"/>
      <c r="AS274" s="56"/>
      <c r="AT274" s="56"/>
      <c r="AU274" s="56"/>
      <c r="AV274" s="56"/>
      <c r="AW274" s="171"/>
      <c r="AX274" s="56"/>
      <c r="AY274" s="56"/>
      <c r="AZ274" s="56"/>
      <c r="BA274" s="171"/>
      <c r="BB274" s="56"/>
      <c r="BC274" s="10"/>
      <c r="BD274" s="56"/>
      <c r="BE274" s="56"/>
      <c r="BF274" s="56"/>
      <c r="BG274" s="56"/>
      <c r="BO274" s="144"/>
      <c r="CI274" s="144"/>
      <c r="CY274" s="144"/>
    </row>
    <row r="275" spans="1:103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171"/>
      <c r="AP275" s="56"/>
      <c r="AQ275" s="56"/>
      <c r="AR275" s="56"/>
      <c r="AS275" s="56"/>
      <c r="AT275" s="56"/>
      <c r="AU275" s="56"/>
      <c r="AV275" s="56"/>
      <c r="AW275" s="171"/>
      <c r="AX275" s="56"/>
      <c r="AY275" s="56"/>
      <c r="AZ275" s="56"/>
      <c r="BA275" s="171"/>
      <c r="BB275" s="56"/>
      <c r="BC275" s="10"/>
      <c r="BD275" s="56"/>
      <c r="BE275" s="56"/>
      <c r="BF275" s="56"/>
      <c r="BG275" s="56"/>
      <c r="BO275" s="144"/>
      <c r="CI275" s="144"/>
      <c r="CY275" s="144"/>
    </row>
    <row r="276" spans="1:103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171"/>
      <c r="AP276" s="56"/>
      <c r="AQ276" s="56"/>
      <c r="AR276" s="56"/>
      <c r="AS276" s="56"/>
      <c r="AT276" s="56"/>
      <c r="AU276" s="56"/>
      <c r="AV276" s="56"/>
      <c r="AW276" s="171"/>
      <c r="AX276" s="56"/>
      <c r="AY276" s="56"/>
      <c r="AZ276" s="56"/>
      <c r="BA276" s="171"/>
      <c r="BB276" s="56"/>
      <c r="BC276" s="10"/>
      <c r="BD276" s="56"/>
      <c r="BE276" s="56"/>
      <c r="BF276" s="56"/>
      <c r="BG276" s="56"/>
      <c r="BO276" s="144"/>
      <c r="CI276" s="144"/>
      <c r="CY276" s="144"/>
    </row>
    <row r="277" spans="1:103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171"/>
      <c r="AP277" s="56"/>
      <c r="AQ277" s="56"/>
      <c r="AR277" s="56"/>
      <c r="AS277" s="56"/>
      <c r="AT277" s="56"/>
      <c r="AU277" s="56"/>
      <c r="AV277" s="56"/>
      <c r="AW277" s="171"/>
      <c r="AX277" s="56"/>
      <c r="AY277" s="56"/>
      <c r="AZ277" s="56"/>
      <c r="BA277" s="171"/>
      <c r="BB277" s="56"/>
      <c r="BC277" s="10"/>
      <c r="BD277" s="56"/>
      <c r="BE277" s="56"/>
      <c r="BF277" s="56"/>
      <c r="BG277" s="56"/>
      <c r="BO277" s="144"/>
      <c r="CI277" s="144"/>
      <c r="CY277" s="144"/>
    </row>
    <row r="278" spans="1:103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171"/>
      <c r="AP278" s="56"/>
      <c r="AQ278" s="56"/>
      <c r="AR278" s="56"/>
      <c r="AS278" s="56"/>
      <c r="AT278" s="56"/>
      <c r="AU278" s="56"/>
      <c r="AV278" s="56"/>
      <c r="AW278" s="171"/>
      <c r="AX278" s="56"/>
      <c r="AY278" s="56"/>
      <c r="AZ278" s="56"/>
      <c r="BA278" s="171"/>
      <c r="BB278" s="56"/>
      <c r="BC278" s="10"/>
      <c r="BD278" s="56"/>
      <c r="BE278" s="56"/>
      <c r="BF278" s="56"/>
      <c r="BG278" s="56"/>
      <c r="BO278" s="144"/>
      <c r="CI278" s="144"/>
      <c r="CY278" s="144"/>
    </row>
    <row r="279" spans="1:103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171"/>
      <c r="AP279" s="56"/>
      <c r="AQ279" s="56"/>
      <c r="AR279" s="56"/>
      <c r="AS279" s="56"/>
      <c r="AT279" s="56"/>
      <c r="AU279" s="56"/>
      <c r="AV279" s="56"/>
      <c r="AW279" s="171"/>
      <c r="AX279" s="56"/>
      <c r="AY279" s="56"/>
      <c r="AZ279" s="56"/>
      <c r="BA279" s="171"/>
      <c r="BB279" s="56"/>
      <c r="BC279" s="10"/>
      <c r="BD279" s="56"/>
      <c r="BE279" s="56"/>
      <c r="BF279" s="56"/>
      <c r="BG279" s="56"/>
      <c r="BO279" s="144"/>
      <c r="CI279" s="144"/>
      <c r="CY279" s="144"/>
    </row>
    <row r="280" spans="1:103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171"/>
      <c r="AP280" s="56"/>
      <c r="AQ280" s="56"/>
      <c r="AR280" s="56"/>
      <c r="AS280" s="56"/>
      <c r="AT280" s="56"/>
      <c r="AU280" s="56"/>
      <c r="AV280" s="56"/>
      <c r="AW280" s="171"/>
      <c r="AX280" s="56"/>
      <c r="AY280" s="56"/>
      <c r="AZ280" s="56"/>
      <c r="BA280" s="171"/>
      <c r="BB280" s="56"/>
      <c r="BC280" s="10"/>
      <c r="BD280" s="56"/>
      <c r="BE280" s="56"/>
      <c r="BF280" s="56"/>
      <c r="BG280" s="56"/>
      <c r="BO280" s="144"/>
      <c r="CI280" s="144"/>
      <c r="CY280" s="144"/>
    </row>
    <row r="281" spans="1:103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171"/>
      <c r="AP281" s="56"/>
      <c r="AQ281" s="56"/>
      <c r="AR281" s="56"/>
      <c r="AS281" s="56"/>
      <c r="AT281" s="56"/>
      <c r="AU281" s="56"/>
      <c r="AV281" s="56"/>
      <c r="AW281" s="171"/>
      <c r="AX281" s="56"/>
      <c r="AY281" s="56"/>
      <c r="AZ281" s="56"/>
      <c r="BA281" s="171"/>
      <c r="BB281" s="56"/>
      <c r="BC281" s="10"/>
      <c r="BD281" s="56"/>
      <c r="BE281" s="56"/>
      <c r="BF281" s="56"/>
      <c r="BG281" s="56"/>
      <c r="BO281" s="144"/>
      <c r="CI281" s="144"/>
      <c r="CY281" s="144"/>
    </row>
    <row r="282" spans="1:103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171"/>
      <c r="AP282" s="56"/>
      <c r="AQ282" s="56"/>
      <c r="AR282" s="56"/>
      <c r="AS282" s="56"/>
      <c r="AT282" s="56"/>
      <c r="AU282" s="56"/>
      <c r="AV282" s="56"/>
      <c r="AW282" s="171"/>
      <c r="AX282" s="56"/>
      <c r="AY282" s="56"/>
      <c r="AZ282" s="56"/>
      <c r="BA282" s="171"/>
      <c r="BB282" s="56"/>
      <c r="BC282" s="10"/>
      <c r="BD282" s="56"/>
      <c r="BE282" s="56"/>
      <c r="BF282" s="56"/>
      <c r="BG282" s="56"/>
      <c r="BO282" s="144"/>
      <c r="CI282" s="144"/>
      <c r="CY282" s="144"/>
    </row>
    <row r="283" spans="1:103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171"/>
      <c r="AP283" s="56"/>
      <c r="AQ283" s="56"/>
      <c r="AR283" s="56"/>
      <c r="AS283" s="56"/>
      <c r="AT283" s="56"/>
      <c r="AU283" s="56"/>
      <c r="AV283" s="56"/>
      <c r="AW283" s="171"/>
      <c r="AX283" s="56"/>
      <c r="AY283" s="56"/>
      <c r="AZ283" s="56"/>
      <c r="BA283" s="171"/>
      <c r="BB283" s="56"/>
      <c r="BC283" s="10"/>
      <c r="BD283" s="56"/>
      <c r="BE283" s="56"/>
      <c r="BF283" s="56"/>
      <c r="BG283" s="56"/>
      <c r="BO283" s="144"/>
      <c r="CI283" s="144"/>
      <c r="CY283" s="144"/>
    </row>
    <row r="284" spans="1:103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171"/>
      <c r="AP284" s="56"/>
      <c r="AQ284" s="56"/>
      <c r="AR284" s="56"/>
      <c r="AS284" s="56"/>
      <c r="AT284" s="56"/>
      <c r="AU284" s="56"/>
      <c r="AV284" s="56"/>
      <c r="AW284" s="171"/>
      <c r="AX284" s="56"/>
      <c r="AY284" s="56"/>
      <c r="AZ284" s="56"/>
      <c r="BA284" s="171"/>
      <c r="BB284" s="56"/>
      <c r="BC284" s="10"/>
      <c r="BD284" s="56"/>
      <c r="BE284" s="56"/>
      <c r="BF284" s="56"/>
      <c r="BG284" s="56"/>
      <c r="BO284" s="144"/>
      <c r="CI284" s="144"/>
      <c r="CY284" s="144"/>
    </row>
    <row r="285" spans="1:103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171"/>
      <c r="AP285" s="56"/>
      <c r="AQ285" s="56"/>
      <c r="AR285" s="56"/>
      <c r="AS285" s="56"/>
      <c r="AT285" s="56"/>
      <c r="AU285" s="56"/>
      <c r="AV285" s="56"/>
      <c r="AW285" s="171"/>
      <c r="AX285" s="56"/>
      <c r="AY285" s="56"/>
      <c r="AZ285" s="56"/>
      <c r="BA285" s="171"/>
      <c r="BB285" s="56"/>
      <c r="BC285" s="10"/>
      <c r="BD285" s="56"/>
      <c r="BE285" s="56"/>
      <c r="BF285" s="56"/>
      <c r="BG285" s="56"/>
      <c r="BO285" s="144"/>
      <c r="CI285" s="144"/>
      <c r="CY285" s="144"/>
    </row>
    <row r="286" spans="1:103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171"/>
      <c r="AP286" s="56"/>
      <c r="AQ286" s="56"/>
      <c r="AR286" s="56"/>
      <c r="AS286" s="56"/>
      <c r="AT286" s="56"/>
      <c r="AU286" s="56"/>
      <c r="AV286" s="56"/>
      <c r="AW286" s="171"/>
      <c r="AX286" s="56"/>
      <c r="AY286" s="56"/>
      <c r="AZ286" s="56"/>
      <c r="BA286" s="171"/>
      <c r="BB286" s="56"/>
      <c r="BC286" s="10"/>
      <c r="BD286" s="56"/>
      <c r="BE286" s="56"/>
      <c r="BF286" s="56"/>
      <c r="BG286" s="56"/>
      <c r="BO286" s="144"/>
      <c r="CI286" s="144"/>
      <c r="CY286" s="144"/>
    </row>
    <row r="287" spans="1:103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171"/>
      <c r="AP287" s="56"/>
      <c r="AQ287" s="56"/>
      <c r="AR287" s="56"/>
      <c r="AS287" s="56"/>
      <c r="AT287" s="56"/>
      <c r="AU287" s="56"/>
      <c r="AV287" s="56"/>
      <c r="AW287" s="171"/>
      <c r="AX287" s="56"/>
      <c r="AY287" s="56"/>
      <c r="AZ287" s="56"/>
      <c r="BA287" s="171"/>
      <c r="BB287" s="56"/>
      <c r="BC287" s="10"/>
      <c r="BD287" s="56"/>
      <c r="BE287" s="56"/>
      <c r="BF287" s="56"/>
      <c r="BG287" s="56"/>
      <c r="BO287" s="144"/>
      <c r="CI287" s="144"/>
      <c r="CY287" s="144"/>
    </row>
    <row r="288" spans="1:103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171"/>
      <c r="AP288" s="56"/>
      <c r="AQ288" s="56"/>
      <c r="AR288" s="56"/>
      <c r="AS288" s="56"/>
      <c r="AT288" s="56"/>
      <c r="AU288" s="56"/>
      <c r="AV288" s="56"/>
      <c r="AW288" s="171"/>
      <c r="AX288" s="56"/>
      <c r="AY288" s="56"/>
      <c r="AZ288" s="56"/>
      <c r="BA288" s="171"/>
      <c r="BB288" s="56"/>
      <c r="BC288" s="10"/>
      <c r="BD288" s="56"/>
      <c r="BE288" s="56"/>
      <c r="BF288" s="56"/>
      <c r="BG288" s="56"/>
      <c r="BO288" s="144"/>
      <c r="CI288" s="144"/>
      <c r="CY288" s="144"/>
    </row>
    <row r="289" spans="1:103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171"/>
      <c r="AP289" s="56"/>
      <c r="AQ289" s="56"/>
      <c r="AR289" s="56"/>
      <c r="AS289" s="56"/>
      <c r="AT289" s="56"/>
      <c r="AU289" s="56"/>
      <c r="AV289" s="56"/>
      <c r="AW289" s="171"/>
      <c r="AX289" s="56"/>
      <c r="AY289" s="56"/>
      <c r="AZ289" s="56"/>
      <c r="BA289" s="171"/>
      <c r="BB289" s="56"/>
      <c r="BC289" s="10"/>
      <c r="BD289" s="56"/>
      <c r="BE289" s="56"/>
      <c r="BF289" s="56"/>
      <c r="BG289" s="56"/>
      <c r="BO289" s="144"/>
      <c r="CI289" s="144"/>
      <c r="CY289" s="144"/>
    </row>
    <row r="290" spans="1:103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171"/>
      <c r="AP290" s="56"/>
      <c r="AQ290" s="56"/>
      <c r="AR290" s="56"/>
      <c r="AS290" s="56"/>
      <c r="AT290" s="56"/>
      <c r="AU290" s="56"/>
      <c r="AV290" s="56"/>
      <c r="AW290" s="171"/>
      <c r="AX290" s="56"/>
      <c r="AY290" s="56"/>
      <c r="AZ290" s="56"/>
      <c r="BA290" s="171"/>
      <c r="BB290" s="56"/>
      <c r="BC290" s="10"/>
      <c r="BD290" s="56"/>
      <c r="BE290" s="56"/>
      <c r="BF290" s="56"/>
      <c r="BG290" s="56"/>
      <c r="BO290" s="144"/>
      <c r="CI290" s="144"/>
      <c r="CY290" s="144"/>
    </row>
    <row r="291" spans="1:103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171"/>
      <c r="AP291" s="56"/>
      <c r="AQ291" s="56"/>
      <c r="AR291" s="56"/>
      <c r="AS291" s="56"/>
      <c r="AT291" s="56"/>
      <c r="AU291" s="56"/>
      <c r="AV291" s="56"/>
      <c r="AW291" s="171"/>
      <c r="AX291" s="56"/>
      <c r="AY291" s="56"/>
      <c r="AZ291" s="56"/>
      <c r="BA291" s="171"/>
      <c r="BB291" s="56"/>
      <c r="BC291" s="10"/>
      <c r="BD291" s="56"/>
      <c r="BE291" s="56"/>
      <c r="BF291" s="56"/>
      <c r="BG291" s="56"/>
      <c r="BO291" s="144"/>
      <c r="CI291" s="144"/>
      <c r="CY291" s="144"/>
    </row>
    <row r="292" spans="1:103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171"/>
      <c r="AP292" s="56"/>
      <c r="AQ292" s="56"/>
      <c r="AR292" s="56"/>
      <c r="AS292" s="56"/>
      <c r="AT292" s="56"/>
      <c r="AU292" s="56"/>
      <c r="AV292" s="56"/>
      <c r="AW292" s="171"/>
      <c r="AX292" s="56"/>
      <c r="AY292" s="56"/>
      <c r="AZ292" s="56"/>
      <c r="BA292" s="171"/>
      <c r="BB292" s="56"/>
      <c r="BC292" s="10"/>
      <c r="BD292" s="56"/>
      <c r="BE292" s="56"/>
      <c r="BF292" s="56"/>
      <c r="BG292" s="56"/>
      <c r="BO292" s="144"/>
      <c r="CI292" s="144"/>
      <c r="CY292" s="144"/>
    </row>
    <row r="293" spans="1:103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171"/>
      <c r="AP293" s="56"/>
      <c r="AQ293" s="56"/>
      <c r="AR293" s="56"/>
      <c r="AS293" s="56"/>
      <c r="AT293" s="56"/>
      <c r="AU293" s="56"/>
      <c r="AV293" s="56"/>
      <c r="AW293" s="171"/>
      <c r="AX293" s="56"/>
      <c r="AY293" s="56"/>
      <c r="AZ293" s="56"/>
      <c r="BA293" s="171"/>
      <c r="BB293" s="56"/>
      <c r="BC293" s="10"/>
      <c r="BD293" s="56"/>
      <c r="BE293" s="56"/>
      <c r="BF293" s="56"/>
      <c r="BG293" s="56"/>
      <c r="BO293" s="144"/>
      <c r="CI293" s="144"/>
      <c r="CY293" s="144"/>
    </row>
    <row r="294" spans="1:103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171"/>
      <c r="AP294" s="56"/>
      <c r="AQ294" s="56"/>
      <c r="AR294" s="56"/>
      <c r="AS294" s="56"/>
      <c r="AT294" s="56"/>
      <c r="AU294" s="56"/>
      <c r="AV294" s="56"/>
      <c r="AW294" s="171"/>
      <c r="AX294" s="56"/>
      <c r="AY294" s="56"/>
      <c r="AZ294" s="56"/>
      <c r="BA294" s="171"/>
      <c r="BB294" s="56"/>
      <c r="BC294" s="10"/>
      <c r="BD294" s="56"/>
      <c r="BE294" s="56"/>
      <c r="BF294" s="56"/>
      <c r="BG294" s="56"/>
      <c r="BO294" s="144"/>
      <c r="CI294" s="144"/>
      <c r="CY294" s="144"/>
    </row>
    <row r="295" spans="1:103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171"/>
      <c r="AP295" s="56"/>
      <c r="AQ295" s="56"/>
      <c r="AR295" s="56"/>
      <c r="AS295" s="56"/>
      <c r="AT295" s="56"/>
      <c r="AU295" s="56"/>
      <c r="AV295" s="56"/>
      <c r="AW295" s="171"/>
      <c r="AX295" s="56"/>
      <c r="AY295" s="56"/>
      <c r="AZ295" s="56"/>
      <c r="BA295" s="171"/>
      <c r="BB295" s="56"/>
      <c r="BC295" s="10"/>
      <c r="BD295" s="56"/>
      <c r="BE295" s="56"/>
      <c r="BF295" s="56"/>
      <c r="BG295" s="56"/>
      <c r="BO295" s="144"/>
      <c r="CI295" s="144"/>
      <c r="CY295" s="144"/>
    </row>
    <row r="296" spans="1:103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171"/>
      <c r="AP296" s="56"/>
      <c r="AQ296" s="56"/>
      <c r="AR296" s="56"/>
      <c r="AS296" s="56"/>
      <c r="AT296" s="56"/>
      <c r="AU296" s="56"/>
      <c r="AV296" s="56"/>
      <c r="AW296" s="171"/>
      <c r="AX296" s="56"/>
      <c r="AY296" s="56"/>
      <c r="AZ296" s="56"/>
      <c r="BA296" s="171"/>
      <c r="BB296" s="56"/>
      <c r="BC296" s="10"/>
      <c r="BD296" s="56"/>
      <c r="BE296" s="56"/>
      <c r="BF296" s="56"/>
      <c r="BG296" s="56"/>
      <c r="BO296" s="144"/>
      <c r="CI296" s="144"/>
      <c r="CY296" s="144"/>
    </row>
    <row r="297" spans="1:103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171"/>
      <c r="AP297" s="56"/>
      <c r="AQ297" s="56"/>
      <c r="AR297" s="56"/>
      <c r="AS297" s="56"/>
      <c r="AT297" s="56"/>
      <c r="AU297" s="56"/>
      <c r="AV297" s="56"/>
      <c r="AW297" s="171"/>
      <c r="AX297" s="56"/>
      <c r="AY297" s="56"/>
      <c r="AZ297" s="56"/>
      <c r="BA297" s="171"/>
      <c r="BB297" s="56"/>
      <c r="BC297" s="10"/>
      <c r="BD297" s="56"/>
      <c r="BE297" s="56"/>
      <c r="BF297" s="56"/>
      <c r="BG297" s="56"/>
      <c r="BO297" s="144"/>
      <c r="CI297" s="144"/>
      <c r="CY297" s="144"/>
    </row>
    <row r="298" spans="1:103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171"/>
      <c r="AP298" s="56"/>
      <c r="AQ298" s="56"/>
      <c r="AR298" s="56"/>
      <c r="AS298" s="56"/>
      <c r="AT298" s="56"/>
      <c r="AU298" s="56"/>
      <c r="AV298" s="56"/>
      <c r="AW298" s="171"/>
      <c r="AX298" s="56"/>
      <c r="AY298" s="56"/>
      <c r="AZ298" s="56"/>
      <c r="BA298" s="171"/>
      <c r="BB298" s="56"/>
      <c r="BC298" s="10"/>
      <c r="BD298" s="56"/>
      <c r="BE298" s="56"/>
      <c r="BF298" s="56"/>
      <c r="BG298" s="56"/>
      <c r="BO298" s="144"/>
      <c r="CI298" s="144"/>
      <c r="CY298" s="144"/>
    </row>
    <row r="299" spans="1:103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171"/>
      <c r="AP299" s="56"/>
      <c r="AQ299" s="56"/>
      <c r="AR299" s="56"/>
      <c r="AS299" s="56"/>
      <c r="AT299" s="56"/>
      <c r="AU299" s="56"/>
      <c r="AV299" s="56"/>
      <c r="AW299" s="171"/>
      <c r="AX299" s="56"/>
      <c r="AY299" s="56"/>
      <c r="AZ299" s="56"/>
      <c r="BA299" s="171"/>
      <c r="BB299" s="56"/>
      <c r="BC299" s="10"/>
      <c r="BD299" s="56"/>
      <c r="BE299" s="56"/>
      <c r="BF299" s="56"/>
      <c r="BG299" s="56"/>
      <c r="BO299" s="144"/>
      <c r="CI299" s="144"/>
      <c r="CY299" s="144"/>
    </row>
    <row r="300" spans="1:103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171"/>
      <c r="AP300" s="56"/>
      <c r="AQ300" s="56"/>
      <c r="AR300" s="56"/>
      <c r="AS300" s="56"/>
      <c r="AT300" s="56"/>
      <c r="AU300" s="56"/>
      <c r="AV300" s="56"/>
      <c r="AW300" s="171"/>
      <c r="AX300" s="56"/>
      <c r="AY300" s="56"/>
      <c r="AZ300" s="56"/>
      <c r="BA300" s="171"/>
      <c r="BB300" s="56"/>
      <c r="BC300" s="10"/>
      <c r="BD300" s="56"/>
      <c r="BE300" s="56"/>
      <c r="BF300" s="56"/>
      <c r="BG300" s="56"/>
      <c r="BO300" s="144"/>
      <c r="CI300" s="144"/>
      <c r="CY300" s="144"/>
    </row>
    <row r="301" spans="1:103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171"/>
      <c r="AP301" s="56"/>
      <c r="AQ301" s="56"/>
      <c r="AR301" s="56"/>
      <c r="AS301" s="56"/>
      <c r="AT301" s="56"/>
      <c r="AU301" s="56"/>
      <c r="AV301" s="56"/>
      <c r="AW301" s="171"/>
      <c r="AX301" s="56"/>
      <c r="AY301" s="56"/>
      <c r="AZ301" s="56"/>
      <c r="BA301" s="171"/>
      <c r="BB301" s="56"/>
      <c r="BC301" s="10"/>
      <c r="BD301" s="56"/>
      <c r="BE301" s="56"/>
      <c r="BF301" s="56"/>
      <c r="BG301" s="56"/>
      <c r="BO301" s="144"/>
      <c r="CI301" s="144"/>
      <c r="CY301" s="144"/>
    </row>
    <row r="302" spans="1:103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171"/>
      <c r="AP302" s="56"/>
      <c r="AQ302" s="56"/>
      <c r="AR302" s="56"/>
      <c r="AS302" s="56"/>
      <c r="AT302" s="56"/>
      <c r="AU302" s="56"/>
      <c r="AV302" s="56"/>
      <c r="AW302" s="171"/>
      <c r="AX302" s="56"/>
      <c r="AY302" s="56"/>
      <c r="AZ302" s="56"/>
      <c r="BA302" s="171"/>
      <c r="BB302" s="56"/>
      <c r="BC302" s="10"/>
      <c r="BD302" s="56"/>
      <c r="BE302" s="56"/>
      <c r="BF302" s="56"/>
      <c r="BG302" s="56"/>
      <c r="BO302" s="144"/>
      <c r="CI302" s="144"/>
      <c r="CY302" s="144"/>
    </row>
    <row r="303" spans="1:103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171"/>
      <c r="AP303" s="56"/>
      <c r="AQ303" s="56"/>
      <c r="AR303" s="56"/>
      <c r="AS303" s="56"/>
      <c r="AT303" s="56"/>
      <c r="AU303" s="56"/>
      <c r="AV303" s="56"/>
      <c r="AW303" s="171"/>
      <c r="AX303" s="56"/>
      <c r="AY303" s="56"/>
      <c r="AZ303" s="56"/>
      <c r="BA303" s="171"/>
      <c r="BB303" s="56"/>
      <c r="BC303" s="10"/>
      <c r="BD303" s="56"/>
      <c r="BE303" s="56"/>
      <c r="BF303" s="56"/>
      <c r="BG303" s="56"/>
      <c r="BO303" s="144"/>
      <c r="CI303" s="144"/>
      <c r="CY303" s="144"/>
    </row>
    <row r="304" spans="1:103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171"/>
      <c r="AP304" s="56"/>
      <c r="AQ304" s="56"/>
      <c r="AR304" s="56"/>
      <c r="AS304" s="56"/>
      <c r="AT304" s="56"/>
      <c r="AU304" s="56"/>
      <c r="AV304" s="56"/>
      <c r="AW304" s="171"/>
      <c r="AX304" s="56"/>
      <c r="AY304" s="56"/>
      <c r="AZ304" s="56"/>
      <c r="BA304" s="171"/>
      <c r="BB304" s="56"/>
      <c r="BC304" s="10"/>
      <c r="BD304" s="56"/>
      <c r="BE304" s="56"/>
      <c r="BF304" s="56"/>
      <c r="BG304" s="56"/>
      <c r="BO304" s="144"/>
      <c r="CI304" s="144"/>
      <c r="CY304" s="144"/>
    </row>
    <row r="305" spans="1:103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171"/>
      <c r="AP305" s="56"/>
      <c r="AQ305" s="56"/>
      <c r="AR305" s="56"/>
      <c r="AS305" s="56"/>
      <c r="AT305" s="56"/>
      <c r="AU305" s="56"/>
      <c r="AV305" s="56"/>
      <c r="AW305" s="171"/>
      <c r="AX305" s="56"/>
      <c r="AY305" s="56"/>
      <c r="AZ305" s="56"/>
      <c r="BA305" s="171"/>
      <c r="BB305" s="56"/>
      <c r="BC305" s="10"/>
      <c r="BD305" s="56"/>
      <c r="BE305" s="56"/>
      <c r="BF305" s="56"/>
      <c r="BG305" s="56"/>
      <c r="BO305" s="144"/>
      <c r="CI305" s="144"/>
      <c r="CY305" s="144"/>
    </row>
    <row r="306" spans="1:103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171"/>
      <c r="AP306" s="56"/>
      <c r="AQ306" s="56"/>
      <c r="AR306" s="56"/>
      <c r="AS306" s="56"/>
      <c r="AT306" s="56"/>
      <c r="AU306" s="56"/>
      <c r="AV306" s="56"/>
      <c r="AW306" s="171"/>
      <c r="AX306" s="56"/>
      <c r="AY306" s="56"/>
      <c r="AZ306" s="56"/>
      <c r="BA306" s="171"/>
      <c r="BB306" s="56"/>
      <c r="BC306" s="10"/>
      <c r="BD306" s="56"/>
      <c r="BE306" s="56"/>
      <c r="BF306" s="56"/>
      <c r="BG306" s="56"/>
      <c r="BO306" s="144"/>
      <c r="CI306" s="144"/>
      <c r="CY306" s="144"/>
    </row>
    <row r="307" spans="1:103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171"/>
      <c r="AP307" s="56"/>
      <c r="AQ307" s="56"/>
      <c r="AR307" s="56"/>
      <c r="AS307" s="56"/>
      <c r="AT307" s="56"/>
      <c r="AU307" s="56"/>
      <c r="AV307" s="56"/>
      <c r="AW307" s="171"/>
      <c r="AX307" s="56"/>
      <c r="AY307" s="56"/>
      <c r="AZ307" s="56"/>
      <c r="BA307" s="171"/>
      <c r="BB307" s="56"/>
      <c r="BC307" s="10"/>
      <c r="BD307" s="56"/>
      <c r="BE307" s="56"/>
      <c r="BF307" s="56"/>
      <c r="BG307" s="56"/>
      <c r="BO307" s="144"/>
      <c r="CI307" s="144"/>
      <c r="CY307" s="144"/>
    </row>
    <row r="308" spans="1:103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171"/>
      <c r="AP308" s="56"/>
      <c r="AQ308" s="56"/>
      <c r="AR308" s="56"/>
      <c r="AS308" s="56"/>
      <c r="AT308" s="56"/>
      <c r="AU308" s="56"/>
      <c r="AV308" s="56"/>
      <c r="AW308" s="171"/>
      <c r="AX308" s="56"/>
      <c r="AY308" s="56"/>
      <c r="AZ308" s="56"/>
      <c r="BA308" s="171"/>
      <c r="BB308" s="56"/>
      <c r="BC308" s="10"/>
      <c r="BD308" s="56"/>
      <c r="BE308" s="56"/>
      <c r="BF308" s="56"/>
      <c r="BG308" s="56"/>
      <c r="BO308" s="144"/>
      <c r="CI308" s="144"/>
      <c r="CY308" s="144"/>
    </row>
    <row r="309" spans="1:103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171"/>
      <c r="AP309" s="56"/>
      <c r="AQ309" s="56"/>
      <c r="AR309" s="56"/>
      <c r="AS309" s="56"/>
      <c r="AT309" s="56"/>
      <c r="AU309" s="56"/>
      <c r="AV309" s="56"/>
      <c r="AW309" s="171"/>
      <c r="AX309" s="56"/>
      <c r="AY309" s="56"/>
      <c r="AZ309" s="56"/>
      <c r="BA309" s="171"/>
      <c r="BB309" s="56"/>
      <c r="BC309" s="10"/>
      <c r="BD309" s="56"/>
      <c r="BE309" s="56"/>
      <c r="BF309" s="56"/>
      <c r="BG309" s="56"/>
      <c r="BO309" s="144"/>
      <c r="CI309" s="144"/>
      <c r="CY309" s="144"/>
    </row>
    <row r="310" spans="1:103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171"/>
      <c r="AP310" s="56"/>
      <c r="AQ310" s="56"/>
      <c r="AR310" s="56"/>
      <c r="AS310" s="56"/>
      <c r="AT310" s="56"/>
      <c r="AU310" s="56"/>
      <c r="AV310" s="56"/>
      <c r="AW310" s="171"/>
      <c r="AX310" s="56"/>
      <c r="AY310" s="56"/>
      <c r="AZ310" s="56"/>
      <c r="BA310" s="171"/>
      <c r="BB310" s="56"/>
      <c r="BC310" s="10"/>
      <c r="BD310" s="56"/>
      <c r="BE310" s="56"/>
      <c r="BF310" s="56"/>
      <c r="BG310" s="56"/>
      <c r="BO310" s="144"/>
      <c r="CI310" s="144"/>
      <c r="CY310" s="144"/>
    </row>
    <row r="311" spans="1:103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171"/>
      <c r="AP311" s="56"/>
      <c r="AQ311" s="56"/>
      <c r="AR311" s="56"/>
      <c r="AS311" s="56"/>
      <c r="AT311" s="56"/>
      <c r="AU311" s="56"/>
      <c r="AV311" s="56"/>
      <c r="AW311" s="171"/>
      <c r="AX311" s="56"/>
      <c r="AY311" s="56"/>
      <c r="AZ311" s="56"/>
      <c r="BA311" s="171"/>
      <c r="BB311" s="56"/>
      <c r="BC311" s="10"/>
      <c r="BD311" s="56"/>
      <c r="BE311" s="56"/>
      <c r="BF311" s="56"/>
      <c r="BG311" s="56"/>
      <c r="BO311" s="144"/>
      <c r="CI311" s="144"/>
      <c r="CY311" s="144"/>
    </row>
    <row r="312" spans="1:103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171"/>
      <c r="AP312" s="56"/>
      <c r="AQ312" s="56"/>
      <c r="AR312" s="56"/>
      <c r="AS312" s="56"/>
      <c r="AT312" s="56"/>
      <c r="AU312" s="56"/>
      <c r="AV312" s="56"/>
      <c r="AW312" s="171"/>
      <c r="AX312" s="56"/>
      <c r="AY312" s="56"/>
      <c r="AZ312" s="56"/>
      <c r="BA312" s="171"/>
      <c r="BB312" s="56"/>
      <c r="BC312" s="10"/>
      <c r="BD312" s="56"/>
      <c r="BE312" s="56"/>
      <c r="BF312" s="56"/>
      <c r="BG312" s="56"/>
      <c r="BO312" s="144"/>
      <c r="CI312" s="144"/>
      <c r="CY312" s="144"/>
    </row>
    <row r="313" spans="1:103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171"/>
      <c r="AP313" s="56"/>
      <c r="AQ313" s="56"/>
      <c r="AR313" s="56"/>
      <c r="AS313" s="56"/>
      <c r="AT313" s="56"/>
      <c r="AU313" s="56"/>
      <c r="AV313" s="56"/>
      <c r="AW313" s="171"/>
      <c r="AX313" s="56"/>
      <c r="AY313" s="56"/>
      <c r="AZ313" s="56"/>
      <c r="BA313" s="171"/>
      <c r="BB313" s="56"/>
      <c r="BC313" s="10"/>
      <c r="BD313" s="56"/>
      <c r="BE313" s="56"/>
      <c r="BF313" s="56"/>
      <c r="BG313" s="56"/>
      <c r="BO313" s="144"/>
      <c r="CI313" s="144"/>
      <c r="CY313" s="144"/>
    </row>
    <row r="314" spans="1:103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171"/>
      <c r="AP314" s="56"/>
      <c r="AQ314" s="56"/>
      <c r="AR314" s="56"/>
      <c r="AS314" s="56"/>
      <c r="AT314" s="56"/>
      <c r="AU314" s="56"/>
      <c r="AV314" s="56"/>
      <c r="AW314" s="171"/>
      <c r="AX314" s="56"/>
      <c r="AY314" s="56"/>
      <c r="AZ314" s="56"/>
      <c r="BA314" s="171"/>
      <c r="BB314" s="56"/>
      <c r="BC314" s="10"/>
      <c r="BD314" s="56"/>
      <c r="BE314" s="56"/>
      <c r="BF314" s="56"/>
      <c r="BG314" s="56"/>
      <c r="BO314" s="144"/>
      <c r="CI314" s="144"/>
      <c r="CY314" s="144"/>
    </row>
    <row r="315" spans="1:103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171"/>
      <c r="AP315" s="56"/>
      <c r="AQ315" s="56"/>
      <c r="AR315" s="56"/>
      <c r="AS315" s="56"/>
      <c r="AT315" s="56"/>
      <c r="AU315" s="56"/>
      <c r="AV315" s="56"/>
      <c r="AW315" s="171"/>
      <c r="AX315" s="56"/>
      <c r="AY315" s="56"/>
      <c r="AZ315" s="56"/>
      <c r="BA315" s="171"/>
      <c r="BB315" s="56"/>
      <c r="BC315" s="10"/>
      <c r="BD315" s="56"/>
      <c r="BE315" s="56"/>
      <c r="BF315" s="56"/>
      <c r="BG315" s="56"/>
      <c r="BO315" s="144"/>
      <c r="CI315" s="144"/>
      <c r="CY315" s="144"/>
    </row>
    <row r="316" spans="1:103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171"/>
      <c r="AP316" s="56"/>
      <c r="AQ316" s="56"/>
      <c r="AR316" s="56"/>
      <c r="AS316" s="56"/>
      <c r="AT316" s="56"/>
      <c r="AU316" s="56"/>
      <c r="AV316" s="56"/>
      <c r="AW316" s="171"/>
      <c r="AX316" s="56"/>
      <c r="AY316" s="56"/>
      <c r="AZ316" s="56"/>
      <c r="BA316" s="171"/>
      <c r="BB316" s="56"/>
      <c r="BC316" s="10"/>
      <c r="BD316" s="56"/>
      <c r="BE316" s="56"/>
      <c r="BF316" s="56"/>
      <c r="BG316" s="56"/>
      <c r="BO316" s="144"/>
      <c r="CI316" s="144"/>
      <c r="CY316" s="144"/>
    </row>
    <row r="317" spans="1:103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171"/>
      <c r="AP317" s="56"/>
      <c r="AQ317" s="56"/>
      <c r="AR317" s="56"/>
      <c r="AS317" s="56"/>
      <c r="AT317" s="56"/>
      <c r="AU317" s="56"/>
      <c r="AV317" s="56"/>
      <c r="AW317" s="171"/>
      <c r="AX317" s="56"/>
      <c r="AY317" s="56"/>
      <c r="AZ317" s="56"/>
      <c r="BA317" s="171"/>
      <c r="BB317" s="56"/>
      <c r="BC317" s="10"/>
      <c r="BD317" s="56"/>
      <c r="BE317" s="56"/>
      <c r="BF317" s="56"/>
      <c r="BG317" s="56"/>
      <c r="BO317" s="144"/>
      <c r="CI317" s="144"/>
      <c r="CY317" s="144"/>
    </row>
    <row r="318" spans="1:103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171"/>
      <c r="AP318" s="56"/>
      <c r="AQ318" s="56"/>
      <c r="AR318" s="56"/>
      <c r="AS318" s="56"/>
      <c r="AT318" s="56"/>
      <c r="AU318" s="56"/>
      <c r="AV318" s="56"/>
      <c r="AW318" s="171"/>
      <c r="AX318" s="56"/>
      <c r="AY318" s="56"/>
      <c r="AZ318" s="56"/>
      <c r="BA318" s="171"/>
      <c r="BB318" s="56"/>
      <c r="BC318" s="10"/>
      <c r="BD318" s="56"/>
      <c r="BE318" s="56"/>
      <c r="BF318" s="56"/>
      <c r="BG318" s="56"/>
      <c r="BO318" s="144"/>
      <c r="CI318" s="144"/>
      <c r="CY318" s="144"/>
    </row>
    <row r="319" spans="1:103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171"/>
      <c r="AP319" s="56"/>
      <c r="AQ319" s="56"/>
      <c r="AR319" s="56"/>
      <c r="AS319" s="56"/>
      <c r="AT319" s="56"/>
      <c r="AU319" s="56"/>
      <c r="AV319" s="56"/>
      <c r="AW319" s="171"/>
      <c r="AX319" s="56"/>
      <c r="AY319" s="56"/>
      <c r="AZ319" s="56"/>
      <c r="BA319" s="171"/>
      <c r="BB319" s="56"/>
      <c r="BC319" s="10"/>
      <c r="BD319" s="56"/>
      <c r="BE319" s="56"/>
      <c r="BF319" s="56"/>
      <c r="BG319" s="56"/>
      <c r="BO319" s="144"/>
      <c r="CI319" s="144"/>
      <c r="CY319" s="144"/>
    </row>
    <row r="320" spans="1:103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171"/>
      <c r="AP320" s="56"/>
      <c r="AQ320" s="56"/>
      <c r="AR320" s="56"/>
      <c r="AS320" s="56"/>
      <c r="AT320" s="56"/>
      <c r="AU320" s="56"/>
      <c r="AV320" s="56"/>
      <c r="AW320" s="171"/>
      <c r="AX320" s="56"/>
      <c r="AY320" s="56"/>
      <c r="AZ320" s="56"/>
      <c r="BA320" s="171"/>
      <c r="BB320" s="56"/>
      <c r="BC320" s="10"/>
      <c r="BD320" s="56"/>
      <c r="BE320" s="56"/>
      <c r="BF320" s="56"/>
      <c r="BG320" s="56"/>
      <c r="BO320" s="144"/>
      <c r="CI320" s="144"/>
      <c r="CY320" s="144"/>
    </row>
    <row r="321" spans="1:103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171"/>
      <c r="AP321" s="56"/>
      <c r="AQ321" s="56"/>
      <c r="AR321" s="56"/>
      <c r="AS321" s="56"/>
      <c r="AT321" s="56"/>
      <c r="AU321" s="56"/>
      <c r="AV321" s="56"/>
      <c r="AW321" s="171"/>
      <c r="AX321" s="56"/>
      <c r="AY321" s="56"/>
      <c r="AZ321" s="56"/>
      <c r="BA321" s="171"/>
      <c r="BB321" s="56"/>
      <c r="BC321" s="10"/>
      <c r="BD321" s="56"/>
      <c r="BE321" s="56"/>
      <c r="BF321" s="56"/>
      <c r="BG321" s="56"/>
      <c r="BO321" s="144"/>
      <c r="CI321" s="144"/>
      <c r="CY321" s="144"/>
    </row>
    <row r="322" spans="1:103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171"/>
      <c r="AP322" s="56"/>
      <c r="AQ322" s="56"/>
      <c r="AR322" s="56"/>
      <c r="AS322" s="56"/>
      <c r="AT322" s="56"/>
      <c r="AU322" s="56"/>
      <c r="AV322" s="56"/>
      <c r="AW322" s="171"/>
      <c r="AX322" s="56"/>
      <c r="AY322" s="56"/>
      <c r="AZ322" s="56"/>
      <c r="BA322" s="171"/>
      <c r="BB322" s="56"/>
      <c r="BC322" s="10"/>
      <c r="BD322" s="56"/>
      <c r="BE322" s="56"/>
      <c r="BF322" s="56"/>
      <c r="BG322" s="56"/>
      <c r="BO322" s="144"/>
      <c r="CI322" s="144"/>
      <c r="CY322" s="144"/>
    </row>
    <row r="323" spans="1:103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171"/>
      <c r="AP323" s="56"/>
      <c r="AQ323" s="56"/>
      <c r="AR323" s="56"/>
      <c r="AS323" s="56"/>
      <c r="AT323" s="56"/>
      <c r="AU323" s="56"/>
      <c r="AV323" s="56"/>
      <c r="AW323" s="171"/>
      <c r="AX323" s="56"/>
      <c r="AY323" s="56"/>
      <c r="AZ323" s="56"/>
      <c r="BA323" s="171"/>
      <c r="BB323" s="56"/>
      <c r="BC323" s="10"/>
      <c r="BD323" s="56"/>
      <c r="BE323" s="56"/>
      <c r="BF323" s="56"/>
      <c r="BG323" s="56"/>
      <c r="BO323" s="144"/>
      <c r="CI323" s="144"/>
      <c r="CY323" s="144"/>
    </row>
    <row r="324" spans="1:103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171"/>
      <c r="AP324" s="56"/>
      <c r="AQ324" s="56"/>
      <c r="AR324" s="56"/>
      <c r="AS324" s="56"/>
      <c r="AT324" s="56"/>
      <c r="AU324" s="56"/>
      <c r="AV324" s="56"/>
      <c r="AW324" s="171"/>
      <c r="AX324" s="56"/>
      <c r="AY324" s="56"/>
      <c r="AZ324" s="56"/>
      <c r="BA324" s="171"/>
      <c r="BB324" s="56"/>
      <c r="BC324" s="10"/>
      <c r="BD324" s="56"/>
      <c r="BE324" s="56"/>
      <c r="BF324" s="56"/>
      <c r="BG324" s="56"/>
      <c r="BO324" s="144"/>
      <c r="CI324" s="144"/>
      <c r="CY324" s="144"/>
    </row>
    <row r="325" spans="1:103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171"/>
      <c r="AP325" s="56"/>
      <c r="AQ325" s="56"/>
      <c r="AR325" s="56"/>
      <c r="AS325" s="56"/>
      <c r="AT325" s="56"/>
      <c r="AU325" s="56"/>
      <c r="AV325" s="56"/>
      <c r="AW325" s="171"/>
      <c r="AX325" s="56"/>
      <c r="AY325" s="56"/>
      <c r="AZ325" s="56"/>
      <c r="BA325" s="171"/>
      <c r="BB325" s="56"/>
      <c r="BC325" s="10"/>
      <c r="BD325" s="56"/>
      <c r="BE325" s="56"/>
      <c r="BF325" s="56"/>
      <c r="BG325" s="56"/>
      <c r="BO325" s="144"/>
      <c r="CI325" s="144"/>
      <c r="CY325" s="144"/>
    </row>
    <row r="326" spans="1:103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171"/>
      <c r="AP326" s="56"/>
      <c r="AQ326" s="56"/>
      <c r="AR326" s="56"/>
      <c r="AS326" s="56"/>
      <c r="AT326" s="56"/>
      <c r="AU326" s="56"/>
      <c r="AV326" s="56"/>
      <c r="AW326" s="171"/>
      <c r="AX326" s="56"/>
      <c r="AY326" s="56"/>
      <c r="AZ326" s="56"/>
      <c r="BA326" s="171"/>
      <c r="BB326" s="56"/>
      <c r="BC326" s="10"/>
      <c r="BD326" s="56"/>
      <c r="BE326" s="56"/>
      <c r="BF326" s="56"/>
      <c r="BG326" s="56"/>
      <c r="BO326" s="144"/>
      <c r="CI326" s="144"/>
      <c r="CY326" s="144"/>
    </row>
    <row r="327" spans="1:103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171"/>
      <c r="AP327" s="56"/>
      <c r="AQ327" s="56"/>
      <c r="AR327" s="56"/>
      <c r="AS327" s="56"/>
      <c r="AT327" s="56"/>
      <c r="AU327" s="56"/>
      <c r="AV327" s="56"/>
      <c r="AW327" s="171"/>
      <c r="AX327" s="56"/>
      <c r="AY327" s="56"/>
      <c r="AZ327" s="56"/>
      <c r="BA327" s="171"/>
      <c r="BB327" s="56"/>
      <c r="BC327" s="10"/>
      <c r="BD327" s="56"/>
      <c r="BE327" s="56"/>
      <c r="BF327" s="56"/>
      <c r="BG327" s="56"/>
      <c r="BO327" s="144"/>
      <c r="CI327" s="144"/>
      <c r="CY327" s="144"/>
    </row>
    <row r="328" spans="1:103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171"/>
      <c r="AP328" s="56"/>
      <c r="AQ328" s="56"/>
      <c r="AR328" s="56"/>
      <c r="AS328" s="56"/>
      <c r="AT328" s="56"/>
      <c r="AU328" s="56"/>
      <c r="AV328" s="56"/>
      <c r="AW328" s="171"/>
      <c r="AX328" s="56"/>
      <c r="AY328" s="56"/>
      <c r="AZ328" s="56"/>
      <c r="BA328" s="171"/>
      <c r="BB328" s="56"/>
      <c r="BC328" s="10"/>
      <c r="BD328" s="56"/>
      <c r="BE328" s="56"/>
      <c r="BF328" s="56"/>
      <c r="BG328" s="56"/>
      <c r="BO328" s="144"/>
      <c r="CI328" s="144"/>
      <c r="CY328" s="144"/>
    </row>
    <row r="329" spans="1:103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171"/>
      <c r="AP329" s="56"/>
      <c r="AQ329" s="56"/>
      <c r="AR329" s="56"/>
      <c r="AS329" s="56"/>
      <c r="AT329" s="56"/>
      <c r="AU329" s="56"/>
      <c r="AV329" s="56"/>
      <c r="AW329" s="171"/>
      <c r="AX329" s="56"/>
      <c r="AY329" s="56"/>
      <c r="AZ329" s="56"/>
      <c r="BA329" s="171"/>
      <c r="BB329" s="56"/>
      <c r="BC329" s="10"/>
      <c r="BD329" s="56"/>
      <c r="BE329" s="56"/>
      <c r="BF329" s="56"/>
      <c r="BG329" s="56"/>
      <c r="BO329" s="144"/>
      <c r="CI329" s="144"/>
      <c r="CY329" s="144"/>
    </row>
    <row r="330" spans="1:103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171"/>
      <c r="AP330" s="56"/>
      <c r="AQ330" s="56"/>
      <c r="AR330" s="56"/>
      <c r="AS330" s="56"/>
      <c r="AT330" s="56"/>
      <c r="AU330" s="56"/>
      <c r="AV330" s="56"/>
      <c r="AW330" s="171"/>
      <c r="AX330" s="56"/>
      <c r="AY330" s="56"/>
      <c r="AZ330" s="56"/>
      <c r="BA330" s="171"/>
      <c r="BB330" s="56"/>
      <c r="BC330" s="10"/>
      <c r="BD330" s="56"/>
      <c r="BE330" s="56"/>
      <c r="BF330" s="56"/>
      <c r="BG330" s="56"/>
      <c r="BO330" s="144"/>
      <c r="CI330" s="144"/>
      <c r="CY330" s="144"/>
    </row>
    <row r="331" spans="1:103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171"/>
      <c r="AP331" s="56"/>
      <c r="AQ331" s="56"/>
      <c r="AR331" s="56"/>
      <c r="AS331" s="56"/>
      <c r="AT331" s="56"/>
      <c r="AU331" s="56"/>
      <c r="AV331" s="56"/>
      <c r="AW331" s="171"/>
      <c r="AX331" s="56"/>
      <c r="AY331" s="56"/>
      <c r="AZ331" s="56"/>
      <c r="BA331" s="171"/>
      <c r="BB331" s="56"/>
      <c r="BC331" s="10"/>
      <c r="BD331" s="56"/>
      <c r="BE331" s="56"/>
      <c r="BF331" s="56"/>
      <c r="BG331" s="56"/>
      <c r="BO331" s="144"/>
      <c r="CI331" s="144"/>
      <c r="CY331" s="144"/>
    </row>
    <row r="332" spans="1:103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171"/>
      <c r="AP332" s="56"/>
      <c r="AQ332" s="56"/>
      <c r="AR332" s="56"/>
      <c r="AS332" s="56"/>
      <c r="AT332" s="56"/>
      <c r="AU332" s="56"/>
      <c r="AV332" s="56"/>
      <c r="AW332" s="171"/>
      <c r="AX332" s="56"/>
      <c r="AY332" s="56"/>
      <c r="AZ332" s="56"/>
      <c r="BA332" s="171"/>
      <c r="BB332" s="56"/>
      <c r="BC332" s="10"/>
      <c r="BD332" s="56"/>
      <c r="BE332" s="56"/>
      <c r="BF332" s="56"/>
      <c r="BG332" s="56"/>
      <c r="BO332" s="144"/>
      <c r="CI332" s="144"/>
      <c r="CY332" s="144"/>
    </row>
    <row r="333" spans="1:103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171"/>
      <c r="AP333" s="56"/>
      <c r="AQ333" s="56"/>
      <c r="AR333" s="56"/>
      <c r="AS333" s="56"/>
      <c r="AT333" s="56"/>
      <c r="AU333" s="56"/>
      <c r="AV333" s="56"/>
      <c r="AW333" s="171"/>
      <c r="AX333" s="56"/>
      <c r="AY333" s="56"/>
      <c r="AZ333" s="56"/>
      <c r="BA333" s="171"/>
      <c r="BB333" s="56"/>
      <c r="BC333" s="10"/>
      <c r="BD333" s="56"/>
      <c r="BE333" s="56"/>
      <c r="BF333" s="56"/>
      <c r="BG333" s="56"/>
      <c r="BO333" s="144"/>
      <c r="CI333" s="144"/>
      <c r="CY333" s="144"/>
    </row>
    <row r="334" spans="1:103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171"/>
      <c r="AP334" s="56"/>
      <c r="AQ334" s="56"/>
      <c r="AR334" s="56"/>
      <c r="AS334" s="56"/>
      <c r="AT334" s="56"/>
      <c r="AU334" s="56"/>
      <c r="AV334" s="56"/>
      <c r="AW334" s="171"/>
      <c r="AX334" s="56"/>
      <c r="AY334" s="56"/>
      <c r="AZ334" s="56"/>
      <c r="BA334" s="171"/>
      <c r="BB334" s="56"/>
      <c r="BC334" s="10"/>
      <c r="BD334" s="56"/>
      <c r="BE334" s="56"/>
      <c r="BF334" s="56"/>
      <c r="BG334" s="56"/>
      <c r="BO334" s="144"/>
      <c r="CI334" s="144"/>
      <c r="CY334" s="144"/>
    </row>
    <row r="335" spans="1:103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171"/>
      <c r="AP335" s="56"/>
      <c r="AQ335" s="56"/>
      <c r="AR335" s="56"/>
      <c r="AS335" s="56"/>
      <c r="AT335" s="56"/>
      <c r="AU335" s="56"/>
      <c r="AV335" s="56"/>
      <c r="AW335" s="171"/>
      <c r="AX335" s="56"/>
      <c r="AY335" s="56"/>
      <c r="AZ335" s="56"/>
      <c r="BA335" s="171"/>
      <c r="BB335" s="56"/>
      <c r="BC335" s="10"/>
      <c r="BD335" s="56"/>
      <c r="BE335" s="56"/>
      <c r="BF335" s="56"/>
      <c r="BG335" s="56"/>
      <c r="BO335" s="144"/>
      <c r="CI335" s="144"/>
      <c r="CY335" s="144"/>
    </row>
    <row r="336" spans="1:103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171"/>
      <c r="AP336" s="56"/>
      <c r="AQ336" s="56"/>
      <c r="AR336" s="56"/>
      <c r="AS336" s="56"/>
      <c r="AT336" s="56"/>
      <c r="AU336" s="56"/>
      <c r="AV336" s="56"/>
      <c r="AW336" s="171"/>
      <c r="AX336" s="56"/>
      <c r="AY336" s="56"/>
      <c r="AZ336" s="56"/>
      <c r="BA336" s="171"/>
      <c r="BB336" s="56"/>
      <c r="BC336" s="10"/>
      <c r="BD336" s="56"/>
      <c r="BE336" s="56"/>
      <c r="BF336" s="56"/>
      <c r="BG336" s="56"/>
      <c r="BO336" s="144"/>
      <c r="CI336" s="144"/>
      <c r="CY336" s="144"/>
    </row>
    <row r="337" spans="1:103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171"/>
      <c r="AP337" s="56"/>
      <c r="AQ337" s="56"/>
      <c r="AR337" s="56"/>
      <c r="AS337" s="56"/>
      <c r="AT337" s="56"/>
      <c r="AU337" s="56"/>
      <c r="AV337" s="56"/>
      <c r="AW337" s="171"/>
      <c r="AX337" s="56"/>
      <c r="AY337" s="56"/>
      <c r="AZ337" s="56"/>
      <c r="BA337" s="171"/>
      <c r="BB337" s="56"/>
      <c r="BC337" s="10"/>
      <c r="BD337" s="56"/>
      <c r="BE337" s="56"/>
      <c r="BF337" s="56"/>
      <c r="BG337" s="56"/>
      <c r="BO337" s="144"/>
      <c r="CI337" s="144"/>
      <c r="CY337" s="144"/>
    </row>
    <row r="338" spans="1:103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171"/>
      <c r="AP338" s="56"/>
      <c r="AQ338" s="56"/>
      <c r="AR338" s="56"/>
      <c r="AS338" s="56"/>
      <c r="AT338" s="56"/>
      <c r="AU338" s="56"/>
      <c r="AV338" s="56"/>
      <c r="AW338" s="171"/>
      <c r="AX338" s="56"/>
      <c r="AY338" s="56"/>
      <c r="AZ338" s="56"/>
      <c r="BA338" s="171"/>
      <c r="BB338" s="56"/>
      <c r="BC338" s="10"/>
      <c r="BD338" s="56"/>
      <c r="BE338" s="56"/>
      <c r="BF338" s="56"/>
      <c r="BG338" s="56"/>
      <c r="BO338" s="144"/>
      <c r="CI338" s="144"/>
      <c r="CY338" s="144"/>
    </row>
    <row r="339" spans="1:103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171"/>
      <c r="AP339" s="56"/>
      <c r="AQ339" s="56"/>
      <c r="AR339" s="56"/>
      <c r="AS339" s="56"/>
      <c r="AT339" s="56"/>
      <c r="AU339" s="56"/>
      <c r="AV339" s="56"/>
      <c r="AW339" s="171"/>
      <c r="AX339" s="56"/>
      <c r="AY339" s="56"/>
      <c r="AZ339" s="56"/>
      <c r="BA339" s="171"/>
      <c r="BB339" s="56"/>
      <c r="BC339" s="10"/>
      <c r="BD339" s="56"/>
      <c r="BE339" s="56"/>
      <c r="BF339" s="56"/>
      <c r="BG339" s="56"/>
      <c r="BO339" s="144"/>
      <c r="CI339" s="144"/>
      <c r="CY339" s="144"/>
    </row>
    <row r="340" spans="1:103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171"/>
      <c r="AP340" s="56"/>
      <c r="AQ340" s="56"/>
      <c r="AR340" s="56"/>
      <c r="AS340" s="56"/>
      <c r="AT340" s="56"/>
      <c r="AU340" s="56"/>
      <c r="AV340" s="56"/>
      <c r="AW340" s="171"/>
      <c r="AX340" s="56"/>
      <c r="AY340" s="56"/>
      <c r="AZ340" s="56"/>
      <c r="BA340" s="171"/>
      <c r="BB340" s="56"/>
      <c r="BC340" s="10"/>
      <c r="BD340" s="56"/>
      <c r="BE340" s="56"/>
      <c r="BF340" s="56"/>
      <c r="BG340" s="56"/>
      <c r="BO340" s="144"/>
      <c r="CI340" s="144"/>
      <c r="CY340" s="144"/>
    </row>
    <row r="341" spans="1:103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171"/>
      <c r="AP341" s="56"/>
      <c r="AQ341" s="56"/>
      <c r="AR341" s="56"/>
      <c r="AS341" s="56"/>
      <c r="AT341" s="56"/>
      <c r="AU341" s="56"/>
      <c r="AV341" s="56"/>
      <c r="AW341" s="171"/>
      <c r="AX341" s="56"/>
      <c r="AY341" s="56"/>
      <c r="AZ341" s="56"/>
      <c r="BA341" s="171"/>
      <c r="BB341" s="56"/>
      <c r="BC341" s="10"/>
      <c r="BD341" s="56"/>
      <c r="BE341" s="56"/>
      <c r="BF341" s="56"/>
      <c r="BG341" s="56"/>
      <c r="BO341" s="144"/>
      <c r="CI341" s="144"/>
      <c r="CY341" s="144"/>
    </row>
    <row r="342" spans="1:103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171"/>
      <c r="AP342" s="56"/>
      <c r="AQ342" s="56"/>
      <c r="AR342" s="56"/>
      <c r="AS342" s="56"/>
      <c r="AT342" s="56"/>
      <c r="AU342" s="56"/>
      <c r="AV342" s="56"/>
      <c r="AW342" s="171"/>
      <c r="AX342" s="56"/>
      <c r="AY342" s="56"/>
      <c r="AZ342" s="56"/>
      <c r="BA342" s="171"/>
      <c r="BB342" s="56"/>
      <c r="BC342" s="10"/>
      <c r="BD342" s="56"/>
      <c r="BE342" s="56"/>
      <c r="BF342" s="56"/>
      <c r="BG342" s="56"/>
      <c r="BO342" s="144"/>
      <c r="CI342" s="144"/>
      <c r="CY342" s="144"/>
    </row>
    <row r="343" spans="1:103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171"/>
      <c r="AP343" s="56"/>
      <c r="AQ343" s="56"/>
      <c r="AR343" s="56"/>
      <c r="AS343" s="56"/>
      <c r="AT343" s="56"/>
      <c r="AU343" s="56"/>
      <c r="AV343" s="56"/>
      <c r="AW343" s="171"/>
      <c r="AX343" s="56"/>
      <c r="AY343" s="56"/>
      <c r="AZ343" s="56"/>
      <c r="BA343" s="171"/>
      <c r="BB343" s="56"/>
      <c r="BC343" s="10"/>
      <c r="BD343" s="56"/>
      <c r="BE343" s="56"/>
      <c r="BF343" s="56"/>
      <c r="BG343" s="56"/>
      <c r="BO343" s="144"/>
      <c r="CI343" s="144"/>
      <c r="CY343" s="144"/>
    </row>
    <row r="344" spans="1:103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171"/>
      <c r="AP344" s="56"/>
      <c r="AQ344" s="56"/>
      <c r="AR344" s="56"/>
      <c r="AS344" s="56"/>
      <c r="AT344" s="56"/>
      <c r="AU344" s="56"/>
      <c r="AV344" s="56"/>
      <c r="AW344" s="171"/>
      <c r="AX344" s="56"/>
      <c r="AY344" s="56"/>
      <c r="AZ344" s="56"/>
      <c r="BA344" s="171"/>
      <c r="BB344" s="56"/>
      <c r="BC344" s="10"/>
      <c r="BD344" s="56"/>
      <c r="BE344" s="56"/>
      <c r="BF344" s="56"/>
      <c r="BG344" s="56"/>
      <c r="BO344" s="144"/>
      <c r="CI344" s="144"/>
      <c r="CY344" s="144"/>
    </row>
    <row r="345" spans="1:103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171"/>
      <c r="AP345" s="56"/>
      <c r="AQ345" s="56"/>
      <c r="AR345" s="56"/>
      <c r="AS345" s="56"/>
      <c r="AT345" s="56"/>
      <c r="AU345" s="56"/>
      <c r="AV345" s="56"/>
      <c r="AW345" s="171"/>
      <c r="AX345" s="56"/>
      <c r="AY345" s="56"/>
      <c r="AZ345" s="56"/>
      <c r="BA345" s="171"/>
      <c r="BB345" s="56"/>
      <c r="BC345" s="10"/>
      <c r="BD345" s="56"/>
      <c r="BE345" s="56"/>
      <c r="BF345" s="56"/>
      <c r="BG345" s="56"/>
      <c r="BO345" s="144"/>
      <c r="CI345" s="144"/>
      <c r="CY345" s="144"/>
    </row>
    <row r="346" spans="1:103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171"/>
      <c r="AP346" s="56"/>
      <c r="AQ346" s="56"/>
      <c r="AR346" s="56"/>
      <c r="AS346" s="56"/>
      <c r="AT346" s="56"/>
      <c r="AU346" s="56"/>
      <c r="AV346" s="56"/>
      <c r="AW346" s="171"/>
      <c r="AX346" s="56"/>
      <c r="AY346" s="56"/>
      <c r="AZ346" s="56"/>
      <c r="BA346" s="171"/>
      <c r="BB346" s="56"/>
      <c r="BC346" s="10"/>
      <c r="BD346" s="56"/>
      <c r="BE346" s="56"/>
      <c r="BF346" s="56"/>
      <c r="BG346" s="56"/>
      <c r="BO346" s="144"/>
      <c r="CI346" s="144"/>
      <c r="CY346" s="144"/>
    </row>
    <row r="347" spans="1:103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171"/>
      <c r="AP347" s="56"/>
      <c r="AQ347" s="56"/>
      <c r="AR347" s="56"/>
      <c r="AS347" s="56"/>
      <c r="AT347" s="56"/>
      <c r="AU347" s="56"/>
      <c r="AV347" s="56"/>
      <c r="AW347" s="171"/>
      <c r="AX347" s="56"/>
      <c r="AY347" s="56"/>
      <c r="AZ347" s="56"/>
      <c r="BA347" s="171"/>
      <c r="BB347" s="56"/>
      <c r="BC347" s="10"/>
      <c r="BD347" s="56"/>
      <c r="BE347" s="56"/>
      <c r="BF347" s="56"/>
      <c r="BG347" s="56"/>
      <c r="BO347" s="144"/>
      <c r="CI347" s="144"/>
      <c r="CY347" s="144"/>
    </row>
    <row r="348" spans="1:103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171"/>
      <c r="AP348" s="56"/>
      <c r="AQ348" s="56"/>
      <c r="AR348" s="56"/>
      <c r="AS348" s="56"/>
      <c r="AT348" s="56"/>
      <c r="AU348" s="56"/>
      <c r="AV348" s="56"/>
      <c r="AW348" s="171"/>
      <c r="AX348" s="56"/>
      <c r="AY348" s="56"/>
      <c r="AZ348" s="56"/>
      <c r="BA348" s="171"/>
      <c r="BB348" s="56"/>
      <c r="BC348" s="10"/>
      <c r="BD348" s="56"/>
      <c r="BE348" s="56"/>
      <c r="BF348" s="56"/>
      <c r="BG348" s="56"/>
      <c r="BO348" s="144"/>
      <c r="CI348" s="144"/>
      <c r="CY348" s="144"/>
    </row>
    <row r="349" spans="1:103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171"/>
      <c r="AP349" s="56"/>
      <c r="AQ349" s="56"/>
      <c r="AR349" s="56"/>
      <c r="AS349" s="56"/>
      <c r="AT349" s="56"/>
      <c r="AU349" s="56"/>
      <c r="AV349" s="56"/>
      <c r="AW349" s="171"/>
      <c r="AX349" s="56"/>
      <c r="AY349" s="56"/>
      <c r="AZ349" s="56"/>
      <c r="BA349" s="171"/>
      <c r="BB349" s="56"/>
      <c r="BC349" s="10"/>
      <c r="BD349" s="56"/>
      <c r="BE349" s="56"/>
      <c r="BF349" s="56"/>
      <c r="BG349" s="56"/>
      <c r="BO349" s="144"/>
      <c r="CI349" s="144"/>
      <c r="CY349" s="144"/>
    </row>
    <row r="350" spans="1:103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171"/>
      <c r="AP350" s="56"/>
      <c r="AQ350" s="56"/>
      <c r="AR350" s="56"/>
      <c r="AS350" s="56"/>
      <c r="AT350" s="56"/>
      <c r="AU350" s="56"/>
      <c r="AV350" s="56"/>
      <c r="AW350" s="171"/>
      <c r="AX350" s="56"/>
      <c r="AY350" s="56"/>
      <c r="AZ350" s="56"/>
      <c r="BA350" s="171"/>
      <c r="BB350" s="56"/>
      <c r="BC350" s="10"/>
      <c r="BD350" s="56"/>
      <c r="BE350" s="56"/>
      <c r="BF350" s="56"/>
      <c r="BG350" s="56"/>
      <c r="BO350" s="144"/>
      <c r="CI350" s="144"/>
      <c r="CY350" s="144"/>
    </row>
    <row r="351" spans="1:103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171"/>
      <c r="AP351" s="56"/>
      <c r="AQ351" s="56"/>
      <c r="AR351" s="56"/>
      <c r="AS351" s="56"/>
      <c r="AT351" s="56"/>
      <c r="AU351" s="56"/>
      <c r="AV351" s="56"/>
      <c r="AW351" s="171"/>
      <c r="AX351" s="56"/>
      <c r="AY351" s="56"/>
      <c r="AZ351" s="56"/>
      <c r="BA351" s="171"/>
      <c r="BB351" s="56"/>
      <c r="BC351" s="10"/>
      <c r="BD351" s="56"/>
      <c r="BE351" s="56"/>
      <c r="BF351" s="56"/>
      <c r="BG351" s="56"/>
      <c r="BO351" s="144"/>
      <c r="CI351" s="144"/>
      <c r="CY351" s="144"/>
    </row>
    <row r="352" spans="1:103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171"/>
      <c r="AP352" s="56"/>
      <c r="AQ352" s="56"/>
      <c r="AR352" s="56"/>
      <c r="AS352" s="56"/>
      <c r="AT352" s="56"/>
      <c r="AU352" s="56"/>
      <c r="AV352" s="56"/>
      <c r="AW352" s="171"/>
      <c r="AX352" s="56"/>
      <c r="AY352" s="56"/>
      <c r="AZ352" s="56"/>
      <c r="BA352" s="171"/>
      <c r="BB352" s="56"/>
      <c r="BC352" s="10"/>
      <c r="BD352" s="56"/>
      <c r="BE352" s="56"/>
      <c r="BF352" s="56"/>
      <c r="BG352" s="56"/>
      <c r="BO352" s="144"/>
      <c r="CI352" s="144"/>
      <c r="CY352" s="144"/>
    </row>
    <row r="353" spans="1:103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171"/>
      <c r="AP353" s="56"/>
      <c r="AQ353" s="56"/>
      <c r="AR353" s="56"/>
      <c r="AS353" s="56"/>
      <c r="AT353" s="56"/>
      <c r="AU353" s="56"/>
      <c r="AV353" s="56"/>
      <c r="AW353" s="171"/>
      <c r="AX353" s="56"/>
      <c r="AY353" s="56"/>
      <c r="AZ353" s="56"/>
      <c r="BA353" s="171"/>
      <c r="BB353" s="56"/>
      <c r="BC353" s="10"/>
      <c r="BD353" s="56"/>
      <c r="BE353" s="56"/>
      <c r="BF353" s="56"/>
      <c r="BG353" s="56"/>
      <c r="BO353" s="144"/>
      <c r="CI353" s="144"/>
      <c r="CY353" s="144"/>
    </row>
    <row r="354" spans="1:103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171"/>
      <c r="AP354" s="56"/>
      <c r="AQ354" s="56"/>
      <c r="AR354" s="56"/>
      <c r="AS354" s="56"/>
      <c r="AT354" s="56"/>
      <c r="AU354" s="56"/>
      <c r="AV354" s="56"/>
      <c r="AW354" s="171"/>
      <c r="AX354" s="56"/>
      <c r="AY354" s="56"/>
      <c r="AZ354" s="56"/>
      <c r="BA354" s="171"/>
      <c r="BB354" s="56"/>
      <c r="BC354" s="10"/>
      <c r="BD354" s="56"/>
      <c r="BE354" s="56"/>
      <c r="BF354" s="56"/>
      <c r="BG354" s="56"/>
      <c r="BO354" s="144"/>
      <c r="CI354" s="144"/>
      <c r="CY354" s="144"/>
    </row>
    <row r="355" spans="1:103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171"/>
      <c r="AP355" s="56"/>
      <c r="AQ355" s="56"/>
      <c r="AR355" s="56"/>
      <c r="AS355" s="56"/>
      <c r="AT355" s="56"/>
      <c r="AU355" s="56"/>
      <c r="AV355" s="56"/>
      <c r="AW355" s="171"/>
      <c r="AX355" s="56"/>
      <c r="AY355" s="56"/>
      <c r="AZ355" s="56"/>
      <c r="BA355" s="171"/>
      <c r="BB355" s="56"/>
      <c r="BC355" s="10"/>
      <c r="BD355" s="56"/>
      <c r="BE355" s="56"/>
      <c r="BF355" s="56"/>
      <c r="BG355" s="56"/>
      <c r="BO355" s="144"/>
      <c r="CI355" s="144"/>
      <c r="CY355" s="144"/>
    </row>
    <row r="356" spans="1:103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171"/>
      <c r="AP356" s="56"/>
      <c r="AQ356" s="56"/>
      <c r="AR356" s="56"/>
      <c r="AS356" s="56"/>
      <c r="AT356" s="56"/>
      <c r="AU356" s="56"/>
      <c r="AV356" s="56"/>
      <c r="AW356" s="171"/>
      <c r="AX356" s="56"/>
      <c r="AY356" s="56"/>
      <c r="AZ356" s="56"/>
      <c r="BA356" s="171"/>
      <c r="BB356" s="56"/>
      <c r="BC356" s="10"/>
      <c r="BD356" s="56"/>
      <c r="BE356" s="56"/>
      <c r="BF356" s="56"/>
      <c r="BG356" s="56"/>
      <c r="BO356" s="144"/>
      <c r="CI356" s="144"/>
      <c r="CY356" s="144"/>
    </row>
    <row r="357" spans="1:103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171"/>
      <c r="AP357" s="56"/>
      <c r="AQ357" s="56"/>
      <c r="AR357" s="56"/>
      <c r="AS357" s="56"/>
      <c r="AT357" s="56"/>
      <c r="AU357" s="56"/>
      <c r="AV357" s="56"/>
      <c r="AW357" s="171"/>
      <c r="AX357" s="56"/>
      <c r="AY357" s="56"/>
      <c r="AZ357" s="56"/>
      <c r="BA357" s="171"/>
      <c r="BB357" s="56"/>
      <c r="BC357" s="10"/>
      <c r="BD357" s="56"/>
      <c r="BE357" s="56"/>
      <c r="BF357" s="56"/>
      <c r="BG357" s="56"/>
      <c r="BO357" s="144"/>
      <c r="CI357" s="144"/>
      <c r="CY357" s="144"/>
    </row>
    <row r="358" spans="1:103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171"/>
      <c r="AP358" s="56"/>
      <c r="AQ358" s="56"/>
      <c r="AR358" s="56"/>
      <c r="AS358" s="56"/>
      <c r="AT358" s="56"/>
      <c r="AU358" s="56"/>
      <c r="AV358" s="56"/>
      <c r="AW358" s="171"/>
      <c r="AX358" s="56"/>
      <c r="AY358" s="56"/>
      <c r="AZ358" s="56"/>
      <c r="BA358" s="171"/>
      <c r="BB358" s="56"/>
      <c r="BC358" s="10"/>
      <c r="BD358" s="56"/>
      <c r="BE358" s="56"/>
      <c r="BF358" s="56"/>
      <c r="BG358" s="56"/>
      <c r="BO358" s="144"/>
      <c r="CI358" s="144"/>
      <c r="CY358" s="144"/>
    </row>
    <row r="359" spans="1:103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171"/>
      <c r="AP359" s="56"/>
      <c r="AQ359" s="56"/>
      <c r="AR359" s="56"/>
      <c r="AS359" s="56"/>
      <c r="AT359" s="56"/>
      <c r="AU359" s="56"/>
      <c r="AV359" s="56"/>
      <c r="AW359" s="171"/>
      <c r="AX359" s="56"/>
      <c r="AY359" s="56"/>
      <c r="AZ359" s="56"/>
      <c r="BA359" s="171"/>
      <c r="BB359" s="56"/>
      <c r="BC359" s="10"/>
      <c r="BD359" s="56"/>
      <c r="BE359" s="56"/>
      <c r="BF359" s="56"/>
      <c r="BG359" s="56"/>
      <c r="BO359" s="144"/>
      <c r="CI359" s="144"/>
      <c r="CY359" s="144"/>
    </row>
    <row r="360" spans="1:103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171"/>
      <c r="AP360" s="56"/>
      <c r="AQ360" s="56"/>
      <c r="AR360" s="56"/>
      <c r="AS360" s="56"/>
      <c r="AT360" s="56"/>
      <c r="AU360" s="56"/>
      <c r="AV360" s="56"/>
      <c r="AW360" s="171"/>
      <c r="AX360" s="56"/>
      <c r="AY360" s="56"/>
      <c r="AZ360" s="56"/>
      <c r="BA360" s="171"/>
      <c r="BB360" s="56"/>
      <c r="BC360" s="10"/>
      <c r="BD360" s="56"/>
      <c r="BE360" s="56"/>
      <c r="BF360" s="56"/>
      <c r="BG360" s="56"/>
      <c r="BO360" s="144"/>
      <c r="CI360" s="144"/>
      <c r="CY360" s="144"/>
    </row>
    <row r="361" spans="1:103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171"/>
      <c r="AP361" s="56"/>
      <c r="AQ361" s="56"/>
      <c r="AR361" s="56"/>
      <c r="AS361" s="56"/>
      <c r="AT361" s="56"/>
      <c r="AU361" s="56"/>
      <c r="AV361" s="56"/>
      <c r="AW361" s="171"/>
      <c r="AX361" s="56"/>
      <c r="AY361" s="56"/>
      <c r="AZ361" s="56"/>
      <c r="BA361" s="171"/>
      <c r="BB361" s="56"/>
      <c r="BC361" s="10"/>
      <c r="BD361" s="56"/>
      <c r="BE361" s="56"/>
      <c r="BF361" s="56"/>
      <c r="BG361" s="56"/>
      <c r="BO361" s="144"/>
      <c r="CI361" s="144"/>
      <c r="CY361" s="144"/>
    </row>
    <row r="362" spans="1:103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171"/>
      <c r="AP362" s="56"/>
      <c r="AQ362" s="56"/>
      <c r="AR362" s="56"/>
      <c r="AS362" s="56"/>
      <c r="AT362" s="56"/>
      <c r="AU362" s="56"/>
      <c r="AV362" s="56"/>
      <c r="AW362" s="171"/>
      <c r="AX362" s="56"/>
      <c r="AY362" s="56"/>
      <c r="AZ362" s="56"/>
      <c r="BA362" s="171"/>
      <c r="BB362" s="56"/>
      <c r="BC362" s="10"/>
      <c r="BD362" s="56"/>
      <c r="BE362" s="56"/>
      <c r="BF362" s="56"/>
      <c r="BG362" s="56"/>
      <c r="BO362" s="144"/>
      <c r="CI362" s="144"/>
      <c r="CY362" s="144"/>
    </row>
    <row r="363" spans="1:103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171"/>
      <c r="AP363" s="56"/>
      <c r="AQ363" s="56"/>
      <c r="AR363" s="56"/>
      <c r="AS363" s="56"/>
      <c r="AT363" s="56"/>
      <c r="AU363" s="56"/>
      <c r="AV363" s="56"/>
      <c r="AW363" s="171"/>
      <c r="AX363" s="56"/>
      <c r="AY363" s="56"/>
      <c r="AZ363" s="56"/>
      <c r="BA363" s="171"/>
      <c r="BB363" s="56"/>
      <c r="BC363" s="10"/>
      <c r="BD363" s="56"/>
      <c r="BE363" s="56"/>
      <c r="BF363" s="56"/>
      <c r="BG363" s="56"/>
      <c r="BO363" s="144"/>
      <c r="CI363" s="144"/>
      <c r="CY363" s="144"/>
    </row>
    <row r="364" spans="1:103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171"/>
      <c r="AP364" s="56"/>
      <c r="AQ364" s="56"/>
      <c r="AR364" s="56"/>
      <c r="AS364" s="56"/>
      <c r="AT364" s="56"/>
      <c r="AU364" s="56"/>
      <c r="AV364" s="56"/>
      <c r="AW364" s="171"/>
      <c r="AX364" s="56"/>
      <c r="AY364" s="56"/>
      <c r="AZ364" s="56"/>
      <c r="BA364" s="171"/>
      <c r="BB364" s="56"/>
      <c r="BC364" s="10"/>
      <c r="BD364" s="56"/>
      <c r="BE364" s="56"/>
      <c r="BF364" s="56"/>
      <c r="BG364" s="56"/>
      <c r="BO364" s="144"/>
      <c r="CI364" s="144"/>
      <c r="CY364" s="144"/>
    </row>
    <row r="365" spans="1:103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171"/>
      <c r="AP365" s="56"/>
      <c r="AQ365" s="56"/>
      <c r="AR365" s="56"/>
      <c r="AS365" s="56"/>
      <c r="AT365" s="56"/>
      <c r="AU365" s="56"/>
      <c r="AV365" s="56"/>
      <c r="AW365" s="171"/>
      <c r="AX365" s="56"/>
      <c r="AY365" s="56"/>
      <c r="AZ365" s="56"/>
      <c r="BA365" s="171"/>
      <c r="BB365" s="56"/>
      <c r="BC365" s="10"/>
      <c r="BD365" s="56"/>
      <c r="BE365" s="56"/>
      <c r="BF365" s="56"/>
      <c r="BG365" s="56"/>
      <c r="BO365" s="144"/>
      <c r="CI365" s="144"/>
      <c r="CY365" s="144"/>
    </row>
    <row r="366" spans="1:103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171"/>
      <c r="AP366" s="56"/>
      <c r="AQ366" s="56"/>
      <c r="AR366" s="56"/>
      <c r="AS366" s="56"/>
      <c r="AT366" s="56"/>
      <c r="AU366" s="56"/>
      <c r="AV366" s="56"/>
      <c r="AW366" s="171"/>
      <c r="AX366" s="56"/>
      <c r="AY366" s="56"/>
      <c r="AZ366" s="56"/>
      <c r="BA366" s="171"/>
      <c r="BB366" s="56"/>
      <c r="BC366" s="10"/>
      <c r="BD366" s="56"/>
      <c r="BE366" s="56"/>
      <c r="BF366" s="56"/>
      <c r="BG366" s="56"/>
      <c r="BO366" s="144"/>
      <c r="CI366" s="144"/>
      <c r="CY366" s="144"/>
    </row>
    <row r="367" spans="1:103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171"/>
      <c r="AP367" s="56"/>
      <c r="AQ367" s="56"/>
      <c r="AR367" s="56"/>
      <c r="AS367" s="56"/>
      <c r="AT367" s="56"/>
      <c r="AU367" s="56"/>
      <c r="AV367" s="56"/>
      <c r="AW367" s="171"/>
      <c r="AX367" s="56"/>
      <c r="AY367" s="56"/>
      <c r="AZ367" s="56"/>
      <c r="BA367" s="171"/>
      <c r="BB367" s="56"/>
      <c r="BC367" s="10"/>
      <c r="BD367" s="56"/>
      <c r="BE367" s="56"/>
      <c r="BF367" s="56"/>
      <c r="BG367" s="56"/>
      <c r="BO367" s="144"/>
      <c r="CI367" s="144"/>
      <c r="CY367" s="144"/>
    </row>
    <row r="368" spans="1:103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171"/>
      <c r="AP368" s="56"/>
      <c r="AQ368" s="56"/>
      <c r="AR368" s="56"/>
      <c r="AS368" s="56"/>
      <c r="AT368" s="56"/>
      <c r="AU368" s="56"/>
      <c r="AV368" s="56"/>
      <c r="AW368" s="171"/>
      <c r="AX368" s="56"/>
      <c r="AY368" s="56"/>
      <c r="AZ368" s="56"/>
      <c r="BA368" s="171"/>
      <c r="BB368" s="56"/>
      <c r="BC368" s="10"/>
      <c r="BD368" s="56"/>
      <c r="BE368" s="56"/>
      <c r="BF368" s="56"/>
      <c r="BG368" s="56"/>
      <c r="BO368" s="144"/>
      <c r="CI368" s="144"/>
      <c r="CY368" s="144"/>
    </row>
    <row r="369" spans="1:103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171"/>
      <c r="AP369" s="56"/>
      <c r="AQ369" s="56"/>
      <c r="AR369" s="56"/>
      <c r="AS369" s="56"/>
      <c r="AT369" s="56"/>
      <c r="AU369" s="56"/>
      <c r="AV369" s="56"/>
      <c r="AW369" s="171"/>
      <c r="AX369" s="56"/>
      <c r="AY369" s="56"/>
      <c r="AZ369" s="56"/>
      <c r="BA369" s="171"/>
      <c r="BB369" s="56"/>
      <c r="BC369" s="10"/>
      <c r="BD369" s="56"/>
      <c r="BE369" s="56"/>
      <c r="BF369" s="56"/>
      <c r="BG369" s="56"/>
      <c r="BO369" s="144"/>
      <c r="CI369" s="144"/>
      <c r="CY369" s="144"/>
    </row>
    <row r="370" spans="1:103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171"/>
      <c r="AP370" s="56"/>
      <c r="AQ370" s="56"/>
      <c r="AR370" s="56"/>
      <c r="AS370" s="56"/>
      <c r="AT370" s="56"/>
      <c r="AU370" s="56"/>
      <c r="AV370" s="56"/>
      <c r="AW370" s="171"/>
      <c r="AX370" s="56"/>
      <c r="AY370" s="56"/>
      <c r="AZ370" s="56"/>
      <c r="BA370" s="171"/>
      <c r="BB370" s="56"/>
      <c r="BC370" s="10"/>
      <c r="BD370" s="56"/>
      <c r="BE370" s="56"/>
      <c r="BF370" s="56"/>
      <c r="BG370" s="56"/>
      <c r="BO370" s="144"/>
      <c r="CI370" s="144"/>
      <c r="CY370" s="144"/>
    </row>
    <row r="371" spans="1:103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171"/>
      <c r="AP371" s="56"/>
      <c r="AQ371" s="56"/>
      <c r="AR371" s="56"/>
      <c r="AS371" s="56"/>
      <c r="AT371" s="56"/>
      <c r="AU371" s="56"/>
      <c r="AV371" s="56"/>
      <c r="AW371" s="171"/>
      <c r="AX371" s="56"/>
      <c r="AY371" s="56"/>
      <c r="AZ371" s="56"/>
      <c r="BA371" s="171"/>
      <c r="BB371" s="56"/>
      <c r="BC371" s="10"/>
      <c r="BD371" s="56"/>
      <c r="BE371" s="56"/>
      <c r="BF371" s="56"/>
      <c r="BG371" s="56"/>
      <c r="BO371" s="144"/>
      <c r="CI371" s="144"/>
      <c r="CY371" s="144"/>
    </row>
    <row r="372" spans="1:103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171"/>
      <c r="AP372" s="56"/>
      <c r="AQ372" s="56"/>
      <c r="AR372" s="56"/>
      <c r="AS372" s="56"/>
      <c r="AT372" s="56"/>
      <c r="AU372" s="56"/>
      <c r="AV372" s="56"/>
      <c r="AW372" s="171"/>
      <c r="AX372" s="56"/>
      <c r="AY372" s="56"/>
      <c r="AZ372" s="56"/>
      <c r="BA372" s="171"/>
      <c r="BB372" s="56"/>
      <c r="BC372" s="10"/>
      <c r="BD372" s="56"/>
      <c r="BE372" s="56"/>
      <c r="BF372" s="56"/>
      <c r="BG372" s="56"/>
      <c r="BO372" s="144"/>
      <c r="CI372" s="144"/>
      <c r="CY372" s="144"/>
    </row>
    <row r="373" spans="1:103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171"/>
      <c r="AP373" s="56"/>
      <c r="AQ373" s="56"/>
      <c r="AR373" s="56"/>
      <c r="AS373" s="56"/>
      <c r="AT373" s="56"/>
      <c r="AU373" s="56"/>
      <c r="AV373" s="56"/>
      <c r="AW373" s="171"/>
      <c r="AX373" s="56"/>
      <c r="AY373" s="56"/>
      <c r="AZ373" s="56"/>
      <c r="BA373" s="171"/>
      <c r="BB373" s="56"/>
      <c r="BC373" s="10"/>
      <c r="BD373" s="56"/>
      <c r="BE373" s="56"/>
      <c r="BF373" s="56"/>
      <c r="BG373" s="56"/>
      <c r="BO373" s="144"/>
      <c r="CI373" s="144"/>
      <c r="CY373" s="144"/>
    </row>
    <row r="374" spans="1:103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171"/>
      <c r="AP374" s="56"/>
      <c r="AQ374" s="56"/>
      <c r="AR374" s="56"/>
      <c r="AS374" s="56"/>
      <c r="AT374" s="56"/>
      <c r="AU374" s="56"/>
      <c r="AV374" s="56"/>
      <c r="AW374" s="171"/>
      <c r="AX374" s="56"/>
      <c r="AY374" s="56"/>
      <c r="AZ374" s="56"/>
      <c r="BA374" s="171"/>
      <c r="BB374" s="56"/>
      <c r="BC374" s="10"/>
      <c r="BD374" s="56"/>
      <c r="BE374" s="56"/>
      <c r="BF374" s="56"/>
      <c r="BG374" s="56"/>
      <c r="BO374" s="144"/>
      <c r="CI374" s="144"/>
      <c r="CY374" s="144"/>
    </row>
    <row r="375" spans="1:103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171"/>
      <c r="AP375" s="56"/>
      <c r="AQ375" s="56"/>
      <c r="AR375" s="56"/>
      <c r="AS375" s="56"/>
      <c r="AT375" s="56"/>
      <c r="AU375" s="56"/>
      <c r="AV375" s="56"/>
      <c r="AW375" s="171"/>
      <c r="AX375" s="56"/>
      <c r="AY375" s="56"/>
      <c r="AZ375" s="56"/>
      <c r="BA375" s="171"/>
      <c r="BB375" s="56"/>
      <c r="BC375" s="10"/>
      <c r="BD375" s="56"/>
      <c r="BE375" s="56"/>
      <c r="BF375" s="56"/>
      <c r="BG375" s="56"/>
      <c r="BO375" s="144"/>
      <c r="CI375" s="144"/>
      <c r="CY375" s="144"/>
    </row>
    <row r="376" spans="1:103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171"/>
      <c r="AP376" s="56"/>
      <c r="AQ376" s="56"/>
      <c r="AR376" s="56"/>
      <c r="AS376" s="56"/>
      <c r="AT376" s="56"/>
      <c r="AU376" s="56"/>
      <c r="AV376" s="56"/>
      <c r="AW376" s="171"/>
      <c r="AX376" s="56"/>
      <c r="AY376" s="56"/>
      <c r="AZ376" s="56"/>
      <c r="BA376" s="171"/>
      <c r="BB376" s="56"/>
      <c r="BC376" s="10"/>
      <c r="BD376" s="56"/>
      <c r="BE376" s="56"/>
      <c r="BF376" s="56"/>
      <c r="BG376" s="56"/>
      <c r="BO376" s="144"/>
      <c r="CI376" s="144"/>
      <c r="CY376" s="144"/>
    </row>
    <row r="377" spans="1:103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171"/>
      <c r="AP377" s="56"/>
      <c r="AQ377" s="56"/>
      <c r="AR377" s="56"/>
      <c r="AS377" s="56"/>
      <c r="AT377" s="56"/>
      <c r="AU377" s="56"/>
      <c r="AV377" s="56"/>
      <c r="AW377" s="171"/>
      <c r="AX377" s="56"/>
      <c r="AY377" s="56"/>
      <c r="AZ377" s="56"/>
      <c r="BA377" s="171"/>
      <c r="BB377" s="56"/>
      <c r="BC377" s="10"/>
      <c r="BD377" s="56"/>
      <c r="BE377" s="56"/>
      <c r="BF377" s="56"/>
      <c r="BG377" s="56"/>
      <c r="BO377" s="144"/>
      <c r="CI377" s="144"/>
      <c r="CY377" s="144"/>
    </row>
    <row r="378" spans="1:103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171"/>
      <c r="AP378" s="56"/>
      <c r="AQ378" s="56"/>
      <c r="AR378" s="56"/>
      <c r="AS378" s="56"/>
      <c r="AT378" s="56"/>
      <c r="AU378" s="56"/>
      <c r="AV378" s="56"/>
      <c r="AW378" s="171"/>
      <c r="AX378" s="56"/>
      <c r="AY378" s="56"/>
      <c r="AZ378" s="56"/>
      <c r="BA378" s="171"/>
      <c r="BB378" s="56"/>
      <c r="BC378" s="10"/>
      <c r="BD378" s="56"/>
      <c r="BE378" s="56"/>
      <c r="BF378" s="56"/>
      <c r="BG378" s="56"/>
      <c r="BO378" s="144"/>
      <c r="CI378" s="144"/>
      <c r="CY378" s="144"/>
    </row>
    <row r="379" spans="1:103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171"/>
      <c r="AP379" s="56"/>
      <c r="AQ379" s="56"/>
      <c r="AR379" s="56"/>
      <c r="AS379" s="56"/>
      <c r="AT379" s="56"/>
      <c r="AU379" s="56"/>
      <c r="AV379" s="56"/>
      <c r="AW379" s="171"/>
      <c r="AX379" s="56"/>
      <c r="AY379" s="56"/>
      <c r="AZ379" s="56"/>
      <c r="BA379" s="171"/>
      <c r="BB379" s="56"/>
      <c r="BC379" s="10"/>
      <c r="BD379" s="56"/>
      <c r="BE379" s="56"/>
      <c r="BF379" s="56"/>
      <c r="BG379" s="56"/>
      <c r="BO379" s="144"/>
      <c r="CI379" s="144"/>
      <c r="CY379" s="144"/>
    </row>
    <row r="380" spans="1:103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171"/>
      <c r="AP380" s="56"/>
      <c r="AQ380" s="56"/>
      <c r="AR380" s="56"/>
      <c r="AS380" s="56"/>
      <c r="AT380" s="56"/>
      <c r="AU380" s="56"/>
      <c r="AV380" s="56"/>
      <c r="AW380" s="171"/>
      <c r="AX380" s="56"/>
      <c r="AY380" s="56"/>
      <c r="AZ380" s="56"/>
      <c r="BA380" s="171"/>
      <c r="BB380" s="56"/>
      <c r="BC380" s="10"/>
      <c r="BD380" s="56"/>
      <c r="BE380" s="56"/>
      <c r="BF380" s="56"/>
      <c r="BG380" s="56"/>
      <c r="BO380" s="144"/>
      <c r="CI380" s="144"/>
      <c r="CY380" s="144"/>
    </row>
    <row r="381" spans="1:103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171"/>
      <c r="AP381" s="56"/>
      <c r="AQ381" s="56"/>
      <c r="AR381" s="56"/>
      <c r="AS381" s="56"/>
      <c r="AT381" s="56"/>
      <c r="AU381" s="56"/>
      <c r="AV381" s="56"/>
      <c r="AW381" s="171"/>
      <c r="AX381" s="56"/>
      <c r="AY381" s="56"/>
      <c r="AZ381" s="56"/>
      <c r="BA381" s="171"/>
      <c r="BB381" s="56"/>
      <c r="BC381" s="10"/>
      <c r="BD381" s="56"/>
      <c r="BE381" s="56"/>
      <c r="BF381" s="56"/>
      <c r="BG381" s="56"/>
      <c r="BO381" s="144"/>
      <c r="CI381" s="144"/>
      <c r="CY381" s="144"/>
    </row>
    <row r="382" spans="1:103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171"/>
      <c r="AP382" s="56"/>
      <c r="AQ382" s="56"/>
      <c r="AR382" s="56"/>
      <c r="AS382" s="56"/>
      <c r="AT382" s="56"/>
      <c r="AU382" s="56"/>
      <c r="AV382" s="56"/>
      <c r="AW382" s="171"/>
      <c r="AX382" s="56"/>
      <c r="AY382" s="56"/>
      <c r="AZ382" s="56"/>
      <c r="BA382" s="171"/>
      <c r="BB382" s="56"/>
      <c r="BC382" s="10"/>
      <c r="BD382" s="56"/>
      <c r="BE382" s="56"/>
      <c r="BF382" s="56"/>
      <c r="BG382" s="56"/>
      <c r="BO382" s="144"/>
      <c r="CI382" s="144"/>
      <c r="CY382" s="144"/>
    </row>
    <row r="383" spans="1:103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171"/>
      <c r="AP383" s="56"/>
      <c r="AQ383" s="56"/>
      <c r="AR383" s="56"/>
      <c r="AS383" s="56"/>
      <c r="AT383" s="56"/>
      <c r="AU383" s="56"/>
      <c r="AV383" s="56"/>
      <c r="AW383" s="171"/>
      <c r="AX383" s="56"/>
      <c r="AY383" s="56"/>
      <c r="AZ383" s="56"/>
      <c r="BA383" s="171"/>
      <c r="BB383" s="56"/>
      <c r="BC383" s="10"/>
      <c r="BD383" s="56"/>
      <c r="BE383" s="56"/>
      <c r="BF383" s="56"/>
      <c r="BG383" s="56"/>
      <c r="BO383" s="144"/>
      <c r="CI383" s="144"/>
      <c r="CY383" s="144"/>
    </row>
    <row r="384" spans="1:103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171"/>
      <c r="AP384" s="56"/>
      <c r="AQ384" s="56"/>
      <c r="AR384" s="56"/>
      <c r="AS384" s="56"/>
      <c r="AT384" s="56"/>
      <c r="AU384" s="56"/>
      <c r="AV384" s="56"/>
      <c r="AW384" s="171"/>
      <c r="AX384" s="56"/>
      <c r="AY384" s="56"/>
      <c r="AZ384" s="56"/>
      <c r="BA384" s="171"/>
      <c r="BB384" s="56"/>
      <c r="BC384" s="10"/>
      <c r="BD384" s="56"/>
      <c r="BE384" s="56"/>
      <c r="BF384" s="56"/>
      <c r="BG384" s="56"/>
      <c r="BO384" s="144"/>
      <c r="CI384" s="144"/>
      <c r="CY384" s="144"/>
    </row>
    <row r="385" spans="1:103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171"/>
      <c r="AP385" s="56"/>
      <c r="AQ385" s="56"/>
      <c r="AR385" s="56"/>
      <c r="AS385" s="56"/>
      <c r="AT385" s="56"/>
      <c r="AU385" s="56"/>
      <c r="AV385" s="56"/>
      <c r="AW385" s="171"/>
      <c r="AX385" s="56"/>
      <c r="AY385" s="56"/>
      <c r="AZ385" s="56"/>
      <c r="BA385" s="171"/>
      <c r="BB385" s="56"/>
      <c r="BC385" s="10"/>
      <c r="BD385" s="56"/>
      <c r="BE385" s="56"/>
      <c r="BF385" s="56"/>
      <c r="BG385" s="56"/>
      <c r="BO385" s="144"/>
      <c r="CI385" s="144"/>
      <c r="CY385" s="144"/>
    </row>
    <row r="386" spans="1:103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171"/>
      <c r="AP386" s="56"/>
      <c r="AQ386" s="56"/>
      <c r="AR386" s="56"/>
      <c r="AS386" s="56"/>
      <c r="AT386" s="56"/>
      <c r="AU386" s="56"/>
      <c r="AV386" s="56"/>
      <c r="AW386" s="171"/>
      <c r="AX386" s="56"/>
      <c r="AY386" s="56"/>
      <c r="AZ386" s="56"/>
      <c r="BA386" s="171"/>
      <c r="BB386" s="56"/>
      <c r="BC386" s="10"/>
      <c r="BD386" s="56"/>
      <c r="BE386" s="56"/>
      <c r="BF386" s="56"/>
      <c r="BG386" s="56"/>
      <c r="BO386" s="144"/>
      <c r="CI386" s="144"/>
      <c r="CY386" s="144"/>
    </row>
    <row r="387" spans="1:103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171"/>
      <c r="AP387" s="56"/>
      <c r="AQ387" s="56"/>
      <c r="AR387" s="56"/>
      <c r="AS387" s="56"/>
      <c r="AT387" s="56"/>
      <c r="AU387" s="56"/>
      <c r="AV387" s="56"/>
      <c r="AW387" s="171"/>
      <c r="AX387" s="56"/>
      <c r="AY387" s="56"/>
      <c r="AZ387" s="56"/>
      <c r="BA387" s="171"/>
      <c r="BB387" s="56"/>
      <c r="BC387" s="10"/>
      <c r="BD387" s="56"/>
      <c r="BE387" s="56"/>
      <c r="BF387" s="56"/>
      <c r="BG387" s="56"/>
      <c r="BO387" s="144"/>
      <c r="CI387" s="144"/>
      <c r="CY387" s="144"/>
    </row>
    <row r="388" spans="1:103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171"/>
      <c r="AP388" s="56"/>
      <c r="AQ388" s="56"/>
      <c r="AR388" s="56"/>
      <c r="AS388" s="56"/>
      <c r="AT388" s="56"/>
      <c r="AU388" s="56"/>
      <c r="AV388" s="56"/>
      <c r="AW388" s="171"/>
      <c r="AX388" s="56"/>
      <c r="AY388" s="56"/>
      <c r="AZ388" s="56"/>
      <c r="BA388" s="171"/>
      <c r="BB388" s="56"/>
      <c r="BC388" s="10"/>
      <c r="BD388" s="56"/>
      <c r="BE388" s="56"/>
      <c r="BF388" s="56"/>
      <c r="BG388" s="56"/>
      <c r="BO388" s="144"/>
      <c r="CI388" s="144"/>
      <c r="CY388" s="144"/>
    </row>
    <row r="389" spans="1:103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171"/>
      <c r="AP389" s="56"/>
      <c r="AQ389" s="56"/>
      <c r="AR389" s="56"/>
      <c r="AS389" s="56"/>
      <c r="AT389" s="56"/>
      <c r="AU389" s="56"/>
      <c r="AV389" s="56"/>
      <c r="AW389" s="171"/>
      <c r="AX389" s="56"/>
      <c r="AY389" s="56"/>
      <c r="AZ389" s="56"/>
      <c r="BA389" s="171"/>
      <c r="BB389" s="56"/>
      <c r="BC389" s="10"/>
      <c r="BD389" s="56"/>
      <c r="BE389" s="56"/>
      <c r="BF389" s="56"/>
      <c r="BG389" s="56"/>
      <c r="BO389" s="144"/>
      <c r="CI389" s="144"/>
      <c r="CY389" s="144"/>
    </row>
    <row r="390" spans="1:103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171"/>
      <c r="AP390" s="56"/>
      <c r="AQ390" s="56"/>
      <c r="AR390" s="56"/>
      <c r="AS390" s="56"/>
      <c r="AT390" s="56"/>
      <c r="AU390" s="56"/>
      <c r="AV390" s="56"/>
      <c r="AW390" s="171"/>
      <c r="AX390" s="56"/>
      <c r="AY390" s="56"/>
      <c r="AZ390" s="56"/>
      <c r="BA390" s="171"/>
      <c r="BB390" s="56"/>
      <c r="BC390" s="10"/>
      <c r="BD390" s="56"/>
      <c r="BE390" s="56"/>
      <c r="BF390" s="56"/>
      <c r="BG390" s="56"/>
      <c r="BO390" s="144"/>
      <c r="CI390" s="144"/>
      <c r="CY390" s="144"/>
    </row>
    <row r="391" spans="1:103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171"/>
      <c r="AP391" s="56"/>
      <c r="AQ391" s="56"/>
      <c r="AR391" s="56"/>
      <c r="AS391" s="56"/>
      <c r="AT391" s="56"/>
      <c r="AU391" s="56"/>
      <c r="AV391" s="56"/>
      <c r="AW391" s="171"/>
      <c r="AX391" s="56"/>
      <c r="AY391" s="56"/>
      <c r="AZ391" s="56"/>
      <c r="BA391" s="171"/>
      <c r="BB391" s="56"/>
      <c r="BC391" s="10"/>
      <c r="BD391" s="56"/>
      <c r="BE391" s="56"/>
      <c r="BF391" s="56"/>
      <c r="BG391" s="56"/>
      <c r="BO391" s="144"/>
      <c r="CI391" s="144"/>
      <c r="CY391" s="144"/>
    </row>
    <row r="392" spans="1:103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171"/>
      <c r="AP392" s="56"/>
      <c r="AQ392" s="56"/>
      <c r="AR392" s="56"/>
      <c r="AS392" s="56"/>
      <c r="AT392" s="56"/>
      <c r="AU392" s="56"/>
      <c r="AV392" s="56"/>
      <c r="AW392" s="171"/>
      <c r="AX392" s="56"/>
      <c r="AY392" s="56"/>
      <c r="AZ392" s="56"/>
      <c r="BA392" s="171"/>
      <c r="BB392" s="56"/>
      <c r="BC392" s="10"/>
      <c r="BD392" s="56"/>
      <c r="BE392" s="56"/>
      <c r="BF392" s="56"/>
      <c r="BG392" s="56"/>
      <c r="BO392" s="144"/>
      <c r="CI392" s="144"/>
      <c r="CY392" s="144"/>
    </row>
    <row r="393" spans="1:103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171"/>
      <c r="AP393" s="56"/>
      <c r="AQ393" s="56"/>
      <c r="AR393" s="56"/>
      <c r="AS393" s="56"/>
      <c r="AT393" s="56"/>
      <c r="AU393" s="56"/>
      <c r="AV393" s="56"/>
      <c r="AW393" s="171"/>
      <c r="AX393" s="56"/>
      <c r="AY393" s="56"/>
      <c r="AZ393" s="56"/>
      <c r="BA393" s="171"/>
      <c r="BB393" s="56"/>
      <c r="BC393" s="10"/>
      <c r="BD393" s="56"/>
      <c r="BE393" s="56"/>
      <c r="BF393" s="56"/>
      <c r="BG393" s="56"/>
      <c r="BO393" s="144"/>
      <c r="CI393" s="144"/>
      <c r="CY393" s="144"/>
    </row>
    <row r="394" spans="1:103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171"/>
      <c r="AP394" s="56"/>
      <c r="AQ394" s="56"/>
      <c r="AR394" s="56"/>
      <c r="AS394" s="56"/>
      <c r="AT394" s="56"/>
      <c r="AU394" s="56"/>
      <c r="AV394" s="56"/>
      <c r="AW394" s="171"/>
      <c r="AX394" s="56"/>
      <c r="AY394" s="56"/>
      <c r="AZ394" s="56"/>
      <c r="BA394" s="171"/>
      <c r="BB394" s="56"/>
      <c r="BC394" s="10"/>
      <c r="BD394" s="56"/>
      <c r="BE394" s="56"/>
      <c r="BF394" s="56"/>
      <c r="BG394" s="56"/>
      <c r="BO394" s="144"/>
      <c r="CI394" s="144"/>
      <c r="CY394" s="144"/>
    </row>
    <row r="395" spans="1:103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171"/>
      <c r="AP395" s="56"/>
      <c r="AQ395" s="56"/>
      <c r="AR395" s="56"/>
      <c r="AS395" s="56"/>
      <c r="AT395" s="56"/>
      <c r="AU395" s="56"/>
      <c r="AV395" s="56"/>
      <c r="AW395" s="171"/>
      <c r="AX395" s="56"/>
      <c r="AY395" s="56"/>
      <c r="AZ395" s="56"/>
      <c r="BA395" s="171"/>
      <c r="BB395" s="56"/>
      <c r="BC395" s="10"/>
      <c r="BD395" s="56"/>
      <c r="BE395" s="56"/>
      <c r="BF395" s="56"/>
      <c r="BG395" s="56"/>
      <c r="BO395" s="144"/>
      <c r="CI395" s="144"/>
      <c r="CY395" s="144"/>
    </row>
    <row r="396" spans="1:103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171"/>
      <c r="AP396" s="56"/>
      <c r="AQ396" s="56"/>
      <c r="AR396" s="56"/>
      <c r="AS396" s="56"/>
      <c r="AT396" s="56"/>
      <c r="AU396" s="56"/>
      <c r="AV396" s="56"/>
      <c r="AW396" s="171"/>
      <c r="AX396" s="56"/>
      <c r="AY396" s="56"/>
      <c r="AZ396" s="56"/>
      <c r="BA396" s="171"/>
      <c r="BB396" s="56"/>
      <c r="BC396" s="10"/>
      <c r="BD396" s="56"/>
      <c r="BE396" s="56"/>
      <c r="BF396" s="56"/>
      <c r="BG396" s="56"/>
      <c r="BO396" s="144"/>
      <c r="CI396" s="144"/>
      <c r="CY396" s="144"/>
    </row>
    <row r="397" spans="1:103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171"/>
      <c r="AP397" s="56"/>
      <c r="AQ397" s="56"/>
      <c r="AR397" s="56"/>
      <c r="AS397" s="56"/>
      <c r="AT397" s="56"/>
      <c r="AU397" s="56"/>
      <c r="AV397" s="56"/>
      <c r="AW397" s="171"/>
      <c r="AX397" s="56"/>
      <c r="AY397" s="56"/>
      <c r="AZ397" s="56"/>
      <c r="BA397" s="171"/>
      <c r="BB397" s="56"/>
      <c r="BC397" s="10"/>
      <c r="BD397" s="56"/>
      <c r="BE397" s="56"/>
      <c r="BF397" s="56"/>
      <c r="BG397" s="56"/>
      <c r="BO397" s="144"/>
      <c r="CI397" s="144"/>
      <c r="CY397" s="144"/>
    </row>
    <row r="398" spans="1:103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171"/>
      <c r="AP398" s="56"/>
      <c r="AQ398" s="56"/>
      <c r="AR398" s="56"/>
      <c r="AS398" s="56"/>
      <c r="AT398" s="56"/>
      <c r="AU398" s="56"/>
      <c r="AV398" s="56"/>
      <c r="AW398" s="171"/>
      <c r="AX398" s="56"/>
      <c r="AY398" s="56"/>
      <c r="AZ398" s="56"/>
      <c r="BA398" s="171"/>
      <c r="BB398" s="56"/>
      <c r="BC398" s="10"/>
      <c r="BD398" s="56"/>
      <c r="BE398" s="56"/>
      <c r="BF398" s="56"/>
      <c r="BG398" s="56"/>
      <c r="BO398" s="144"/>
      <c r="CI398" s="144"/>
      <c r="CY398" s="144"/>
    </row>
    <row r="399" spans="1:103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171"/>
      <c r="AP399" s="56"/>
      <c r="AQ399" s="56"/>
      <c r="AR399" s="56"/>
      <c r="AS399" s="56"/>
      <c r="AT399" s="56"/>
      <c r="AU399" s="56"/>
      <c r="AV399" s="56"/>
      <c r="AW399" s="171"/>
      <c r="AX399" s="56"/>
      <c r="AY399" s="56"/>
      <c r="AZ399" s="56"/>
      <c r="BA399" s="171"/>
      <c r="BB399" s="56"/>
      <c r="BC399" s="10"/>
      <c r="BD399" s="56"/>
      <c r="BE399" s="56"/>
      <c r="BF399" s="56"/>
      <c r="BG399" s="56"/>
      <c r="BO399" s="144"/>
      <c r="CI399" s="144"/>
      <c r="CY399" s="144"/>
    </row>
    <row r="400" spans="1:103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171"/>
      <c r="AP400" s="56"/>
      <c r="AQ400" s="56"/>
      <c r="AR400" s="56"/>
      <c r="AS400" s="56"/>
      <c r="AT400" s="56"/>
      <c r="AU400" s="56"/>
      <c r="AV400" s="56"/>
      <c r="AW400" s="171"/>
      <c r="AX400" s="56"/>
      <c r="AY400" s="56"/>
      <c r="AZ400" s="56"/>
      <c r="BA400" s="171"/>
      <c r="BB400" s="56"/>
      <c r="BC400" s="10"/>
      <c r="BD400" s="56"/>
      <c r="BE400" s="56"/>
      <c r="BF400" s="56"/>
      <c r="BG400" s="56"/>
      <c r="BO400" s="144"/>
      <c r="CI400" s="144"/>
      <c r="CY400" s="144"/>
    </row>
    <row r="401" spans="1:103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171"/>
      <c r="AP401" s="56"/>
      <c r="AQ401" s="56"/>
      <c r="AR401" s="56"/>
      <c r="AS401" s="56"/>
      <c r="AT401" s="56"/>
      <c r="AU401" s="56"/>
      <c r="AV401" s="56"/>
      <c r="AW401" s="171"/>
      <c r="AX401" s="56"/>
      <c r="AY401" s="56"/>
      <c r="AZ401" s="56"/>
      <c r="BA401" s="171"/>
      <c r="BB401" s="56"/>
      <c r="BC401" s="10"/>
      <c r="BD401" s="56"/>
      <c r="BE401" s="56"/>
      <c r="BF401" s="56"/>
      <c r="BG401" s="56"/>
      <c r="BO401" s="144"/>
      <c r="CI401" s="144"/>
      <c r="CY401" s="144"/>
    </row>
    <row r="402" spans="1:103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171"/>
      <c r="AP402" s="56"/>
      <c r="AQ402" s="56"/>
      <c r="AR402" s="56"/>
      <c r="AS402" s="56"/>
      <c r="AT402" s="56"/>
      <c r="AU402" s="56"/>
      <c r="AV402" s="56"/>
      <c r="AW402" s="171"/>
      <c r="AX402" s="56"/>
      <c r="AY402" s="56"/>
      <c r="AZ402" s="56"/>
      <c r="BA402" s="171"/>
      <c r="BB402" s="56"/>
      <c r="BC402" s="10"/>
      <c r="BD402" s="56"/>
      <c r="BE402" s="56"/>
      <c r="BF402" s="56"/>
      <c r="BG402" s="56"/>
      <c r="BO402" s="144"/>
      <c r="CI402" s="144"/>
      <c r="CY402" s="144"/>
    </row>
    <row r="403" spans="1:103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171"/>
      <c r="AP403" s="56"/>
      <c r="AQ403" s="56"/>
      <c r="AR403" s="56"/>
      <c r="AS403" s="56"/>
      <c r="AT403" s="56"/>
      <c r="AU403" s="56"/>
      <c r="AV403" s="56"/>
      <c r="AW403" s="171"/>
      <c r="AX403" s="56"/>
      <c r="AY403" s="56"/>
      <c r="AZ403" s="56"/>
      <c r="BA403" s="171"/>
      <c r="BB403" s="56"/>
      <c r="BC403" s="10"/>
      <c r="BD403" s="56"/>
      <c r="BE403" s="56"/>
      <c r="BF403" s="56"/>
      <c r="BG403" s="56"/>
      <c r="BO403" s="144"/>
      <c r="CI403" s="144"/>
      <c r="CY403" s="144"/>
    </row>
    <row r="404" spans="1:103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171"/>
      <c r="AP404" s="56"/>
      <c r="AQ404" s="56"/>
      <c r="AR404" s="56"/>
      <c r="AS404" s="56"/>
      <c r="AT404" s="56"/>
      <c r="AU404" s="56"/>
      <c r="AV404" s="56"/>
      <c r="AW404" s="171"/>
      <c r="AX404" s="56"/>
      <c r="AY404" s="56"/>
      <c r="AZ404" s="56"/>
      <c r="BA404" s="171"/>
      <c r="BB404" s="56"/>
      <c r="BC404" s="10"/>
      <c r="BD404" s="56"/>
      <c r="BE404" s="56"/>
      <c r="BF404" s="56"/>
      <c r="BG404" s="56"/>
      <c r="BO404" s="144"/>
      <c r="CI404" s="144"/>
      <c r="CY404" s="144"/>
    </row>
    <row r="405" spans="1:103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171"/>
      <c r="AP405" s="56"/>
      <c r="AQ405" s="56"/>
      <c r="AR405" s="56"/>
      <c r="AS405" s="56"/>
      <c r="AT405" s="56"/>
      <c r="AU405" s="56"/>
      <c r="AV405" s="56"/>
      <c r="AW405" s="171"/>
      <c r="AX405" s="56"/>
      <c r="AY405" s="56"/>
      <c r="AZ405" s="56"/>
      <c r="BA405" s="171"/>
      <c r="BB405" s="56"/>
      <c r="BC405" s="10"/>
      <c r="BD405" s="56"/>
      <c r="BE405" s="56"/>
      <c r="BF405" s="56"/>
      <c r="BG405" s="56"/>
      <c r="BO405" s="144"/>
      <c r="CI405" s="144"/>
      <c r="CY405" s="144"/>
    </row>
    <row r="406" spans="1:103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171"/>
      <c r="AP406" s="56"/>
      <c r="AQ406" s="56"/>
      <c r="AR406" s="56"/>
      <c r="AS406" s="56"/>
      <c r="AT406" s="56"/>
      <c r="AU406" s="56"/>
      <c r="AV406" s="56"/>
      <c r="AW406" s="171"/>
      <c r="AX406" s="56"/>
      <c r="AY406" s="56"/>
      <c r="AZ406" s="56"/>
      <c r="BA406" s="171"/>
      <c r="BB406" s="56"/>
      <c r="BC406" s="10"/>
      <c r="BD406" s="56"/>
      <c r="BE406" s="56"/>
      <c r="BF406" s="56"/>
      <c r="BG406" s="56"/>
      <c r="BO406" s="144"/>
      <c r="CI406" s="144"/>
      <c r="CY406" s="144"/>
    </row>
    <row r="407" spans="1:103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171"/>
      <c r="AP407" s="56"/>
      <c r="AQ407" s="56"/>
      <c r="AR407" s="56"/>
      <c r="AS407" s="56"/>
      <c r="AT407" s="56"/>
      <c r="AU407" s="56"/>
      <c r="AV407" s="56"/>
      <c r="AW407" s="171"/>
      <c r="AX407" s="56"/>
      <c r="AY407" s="56"/>
      <c r="AZ407" s="56"/>
      <c r="BA407" s="171"/>
      <c r="BB407" s="56"/>
      <c r="BC407" s="10"/>
      <c r="BD407" s="56"/>
      <c r="BE407" s="56"/>
      <c r="BF407" s="56"/>
      <c r="BG407" s="56"/>
      <c r="BO407" s="144"/>
      <c r="CI407" s="144"/>
      <c r="CY407" s="144"/>
    </row>
    <row r="408" spans="1:103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171"/>
      <c r="AP408" s="56"/>
      <c r="AQ408" s="56"/>
      <c r="AR408" s="56"/>
      <c r="AS408" s="56"/>
      <c r="AT408" s="56"/>
      <c r="AU408" s="56"/>
      <c r="AV408" s="56"/>
      <c r="AW408" s="171"/>
      <c r="AX408" s="56"/>
      <c r="AY408" s="56"/>
      <c r="AZ408" s="56"/>
      <c r="BA408" s="171"/>
      <c r="BB408" s="56"/>
      <c r="BC408" s="10"/>
      <c r="BD408" s="56"/>
      <c r="BE408" s="56"/>
      <c r="BF408" s="56"/>
      <c r="BG408" s="56"/>
      <c r="BO408" s="144"/>
      <c r="CI408" s="144"/>
      <c r="CY408" s="144"/>
    </row>
    <row r="409" spans="1:103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171"/>
      <c r="AP409" s="56"/>
      <c r="AQ409" s="56"/>
      <c r="AR409" s="56"/>
      <c r="AS409" s="56"/>
      <c r="AT409" s="56"/>
      <c r="AU409" s="56"/>
      <c r="AV409" s="56"/>
      <c r="AW409" s="171"/>
      <c r="AX409" s="56"/>
      <c r="AY409" s="56"/>
      <c r="AZ409" s="56"/>
      <c r="BA409" s="171"/>
      <c r="BB409" s="56"/>
      <c r="BC409" s="10"/>
      <c r="BD409" s="56"/>
      <c r="BE409" s="56"/>
      <c r="BF409" s="56"/>
      <c r="BG409" s="56"/>
      <c r="BO409" s="144"/>
      <c r="CI409" s="144"/>
      <c r="CY409" s="144"/>
    </row>
    <row r="410" spans="1:103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171"/>
      <c r="AP410" s="56"/>
      <c r="AQ410" s="56"/>
      <c r="AR410" s="56"/>
      <c r="AS410" s="56"/>
      <c r="AT410" s="56"/>
      <c r="AU410" s="56"/>
      <c r="AV410" s="56"/>
      <c r="AW410" s="171"/>
      <c r="AX410" s="56"/>
      <c r="AY410" s="56"/>
      <c r="AZ410" s="56"/>
      <c r="BA410" s="171"/>
      <c r="BB410" s="56"/>
      <c r="BC410" s="10"/>
      <c r="BD410" s="56"/>
      <c r="BE410" s="56"/>
      <c r="BF410" s="56"/>
      <c r="BG410" s="56"/>
      <c r="BO410" s="144"/>
      <c r="CI410" s="144"/>
      <c r="CY410" s="144"/>
    </row>
    <row r="411" spans="1:103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171"/>
      <c r="AP411" s="56"/>
      <c r="AQ411" s="56"/>
      <c r="AR411" s="56"/>
      <c r="AS411" s="56"/>
      <c r="AT411" s="56"/>
      <c r="AU411" s="56"/>
      <c r="AV411" s="56"/>
      <c r="AW411" s="171"/>
      <c r="AX411" s="56"/>
      <c r="AY411" s="56"/>
      <c r="AZ411" s="56"/>
      <c r="BA411" s="171"/>
      <c r="BB411" s="56"/>
      <c r="BC411" s="10"/>
      <c r="BD411" s="56"/>
      <c r="BE411" s="56"/>
      <c r="BF411" s="56"/>
      <c r="BG411" s="56"/>
      <c r="BO411" s="144"/>
      <c r="CI411" s="144"/>
      <c r="CY411" s="144"/>
    </row>
    <row r="412" spans="1:103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171"/>
      <c r="AP412" s="56"/>
      <c r="AQ412" s="56"/>
      <c r="AR412" s="56"/>
      <c r="AS412" s="56"/>
      <c r="AT412" s="56"/>
      <c r="AU412" s="56"/>
      <c r="AV412" s="56"/>
      <c r="AW412" s="171"/>
      <c r="AX412" s="56"/>
      <c r="AY412" s="56"/>
      <c r="AZ412" s="56"/>
      <c r="BA412" s="171"/>
      <c r="BB412" s="56"/>
      <c r="BC412" s="10"/>
      <c r="BD412" s="56"/>
      <c r="BE412" s="56"/>
      <c r="BF412" s="56"/>
      <c r="BG412" s="56"/>
      <c r="BO412" s="144"/>
      <c r="CI412" s="144"/>
      <c r="CY412" s="144"/>
    </row>
    <row r="413" spans="1:103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171"/>
      <c r="AP413" s="56"/>
      <c r="AQ413" s="56"/>
      <c r="AR413" s="56"/>
      <c r="AS413" s="56"/>
      <c r="AT413" s="56"/>
      <c r="AU413" s="56"/>
      <c r="AV413" s="56"/>
      <c r="AW413" s="171"/>
      <c r="AX413" s="56"/>
      <c r="AY413" s="56"/>
      <c r="AZ413" s="56"/>
      <c r="BA413" s="171"/>
      <c r="BB413" s="56"/>
      <c r="BC413" s="10"/>
      <c r="BD413" s="56"/>
      <c r="BE413" s="56"/>
      <c r="BF413" s="56"/>
      <c r="BG413" s="56"/>
      <c r="BO413" s="144"/>
      <c r="CI413" s="144"/>
      <c r="CY413" s="144"/>
    </row>
    <row r="414" spans="1:103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171"/>
      <c r="AP414" s="56"/>
      <c r="AQ414" s="56"/>
      <c r="AR414" s="56"/>
      <c r="AS414" s="56"/>
      <c r="AT414" s="56"/>
      <c r="AU414" s="56"/>
      <c r="AV414" s="56"/>
      <c r="AW414" s="171"/>
      <c r="AX414" s="56"/>
      <c r="AY414" s="56"/>
      <c r="AZ414" s="56"/>
      <c r="BA414" s="171"/>
      <c r="BB414" s="56"/>
      <c r="BC414" s="10"/>
      <c r="BD414" s="56"/>
      <c r="BE414" s="56"/>
      <c r="BF414" s="56"/>
      <c r="BG414" s="56"/>
      <c r="BO414" s="144"/>
      <c r="CI414" s="144"/>
      <c r="CY414" s="144"/>
    </row>
    <row r="415" spans="1:103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171"/>
      <c r="AP415" s="56"/>
      <c r="AQ415" s="56"/>
      <c r="AR415" s="56"/>
      <c r="AS415" s="56"/>
      <c r="AT415" s="56"/>
      <c r="AU415" s="56"/>
      <c r="AV415" s="56"/>
      <c r="AW415" s="171"/>
      <c r="AX415" s="56"/>
      <c r="AY415" s="56"/>
      <c r="AZ415" s="56"/>
      <c r="BA415" s="171"/>
      <c r="BB415" s="56"/>
      <c r="BC415" s="10"/>
      <c r="BD415" s="56"/>
      <c r="BE415" s="56"/>
      <c r="BF415" s="56"/>
      <c r="BG415" s="56"/>
      <c r="BO415" s="144"/>
      <c r="CI415" s="144"/>
      <c r="CY415" s="144"/>
    </row>
    <row r="416" spans="1:103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171"/>
      <c r="AP416" s="56"/>
      <c r="AQ416" s="56"/>
      <c r="AR416" s="56"/>
      <c r="AS416" s="56"/>
      <c r="AT416" s="56"/>
      <c r="AU416" s="56"/>
      <c r="AV416" s="56"/>
      <c r="AW416" s="171"/>
      <c r="AX416" s="56"/>
      <c r="AY416" s="56"/>
      <c r="AZ416" s="56"/>
      <c r="BA416" s="171"/>
      <c r="BB416" s="56"/>
      <c r="BC416" s="10"/>
      <c r="BD416" s="56"/>
      <c r="BE416" s="56"/>
      <c r="BF416" s="56"/>
      <c r="BG416" s="56"/>
      <c r="BO416" s="144"/>
      <c r="CI416" s="144"/>
      <c r="CY416" s="144"/>
    </row>
    <row r="417" spans="1:103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171"/>
      <c r="AP417" s="56"/>
      <c r="AQ417" s="56"/>
      <c r="AR417" s="56"/>
      <c r="AS417" s="56"/>
      <c r="AT417" s="56"/>
      <c r="AU417" s="56"/>
      <c r="AV417" s="56"/>
      <c r="AW417" s="171"/>
      <c r="AX417" s="56"/>
      <c r="AY417" s="56"/>
      <c r="AZ417" s="56"/>
      <c r="BA417" s="171"/>
      <c r="BB417" s="56"/>
      <c r="BC417" s="10"/>
      <c r="BD417" s="56"/>
      <c r="BE417" s="56"/>
      <c r="BF417" s="56"/>
      <c r="BG417" s="56"/>
      <c r="BO417" s="144"/>
      <c r="CI417" s="144"/>
      <c r="CY417" s="144"/>
    </row>
    <row r="418" spans="1:103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171"/>
      <c r="AP418" s="56"/>
      <c r="AQ418" s="56"/>
      <c r="AR418" s="56"/>
      <c r="AS418" s="56"/>
      <c r="AT418" s="56"/>
      <c r="AU418" s="56"/>
      <c r="AV418" s="56"/>
      <c r="AW418" s="171"/>
      <c r="AX418" s="56"/>
      <c r="AY418" s="56"/>
      <c r="AZ418" s="56"/>
      <c r="BA418" s="171"/>
      <c r="BB418" s="56"/>
      <c r="BC418" s="10"/>
      <c r="BD418" s="56"/>
      <c r="BE418" s="56"/>
      <c r="BF418" s="56"/>
      <c r="BG418" s="56"/>
      <c r="BO418" s="144"/>
      <c r="CI418" s="144"/>
      <c r="CY418" s="144"/>
    </row>
    <row r="419" spans="1:103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171"/>
      <c r="AP419" s="56"/>
      <c r="AQ419" s="56"/>
      <c r="AR419" s="56"/>
      <c r="AS419" s="56"/>
      <c r="AT419" s="56"/>
      <c r="AU419" s="56"/>
      <c r="AV419" s="56"/>
      <c r="AW419" s="171"/>
      <c r="AX419" s="56"/>
      <c r="AY419" s="56"/>
      <c r="AZ419" s="56"/>
      <c r="BA419" s="171"/>
      <c r="BB419" s="56"/>
      <c r="BC419" s="10"/>
      <c r="BD419" s="56"/>
      <c r="BE419" s="56"/>
      <c r="BF419" s="56"/>
      <c r="BG419" s="56"/>
      <c r="BO419" s="144"/>
      <c r="CI419" s="144"/>
      <c r="CY419" s="144"/>
    </row>
    <row r="420" spans="1:103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171"/>
      <c r="AP420" s="56"/>
      <c r="AQ420" s="56"/>
      <c r="AR420" s="56"/>
      <c r="AS420" s="56"/>
      <c r="AT420" s="56"/>
      <c r="AU420" s="56"/>
      <c r="AV420" s="56"/>
      <c r="AW420" s="171"/>
      <c r="AX420" s="56"/>
      <c r="AY420" s="56"/>
      <c r="AZ420" s="56"/>
      <c r="BA420" s="171"/>
      <c r="BB420" s="56"/>
      <c r="BC420" s="10"/>
      <c r="BD420" s="56"/>
      <c r="BE420" s="56"/>
      <c r="BF420" s="56"/>
      <c r="BG420" s="56"/>
      <c r="BO420" s="144"/>
      <c r="CI420" s="144"/>
      <c r="CY420" s="144"/>
    </row>
    <row r="421" spans="1:103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171"/>
      <c r="AP421" s="56"/>
      <c r="AQ421" s="56"/>
      <c r="AR421" s="56"/>
      <c r="AS421" s="56"/>
      <c r="AT421" s="56"/>
      <c r="AU421" s="56"/>
      <c r="AV421" s="56"/>
      <c r="AW421" s="171"/>
      <c r="AX421" s="56"/>
      <c r="AY421" s="56"/>
      <c r="AZ421" s="56"/>
      <c r="BA421" s="171"/>
      <c r="BB421" s="56"/>
      <c r="BC421" s="10"/>
      <c r="BD421" s="56"/>
      <c r="BE421" s="56"/>
      <c r="BF421" s="56"/>
      <c r="BG421" s="56"/>
      <c r="BO421" s="144"/>
      <c r="CI421" s="144"/>
      <c r="CY421" s="144"/>
    </row>
    <row r="422" spans="1:103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171"/>
      <c r="AP422" s="56"/>
      <c r="AQ422" s="56"/>
      <c r="AR422" s="56"/>
      <c r="AS422" s="56"/>
      <c r="AT422" s="56"/>
      <c r="AU422" s="56"/>
      <c r="AV422" s="56"/>
      <c r="AW422" s="171"/>
      <c r="AX422" s="56"/>
      <c r="AY422" s="56"/>
      <c r="AZ422" s="56"/>
      <c r="BA422" s="171"/>
      <c r="BB422" s="56"/>
      <c r="BC422" s="10"/>
      <c r="BD422" s="56"/>
      <c r="BE422" s="56"/>
      <c r="BF422" s="56"/>
      <c r="BG422" s="56"/>
      <c r="BO422" s="144"/>
      <c r="CI422" s="144"/>
      <c r="CY422" s="144"/>
    </row>
    <row r="423" spans="1:103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171"/>
      <c r="AP423" s="56"/>
      <c r="AQ423" s="56"/>
      <c r="AR423" s="56"/>
      <c r="AS423" s="56"/>
      <c r="AT423" s="56"/>
      <c r="AU423" s="56"/>
      <c r="AV423" s="56"/>
      <c r="AW423" s="171"/>
      <c r="AX423" s="56"/>
      <c r="AY423" s="56"/>
      <c r="AZ423" s="56"/>
      <c r="BA423" s="171"/>
      <c r="BB423" s="56"/>
      <c r="BC423" s="10"/>
      <c r="BD423" s="56"/>
      <c r="BE423" s="56"/>
      <c r="BF423" s="56"/>
      <c r="BG423" s="56"/>
      <c r="BO423" s="144"/>
      <c r="CI423" s="144"/>
      <c r="CY423" s="144"/>
    </row>
    <row r="424" spans="1:103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171"/>
      <c r="AP424" s="56"/>
      <c r="AQ424" s="56"/>
      <c r="AR424" s="56"/>
      <c r="AS424" s="56"/>
      <c r="AT424" s="56"/>
      <c r="AU424" s="56"/>
      <c r="AV424" s="56"/>
      <c r="AW424" s="171"/>
      <c r="AX424" s="56"/>
      <c r="AY424" s="56"/>
      <c r="AZ424" s="56"/>
      <c r="BA424" s="171"/>
      <c r="BB424" s="56"/>
      <c r="BC424" s="10"/>
      <c r="BD424" s="56"/>
      <c r="BE424" s="56"/>
      <c r="BF424" s="56"/>
      <c r="BG424" s="56"/>
      <c r="BO424" s="144"/>
      <c r="CI424" s="144"/>
      <c r="CY424" s="144"/>
    </row>
    <row r="425" spans="1:103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171"/>
      <c r="AP425" s="56"/>
      <c r="AQ425" s="56"/>
      <c r="AR425" s="56"/>
      <c r="AS425" s="56"/>
      <c r="AT425" s="56"/>
      <c r="AU425" s="56"/>
      <c r="AV425" s="56"/>
      <c r="AW425" s="171"/>
      <c r="AX425" s="56"/>
      <c r="AY425" s="56"/>
      <c r="AZ425" s="56"/>
      <c r="BA425" s="171"/>
      <c r="BB425" s="56"/>
      <c r="BC425" s="10"/>
      <c r="BD425" s="56"/>
      <c r="BE425" s="56"/>
      <c r="BF425" s="56"/>
      <c r="BG425" s="56"/>
      <c r="BO425" s="144"/>
      <c r="CI425" s="144"/>
      <c r="CY425" s="144"/>
    </row>
    <row r="426" spans="1:103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171"/>
      <c r="AP426" s="56"/>
      <c r="AQ426" s="56"/>
      <c r="AR426" s="56"/>
      <c r="AS426" s="56"/>
      <c r="AT426" s="56"/>
      <c r="AU426" s="56"/>
      <c r="AV426" s="56"/>
      <c r="AW426" s="171"/>
      <c r="AX426" s="56"/>
      <c r="AY426" s="56"/>
      <c r="AZ426" s="56"/>
      <c r="BA426" s="171"/>
      <c r="BB426" s="56"/>
      <c r="BC426" s="10"/>
      <c r="BD426" s="56"/>
      <c r="BE426" s="56"/>
      <c r="BF426" s="56"/>
      <c r="BG426" s="56"/>
      <c r="BO426" s="144"/>
      <c r="CI426" s="144"/>
      <c r="CY426" s="144"/>
    </row>
    <row r="427" spans="1:103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171"/>
      <c r="AP427" s="56"/>
      <c r="AQ427" s="56"/>
      <c r="AR427" s="56"/>
      <c r="AS427" s="56"/>
      <c r="AT427" s="56"/>
      <c r="AU427" s="56"/>
      <c r="AV427" s="56"/>
      <c r="AW427" s="171"/>
      <c r="AX427" s="56"/>
      <c r="AY427" s="56"/>
      <c r="AZ427" s="56"/>
      <c r="BA427" s="171"/>
      <c r="BB427" s="56"/>
      <c r="BC427" s="10"/>
      <c r="BD427" s="56"/>
      <c r="BE427" s="56"/>
      <c r="BF427" s="56"/>
      <c r="BG427" s="56"/>
      <c r="BO427" s="144"/>
      <c r="CI427" s="144"/>
      <c r="CY427" s="144"/>
    </row>
    <row r="428" spans="1:103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171"/>
      <c r="AP428" s="56"/>
      <c r="AQ428" s="56"/>
      <c r="AR428" s="56"/>
      <c r="AS428" s="56"/>
      <c r="AT428" s="56"/>
      <c r="AU428" s="56"/>
      <c r="AV428" s="56"/>
      <c r="AW428" s="171"/>
      <c r="AX428" s="56"/>
      <c r="AY428" s="56"/>
      <c r="AZ428" s="56"/>
      <c r="BA428" s="171"/>
      <c r="BB428" s="56"/>
      <c r="BC428" s="10"/>
      <c r="BD428" s="56"/>
      <c r="BE428" s="56"/>
      <c r="BF428" s="56"/>
      <c r="BG428" s="56"/>
      <c r="BO428" s="144"/>
      <c r="CI428" s="144"/>
      <c r="CY428" s="144"/>
    </row>
    <row r="429" spans="1:103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171"/>
      <c r="AP429" s="56"/>
      <c r="AQ429" s="56"/>
      <c r="AR429" s="56"/>
      <c r="AS429" s="56"/>
      <c r="AT429" s="56"/>
      <c r="AU429" s="56"/>
      <c r="AV429" s="56"/>
      <c r="AW429" s="171"/>
      <c r="AX429" s="56"/>
      <c r="AY429" s="56"/>
      <c r="AZ429" s="56"/>
      <c r="BA429" s="171"/>
      <c r="BB429" s="56"/>
      <c r="BC429" s="10"/>
      <c r="BD429" s="56"/>
      <c r="BE429" s="56"/>
      <c r="BF429" s="56"/>
      <c r="BG429" s="56"/>
      <c r="BO429" s="144"/>
      <c r="CI429" s="144"/>
      <c r="CY429" s="144"/>
    </row>
    <row r="430" spans="1:103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171"/>
      <c r="AP430" s="56"/>
      <c r="AQ430" s="56"/>
      <c r="AR430" s="56"/>
      <c r="AS430" s="56"/>
      <c r="AT430" s="56"/>
      <c r="AU430" s="56"/>
      <c r="AV430" s="56"/>
      <c r="AW430" s="171"/>
      <c r="AX430" s="56"/>
      <c r="AY430" s="56"/>
      <c r="AZ430" s="56"/>
      <c r="BA430" s="171"/>
      <c r="BB430" s="56"/>
      <c r="BC430" s="10"/>
      <c r="BD430" s="56"/>
      <c r="BE430" s="56"/>
      <c r="BF430" s="56"/>
      <c r="BG430" s="56"/>
      <c r="BO430" s="144"/>
      <c r="CI430" s="144"/>
      <c r="CY430" s="144"/>
    </row>
    <row r="431" spans="1:103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171"/>
      <c r="AP431" s="56"/>
      <c r="AQ431" s="56"/>
      <c r="AR431" s="56"/>
      <c r="AS431" s="56"/>
      <c r="AT431" s="56"/>
      <c r="AU431" s="56"/>
      <c r="AV431" s="56"/>
      <c r="AW431" s="171"/>
      <c r="AX431" s="56"/>
      <c r="AY431" s="56"/>
      <c r="AZ431" s="56"/>
      <c r="BA431" s="171"/>
      <c r="BB431" s="56"/>
      <c r="BC431" s="10"/>
      <c r="BD431" s="56"/>
      <c r="BE431" s="56"/>
      <c r="BF431" s="56"/>
      <c r="BG431" s="56"/>
      <c r="BO431" s="144"/>
      <c r="CI431" s="144"/>
      <c r="CY431" s="144"/>
    </row>
    <row r="432" spans="1:103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171"/>
      <c r="AP432" s="56"/>
      <c r="AQ432" s="56"/>
      <c r="AR432" s="56"/>
      <c r="AS432" s="56"/>
      <c r="AT432" s="56"/>
      <c r="AU432" s="56"/>
      <c r="AV432" s="56"/>
      <c r="AW432" s="171"/>
      <c r="AX432" s="56"/>
      <c r="AY432" s="56"/>
      <c r="AZ432" s="56"/>
      <c r="BA432" s="171"/>
      <c r="BB432" s="56"/>
      <c r="BC432" s="10"/>
      <c r="BD432" s="56"/>
      <c r="BE432" s="56"/>
      <c r="BF432" s="56"/>
      <c r="BG432" s="56"/>
      <c r="BO432" s="144"/>
      <c r="CI432" s="144"/>
      <c r="CY432" s="144"/>
    </row>
    <row r="433" spans="1:103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171"/>
      <c r="AP433" s="56"/>
      <c r="AQ433" s="56"/>
      <c r="AR433" s="56"/>
      <c r="AS433" s="56"/>
      <c r="AT433" s="56"/>
      <c r="AU433" s="56"/>
      <c r="AV433" s="56"/>
      <c r="AW433" s="171"/>
      <c r="AX433" s="56"/>
      <c r="AY433" s="56"/>
      <c r="AZ433" s="56"/>
      <c r="BA433" s="171"/>
      <c r="BB433" s="56"/>
      <c r="BC433" s="10"/>
      <c r="BD433" s="56"/>
      <c r="BE433" s="56"/>
      <c r="BF433" s="56"/>
      <c r="BG433" s="56"/>
      <c r="BO433" s="144"/>
      <c r="CI433" s="144"/>
      <c r="CY433" s="144"/>
    </row>
    <row r="434" spans="1:103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171"/>
      <c r="AP434" s="56"/>
      <c r="AQ434" s="56"/>
      <c r="AR434" s="56"/>
      <c r="AS434" s="56"/>
      <c r="AT434" s="56"/>
      <c r="AU434" s="56"/>
      <c r="AV434" s="56"/>
      <c r="AW434" s="171"/>
      <c r="AX434" s="56"/>
      <c r="AY434" s="56"/>
      <c r="AZ434" s="56"/>
      <c r="BA434" s="171"/>
      <c r="BB434" s="56"/>
      <c r="BC434" s="10"/>
      <c r="BD434" s="56"/>
      <c r="BE434" s="56"/>
      <c r="BF434" s="56"/>
      <c r="BG434" s="56"/>
      <c r="BO434" s="144"/>
      <c r="CI434" s="144"/>
      <c r="CY434" s="144"/>
    </row>
    <row r="435" spans="1:103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171"/>
      <c r="AP435" s="56"/>
      <c r="AQ435" s="56"/>
      <c r="AR435" s="56"/>
      <c r="AS435" s="56"/>
      <c r="AT435" s="56"/>
      <c r="AU435" s="56"/>
      <c r="AV435" s="56"/>
      <c r="AW435" s="171"/>
      <c r="AX435" s="56"/>
      <c r="AY435" s="56"/>
      <c r="AZ435" s="56"/>
      <c r="BA435" s="171"/>
      <c r="BB435" s="56"/>
      <c r="BC435" s="10"/>
      <c r="BD435" s="56"/>
      <c r="BE435" s="56"/>
      <c r="BF435" s="56"/>
      <c r="BG435" s="56"/>
      <c r="BO435" s="144"/>
      <c r="CI435" s="144"/>
      <c r="CY435" s="144"/>
    </row>
    <row r="436" spans="1:103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171"/>
      <c r="AP436" s="56"/>
      <c r="AQ436" s="56"/>
      <c r="AR436" s="56"/>
      <c r="AS436" s="56"/>
      <c r="AT436" s="56"/>
      <c r="AU436" s="56"/>
      <c r="AV436" s="56"/>
      <c r="AW436" s="171"/>
      <c r="AX436" s="56"/>
      <c r="AY436" s="56"/>
      <c r="AZ436" s="56"/>
      <c r="BA436" s="171"/>
      <c r="BB436" s="56"/>
      <c r="BC436" s="10"/>
      <c r="BD436" s="56"/>
      <c r="BE436" s="56"/>
      <c r="BF436" s="56"/>
      <c r="BG436" s="56"/>
      <c r="BO436" s="144"/>
      <c r="CI436" s="144"/>
      <c r="CY436" s="144"/>
    </row>
    <row r="437" spans="1:103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171"/>
      <c r="AP437" s="56"/>
      <c r="AQ437" s="56"/>
      <c r="AR437" s="56"/>
      <c r="AS437" s="56"/>
      <c r="AT437" s="56"/>
      <c r="AU437" s="56"/>
      <c r="AV437" s="56"/>
      <c r="AW437" s="171"/>
      <c r="AX437" s="56"/>
      <c r="AY437" s="56"/>
      <c r="AZ437" s="56"/>
      <c r="BA437" s="171"/>
      <c r="BB437" s="56"/>
      <c r="BC437" s="10"/>
      <c r="BD437" s="56"/>
      <c r="BE437" s="56"/>
      <c r="BF437" s="56"/>
      <c r="BG437" s="56"/>
      <c r="BO437" s="144"/>
      <c r="CI437" s="144"/>
      <c r="CY437" s="144"/>
    </row>
    <row r="438" spans="1:103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171"/>
      <c r="AP438" s="56"/>
      <c r="AQ438" s="56"/>
      <c r="AR438" s="56"/>
      <c r="AS438" s="56"/>
      <c r="AT438" s="56"/>
      <c r="AU438" s="56"/>
      <c r="AV438" s="56"/>
      <c r="AW438" s="171"/>
      <c r="AX438" s="56"/>
      <c r="AY438" s="56"/>
      <c r="AZ438" s="56"/>
      <c r="BA438" s="171"/>
      <c r="BB438" s="56"/>
      <c r="BC438" s="10"/>
      <c r="BD438" s="56"/>
      <c r="BE438" s="56"/>
      <c r="BF438" s="56"/>
      <c r="BG438" s="56"/>
      <c r="BO438" s="144"/>
      <c r="CI438" s="144"/>
      <c r="CY438" s="144"/>
    </row>
    <row r="439" spans="1:103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171"/>
      <c r="AP439" s="56"/>
      <c r="AQ439" s="56"/>
      <c r="AR439" s="56"/>
      <c r="AS439" s="56"/>
      <c r="AT439" s="56"/>
      <c r="AU439" s="56"/>
      <c r="AV439" s="56"/>
      <c r="AW439" s="171"/>
      <c r="AX439" s="56"/>
      <c r="AY439" s="56"/>
      <c r="AZ439" s="56"/>
      <c r="BA439" s="171"/>
      <c r="BB439" s="56"/>
      <c r="BC439" s="10"/>
      <c r="BD439" s="56"/>
      <c r="BE439" s="56"/>
      <c r="BF439" s="56"/>
      <c r="BG439" s="56"/>
      <c r="BO439" s="144"/>
      <c r="CI439" s="144"/>
      <c r="CY439" s="144"/>
    </row>
    <row r="440" spans="1:103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171"/>
      <c r="AP440" s="56"/>
      <c r="AQ440" s="56"/>
      <c r="AR440" s="56"/>
      <c r="AS440" s="56"/>
      <c r="AT440" s="56"/>
      <c r="AU440" s="56"/>
      <c r="AV440" s="56"/>
      <c r="AW440" s="171"/>
      <c r="AX440" s="56"/>
      <c r="AY440" s="56"/>
      <c r="AZ440" s="56"/>
      <c r="BA440" s="171"/>
      <c r="BB440" s="56"/>
      <c r="BC440" s="10"/>
      <c r="BD440" s="56"/>
      <c r="BE440" s="56"/>
      <c r="BF440" s="56"/>
      <c r="BG440" s="56"/>
      <c r="BO440" s="144"/>
      <c r="CI440" s="144"/>
      <c r="CY440" s="144"/>
    </row>
    <row r="441" spans="1:103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171"/>
      <c r="AP441" s="56"/>
      <c r="AQ441" s="56"/>
      <c r="AR441" s="56"/>
      <c r="AS441" s="56"/>
      <c r="AT441" s="56"/>
      <c r="AU441" s="56"/>
      <c r="AV441" s="56"/>
      <c r="AW441" s="171"/>
      <c r="AX441" s="56"/>
      <c r="AY441" s="56"/>
      <c r="AZ441" s="56"/>
      <c r="BA441" s="171"/>
      <c r="BB441" s="56"/>
      <c r="BC441" s="10"/>
      <c r="BD441" s="56"/>
      <c r="BE441" s="56"/>
      <c r="BF441" s="56"/>
      <c r="BG441" s="56"/>
      <c r="BO441" s="144"/>
      <c r="CI441" s="144"/>
      <c r="CY441" s="144"/>
    </row>
    <row r="442" spans="1:103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171"/>
      <c r="AP442" s="56"/>
      <c r="AQ442" s="56"/>
      <c r="AR442" s="56"/>
      <c r="AS442" s="56"/>
      <c r="AT442" s="56"/>
      <c r="AU442" s="56"/>
      <c r="AV442" s="56"/>
      <c r="AW442" s="171"/>
      <c r="AX442" s="56"/>
      <c r="AY442" s="56"/>
      <c r="AZ442" s="56"/>
      <c r="BA442" s="171"/>
      <c r="BB442" s="56"/>
      <c r="BC442" s="10"/>
      <c r="BD442" s="56"/>
      <c r="BE442" s="56"/>
      <c r="BF442" s="56"/>
      <c r="BG442" s="56"/>
      <c r="BO442" s="144"/>
      <c r="CI442" s="144"/>
      <c r="CY442" s="144"/>
    </row>
    <row r="443" spans="1:103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171"/>
      <c r="AP443" s="56"/>
      <c r="AQ443" s="56"/>
      <c r="AR443" s="56"/>
      <c r="AS443" s="56"/>
      <c r="AT443" s="56"/>
      <c r="AU443" s="56"/>
      <c r="AV443" s="56"/>
      <c r="AW443" s="171"/>
      <c r="AX443" s="56"/>
      <c r="AY443" s="56"/>
      <c r="AZ443" s="56"/>
      <c r="BA443" s="171"/>
      <c r="BB443" s="56"/>
      <c r="BC443" s="10"/>
      <c r="BD443" s="56"/>
      <c r="BE443" s="56"/>
      <c r="BF443" s="56"/>
      <c r="BG443" s="56"/>
      <c r="BO443" s="144"/>
      <c r="CI443" s="144"/>
      <c r="CY443" s="144"/>
    </row>
    <row r="444" spans="1:103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171"/>
      <c r="AP444" s="56"/>
      <c r="AQ444" s="56"/>
      <c r="AR444" s="56"/>
      <c r="AS444" s="56"/>
      <c r="AT444" s="56"/>
      <c r="AU444" s="56"/>
      <c r="AV444" s="56"/>
      <c r="AW444" s="171"/>
      <c r="AX444" s="56"/>
      <c r="AY444" s="56"/>
      <c r="AZ444" s="56"/>
      <c r="BA444" s="171"/>
      <c r="BB444" s="56"/>
      <c r="BC444" s="10"/>
      <c r="BD444" s="56"/>
      <c r="BE444" s="56"/>
      <c r="BF444" s="56"/>
      <c r="BG444" s="56"/>
      <c r="BO444" s="144"/>
      <c r="CI444" s="144"/>
      <c r="CY444" s="144"/>
    </row>
    <row r="445" spans="1:103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171"/>
      <c r="AP445" s="56"/>
      <c r="AQ445" s="56"/>
      <c r="AR445" s="56"/>
      <c r="AS445" s="56"/>
      <c r="AT445" s="56"/>
      <c r="AU445" s="56"/>
      <c r="AV445" s="56"/>
      <c r="AW445" s="171"/>
      <c r="AX445" s="56"/>
      <c r="AY445" s="56"/>
      <c r="AZ445" s="56"/>
      <c r="BA445" s="171"/>
      <c r="BB445" s="56"/>
      <c r="BC445" s="10"/>
      <c r="BD445" s="56"/>
      <c r="BE445" s="56"/>
      <c r="BF445" s="56"/>
      <c r="BG445" s="56"/>
      <c r="BO445" s="144"/>
      <c r="CI445" s="144"/>
      <c r="CY445" s="144"/>
    </row>
    <row r="446" spans="1:103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171"/>
      <c r="AP446" s="56"/>
      <c r="AQ446" s="56"/>
      <c r="AR446" s="56"/>
      <c r="AS446" s="56"/>
      <c r="AT446" s="56"/>
      <c r="AU446" s="56"/>
      <c r="AV446" s="56"/>
      <c r="AW446" s="171"/>
      <c r="AX446" s="56"/>
      <c r="AY446" s="56"/>
      <c r="AZ446" s="56"/>
      <c r="BA446" s="171"/>
      <c r="BB446" s="56"/>
      <c r="BC446" s="10"/>
      <c r="BD446" s="56"/>
      <c r="BE446" s="56"/>
      <c r="BF446" s="56"/>
      <c r="BG446" s="56"/>
      <c r="BO446" s="144"/>
      <c r="CI446" s="144"/>
      <c r="CY446" s="144"/>
    </row>
    <row r="447" spans="1:103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171"/>
      <c r="AP447" s="56"/>
      <c r="AQ447" s="56"/>
      <c r="AR447" s="56"/>
      <c r="AS447" s="56"/>
      <c r="AT447" s="56"/>
      <c r="AU447" s="56"/>
      <c r="AV447" s="56"/>
      <c r="AW447" s="171"/>
      <c r="AX447" s="56"/>
      <c r="AY447" s="56"/>
      <c r="AZ447" s="56"/>
      <c r="BA447" s="171"/>
      <c r="BB447" s="56"/>
      <c r="BC447" s="10"/>
      <c r="BD447" s="56"/>
      <c r="BE447" s="56"/>
      <c r="BF447" s="56"/>
      <c r="BG447" s="56"/>
      <c r="BO447" s="144"/>
      <c r="CI447" s="144"/>
      <c r="CY447" s="144"/>
    </row>
    <row r="448" spans="1:103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171"/>
      <c r="AP448" s="56"/>
      <c r="AQ448" s="56"/>
      <c r="AR448" s="56"/>
      <c r="AS448" s="56"/>
      <c r="AT448" s="56"/>
      <c r="AU448" s="56"/>
      <c r="AV448" s="56"/>
      <c r="AW448" s="171"/>
      <c r="AX448" s="56"/>
      <c r="AY448" s="56"/>
      <c r="AZ448" s="56"/>
      <c r="BA448" s="171"/>
      <c r="BB448" s="56"/>
      <c r="BC448" s="10"/>
      <c r="BD448" s="56"/>
      <c r="BE448" s="56"/>
      <c r="BF448" s="56"/>
      <c r="BG448" s="56"/>
      <c r="BO448" s="144"/>
      <c r="CI448" s="144"/>
      <c r="CY448" s="144"/>
    </row>
    <row r="449" spans="1:103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171"/>
      <c r="AP449" s="56"/>
      <c r="AQ449" s="56"/>
      <c r="AR449" s="56"/>
      <c r="AS449" s="56"/>
      <c r="AT449" s="56"/>
      <c r="AU449" s="56"/>
      <c r="AV449" s="56"/>
      <c r="AW449" s="171"/>
      <c r="AX449" s="56"/>
      <c r="AY449" s="56"/>
      <c r="AZ449" s="56"/>
      <c r="BA449" s="171"/>
      <c r="BB449" s="56"/>
      <c r="BC449" s="10"/>
      <c r="BD449" s="56"/>
      <c r="BE449" s="56"/>
      <c r="BF449" s="56"/>
      <c r="BG449" s="56"/>
      <c r="BO449" s="144"/>
      <c r="CI449" s="144"/>
      <c r="CY449" s="144"/>
    </row>
    <row r="450" spans="1:103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171"/>
      <c r="AP450" s="56"/>
      <c r="AQ450" s="56"/>
      <c r="AR450" s="56"/>
      <c r="AS450" s="56"/>
      <c r="AT450" s="56"/>
      <c r="AU450" s="56"/>
      <c r="AV450" s="56"/>
      <c r="AW450" s="171"/>
      <c r="AX450" s="56"/>
      <c r="AY450" s="56"/>
      <c r="AZ450" s="56"/>
      <c r="BA450" s="171"/>
      <c r="BB450" s="56"/>
      <c r="BC450" s="10"/>
      <c r="BD450" s="56"/>
      <c r="BE450" s="56"/>
      <c r="BF450" s="56"/>
      <c r="BG450" s="56"/>
      <c r="BO450" s="144"/>
      <c r="CI450" s="144"/>
      <c r="CY450" s="144"/>
    </row>
    <row r="451" spans="1:103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171"/>
      <c r="AP451" s="56"/>
      <c r="AQ451" s="56"/>
      <c r="AR451" s="56"/>
      <c r="AS451" s="56"/>
      <c r="AT451" s="56"/>
      <c r="AU451" s="56"/>
      <c r="AV451" s="56"/>
      <c r="AW451" s="171"/>
      <c r="AX451" s="56"/>
      <c r="AY451" s="56"/>
      <c r="AZ451" s="56"/>
      <c r="BA451" s="171"/>
      <c r="BB451" s="56"/>
      <c r="BC451" s="10"/>
      <c r="BD451" s="56"/>
      <c r="BE451" s="56"/>
      <c r="BF451" s="56"/>
      <c r="BG451" s="56"/>
      <c r="BO451" s="144"/>
      <c r="CI451" s="144"/>
      <c r="CY451" s="144"/>
    </row>
    <row r="452" spans="1:103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171"/>
      <c r="AP452" s="56"/>
      <c r="AQ452" s="56"/>
      <c r="AR452" s="56"/>
      <c r="AS452" s="56"/>
      <c r="AT452" s="56"/>
      <c r="AU452" s="56"/>
      <c r="AV452" s="56"/>
      <c r="AW452" s="171"/>
      <c r="AX452" s="56"/>
      <c r="AY452" s="56"/>
      <c r="AZ452" s="56"/>
      <c r="BA452" s="171"/>
      <c r="BB452" s="56"/>
      <c r="BC452" s="10"/>
      <c r="BD452" s="56"/>
      <c r="BE452" s="56"/>
      <c r="BF452" s="56"/>
      <c r="BG452" s="56"/>
      <c r="BO452" s="144"/>
      <c r="CI452" s="144"/>
      <c r="CY452" s="144"/>
    </row>
    <row r="453" spans="1:103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171"/>
      <c r="AP453" s="56"/>
      <c r="AQ453" s="56"/>
      <c r="AR453" s="56"/>
      <c r="AS453" s="56"/>
      <c r="AT453" s="56"/>
      <c r="AU453" s="56"/>
      <c r="AV453" s="56"/>
      <c r="AW453" s="171"/>
      <c r="AX453" s="56"/>
      <c r="AY453" s="56"/>
      <c r="AZ453" s="56"/>
      <c r="BA453" s="171"/>
      <c r="BB453" s="56"/>
      <c r="BC453" s="10"/>
      <c r="BD453" s="56"/>
      <c r="BE453" s="56"/>
      <c r="BF453" s="56"/>
      <c r="BG453" s="56"/>
      <c r="BO453" s="144"/>
      <c r="CI453" s="144"/>
      <c r="CY453" s="144"/>
    </row>
    <row r="454" spans="1:103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171"/>
      <c r="AP454" s="56"/>
      <c r="AQ454" s="56"/>
      <c r="AR454" s="56"/>
      <c r="AS454" s="56"/>
      <c r="AT454" s="56"/>
      <c r="AU454" s="56"/>
      <c r="AV454" s="56"/>
      <c r="AW454" s="171"/>
      <c r="AX454" s="56"/>
      <c r="AY454" s="56"/>
      <c r="AZ454" s="56"/>
      <c r="BA454" s="171"/>
      <c r="BB454" s="56"/>
      <c r="BC454" s="10"/>
      <c r="BD454" s="56"/>
      <c r="BE454" s="56"/>
      <c r="BF454" s="56"/>
      <c r="BG454" s="56"/>
      <c r="BO454" s="144"/>
      <c r="CI454" s="144"/>
      <c r="CY454" s="144"/>
    </row>
    <row r="455" spans="1:103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171"/>
      <c r="AP455" s="56"/>
      <c r="AQ455" s="56"/>
      <c r="AR455" s="56"/>
      <c r="AS455" s="56"/>
      <c r="AT455" s="56"/>
      <c r="AU455" s="56"/>
      <c r="AV455" s="56"/>
      <c r="AW455" s="171"/>
      <c r="AX455" s="56"/>
      <c r="AY455" s="56"/>
      <c r="AZ455" s="56"/>
      <c r="BA455" s="171"/>
      <c r="BB455" s="56"/>
      <c r="BC455" s="10"/>
      <c r="BD455" s="56"/>
      <c r="BE455" s="56"/>
      <c r="BF455" s="56"/>
      <c r="BG455" s="56"/>
      <c r="BO455" s="144"/>
      <c r="CI455" s="144"/>
      <c r="CY455" s="144"/>
    </row>
    <row r="456" spans="1:103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171"/>
      <c r="AP456" s="56"/>
      <c r="AQ456" s="56"/>
      <c r="AR456" s="56"/>
      <c r="AS456" s="56"/>
      <c r="AT456" s="56"/>
      <c r="AU456" s="56"/>
      <c r="AV456" s="56"/>
      <c r="AW456" s="171"/>
      <c r="AX456" s="56"/>
      <c r="AY456" s="56"/>
      <c r="AZ456" s="56"/>
      <c r="BA456" s="171"/>
      <c r="BB456" s="56"/>
      <c r="BC456" s="10"/>
      <c r="BD456" s="56"/>
      <c r="BE456" s="56"/>
      <c r="BF456" s="56"/>
      <c r="BG456" s="56"/>
      <c r="BO456" s="144"/>
      <c r="CI456" s="144"/>
      <c r="CY456" s="144"/>
    </row>
    <row r="457" spans="1:103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171"/>
      <c r="AP457" s="56"/>
      <c r="AQ457" s="56"/>
      <c r="AR457" s="56"/>
      <c r="AS457" s="56"/>
      <c r="AT457" s="56"/>
      <c r="AU457" s="56"/>
      <c r="AV457" s="56"/>
      <c r="AW457" s="171"/>
      <c r="AX457" s="56"/>
      <c r="AY457" s="56"/>
      <c r="AZ457" s="56"/>
      <c r="BA457" s="171"/>
      <c r="BB457" s="56"/>
      <c r="BC457" s="10"/>
      <c r="BD457" s="56"/>
      <c r="BE457" s="56"/>
      <c r="BF457" s="56"/>
      <c r="BG457" s="56"/>
      <c r="BO457" s="144"/>
      <c r="CI457" s="144"/>
      <c r="CY457" s="144"/>
    </row>
    <row r="458" spans="1:103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171"/>
      <c r="AP458" s="56"/>
      <c r="AQ458" s="56"/>
      <c r="AR458" s="56"/>
      <c r="AS458" s="56"/>
      <c r="AT458" s="56"/>
      <c r="AU458" s="56"/>
      <c r="AV458" s="56"/>
      <c r="AW458" s="171"/>
      <c r="AX458" s="56"/>
      <c r="AY458" s="56"/>
      <c r="AZ458" s="56"/>
      <c r="BA458" s="171"/>
      <c r="BB458" s="56"/>
      <c r="BC458" s="10"/>
      <c r="BD458" s="56"/>
      <c r="BE458" s="56"/>
      <c r="BF458" s="56"/>
      <c r="BG458" s="56"/>
      <c r="BO458" s="144"/>
      <c r="CI458" s="144"/>
      <c r="CY458" s="144"/>
    </row>
    <row r="459" spans="1:103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171"/>
      <c r="AP459" s="56"/>
      <c r="AQ459" s="56"/>
      <c r="AR459" s="56"/>
      <c r="AS459" s="56"/>
      <c r="AT459" s="56"/>
      <c r="AU459" s="56"/>
      <c r="AV459" s="56"/>
      <c r="AW459" s="171"/>
      <c r="AX459" s="56"/>
      <c r="AY459" s="56"/>
      <c r="AZ459" s="56"/>
      <c r="BA459" s="171"/>
      <c r="BB459" s="56"/>
      <c r="BC459" s="10"/>
      <c r="BD459" s="56"/>
      <c r="BE459" s="56"/>
      <c r="BF459" s="56"/>
      <c r="BG459" s="56"/>
      <c r="BO459" s="144"/>
      <c r="CI459" s="144"/>
      <c r="CY459" s="144"/>
    </row>
    <row r="460" spans="1:103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171"/>
      <c r="AP460" s="56"/>
      <c r="AQ460" s="56"/>
      <c r="AR460" s="56"/>
      <c r="AS460" s="56"/>
      <c r="AT460" s="56"/>
      <c r="AU460" s="56"/>
      <c r="AV460" s="56"/>
      <c r="AW460" s="171"/>
      <c r="AX460" s="56"/>
      <c r="AY460" s="56"/>
      <c r="AZ460" s="56"/>
      <c r="BA460" s="171"/>
      <c r="BB460" s="56"/>
      <c r="BC460" s="10"/>
      <c r="BD460" s="56"/>
      <c r="BE460" s="56"/>
      <c r="BF460" s="56"/>
      <c r="BG460" s="56"/>
      <c r="BO460" s="144"/>
      <c r="CI460" s="144"/>
      <c r="CY460" s="144"/>
    </row>
    <row r="461" spans="1:103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171"/>
      <c r="AP461" s="56"/>
      <c r="AQ461" s="56"/>
      <c r="AR461" s="56"/>
      <c r="AS461" s="56"/>
      <c r="AT461" s="56"/>
      <c r="AU461" s="56"/>
      <c r="AV461" s="56"/>
      <c r="AW461" s="171"/>
      <c r="AX461" s="56"/>
      <c r="AY461" s="56"/>
      <c r="AZ461" s="56"/>
      <c r="BA461" s="171"/>
      <c r="BB461" s="56"/>
      <c r="BC461" s="10"/>
      <c r="BD461" s="56"/>
      <c r="BE461" s="56"/>
      <c r="BF461" s="56"/>
      <c r="BG461" s="56"/>
      <c r="BO461" s="144"/>
      <c r="CI461" s="144"/>
      <c r="CY461" s="144"/>
    </row>
    <row r="462" spans="1:103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171"/>
      <c r="AP462" s="56"/>
      <c r="AQ462" s="56"/>
      <c r="AR462" s="56"/>
      <c r="AS462" s="56"/>
      <c r="AT462" s="56"/>
      <c r="AU462" s="56"/>
      <c r="AV462" s="56"/>
      <c r="AW462" s="171"/>
      <c r="AX462" s="56"/>
      <c r="AY462" s="56"/>
      <c r="AZ462" s="56"/>
      <c r="BA462" s="171"/>
      <c r="BB462" s="56"/>
      <c r="BC462" s="10"/>
      <c r="BD462" s="56"/>
      <c r="BE462" s="56"/>
      <c r="BF462" s="56"/>
      <c r="BG462" s="56"/>
      <c r="BO462" s="144"/>
      <c r="CI462" s="144"/>
      <c r="CY462" s="144"/>
    </row>
    <row r="463" spans="1:103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171"/>
      <c r="AP463" s="56"/>
      <c r="AQ463" s="56"/>
      <c r="AR463" s="56"/>
      <c r="AS463" s="56"/>
      <c r="AT463" s="56"/>
      <c r="AU463" s="56"/>
      <c r="AV463" s="56"/>
      <c r="AW463" s="171"/>
      <c r="AX463" s="56"/>
      <c r="AY463" s="56"/>
      <c r="AZ463" s="56"/>
      <c r="BA463" s="171"/>
      <c r="BB463" s="56"/>
      <c r="BC463" s="10"/>
      <c r="BD463" s="56"/>
      <c r="BE463" s="56"/>
      <c r="BF463" s="56"/>
      <c r="BG463" s="56"/>
      <c r="BO463" s="144"/>
      <c r="CI463" s="144"/>
      <c r="CY463" s="144"/>
    </row>
    <row r="464" spans="1:103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171"/>
      <c r="AP464" s="56"/>
      <c r="AQ464" s="56"/>
      <c r="AR464" s="56"/>
      <c r="AS464" s="56"/>
      <c r="AT464" s="56"/>
      <c r="AU464" s="56"/>
      <c r="AV464" s="56"/>
      <c r="AW464" s="171"/>
      <c r="AX464" s="56"/>
      <c r="AY464" s="56"/>
      <c r="AZ464" s="56"/>
      <c r="BA464" s="171"/>
      <c r="BB464" s="56"/>
      <c r="BC464" s="10"/>
      <c r="BD464" s="56"/>
      <c r="BE464" s="56"/>
      <c r="BF464" s="56"/>
      <c r="BG464" s="56"/>
      <c r="BO464" s="144"/>
      <c r="CI464" s="144"/>
      <c r="CY464" s="144"/>
    </row>
    <row r="465" spans="1:103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171"/>
      <c r="AP465" s="56"/>
      <c r="AQ465" s="56"/>
      <c r="AR465" s="56"/>
      <c r="AS465" s="56"/>
      <c r="AT465" s="56"/>
      <c r="AU465" s="56"/>
      <c r="AV465" s="56"/>
      <c r="AW465" s="171"/>
      <c r="AX465" s="56"/>
      <c r="AY465" s="56"/>
      <c r="AZ465" s="56"/>
      <c r="BA465" s="171"/>
      <c r="BB465" s="56"/>
      <c r="BC465" s="10"/>
      <c r="BD465" s="56"/>
      <c r="BE465" s="56"/>
      <c r="BF465" s="56"/>
      <c r="BG465" s="56"/>
      <c r="BO465" s="144"/>
      <c r="CI465" s="144"/>
      <c r="CY465" s="144"/>
    </row>
    <row r="466" spans="1:103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171"/>
      <c r="AP466" s="56"/>
      <c r="AQ466" s="56"/>
      <c r="AR466" s="56"/>
      <c r="AS466" s="56"/>
      <c r="AT466" s="56"/>
      <c r="AU466" s="56"/>
      <c r="AV466" s="56"/>
      <c r="AW466" s="171"/>
      <c r="AX466" s="56"/>
      <c r="AY466" s="56"/>
      <c r="AZ466" s="56"/>
      <c r="BA466" s="171"/>
      <c r="BB466" s="56"/>
      <c r="BC466" s="10"/>
      <c r="BD466" s="56"/>
      <c r="BE466" s="56"/>
      <c r="BF466" s="56"/>
      <c r="BG466" s="56"/>
      <c r="BO466" s="144"/>
      <c r="CI466" s="144"/>
      <c r="CY466" s="144"/>
    </row>
    <row r="467" spans="1:103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171"/>
      <c r="AP467" s="56"/>
      <c r="AQ467" s="56"/>
      <c r="AR467" s="56"/>
      <c r="AS467" s="56"/>
      <c r="AT467" s="56"/>
      <c r="AU467" s="56"/>
      <c r="AV467" s="56"/>
      <c r="AW467" s="171"/>
      <c r="AX467" s="56"/>
      <c r="AY467" s="56"/>
      <c r="AZ467" s="56"/>
      <c r="BA467" s="171"/>
      <c r="BB467" s="56"/>
      <c r="BC467" s="10"/>
      <c r="BD467" s="56"/>
      <c r="BE467" s="56"/>
      <c r="BF467" s="56"/>
      <c r="BG467" s="56"/>
      <c r="BO467" s="144"/>
      <c r="CI467" s="144"/>
      <c r="CY467" s="144"/>
    </row>
    <row r="468" spans="1:103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171"/>
      <c r="AP468" s="56"/>
      <c r="AQ468" s="56"/>
      <c r="AR468" s="56"/>
      <c r="AS468" s="56"/>
      <c r="AT468" s="56"/>
      <c r="AU468" s="56"/>
      <c r="AV468" s="56"/>
      <c r="AW468" s="171"/>
      <c r="AX468" s="56"/>
      <c r="AY468" s="56"/>
      <c r="AZ468" s="56"/>
      <c r="BA468" s="171"/>
      <c r="BB468" s="56"/>
      <c r="BC468" s="10"/>
      <c r="BD468" s="56"/>
      <c r="BE468" s="56"/>
      <c r="BF468" s="56"/>
      <c r="BG468" s="56"/>
      <c r="BO468" s="144"/>
      <c r="CI468" s="144"/>
      <c r="CY468" s="144"/>
    </row>
    <row r="469" spans="1:103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171"/>
      <c r="AP469" s="56"/>
      <c r="AQ469" s="56"/>
      <c r="AR469" s="56"/>
      <c r="AS469" s="56"/>
      <c r="AT469" s="56"/>
      <c r="AU469" s="56"/>
      <c r="AV469" s="56"/>
      <c r="AW469" s="171"/>
      <c r="AX469" s="56"/>
      <c r="AY469" s="56"/>
      <c r="AZ469" s="56"/>
      <c r="BA469" s="171"/>
      <c r="BB469" s="56"/>
      <c r="BC469" s="10"/>
      <c r="BD469" s="56"/>
      <c r="BE469" s="56"/>
      <c r="BF469" s="56"/>
      <c r="BG469" s="56"/>
      <c r="BO469" s="144"/>
      <c r="CI469" s="144"/>
      <c r="CY469" s="144"/>
    </row>
    <row r="470" spans="1:103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171"/>
      <c r="AP470" s="56"/>
      <c r="AQ470" s="56"/>
      <c r="AR470" s="56"/>
      <c r="AS470" s="56"/>
      <c r="AT470" s="56"/>
      <c r="AU470" s="56"/>
      <c r="AV470" s="56"/>
      <c r="AW470" s="171"/>
      <c r="AX470" s="56"/>
      <c r="AY470" s="56"/>
      <c r="AZ470" s="56"/>
      <c r="BA470" s="171"/>
      <c r="BB470" s="56"/>
      <c r="BC470" s="10"/>
      <c r="BD470" s="56"/>
      <c r="BE470" s="56"/>
      <c r="BF470" s="56"/>
      <c r="BG470" s="56"/>
      <c r="BO470" s="144"/>
      <c r="CI470" s="144"/>
      <c r="CY470" s="144"/>
    </row>
    <row r="471" spans="1:103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171"/>
      <c r="AP471" s="56"/>
      <c r="AQ471" s="56"/>
      <c r="AR471" s="56"/>
      <c r="AS471" s="56"/>
      <c r="AT471" s="56"/>
      <c r="AU471" s="56"/>
      <c r="AV471" s="56"/>
      <c r="AW471" s="171"/>
      <c r="AX471" s="56"/>
      <c r="AY471" s="56"/>
      <c r="AZ471" s="56"/>
      <c r="BA471" s="171"/>
      <c r="BB471" s="56"/>
      <c r="BC471" s="10"/>
      <c r="BD471" s="56"/>
      <c r="BE471" s="56"/>
      <c r="BF471" s="56"/>
      <c r="BG471" s="56"/>
      <c r="BO471" s="144"/>
      <c r="CI471" s="144"/>
      <c r="CY471" s="144"/>
    </row>
    <row r="472" spans="1:103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171"/>
      <c r="AP472" s="56"/>
      <c r="AQ472" s="56"/>
      <c r="AR472" s="56"/>
      <c r="AS472" s="56"/>
      <c r="AT472" s="56"/>
      <c r="AU472" s="56"/>
      <c r="AV472" s="56"/>
      <c r="AW472" s="171"/>
      <c r="AX472" s="56"/>
      <c r="AY472" s="56"/>
      <c r="AZ472" s="56"/>
      <c r="BA472" s="171"/>
      <c r="BB472" s="56"/>
      <c r="BC472" s="10"/>
      <c r="BD472" s="56"/>
      <c r="BE472" s="56"/>
      <c r="BF472" s="56"/>
      <c r="BG472" s="56"/>
      <c r="BO472" s="144"/>
      <c r="CI472" s="144"/>
      <c r="CY472" s="144"/>
    </row>
    <row r="473" spans="1:103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171"/>
      <c r="AP473" s="56"/>
      <c r="AQ473" s="56"/>
      <c r="AR473" s="56"/>
      <c r="AS473" s="56"/>
      <c r="AT473" s="56"/>
      <c r="AU473" s="56"/>
      <c r="AV473" s="56"/>
      <c r="AW473" s="171"/>
      <c r="AX473" s="56"/>
      <c r="AY473" s="56"/>
      <c r="AZ473" s="56"/>
      <c r="BA473" s="171"/>
      <c r="BB473" s="56"/>
      <c r="BC473" s="10"/>
      <c r="BD473" s="56"/>
      <c r="BE473" s="56"/>
      <c r="BF473" s="56"/>
      <c r="BG473" s="56"/>
      <c r="BO473" s="144"/>
      <c r="CI473" s="144"/>
      <c r="CY473" s="144"/>
    </row>
    <row r="474" spans="1:103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171"/>
      <c r="AP474" s="56"/>
      <c r="AQ474" s="56"/>
      <c r="AR474" s="56"/>
      <c r="AS474" s="56"/>
      <c r="AT474" s="56"/>
      <c r="AU474" s="56"/>
      <c r="AV474" s="56"/>
      <c r="AW474" s="171"/>
      <c r="AX474" s="56"/>
      <c r="AY474" s="56"/>
      <c r="AZ474" s="56"/>
      <c r="BA474" s="171"/>
      <c r="BB474" s="56"/>
      <c r="BC474" s="10"/>
      <c r="BD474" s="56"/>
      <c r="BE474" s="56"/>
      <c r="BF474" s="56"/>
      <c r="BG474" s="56"/>
      <c r="BO474" s="144"/>
      <c r="CI474" s="144"/>
      <c r="CY474" s="144"/>
    </row>
    <row r="475" spans="1:103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171"/>
      <c r="AP475" s="56"/>
      <c r="AQ475" s="56"/>
      <c r="AR475" s="56"/>
      <c r="AS475" s="56"/>
      <c r="AT475" s="56"/>
      <c r="AU475" s="56"/>
      <c r="AV475" s="56"/>
      <c r="AW475" s="171"/>
      <c r="AX475" s="56"/>
      <c r="AY475" s="56"/>
      <c r="AZ475" s="56"/>
      <c r="BA475" s="171"/>
      <c r="BB475" s="56"/>
      <c r="BC475" s="10"/>
      <c r="BD475" s="56"/>
      <c r="BE475" s="56"/>
      <c r="BF475" s="56"/>
      <c r="BG475" s="56"/>
      <c r="BO475" s="144"/>
      <c r="CI475" s="144"/>
      <c r="CY475" s="144"/>
    </row>
    <row r="476" spans="1:103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171"/>
      <c r="AP476" s="56"/>
      <c r="AQ476" s="56"/>
      <c r="AR476" s="56"/>
      <c r="AS476" s="56"/>
      <c r="AT476" s="56"/>
      <c r="AU476" s="56"/>
      <c r="AV476" s="56"/>
      <c r="AW476" s="171"/>
      <c r="AX476" s="56"/>
      <c r="AY476" s="56"/>
      <c r="AZ476" s="56"/>
      <c r="BA476" s="171"/>
      <c r="BB476" s="56"/>
      <c r="BC476" s="10"/>
      <c r="BD476" s="56"/>
      <c r="BE476" s="56"/>
      <c r="BF476" s="56"/>
      <c r="BG476" s="56"/>
      <c r="BO476" s="144"/>
      <c r="CI476" s="144"/>
      <c r="CY476" s="144"/>
    </row>
    <row r="477" spans="1:103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171"/>
      <c r="AP477" s="56"/>
      <c r="AQ477" s="56"/>
      <c r="AR477" s="56"/>
      <c r="AS477" s="56"/>
      <c r="AT477" s="56"/>
      <c r="AU477" s="56"/>
      <c r="AV477" s="56"/>
      <c r="AW477" s="171"/>
      <c r="AX477" s="56"/>
      <c r="AY477" s="56"/>
      <c r="AZ477" s="56"/>
      <c r="BA477" s="171"/>
      <c r="BB477" s="56"/>
      <c r="BC477" s="10"/>
      <c r="BD477" s="56"/>
      <c r="BE477" s="56"/>
      <c r="BF477" s="56"/>
      <c r="BG477" s="56"/>
      <c r="BO477" s="144"/>
      <c r="CI477" s="144"/>
      <c r="CY477" s="144"/>
    </row>
    <row r="478" spans="1:103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171"/>
      <c r="AP478" s="56"/>
      <c r="AQ478" s="56"/>
      <c r="AR478" s="56"/>
      <c r="AS478" s="56"/>
      <c r="AT478" s="56"/>
      <c r="AU478" s="56"/>
      <c r="AV478" s="56"/>
      <c r="AW478" s="171"/>
      <c r="AX478" s="56"/>
      <c r="AY478" s="56"/>
      <c r="AZ478" s="56"/>
      <c r="BA478" s="171"/>
      <c r="BB478" s="56"/>
      <c r="BC478" s="10"/>
      <c r="BD478" s="56"/>
      <c r="BE478" s="56"/>
      <c r="BF478" s="56"/>
      <c r="BG478" s="56"/>
      <c r="BO478" s="144"/>
      <c r="CI478" s="144"/>
      <c r="CY478" s="144"/>
    </row>
    <row r="479" spans="1:103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171"/>
      <c r="AP479" s="56"/>
      <c r="AQ479" s="56"/>
      <c r="AR479" s="56"/>
      <c r="AS479" s="56"/>
      <c r="AT479" s="56"/>
      <c r="AU479" s="56"/>
      <c r="AV479" s="56"/>
      <c r="AW479" s="171"/>
      <c r="AX479" s="56"/>
      <c r="AY479" s="56"/>
      <c r="AZ479" s="56"/>
      <c r="BA479" s="171"/>
      <c r="BB479" s="56"/>
      <c r="BC479" s="10"/>
      <c r="BD479" s="56"/>
      <c r="BE479" s="56"/>
      <c r="BF479" s="56"/>
      <c r="BG479" s="56"/>
      <c r="BO479" s="144"/>
      <c r="CI479" s="144"/>
      <c r="CY479" s="144"/>
    </row>
    <row r="480" spans="1:103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171"/>
      <c r="AP480" s="56"/>
      <c r="AQ480" s="56"/>
      <c r="AR480" s="56"/>
      <c r="AS480" s="56"/>
      <c r="AT480" s="56"/>
      <c r="AU480" s="56"/>
      <c r="AV480" s="56"/>
      <c r="AW480" s="171"/>
      <c r="AX480" s="56"/>
      <c r="AY480" s="56"/>
      <c r="AZ480" s="56"/>
      <c r="BA480" s="171"/>
      <c r="BB480" s="56"/>
      <c r="BC480" s="10"/>
      <c r="BD480" s="56"/>
      <c r="BE480" s="56"/>
      <c r="BF480" s="56"/>
      <c r="BG480" s="56"/>
      <c r="BO480" s="144"/>
      <c r="CI480" s="144"/>
      <c r="CY480" s="144"/>
    </row>
    <row r="481" spans="1:103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171"/>
      <c r="AP481" s="56"/>
      <c r="AQ481" s="56"/>
      <c r="AR481" s="56"/>
      <c r="AS481" s="56"/>
      <c r="AT481" s="56"/>
      <c r="AU481" s="56"/>
      <c r="AV481" s="56"/>
      <c r="AW481" s="171"/>
      <c r="AX481" s="56"/>
      <c r="AY481" s="56"/>
      <c r="AZ481" s="56"/>
      <c r="BA481" s="171"/>
      <c r="BB481" s="56"/>
      <c r="BC481" s="10"/>
      <c r="BD481" s="56"/>
      <c r="BE481" s="56"/>
      <c r="BF481" s="56"/>
      <c r="BG481" s="56"/>
      <c r="BO481" s="144"/>
      <c r="CI481" s="144"/>
      <c r="CY481" s="144"/>
    </row>
    <row r="482" spans="1:103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171"/>
      <c r="AP482" s="56"/>
      <c r="AQ482" s="56"/>
      <c r="AR482" s="56"/>
      <c r="AS482" s="56"/>
      <c r="AT482" s="56"/>
      <c r="AU482" s="56"/>
      <c r="AV482" s="56"/>
      <c r="AW482" s="171"/>
      <c r="AX482" s="56"/>
      <c r="AY482" s="56"/>
      <c r="AZ482" s="56"/>
      <c r="BA482" s="171"/>
      <c r="BB482" s="56"/>
      <c r="BC482" s="10"/>
      <c r="BD482" s="56"/>
      <c r="BE482" s="56"/>
      <c r="BF482" s="56"/>
      <c r="BG482" s="56"/>
      <c r="BO482" s="144"/>
      <c r="CI482" s="144"/>
      <c r="CY482" s="144"/>
    </row>
    <row r="483" spans="1:103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171"/>
      <c r="AP483" s="56"/>
      <c r="AQ483" s="56"/>
      <c r="AR483" s="56"/>
      <c r="AS483" s="56"/>
      <c r="AT483" s="56"/>
      <c r="AU483" s="56"/>
      <c r="AV483" s="56"/>
      <c r="AW483" s="171"/>
      <c r="AX483" s="56"/>
      <c r="AY483" s="56"/>
      <c r="AZ483" s="56"/>
      <c r="BA483" s="171"/>
      <c r="BB483" s="56"/>
      <c r="BC483" s="10"/>
      <c r="BD483" s="56"/>
      <c r="BE483" s="56"/>
      <c r="BF483" s="56"/>
      <c r="BG483" s="56"/>
      <c r="BO483" s="144"/>
      <c r="CI483" s="144"/>
      <c r="CY483" s="144"/>
    </row>
    <row r="484" spans="1:103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171"/>
      <c r="AP484" s="56"/>
      <c r="AQ484" s="56"/>
      <c r="AR484" s="56"/>
      <c r="AS484" s="56"/>
      <c r="AT484" s="56"/>
      <c r="AU484" s="56"/>
      <c r="AV484" s="56"/>
      <c r="AW484" s="171"/>
      <c r="AX484" s="56"/>
      <c r="AY484" s="56"/>
      <c r="AZ484" s="56"/>
      <c r="BA484" s="171"/>
      <c r="BB484" s="56"/>
      <c r="BC484" s="10"/>
      <c r="BD484" s="56"/>
      <c r="BE484" s="56"/>
      <c r="BF484" s="56"/>
      <c r="BG484" s="56"/>
      <c r="BO484" s="144"/>
      <c r="CI484" s="144"/>
      <c r="CY484" s="144"/>
    </row>
    <row r="485" spans="1:103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171"/>
      <c r="AP485" s="56"/>
      <c r="AQ485" s="56"/>
      <c r="AR485" s="56"/>
      <c r="AS485" s="56"/>
      <c r="AT485" s="56"/>
      <c r="AU485" s="56"/>
      <c r="AV485" s="56"/>
      <c r="AW485" s="171"/>
      <c r="AX485" s="56"/>
      <c r="AY485" s="56"/>
      <c r="AZ485" s="56"/>
      <c r="BA485" s="171"/>
      <c r="BB485" s="56"/>
      <c r="BC485" s="10"/>
      <c r="BD485" s="56"/>
      <c r="BE485" s="56"/>
      <c r="BF485" s="56"/>
      <c r="BG485" s="56"/>
      <c r="BO485" s="144"/>
      <c r="CI485" s="144"/>
      <c r="CY485" s="144"/>
    </row>
    <row r="486" spans="1:103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171"/>
      <c r="AP486" s="56"/>
      <c r="AQ486" s="56"/>
      <c r="AR486" s="56"/>
      <c r="AS486" s="56"/>
      <c r="AT486" s="56"/>
      <c r="AU486" s="56"/>
      <c r="AV486" s="56"/>
      <c r="AW486" s="171"/>
      <c r="AX486" s="56"/>
      <c r="AY486" s="56"/>
      <c r="AZ486" s="56"/>
      <c r="BA486" s="171"/>
      <c r="BB486" s="56"/>
      <c r="BC486" s="10"/>
      <c r="BD486" s="56"/>
      <c r="BE486" s="56"/>
      <c r="BF486" s="56"/>
      <c r="BG486" s="56"/>
      <c r="BO486" s="144"/>
      <c r="CI486" s="144"/>
      <c r="CY486" s="144"/>
    </row>
    <row r="487" spans="1:103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171"/>
      <c r="AP487" s="56"/>
      <c r="AQ487" s="56"/>
      <c r="AR487" s="56"/>
      <c r="AS487" s="56"/>
      <c r="AT487" s="56"/>
      <c r="AU487" s="56"/>
      <c r="AV487" s="56"/>
      <c r="AW487" s="171"/>
      <c r="AX487" s="56"/>
      <c r="AY487" s="56"/>
      <c r="AZ487" s="56"/>
      <c r="BA487" s="171"/>
      <c r="BB487" s="56"/>
      <c r="BC487" s="10"/>
      <c r="BD487" s="56"/>
      <c r="BE487" s="56"/>
      <c r="BF487" s="56"/>
      <c r="BG487" s="56"/>
      <c r="BO487" s="144"/>
      <c r="CI487" s="144"/>
      <c r="CY487" s="144"/>
    </row>
    <row r="488" spans="1:103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171"/>
      <c r="AP488" s="56"/>
      <c r="AQ488" s="56"/>
      <c r="AR488" s="56"/>
      <c r="AS488" s="56"/>
      <c r="AT488" s="56"/>
      <c r="AU488" s="56"/>
      <c r="AV488" s="56"/>
      <c r="AW488" s="171"/>
      <c r="AX488" s="56"/>
      <c r="AY488" s="56"/>
      <c r="AZ488" s="56"/>
      <c r="BA488" s="171"/>
      <c r="BB488" s="56"/>
      <c r="BC488" s="10"/>
      <c r="BD488" s="56"/>
      <c r="BE488" s="56"/>
      <c r="BF488" s="56"/>
      <c r="BG488" s="56"/>
      <c r="BO488" s="144"/>
      <c r="CI488" s="144"/>
      <c r="CY488" s="144"/>
    </row>
    <row r="489" spans="1:103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171"/>
      <c r="AP489" s="56"/>
      <c r="AQ489" s="56"/>
      <c r="AR489" s="56"/>
      <c r="AS489" s="56"/>
      <c r="AT489" s="56"/>
      <c r="AU489" s="56"/>
      <c r="AV489" s="56"/>
      <c r="AW489" s="171"/>
      <c r="AX489" s="56"/>
      <c r="AY489" s="56"/>
      <c r="AZ489" s="56"/>
      <c r="BA489" s="171"/>
      <c r="BB489" s="56"/>
      <c r="BC489" s="10"/>
      <c r="BD489" s="56"/>
      <c r="BE489" s="56"/>
      <c r="BF489" s="56"/>
      <c r="BG489" s="56"/>
      <c r="BO489" s="144"/>
      <c r="CI489" s="144"/>
      <c r="CY489" s="144"/>
    </row>
    <row r="490" spans="1:103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171"/>
      <c r="AP490" s="56"/>
      <c r="AQ490" s="56"/>
      <c r="AR490" s="56"/>
      <c r="AS490" s="56"/>
      <c r="AT490" s="56"/>
      <c r="AU490" s="56"/>
      <c r="AV490" s="56"/>
      <c r="AW490" s="171"/>
      <c r="AX490" s="56"/>
      <c r="AY490" s="56"/>
      <c r="AZ490" s="56"/>
      <c r="BA490" s="171"/>
      <c r="BB490" s="56"/>
      <c r="BC490" s="10"/>
      <c r="BD490" s="56"/>
      <c r="BE490" s="56"/>
      <c r="BF490" s="56"/>
      <c r="BG490" s="56"/>
      <c r="BO490" s="144"/>
      <c r="CI490" s="144"/>
      <c r="CY490" s="144"/>
    </row>
    <row r="491" spans="1:103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171"/>
      <c r="AP491" s="56"/>
      <c r="AQ491" s="56"/>
      <c r="AR491" s="56"/>
      <c r="AS491" s="56"/>
      <c r="AT491" s="56"/>
      <c r="AU491" s="56"/>
      <c r="AV491" s="56"/>
      <c r="AW491" s="171"/>
      <c r="AX491" s="56"/>
      <c r="AY491" s="56"/>
      <c r="AZ491" s="56"/>
      <c r="BA491" s="171"/>
      <c r="BB491" s="56"/>
      <c r="BC491" s="10"/>
      <c r="BD491" s="56"/>
      <c r="BE491" s="56"/>
      <c r="BF491" s="56"/>
      <c r="BG491" s="56"/>
      <c r="BO491" s="144"/>
      <c r="CI491" s="144"/>
      <c r="CY491" s="144"/>
    </row>
    <row r="492" spans="1:103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171"/>
      <c r="AP492" s="56"/>
      <c r="AQ492" s="56"/>
      <c r="AR492" s="56"/>
      <c r="AS492" s="56"/>
      <c r="AT492" s="56"/>
      <c r="AU492" s="56"/>
      <c r="AV492" s="56"/>
      <c r="AW492" s="171"/>
      <c r="AX492" s="56"/>
      <c r="AY492" s="56"/>
      <c r="AZ492" s="56"/>
      <c r="BA492" s="171"/>
      <c r="BB492" s="56"/>
      <c r="BC492" s="10"/>
      <c r="BD492" s="56"/>
      <c r="BE492" s="56"/>
      <c r="BF492" s="56"/>
      <c r="BG492" s="56"/>
      <c r="BO492" s="144"/>
      <c r="CI492" s="144"/>
      <c r="CY492" s="144"/>
    </row>
    <row r="493" spans="1:103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171"/>
      <c r="AP493" s="56"/>
      <c r="AQ493" s="56"/>
      <c r="AR493" s="56"/>
      <c r="AS493" s="56"/>
      <c r="AT493" s="56"/>
      <c r="AU493" s="56"/>
      <c r="AV493" s="56"/>
      <c r="AW493" s="171"/>
      <c r="AX493" s="56"/>
      <c r="AY493" s="56"/>
      <c r="AZ493" s="56"/>
      <c r="BA493" s="171"/>
      <c r="BB493" s="56"/>
      <c r="BC493" s="10"/>
      <c r="BD493" s="56"/>
      <c r="BE493" s="56"/>
      <c r="BF493" s="56"/>
      <c r="BG493" s="56"/>
      <c r="BO493" s="144"/>
      <c r="CI493" s="144"/>
      <c r="CY493" s="144"/>
    </row>
    <row r="494" spans="1:103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171"/>
      <c r="AP494" s="56"/>
      <c r="AQ494" s="56"/>
      <c r="AR494" s="56"/>
      <c r="AS494" s="56"/>
      <c r="AT494" s="56"/>
      <c r="AU494" s="56"/>
      <c r="AV494" s="56"/>
      <c r="AW494" s="171"/>
      <c r="AX494" s="56"/>
      <c r="AY494" s="56"/>
      <c r="AZ494" s="56"/>
      <c r="BA494" s="171"/>
      <c r="BB494" s="56"/>
      <c r="BC494" s="10"/>
      <c r="BD494" s="56"/>
      <c r="BE494" s="56"/>
      <c r="BF494" s="56"/>
      <c r="BG494" s="56"/>
      <c r="BO494" s="144"/>
      <c r="CI494" s="144"/>
      <c r="CY494" s="144"/>
    </row>
    <row r="495" spans="1:103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171"/>
      <c r="AP495" s="56"/>
      <c r="AQ495" s="56"/>
      <c r="AR495" s="56"/>
      <c r="AS495" s="56"/>
      <c r="AT495" s="56"/>
      <c r="AU495" s="56"/>
      <c r="AV495" s="56"/>
      <c r="AW495" s="171"/>
      <c r="AX495" s="56"/>
      <c r="AY495" s="56"/>
      <c r="AZ495" s="56"/>
      <c r="BA495" s="171"/>
      <c r="BB495" s="56"/>
      <c r="BC495" s="10"/>
      <c r="BD495" s="56"/>
      <c r="BE495" s="56"/>
      <c r="BF495" s="56"/>
      <c r="BG495" s="56"/>
      <c r="BO495" s="144"/>
      <c r="CI495" s="144"/>
      <c r="CY495" s="144"/>
    </row>
    <row r="496" spans="1:103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171"/>
      <c r="AP496" s="56"/>
      <c r="AQ496" s="56"/>
      <c r="AR496" s="56"/>
      <c r="AS496" s="56"/>
      <c r="AT496" s="56"/>
      <c r="AU496" s="56"/>
      <c r="AV496" s="56"/>
      <c r="AW496" s="171"/>
      <c r="AX496" s="56"/>
      <c r="AY496" s="56"/>
      <c r="AZ496" s="56"/>
      <c r="BA496" s="171"/>
      <c r="BB496" s="56"/>
      <c r="BC496" s="10"/>
      <c r="BD496" s="56"/>
      <c r="BE496" s="56"/>
      <c r="BF496" s="56"/>
      <c r="BG496" s="56"/>
      <c r="BO496" s="144"/>
      <c r="CI496" s="144"/>
      <c r="CY496" s="144"/>
    </row>
    <row r="497" spans="1:103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171"/>
      <c r="AP497" s="56"/>
      <c r="AQ497" s="56"/>
      <c r="AR497" s="56"/>
      <c r="AS497" s="56"/>
      <c r="AT497" s="56"/>
      <c r="AU497" s="56"/>
      <c r="AV497" s="56"/>
      <c r="AW497" s="171"/>
      <c r="AX497" s="56"/>
      <c r="AY497" s="56"/>
      <c r="AZ497" s="56"/>
      <c r="BA497" s="171"/>
      <c r="BB497" s="56"/>
      <c r="BC497" s="10"/>
      <c r="BD497" s="56"/>
      <c r="BE497" s="56"/>
      <c r="BF497" s="56"/>
      <c r="BG497" s="56"/>
      <c r="BO497" s="144"/>
      <c r="CI497" s="144"/>
      <c r="CY497" s="144"/>
    </row>
    <row r="498" spans="1:103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171"/>
      <c r="AP498" s="56"/>
      <c r="AQ498" s="56"/>
      <c r="AR498" s="56"/>
      <c r="AS498" s="56"/>
      <c r="AT498" s="56"/>
      <c r="AU498" s="56"/>
      <c r="AV498" s="56"/>
      <c r="AW498" s="171"/>
      <c r="AX498" s="56"/>
      <c r="AY498" s="56"/>
      <c r="AZ498" s="56"/>
      <c r="BA498" s="171"/>
      <c r="BB498" s="56"/>
      <c r="BC498" s="10"/>
      <c r="BD498" s="56"/>
      <c r="BE498" s="56"/>
      <c r="BF498" s="56"/>
      <c r="BG498" s="56"/>
      <c r="BO498" s="144"/>
      <c r="CI498" s="144"/>
      <c r="CY498" s="144"/>
    </row>
    <row r="499" spans="1:103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171"/>
      <c r="AP499" s="56"/>
      <c r="AQ499" s="56"/>
      <c r="AR499" s="56"/>
      <c r="AS499" s="56"/>
      <c r="AT499" s="56"/>
      <c r="AU499" s="56"/>
      <c r="AV499" s="56"/>
      <c r="AW499" s="171"/>
      <c r="AX499" s="56"/>
      <c r="AY499" s="56"/>
      <c r="AZ499" s="56"/>
      <c r="BA499" s="171"/>
      <c r="BB499" s="56"/>
      <c r="BC499" s="10"/>
      <c r="BD499" s="56"/>
      <c r="BE499" s="56"/>
      <c r="BF499" s="56"/>
      <c r="BG499" s="56"/>
      <c r="BO499" s="144"/>
      <c r="CI499" s="144"/>
      <c r="CY499" s="144"/>
    </row>
    <row r="500" spans="1:103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171"/>
      <c r="AP500" s="56"/>
      <c r="AQ500" s="56"/>
      <c r="AR500" s="56"/>
      <c r="AS500" s="56"/>
      <c r="AT500" s="56"/>
      <c r="AU500" s="56"/>
      <c r="AV500" s="56"/>
      <c r="AW500" s="171"/>
      <c r="AX500" s="56"/>
      <c r="AY500" s="56"/>
      <c r="AZ500" s="56"/>
      <c r="BA500" s="171"/>
      <c r="BB500" s="56"/>
      <c r="BC500" s="10"/>
      <c r="BD500" s="56"/>
      <c r="BE500" s="56"/>
      <c r="BF500" s="56"/>
      <c r="BG500" s="56"/>
      <c r="BO500" s="144"/>
      <c r="CI500" s="144"/>
      <c r="CY500" s="144"/>
    </row>
    <row r="501" spans="1:103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171"/>
      <c r="AP501" s="56"/>
      <c r="AQ501" s="56"/>
      <c r="AR501" s="56"/>
      <c r="AS501" s="56"/>
      <c r="AT501" s="56"/>
      <c r="AU501" s="56"/>
      <c r="AV501" s="56"/>
      <c r="AW501" s="171"/>
      <c r="AX501" s="56"/>
      <c r="AY501" s="56"/>
      <c r="AZ501" s="56"/>
      <c r="BA501" s="171"/>
      <c r="BB501" s="56"/>
      <c r="BC501" s="10"/>
      <c r="BD501" s="56"/>
      <c r="BE501" s="56"/>
      <c r="BF501" s="56"/>
      <c r="BG501" s="56"/>
      <c r="BO501" s="144"/>
      <c r="CI501" s="144"/>
      <c r="CY501" s="144"/>
    </row>
    <row r="502" spans="1:103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171"/>
      <c r="AP502" s="56"/>
      <c r="AQ502" s="56"/>
      <c r="AR502" s="56"/>
      <c r="AS502" s="56"/>
      <c r="AT502" s="56"/>
      <c r="AU502" s="56"/>
      <c r="AV502" s="56"/>
      <c r="AW502" s="171"/>
      <c r="AX502" s="56"/>
      <c r="AY502" s="56"/>
      <c r="AZ502" s="56"/>
      <c r="BA502" s="171"/>
      <c r="BB502" s="56"/>
      <c r="BC502" s="10"/>
      <c r="BD502" s="56"/>
      <c r="BE502" s="56"/>
      <c r="BF502" s="56"/>
      <c r="BG502" s="56"/>
      <c r="BO502" s="144"/>
      <c r="CI502" s="144"/>
      <c r="CY502" s="144"/>
    </row>
    <row r="503" spans="1:103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171"/>
      <c r="AP503" s="56"/>
      <c r="AQ503" s="56"/>
      <c r="AR503" s="56"/>
      <c r="AS503" s="56"/>
      <c r="AT503" s="56"/>
      <c r="AU503" s="56"/>
      <c r="AV503" s="56"/>
      <c r="AW503" s="171"/>
      <c r="AX503" s="56"/>
      <c r="AY503" s="56"/>
      <c r="AZ503" s="56"/>
      <c r="BA503" s="171"/>
      <c r="BB503" s="56"/>
      <c r="BC503" s="10"/>
      <c r="BD503" s="56"/>
      <c r="BE503" s="56"/>
      <c r="BF503" s="56"/>
      <c r="BG503" s="56"/>
      <c r="BO503" s="144"/>
      <c r="CI503" s="144"/>
      <c r="CY503" s="144"/>
    </row>
    <row r="504" spans="1:103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171"/>
      <c r="AP504" s="56"/>
      <c r="AQ504" s="56"/>
      <c r="AR504" s="56"/>
      <c r="AS504" s="56"/>
      <c r="AT504" s="56"/>
      <c r="AU504" s="56"/>
      <c r="AV504" s="56"/>
      <c r="AW504" s="171"/>
      <c r="AX504" s="56"/>
      <c r="AY504" s="56"/>
      <c r="AZ504" s="56"/>
      <c r="BA504" s="171"/>
      <c r="BB504" s="56"/>
      <c r="BC504" s="10"/>
      <c r="BD504" s="56"/>
      <c r="BE504" s="56"/>
      <c r="BF504" s="56"/>
      <c r="BG504" s="56"/>
      <c r="BO504" s="144"/>
      <c r="CI504" s="144"/>
      <c r="CY504" s="144"/>
    </row>
    <row r="505" spans="1:103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171"/>
      <c r="AP505" s="56"/>
      <c r="AQ505" s="56"/>
      <c r="AR505" s="56"/>
      <c r="AS505" s="56"/>
      <c r="AT505" s="56"/>
      <c r="AU505" s="56"/>
      <c r="AV505" s="56"/>
      <c r="AW505" s="171"/>
      <c r="AX505" s="56"/>
      <c r="AY505" s="56"/>
      <c r="AZ505" s="56"/>
      <c r="BA505" s="171"/>
      <c r="BB505" s="56"/>
      <c r="BC505" s="10"/>
      <c r="BD505" s="56"/>
      <c r="BE505" s="56"/>
      <c r="BF505" s="56"/>
      <c r="BG505" s="56"/>
      <c r="BO505" s="144"/>
      <c r="CI505" s="144"/>
      <c r="CY505" s="144"/>
    </row>
    <row r="506" spans="1:103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171"/>
      <c r="AP506" s="56"/>
      <c r="AQ506" s="56"/>
      <c r="AR506" s="56"/>
      <c r="AS506" s="56"/>
      <c r="AT506" s="56"/>
      <c r="AU506" s="56"/>
      <c r="AV506" s="56"/>
      <c r="AW506" s="171"/>
      <c r="AX506" s="56"/>
      <c r="AY506" s="56"/>
      <c r="AZ506" s="56"/>
      <c r="BA506" s="171"/>
      <c r="BB506" s="56"/>
      <c r="BC506" s="10"/>
      <c r="BD506" s="56"/>
      <c r="BE506" s="56"/>
      <c r="BF506" s="56"/>
      <c r="BG506" s="56"/>
      <c r="BO506" s="144"/>
      <c r="CI506" s="144"/>
      <c r="CY506" s="144"/>
    </row>
    <row r="507" spans="1:103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171"/>
      <c r="AP507" s="56"/>
      <c r="AQ507" s="56"/>
      <c r="AR507" s="56"/>
      <c r="AS507" s="56"/>
      <c r="AT507" s="56"/>
      <c r="AU507" s="56"/>
      <c r="AV507" s="56"/>
      <c r="AW507" s="171"/>
      <c r="AX507" s="56"/>
      <c r="AY507" s="56"/>
      <c r="AZ507" s="56"/>
      <c r="BA507" s="171"/>
      <c r="BB507" s="56"/>
      <c r="BC507" s="10"/>
      <c r="BD507" s="56"/>
      <c r="BE507" s="56"/>
      <c r="BF507" s="56"/>
      <c r="BG507" s="56"/>
      <c r="BO507" s="144"/>
      <c r="CI507" s="144"/>
      <c r="CY507" s="144"/>
    </row>
    <row r="508" spans="1:103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171"/>
      <c r="AP508" s="56"/>
      <c r="AQ508" s="56"/>
      <c r="AR508" s="56"/>
      <c r="AS508" s="56"/>
      <c r="AT508" s="56"/>
      <c r="AU508" s="56"/>
      <c r="AV508" s="56"/>
      <c r="AW508" s="171"/>
      <c r="AX508" s="56"/>
      <c r="AY508" s="56"/>
      <c r="AZ508" s="56"/>
      <c r="BA508" s="171"/>
      <c r="BB508" s="56"/>
      <c r="BC508" s="10"/>
      <c r="BD508" s="56"/>
      <c r="BE508" s="56"/>
      <c r="BF508" s="56"/>
      <c r="BG508" s="56"/>
      <c r="BO508" s="144"/>
      <c r="CI508" s="144"/>
      <c r="CY508" s="144"/>
    </row>
    <row r="509" spans="1:103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171"/>
      <c r="AP509" s="56"/>
      <c r="AQ509" s="56"/>
      <c r="AR509" s="56"/>
      <c r="AS509" s="56"/>
      <c r="AT509" s="56"/>
      <c r="AU509" s="56"/>
      <c r="AV509" s="56"/>
      <c r="AW509" s="171"/>
      <c r="AX509" s="56"/>
      <c r="AY509" s="56"/>
      <c r="AZ509" s="56"/>
      <c r="BA509" s="171"/>
      <c r="BB509" s="56"/>
      <c r="BC509" s="10"/>
      <c r="BD509" s="56"/>
      <c r="BE509" s="56"/>
      <c r="BF509" s="56"/>
      <c r="BG509" s="56"/>
      <c r="BO509" s="144"/>
      <c r="CI509" s="144"/>
      <c r="CY509" s="144"/>
    </row>
    <row r="510" spans="1:103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171"/>
      <c r="AP510" s="56"/>
      <c r="AQ510" s="56"/>
      <c r="AR510" s="56"/>
      <c r="AS510" s="56"/>
      <c r="AT510" s="56"/>
      <c r="AU510" s="56"/>
      <c r="AV510" s="56"/>
      <c r="AW510" s="171"/>
      <c r="AX510" s="56"/>
      <c r="AY510" s="56"/>
      <c r="AZ510" s="56"/>
      <c r="BA510" s="171"/>
      <c r="BB510" s="56"/>
      <c r="BC510" s="10"/>
      <c r="BD510" s="56"/>
      <c r="BE510" s="56"/>
      <c r="BF510" s="56"/>
      <c r="BG510" s="56"/>
      <c r="BO510" s="144"/>
      <c r="CI510" s="144"/>
      <c r="CY510" s="144"/>
    </row>
    <row r="511" spans="1:103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171"/>
      <c r="AP511" s="56"/>
      <c r="AQ511" s="56"/>
      <c r="AR511" s="56"/>
      <c r="AS511" s="56"/>
      <c r="AT511" s="56"/>
      <c r="AU511" s="56"/>
      <c r="AV511" s="56"/>
      <c r="AW511" s="171"/>
      <c r="AX511" s="56"/>
      <c r="AY511" s="56"/>
      <c r="AZ511" s="56"/>
      <c r="BA511" s="171"/>
      <c r="BB511" s="56"/>
      <c r="BC511" s="10"/>
      <c r="BD511" s="56"/>
      <c r="BE511" s="56"/>
      <c r="BF511" s="56"/>
      <c r="BG511" s="56"/>
      <c r="BO511" s="144"/>
      <c r="CI511" s="144"/>
      <c r="CY511" s="144"/>
    </row>
    <row r="512" spans="1:103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171"/>
      <c r="AP512" s="56"/>
      <c r="AQ512" s="56"/>
      <c r="AR512" s="56"/>
      <c r="AS512" s="56"/>
      <c r="AT512" s="56"/>
      <c r="AU512" s="56"/>
      <c r="AV512" s="56"/>
      <c r="AW512" s="171"/>
      <c r="AX512" s="56"/>
      <c r="AY512" s="56"/>
      <c r="AZ512" s="56"/>
      <c r="BA512" s="171"/>
      <c r="BB512" s="56"/>
      <c r="BC512" s="10"/>
      <c r="BD512" s="56"/>
      <c r="BE512" s="56"/>
      <c r="BF512" s="56"/>
      <c r="BG512" s="56"/>
      <c r="BO512" s="144"/>
      <c r="CI512" s="144"/>
      <c r="CY512" s="144"/>
    </row>
    <row r="513" spans="1:103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171"/>
      <c r="AP513" s="56"/>
      <c r="AQ513" s="56"/>
      <c r="AR513" s="56"/>
      <c r="AS513" s="56"/>
      <c r="AT513" s="56"/>
      <c r="AU513" s="56"/>
      <c r="AV513" s="56"/>
      <c r="AW513" s="171"/>
      <c r="AX513" s="56"/>
      <c r="AY513" s="56"/>
      <c r="AZ513" s="56"/>
      <c r="BA513" s="171"/>
      <c r="BB513" s="56"/>
      <c r="BC513" s="10"/>
      <c r="BD513" s="56"/>
      <c r="BE513" s="56"/>
      <c r="BF513" s="56"/>
      <c r="BG513" s="56"/>
      <c r="BO513" s="144"/>
      <c r="CI513" s="144"/>
      <c r="CY513" s="144"/>
    </row>
    <row r="514" spans="1:103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171"/>
      <c r="AP514" s="56"/>
      <c r="AQ514" s="56"/>
      <c r="AR514" s="56"/>
      <c r="AS514" s="56"/>
      <c r="AT514" s="56"/>
      <c r="AU514" s="56"/>
      <c r="AV514" s="56"/>
      <c r="AW514" s="171"/>
      <c r="AX514" s="56"/>
      <c r="AY514" s="56"/>
      <c r="AZ514" s="56"/>
      <c r="BA514" s="171"/>
      <c r="BB514" s="56"/>
      <c r="BC514" s="10"/>
      <c r="BD514" s="56"/>
      <c r="BE514" s="56"/>
      <c r="BF514" s="56"/>
      <c r="BG514" s="56"/>
      <c r="BO514" s="144"/>
      <c r="CI514" s="144"/>
      <c r="CY514" s="144"/>
    </row>
    <row r="515" spans="1:103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171"/>
      <c r="AP515" s="56"/>
      <c r="AQ515" s="56"/>
      <c r="AR515" s="56"/>
      <c r="AS515" s="56"/>
      <c r="AT515" s="56"/>
      <c r="AU515" s="56"/>
      <c r="AV515" s="56"/>
      <c r="AW515" s="171"/>
      <c r="AX515" s="56"/>
      <c r="AY515" s="56"/>
      <c r="AZ515" s="56"/>
      <c r="BA515" s="171"/>
      <c r="BB515" s="56"/>
      <c r="BC515" s="10"/>
      <c r="BD515" s="56"/>
      <c r="BE515" s="56"/>
      <c r="BF515" s="56"/>
      <c r="BG515" s="56"/>
      <c r="BO515" s="144"/>
      <c r="CI515" s="144"/>
      <c r="CY515" s="144"/>
    </row>
    <row r="516" spans="1:103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171"/>
      <c r="AP516" s="56"/>
      <c r="AQ516" s="56"/>
      <c r="AR516" s="56"/>
      <c r="AS516" s="56"/>
      <c r="AT516" s="56"/>
      <c r="AU516" s="56"/>
      <c r="AV516" s="56"/>
      <c r="AW516" s="171"/>
      <c r="AX516" s="56"/>
      <c r="AY516" s="56"/>
      <c r="AZ516" s="56"/>
      <c r="BA516" s="171"/>
      <c r="BB516" s="56"/>
      <c r="BC516" s="10"/>
      <c r="BD516" s="56"/>
      <c r="BE516" s="56"/>
      <c r="BF516" s="56"/>
      <c r="BG516" s="56"/>
      <c r="BO516" s="144"/>
      <c r="CI516" s="144"/>
      <c r="CY516" s="144"/>
    </row>
    <row r="517" spans="1:103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171"/>
      <c r="AP517" s="56"/>
      <c r="AQ517" s="56"/>
      <c r="AR517" s="56"/>
      <c r="AS517" s="56"/>
      <c r="AT517" s="56"/>
      <c r="AU517" s="56"/>
      <c r="AV517" s="56"/>
      <c r="AW517" s="171"/>
      <c r="AX517" s="56"/>
      <c r="AY517" s="56"/>
      <c r="AZ517" s="56"/>
      <c r="BA517" s="171"/>
      <c r="BB517" s="56"/>
      <c r="BC517" s="10"/>
      <c r="BD517" s="56"/>
      <c r="BE517" s="56"/>
      <c r="BF517" s="56"/>
      <c r="BG517" s="56"/>
      <c r="BO517" s="144"/>
      <c r="CI517" s="144"/>
      <c r="CY517" s="144"/>
    </row>
    <row r="518" spans="1:103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171"/>
      <c r="AP518" s="56"/>
      <c r="AQ518" s="56"/>
      <c r="AR518" s="56"/>
      <c r="AS518" s="56"/>
      <c r="AT518" s="56"/>
      <c r="AU518" s="56"/>
      <c r="AV518" s="56"/>
      <c r="AW518" s="171"/>
      <c r="AX518" s="56"/>
      <c r="AY518" s="56"/>
      <c r="AZ518" s="56"/>
      <c r="BA518" s="171"/>
      <c r="BB518" s="56"/>
      <c r="BC518" s="10"/>
      <c r="BD518" s="56"/>
      <c r="BE518" s="56"/>
      <c r="BF518" s="56"/>
      <c r="BG518" s="56"/>
      <c r="BO518" s="144"/>
      <c r="CI518" s="144"/>
      <c r="CY518" s="144"/>
    </row>
    <row r="519" spans="1:103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171"/>
      <c r="AP519" s="56"/>
      <c r="AQ519" s="56"/>
      <c r="AR519" s="56"/>
      <c r="AS519" s="56"/>
      <c r="AT519" s="56"/>
      <c r="AU519" s="56"/>
      <c r="AV519" s="56"/>
      <c r="AW519" s="171"/>
      <c r="AX519" s="56"/>
      <c r="AY519" s="56"/>
      <c r="AZ519" s="56"/>
      <c r="BA519" s="171"/>
      <c r="BB519" s="56"/>
      <c r="BC519" s="10"/>
      <c r="BD519" s="56"/>
      <c r="BE519" s="56"/>
      <c r="BF519" s="56"/>
      <c r="BG519" s="56"/>
      <c r="BO519" s="144"/>
      <c r="CI519" s="144"/>
      <c r="CY519" s="144"/>
    </row>
    <row r="520" spans="1:103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171"/>
      <c r="AP520" s="56"/>
      <c r="AQ520" s="56"/>
      <c r="AR520" s="56"/>
      <c r="AS520" s="56"/>
      <c r="AT520" s="56"/>
      <c r="AU520" s="56"/>
      <c r="AV520" s="56"/>
      <c r="AW520" s="171"/>
      <c r="AX520" s="56"/>
      <c r="AY520" s="56"/>
      <c r="AZ520" s="56"/>
      <c r="BA520" s="171"/>
      <c r="BB520" s="56"/>
      <c r="BC520" s="10"/>
      <c r="BD520" s="56"/>
      <c r="BE520" s="56"/>
      <c r="BF520" s="56"/>
      <c r="BG520" s="56"/>
      <c r="BO520" s="144"/>
      <c r="CI520" s="144"/>
      <c r="CY520" s="144"/>
    </row>
    <row r="521" spans="1:103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171"/>
      <c r="AP521" s="56"/>
      <c r="AQ521" s="56"/>
      <c r="AR521" s="56"/>
      <c r="AS521" s="56"/>
      <c r="AT521" s="56"/>
      <c r="AU521" s="56"/>
      <c r="AV521" s="56"/>
      <c r="AW521" s="171"/>
      <c r="AX521" s="56"/>
      <c r="AY521" s="56"/>
      <c r="AZ521" s="56"/>
      <c r="BA521" s="171"/>
      <c r="BB521" s="56"/>
      <c r="BC521" s="10"/>
      <c r="BD521" s="56"/>
      <c r="BE521" s="56"/>
      <c r="BF521" s="56"/>
      <c r="BG521" s="56"/>
      <c r="BO521" s="144"/>
      <c r="CI521" s="144"/>
      <c r="CY521" s="144"/>
    </row>
    <row r="522" spans="1:103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171"/>
      <c r="AP522" s="56"/>
      <c r="AQ522" s="56"/>
      <c r="AR522" s="56"/>
      <c r="AS522" s="56"/>
      <c r="AT522" s="56"/>
      <c r="AU522" s="56"/>
      <c r="AV522" s="56"/>
      <c r="AW522" s="171"/>
      <c r="AX522" s="56"/>
      <c r="AY522" s="56"/>
      <c r="AZ522" s="56"/>
      <c r="BA522" s="171"/>
      <c r="BB522" s="56"/>
      <c r="BC522" s="10"/>
      <c r="BD522" s="56"/>
      <c r="BE522" s="56"/>
      <c r="BF522" s="56"/>
      <c r="BG522" s="56"/>
      <c r="BO522" s="144"/>
      <c r="CI522" s="144"/>
      <c r="CY522" s="144"/>
    </row>
    <row r="523" spans="1:103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171"/>
      <c r="AP523" s="56"/>
      <c r="AQ523" s="56"/>
      <c r="AR523" s="56"/>
      <c r="AS523" s="56"/>
      <c r="AT523" s="56"/>
      <c r="AU523" s="56"/>
      <c r="AV523" s="56"/>
      <c r="AW523" s="171"/>
      <c r="AX523" s="56"/>
      <c r="AY523" s="56"/>
      <c r="AZ523" s="56"/>
      <c r="BA523" s="171"/>
      <c r="BB523" s="56"/>
      <c r="BC523" s="10"/>
      <c r="BD523" s="56"/>
      <c r="BE523" s="56"/>
      <c r="BF523" s="56"/>
      <c r="BG523" s="56"/>
      <c r="BO523" s="144"/>
      <c r="CI523" s="144"/>
      <c r="CY523" s="144"/>
    </row>
    <row r="524" spans="1:103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171"/>
      <c r="AP524" s="56"/>
      <c r="AQ524" s="56"/>
      <c r="AR524" s="56"/>
      <c r="AS524" s="56"/>
      <c r="AT524" s="56"/>
      <c r="AU524" s="56"/>
      <c r="AV524" s="56"/>
      <c r="AW524" s="171"/>
      <c r="AX524" s="56"/>
      <c r="AY524" s="56"/>
      <c r="AZ524" s="56"/>
      <c r="BA524" s="171"/>
      <c r="BB524" s="56"/>
      <c r="BC524" s="10"/>
      <c r="BD524" s="56"/>
      <c r="BE524" s="56"/>
      <c r="BF524" s="56"/>
      <c r="BG524" s="56"/>
      <c r="BO524" s="144"/>
      <c r="CI524" s="144"/>
      <c r="CY524" s="144"/>
    </row>
    <row r="525" spans="1:103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171"/>
      <c r="AP525" s="56"/>
      <c r="AQ525" s="56"/>
      <c r="AR525" s="56"/>
      <c r="AS525" s="56"/>
      <c r="AT525" s="56"/>
      <c r="AU525" s="56"/>
      <c r="AV525" s="56"/>
      <c r="AW525" s="171"/>
      <c r="AX525" s="56"/>
      <c r="AY525" s="56"/>
      <c r="AZ525" s="56"/>
      <c r="BA525" s="171"/>
      <c r="BB525" s="56"/>
      <c r="BC525" s="10"/>
      <c r="BD525" s="56"/>
      <c r="BE525" s="56"/>
      <c r="BF525" s="56"/>
      <c r="BG525" s="56"/>
      <c r="BO525" s="144"/>
      <c r="CI525" s="144"/>
      <c r="CY525" s="144"/>
    </row>
    <row r="526" spans="1:103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171"/>
      <c r="AP526" s="56"/>
      <c r="AQ526" s="56"/>
      <c r="AR526" s="56"/>
      <c r="AS526" s="56"/>
      <c r="AT526" s="56"/>
      <c r="AU526" s="56"/>
      <c r="AV526" s="56"/>
      <c r="AW526" s="171"/>
      <c r="AX526" s="56"/>
      <c r="AY526" s="56"/>
      <c r="AZ526" s="56"/>
      <c r="BA526" s="171"/>
      <c r="BB526" s="56"/>
      <c r="BC526" s="10"/>
      <c r="BD526" s="56"/>
      <c r="BE526" s="56"/>
      <c r="BF526" s="56"/>
      <c r="BG526" s="56"/>
      <c r="BO526" s="144"/>
      <c r="CI526" s="144"/>
      <c r="CY526" s="144"/>
    </row>
    <row r="527" spans="1:103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171"/>
      <c r="AP527" s="56"/>
      <c r="AQ527" s="56"/>
      <c r="AR527" s="56"/>
      <c r="AS527" s="56"/>
      <c r="AT527" s="56"/>
      <c r="AU527" s="56"/>
      <c r="AV527" s="56"/>
      <c r="AW527" s="171"/>
      <c r="AX527" s="56"/>
      <c r="AY527" s="56"/>
      <c r="AZ527" s="56"/>
      <c r="BA527" s="171"/>
      <c r="BB527" s="56"/>
      <c r="BC527" s="10"/>
      <c r="BD527" s="56"/>
      <c r="BE527" s="56"/>
      <c r="BF527" s="56"/>
      <c r="BG527" s="56"/>
      <c r="BO527" s="144"/>
      <c r="CI527" s="144"/>
      <c r="CY527" s="144"/>
    </row>
    <row r="528" spans="1:103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171"/>
      <c r="AP528" s="56"/>
      <c r="AQ528" s="56"/>
      <c r="AR528" s="56"/>
      <c r="AS528" s="56"/>
      <c r="AT528" s="56"/>
      <c r="AU528" s="56"/>
      <c r="AV528" s="56"/>
      <c r="AW528" s="171"/>
      <c r="AX528" s="56"/>
      <c r="AY528" s="56"/>
      <c r="AZ528" s="56"/>
      <c r="BA528" s="171"/>
      <c r="BB528" s="56"/>
      <c r="BC528" s="10"/>
      <c r="BD528" s="56"/>
      <c r="BE528" s="56"/>
      <c r="BF528" s="56"/>
      <c r="BG528" s="56"/>
      <c r="BO528" s="144"/>
      <c r="CI528" s="144"/>
      <c r="CY528" s="144"/>
    </row>
    <row r="529" spans="1:103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171"/>
      <c r="AP529" s="56"/>
      <c r="AQ529" s="56"/>
      <c r="AR529" s="56"/>
      <c r="AS529" s="56"/>
      <c r="AT529" s="56"/>
      <c r="AU529" s="56"/>
      <c r="AV529" s="56"/>
      <c r="AW529" s="171"/>
      <c r="AX529" s="56"/>
      <c r="AY529" s="56"/>
      <c r="AZ529" s="56"/>
      <c r="BA529" s="171"/>
      <c r="BB529" s="56"/>
      <c r="BC529" s="10"/>
      <c r="BD529" s="56"/>
      <c r="BE529" s="56"/>
      <c r="BF529" s="56"/>
      <c r="BG529" s="56"/>
      <c r="BO529" s="144"/>
      <c r="CI529" s="144"/>
      <c r="CY529" s="144"/>
    </row>
    <row r="530" spans="1:103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171"/>
      <c r="AP530" s="56"/>
      <c r="AQ530" s="56"/>
      <c r="AR530" s="56"/>
      <c r="AS530" s="56"/>
      <c r="AT530" s="56"/>
      <c r="AU530" s="56"/>
      <c r="AV530" s="56"/>
      <c r="AW530" s="171"/>
      <c r="AX530" s="56"/>
      <c r="AY530" s="56"/>
      <c r="AZ530" s="56"/>
      <c r="BA530" s="171"/>
      <c r="BB530" s="56"/>
      <c r="BC530" s="10"/>
      <c r="BD530" s="56"/>
      <c r="BE530" s="56"/>
      <c r="BF530" s="56"/>
      <c r="BG530" s="56"/>
      <c r="BO530" s="144"/>
      <c r="CI530" s="144"/>
      <c r="CY530" s="144"/>
    </row>
    <row r="531" spans="1:103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171"/>
      <c r="AP531" s="56"/>
      <c r="AQ531" s="56"/>
      <c r="AR531" s="56"/>
      <c r="AS531" s="56"/>
      <c r="AT531" s="56"/>
      <c r="AU531" s="56"/>
      <c r="AV531" s="56"/>
      <c r="AW531" s="171"/>
      <c r="AX531" s="56"/>
      <c r="AY531" s="56"/>
      <c r="AZ531" s="56"/>
      <c r="BA531" s="171"/>
      <c r="BB531" s="56"/>
      <c r="BC531" s="10"/>
      <c r="BD531" s="56"/>
      <c r="BE531" s="56"/>
      <c r="BF531" s="56"/>
      <c r="BG531" s="56"/>
      <c r="BO531" s="144"/>
      <c r="CI531" s="144"/>
      <c r="CY531" s="144"/>
    </row>
    <row r="532" spans="1:103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171"/>
      <c r="AP532" s="56"/>
      <c r="AQ532" s="56"/>
      <c r="AR532" s="56"/>
      <c r="AS532" s="56"/>
      <c r="AT532" s="56"/>
      <c r="AU532" s="56"/>
      <c r="AV532" s="56"/>
      <c r="AW532" s="171"/>
      <c r="AX532" s="56"/>
      <c r="AY532" s="56"/>
      <c r="AZ532" s="56"/>
      <c r="BA532" s="171"/>
      <c r="BB532" s="56"/>
      <c r="BC532" s="10"/>
      <c r="BD532" s="56"/>
      <c r="BE532" s="56"/>
      <c r="BF532" s="56"/>
      <c r="BG532" s="56"/>
      <c r="BO532" s="144"/>
      <c r="CI532" s="144"/>
      <c r="CY532" s="144"/>
    </row>
    <row r="533" spans="1:103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171"/>
      <c r="AP533" s="56"/>
      <c r="AQ533" s="56"/>
      <c r="AR533" s="56"/>
      <c r="AS533" s="56"/>
      <c r="AT533" s="56"/>
      <c r="AU533" s="56"/>
      <c r="AV533" s="56"/>
      <c r="AW533" s="171"/>
      <c r="AX533" s="56"/>
      <c r="AY533" s="56"/>
      <c r="AZ533" s="56"/>
      <c r="BA533" s="171"/>
      <c r="BB533" s="56"/>
      <c r="BC533" s="10"/>
      <c r="BD533" s="56"/>
      <c r="BE533" s="56"/>
      <c r="BF533" s="56"/>
      <c r="BG533" s="56"/>
      <c r="BO533" s="144"/>
      <c r="CI533" s="144"/>
      <c r="CY533" s="144"/>
    </row>
    <row r="534" spans="1:103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171"/>
      <c r="AP534" s="56"/>
      <c r="AQ534" s="56"/>
      <c r="AR534" s="56"/>
      <c r="AS534" s="56"/>
      <c r="AT534" s="56"/>
      <c r="AU534" s="56"/>
      <c r="AV534" s="56"/>
      <c r="AW534" s="171"/>
      <c r="AX534" s="56"/>
      <c r="AY534" s="56"/>
      <c r="AZ534" s="56"/>
      <c r="BA534" s="171"/>
      <c r="BB534" s="56"/>
      <c r="BC534" s="10"/>
      <c r="BD534" s="56"/>
      <c r="BE534" s="56"/>
      <c r="BF534" s="56"/>
      <c r="BG534" s="56"/>
      <c r="BO534" s="144"/>
      <c r="CI534" s="144"/>
      <c r="CY534" s="144"/>
    </row>
    <row r="535" spans="1:103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171"/>
      <c r="AP535" s="56"/>
      <c r="AQ535" s="56"/>
      <c r="AR535" s="56"/>
      <c r="AS535" s="56"/>
      <c r="AT535" s="56"/>
      <c r="AU535" s="56"/>
      <c r="AV535" s="56"/>
      <c r="AW535" s="171"/>
      <c r="AX535" s="56"/>
      <c r="AY535" s="56"/>
      <c r="AZ535" s="56"/>
      <c r="BA535" s="171"/>
      <c r="BB535" s="56"/>
      <c r="BC535" s="10"/>
      <c r="BD535" s="56"/>
      <c r="BE535" s="56"/>
      <c r="BF535" s="56"/>
      <c r="BG535" s="56"/>
      <c r="BO535" s="144"/>
      <c r="CI535" s="144"/>
      <c r="CY535" s="144"/>
    </row>
    <row r="536" spans="1:103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171"/>
      <c r="AP536" s="56"/>
      <c r="AQ536" s="56"/>
      <c r="AR536" s="56"/>
      <c r="AS536" s="56"/>
      <c r="AT536" s="56"/>
      <c r="AU536" s="56"/>
      <c r="AV536" s="56"/>
      <c r="AW536" s="171"/>
      <c r="AX536" s="56"/>
      <c r="AY536" s="56"/>
      <c r="AZ536" s="56"/>
      <c r="BA536" s="171"/>
      <c r="BB536" s="56"/>
      <c r="BC536" s="10"/>
      <c r="BD536" s="56"/>
      <c r="BE536" s="56"/>
      <c r="BF536" s="56"/>
      <c r="BG536" s="56"/>
      <c r="BO536" s="144"/>
      <c r="CI536" s="144"/>
      <c r="CY536" s="144"/>
    </row>
    <row r="537" spans="1:103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171"/>
      <c r="AP537" s="56"/>
      <c r="AQ537" s="56"/>
      <c r="AR537" s="56"/>
      <c r="AS537" s="56"/>
      <c r="AT537" s="56"/>
      <c r="AU537" s="56"/>
      <c r="AV537" s="56"/>
      <c r="AW537" s="171"/>
      <c r="AX537" s="56"/>
      <c r="AY537" s="56"/>
      <c r="AZ537" s="56"/>
      <c r="BA537" s="171"/>
      <c r="BB537" s="56"/>
      <c r="BC537" s="10"/>
      <c r="BD537" s="56"/>
      <c r="BE537" s="56"/>
      <c r="BF537" s="56"/>
      <c r="BG537" s="56"/>
      <c r="BO537" s="144"/>
      <c r="CI537" s="144"/>
      <c r="CY537" s="144"/>
    </row>
    <row r="538" spans="1:103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171"/>
      <c r="AP538" s="56"/>
      <c r="AQ538" s="56"/>
      <c r="AR538" s="56"/>
      <c r="AS538" s="56"/>
      <c r="AT538" s="56"/>
      <c r="AU538" s="56"/>
      <c r="AV538" s="56"/>
      <c r="AW538" s="171"/>
      <c r="AX538" s="56"/>
      <c r="AY538" s="56"/>
      <c r="AZ538" s="56"/>
      <c r="BA538" s="171"/>
      <c r="BB538" s="56"/>
      <c r="BC538" s="10"/>
      <c r="BD538" s="56"/>
      <c r="BE538" s="56"/>
      <c r="BF538" s="56"/>
      <c r="BG538" s="56"/>
      <c r="BO538" s="144"/>
      <c r="CI538" s="144"/>
      <c r="CY538" s="144"/>
    </row>
    <row r="539" spans="1:103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171"/>
      <c r="AP539" s="56"/>
      <c r="AQ539" s="56"/>
      <c r="AR539" s="56"/>
      <c r="AS539" s="56"/>
      <c r="AT539" s="56"/>
      <c r="AU539" s="56"/>
      <c r="AV539" s="56"/>
      <c r="AW539" s="171"/>
      <c r="AX539" s="56"/>
      <c r="AY539" s="56"/>
      <c r="AZ539" s="56"/>
      <c r="BA539" s="171"/>
      <c r="BB539" s="56"/>
      <c r="BC539" s="10"/>
      <c r="BD539" s="56"/>
      <c r="BE539" s="56"/>
      <c r="BF539" s="56"/>
      <c r="BG539" s="56"/>
      <c r="BO539" s="144"/>
      <c r="CI539" s="144"/>
      <c r="CY539" s="144"/>
    </row>
    <row r="540" spans="1:103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171"/>
      <c r="AP540" s="56"/>
      <c r="AQ540" s="56"/>
      <c r="AR540" s="56"/>
      <c r="AS540" s="56"/>
      <c r="AT540" s="56"/>
      <c r="AU540" s="56"/>
      <c r="AV540" s="56"/>
      <c r="AW540" s="171"/>
      <c r="AX540" s="56"/>
      <c r="AY540" s="56"/>
      <c r="AZ540" s="56"/>
      <c r="BA540" s="171"/>
      <c r="BB540" s="56"/>
      <c r="BC540" s="10"/>
      <c r="BD540" s="56"/>
      <c r="BE540" s="56"/>
      <c r="BF540" s="56"/>
      <c r="BG540" s="56"/>
      <c r="BO540" s="144"/>
      <c r="CI540" s="144"/>
      <c r="CY540" s="144"/>
    </row>
    <row r="541" spans="1:103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171"/>
      <c r="AP541" s="56"/>
      <c r="AQ541" s="56"/>
      <c r="AR541" s="56"/>
      <c r="AS541" s="56"/>
      <c r="AT541" s="56"/>
      <c r="AU541" s="56"/>
      <c r="AV541" s="56"/>
      <c r="AW541" s="171"/>
      <c r="AX541" s="56"/>
      <c r="AY541" s="56"/>
      <c r="AZ541" s="56"/>
      <c r="BA541" s="171"/>
      <c r="BB541" s="56"/>
      <c r="BC541" s="10"/>
      <c r="BD541" s="56"/>
      <c r="BE541" s="56"/>
      <c r="BF541" s="56"/>
      <c r="BG541" s="56"/>
      <c r="BO541" s="144"/>
      <c r="CI541" s="144"/>
      <c r="CY541" s="144"/>
    </row>
    <row r="542" spans="1:103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171"/>
      <c r="AP542" s="56"/>
      <c r="AQ542" s="56"/>
      <c r="AR542" s="56"/>
      <c r="AS542" s="56"/>
      <c r="AT542" s="56"/>
      <c r="AU542" s="56"/>
      <c r="AV542" s="56"/>
      <c r="AW542" s="171"/>
      <c r="AX542" s="56"/>
      <c r="AY542" s="56"/>
      <c r="AZ542" s="56"/>
      <c r="BA542" s="171"/>
      <c r="BB542" s="56"/>
      <c r="BC542" s="10"/>
      <c r="BD542" s="56"/>
      <c r="BE542" s="56"/>
      <c r="BF542" s="56"/>
      <c r="BG542" s="56"/>
      <c r="BO542" s="144"/>
      <c r="CI542" s="144"/>
      <c r="CY542" s="144"/>
    </row>
    <row r="543" spans="1:103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171"/>
      <c r="AP543" s="56"/>
      <c r="AQ543" s="56"/>
      <c r="AR543" s="56"/>
      <c r="AS543" s="56"/>
      <c r="AT543" s="56"/>
      <c r="AU543" s="56"/>
      <c r="AV543" s="56"/>
      <c r="AW543" s="171"/>
      <c r="AX543" s="56"/>
      <c r="AY543" s="56"/>
      <c r="AZ543" s="56"/>
      <c r="BA543" s="171"/>
      <c r="BB543" s="56"/>
      <c r="BC543" s="10"/>
      <c r="BD543" s="56"/>
      <c r="BE543" s="56"/>
      <c r="BF543" s="56"/>
      <c r="BG543" s="56"/>
      <c r="BO543" s="144"/>
      <c r="CI543" s="144"/>
      <c r="CY543" s="144"/>
    </row>
    <row r="544" spans="1:103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171"/>
      <c r="AP544" s="56"/>
      <c r="AQ544" s="56"/>
      <c r="AR544" s="56"/>
      <c r="AS544" s="56"/>
      <c r="AT544" s="56"/>
      <c r="AU544" s="56"/>
      <c r="AV544" s="56"/>
      <c r="AW544" s="171"/>
      <c r="AX544" s="56"/>
      <c r="AY544" s="56"/>
      <c r="AZ544" s="56"/>
      <c r="BA544" s="171"/>
      <c r="BB544" s="56"/>
      <c r="BC544" s="10"/>
      <c r="BD544" s="56"/>
      <c r="BE544" s="56"/>
      <c r="BF544" s="56"/>
      <c r="BG544" s="56"/>
      <c r="BO544" s="144"/>
      <c r="CI544" s="144"/>
      <c r="CY544" s="144"/>
    </row>
    <row r="545" spans="1:103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171"/>
      <c r="AP545" s="56"/>
      <c r="AQ545" s="56"/>
      <c r="AR545" s="56"/>
      <c r="AS545" s="56"/>
      <c r="AT545" s="56"/>
      <c r="AU545" s="56"/>
      <c r="AV545" s="56"/>
      <c r="AW545" s="171"/>
      <c r="AX545" s="56"/>
      <c r="AY545" s="56"/>
      <c r="AZ545" s="56"/>
      <c r="BA545" s="171"/>
      <c r="BB545" s="56"/>
      <c r="BC545" s="10"/>
      <c r="BD545" s="56"/>
      <c r="BE545" s="56"/>
      <c r="BF545" s="56"/>
      <c r="BG545" s="56"/>
      <c r="BO545" s="144"/>
      <c r="CI545" s="144"/>
      <c r="CY545" s="144"/>
    </row>
    <row r="546" spans="1:103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171"/>
      <c r="AP546" s="56"/>
      <c r="AQ546" s="56"/>
      <c r="AR546" s="56"/>
      <c r="AS546" s="56"/>
      <c r="AT546" s="56"/>
      <c r="AU546" s="56"/>
      <c r="AV546" s="56"/>
      <c r="AW546" s="171"/>
      <c r="AX546" s="56"/>
      <c r="AY546" s="56"/>
      <c r="AZ546" s="56"/>
      <c r="BA546" s="171"/>
      <c r="BB546" s="56"/>
      <c r="BC546" s="10"/>
      <c r="BD546" s="56"/>
      <c r="BE546" s="56"/>
      <c r="BF546" s="56"/>
      <c r="BG546" s="56"/>
      <c r="BO546" s="144"/>
      <c r="CI546" s="144"/>
      <c r="CY546" s="144"/>
    </row>
    <row r="547" spans="1:103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171"/>
      <c r="AP547" s="56"/>
      <c r="AQ547" s="56"/>
      <c r="AR547" s="56"/>
      <c r="AS547" s="56"/>
      <c r="AT547" s="56"/>
      <c r="AU547" s="56"/>
      <c r="AV547" s="56"/>
      <c r="AW547" s="171"/>
      <c r="AX547" s="56"/>
      <c r="AY547" s="56"/>
      <c r="AZ547" s="56"/>
      <c r="BA547" s="171"/>
      <c r="BB547" s="56"/>
      <c r="BC547" s="10"/>
      <c r="BD547" s="56"/>
      <c r="BE547" s="56"/>
      <c r="BF547" s="56"/>
      <c r="BG547" s="56"/>
      <c r="BO547" s="144"/>
      <c r="CI547" s="144"/>
      <c r="CY547" s="144"/>
    </row>
    <row r="548" spans="1:103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171"/>
      <c r="AP548" s="56"/>
      <c r="AQ548" s="56"/>
      <c r="AR548" s="56"/>
      <c r="AS548" s="56"/>
      <c r="AT548" s="56"/>
      <c r="AU548" s="56"/>
      <c r="AV548" s="56"/>
      <c r="AW548" s="171"/>
      <c r="AX548" s="56"/>
      <c r="AY548" s="56"/>
      <c r="AZ548" s="56"/>
      <c r="BA548" s="171"/>
      <c r="BB548" s="56"/>
      <c r="BC548" s="10"/>
      <c r="BD548" s="56"/>
      <c r="BE548" s="56"/>
      <c r="BF548" s="56"/>
      <c r="BG548" s="56"/>
      <c r="BO548" s="144"/>
      <c r="CI548" s="144"/>
      <c r="CY548" s="144"/>
    </row>
    <row r="549" spans="1:103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171"/>
      <c r="AP549" s="56"/>
      <c r="AQ549" s="56"/>
      <c r="AR549" s="56"/>
      <c r="AS549" s="56"/>
      <c r="AT549" s="56"/>
      <c r="AU549" s="56"/>
      <c r="AV549" s="56"/>
      <c r="AW549" s="171"/>
      <c r="AX549" s="56"/>
      <c r="AY549" s="56"/>
      <c r="AZ549" s="56"/>
      <c r="BA549" s="171"/>
      <c r="BB549" s="56"/>
      <c r="BC549" s="10"/>
      <c r="BD549" s="56"/>
      <c r="BE549" s="56"/>
      <c r="BF549" s="56"/>
      <c r="BG549" s="56"/>
      <c r="BO549" s="144"/>
      <c r="CI549" s="144"/>
      <c r="CY549" s="144"/>
    </row>
    <row r="550" spans="1:103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171"/>
      <c r="AP550" s="56"/>
      <c r="AQ550" s="56"/>
      <c r="AR550" s="56"/>
      <c r="AS550" s="56"/>
      <c r="AT550" s="56"/>
      <c r="AU550" s="56"/>
      <c r="AV550" s="56"/>
      <c r="AW550" s="171"/>
      <c r="AX550" s="56"/>
      <c r="AY550" s="56"/>
      <c r="AZ550" s="56"/>
      <c r="BA550" s="171"/>
      <c r="BB550" s="56"/>
      <c r="BC550" s="10"/>
      <c r="BD550" s="56"/>
      <c r="BE550" s="56"/>
      <c r="BF550" s="56"/>
      <c r="BG550" s="56"/>
      <c r="BO550" s="144"/>
      <c r="CI550" s="144"/>
      <c r="CY550" s="144"/>
    </row>
    <row r="551" spans="1:103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171"/>
      <c r="AP551" s="56"/>
      <c r="AQ551" s="56"/>
      <c r="AR551" s="56"/>
      <c r="AS551" s="56"/>
      <c r="AT551" s="56"/>
      <c r="AU551" s="56"/>
      <c r="AV551" s="56"/>
      <c r="AW551" s="171"/>
      <c r="AX551" s="56"/>
      <c r="AY551" s="56"/>
      <c r="AZ551" s="56"/>
      <c r="BA551" s="171"/>
      <c r="BB551" s="56"/>
      <c r="BC551" s="10"/>
      <c r="BD551" s="56"/>
      <c r="BE551" s="56"/>
      <c r="BF551" s="56"/>
      <c r="BG551" s="56"/>
      <c r="BO551" s="144"/>
      <c r="CI551" s="144"/>
      <c r="CY551" s="144"/>
    </row>
    <row r="552" spans="1:103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171"/>
      <c r="AP552" s="56"/>
      <c r="AQ552" s="56"/>
      <c r="AR552" s="56"/>
      <c r="AS552" s="56"/>
      <c r="AT552" s="56"/>
      <c r="AU552" s="56"/>
      <c r="AV552" s="56"/>
      <c r="AW552" s="171"/>
      <c r="AX552" s="56"/>
      <c r="AY552" s="56"/>
      <c r="AZ552" s="56"/>
      <c r="BA552" s="171"/>
      <c r="BB552" s="56"/>
      <c r="BC552" s="10"/>
      <c r="BD552" s="56"/>
      <c r="BE552" s="56"/>
      <c r="BF552" s="56"/>
      <c r="BG552" s="56"/>
      <c r="BO552" s="144"/>
      <c r="CI552" s="144"/>
      <c r="CY552" s="144"/>
    </row>
    <row r="553" spans="1:103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171"/>
      <c r="AP553" s="56"/>
      <c r="AQ553" s="56"/>
      <c r="AR553" s="56"/>
      <c r="AS553" s="56"/>
      <c r="AT553" s="56"/>
      <c r="AU553" s="56"/>
      <c r="AV553" s="56"/>
      <c r="AW553" s="171"/>
      <c r="AX553" s="56"/>
      <c r="AY553" s="56"/>
      <c r="AZ553" s="56"/>
      <c r="BA553" s="171"/>
      <c r="BB553" s="56"/>
      <c r="BC553" s="10"/>
      <c r="BD553" s="56"/>
      <c r="BE553" s="56"/>
      <c r="BF553" s="56"/>
      <c r="BG553" s="56"/>
      <c r="BO553" s="144"/>
      <c r="CI553" s="144"/>
      <c r="CY553" s="144"/>
    </row>
    <row r="554" spans="1:103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171"/>
      <c r="AP554" s="56"/>
      <c r="AQ554" s="56"/>
      <c r="AR554" s="56"/>
      <c r="AS554" s="56"/>
      <c r="AT554" s="56"/>
      <c r="AU554" s="56"/>
      <c r="AV554" s="56"/>
      <c r="AW554" s="171"/>
      <c r="AX554" s="56"/>
      <c r="AY554" s="56"/>
      <c r="AZ554" s="56"/>
      <c r="BA554" s="171"/>
      <c r="BB554" s="56"/>
      <c r="BC554" s="10"/>
      <c r="BD554" s="56"/>
      <c r="BE554" s="56"/>
      <c r="BF554" s="56"/>
      <c r="BG554" s="56"/>
      <c r="BO554" s="144"/>
      <c r="CI554" s="144"/>
      <c r="CY554" s="144"/>
    </row>
    <row r="555" spans="1:103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171"/>
      <c r="AP555" s="56"/>
      <c r="AQ555" s="56"/>
      <c r="AR555" s="56"/>
      <c r="AS555" s="56"/>
      <c r="AT555" s="56"/>
      <c r="AU555" s="56"/>
      <c r="AV555" s="56"/>
      <c r="AW555" s="171"/>
      <c r="AX555" s="56"/>
      <c r="AY555" s="56"/>
      <c r="AZ555" s="56"/>
      <c r="BA555" s="171"/>
      <c r="BB555" s="56"/>
      <c r="BC555" s="10"/>
      <c r="BD555" s="56"/>
      <c r="BE555" s="56"/>
      <c r="BF555" s="56"/>
      <c r="BG555" s="56"/>
      <c r="BO555" s="144"/>
      <c r="CI555" s="144"/>
      <c r="CY555" s="144"/>
    </row>
    <row r="556" spans="1:103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171"/>
      <c r="AP556" s="56"/>
      <c r="AQ556" s="56"/>
      <c r="AR556" s="56"/>
      <c r="AS556" s="56"/>
      <c r="AT556" s="56"/>
      <c r="AU556" s="56"/>
      <c r="AV556" s="56"/>
      <c r="AW556" s="171"/>
      <c r="AX556" s="56"/>
      <c r="AY556" s="56"/>
      <c r="AZ556" s="56"/>
      <c r="BA556" s="171"/>
      <c r="BB556" s="56"/>
      <c r="BC556" s="10"/>
      <c r="BD556" s="56"/>
      <c r="BE556" s="56"/>
      <c r="BF556" s="56"/>
      <c r="BG556" s="56"/>
      <c r="BO556" s="144"/>
      <c r="CI556" s="144"/>
      <c r="CY556" s="144"/>
    </row>
    <row r="557" spans="1:103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171"/>
      <c r="AP557" s="56"/>
      <c r="AQ557" s="56"/>
      <c r="AR557" s="56"/>
      <c r="AS557" s="56"/>
      <c r="AT557" s="56"/>
      <c r="AU557" s="56"/>
      <c r="AV557" s="56"/>
      <c r="AW557" s="171"/>
      <c r="AX557" s="56"/>
      <c r="AY557" s="56"/>
      <c r="AZ557" s="56"/>
      <c r="BA557" s="171"/>
      <c r="BB557" s="56"/>
      <c r="BC557" s="10"/>
      <c r="BD557" s="56"/>
      <c r="BE557" s="56"/>
      <c r="BF557" s="56"/>
      <c r="BG557" s="56"/>
      <c r="BO557" s="144"/>
      <c r="CI557" s="144"/>
      <c r="CY557" s="144"/>
    </row>
    <row r="558" spans="1:103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171"/>
      <c r="AP558" s="56"/>
      <c r="AQ558" s="56"/>
      <c r="AR558" s="56"/>
      <c r="AS558" s="56"/>
      <c r="AT558" s="56"/>
      <c r="AU558" s="56"/>
      <c r="AV558" s="56"/>
      <c r="AW558" s="171"/>
      <c r="AX558" s="56"/>
      <c r="AY558" s="56"/>
      <c r="AZ558" s="56"/>
      <c r="BA558" s="171"/>
      <c r="BB558" s="56"/>
      <c r="BC558" s="10"/>
      <c r="BD558" s="56"/>
      <c r="BE558" s="56"/>
      <c r="BF558" s="56"/>
      <c r="BG558" s="56"/>
      <c r="BO558" s="144"/>
      <c r="CI558" s="144"/>
      <c r="CY558" s="144"/>
    </row>
    <row r="559" spans="1:103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171"/>
      <c r="AP559" s="56"/>
      <c r="AQ559" s="56"/>
      <c r="AR559" s="56"/>
      <c r="AS559" s="56"/>
      <c r="AT559" s="56"/>
      <c r="AU559" s="56"/>
      <c r="AV559" s="56"/>
      <c r="AW559" s="171"/>
      <c r="AX559" s="56"/>
      <c r="AY559" s="56"/>
      <c r="AZ559" s="56"/>
      <c r="BA559" s="171"/>
      <c r="BB559" s="56"/>
      <c r="BC559" s="10"/>
      <c r="BD559" s="56"/>
      <c r="BE559" s="56"/>
      <c r="BF559" s="56"/>
      <c r="BG559" s="56"/>
      <c r="BO559" s="144"/>
      <c r="CI559" s="144"/>
      <c r="CY559" s="144"/>
    </row>
    <row r="560" spans="1:103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171"/>
      <c r="AP560" s="56"/>
      <c r="AQ560" s="56"/>
      <c r="AR560" s="56"/>
      <c r="AS560" s="56"/>
      <c r="AT560" s="56"/>
      <c r="AU560" s="56"/>
      <c r="AV560" s="56"/>
      <c r="AW560" s="171"/>
      <c r="AX560" s="56"/>
      <c r="AY560" s="56"/>
      <c r="AZ560" s="56"/>
      <c r="BA560" s="171"/>
      <c r="BB560" s="56"/>
      <c r="BC560" s="10"/>
      <c r="BD560" s="56"/>
      <c r="BE560" s="56"/>
      <c r="BF560" s="56"/>
      <c r="BG560" s="56"/>
      <c r="BO560" s="144"/>
      <c r="CI560" s="144"/>
      <c r="CY560" s="144"/>
    </row>
    <row r="561" spans="1:103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171"/>
      <c r="AP561" s="56"/>
      <c r="AQ561" s="56"/>
      <c r="AR561" s="56"/>
      <c r="AS561" s="56"/>
      <c r="AT561" s="56"/>
      <c r="AU561" s="56"/>
      <c r="AV561" s="56"/>
      <c r="AW561" s="171"/>
      <c r="AX561" s="56"/>
      <c r="AY561" s="56"/>
      <c r="AZ561" s="56"/>
      <c r="BA561" s="171"/>
      <c r="BB561" s="56"/>
      <c r="BC561" s="10"/>
      <c r="BD561" s="56"/>
      <c r="BE561" s="56"/>
      <c r="BF561" s="56"/>
      <c r="BG561" s="56"/>
      <c r="BO561" s="144"/>
      <c r="CI561" s="144"/>
      <c r="CY561" s="144"/>
    </row>
    <row r="562" spans="1:103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171"/>
      <c r="AP562" s="56"/>
      <c r="AQ562" s="56"/>
      <c r="AR562" s="56"/>
      <c r="AS562" s="56"/>
      <c r="AT562" s="56"/>
      <c r="AU562" s="56"/>
      <c r="AV562" s="56"/>
      <c r="AW562" s="171"/>
      <c r="AX562" s="56"/>
      <c r="AY562" s="56"/>
      <c r="AZ562" s="56"/>
      <c r="BA562" s="171"/>
      <c r="BB562" s="56"/>
      <c r="BC562" s="10"/>
      <c r="BD562" s="56"/>
      <c r="BE562" s="56"/>
      <c r="BF562" s="56"/>
      <c r="BG562" s="56"/>
      <c r="BO562" s="144"/>
      <c r="CI562" s="144"/>
      <c r="CY562" s="144"/>
    </row>
    <row r="563" spans="1:103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171"/>
      <c r="AP563" s="56"/>
      <c r="AQ563" s="56"/>
      <c r="AR563" s="56"/>
      <c r="AS563" s="56"/>
      <c r="AT563" s="56"/>
      <c r="AU563" s="56"/>
      <c r="AV563" s="56"/>
      <c r="AW563" s="171"/>
      <c r="AX563" s="56"/>
      <c r="AY563" s="56"/>
      <c r="AZ563" s="56"/>
      <c r="BA563" s="171"/>
      <c r="BB563" s="56"/>
      <c r="BC563" s="10"/>
      <c r="BD563" s="56"/>
      <c r="BE563" s="56"/>
      <c r="BF563" s="56"/>
      <c r="BG563" s="56"/>
      <c r="BO563" s="144"/>
      <c r="CI563" s="144"/>
      <c r="CY563" s="144"/>
    </row>
    <row r="564" spans="1:103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171"/>
      <c r="AP564" s="56"/>
      <c r="AQ564" s="56"/>
      <c r="AR564" s="56"/>
      <c r="AS564" s="56"/>
      <c r="AT564" s="56"/>
      <c r="AU564" s="56"/>
      <c r="AV564" s="56"/>
      <c r="AW564" s="171"/>
      <c r="AX564" s="56"/>
      <c r="AY564" s="56"/>
      <c r="AZ564" s="56"/>
      <c r="BA564" s="171"/>
      <c r="BB564" s="56"/>
      <c r="BC564" s="10"/>
      <c r="BD564" s="56"/>
      <c r="BE564" s="56"/>
      <c r="BF564" s="56"/>
      <c r="BG564" s="56"/>
      <c r="BO564" s="144"/>
      <c r="CI564" s="144"/>
      <c r="CY564" s="144"/>
    </row>
    <row r="565" spans="1:103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171"/>
      <c r="AP565" s="56"/>
      <c r="AQ565" s="56"/>
      <c r="AR565" s="56"/>
      <c r="AS565" s="56"/>
      <c r="AT565" s="56"/>
      <c r="AU565" s="56"/>
      <c r="AV565" s="56"/>
      <c r="AW565" s="171"/>
      <c r="AX565" s="56"/>
      <c r="AY565" s="56"/>
      <c r="AZ565" s="56"/>
      <c r="BA565" s="171"/>
      <c r="BB565" s="56"/>
      <c r="BC565" s="10"/>
      <c r="BD565" s="56"/>
      <c r="BE565" s="56"/>
      <c r="BF565" s="56"/>
      <c r="BG565" s="56"/>
      <c r="BO565" s="144"/>
      <c r="CI565" s="144"/>
      <c r="CY565" s="144"/>
    </row>
    <row r="566" spans="1:103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171"/>
      <c r="AP566" s="56"/>
      <c r="AQ566" s="56"/>
      <c r="AR566" s="56"/>
      <c r="AS566" s="56"/>
      <c r="AT566" s="56"/>
      <c r="AU566" s="56"/>
      <c r="AV566" s="56"/>
      <c r="AW566" s="171"/>
      <c r="AX566" s="56"/>
      <c r="AY566" s="56"/>
      <c r="AZ566" s="56"/>
      <c r="BA566" s="171"/>
      <c r="BB566" s="56"/>
      <c r="BC566" s="10"/>
      <c r="BD566" s="56"/>
      <c r="BE566" s="56"/>
      <c r="BF566" s="56"/>
      <c r="BG566" s="56"/>
      <c r="BO566" s="144"/>
      <c r="CI566" s="144"/>
      <c r="CY566" s="144"/>
    </row>
    <row r="567" spans="1:103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171"/>
      <c r="AP567" s="56"/>
      <c r="AQ567" s="56"/>
      <c r="AR567" s="56"/>
      <c r="AS567" s="56"/>
      <c r="AT567" s="56"/>
      <c r="AU567" s="56"/>
      <c r="AV567" s="56"/>
      <c r="AW567" s="171"/>
      <c r="AX567" s="56"/>
      <c r="AY567" s="56"/>
      <c r="AZ567" s="56"/>
      <c r="BA567" s="171"/>
      <c r="BB567" s="56"/>
      <c r="BC567" s="10"/>
      <c r="BD567" s="56"/>
      <c r="BE567" s="56"/>
      <c r="BF567" s="56"/>
      <c r="BG567" s="56"/>
      <c r="BO567" s="144"/>
      <c r="CI567" s="144"/>
      <c r="CY567" s="144"/>
    </row>
    <row r="568" spans="1:103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171"/>
      <c r="AP568" s="56"/>
      <c r="AQ568" s="56"/>
      <c r="AR568" s="56"/>
      <c r="AS568" s="56"/>
      <c r="AT568" s="56"/>
      <c r="AU568" s="56"/>
      <c r="AV568" s="56"/>
      <c r="AW568" s="171"/>
      <c r="AX568" s="56"/>
      <c r="AY568" s="56"/>
      <c r="AZ568" s="56"/>
      <c r="BA568" s="171"/>
      <c r="BB568" s="56"/>
      <c r="BC568" s="10"/>
      <c r="BD568" s="56"/>
      <c r="BE568" s="56"/>
      <c r="BF568" s="56"/>
      <c r="BG568" s="56"/>
      <c r="BO568" s="144"/>
      <c r="CI568" s="144"/>
      <c r="CY568" s="144"/>
    </row>
    <row r="569" spans="1:103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171"/>
      <c r="AP569" s="56"/>
      <c r="AQ569" s="56"/>
      <c r="AR569" s="56"/>
      <c r="AS569" s="56"/>
      <c r="AT569" s="56"/>
      <c r="AU569" s="56"/>
      <c r="AV569" s="56"/>
      <c r="AW569" s="171"/>
      <c r="AX569" s="56"/>
      <c r="AY569" s="56"/>
      <c r="AZ569" s="56"/>
      <c r="BA569" s="171"/>
      <c r="BB569" s="56"/>
      <c r="BC569" s="10"/>
      <c r="BD569" s="56"/>
      <c r="BE569" s="56"/>
      <c r="BF569" s="56"/>
      <c r="BG569" s="56"/>
      <c r="BO569" s="144"/>
      <c r="CI569" s="144"/>
      <c r="CY569" s="144"/>
    </row>
    <row r="570" spans="1:103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171"/>
      <c r="AP570" s="56"/>
      <c r="AQ570" s="56"/>
      <c r="AR570" s="56"/>
      <c r="AS570" s="56"/>
      <c r="AT570" s="56"/>
      <c r="AU570" s="56"/>
      <c r="AV570" s="56"/>
      <c r="AW570" s="171"/>
      <c r="AX570" s="56"/>
      <c r="AY570" s="56"/>
      <c r="AZ570" s="56"/>
      <c r="BA570" s="171"/>
      <c r="BB570" s="56"/>
      <c r="BC570" s="10"/>
      <c r="BD570" s="56"/>
      <c r="BE570" s="56"/>
      <c r="BF570" s="56"/>
      <c r="BG570" s="56"/>
      <c r="BO570" s="144"/>
      <c r="CI570" s="144"/>
      <c r="CY570" s="144"/>
    </row>
    <row r="571" spans="1:103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171"/>
      <c r="AP571" s="56"/>
      <c r="AQ571" s="56"/>
      <c r="AR571" s="56"/>
      <c r="AS571" s="56"/>
      <c r="AT571" s="56"/>
      <c r="AU571" s="56"/>
      <c r="AV571" s="56"/>
      <c r="AW571" s="171"/>
      <c r="AX571" s="56"/>
      <c r="AY571" s="56"/>
      <c r="AZ571" s="56"/>
      <c r="BA571" s="171"/>
      <c r="BB571" s="56"/>
      <c r="BC571" s="10"/>
      <c r="BD571" s="56"/>
      <c r="BE571" s="56"/>
      <c r="BF571" s="56"/>
      <c r="BG571" s="56"/>
      <c r="BO571" s="144"/>
      <c r="CI571" s="144"/>
      <c r="CY571" s="144"/>
    </row>
    <row r="572" spans="1:103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171"/>
      <c r="AP572" s="56"/>
      <c r="AQ572" s="56"/>
      <c r="AR572" s="56"/>
      <c r="AS572" s="56"/>
      <c r="AT572" s="56"/>
      <c r="AU572" s="56"/>
      <c r="AV572" s="56"/>
      <c r="AW572" s="171"/>
      <c r="AX572" s="56"/>
      <c r="AY572" s="56"/>
      <c r="AZ572" s="56"/>
      <c r="BA572" s="171"/>
      <c r="BB572" s="56"/>
      <c r="BC572" s="10"/>
      <c r="BD572" s="56"/>
      <c r="BE572" s="56"/>
      <c r="BF572" s="56"/>
      <c r="BG572" s="56"/>
      <c r="BO572" s="144"/>
      <c r="CI572" s="144"/>
      <c r="CY572" s="144"/>
    </row>
    <row r="573" spans="1:103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171"/>
      <c r="AP573" s="56"/>
      <c r="AQ573" s="56"/>
      <c r="AR573" s="56"/>
      <c r="AS573" s="56"/>
      <c r="AT573" s="56"/>
      <c r="AU573" s="56"/>
      <c r="AV573" s="56"/>
      <c r="AW573" s="171"/>
      <c r="AX573" s="56"/>
      <c r="AY573" s="56"/>
      <c r="AZ573" s="56"/>
      <c r="BA573" s="171"/>
      <c r="BB573" s="56"/>
      <c r="BC573" s="10"/>
      <c r="BD573" s="56"/>
      <c r="BE573" s="56"/>
      <c r="BF573" s="56"/>
      <c r="BG573" s="56"/>
      <c r="BO573" s="144"/>
      <c r="CI573" s="144"/>
      <c r="CY573" s="144"/>
    </row>
    <row r="574" spans="1:103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171"/>
      <c r="AP574" s="56"/>
      <c r="AQ574" s="56"/>
      <c r="AR574" s="56"/>
      <c r="AS574" s="56"/>
      <c r="AT574" s="56"/>
      <c r="AU574" s="56"/>
      <c r="AV574" s="56"/>
      <c r="AW574" s="171"/>
      <c r="AX574" s="56"/>
      <c r="AY574" s="56"/>
      <c r="AZ574" s="56"/>
      <c r="BA574" s="171"/>
      <c r="BB574" s="56"/>
      <c r="BC574" s="10"/>
      <c r="BD574" s="56"/>
      <c r="BE574" s="56"/>
      <c r="BF574" s="56"/>
      <c r="BG574" s="56"/>
      <c r="BO574" s="144"/>
      <c r="CI574" s="144"/>
      <c r="CY574" s="144"/>
    </row>
    <row r="575" spans="1:103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171"/>
      <c r="AP575" s="56"/>
      <c r="AQ575" s="56"/>
      <c r="AR575" s="56"/>
      <c r="AS575" s="56"/>
      <c r="AT575" s="56"/>
      <c r="AU575" s="56"/>
      <c r="AV575" s="56"/>
      <c r="AW575" s="171"/>
      <c r="AX575" s="56"/>
      <c r="AY575" s="56"/>
      <c r="AZ575" s="56"/>
      <c r="BA575" s="171"/>
      <c r="BB575" s="56"/>
      <c r="BC575" s="10"/>
      <c r="BD575" s="56"/>
      <c r="BE575" s="56"/>
      <c r="BF575" s="56"/>
      <c r="BG575" s="56"/>
      <c r="BO575" s="144"/>
      <c r="CI575" s="144"/>
      <c r="CY575" s="144"/>
    </row>
    <row r="576" spans="1:103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171"/>
      <c r="AP576" s="56"/>
      <c r="AQ576" s="56"/>
      <c r="AR576" s="56"/>
      <c r="AS576" s="56"/>
      <c r="AT576" s="56"/>
      <c r="AU576" s="56"/>
      <c r="AV576" s="56"/>
      <c r="AW576" s="171"/>
      <c r="AX576" s="56"/>
      <c r="AY576" s="56"/>
      <c r="AZ576" s="56"/>
      <c r="BA576" s="171"/>
      <c r="BB576" s="56"/>
      <c r="BC576" s="10"/>
      <c r="BD576" s="56"/>
      <c r="BE576" s="56"/>
      <c r="BF576" s="56"/>
      <c r="BG576" s="56"/>
      <c r="BO576" s="144"/>
      <c r="CI576" s="144"/>
      <c r="CY576" s="144"/>
    </row>
    <row r="577" spans="1:103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171"/>
      <c r="AP577" s="56"/>
      <c r="AQ577" s="56"/>
      <c r="AR577" s="56"/>
      <c r="AS577" s="56"/>
      <c r="AT577" s="56"/>
      <c r="AU577" s="56"/>
      <c r="AV577" s="56"/>
      <c r="AW577" s="171"/>
      <c r="AX577" s="56"/>
      <c r="AY577" s="56"/>
      <c r="AZ577" s="56"/>
      <c r="BA577" s="171"/>
      <c r="BB577" s="56"/>
      <c r="BC577" s="10"/>
      <c r="BD577" s="56"/>
      <c r="BE577" s="56"/>
      <c r="BF577" s="56"/>
      <c r="BG577" s="56"/>
      <c r="BO577" s="144"/>
      <c r="CI577" s="144"/>
      <c r="CY577" s="144"/>
    </row>
    <row r="578" spans="1:103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171"/>
      <c r="AP578" s="56"/>
      <c r="AQ578" s="56"/>
      <c r="AR578" s="56"/>
      <c r="AS578" s="56"/>
      <c r="AT578" s="56"/>
      <c r="AU578" s="56"/>
      <c r="AV578" s="56"/>
      <c r="AW578" s="171"/>
      <c r="AX578" s="56"/>
      <c r="AY578" s="56"/>
      <c r="AZ578" s="56"/>
      <c r="BA578" s="171"/>
      <c r="BB578" s="56"/>
      <c r="BC578" s="10"/>
      <c r="BD578" s="56"/>
      <c r="BE578" s="56"/>
      <c r="BF578" s="56"/>
      <c r="BG578" s="56"/>
      <c r="BO578" s="144"/>
      <c r="CI578" s="144"/>
      <c r="CY578" s="144"/>
    </row>
    <row r="579" spans="1:103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171"/>
      <c r="AP579" s="56"/>
      <c r="AQ579" s="56"/>
      <c r="AR579" s="56"/>
      <c r="AS579" s="56"/>
      <c r="AT579" s="56"/>
      <c r="AU579" s="56"/>
      <c r="AV579" s="56"/>
      <c r="AW579" s="171"/>
      <c r="AX579" s="56"/>
      <c r="AY579" s="56"/>
      <c r="AZ579" s="56"/>
      <c r="BA579" s="171"/>
      <c r="BB579" s="56"/>
      <c r="BC579" s="10"/>
      <c r="BD579" s="56"/>
      <c r="BE579" s="56"/>
      <c r="BF579" s="56"/>
      <c r="BG579" s="56"/>
      <c r="BO579" s="144"/>
      <c r="CI579" s="144"/>
      <c r="CY579" s="144"/>
    </row>
    <row r="580" spans="1:103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171"/>
      <c r="AP580" s="56"/>
      <c r="AQ580" s="56"/>
      <c r="AR580" s="56"/>
      <c r="AS580" s="56"/>
      <c r="AT580" s="56"/>
      <c r="AU580" s="56"/>
      <c r="AV580" s="56"/>
      <c r="AW580" s="171"/>
      <c r="AX580" s="56"/>
      <c r="AY580" s="56"/>
      <c r="AZ580" s="56"/>
      <c r="BA580" s="171"/>
      <c r="BB580" s="56"/>
      <c r="BC580" s="10"/>
      <c r="BD580" s="56"/>
      <c r="BE580" s="56"/>
      <c r="BF580" s="56"/>
      <c r="BG580" s="56"/>
      <c r="BO580" s="144"/>
      <c r="CI580" s="144"/>
      <c r="CY580" s="144"/>
    </row>
    <row r="581" spans="1:103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171"/>
      <c r="AP581" s="56"/>
      <c r="AQ581" s="56"/>
      <c r="AR581" s="56"/>
      <c r="AS581" s="56"/>
      <c r="AT581" s="56"/>
      <c r="AU581" s="56"/>
      <c r="AV581" s="56"/>
      <c r="AW581" s="171"/>
      <c r="AX581" s="56"/>
      <c r="AY581" s="56"/>
      <c r="AZ581" s="56"/>
      <c r="BA581" s="171"/>
      <c r="BB581" s="56"/>
      <c r="BC581" s="10"/>
      <c r="BD581" s="56"/>
      <c r="BE581" s="56"/>
      <c r="BF581" s="56"/>
      <c r="BG581" s="56"/>
      <c r="BO581" s="144"/>
      <c r="CI581" s="144"/>
      <c r="CY581" s="144"/>
    </row>
    <row r="582" spans="1:103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171"/>
      <c r="AP582" s="56"/>
      <c r="AQ582" s="56"/>
      <c r="AR582" s="56"/>
      <c r="AS582" s="56"/>
      <c r="AT582" s="56"/>
      <c r="AU582" s="56"/>
      <c r="AV582" s="56"/>
      <c r="AW582" s="171"/>
      <c r="AX582" s="56"/>
      <c r="AY582" s="56"/>
      <c r="AZ582" s="56"/>
      <c r="BA582" s="171"/>
      <c r="BB582" s="56"/>
      <c r="BC582" s="10"/>
      <c r="BD582" s="56"/>
      <c r="BE582" s="56"/>
      <c r="BF582" s="56"/>
      <c r="BG582" s="56"/>
      <c r="BO582" s="144"/>
      <c r="CI582" s="144"/>
      <c r="CY582" s="144"/>
    </row>
    <row r="583" spans="1:103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171"/>
      <c r="AP583" s="56"/>
      <c r="AQ583" s="56"/>
      <c r="AR583" s="56"/>
      <c r="AS583" s="56"/>
      <c r="AT583" s="56"/>
      <c r="AU583" s="56"/>
      <c r="AV583" s="56"/>
      <c r="AW583" s="171"/>
      <c r="AX583" s="56"/>
      <c r="AY583" s="56"/>
      <c r="AZ583" s="56"/>
      <c r="BA583" s="171"/>
      <c r="BB583" s="56"/>
      <c r="BC583" s="10"/>
      <c r="BD583" s="56"/>
      <c r="BE583" s="56"/>
      <c r="BF583" s="56"/>
      <c r="BG583" s="56"/>
      <c r="BO583" s="144"/>
      <c r="CI583" s="144"/>
      <c r="CY583" s="144"/>
    </row>
    <row r="584" spans="1:103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171"/>
      <c r="AP584" s="56"/>
      <c r="AQ584" s="56"/>
      <c r="AR584" s="56"/>
      <c r="AS584" s="56"/>
      <c r="AT584" s="56"/>
      <c r="AU584" s="56"/>
      <c r="AV584" s="56"/>
      <c r="AW584" s="171"/>
      <c r="AX584" s="56"/>
      <c r="AY584" s="56"/>
      <c r="AZ584" s="56"/>
      <c r="BA584" s="171"/>
      <c r="BB584" s="56"/>
      <c r="BC584" s="10"/>
      <c r="BD584" s="56"/>
      <c r="BE584" s="56"/>
      <c r="BF584" s="56"/>
      <c r="BG584" s="56"/>
      <c r="BO584" s="144"/>
      <c r="CI584" s="144"/>
      <c r="CY584" s="144"/>
    </row>
    <row r="585" spans="1:103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171"/>
      <c r="AP585" s="56"/>
      <c r="AQ585" s="56"/>
      <c r="AR585" s="56"/>
      <c r="AS585" s="56"/>
      <c r="AT585" s="56"/>
      <c r="AU585" s="56"/>
      <c r="AV585" s="56"/>
      <c r="AW585" s="171"/>
      <c r="AX585" s="56"/>
      <c r="AY585" s="56"/>
      <c r="AZ585" s="56"/>
      <c r="BA585" s="171"/>
      <c r="BB585" s="56"/>
      <c r="BC585" s="10"/>
      <c r="BD585" s="56"/>
      <c r="BE585" s="56"/>
      <c r="BF585" s="56"/>
      <c r="BG585" s="56"/>
      <c r="BO585" s="144"/>
      <c r="CI585" s="144"/>
      <c r="CY585" s="144"/>
    </row>
    <row r="586" spans="1:103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171"/>
      <c r="AP586" s="56"/>
      <c r="AQ586" s="56"/>
      <c r="AR586" s="56"/>
      <c r="AS586" s="56"/>
      <c r="AT586" s="56"/>
      <c r="AU586" s="56"/>
      <c r="AV586" s="56"/>
      <c r="AW586" s="171"/>
      <c r="AX586" s="56"/>
      <c r="AY586" s="56"/>
      <c r="AZ586" s="56"/>
      <c r="BA586" s="171"/>
      <c r="BB586" s="56"/>
      <c r="BC586" s="10"/>
      <c r="BD586" s="56"/>
      <c r="BE586" s="56"/>
      <c r="BF586" s="56"/>
      <c r="BG586" s="56"/>
      <c r="BO586" s="144"/>
      <c r="CI586" s="144"/>
      <c r="CY586" s="144"/>
    </row>
    <row r="587" spans="1:103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171"/>
      <c r="AP587" s="56"/>
      <c r="AQ587" s="56"/>
      <c r="AR587" s="56"/>
      <c r="AS587" s="56"/>
      <c r="AT587" s="56"/>
      <c r="AU587" s="56"/>
      <c r="AV587" s="56"/>
      <c r="AW587" s="171"/>
      <c r="AX587" s="56"/>
      <c r="AY587" s="56"/>
      <c r="AZ587" s="56"/>
      <c r="BA587" s="171"/>
      <c r="BB587" s="56"/>
      <c r="BC587" s="10"/>
      <c r="BD587" s="56"/>
      <c r="BE587" s="56"/>
      <c r="BF587" s="56"/>
      <c r="BG587" s="56"/>
      <c r="BO587" s="144"/>
      <c r="CI587" s="144"/>
      <c r="CY587" s="144"/>
    </row>
    <row r="588" spans="1:103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171"/>
      <c r="AP588" s="56"/>
      <c r="AQ588" s="56"/>
      <c r="AR588" s="56"/>
      <c r="AS588" s="56"/>
      <c r="AT588" s="56"/>
      <c r="AU588" s="56"/>
      <c r="AV588" s="56"/>
      <c r="AW588" s="171"/>
      <c r="AX588" s="56"/>
      <c r="AY588" s="56"/>
      <c r="AZ588" s="56"/>
      <c r="BA588" s="171"/>
      <c r="BB588" s="56"/>
      <c r="BC588" s="10"/>
      <c r="BD588" s="56"/>
      <c r="BE588" s="56"/>
      <c r="BF588" s="56"/>
      <c r="BG588" s="56"/>
      <c r="BO588" s="144"/>
      <c r="CI588" s="144"/>
      <c r="CY588" s="144"/>
    </row>
    <row r="589" spans="1:103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171"/>
      <c r="AP589" s="56"/>
      <c r="AQ589" s="56"/>
      <c r="AR589" s="56"/>
      <c r="AS589" s="56"/>
      <c r="AT589" s="56"/>
      <c r="AU589" s="56"/>
      <c r="AV589" s="56"/>
      <c r="AW589" s="171"/>
      <c r="AX589" s="56"/>
      <c r="AY589" s="56"/>
      <c r="AZ589" s="56"/>
      <c r="BA589" s="171"/>
      <c r="BB589" s="56"/>
      <c r="BC589" s="10"/>
      <c r="BD589" s="56"/>
      <c r="BE589" s="56"/>
      <c r="BF589" s="56"/>
      <c r="BG589" s="56"/>
      <c r="BO589" s="144"/>
      <c r="CI589" s="144"/>
      <c r="CY589" s="144"/>
    </row>
    <row r="590" spans="1:103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171"/>
      <c r="AP590" s="56"/>
      <c r="AQ590" s="56"/>
      <c r="AR590" s="56"/>
      <c r="AS590" s="56"/>
      <c r="AT590" s="56"/>
      <c r="AU590" s="56"/>
      <c r="AV590" s="56"/>
      <c r="AW590" s="171"/>
      <c r="AX590" s="56"/>
      <c r="AY590" s="56"/>
      <c r="AZ590" s="56"/>
      <c r="BA590" s="171"/>
      <c r="BB590" s="56"/>
      <c r="BC590" s="10"/>
      <c r="BD590" s="56"/>
      <c r="BE590" s="56"/>
      <c r="BF590" s="56"/>
      <c r="BG590" s="56"/>
      <c r="BO590" s="144"/>
      <c r="CI590" s="144"/>
      <c r="CY590" s="144"/>
    </row>
    <row r="591" spans="1:103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171"/>
      <c r="AP591" s="56"/>
      <c r="AQ591" s="56"/>
      <c r="AR591" s="56"/>
      <c r="AS591" s="56"/>
      <c r="AT591" s="56"/>
      <c r="AU591" s="56"/>
      <c r="AV591" s="56"/>
      <c r="AW591" s="171"/>
      <c r="AX591" s="56"/>
      <c r="AY591" s="56"/>
      <c r="AZ591" s="56"/>
      <c r="BA591" s="171"/>
      <c r="BB591" s="56"/>
      <c r="BC591" s="10"/>
      <c r="BD591" s="56"/>
      <c r="BE591" s="56"/>
      <c r="BF591" s="56"/>
      <c r="BG591" s="56"/>
      <c r="BO591" s="144"/>
      <c r="CI591" s="144"/>
      <c r="CY591" s="144"/>
    </row>
    <row r="592" spans="1:103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171"/>
      <c r="AP592" s="56"/>
      <c r="AQ592" s="56"/>
      <c r="AR592" s="56"/>
      <c r="AS592" s="56"/>
      <c r="AT592" s="56"/>
      <c r="AU592" s="56"/>
      <c r="AV592" s="56"/>
      <c r="AW592" s="171"/>
      <c r="AX592" s="56"/>
      <c r="AY592" s="56"/>
      <c r="AZ592" s="56"/>
      <c r="BA592" s="171"/>
      <c r="BB592" s="56"/>
      <c r="BC592" s="10"/>
      <c r="BD592" s="56"/>
      <c r="BE592" s="56"/>
      <c r="BF592" s="56"/>
      <c r="BG592" s="56"/>
      <c r="BO592" s="144"/>
      <c r="CI592" s="144"/>
      <c r="CY592" s="144"/>
    </row>
    <row r="593" spans="1:103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171"/>
      <c r="AP593" s="56"/>
      <c r="AQ593" s="56"/>
      <c r="AR593" s="56"/>
      <c r="AS593" s="56"/>
      <c r="AT593" s="56"/>
      <c r="AU593" s="56"/>
      <c r="AV593" s="56"/>
      <c r="AW593" s="171"/>
      <c r="AX593" s="56"/>
      <c r="AY593" s="56"/>
      <c r="AZ593" s="56"/>
      <c r="BA593" s="171"/>
      <c r="BB593" s="56"/>
      <c r="BC593" s="10"/>
      <c r="BD593" s="56"/>
      <c r="BE593" s="56"/>
      <c r="BF593" s="56"/>
      <c r="BG593" s="56"/>
      <c r="BO593" s="144"/>
      <c r="CI593" s="144"/>
      <c r="CY593" s="144"/>
    </row>
    <row r="594" spans="1:103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171"/>
      <c r="AP594" s="56"/>
      <c r="AQ594" s="56"/>
      <c r="AR594" s="56"/>
      <c r="AS594" s="56"/>
      <c r="AT594" s="56"/>
      <c r="AU594" s="56"/>
      <c r="AV594" s="56"/>
      <c r="AW594" s="171"/>
      <c r="AX594" s="56"/>
      <c r="AY594" s="56"/>
      <c r="AZ594" s="56"/>
      <c r="BA594" s="171"/>
      <c r="BB594" s="56"/>
      <c r="BC594" s="10"/>
      <c r="BD594" s="56"/>
      <c r="BE594" s="56"/>
      <c r="BF594" s="56"/>
      <c r="BG594" s="56"/>
      <c r="BO594" s="144"/>
      <c r="CI594" s="144"/>
      <c r="CY594" s="144"/>
    </row>
    <row r="595" spans="1:103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171"/>
      <c r="AP595" s="56"/>
      <c r="AQ595" s="56"/>
      <c r="AR595" s="56"/>
      <c r="AS595" s="56"/>
      <c r="AT595" s="56"/>
      <c r="AU595" s="56"/>
      <c r="AV595" s="56"/>
      <c r="AW595" s="171"/>
      <c r="AX595" s="56"/>
      <c r="AY595" s="56"/>
      <c r="AZ595" s="56"/>
      <c r="BA595" s="171"/>
      <c r="BB595" s="56"/>
      <c r="BC595" s="10"/>
      <c r="BD595" s="56"/>
      <c r="BE595" s="56"/>
      <c r="BF595" s="56"/>
      <c r="BG595" s="56"/>
      <c r="BO595" s="144"/>
      <c r="CI595" s="144"/>
      <c r="CY595" s="144"/>
    </row>
    <row r="596" spans="1:103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171"/>
      <c r="AP596" s="56"/>
      <c r="AQ596" s="56"/>
      <c r="AR596" s="56"/>
      <c r="AS596" s="56"/>
      <c r="AT596" s="56"/>
      <c r="AU596" s="56"/>
      <c r="AV596" s="56"/>
      <c r="AW596" s="171"/>
      <c r="AX596" s="56"/>
      <c r="AY596" s="56"/>
      <c r="AZ596" s="56"/>
      <c r="BA596" s="171"/>
      <c r="BB596" s="56"/>
      <c r="BC596" s="10"/>
      <c r="BD596" s="56"/>
      <c r="BE596" s="56"/>
      <c r="BF596" s="56"/>
      <c r="BG596" s="56"/>
      <c r="BO596" s="144"/>
      <c r="CI596" s="144"/>
      <c r="CY596" s="144"/>
    </row>
    <row r="597" spans="1:103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171"/>
      <c r="AP597" s="56"/>
      <c r="AQ597" s="56"/>
      <c r="AR597" s="56"/>
      <c r="AS597" s="56"/>
      <c r="AT597" s="56"/>
      <c r="AU597" s="56"/>
      <c r="AV597" s="56"/>
      <c r="AW597" s="171"/>
      <c r="AX597" s="56"/>
      <c r="AY597" s="56"/>
      <c r="AZ597" s="56"/>
      <c r="BA597" s="171"/>
      <c r="BB597" s="56"/>
      <c r="BC597" s="10"/>
      <c r="BD597" s="56"/>
      <c r="BE597" s="56"/>
      <c r="BF597" s="56"/>
      <c r="BG597" s="56"/>
      <c r="BO597" s="144"/>
      <c r="CI597" s="144"/>
      <c r="CY597" s="144"/>
    </row>
    <row r="598" spans="1:103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171"/>
      <c r="AP598" s="56"/>
      <c r="AQ598" s="56"/>
      <c r="AR598" s="56"/>
      <c r="AS598" s="56"/>
      <c r="AT598" s="56"/>
      <c r="AU598" s="56"/>
      <c r="AV598" s="56"/>
      <c r="AW598" s="171"/>
      <c r="AX598" s="56"/>
      <c r="AY598" s="56"/>
      <c r="AZ598" s="56"/>
      <c r="BA598" s="171"/>
      <c r="BB598" s="56"/>
      <c r="BC598" s="10"/>
      <c r="BD598" s="56"/>
      <c r="BE598" s="56"/>
      <c r="BF598" s="56"/>
      <c r="BG598" s="56"/>
      <c r="BO598" s="144"/>
      <c r="CI598" s="144"/>
      <c r="CY598" s="144"/>
    </row>
    <row r="599" spans="1:103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171"/>
      <c r="AP599" s="56"/>
      <c r="AQ599" s="56"/>
      <c r="AR599" s="56"/>
      <c r="AS599" s="56"/>
      <c r="AT599" s="56"/>
      <c r="AU599" s="56"/>
      <c r="AV599" s="56"/>
      <c r="AW599" s="171"/>
      <c r="AX599" s="56"/>
      <c r="AY599" s="56"/>
      <c r="AZ599" s="56"/>
      <c r="BA599" s="171"/>
      <c r="BB599" s="56"/>
      <c r="BC599" s="10"/>
      <c r="BD599" s="56"/>
      <c r="BE599" s="56"/>
      <c r="BF599" s="56"/>
      <c r="BG599" s="56"/>
      <c r="BO599" s="144"/>
      <c r="CI599" s="144"/>
      <c r="CY599" s="144"/>
    </row>
    <row r="600" spans="1:103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171"/>
      <c r="AP600" s="56"/>
      <c r="AQ600" s="56"/>
      <c r="AR600" s="56"/>
      <c r="AS600" s="56"/>
      <c r="AT600" s="56"/>
      <c r="AU600" s="56"/>
      <c r="AV600" s="56"/>
      <c r="AW600" s="171"/>
      <c r="AX600" s="56"/>
      <c r="AY600" s="56"/>
      <c r="AZ600" s="56"/>
      <c r="BA600" s="171"/>
      <c r="BB600" s="56"/>
      <c r="BC600" s="10"/>
      <c r="BD600" s="56"/>
      <c r="BE600" s="56"/>
      <c r="BF600" s="56"/>
      <c r="BG600" s="56"/>
      <c r="BO600" s="144"/>
      <c r="CI600" s="144"/>
      <c r="CY600" s="144"/>
    </row>
    <row r="601" spans="1:103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171"/>
      <c r="AP601" s="56"/>
      <c r="AQ601" s="56"/>
      <c r="AR601" s="56"/>
      <c r="AS601" s="56"/>
      <c r="AT601" s="56"/>
      <c r="AU601" s="56"/>
      <c r="AV601" s="56"/>
      <c r="AW601" s="171"/>
      <c r="AX601" s="56"/>
      <c r="AY601" s="56"/>
      <c r="AZ601" s="56"/>
      <c r="BA601" s="171"/>
      <c r="BB601" s="56"/>
      <c r="BC601" s="10"/>
      <c r="BD601" s="56"/>
      <c r="BE601" s="56"/>
      <c r="BF601" s="56"/>
      <c r="BG601" s="56"/>
      <c r="BO601" s="144"/>
      <c r="CI601" s="144"/>
      <c r="CY601" s="144"/>
    </row>
    <row r="602" spans="1:103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171"/>
      <c r="AP602" s="56"/>
      <c r="AQ602" s="56"/>
      <c r="AR602" s="56"/>
      <c r="AS602" s="56"/>
      <c r="AT602" s="56"/>
      <c r="AU602" s="56"/>
      <c r="AV602" s="56"/>
      <c r="AW602" s="171"/>
      <c r="AX602" s="56"/>
      <c r="AY602" s="56"/>
      <c r="AZ602" s="56"/>
      <c r="BA602" s="171"/>
      <c r="BB602" s="56"/>
      <c r="BC602" s="10"/>
      <c r="BD602" s="56"/>
      <c r="BE602" s="56"/>
      <c r="BF602" s="56"/>
      <c r="BG602" s="56"/>
      <c r="BO602" s="144"/>
      <c r="CI602" s="144"/>
      <c r="CY602" s="144"/>
    </row>
    <row r="603" spans="1:103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171"/>
      <c r="AP603" s="56"/>
      <c r="AQ603" s="56"/>
      <c r="AR603" s="56"/>
      <c r="AS603" s="56"/>
      <c r="AT603" s="56"/>
      <c r="AU603" s="56"/>
      <c r="AV603" s="56"/>
      <c r="AW603" s="171"/>
      <c r="AX603" s="56"/>
      <c r="AY603" s="56"/>
      <c r="AZ603" s="56"/>
      <c r="BA603" s="171"/>
      <c r="BB603" s="56"/>
      <c r="BC603" s="10"/>
      <c r="BD603" s="56"/>
      <c r="BE603" s="56"/>
      <c r="BF603" s="56"/>
      <c r="BG603" s="56"/>
      <c r="BO603" s="144"/>
      <c r="CI603" s="144"/>
      <c r="CY603" s="144"/>
    </row>
    <row r="604" spans="1:103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171"/>
      <c r="AP604" s="56"/>
      <c r="AQ604" s="56"/>
      <c r="AR604" s="56"/>
      <c r="AS604" s="56"/>
      <c r="AT604" s="56"/>
      <c r="AU604" s="56"/>
      <c r="AV604" s="56"/>
      <c r="AW604" s="171"/>
      <c r="AX604" s="56"/>
      <c r="AY604" s="56"/>
      <c r="AZ604" s="56"/>
      <c r="BA604" s="171"/>
      <c r="BB604" s="56"/>
      <c r="BC604" s="10"/>
      <c r="BD604" s="56"/>
      <c r="BE604" s="56"/>
      <c r="BF604" s="56"/>
      <c r="BG604" s="56"/>
      <c r="BO604" s="144"/>
      <c r="CI604" s="144"/>
      <c r="CY604" s="144"/>
    </row>
    <row r="605" spans="1:103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171"/>
      <c r="AP605" s="56"/>
      <c r="AQ605" s="56"/>
      <c r="AR605" s="56"/>
      <c r="AS605" s="56"/>
      <c r="AT605" s="56"/>
      <c r="AU605" s="56"/>
      <c r="AV605" s="56"/>
      <c r="AW605" s="171"/>
      <c r="AX605" s="56"/>
      <c r="AY605" s="56"/>
      <c r="AZ605" s="56"/>
      <c r="BA605" s="171"/>
      <c r="BB605" s="56"/>
      <c r="BC605" s="10"/>
      <c r="BD605" s="56"/>
      <c r="BE605" s="56"/>
      <c r="BF605" s="56"/>
      <c r="BG605" s="56"/>
      <c r="BO605" s="144"/>
      <c r="CI605" s="144"/>
      <c r="CY605" s="144"/>
    </row>
    <row r="606" spans="1:103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171"/>
      <c r="AP606" s="56"/>
      <c r="AQ606" s="56"/>
      <c r="AR606" s="56"/>
      <c r="AS606" s="56"/>
      <c r="AT606" s="56"/>
      <c r="AU606" s="56"/>
      <c r="AV606" s="56"/>
      <c r="AW606" s="171"/>
      <c r="AX606" s="56"/>
      <c r="AY606" s="56"/>
      <c r="AZ606" s="56"/>
      <c r="BA606" s="171"/>
      <c r="BB606" s="56"/>
      <c r="BC606" s="10"/>
      <c r="BD606" s="56"/>
      <c r="BE606" s="56"/>
      <c r="BF606" s="56"/>
      <c r="BG606" s="56"/>
      <c r="BO606" s="144"/>
      <c r="CI606" s="144"/>
      <c r="CY606" s="144"/>
    </row>
    <row r="607" spans="1:103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171"/>
      <c r="AP607" s="56"/>
      <c r="AQ607" s="56"/>
      <c r="AR607" s="56"/>
      <c r="AS607" s="56"/>
      <c r="AT607" s="56"/>
      <c r="AU607" s="56"/>
      <c r="AV607" s="56"/>
      <c r="AW607" s="171"/>
      <c r="AX607" s="56"/>
      <c r="AY607" s="56"/>
      <c r="AZ607" s="56"/>
      <c r="BA607" s="171"/>
      <c r="BB607" s="56"/>
      <c r="BC607" s="10"/>
      <c r="BD607" s="56"/>
      <c r="BE607" s="56"/>
      <c r="BF607" s="56"/>
      <c r="BG607" s="56"/>
      <c r="BO607" s="144"/>
      <c r="CI607" s="144"/>
      <c r="CY607" s="144"/>
    </row>
    <row r="608" spans="1:103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171"/>
      <c r="AP608" s="56"/>
      <c r="AQ608" s="56"/>
      <c r="AR608" s="56"/>
      <c r="AS608" s="56"/>
      <c r="AT608" s="56"/>
      <c r="AU608" s="56"/>
      <c r="AV608" s="56"/>
      <c r="AW608" s="171"/>
      <c r="AX608" s="56"/>
      <c r="AY608" s="56"/>
      <c r="AZ608" s="56"/>
      <c r="BA608" s="171"/>
      <c r="BB608" s="56"/>
      <c r="BC608" s="10"/>
      <c r="BD608" s="56"/>
      <c r="BE608" s="56"/>
      <c r="BF608" s="56"/>
      <c r="BG608" s="56"/>
      <c r="BO608" s="144"/>
      <c r="CI608" s="144"/>
      <c r="CY608" s="144"/>
    </row>
    <row r="609" spans="1:103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171"/>
      <c r="AP609" s="56"/>
      <c r="AQ609" s="56"/>
      <c r="AR609" s="56"/>
      <c r="AS609" s="56"/>
      <c r="AT609" s="56"/>
      <c r="AU609" s="56"/>
      <c r="AV609" s="56"/>
      <c r="AW609" s="171"/>
      <c r="AX609" s="56"/>
      <c r="AY609" s="56"/>
      <c r="AZ609" s="56"/>
      <c r="BA609" s="171"/>
      <c r="BB609" s="56"/>
      <c r="BC609" s="10"/>
      <c r="BD609" s="56"/>
      <c r="BE609" s="56"/>
      <c r="BF609" s="56"/>
      <c r="BG609" s="56"/>
      <c r="BO609" s="144"/>
      <c r="CI609" s="144"/>
      <c r="CY609" s="144"/>
    </row>
    <row r="610" spans="1:103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171"/>
      <c r="AP610" s="56"/>
      <c r="AQ610" s="56"/>
      <c r="AR610" s="56"/>
      <c r="AS610" s="56"/>
      <c r="AT610" s="56"/>
      <c r="AU610" s="56"/>
      <c r="AV610" s="56"/>
      <c r="AW610" s="171"/>
      <c r="AX610" s="56"/>
      <c r="AY610" s="56"/>
      <c r="AZ610" s="56"/>
      <c r="BA610" s="171"/>
      <c r="BB610" s="56"/>
      <c r="BC610" s="10"/>
      <c r="BD610" s="56"/>
      <c r="BE610" s="56"/>
      <c r="BF610" s="56"/>
      <c r="BG610" s="56"/>
      <c r="BO610" s="144"/>
      <c r="CI610" s="144"/>
      <c r="CY610" s="144"/>
    </row>
    <row r="611" spans="1:103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171"/>
      <c r="AP611" s="56"/>
      <c r="AQ611" s="56"/>
      <c r="AR611" s="56"/>
      <c r="AS611" s="56"/>
      <c r="AT611" s="56"/>
      <c r="AU611" s="56"/>
      <c r="AV611" s="56"/>
      <c r="AW611" s="171"/>
      <c r="AX611" s="56"/>
      <c r="AY611" s="56"/>
      <c r="AZ611" s="56"/>
      <c r="BA611" s="171"/>
      <c r="BB611" s="56"/>
      <c r="BC611" s="10"/>
      <c r="BD611" s="56"/>
      <c r="BE611" s="56"/>
      <c r="BF611" s="56"/>
      <c r="BG611" s="56"/>
      <c r="BO611" s="144"/>
      <c r="CI611" s="144"/>
      <c r="CY611" s="144"/>
    </row>
    <row r="612" spans="1:103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171"/>
      <c r="AP612" s="56"/>
      <c r="AQ612" s="56"/>
      <c r="AR612" s="56"/>
      <c r="AS612" s="56"/>
      <c r="AT612" s="56"/>
      <c r="AU612" s="56"/>
      <c r="AV612" s="56"/>
      <c r="AW612" s="171"/>
      <c r="AX612" s="56"/>
      <c r="AY612" s="56"/>
      <c r="AZ612" s="56"/>
      <c r="BA612" s="171"/>
      <c r="BB612" s="56"/>
      <c r="BC612" s="10"/>
      <c r="BD612" s="56"/>
      <c r="BE612" s="56"/>
      <c r="BF612" s="56"/>
      <c r="BG612" s="56"/>
      <c r="BO612" s="144"/>
      <c r="CI612" s="144"/>
      <c r="CY612" s="144"/>
    </row>
    <row r="613" spans="1:103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171"/>
      <c r="AP613" s="56"/>
      <c r="AQ613" s="56"/>
      <c r="AR613" s="56"/>
      <c r="AS613" s="56"/>
      <c r="AT613" s="56"/>
      <c r="AU613" s="56"/>
      <c r="AV613" s="56"/>
      <c r="AW613" s="171"/>
      <c r="AX613" s="56"/>
      <c r="AY613" s="56"/>
      <c r="AZ613" s="56"/>
      <c r="BA613" s="171"/>
      <c r="BB613" s="56"/>
      <c r="BC613" s="10"/>
      <c r="BD613" s="56"/>
      <c r="BE613" s="56"/>
      <c r="BF613" s="56"/>
      <c r="BG613" s="56"/>
      <c r="BO613" s="144"/>
      <c r="CI613" s="144"/>
      <c r="CY613" s="144"/>
    </row>
    <row r="614" spans="1:103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171"/>
      <c r="AP614" s="56"/>
      <c r="AQ614" s="56"/>
      <c r="AR614" s="56"/>
      <c r="AS614" s="56"/>
      <c r="AT614" s="56"/>
      <c r="AU614" s="56"/>
      <c r="AV614" s="56"/>
      <c r="AW614" s="171"/>
      <c r="AX614" s="56"/>
      <c r="AY614" s="56"/>
      <c r="AZ614" s="56"/>
      <c r="BA614" s="171"/>
      <c r="BB614" s="56"/>
      <c r="BC614" s="10"/>
      <c r="BD614" s="56"/>
      <c r="BE614" s="56"/>
      <c r="BF614" s="56"/>
      <c r="BG614" s="56"/>
      <c r="BO614" s="144"/>
      <c r="CI614" s="144"/>
      <c r="CY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585</v>
      </c>
      <c r="J3" s="56" t="s">
        <v>586</v>
      </c>
      <c r="K3" s="56" t="s">
        <v>587</v>
      </c>
      <c r="L3" s="56" t="s">
        <v>592</v>
      </c>
      <c r="M3" s="56" t="s">
        <v>598</v>
      </c>
    </row>
    <row r="4" spans="1:24" s="102" customFormat="1" ht="64.5" customHeight="1" thickBot="1" x14ac:dyDescent="0.2">
      <c r="A4" s="97" t="s">
        <v>572</v>
      </c>
      <c r="B4" s="90" t="s">
        <v>671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661</v>
      </c>
      <c r="J4" s="92" t="s">
        <v>662</v>
      </c>
      <c r="K4" s="92" t="s">
        <v>663</v>
      </c>
      <c r="L4" s="92" t="s">
        <v>590</v>
      </c>
      <c r="M4" s="92" t="s">
        <v>668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584</v>
      </c>
      <c r="H6" s="11" t="s">
        <v>1080</v>
      </c>
      <c r="I6" s="56">
        <v>10000000</v>
      </c>
      <c r="J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591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676</v>
      </c>
      <c r="H10" s="11" t="s">
        <v>643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659</v>
      </c>
      <c r="H11" s="10" t="s">
        <v>664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660</v>
      </c>
      <c r="H12" s="10" t="s">
        <v>664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667</v>
      </c>
      <c r="H13" s="10" t="s">
        <v>669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673</v>
      </c>
      <c r="H14" s="10" t="s">
        <v>674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678</v>
      </c>
      <c r="H15" s="10" t="s">
        <v>672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679</v>
      </c>
      <c r="H16" s="10" t="s">
        <v>677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680</v>
      </c>
      <c r="H17" s="10" t="s">
        <v>681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862</v>
      </c>
      <c r="H18" s="10" t="s">
        <v>863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1060</v>
      </c>
      <c r="H19" s="158" t="s">
        <v>1040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2018-09-04T11:58:38Z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