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stardust\trunk\tools\excelGen\xls\"/>
    </mc:Choice>
  </mc:AlternateContent>
  <bookViews>
    <workbookView xWindow="0" yWindow="0" windowWidth="34830" windowHeight="23820" firstSheet="3" activeTab="6"/>
  </bookViews>
  <sheets>
    <sheet name="BLDG_SS" sheetId="4" r:id="rId1"/>
    <sheet name="BLDG_SPACEPORT" sheetId="3" r:id="rId2"/>
    <sheet name="BLDG_FUNC_HULL_FACT" sheetId="5" r:id="rId3"/>
    <sheet name="BLDG_CPNT_FACT" sheetId="6" r:id="rId4"/>
    <sheet name="BLDG_ITEM_STG" sheetId="8" r:id="rId5"/>
    <sheet name="BLDG_SURF_COL" sheetId="1" r:id="rId6"/>
    <sheet name="BLDG_REFNY" sheetId="2" r:id="rId7"/>
    <sheet name="BLDG_POWER_PLANT" sheetId="7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2" l="1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5" i="2"/>
  <c r="F6" i="1" l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5" i="1"/>
  <c r="F6" i="2" l="1"/>
  <c r="F7" i="2"/>
  <c r="F8" i="2"/>
  <c r="F9" i="2"/>
  <c r="F10" i="2"/>
  <c r="F11" i="2"/>
  <c r="F12" i="2"/>
  <c r="D12" i="2" s="1"/>
  <c r="F13" i="2"/>
  <c r="D13" i="2" s="1"/>
  <c r="F14" i="2"/>
  <c r="F15" i="2"/>
  <c r="F16" i="2"/>
  <c r="F17" i="2"/>
  <c r="F18" i="2"/>
  <c r="F19" i="2"/>
  <c r="F20" i="2"/>
  <c r="D20" i="2" s="1"/>
  <c r="F21" i="2"/>
  <c r="D21" i="2" s="1"/>
  <c r="F22" i="2"/>
  <c r="F23" i="2"/>
  <c r="F24" i="2"/>
  <c r="F25" i="2"/>
  <c r="F26" i="2"/>
  <c r="F27" i="2"/>
  <c r="F28" i="2"/>
  <c r="D28" i="2" s="1"/>
  <c r="F29" i="2"/>
  <c r="D29" i="2" s="1"/>
  <c r="F30" i="2"/>
  <c r="F31" i="2"/>
  <c r="F32" i="2"/>
  <c r="F33" i="2"/>
  <c r="F34" i="2"/>
  <c r="F5" i="2"/>
  <c r="D5" i="2" l="1"/>
  <c r="D33" i="2"/>
  <c r="D27" i="2"/>
  <c r="D19" i="2"/>
  <c r="D11" i="2"/>
  <c r="D34" i="2"/>
  <c r="D26" i="2"/>
  <c r="D18" i="2"/>
  <c r="D10" i="2"/>
  <c r="D25" i="2"/>
  <c r="D9" i="2"/>
  <c r="D24" i="2"/>
  <c r="D8" i="2"/>
  <c r="D23" i="2"/>
  <c r="D15" i="2"/>
  <c r="D7" i="2"/>
  <c r="D17" i="2"/>
  <c r="D32" i="2"/>
  <c r="D16" i="2"/>
  <c r="D31" i="2"/>
  <c r="D30" i="2"/>
  <c r="D22" i="2"/>
  <c r="D14" i="2"/>
  <c r="D6" i="2"/>
  <c r="B5" i="1"/>
  <c r="B33" i="1" l="1"/>
  <c r="B14" i="1"/>
  <c r="B19" i="1"/>
  <c r="B23" i="1"/>
  <c r="B9" i="1"/>
  <c r="B17" i="1"/>
  <c r="B25" i="1"/>
  <c r="B29" i="1"/>
  <c r="B11" i="1"/>
  <c r="B7" i="1"/>
  <c r="B10" i="1"/>
  <c r="B18" i="1"/>
  <c r="B26" i="1"/>
  <c r="B34" i="1"/>
  <c r="B21" i="1"/>
  <c r="B30" i="1"/>
  <c r="B27" i="1"/>
  <c r="B8" i="1"/>
  <c r="B24" i="1"/>
  <c r="B13" i="1"/>
  <c r="B12" i="1"/>
  <c r="B20" i="1"/>
  <c r="B28" i="1"/>
  <c r="B16" i="1"/>
  <c r="B31" i="1"/>
  <c r="B32" i="1"/>
  <c r="B22" i="1"/>
  <c r="B15" i="1"/>
  <c r="B6" i="1"/>
</calcChain>
</file>

<file path=xl/sharedStrings.xml><?xml version="1.0" encoding="utf-8"?>
<sst xmlns="http://schemas.openxmlformats.org/spreadsheetml/2006/main" count="122" uniqueCount="42">
  <si>
    <t>采满耗时</t>
  </si>
  <si>
    <t>最大容量
(立方米)</t>
  </si>
  <si>
    <t>最小领取时间
(秒)</t>
  </si>
  <si>
    <t>索引</t>
  </si>
  <si>
    <t>max_cap</t>
  </si>
  <si>
    <t>min_col_intvl</t>
  </si>
  <si>
    <t>id</t>
  </si>
  <si>
    <t>int32</t>
  </si>
  <si>
    <t>optional</t>
  </si>
  <si>
    <t>required</t>
  </si>
  <si>
    <t>最大提炼量</t>
  </si>
  <si>
    <t>max_refine_qty</t>
  </si>
  <si>
    <t>维修速度系数
(百分比)</t>
  </si>
  <si>
    <t>舰船空间容量
(ssp=ship space
vol=volumn)</t>
  </si>
  <si>
    <t>repr_spd_coeff</t>
  </si>
  <si>
    <t>ssp_vol</t>
  </si>
  <si>
    <t>生产速度系数
(百分比)</t>
  </si>
  <si>
    <t>temp_cap</t>
  </si>
  <si>
    <t>prod_spd_coeff</t>
  </si>
  <si>
    <t>mining_spd_coeff</t>
  </si>
  <si>
    <t>采集速度系数
(百分比)</t>
  </si>
  <si>
    <t>采集速度系数复制</t>
  </si>
  <si>
    <t>真实小时产量</t>
  </si>
  <si>
    <t>提炼速度系数
(百分比)</t>
  </si>
  <si>
    <t>refine_spd_coeff</t>
  </si>
  <si>
    <t>最大耗时</t>
  </si>
  <si>
    <t>真实小时产出</t>
  </si>
  <si>
    <t>最大个数</t>
  </si>
  <si>
    <t>最大容量粗略</t>
  </si>
  <si>
    <t>最大提炼量粗略</t>
  </si>
  <si>
    <t>提炼速度系数粗略
(百分比)</t>
  </si>
  <si>
    <t>领取容量
(个)</t>
  </si>
  <si>
    <t>ele_regen_rate</t>
  </si>
  <si>
    <t>max_ele_cap</t>
  </si>
  <si>
    <t>max_item_cap</t>
  </si>
  <si>
    <t>affact_rng</t>
  </si>
  <si>
    <t>电力回复速率
(法拉/小时)</t>
  </si>
  <si>
    <t>提供电力上限
(法拉)</t>
  </si>
  <si>
    <t>物品容量上限
(立方米)</t>
  </si>
  <si>
    <t>范围限定
(rng=range)</t>
  </si>
  <si>
    <t>电力恢复间隔(秒)</t>
  </si>
  <si>
    <t>ele_regen_intvl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</si>
</sst>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color theme="1"/>
      <name val="Calibri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</borders>
  <cellStyleXfs count="2">
    <xf numFmtId="0" fontId="0" fillId="0" borderId="0"/>
    <xf numFmtId="0" fontId="2" fillId="0" borderId="0"/>
  </cellStyleXfs>
  <cellXfs count="28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4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4" borderId="1" xfId="1" applyFont="1" applyFill="1" applyBorder="1" applyAlignment="1">
      <alignment horizontal="center" vertical="center" wrapText="1"/>
    </xf>
    <xf numFmtId="0" fontId="1" fillId="4" borderId="0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1" xfId="1" applyFont="1" applyFill="1" applyBorder="1" applyAlignment="1">
      <alignment horizontal="center" vertical="center"/>
    </xf>
    <xf numFmtId="0" fontId="1" fillId="2" borderId="0" xfId="1" applyFont="1" applyFill="1" applyBorder="1" applyAlignment="1">
      <alignment horizontal="center" vertical="center"/>
    </xf>
    <xf numFmtId="0" fontId="1" fillId="2" borderId="1" xfId="1" applyFont="1" applyFill="1" applyBorder="1" applyAlignment="1">
      <alignment horizontal="center" vertical="center" wrapText="1"/>
    </xf>
    <xf numFmtId="0" fontId="1" fillId="2" borderId="1" xfId="1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0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1" fillId="5" borderId="0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0" xfId="1" applyFont="1" applyFill="1" applyBorder="1" applyAlignment="1">
      <alignment horizontal="center" vertical="center"/>
    </xf>
    <xf numFmtId="0" fontId="1" fillId="5" borderId="1" xfId="1" applyFont="1" applyFill="1" applyBorder="1" applyAlignment="1">
      <alignment horizontal="center" vertical="center" wrapText="1"/>
    </xf>
    <xf numFmtId="0" fontId="1" fillId="5" borderId="1" xfId="1" applyFont="1" applyFill="1" applyBorder="1" applyAlignment="1">
      <alignment horizontal="center" vertic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34"/>
  <sheetViews>
    <sheetView workbookViewId="0">
      <selection activeCell="D40" sqref="D40"/>
    </sheetView>
  </sheetViews>
  <sheetFormatPr defaultColWidth="9.140625" defaultRowHeight="16.5"/>
  <cols>
    <col min="1" max="1" width="10.28515625" style="3" bestFit="1" customWidth="1"/>
    <col min="2" max="2" width="25.42578125" style="17" bestFit="1" customWidth="1"/>
    <col min="3" max="3" width="20.140625" style="17" bestFit="1" customWidth="1"/>
    <col min="4" max="4" width="22.42578125" style="17" bestFit="1" customWidth="1"/>
    <col min="5" max="5" width="22.85546875" style="17" bestFit="1" customWidth="1"/>
    <col min="6" max="6" width="18" style="17" bestFit="1" customWidth="1"/>
    <col min="7" max="16384" width="9.140625" style="1"/>
  </cols>
  <sheetData>
    <row r="1" spans="1:6">
      <c r="A1" s="3" t="s">
        <v>9</v>
      </c>
      <c r="B1" s="17" t="s">
        <v>8</v>
      </c>
      <c r="C1" s="17" t="s">
        <v>8</v>
      </c>
      <c r="D1" s="17" t="s">
        <v>8</v>
      </c>
      <c r="E1" s="17" t="s">
        <v>8</v>
      </c>
      <c r="F1" s="17" t="s">
        <v>8</v>
      </c>
    </row>
    <row r="2" spans="1:6">
      <c r="A2" s="3" t="s">
        <v>7</v>
      </c>
      <c r="B2" s="17" t="s">
        <v>7</v>
      </c>
      <c r="C2" s="17" t="s">
        <v>7</v>
      </c>
      <c r="D2" s="17" t="s">
        <v>7</v>
      </c>
      <c r="E2" s="17" t="s">
        <v>7</v>
      </c>
      <c r="F2" s="17" t="s">
        <v>7</v>
      </c>
    </row>
    <row r="3" spans="1:6">
      <c r="A3" s="3" t="s">
        <v>6</v>
      </c>
      <c r="B3" s="17" t="s">
        <v>32</v>
      </c>
      <c r="C3" s="17" t="s">
        <v>33</v>
      </c>
      <c r="D3" s="17" t="s">
        <v>34</v>
      </c>
      <c r="E3" s="17" t="s">
        <v>35</v>
      </c>
      <c r="F3" s="17" t="s">
        <v>41</v>
      </c>
    </row>
    <row r="4" spans="1:6" s="4" customFormat="1" ht="17.25" thickBot="1">
      <c r="A4" s="9" t="s">
        <v>3</v>
      </c>
      <c r="B4" s="20" t="s">
        <v>36</v>
      </c>
      <c r="C4" s="20" t="s">
        <v>37</v>
      </c>
      <c r="D4" s="20" t="s">
        <v>38</v>
      </c>
      <c r="E4" s="20" t="s">
        <v>39</v>
      </c>
      <c r="F4" s="20" t="s">
        <v>40</v>
      </c>
    </row>
    <row r="5" spans="1:6" s="7" customFormat="1">
      <c r="A5" s="3">
        <v>1</v>
      </c>
      <c r="B5" s="19">
        <v>100</v>
      </c>
      <c r="C5" s="19">
        <v>200</v>
      </c>
      <c r="D5" s="19">
        <v>5000</v>
      </c>
      <c r="E5" s="19">
        <v>8</v>
      </c>
      <c r="F5" s="19">
        <v>360</v>
      </c>
    </row>
    <row r="6" spans="1:6" s="7" customFormat="1">
      <c r="A6" s="3">
        <v>2</v>
      </c>
      <c r="B6" s="19">
        <v>100</v>
      </c>
      <c r="C6" s="19">
        <v>200</v>
      </c>
      <c r="D6" s="19">
        <v>10000</v>
      </c>
      <c r="E6" s="19">
        <v>8</v>
      </c>
      <c r="F6" s="19">
        <v>360</v>
      </c>
    </row>
    <row r="7" spans="1:6" s="7" customFormat="1">
      <c r="A7" s="3">
        <v>3</v>
      </c>
      <c r="B7" s="19">
        <v>100</v>
      </c>
      <c r="C7" s="19">
        <v>200</v>
      </c>
      <c r="D7" s="19">
        <v>15000</v>
      </c>
      <c r="E7" s="19">
        <v>8</v>
      </c>
      <c r="F7" s="19">
        <v>360</v>
      </c>
    </row>
    <row r="8" spans="1:6" s="7" customFormat="1">
      <c r="A8" s="3">
        <v>4</v>
      </c>
      <c r="B8" s="19">
        <v>100</v>
      </c>
      <c r="C8" s="19">
        <v>200</v>
      </c>
      <c r="D8" s="19">
        <v>20000</v>
      </c>
      <c r="E8" s="19">
        <v>8</v>
      </c>
      <c r="F8" s="19">
        <v>360</v>
      </c>
    </row>
    <row r="9" spans="1:6" s="7" customFormat="1">
      <c r="A9" s="3">
        <v>5</v>
      </c>
      <c r="B9" s="19">
        <v>100</v>
      </c>
      <c r="C9" s="19">
        <v>200</v>
      </c>
      <c r="D9" s="19">
        <v>25000</v>
      </c>
      <c r="E9" s="19">
        <v>8</v>
      </c>
      <c r="F9" s="19">
        <v>360</v>
      </c>
    </row>
    <row r="10" spans="1:6">
      <c r="A10" s="3">
        <v>6</v>
      </c>
      <c r="B10" s="17">
        <v>100</v>
      </c>
      <c r="C10" s="17">
        <v>200</v>
      </c>
      <c r="D10" s="17">
        <v>30000</v>
      </c>
      <c r="E10" s="17">
        <v>8</v>
      </c>
      <c r="F10" s="17">
        <v>360</v>
      </c>
    </row>
    <row r="11" spans="1:6">
      <c r="A11" s="3">
        <v>7</v>
      </c>
      <c r="B11" s="17">
        <v>100</v>
      </c>
      <c r="C11" s="17">
        <v>200</v>
      </c>
      <c r="D11" s="17">
        <v>35000</v>
      </c>
      <c r="E11" s="17">
        <v>8</v>
      </c>
      <c r="F11" s="17">
        <v>360</v>
      </c>
    </row>
    <row r="12" spans="1:6">
      <c r="A12" s="3">
        <v>8</v>
      </c>
      <c r="B12" s="17">
        <v>100</v>
      </c>
      <c r="C12" s="17">
        <v>200</v>
      </c>
      <c r="D12" s="17">
        <v>40000</v>
      </c>
      <c r="E12" s="17">
        <v>8</v>
      </c>
      <c r="F12" s="17">
        <v>360</v>
      </c>
    </row>
    <row r="13" spans="1:6">
      <c r="A13" s="3">
        <v>9</v>
      </c>
      <c r="B13" s="17">
        <v>100</v>
      </c>
      <c r="C13" s="17">
        <v>200</v>
      </c>
      <c r="D13" s="17">
        <v>45000</v>
      </c>
      <c r="E13" s="17">
        <v>8</v>
      </c>
      <c r="F13" s="17">
        <v>360</v>
      </c>
    </row>
    <row r="14" spans="1:6">
      <c r="A14" s="3">
        <v>10</v>
      </c>
      <c r="B14" s="17">
        <v>100</v>
      </c>
      <c r="C14" s="17">
        <v>200</v>
      </c>
      <c r="D14" s="17">
        <v>50000</v>
      </c>
      <c r="E14" s="17">
        <v>8</v>
      </c>
      <c r="F14" s="17">
        <v>360</v>
      </c>
    </row>
    <row r="15" spans="1:6">
      <c r="A15" s="3">
        <v>11</v>
      </c>
      <c r="B15" s="17">
        <v>100</v>
      </c>
      <c r="C15" s="17">
        <v>200</v>
      </c>
      <c r="D15" s="17">
        <v>55000</v>
      </c>
      <c r="E15" s="17">
        <v>8</v>
      </c>
      <c r="F15" s="17">
        <v>360</v>
      </c>
    </row>
    <row r="16" spans="1:6">
      <c r="A16" s="3">
        <v>12</v>
      </c>
      <c r="B16" s="17">
        <v>100</v>
      </c>
      <c r="C16" s="17">
        <v>200</v>
      </c>
      <c r="D16" s="17">
        <v>60000</v>
      </c>
      <c r="E16" s="17">
        <v>8</v>
      </c>
      <c r="F16" s="17">
        <v>360</v>
      </c>
    </row>
    <row r="17" spans="1:6">
      <c r="A17" s="3">
        <v>13</v>
      </c>
      <c r="B17" s="17">
        <v>100</v>
      </c>
      <c r="C17" s="17">
        <v>200</v>
      </c>
      <c r="D17" s="17">
        <v>65000</v>
      </c>
      <c r="E17" s="17">
        <v>8</v>
      </c>
      <c r="F17" s="17">
        <v>360</v>
      </c>
    </row>
    <row r="18" spans="1:6">
      <c r="A18" s="3">
        <v>14</v>
      </c>
      <c r="B18" s="17">
        <v>100</v>
      </c>
      <c r="C18" s="17">
        <v>200</v>
      </c>
      <c r="D18" s="17">
        <v>70000</v>
      </c>
      <c r="E18" s="17">
        <v>8</v>
      </c>
      <c r="F18" s="17">
        <v>360</v>
      </c>
    </row>
    <row r="19" spans="1:6">
      <c r="A19" s="3">
        <v>15</v>
      </c>
      <c r="B19" s="17">
        <v>100</v>
      </c>
      <c r="C19" s="17">
        <v>200</v>
      </c>
      <c r="D19" s="17">
        <v>75000</v>
      </c>
      <c r="E19" s="17">
        <v>8</v>
      </c>
      <c r="F19" s="17">
        <v>360</v>
      </c>
    </row>
    <row r="20" spans="1:6">
      <c r="A20" s="3">
        <v>16</v>
      </c>
      <c r="B20" s="17">
        <v>100</v>
      </c>
      <c r="C20" s="17">
        <v>200</v>
      </c>
      <c r="D20" s="17">
        <v>80000</v>
      </c>
      <c r="E20" s="17">
        <v>8</v>
      </c>
      <c r="F20" s="17">
        <v>360</v>
      </c>
    </row>
    <row r="21" spans="1:6">
      <c r="A21" s="3">
        <v>17</v>
      </c>
      <c r="B21" s="17">
        <v>100</v>
      </c>
      <c r="C21" s="17">
        <v>200</v>
      </c>
      <c r="D21" s="17">
        <v>85000</v>
      </c>
      <c r="E21" s="17">
        <v>8</v>
      </c>
      <c r="F21" s="17">
        <v>360</v>
      </c>
    </row>
    <row r="22" spans="1:6">
      <c r="A22" s="3">
        <v>18</v>
      </c>
      <c r="B22" s="17">
        <v>100</v>
      </c>
      <c r="C22" s="17">
        <v>200</v>
      </c>
      <c r="D22" s="17">
        <v>90000</v>
      </c>
      <c r="E22" s="17">
        <v>8</v>
      </c>
      <c r="F22" s="17">
        <v>360</v>
      </c>
    </row>
    <row r="23" spans="1:6">
      <c r="A23" s="3">
        <v>19</v>
      </c>
      <c r="B23" s="17">
        <v>100</v>
      </c>
      <c r="C23" s="17">
        <v>200</v>
      </c>
      <c r="D23" s="17">
        <v>95000</v>
      </c>
      <c r="E23" s="17">
        <v>8</v>
      </c>
      <c r="F23" s="17">
        <v>360</v>
      </c>
    </row>
    <row r="24" spans="1:6">
      <c r="A24" s="3">
        <v>20</v>
      </c>
      <c r="B24" s="17">
        <v>100</v>
      </c>
      <c r="C24" s="17">
        <v>200</v>
      </c>
      <c r="D24" s="17">
        <v>100000</v>
      </c>
      <c r="E24" s="17">
        <v>8</v>
      </c>
      <c r="F24" s="17">
        <v>360</v>
      </c>
    </row>
    <row r="25" spans="1:6">
      <c r="A25" s="3">
        <v>21</v>
      </c>
      <c r="B25" s="17">
        <v>100</v>
      </c>
      <c r="C25" s="17">
        <v>200</v>
      </c>
      <c r="D25" s="17">
        <v>105000</v>
      </c>
      <c r="E25" s="17">
        <v>8</v>
      </c>
      <c r="F25" s="17">
        <v>360</v>
      </c>
    </row>
    <row r="26" spans="1:6">
      <c r="A26" s="3">
        <v>22</v>
      </c>
      <c r="B26" s="17">
        <v>100</v>
      </c>
      <c r="C26" s="17">
        <v>200</v>
      </c>
      <c r="D26" s="17">
        <v>110000</v>
      </c>
      <c r="E26" s="17">
        <v>8</v>
      </c>
      <c r="F26" s="17">
        <v>360</v>
      </c>
    </row>
    <row r="27" spans="1:6">
      <c r="A27" s="3">
        <v>23</v>
      </c>
      <c r="B27" s="17">
        <v>100</v>
      </c>
      <c r="C27" s="17">
        <v>200</v>
      </c>
      <c r="D27" s="17">
        <v>115000</v>
      </c>
      <c r="E27" s="17">
        <v>8</v>
      </c>
      <c r="F27" s="17">
        <v>360</v>
      </c>
    </row>
    <row r="28" spans="1:6">
      <c r="A28" s="3">
        <v>24</v>
      </c>
      <c r="B28" s="17">
        <v>100</v>
      </c>
      <c r="C28" s="17">
        <v>200</v>
      </c>
      <c r="D28" s="17">
        <v>120000</v>
      </c>
      <c r="E28" s="17">
        <v>8</v>
      </c>
      <c r="F28" s="17">
        <v>360</v>
      </c>
    </row>
    <row r="29" spans="1:6">
      <c r="A29" s="3">
        <v>25</v>
      </c>
      <c r="B29" s="17">
        <v>100</v>
      </c>
      <c r="C29" s="17">
        <v>200</v>
      </c>
      <c r="D29" s="17">
        <v>125000</v>
      </c>
      <c r="E29" s="17">
        <v>8</v>
      </c>
      <c r="F29" s="17">
        <v>360</v>
      </c>
    </row>
    <row r="30" spans="1:6">
      <c r="A30" s="3">
        <v>26</v>
      </c>
      <c r="B30" s="17">
        <v>100</v>
      </c>
      <c r="C30" s="17">
        <v>200</v>
      </c>
      <c r="D30" s="17">
        <v>130000</v>
      </c>
      <c r="E30" s="17">
        <v>8</v>
      </c>
      <c r="F30" s="17">
        <v>360</v>
      </c>
    </row>
    <row r="31" spans="1:6">
      <c r="A31" s="3">
        <v>27</v>
      </c>
      <c r="B31" s="17">
        <v>100</v>
      </c>
      <c r="C31" s="17">
        <v>200</v>
      </c>
      <c r="D31" s="17">
        <v>135000</v>
      </c>
      <c r="E31" s="17">
        <v>8</v>
      </c>
      <c r="F31" s="17">
        <v>360</v>
      </c>
    </row>
    <row r="32" spans="1:6">
      <c r="A32" s="3">
        <v>28</v>
      </c>
      <c r="B32" s="17">
        <v>100</v>
      </c>
      <c r="C32" s="17">
        <v>200</v>
      </c>
      <c r="D32" s="17">
        <v>140000</v>
      </c>
      <c r="E32" s="17">
        <v>8</v>
      </c>
      <c r="F32" s="17">
        <v>360</v>
      </c>
    </row>
    <row r="33" spans="1:6">
      <c r="A33" s="3">
        <v>29</v>
      </c>
      <c r="B33" s="17">
        <v>100</v>
      </c>
      <c r="C33" s="17">
        <v>200</v>
      </c>
      <c r="D33" s="17">
        <v>145000</v>
      </c>
      <c r="E33" s="17">
        <v>8</v>
      </c>
      <c r="F33" s="17">
        <v>360</v>
      </c>
    </row>
    <row r="34" spans="1:6" s="4" customFormat="1" ht="17.25" thickBot="1">
      <c r="A34" s="6">
        <v>30</v>
      </c>
      <c r="B34" s="20">
        <v>100</v>
      </c>
      <c r="C34" s="20">
        <v>200</v>
      </c>
      <c r="D34" s="20">
        <v>150000</v>
      </c>
      <c r="E34" s="20">
        <v>8</v>
      </c>
      <c r="F34" s="20">
        <v>360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43"/>
  <sheetViews>
    <sheetView workbookViewId="0"/>
  </sheetViews>
  <sheetFormatPr defaultColWidth="9.140625" defaultRowHeight="16.5"/>
  <cols>
    <col min="1" max="1" width="10.28515625" style="3" bestFit="1" customWidth="1"/>
    <col min="2" max="2" width="17" style="3" bestFit="1" customWidth="1"/>
    <col min="3" max="3" width="18.140625" style="3" bestFit="1" customWidth="1"/>
    <col min="4" max="16384" width="9.140625" style="1"/>
  </cols>
  <sheetData>
    <row r="1" spans="1:3">
      <c r="A1" s="3" t="s">
        <v>9</v>
      </c>
      <c r="B1" s="3" t="s">
        <v>8</v>
      </c>
      <c r="C1" s="3" t="s">
        <v>8</v>
      </c>
    </row>
    <row r="2" spans="1:3">
      <c r="A2" s="3" t="s">
        <v>7</v>
      </c>
      <c r="B2" s="3" t="s">
        <v>7</v>
      </c>
      <c r="C2" s="3" t="s">
        <v>7</v>
      </c>
    </row>
    <row r="3" spans="1:3">
      <c r="A3" s="3" t="s">
        <v>6</v>
      </c>
      <c r="B3" s="3" t="s">
        <v>14</v>
      </c>
      <c r="C3" s="10" t="s">
        <v>15</v>
      </c>
    </row>
    <row r="4" spans="1:3" s="4" customFormat="1" ht="50.25" thickBot="1">
      <c r="A4" s="9" t="s">
        <v>3</v>
      </c>
      <c r="B4" s="9" t="s">
        <v>12</v>
      </c>
      <c r="C4" s="9" t="s">
        <v>13</v>
      </c>
    </row>
    <row r="5" spans="1:3" s="7" customFormat="1">
      <c r="A5" s="3">
        <v>1</v>
      </c>
      <c r="B5" s="3">
        <v>100</v>
      </c>
      <c r="C5" s="3">
        <v>100</v>
      </c>
    </row>
    <row r="6" spans="1:3" s="7" customFormat="1">
      <c r="A6" s="3">
        <v>2</v>
      </c>
      <c r="B6" s="3">
        <v>120</v>
      </c>
      <c r="C6" s="3">
        <v>200</v>
      </c>
    </row>
    <row r="7" spans="1:3" s="7" customFormat="1">
      <c r="A7" s="3">
        <v>3</v>
      </c>
      <c r="B7" s="3">
        <v>140</v>
      </c>
      <c r="C7" s="3">
        <v>300</v>
      </c>
    </row>
    <row r="8" spans="1:3" s="7" customFormat="1">
      <c r="A8" s="3">
        <v>4</v>
      </c>
      <c r="B8" s="3">
        <v>160</v>
      </c>
      <c r="C8" s="3">
        <v>400</v>
      </c>
    </row>
    <row r="9" spans="1:3" s="7" customFormat="1">
      <c r="A9" s="3">
        <v>5</v>
      </c>
      <c r="B9" s="3">
        <v>180</v>
      </c>
      <c r="C9" s="3">
        <v>500</v>
      </c>
    </row>
    <row r="10" spans="1:3" s="7" customFormat="1">
      <c r="A10" s="3">
        <v>6</v>
      </c>
      <c r="B10" s="3">
        <v>200</v>
      </c>
      <c r="C10" s="3">
        <v>600</v>
      </c>
    </row>
    <row r="11" spans="1:3" s="7" customFormat="1">
      <c r="A11" s="3">
        <v>7</v>
      </c>
      <c r="B11" s="3">
        <v>220</v>
      </c>
      <c r="C11" s="3">
        <v>700</v>
      </c>
    </row>
    <row r="12" spans="1:3" s="7" customFormat="1">
      <c r="A12" s="3">
        <v>8</v>
      </c>
      <c r="B12" s="3">
        <v>240</v>
      </c>
      <c r="C12" s="3">
        <v>800</v>
      </c>
    </row>
    <row r="13" spans="1:3" s="7" customFormat="1">
      <c r="A13" s="3">
        <v>9</v>
      </c>
      <c r="B13" s="3">
        <v>260</v>
      </c>
      <c r="C13" s="3">
        <v>900</v>
      </c>
    </row>
    <row r="14" spans="1:3" s="7" customFormat="1">
      <c r="A14" s="3">
        <v>10</v>
      </c>
      <c r="B14" s="3">
        <v>280</v>
      </c>
      <c r="C14" s="3">
        <v>1000</v>
      </c>
    </row>
    <row r="15" spans="1:3" s="7" customFormat="1">
      <c r="A15" s="3">
        <v>11</v>
      </c>
      <c r="B15" s="3">
        <v>300</v>
      </c>
      <c r="C15" s="3">
        <v>1100</v>
      </c>
    </row>
    <row r="16" spans="1:3" s="7" customFormat="1">
      <c r="A16" s="3">
        <v>12</v>
      </c>
      <c r="B16" s="3">
        <v>320</v>
      </c>
      <c r="C16" s="3">
        <v>1200</v>
      </c>
    </row>
    <row r="17" spans="1:3" s="7" customFormat="1">
      <c r="A17" s="3">
        <v>13</v>
      </c>
      <c r="B17" s="3">
        <v>340</v>
      </c>
      <c r="C17" s="3">
        <v>1300</v>
      </c>
    </row>
    <row r="18" spans="1:3" s="7" customFormat="1">
      <c r="A18" s="3">
        <v>14</v>
      </c>
      <c r="B18" s="3">
        <v>360</v>
      </c>
      <c r="C18" s="3">
        <v>1400</v>
      </c>
    </row>
    <row r="19" spans="1:3" s="7" customFormat="1">
      <c r="A19" s="3">
        <v>15</v>
      </c>
      <c r="B19" s="3">
        <v>380</v>
      </c>
      <c r="C19" s="3">
        <v>1500</v>
      </c>
    </row>
    <row r="20" spans="1:3" s="7" customFormat="1">
      <c r="A20" s="3">
        <v>16</v>
      </c>
      <c r="B20" s="3">
        <v>400</v>
      </c>
      <c r="C20" s="3">
        <v>1600</v>
      </c>
    </row>
    <row r="21" spans="1:3" s="7" customFormat="1">
      <c r="A21" s="3">
        <v>17</v>
      </c>
      <c r="B21" s="3">
        <v>420</v>
      </c>
      <c r="C21" s="3">
        <v>1700</v>
      </c>
    </row>
    <row r="22" spans="1:3" s="7" customFormat="1">
      <c r="A22" s="3">
        <v>18</v>
      </c>
      <c r="B22" s="3">
        <v>440</v>
      </c>
      <c r="C22" s="3">
        <v>1800</v>
      </c>
    </row>
    <row r="23" spans="1:3" s="7" customFormat="1">
      <c r="A23" s="3">
        <v>19</v>
      </c>
      <c r="B23" s="3">
        <v>460</v>
      </c>
      <c r="C23" s="3">
        <v>1900</v>
      </c>
    </row>
    <row r="24" spans="1:3" s="7" customFormat="1">
      <c r="A24" s="3">
        <v>20</v>
      </c>
      <c r="B24" s="3">
        <v>480</v>
      </c>
      <c r="C24" s="3">
        <v>2000</v>
      </c>
    </row>
    <row r="25" spans="1:3" s="7" customFormat="1">
      <c r="A25" s="3">
        <v>21</v>
      </c>
      <c r="B25" s="3">
        <v>500</v>
      </c>
      <c r="C25" s="3">
        <v>2100</v>
      </c>
    </row>
    <row r="26" spans="1:3" s="7" customFormat="1">
      <c r="A26" s="3">
        <v>22</v>
      </c>
      <c r="B26" s="3">
        <v>520</v>
      </c>
      <c r="C26" s="3">
        <v>2200</v>
      </c>
    </row>
    <row r="27" spans="1:3" s="7" customFormat="1">
      <c r="A27" s="3">
        <v>23</v>
      </c>
      <c r="B27" s="3">
        <v>540</v>
      </c>
      <c r="C27" s="3">
        <v>2300</v>
      </c>
    </row>
    <row r="28" spans="1:3" s="7" customFormat="1">
      <c r="A28" s="3">
        <v>24</v>
      </c>
      <c r="B28" s="3">
        <v>560</v>
      </c>
      <c r="C28" s="3">
        <v>2400</v>
      </c>
    </row>
    <row r="29" spans="1:3" s="7" customFormat="1">
      <c r="A29" s="3">
        <v>25</v>
      </c>
      <c r="B29" s="3">
        <v>580</v>
      </c>
      <c r="C29" s="3">
        <v>2500</v>
      </c>
    </row>
    <row r="30" spans="1:3" s="7" customFormat="1">
      <c r="A30" s="3">
        <v>26</v>
      </c>
      <c r="B30" s="3">
        <v>600</v>
      </c>
      <c r="C30" s="3">
        <v>2600</v>
      </c>
    </row>
    <row r="31" spans="1:3" s="7" customFormat="1">
      <c r="A31" s="3">
        <v>27</v>
      </c>
      <c r="B31" s="3">
        <v>620</v>
      </c>
      <c r="C31" s="3">
        <v>2700</v>
      </c>
    </row>
    <row r="32" spans="1:3" s="7" customFormat="1">
      <c r="A32" s="3">
        <v>28</v>
      </c>
      <c r="B32" s="3">
        <v>640</v>
      </c>
      <c r="C32" s="3">
        <v>2800</v>
      </c>
    </row>
    <row r="33" spans="1:3" s="7" customFormat="1">
      <c r="A33" s="3">
        <v>29</v>
      </c>
      <c r="B33" s="3">
        <v>660</v>
      </c>
      <c r="C33" s="3">
        <v>2900</v>
      </c>
    </row>
    <row r="34" spans="1:3" s="4" customFormat="1" ht="17.25" thickBot="1">
      <c r="A34" s="6">
        <v>30</v>
      </c>
      <c r="B34" s="6">
        <v>700</v>
      </c>
      <c r="C34" s="6">
        <v>3000</v>
      </c>
    </row>
    <row r="43" spans="1:3" ht="15.75" customHeight="1"/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/>
  </sheetViews>
  <sheetFormatPr defaultColWidth="9.140625" defaultRowHeight="16.5"/>
  <cols>
    <col min="1" max="1" width="10.28515625" style="3" customWidth="1"/>
    <col min="2" max="2" width="17.85546875" style="3" bestFit="1" customWidth="1"/>
    <col min="3" max="3" width="11.5703125" style="3" bestFit="1" customWidth="1"/>
    <col min="4" max="16384" width="9.140625" style="1"/>
  </cols>
  <sheetData>
    <row r="1" spans="1:3">
      <c r="A1" s="3" t="s">
        <v>9</v>
      </c>
      <c r="B1" s="3" t="s">
        <v>8</v>
      </c>
      <c r="C1" s="3" t="s">
        <v>8</v>
      </c>
    </row>
    <row r="2" spans="1:3">
      <c r="A2" s="3" t="s">
        <v>7</v>
      </c>
      <c r="B2" s="3" t="s">
        <v>7</v>
      </c>
      <c r="C2" s="3" t="s">
        <v>7</v>
      </c>
    </row>
    <row r="3" spans="1:3">
      <c r="A3" s="3" t="s">
        <v>6</v>
      </c>
      <c r="B3" s="3" t="s">
        <v>18</v>
      </c>
      <c r="C3" s="3" t="s">
        <v>17</v>
      </c>
    </row>
    <row r="4" spans="1:3" s="4" customFormat="1" ht="33.75" thickBot="1">
      <c r="A4" s="9" t="s">
        <v>3</v>
      </c>
      <c r="B4" s="9" t="s">
        <v>16</v>
      </c>
      <c r="C4" s="9" t="s">
        <v>31</v>
      </c>
    </row>
    <row r="5" spans="1:3" s="7" customFormat="1">
      <c r="A5" s="3">
        <v>1</v>
      </c>
      <c r="B5" s="3">
        <v>100</v>
      </c>
      <c r="C5" s="3">
        <v>10</v>
      </c>
    </row>
    <row r="6" spans="1:3" s="7" customFormat="1">
      <c r="A6" s="3">
        <v>2</v>
      </c>
      <c r="B6" s="3">
        <v>110</v>
      </c>
      <c r="C6" s="3">
        <v>10</v>
      </c>
    </row>
    <row r="7" spans="1:3" s="7" customFormat="1">
      <c r="A7" s="3">
        <v>3</v>
      </c>
      <c r="B7" s="3">
        <v>120</v>
      </c>
      <c r="C7" s="3">
        <v>10</v>
      </c>
    </row>
    <row r="8" spans="1:3" s="7" customFormat="1">
      <c r="A8" s="3">
        <v>4</v>
      </c>
      <c r="B8" s="3">
        <v>130</v>
      </c>
      <c r="C8" s="3">
        <v>10</v>
      </c>
    </row>
    <row r="9" spans="1:3" s="7" customFormat="1">
      <c r="A9" s="3">
        <v>5</v>
      </c>
      <c r="B9" s="3">
        <v>140</v>
      </c>
      <c r="C9" s="3">
        <v>10</v>
      </c>
    </row>
    <row r="10" spans="1:3" s="7" customFormat="1">
      <c r="A10" s="3">
        <v>6</v>
      </c>
      <c r="B10" s="3">
        <v>150</v>
      </c>
      <c r="C10" s="3">
        <v>10</v>
      </c>
    </row>
    <row r="11" spans="1:3" s="7" customFormat="1">
      <c r="A11" s="3">
        <v>7</v>
      </c>
      <c r="B11" s="3">
        <v>160</v>
      </c>
      <c r="C11" s="3">
        <v>10</v>
      </c>
    </row>
    <row r="12" spans="1:3" s="7" customFormat="1">
      <c r="A12" s="3">
        <v>8</v>
      </c>
      <c r="B12" s="3">
        <v>170</v>
      </c>
      <c r="C12" s="3">
        <v>10</v>
      </c>
    </row>
    <row r="13" spans="1:3" s="7" customFormat="1">
      <c r="A13" s="3">
        <v>9</v>
      </c>
      <c r="B13" s="3">
        <v>180</v>
      </c>
      <c r="C13" s="3">
        <v>10</v>
      </c>
    </row>
    <row r="14" spans="1:3" s="7" customFormat="1">
      <c r="A14" s="3">
        <v>10</v>
      </c>
      <c r="B14" s="3">
        <v>190</v>
      </c>
      <c r="C14" s="3">
        <v>10</v>
      </c>
    </row>
    <row r="15" spans="1:3" s="7" customFormat="1">
      <c r="A15" s="3">
        <v>11</v>
      </c>
      <c r="B15" s="3">
        <v>200</v>
      </c>
      <c r="C15" s="3">
        <v>10</v>
      </c>
    </row>
    <row r="16" spans="1:3" s="7" customFormat="1">
      <c r="A16" s="3">
        <v>12</v>
      </c>
      <c r="B16" s="3">
        <v>210</v>
      </c>
      <c r="C16" s="3">
        <v>10</v>
      </c>
    </row>
    <row r="17" spans="1:3" s="7" customFormat="1">
      <c r="A17" s="3">
        <v>13</v>
      </c>
      <c r="B17" s="3">
        <v>220</v>
      </c>
      <c r="C17" s="3">
        <v>10</v>
      </c>
    </row>
    <row r="18" spans="1:3" s="7" customFormat="1">
      <c r="A18" s="3">
        <v>14</v>
      </c>
      <c r="B18" s="3">
        <v>230</v>
      </c>
      <c r="C18" s="3">
        <v>10</v>
      </c>
    </row>
    <row r="19" spans="1:3" s="7" customFormat="1">
      <c r="A19" s="3">
        <v>15</v>
      </c>
      <c r="B19" s="3">
        <v>240</v>
      </c>
      <c r="C19" s="3">
        <v>10</v>
      </c>
    </row>
    <row r="20" spans="1:3" s="7" customFormat="1">
      <c r="A20" s="3">
        <v>16</v>
      </c>
      <c r="B20" s="3">
        <v>250</v>
      </c>
      <c r="C20" s="3">
        <v>10</v>
      </c>
    </row>
    <row r="21" spans="1:3" s="7" customFormat="1">
      <c r="A21" s="3">
        <v>17</v>
      </c>
      <c r="B21" s="3">
        <v>260</v>
      </c>
      <c r="C21" s="3">
        <v>10</v>
      </c>
    </row>
    <row r="22" spans="1:3" s="7" customFormat="1">
      <c r="A22" s="3">
        <v>18</v>
      </c>
      <c r="B22" s="3">
        <v>270</v>
      </c>
      <c r="C22" s="3">
        <v>10</v>
      </c>
    </row>
    <row r="23" spans="1:3" s="7" customFormat="1">
      <c r="A23" s="3">
        <v>19</v>
      </c>
      <c r="B23" s="3">
        <v>280</v>
      </c>
      <c r="C23" s="3">
        <v>10</v>
      </c>
    </row>
    <row r="24" spans="1:3" s="7" customFormat="1">
      <c r="A24" s="3">
        <v>20</v>
      </c>
      <c r="B24" s="3">
        <v>290</v>
      </c>
      <c r="C24" s="3">
        <v>10</v>
      </c>
    </row>
    <row r="25" spans="1:3" s="7" customFormat="1">
      <c r="A25" s="3">
        <v>21</v>
      </c>
      <c r="B25" s="3">
        <v>300</v>
      </c>
      <c r="C25" s="3">
        <v>10</v>
      </c>
    </row>
    <row r="26" spans="1:3" s="7" customFormat="1">
      <c r="A26" s="3">
        <v>22</v>
      </c>
      <c r="B26" s="3">
        <v>310</v>
      </c>
      <c r="C26" s="3">
        <v>10</v>
      </c>
    </row>
    <row r="27" spans="1:3" s="7" customFormat="1">
      <c r="A27" s="3">
        <v>23</v>
      </c>
      <c r="B27" s="3">
        <v>320</v>
      </c>
      <c r="C27" s="3">
        <v>10</v>
      </c>
    </row>
    <row r="28" spans="1:3" s="7" customFormat="1">
      <c r="A28" s="3">
        <v>24</v>
      </c>
      <c r="B28" s="3">
        <v>330</v>
      </c>
      <c r="C28" s="3">
        <v>10</v>
      </c>
    </row>
    <row r="29" spans="1:3" s="7" customFormat="1">
      <c r="A29" s="3">
        <v>25</v>
      </c>
      <c r="B29" s="3">
        <v>340</v>
      </c>
      <c r="C29" s="3">
        <v>10</v>
      </c>
    </row>
    <row r="30" spans="1:3" s="7" customFormat="1">
      <c r="A30" s="3">
        <v>26</v>
      </c>
      <c r="B30" s="3">
        <v>350</v>
      </c>
      <c r="C30" s="3">
        <v>10</v>
      </c>
    </row>
    <row r="31" spans="1:3" s="7" customFormat="1">
      <c r="A31" s="3">
        <v>27</v>
      </c>
      <c r="B31" s="3">
        <v>360</v>
      </c>
      <c r="C31" s="3">
        <v>10</v>
      </c>
    </row>
    <row r="32" spans="1:3" s="7" customFormat="1">
      <c r="A32" s="3">
        <v>28</v>
      </c>
      <c r="B32" s="3">
        <v>370</v>
      </c>
      <c r="C32" s="3">
        <v>10</v>
      </c>
    </row>
    <row r="33" spans="1:3" s="7" customFormat="1">
      <c r="A33" s="3">
        <v>29</v>
      </c>
      <c r="B33" s="3">
        <v>380</v>
      </c>
      <c r="C33" s="3">
        <v>10</v>
      </c>
    </row>
    <row r="34" spans="1:3" s="4" customFormat="1" ht="17.25" thickBot="1">
      <c r="A34" s="6">
        <v>30</v>
      </c>
      <c r="B34" s="6">
        <v>400</v>
      </c>
      <c r="C34" s="6">
        <v>10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/>
  </sheetViews>
  <sheetFormatPr defaultColWidth="9.140625" defaultRowHeight="16.5"/>
  <cols>
    <col min="1" max="1" width="10.28515625" style="3" customWidth="1"/>
    <col min="2" max="2" width="17.85546875" style="3" bestFit="1" customWidth="1"/>
    <col min="3" max="3" width="11.5703125" style="3" bestFit="1" customWidth="1"/>
    <col min="4" max="16384" width="9.140625" style="1"/>
  </cols>
  <sheetData>
    <row r="1" spans="1:3">
      <c r="A1" s="3" t="s">
        <v>9</v>
      </c>
      <c r="B1" s="3" t="s">
        <v>8</v>
      </c>
      <c r="C1" s="3" t="s">
        <v>8</v>
      </c>
    </row>
    <row r="2" spans="1:3">
      <c r="A2" s="3" t="s">
        <v>7</v>
      </c>
      <c r="B2" s="3" t="s">
        <v>7</v>
      </c>
      <c r="C2" s="3" t="s">
        <v>7</v>
      </c>
    </row>
    <row r="3" spans="1:3">
      <c r="A3" s="3" t="s">
        <v>6</v>
      </c>
      <c r="B3" s="3" t="s">
        <v>18</v>
      </c>
      <c r="C3" s="3" t="s">
        <v>17</v>
      </c>
    </row>
    <row r="4" spans="1:3" s="4" customFormat="1" ht="33.75" thickBot="1">
      <c r="A4" s="9" t="s">
        <v>3</v>
      </c>
      <c r="B4" s="9" t="s">
        <v>16</v>
      </c>
      <c r="C4" s="9" t="s">
        <v>31</v>
      </c>
    </row>
    <row r="5" spans="1:3" s="7" customFormat="1">
      <c r="A5" s="3">
        <v>1</v>
      </c>
      <c r="B5" s="3">
        <v>100</v>
      </c>
      <c r="C5" s="3">
        <v>10</v>
      </c>
    </row>
    <row r="6" spans="1:3" s="7" customFormat="1">
      <c r="A6" s="3">
        <v>2</v>
      </c>
      <c r="B6" s="3">
        <v>110</v>
      </c>
      <c r="C6" s="3">
        <v>10</v>
      </c>
    </row>
    <row r="7" spans="1:3" s="7" customFormat="1">
      <c r="A7" s="3">
        <v>3</v>
      </c>
      <c r="B7" s="3">
        <v>120</v>
      </c>
      <c r="C7" s="3">
        <v>10</v>
      </c>
    </row>
    <row r="8" spans="1:3" s="7" customFormat="1">
      <c r="A8" s="3">
        <v>4</v>
      </c>
      <c r="B8" s="3">
        <v>130</v>
      </c>
      <c r="C8" s="3">
        <v>10</v>
      </c>
    </row>
    <row r="9" spans="1:3" s="7" customFormat="1">
      <c r="A9" s="3">
        <v>5</v>
      </c>
      <c r="B9" s="3">
        <v>140</v>
      </c>
      <c r="C9" s="3">
        <v>10</v>
      </c>
    </row>
    <row r="10" spans="1:3" s="7" customFormat="1">
      <c r="A10" s="3">
        <v>6</v>
      </c>
      <c r="B10" s="3">
        <v>150</v>
      </c>
      <c r="C10" s="3">
        <v>10</v>
      </c>
    </row>
    <row r="11" spans="1:3" s="7" customFormat="1">
      <c r="A11" s="3">
        <v>7</v>
      </c>
      <c r="B11" s="3">
        <v>160</v>
      </c>
      <c r="C11" s="3">
        <v>10</v>
      </c>
    </row>
    <row r="12" spans="1:3" s="7" customFormat="1">
      <c r="A12" s="3">
        <v>8</v>
      </c>
      <c r="B12" s="3">
        <v>170</v>
      </c>
      <c r="C12" s="3">
        <v>10</v>
      </c>
    </row>
    <row r="13" spans="1:3" s="7" customFormat="1">
      <c r="A13" s="3">
        <v>9</v>
      </c>
      <c r="B13" s="3">
        <v>180</v>
      </c>
      <c r="C13" s="3">
        <v>10</v>
      </c>
    </row>
    <row r="14" spans="1:3" s="7" customFormat="1">
      <c r="A14" s="3">
        <v>10</v>
      </c>
      <c r="B14" s="3">
        <v>190</v>
      </c>
      <c r="C14" s="3">
        <v>10</v>
      </c>
    </row>
    <row r="15" spans="1:3" s="7" customFormat="1">
      <c r="A15" s="3">
        <v>11</v>
      </c>
      <c r="B15" s="3">
        <v>200</v>
      </c>
      <c r="C15" s="3">
        <v>10</v>
      </c>
    </row>
    <row r="16" spans="1:3" s="7" customFormat="1">
      <c r="A16" s="3">
        <v>12</v>
      </c>
      <c r="B16" s="3">
        <v>210</v>
      </c>
      <c r="C16" s="3">
        <v>10</v>
      </c>
    </row>
    <row r="17" spans="1:3" s="7" customFormat="1">
      <c r="A17" s="3">
        <v>13</v>
      </c>
      <c r="B17" s="3">
        <v>220</v>
      </c>
      <c r="C17" s="3">
        <v>10</v>
      </c>
    </row>
    <row r="18" spans="1:3" s="7" customFormat="1">
      <c r="A18" s="3">
        <v>14</v>
      </c>
      <c r="B18" s="3">
        <v>230</v>
      </c>
      <c r="C18" s="3">
        <v>10</v>
      </c>
    </row>
    <row r="19" spans="1:3" s="7" customFormat="1">
      <c r="A19" s="3">
        <v>15</v>
      </c>
      <c r="B19" s="3">
        <v>240</v>
      </c>
      <c r="C19" s="3">
        <v>10</v>
      </c>
    </row>
    <row r="20" spans="1:3" s="7" customFormat="1">
      <c r="A20" s="3">
        <v>16</v>
      </c>
      <c r="B20" s="3">
        <v>250</v>
      </c>
      <c r="C20" s="3">
        <v>10</v>
      </c>
    </row>
    <row r="21" spans="1:3" s="7" customFormat="1">
      <c r="A21" s="3">
        <v>17</v>
      </c>
      <c r="B21" s="3">
        <v>260</v>
      </c>
      <c r="C21" s="3">
        <v>10</v>
      </c>
    </row>
    <row r="22" spans="1:3" s="7" customFormat="1">
      <c r="A22" s="3">
        <v>18</v>
      </c>
      <c r="B22" s="3">
        <v>270</v>
      </c>
      <c r="C22" s="3">
        <v>10</v>
      </c>
    </row>
    <row r="23" spans="1:3" s="7" customFormat="1">
      <c r="A23" s="3">
        <v>19</v>
      </c>
      <c r="B23" s="3">
        <v>280</v>
      </c>
      <c r="C23" s="3">
        <v>10</v>
      </c>
    </row>
    <row r="24" spans="1:3" s="7" customFormat="1">
      <c r="A24" s="3">
        <v>20</v>
      </c>
      <c r="B24" s="3">
        <v>290</v>
      </c>
      <c r="C24" s="3">
        <v>10</v>
      </c>
    </row>
    <row r="25" spans="1:3" s="7" customFormat="1">
      <c r="A25" s="3">
        <v>21</v>
      </c>
      <c r="B25" s="3">
        <v>300</v>
      </c>
      <c r="C25" s="3">
        <v>10</v>
      </c>
    </row>
    <row r="26" spans="1:3" s="7" customFormat="1">
      <c r="A26" s="3">
        <v>22</v>
      </c>
      <c r="B26" s="3">
        <v>310</v>
      </c>
      <c r="C26" s="3">
        <v>10</v>
      </c>
    </row>
    <row r="27" spans="1:3" s="7" customFormat="1">
      <c r="A27" s="3">
        <v>23</v>
      </c>
      <c r="B27" s="3">
        <v>320</v>
      </c>
      <c r="C27" s="3">
        <v>10</v>
      </c>
    </row>
    <row r="28" spans="1:3" s="7" customFormat="1">
      <c r="A28" s="3">
        <v>24</v>
      </c>
      <c r="B28" s="3">
        <v>330</v>
      </c>
      <c r="C28" s="3">
        <v>10</v>
      </c>
    </row>
    <row r="29" spans="1:3" s="7" customFormat="1">
      <c r="A29" s="3">
        <v>25</v>
      </c>
      <c r="B29" s="3">
        <v>340</v>
      </c>
      <c r="C29" s="3">
        <v>10</v>
      </c>
    </row>
    <row r="30" spans="1:3" s="7" customFormat="1">
      <c r="A30" s="3">
        <v>26</v>
      </c>
      <c r="B30" s="3">
        <v>350</v>
      </c>
      <c r="C30" s="3">
        <v>10</v>
      </c>
    </row>
    <row r="31" spans="1:3" s="7" customFormat="1">
      <c r="A31" s="3">
        <v>27</v>
      </c>
      <c r="B31" s="3">
        <v>360</v>
      </c>
      <c r="C31" s="3">
        <v>10</v>
      </c>
    </row>
    <row r="32" spans="1:3" s="7" customFormat="1">
      <c r="A32" s="3">
        <v>28</v>
      </c>
      <c r="B32" s="3">
        <v>370</v>
      </c>
      <c r="C32" s="3">
        <v>10</v>
      </c>
    </row>
    <row r="33" spans="1:3" s="7" customFormat="1">
      <c r="A33" s="3">
        <v>29</v>
      </c>
      <c r="B33" s="3">
        <v>380</v>
      </c>
      <c r="C33" s="3">
        <v>10</v>
      </c>
    </row>
    <row r="34" spans="1:3" s="4" customFormat="1" ht="17.25" thickBot="1">
      <c r="A34" s="6">
        <v>30</v>
      </c>
      <c r="B34" s="6">
        <v>400</v>
      </c>
      <c r="C34" s="6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F36" sqref="F36"/>
    </sheetView>
  </sheetViews>
  <sheetFormatPr defaultColWidth="9.140625" defaultRowHeight="16.5"/>
  <cols>
    <col min="1" max="1" width="10.28515625" style="3" bestFit="1" customWidth="1"/>
    <col min="2" max="2" width="22.42578125" style="17" bestFit="1" customWidth="1"/>
    <col min="3" max="16384" width="9.140625" style="1"/>
  </cols>
  <sheetData>
    <row r="1" spans="1:2">
      <c r="A1" s="3" t="s">
        <v>9</v>
      </c>
      <c r="B1" s="17" t="s">
        <v>8</v>
      </c>
    </row>
    <row r="2" spans="1:2">
      <c r="A2" s="3" t="s">
        <v>7</v>
      </c>
      <c r="B2" s="17" t="s">
        <v>7</v>
      </c>
    </row>
    <row r="3" spans="1:2">
      <c r="A3" s="3" t="s">
        <v>6</v>
      </c>
      <c r="B3" s="17" t="s">
        <v>34</v>
      </c>
    </row>
    <row r="4" spans="1:2" s="4" customFormat="1" ht="17.25" thickBot="1">
      <c r="A4" s="9" t="s">
        <v>3</v>
      </c>
      <c r="B4" s="20" t="s">
        <v>38</v>
      </c>
    </row>
    <row r="5" spans="1:2" s="7" customFormat="1">
      <c r="A5" s="3">
        <v>1</v>
      </c>
      <c r="B5" s="19">
        <v>10000</v>
      </c>
    </row>
    <row r="6" spans="1:2" s="7" customFormat="1">
      <c r="A6" s="3">
        <v>2</v>
      </c>
      <c r="B6" s="19">
        <v>20000</v>
      </c>
    </row>
    <row r="7" spans="1:2" s="7" customFormat="1">
      <c r="A7" s="3">
        <v>3</v>
      </c>
      <c r="B7" s="19">
        <v>30000</v>
      </c>
    </row>
    <row r="8" spans="1:2" s="7" customFormat="1">
      <c r="A8" s="3">
        <v>4</v>
      </c>
      <c r="B8" s="19">
        <v>40000</v>
      </c>
    </row>
    <row r="9" spans="1:2" s="7" customFormat="1">
      <c r="A9" s="3">
        <v>5</v>
      </c>
      <c r="B9" s="19">
        <v>50000</v>
      </c>
    </row>
    <row r="10" spans="1:2">
      <c r="A10" s="3">
        <v>6</v>
      </c>
      <c r="B10" s="17">
        <v>60000</v>
      </c>
    </row>
    <row r="11" spans="1:2">
      <c r="A11" s="3">
        <v>7</v>
      </c>
      <c r="B11" s="17">
        <v>70000</v>
      </c>
    </row>
    <row r="12" spans="1:2">
      <c r="A12" s="3">
        <v>8</v>
      </c>
      <c r="B12" s="17">
        <v>80000</v>
      </c>
    </row>
    <row r="13" spans="1:2">
      <c r="A13" s="3">
        <v>9</v>
      </c>
      <c r="B13" s="17">
        <v>90000</v>
      </c>
    </row>
    <row r="14" spans="1:2">
      <c r="A14" s="3">
        <v>10</v>
      </c>
      <c r="B14" s="17">
        <v>100000</v>
      </c>
    </row>
    <row r="15" spans="1:2">
      <c r="A15" s="3">
        <v>11</v>
      </c>
      <c r="B15" s="17">
        <v>110000</v>
      </c>
    </row>
    <row r="16" spans="1:2">
      <c r="A16" s="3">
        <v>12</v>
      </c>
      <c r="B16" s="17">
        <v>120000</v>
      </c>
    </row>
    <row r="17" spans="1:2">
      <c r="A17" s="3">
        <v>13</v>
      </c>
      <c r="B17" s="17">
        <v>130000</v>
      </c>
    </row>
    <row r="18" spans="1:2">
      <c r="A18" s="3">
        <v>14</v>
      </c>
      <c r="B18" s="17">
        <v>140000</v>
      </c>
    </row>
    <row r="19" spans="1:2">
      <c r="A19" s="3">
        <v>15</v>
      </c>
      <c r="B19" s="17">
        <v>150000</v>
      </c>
    </row>
    <row r="20" spans="1:2">
      <c r="A20" s="3">
        <v>16</v>
      </c>
      <c r="B20" s="17">
        <v>160000</v>
      </c>
    </row>
    <row r="21" spans="1:2">
      <c r="A21" s="3">
        <v>17</v>
      </c>
      <c r="B21" s="17">
        <v>170000</v>
      </c>
    </row>
    <row r="22" spans="1:2">
      <c r="A22" s="3">
        <v>18</v>
      </c>
      <c r="B22" s="17">
        <v>180000</v>
      </c>
    </row>
    <row r="23" spans="1:2">
      <c r="A23" s="3">
        <v>19</v>
      </c>
      <c r="B23" s="17">
        <v>190000</v>
      </c>
    </row>
    <row r="24" spans="1:2">
      <c r="A24" s="3">
        <v>20</v>
      </c>
      <c r="B24" s="17">
        <v>200000</v>
      </c>
    </row>
    <row r="25" spans="1:2">
      <c r="A25" s="3">
        <v>21</v>
      </c>
      <c r="B25" s="17">
        <v>210000</v>
      </c>
    </row>
    <row r="26" spans="1:2">
      <c r="A26" s="3">
        <v>22</v>
      </c>
      <c r="B26" s="17">
        <v>220000</v>
      </c>
    </row>
    <row r="27" spans="1:2">
      <c r="A27" s="3">
        <v>23</v>
      </c>
      <c r="B27" s="17">
        <v>230000</v>
      </c>
    </row>
    <row r="28" spans="1:2">
      <c r="A28" s="3">
        <v>24</v>
      </c>
      <c r="B28" s="17">
        <v>240000</v>
      </c>
    </row>
    <row r="29" spans="1:2">
      <c r="A29" s="3">
        <v>25</v>
      </c>
      <c r="B29" s="17">
        <v>250000</v>
      </c>
    </row>
    <row r="30" spans="1:2">
      <c r="A30" s="3">
        <v>26</v>
      </c>
      <c r="B30" s="17">
        <v>260000</v>
      </c>
    </row>
    <row r="31" spans="1:2">
      <c r="A31" s="3">
        <v>27</v>
      </c>
      <c r="B31" s="17">
        <v>270000</v>
      </c>
    </row>
    <row r="32" spans="1:2">
      <c r="A32" s="3">
        <v>28</v>
      </c>
      <c r="B32" s="17">
        <v>280000</v>
      </c>
    </row>
    <row r="33" spans="1:2">
      <c r="A33" s="3">
        <v>29</v>
      </c>
      <c r="B33" s="17">
        <v>290000</v>
      </c>
    </row>
    <row r="34" spans="1:2" s="4" customFormat="1" ht="17.25" thickBot="1">
      <c r="A34" s="6">
        <v>30</v>
      </c>
      <c r="B34" s="20">
        <v>300000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34"/>
  <sheetViews>
    <sheetView workbookViewId="0"/>
  </sheetViews>
  <sheetFormatPr defaultColWidth="9.140625" defaultRowHeight="16.5"/>
  <cols>
    <col min="1" max="1" width="10.28515625" style="3" bestFit="1" customWidth="1"/>
    <col min="2" max="2" width="19.85546875" style="14" bestFit="1" customWidth="1"/>
    <col min="3" max="3" width="18.7109375" style="11" bestFit="1" customWidth="1"/>
    <col min="4" max="4" width="14.85546875" style="3" bestFit="1" customWidth="1"/>
    <col min="5" max="5" width="10.28515625" style="17" bestFit="1" customWidth="1"/>
    <col min="6" max="6" width="10.28515625" style="21" customWidth="1"/>
    <col min="7" max="7" width="9.85546875" style="2" bestFit="1" customWidth="1"/>
    <col min="8" max="8" width="14.28515625" style="2" bestFit="1" customWidth="1"/>
    <col min="9" max="16384" width="9.140625" style="1"/>
  </cols>
  <sheetData>
    <row r="1" spans="1:8">
      <c r="A1" s="3" t="s">
        <v>9</v>
      </c>
      <c r="B1" s="14" t="s">
        <v>8</v>
      </c>
      <c r="D1" s="3" t="s">
        <v>8</v>
      </c>
      <c r="E1" s="17" t="s">
        <v>8</v>
      </c>
    </row>
    <row r="2" spans="1:8">
      <c r="A2" s="3" t="s">
        <v>7</v>
      </c>
      <c r="B2" s="14" t="s">
        <v>7</v>
      </c>
      <c r="D2" s="3" t="s">
        <v>7</v>
      </c>
      <c r="E2" s="17" t="s">
        <v>7</v>
      </c>
    </row>
    <row r="3" spans="1:8">
      <c r="A3" s="3" t="s">
        <v>6</v>
      </c>
      <c r="B3" s="14" t="s">
        <v>19</v>
      </c>
      <c r="D3" s="3" t="s">
        <v>5</v>
      </c>
      <c r="E3" s="17" t="s">
        <v>4</v>
      </c>
    </row>
    <row r="4" spans="1:8" s="4" customFormat="1" ht="33.75" thickBot="1">
      <c r="A4" s="9" t="s">
        <v>3</v>
      </c>
      <c r="B4" s="15" t="s">
        <v>20</v>
      </c>
      <c r="C4" s="12" t="s">
        <v>21</v>
      </c>
      <c r="D4" s="9" t="s">
        <v>2</v>
      </c>
      <c r="E4" s="18" t="s">
        <v>1</v>
      </c>
      <c r="F4" s="22" t="s">
        <v>28</v>
      </c>
      <c r="G4" s="5" t="s">
        <v>0</v>
      </c>
      <c r="H4" s="5" t="s">
        <v>22</v>
      </c>
    </row>
    <row r="5" spans="1:8" s="7" customFormat="1">
      <c r="A5" s="3">
        <v>1</v>
      </c>
      <c r="B5" s="14">
        <f>C5*100</f>
        <v>100</v>
      </c>
      <c r="C5" s="11">
        <v>1</v>
      </c>
      <c r="D5" s="3">
        <v>300</v>
      </c>
      <c r="E5" s="19">
        <v>3000</v>
      </c>
      <c r="F5" s="23">
        <f>IF(H5*G5&lt;100,ROUND(H5*G5,1-LEN(ROUND(H5*G5,0))),ROUND(H5*G5,2-LEN(ROUND(H5*G5,0))))</f>
        <v>3000</v>
      </c>
      <c r="G5" s="8">
        <v>8</v>
      </c>
      <c r="H5" s="8">
        <v>378</v>
      </c>
    </row>
    <row r="6" spans="1:8" s="7" customFormat="1">
      <c r="A6" s="3">
        <v>2</v>
      </c>
      <c r="B6" s="14">
        <f t="shared" ref="B6:B34" si="0">C6*100</f>
        <v>110.00000000000001</v>
      </c>
      <c r="C6" s="11">
        <v>1.1000000000000001</v>
      </c>
      <c r="D6" s="3">
        <v>300</v>
      </c>
      <c r="E6" s="19">
        <v>3500</v>
      </c>
      <c r="F6" s="23">
        <f t="shared" ref="F6:F34" si="1">IF(H6*G6&lt;100,ROUND(H6*G6,1-LEN(ROUND(H6*G6,0))),ROUND(H6*G6,2-LEN(ROUND(H6*G6,0))))</f>
        <v>3500</v>
      </c>
      <c r="G6" s="8">
        <v>8</v>
      </c>
      <c r="H6" s="8">
        <v>432.00000000000006</v>
      </c>
    </row>
    <row r="7" spans="1:8" s="7" customFormat="1">
      <c r="A7" s="3">
        <v>3</v>
      </c>
      <c r="B7" s="14">
        <f t="shared" si="0"/>
        <v>120.00000000000001</v>
      </c>
      <c r="C7" s="11">
        <v>1.2000000000000002</v>
      </c>
      <c r="D7" s="3">
        <v>300</v>
      </c>
      <c r="E7" s="19">
        <v>4000</v>
      </c>
      <c r="F7" s="23">
        <f t="shared" si="1"/>
        <v>3900</v>
      </c>
      <c r="G7" s="8">
        <v>8</v>
      </c>
      <c r="H7" s="8">
        <v>486.00000000000006</v>
      </c>
    </row>
    <row r="8" spans="1:8" s="7" customFormat="1">
      <c r="A8" s="3">
        <v>4</v>
      </c>
      <c r="B8" s="14">
        <f t="shared" si="0"/>
        <v>130.00000000000003</v>
      </c>
      <c r="C8" s="11">
        <v>1.3000000000000003</v>
      </c>
      <c r="D8" s="3">
        <v>300</v>
      </c>
      <c r="E8" s="19">
        <v>5000</v>
      </c>
      <c r="F8" s="23">
        <f t="shared" si="1"/>
        <v>5400</v>
      </c>
      <c r="G8" s="8">
        <v>8</v>
      </c>
      <c r="H8" s="8">
        <v>675.00000000000011</v>
      </c>
    </row>
    <row r="9" spans="1:8" s="7" customFormat="1">
      <c r="A9" s="3">
        <v>5</v>
      </c>
      <c r="B9" s="14">
        <f t="shared" si="0"/>
        <v>140.00000000000003</v>
      </c>
      <c r="C9" s="11">
        <v>1.4000000000000004</v>
      </c>
      <c r="D9" s="3">
        <v>300</v>
      </c>
      <c r="E9" s="19">
        <v>6000</v>
      </c>
      <c r="F9" s="23">
        <f t="shared" si="1"/>
        <v>6800</v>
      </c>
      <c r="G9" s="8">
        <v>8</v>
      </c>
      <c r="H9" s="8">
        <v>855.00000000000011</v>
      </c>
    </row>
    <row r="10" spans="1:8" s="7" customFormat="1">
      <c r="A10" s="3">
        <v>6</v>
      </c>
      <c r="B10" s="14">
        <f t="shared" si="0"/>
        <v>150.00000000000006</v>
      </c>
      <c r="C10" s="11">
        <v>1.5000000000000004</v>
      </c>
      <c r="D10" s="3">
        <v>300</v>
      </c>
      <c r="E10" s="19">
        <v>8000</v>
      </c>
      <c r="F10" s="23">
        <f t="shared" si="1"/>
        <v>7400</v>
      </c>
      <c r="G10" s="8">
        <v>8</v>
      </c>
      <c r="H10" s="8">
        <v>922.50000000000034</v>
      </c>
    </row>
    <row r="11" spans="1:8" s="7" customFormat="1">
      <c r="A11" s="3">
        <v>7</v>
      </c>
      <c r="B11" s="14">
        <f t="shared" si="0"/>
        <v>165.00000000000003</v>
      </c>
      <c r="C11" s="11">
        <v>1.6500000000000004</v>
      </c>
      <c r="D11" s="3">
        <v>300</v>
      </c>
      <c r="E11" s="19">
        <v>16000</v>
      </c>
      <c r="F11" s="23">
        <f t="shared" si="1"/>
        <v>19000</v>
      </c>
      <c r="G11" s="8">
        <v>8</v>
      </c>
      <c r="H11" s="8">
        <v>2430.0000000000005</v>
      </c>
    </row>
    <row r="12" spans="1:8" s="7" customFormat="1">
      <c r="A12" s="3">
        <v>8</v>
      </c>
      <c r="B12" s="14">
        <f t="shared" si="0"/>
        <v>180.00000000000003</v>
      </c>
      <c r="C12" s="11">
        <v>1.8000000000000003</v>
      </c>
      <c r="D12" s="3">
        <v>300</v>
      </c>
      <c r="E12" s="19">
        <v>20000</v>
      </c>
      <c r="F12" s="23">
        <f t="shared" si="1"/>
        <v>21000</v>
      </c>
      <c r="G12" s="8">
        <v>8</v>
      </c>
      <c r="H12" s="8">
        <v>2646</v>
      </c>
    </row>
    <row r="13" spans="1:8" s="7" customFormat="1">
      <c r="A13" s="3">
        <v>9</v>
      </c>
      <c r="B13" s="14">
        <f t="shared" si="0"/>
        <v>195.00000000000003</v>
      </c>
      <c r="C13" s="11">
        <v>1.9500000000000002</v>
      </c>
      <c r="D13" s="3">
        <v>300</v>
      </c>
      <c r="E13" s="19">
        <v>24000</v>
      </c>
      <c r="F13" s="23">
        <f t="shared" si="1"/>
        <v>23000</v>
      </c>
      <c r="G13" s="8">
        <v>8</v>
      </c>
      <c r="H13" s="8">
        <v>2862.0000000000005</v>
      </c>
    </row>
    <row r="14" spans="1:8" s="7" customFormat="1">
      <c r="A14" s="3">
        <v>10</v>
      </c>
      <c r="B14" s="14">
        <f t="shared" si="0"/>
        <v>210</v>
      </c>
      <c r="C14" s="11">
        <v>2.1</v>
      </c>
      <c r="D14" s="3">
        <v>300</v>
      </c>
      <c r="E14" s="19">
        <v>30000</v>
      </c>
      <c r="F14" s="23">
        <f t="shared" si="1"/>
        <v>36000</v>
      </c>
      <c r="G14" s="8">
        <v>8</v>
      </c>
      <c r="H14" s="8">
        <v>4464</v>
      </c>
    </row>
    <row r="15" spans="1:8" s="7" customFormat="1">
      <c r="A15" s="3">
        <v>11</v>
      </c>
      <c r="B15" s="14">
        <f t="shared" si="0"/>
        <v>225</v>
      </c>
      <c r="C15" s="11">
        <v>2.25</v>
      </c>
      <c r="D15" s="3">
        <v>300</v>
      </c>
      <c r="E15" s="19">
        <v>35000</v>
      </c>
      <c r="F15" s="23">
        <f t="shared" si="1"/>
        <v>38000</v>
      </c>
      <c r="G15" s="8">
        <v>8</v>
      </c>
      <c r="H15" s="8">
        <v>4752</v>
      </c>
    </row>
    <row r="16" spans="1:8" s="7" customFormat="1">
      <c r="A16" s="3">
        <v>12</v>
      </c>
      <c r="B16" s="14">
        <f t="shared" si="0"/>
        <v>240</v>
      </c>
      <c r="C16" s="11">
        <v>2.4</v>
      </c>
      <c r="D16" s="3">
        <v>300</v>
      </c>
      <c r="E16" s="19">
        <v>40000</v>
      </c>
      <c r="F16" s="23">
        <f t="shared" si="1"/>
        <v>40000</v>
      </c>
      <c r="G16" s="8">
        <v>8</v>
      </c>
      <c r="H16" s="8">
        <v>5040</v>
      </c>
    </row>
    <row r="17" spans="1:8" s="7" customFormat="1">
      <c r="A17" s="3">
        <v>13</v>
      </c>
      <c r="B17" s="14">
        <f t="shared" si="0"/>
        <v>260</v>
      </c>
      <c r="C17" s="11">
        <v>2.6</v>
      </c>
      <c r="D17" s="3">
        <v>300</v>
      </c>
      <c r="E17" s="19">
        <v>60000</v>
      </c>
      <c r="F17" s="23">
        <f t="shared" si="1"/>
        <v>81000</v>
      </c>
      <c r="G17" s="8">
        <v>8</v>
      </c>
      <c r="H17" s="8">
        <v>10125</v>
      </c>
    </row>
    <row r="18" spans="1:8" s="7" customFormat="1">
      <c r="A18" s="3">
        <v>14</v>
      </c>
      <c r="B18" s="14">
        <f t="shared" si="0"/>
        <v>280</v>
      </c>
      <c r="C18" s="11">
        <v>2.8000000000000003</v>
      </c>
      <c r="D18" s="3">
        <v>300</v>
      </c>
      <c r="E18" s="19">
        <v>80000</v>
      </c>
      <c r="F18" s="23">
        <f t="shared" si="1"/>
        <v>86000</v>
      </c>
      <c r="G18" s="8">
        <v>8</v>
      </c>
      <c r="H18" s="8">
        <v>10800</v>
      </c>
    </row>
    <row r="19" spans="1:8" s="7" customFormat="1">
      <c r="A19" s="3">
        <v>15</v>
      </c>
      <c r="B19" s="14">
        <f t="shared" si="0"/>
        <v>300.00000000000006</v>
      </c>
      <c r="C19" s="11">
        <v>3.0000000000000004</v>
      </c>
      <c r="D19" s="3">
        <v>300</v>
      </c>
      <c r="E19" s="19">
        <v>10000</v>
      </c>
      <c r="F19" s="23">
        <f t="shared" si="1"/>
        <v>97000</v>
      </c>
      <c r="G19" s="8">
        <v>8</v>
      </c>
      <c r="H19" s="8">
        <v>12150</v>
      </c>
    </row>
    <row r="20" spans="1:8" s="7" customFormat="1">
      <c r="A20" s="3">
        <v>16</v>
      </c>
      <c r="B20" s="14">
        <f t="shared" si="0"/>
        <v>320.00000000000006</v>
      </c>
      <c r="C20" s="11">
        <v>3.2000000000000006</v>
      </c>
      <c r="D20" s="3">
        <v>300</v>
      </c>
      <c r="E20" s="19">
        <v>120000</v>
      </c>
      <c r="F20" s="23">
        <f t="shared" si="1"/>
        <v>140000</v>
      </c>
      <c r="G20" s="8">
        <v>8</v>
      </c>
      <c r="H20" s="8">
        <v>17955.000000000004</v>
      </c>
    </row>
    <row r="21" spans="1:8" s="7" customFormat="1">
      <c r="A21" s="3">
        <v>17</v>
      </c>
      <c r="B21" s="14">
        <f t="shared" si="0"/>
        <v>340.00000000000006</v>
      </c>
      <c r="C21" s="11">
        <v>3.4000000000000008</v>
      </c>
      <c r="D21" s="3">
        <v>300</v>
      </c>
      <c r="E21" s="19">
        <v>140000</v>
      </c>
      <c r="F21" s="23">
        <f t="shared" si="1"/>
        <v>150000</v>
      </c>
      <c r="G21" s="8">
        <v>8</v>
      </c>
      <c r="H21" s="8">
        <v>18900.000000000004</v>
      </c>
    </row>
    <row r="22" spans="1:8" s="7" customFormat="1">
      <c r="A22" s="3">
        <v>18</v>
      </c>
      <c r="B22" s="14">
        <f t="shared" si="0"/>
        <v>360.00000000000011</v>
      </c>
      <c r="C22" s="11">
        <v>3.600000000000001</v>
      </c>
      <c r="D22" s="3">
        <v>300</v>
      </c>
      <c r="E22" s="19">
        <v>180000</v>
      </c>
      <c r="F22" s="23">
        <f t="shared" si="1"/>
        <v>160000</v>
      </c>
      <c r="G22" s="8">
        <v>8</v>
      </c>
      <c r="H22" s="8">
        <v>19845.000000000004</v>
      </c>
    </row>
    <row r="23" spans="1:8" s="7" customFormat="1">
      <c r="A23" s="3">
        <v>19</v>
      </c>
      <c r="B23" s="14">
        <f t="shared" si="0"/>
        <v>385.00000000000011</v>
      </c>
      <c r="C23" s="11">
        <v>3.850000000000001</v>
      </c>
      <c r="D23" s="3">
        <v>300</v>
      </c>
      <c r="E23" s="19">
        <v>240000</v>
      </c>
      <c r="F23" s="23">
        <f t="shared" si="1"/>
        <v>320000</v>
      </c>
      <c r="G23" s="8">
        <v>8</v>
      </c>
      <c r="H23" s="8">
        <v>39960.000000000007</v>
      </c>
    </row>
    <row r="24" spans="1:8" s="7" customFormat="1">
      <c r="A24" s="3">
        <v>20</v>
      </c>
      <c r="B24" s="14">
        <f t="shared" si="0"/>
        <v>410.00000000000011</v>
      </c>
      <c r="C24" s="11">
        <v>4.1000000000000014</v>
      </c>
      <c r="D24" s="3">
        <v>300</v>
      </c>
      <c r="E24" s="19">
        <v>320000</v>
      </c>
      <c r="F24" s="23">
        <f t="shared" si="1"/>
        <v>350000</v>
      </c>
      <c r="G24" s="8">
        <v>8</v>
      </c>
      <c r="H24" s="8">
        <v>43920.000000000007</v>
      </c>
    </row>
    <row r="25" spans="1:8" s="7" customFormat="1">
      <c r="A25" s="3">
        <v>21</v>
      </c>
      <c r="B25" s="14">
        <f t="shared" si="0"/>
        <v>435.00000000000011</v>
      </c>
      <c r="C25" s="11">
        <v>4.3500000000000014</v>
      </c>
      <c r="D25" s="3">
        <v>300</v>
      </c>
      <c r="E25" s="19">
        <v>360000</v>
      </c>
      <c r="F25" s="23">
        <f t="shared" si="1"/>
        <v>370000</v>
      </c>
      <c r="G25" s="8">
        <v>8</v>
      </c>
      <c r="H25" s="8">
        <v>46080.000000000007</v>
      </c>
    </row>
    <row r="26" spans="1:8" s="7" customFormat="1">
      <c r="A26" s="3">
        <v>22</v>
      </c>
      <c r="B26" s="14">
        <f t="shared" si="0"/>
        <v>460.00000000000011</v>
      </c>
      <c r="C26" s="11">
        <v>4.6000000000000014</v>
      </c>
      <c r="D26" s="3">
        <v>300</v>
      </c>
      <c r="E26" s="19">
        <v>480000</v>
      </c>
      <c r="F26" s="23">
        <f t="shared" si="1"/>
        <v>540000</v>
      </c>
      <c r="G26" s="8">
        <v>8</v>
      </c>
      <c r="H26" s="8">
        <v>67536.000000000015</v>
      </c>
    </row>
    <row r="27" spans="1:8" s="7" customFormat="1">
      <c r="A27" s="3">
        <v>23</v>
      </c>
      <c r="B27" s="14">
        <f t="shared" si="0"/>
        <v>485.00000000000011</v>
      </c>
      <c r="C27" s="11">
        <v>4.8500000000000014</v>
      </c>
      <c r="D27" s="3">
        <v>300</v>
      </c>
      <c r="E27" s="19">
        <v>540000</v>
      </c>
      <c r="F27" s="23">
        <f t="shared" si="1"/>
        <v>560000</v>
      </c>
      <c r="G27" s="8">
        <v>8</v>
      </c>
      <c r="H27" s="8">
        <v>70560.000000000015</v>
      </c>
    </row>
    <row r="28" spans="1:8" s="7" customFormat="1">
      <c r="A28" s="3">
        <v>24</v>
      </c>
      <c r="B28" s="14">
        <f t="shared" si="0"/>
        <v>510.00000000000011</v>
      </c>
      <c r="C28" s="11">
        <v>5.1000000000000014</v>
      </c>
      <c r="D28" s="3">
        <v>300</v>
      </c>
      <c r="E28" s="19">
        <v>600000</v>
      </c>
      <c r="F28" s="23">
        <f t="shared" si="1"/>
        <v>590000</v>
      </c>
      <c r="G28" s="8">
        <v>8</v>
      </c>
      <c r="H28" s="8">
        <v>73584.000000000015</v>
      </c>
    </row>
    <row r="29" spans="1:8" s="7" customFormat="1">
      <c r="A29" s="3">
        <v>25</v>
      </c>
      <c r="B29" s="14">
        <f t="shared" si="0"/>
        <v>540.00000000000011</v>
      </c>
      <c r="C29" s="11">
        <v>5.4000000000000012</v>
      </c>
      <c r="D29" s="3">
        <v>300</v>
      </c>
      <c r="E29" s="19">
        <v>1000000</v>
      </c>
      <c r="F29" s="23">
        <f t="shared" si="1"/>
        <v>1100000</v>
      </c>
      <c r="G29" s="8">
        <v>8</v>
      </c>
      <c r="H29" s="8">
        <v>135090.00000000003</v>
      </c>
    </row>
    <row r="30" spans="1:8" s="7" customFormat="1">
      <c r="A30" s="3">
        <v>26</v>
      </c>
      <c r="B30" s="14">
        <f t="shared" si="0"/>
        <v>570.00000000000011</v>
      </c>
      <c r="C30" s="11">
        <v>5.7000000000000011</v>
      </c>
      <c r="D30" s="3">
        <v>300</v>
      </c>
      <c r="E30" s="19">
        <v>1100000</v>
      </c>
      <c r="F30" s="23">
        <f t="shared" si="1"/>
        <v>1100000</v>
      </c>
      <c r="G30" s="8">
        <v>8</v>
      </c>
      <c r="H30" s="8">
        <v>141075</v>
      </c>
    </row>
    <row r="31" spans="1:8" s="7" customFormat="1">
      <c r="A31" s="3">
        <v>27</v>
      </c>
      <c r="B31" s="14">
        <f t="shared" si="0"/>
        <v>600.00000000000011</v>
      </c>
      <c r="C31" s="11">
        <v>6.0000000000000009</v>
      </c>
      <c r="D31" s="3">
        <v>300</v>
      </c>
      <c r="E31" s="19">
        <v>1200000</v>
      </c>
      <c r="F31" s="23">
        <f t="shared" si="1"/>
        <v>1200000</v>
      </c>
      <c r="G31" s="8">
        <v>8</v>
      </c>
      <c r="H31" s="8">
        <v>147060.00000000003</v>
      </c>
    </row>
    <row r="32" spans="1:8" s="7" customFormat="1">
      <c r="A32" s="3">
        <v>28</v>
      </c>
      <c r="B32" s="14">
        <f t="shared" si="0"/>
        <v>630.00000000000011</v>
      </c>
      <c r="C32" s="11">
        <v>6.3000000000000007</v>
      </c>
      <c r="D32" s="3">
        <v>300</v>
      </c>
      <c r="E32" s="19">
        <v>1400000</v>
      </c>
      <c r="F32" s="23">
        <f t="shared" si="1"/>
        <v>1600000</v>
      </c>
      <c r="G32" s="8">
        <v>8</v>
      </c>
      <c r="H32" s="8">
        <v>201375.00000000003</v>
      </c>
    </row>
    <row r="33" spans="1:8" s="7" customFormat="1">
      <c r="A33" s="3">
        <v>29</v>
      </c>
      <c r="B33" s="14">
        <f t="shared" si="0"/>
        <v>660</v>
      </c>
      <c r="C33" s="11">
        <v>6.6000000000000005</v>
      </c>
      <c r="D33" s="3">
        <v>300</v>
      </c>
      <c r="E33" s="19">
        <v>1600000</v>
      </c>
      <c r="F33" s="23">
        <f t="shared" si="1"/>
        <v>1700000</v>
      </c>
      <c r="G33" s="8">
        <v>8</v>
      </c>
      <c r="H33" s="8">
        <v>209250</v>
      </c>
    </row>
    <row r="34" spans="1:8" s="4" customFormat="1" ht="17.25" thickBot="1">
      <c r="A34" s="6">
        <v>30</v>
      </c>
      <c r="B34" s="16">
        <f t="shared" si="0"/>
        <v>700.00000000000011</v>
      </c>
      <c r="C34" s="13">
        <v>7.0000000000000009</v>
      </c>
      <c r="D34" s="6">
        <v>300</v>
      </c>
      <c r="E34" s="20">
        <v>1800000</v>
      </c>
      <c r="F34" s="24">
        <f t="shared" si="1"/>
        <v>1800000</v>
      </c>
      <c r="G34" s="5">
        <v>8</v>
      </c>
      <c r="H34" s="5">
        <v>225000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I34"/>
  <sheetViews>
    <sheetView tabSelected="1" workbookViewId="0">
      <selection activeCell="H34" sqref="H34"/>
    </sheetView>
  </sheetViews>
  <sheetFormatPr defaultColWidth="9.140625" defaultRowHeight="16.5"/>
  <cols>
    <col min="1" max="1" width="10.28515625" style="3" bestFit="1" customWidth="1"/>
    <col min="2" max="2" width="18.7109375" style="3" bestFit="1" customWidth="1"/>
    <col min="3" max="4" width="18.7109375" style="25" bestFit="1" customWidth="1"/>
    <col min="5" max="5" width="17.140625" style="17" bestFit="1" customWidth="1"/>
    <col min="6" max="6" width="17.140625" style="21" bestFit="1" customWidth="1"/>
    <col min="7" max="7" width="10.7109375" style="11" customWidth="1"/>
    <col min="8" max="8" width="15.5703125" style="2" bestFit="1" customWidth="1"/>
    <col min="9" max="9" width="15.5703125" style="2" customWidth="1"/>
    <col min="10" max="16384" width="9.140625" style="1"/>
  </cols>
  <sheetData>
    <row r="1" spans="1:9">
      <c r="A1" s="3" t="s">
        <v>9</v>
      </c>
      <c r="B1" s="3" t="s">
        <v>8</v>
      </c>
      <c r="E1" s="17" t="s">
        <v>8</v>
      </c>
    </row>
    <row r="2" spans="1:9">
      <c r="A2" s="3" t="s">
        <v>7</v>
      </c>
      <c r="B2" s="3" t="s">
        <v>7</v>
      </c>
      <c r="E2" s="17" t="s">
        <v>7</v>
      </c>
    </row>
    <row r="3" spans="1:9">
      <c r="A3" s="3" t="s">
        <v>6</v>
      </c>
      <c r="B3" s="3" t="s">
        <v>24</v>
      </c>
      <c r="E3" s="17" t="s">
        <v>11</v>
      </c>
    </row>
    <row r="4" spans="1:9" s="4" customFormat="1" ht="33.75" thickBot="1">
      <c r="A4" s="9" t="s">
        <v>3</v>
      </c>
      <c r="B4" s="9" t="s">
        <v>23</v>
      </c>
      <c r="C4" s="26" t="s">
        <v>30</v>
      </c>
      <c r="D4" s="26" t="s">
        <v>30</v>
      </c>
      <c r="E4" s="20" t="s">
        <v>10</v>
      </c>
      <c r="F4" s="24" t="s">
        <v>29</v>
      </c>
      <c r="G4" s="12" t="s">
        <v>25</v>
      </c>
      <c r="H4" s="5" t="s">
        <v>26</v>
      </c>
      <c r="I4" s="5" t="s">
        <v>27</v>
      </c>
    </row>
    <row r="5" spans="1:9" s="7" customFormat="1">
      <c r="A5" s="3">
        <v>1</v>
      </c>
      <c r="B5" s="3">
        <f>C5*3</f>
        <v>300</v>
      </c>
      <c r="C5" s="25">
        <v>100</v>
      </c>
      <c r="D5" s="25">
        <f>IF(F5/$F$5*100&lt;100,ROUND(F5/$F$5*100,1-LEN(ROUND(F5/$F$5*100,0))),ROUND(F5/$F$5*100,2-LEN(ROUND(F5/$F$5*100,0))))/I5</f>
        <v>100</v>
      </c>
      <c r="E5" s="19">
        <v>15000</v>
      </c>
      <c r="F5" s="23">
        <f>IF(G5*H5&lt;100,ROUND(G5*H5,1-LEN(ROUND(G5*H5,0))),ROUND(G5*H5,2-LEN(ROUND(G5*H5,0))))</f>
        <v>17000</v>
      </c>
      <c r="G5" s="11">
        <v>8</v>
      </c>
      <c r="H5" s="8">
        <v>2160</v>
      </c>
      <c r="I5" s="8">
        <v>1</v>
      </c>
    </row>
    <row r="6" spans="1:9" s="7" customFormat="1">
      <c r="A6" s="3">
        <v>2</v>
      </c>
      <c r="B6" s="3">
        <f t="shared" ref="B6:B34" si="0">C6*3</f>
        <v>360</v>
      </c>
      <c r="C6" s="25">
        <v>120</v>
      </c>
      <c r="D6" s="25">
        <f t="shared" ref="C6:D34" si="1">IF(F6/$F$5*100&lt;100,ROUND(F6/$F$5*100,1-LEN(ROUND(F6/$F$5*100,0))),ROUND(F6/$F$5*100,2-LEN(ROUND(F6/$F$5*100,0))))/I6</f>
        <v>120</v>
      </c>
      <c r="E6" s="19">
        <v>20000</v>
      </c>
      <c r="F6" s="23">
        <f t="shared" ref="F6:F34" si="2">IF(G6*H6&lt;100,ROUND(G6*H6,1-LEN(ROUND(G6*H6,0))),ROUND(G6*H6,2-LEN(ROUND(G6*H6,0))))</f>
        <v>20000</v>
      </c>
      <c r="G6" s="11">
        <v>8</v>
      </c>
      <c r="H6" s="8">
        <v>2556</v>
      </c>
      <c r="I6" s="8">
        <v>1</v>
      </c>
    </row>
    <row r="7" spans="1:9" s="7" customFormat="1">
      <c r="A7" s="3">
        <v>3</v>
      </c>
      <c r="B7" s="3">
        <f t="shared" si="0"/>
        <v>480</v>
      </c>
      <c r="C7" s="25">
        <v>160</v>
      </c>
      <c r="D7" s="25">
        <f t="shared" si="1"/>
        <v>160</v>
      </c>
      <c r="E7" s="19">
        <v>25000</v>
      </c>
      <c r="F7" s="23">
        <f t="shared" si="2"/>
        <v>27000</v>
      </c>
      <c r="G7" s="11">
        <v>8</v>
      </c>
      <c r="H7" s="8">
        <v>3330</v>
      </c>
      <c r="I7" s="8">
        <v>1</v>
      </c>
    </row>
    <row r="8" spans="1:9" s="7" customFormat="1">
      <c r="A8" s="3">
        <v>4</v>
      </c>
      <c r="B8" s="3">
        <f t="shared" si="0"/>
        <v>600</v>
      </c>
      <c r="C8" s="25">
        <v>200</v>
      </c>
      <c r="D8" s="25">
        <f t="shared" si="1"/>
        <v>220</v>
      </c>
      <c r="E8" s="19">
        <v>32000</v>
      </c>
      <c r="F8" s="23">
        <f t="shared" si="2"/>
        <v>37000</v>
      </c>
      <c r="G8" s="11">
        <v>8</v>
      </c>
      <c r="H8" s="8">
        <v>4632.7500000000009</v>
      </c>
      <c r="I8" s="8">
        <v>1</v>
      </c>
    </row>
    <row r="9" spans="1:9" s="7" customFormat="1">
      <c r="A9" s="3">
        <v>5</v>
      </c>
      <c r="B9" s="3">
        <f t="shared" si="0"/>
        <v>720</v>
      </c>
      <c r="C9" s="25">
        <v>240</v>
      </c>
      <c r="D9" s="25">
        <f t="shared" si="1"/>
        <v>240</v>
      </c>
      <c r="E9" s="19">
        <v>40000</v>
      </c>
      <c r="F9" s="23">
        <f t="shared" si="2"/>
        <v>40000</v>
      </c>
      <c r="G9" s="11">
        <v>8</v>
      </c>
      <c r="H9" s="8">
        <v>5024.2500000000009</v>
      </c>
      <c r="I9" s="8">
        <v>1</v>
      </c>
    </row>
    <row r="10" spans="1:9" s="7" customFormat="1">
      <c r="A10" s="3">
        <v>6</v>
      </c>
      <c r="B10" s="3">
        <f t="shared" si="0"/>
        <v>960</v>
      </c>
      <c r="C10" s="25">
        <v>320</v>
      </c>
      <c r="D10" s="25">
        <f t="shared" si="1"/>
        <v>320</v>
      </c>
      <c r="E10" s="19">
        <v>55000</v>
      </c>
      <c r="F10" s="23">
        <f t="shared" si="2"/>
        <v>55000</v>
      </c>
      <c r="G10" s="11">
        <v>8</v>
      </c>
      <c r="H10" s="8">
        <v>6862.6875000000009</v>
      </c>
      <c r="I10" s="8">
        <v>1</v>
      </c>
    </row>
    <row r="11" spans="1:9" s="7" customFormat="1">
      <c r="A11" s="3">
        <v>7</v>
      </c>
      <c r="B11" s="3">
        <f t="shared" si="0"/>
        <v>1620</v>
      </c>
      <c r="C11" s="25">
        <v>540</v>
      </c>
      <c r="D11" s="25">
        <f t="shared" si="1"/>
        <v>510</v>
      </c>
      <c r="E11" s="19">
        <v>80000</v>
      </c>
      <c r="F11" s="23">
        <f t="shared" si="2"/>
        <v>86000</v>
      </c>
      <c r="G11" s="11">
        <v>8</v>
      </c>
      <c r="H11" s="8">
        <v>10760.850000000002</v>
      </c>
      <c r="I11" s="8">
        <v>1</v>
      </c>
    </row>
    <row r="12" spans="1:9" s="7" customFormat="1">
      <c r="A12" s="3">
        <v>8</v>
      </c>
      <c r="B12" s="3">
        <f t="shared" si="0"/>
        <v>1800</v>
      </c>
      <c r="C12" s="25">
        <v>600</v>
      </c>
      <c r="D12" s="25">
        <f t="shared" si="1"/>
        <v>710</v>
      </c>
      <c r="E12" s="19">
        <v>120000</v>
      </c>
      <c r="F12" s="23">
        <f t="shared" si="2"/>
        <v>120000</v>
      </c>
      <c r="G12" s="11">
        <v>8</v>
      </c>
      <c r="H12" s="8">
        <v>14691.681818181822</v>
      </c>
      <c r="I12" s="8">
        <v>1</v>
      </c>
    </row>
    <row r="13" spans="1:9" s="7" customFormat="1">
      <c r="A13" s="3">
        <v>9</v>
      </c>
      <c r="B13" s="3">
        <f t="shared" si="0"/>
        <v>2100</v>
      </c>
      <c r="C13" s="25">
        <v>700</v>
      </c>
      <c r="D13" s="25">
        <f t="shared" si="1"/>
        <v>880</v>
      </c>
      <c r="E13" s="19">
        <v>150000</v>
      </c>
      <c r="F13" s="23">
        <f t="shared" si="2"/>
        <v>150000</v>
      </c>
      <c r="G13" s="11">
        <v>8</v>
      </c>
      <c r="H13" s="8">
        <v>18549.892561983474</v>
      </c>
      <c r="I13" s="8">
        <v>1</v>
      </c>
    </row>
    <row r="14" spans="1:9" s="7" customFormat="1">
      <c r="A14" s="3">
        <v>10</v>
      </c>
      <c r="B14" s="3">
        <f t="shared" si="0"/>
        <v>2400</v>
      </c>
      <c r="C14" s="25">
        <v>800</v>
      </c>
      <c r="D14" s="25">
        <f t="shared" si="1"/>
        <v>750</v>
      </c>
      <c r="E14" s="19">
        <v>200000</v>
      </c>
      <c r="F14" s="23">
        <f t="shared" si="2"/>
        <v>260000</v>
      </c>
      <c r="G14" s="11">
        <v>8</v>
      </c>
      <c r="H14" s="8">
        <v>33098.942148760339</v>
      </c>
      <c r="I14" s="8">
        <v>2</v>
      </c>
    </row>
    <row r="15" spans="1:9" s="7" customFormat="1">
      <c r="A15" s="3">
        <v>11</v>
      </c>
      <c r="B15" s="3">
        <f t="shared" si="0"/>
        <v>2700</v>
      </c>
      <c r="C15" s="25">
        <v>900</v>
      </c>
      <c r="D15" s="25">
        <f t="shared" si="1"/>
        <v>750</v>
      </c>
      <c r="E15" s="19">
        <v>240000</v>
      </c>
      <c r="F15" s="23">
        <f t="shared" si="2"/>
        <v>250000</v>
      </c>
      <c r="G15" s="11">
        <v>8</v>
      </c>
      <c r="H15" s="8">
        <v>31137.961432506891</v>
      </c>
      <c r="I15" s="8">
        <v>2</v>
      </c>
    </row>
    <row r="16" spans="1:9" s="7" customFormat="1">
      <c r="A16" s="3">
        <v>12</v>
      </c>
      <c r="B16" s="3">
        <f t="shared" si="0"/>
        <v>3000</v>
      </c>
      <c r="C16" s="25">
        <v>1000</v>
      </c>
      <c r="D16" s="25">
        <f t="shared" si="1"/>
        <v>700</v>
      </c>
      <c r="E16" s="19">
        <v>280000</v>
      </c>
      <c r="F16" s="23">
        <f t="shared" si="2"/>
        <v>240000</v>
      </c>
      <c r="G16" s="11">
        <v>8</v>
      </c>
      <c r="H16" s="8">
        <v>30262.640955004597</v>
      </c>
      <c r="I16" s="8">
        <v>2</v>
      </c>
    </row>
    <row r="17" spans="1:9" s="7" customFormat="1">
      <c r="A17" s="3">
        <v>13</v>
      </c>
      <c r="B17" s="3">
        <f t="shared" si="0"/>
        <v>3300</v>
      </c>
      <c r="C17" s="25">
        <v>1100</v>
      </c>
      <c r="D17" s="25">
        <f t="shared" si="1"/>
        <v>1100</v>
      </c>
      <c r="E17" s="19">
        <v>360000</v>
      </c>
      <c r="F17" s="23">
        <f t="shared" si="2"/>
        <v>370000</v>
      </c>
      <c r="G17" s="11">
        <v>8</v>
      </c>
      <c r="H17" s="8">
        <v>46067.231758140864</v>
      </c>
      <c r="I17" s="8">
        <v>2</v>
      </c>
    </row>
    <row r="18" spans="1:9" s="7" customFormat="1">
      <c r="A18" s="3">
        <v>14</v>
      </c>
      <c r="B18" s="3">
        <f t="shared" si="0"/>
        <v>3900</v>
      </c>
      <c r="C18" s="25">
        <v>1300</v>
      </c>
      <c r="D18" s="25">
        <f t="shared" si="1"/>
        <v>1250</v>
      </c>
      <c r="E18" s="19">
        <v>420000</v>
      </c>
      <c r="F18" s="23">
        <f t="shared" si="2"/>
        <v>430000</v>
      </c>
      <c r="G18" s="11">
        <v>8</v>
      </c>
      <c r="H18" s="8">
        <v>53382.937961946234</v>
      </c>
      <c r="I18" s="8">
        <v>2</v>
      </c>
    </row>
    <row r="19" spans="1:9" s="7" customFormat="1">
      <c r="A19" s="3">
        <v>15</v>
      </c>
      <c r="B19" s="3">
        <f t="shared" si="0"/>
        <v>4800</v>
      </c>
      <c r="C19" s="25">
        <v>1600</v>
      </c>
      <c r="D19" s="25">
        <f t="shared" si="1"/>
        <v>1600</v>
      </c>
      <c r="E19" s="19">
        <v>540000</v>
      </c>
      <c r="F19" s="23">
        <f t="shared" si="2"/>
        <v>540000</v>
      </c>
      <c r="G19" s="11">
        <v>8</v>
      </c>
      <c r="H19" s="8">
        <v>66918.004733808659</v>
      </c>
      <c r="I19" s="8">
        <v>2</v>
      </c>
    </row>
    <row r="20" spans="1:9" s="7" customFormat="1">
      <c r="A20" s="3">
        <v>16</v>
      </c>
      <c r="B20" s="3">
        <f t="shared" si="0"/>
        <v>6000</v>
      </c>
      <c r="C20" s="25">
        <v>2000</v>
      </c>
      <c r="D20" s="25">
        <f t="shared" si="1"/>
        <v>2600</v>
      </c>
      <c r="E20" s="19">
        <v>640000</v>
      </c>
      <c r="F20" s="23">
        <f t="shared" si="2"/>
        <v>880000</v>
      </c>
      <c r="G20" s="11">
        <v>8</v>
      </c>
      <c r="H20" s="8">
        <v>109435.09736428451</v>
      </c>
      <c r="I20" s="8">
        <v>2</v>
      </c>
    </row>
    <row r="21" spans="1:9" s="7" customFormat="1">
      <c r="A21" s="3">
        <v>17</v>
      </c>
      <c r="B21" s="3">
        <f t="shared" si="0"/>
        <v>7200</v>
      </c>
      <c r="C21" s="25">
        <v>2400</v>
      </c>
      <c r="D21" s="25">
        <f t="shared" si="1"/>
        <v>2250</v>
      </c>
      <c r="E21" s="19">
        <v>720000</v>
      </c>
      <c r="F21" s="23">
        <f t="shared" si="2"/>
        <v>770000</v>
      </c>
      <c r="G21" s="11">
        <v>8</v>
      </c>
      <c r="H21" s="8">
        <v>96329.73157618969</v>
      </c>
      <c r="I21" s="8">
        <v>2</v>
      </c>
    </row>
    <row r="22" spans="1:9" s="7" customFormat="1">
      <c r="A22" s="3">
        <v>18</v>
      </c>
      <c r="B22" s="3">
        <f t="shared" si="0"/>
        <v>9000</v>
      </c>
      <c r="C22" s="25">
        <v>3000</v>
      </c>
      <c r="D22" s="25">
        <f t="shared" si="1"/>
        <v>2100</v>
      </c>
      <c r="E22" s="19">
        <v>800000</v>
      </c>
      <c r="F22" s="23">
        <f t="shared" si="2"/>
        <v>710000</v>
      </c>
      <c r="G22" s="11">
        <v>8</v>
      </c>
      <c r="H22" s="8">
        <v>88789.821050793136</v>
      </c>
      <c r="I22" s="8">
        <v>2</v>
      </c>
    </row>
    <row r="23" spans="1:9" s="7" customFormat="1">
      <c r="A23" s="3">
        <v>19</v>
      </c>
      <c r="B23" s="3">
        <f t="shared" si="0"/>
        <v>10800</v>
      </c>
      <c r="C23" s="25">
        <v>3600</v>
      </c>
      <c r="D23" s="25">
        <f t="shared" si="1"/>
        <v>3550</v>
      </c>
      <c r="E23" s="19">
        <v>1200000</v>
      </c>
      <c r="F23" s="23">
        <f t="shared" si="2"/>
        <v>1200000</v>
      </c>
      <c r="G23" s="11">
        <v>8</v>
      </c>
      <c r="H23" s="8">
        <v>152708.97911211828</v>
      </c>
      <c r="I23" s="8">
        <v>2</v>
      </c>
    </row>
    <row r="24" spans="1:9" s="7" customFormat="1">
      <c r="A24" s="3">
        <v>20</v>
      </c>
      <c r="B24" s="3">
        <f t="shared" si="0"/>
        <v>12000</v>
      </c>
      <c r="C24" s="25">
        <v>4000</v>
      </c>
      <c r="D24" s="25">
        <f t="shared" si="1"/>
        <v>4100</v>
      </c>
      <c r="E24" s="19">
        <v>1400000</v>
      </c>
      <c r="F24" s="23">
        <f t="shared" si="2"/>
        <v>1400000</v>
      </c>
      <c r="G24" s="11">
        <v>8</v>
      </c>
      <c r="H24" s="8">
        <v>170048.16282919847</v>
      </c>
      <c r="I24" s="8">
        <v>2</v>
      </c>
    </row>
    <row r="25" spans="1:9" s="7" customFormat="1">
      <c r="A25" s="3">
        <v>21</v>
      </c>
      <c r="B25" s="3">
        <f t="shared" si="0"/>
        <v>15000</v>
      </c>
      <c r="C25" s="25">
        <v>5000</v>
      </c>
      <c r="D25" s="25">
        <f t="shared" si="1"/>
        <v>4700</v>
      </c>
      <c r="E25" s="19">
        <v>1600000</v>
      </c>
      <c r="F25" s="23">
        <f t="shared" si="2"/>
        <v>1600000</v>
      </c>
      <c r="G25" s="11">
        <v>8</v>
      </c>
      <c r="H25" s="8">
        <v>206185.1880958832</v>
      </c>
      <c r="I25" s="8">
        <v>2</v>
      </c>
    </row>
    <row r="26" spans="1:9" s="7" customFormat="1">
      <c r="A26" s="3">
        <v>22</v>
      </c>
      <c r="B26" s="3">
        <f t="shared" si="0"/>
        <v>19500</v>
      </c>
      <c r="C26" s="25">
        <v>6500</v>
      </c>
      <c r="D26" s="25">
        <f t="shared" si="1"/>
        <v>8000</v>
      </c>
      <c r="E26" s="19">
        <v>2400000</v>
      </c>
      <c r="F26" s="23">
        <f t="shared" si="2"/>
        <v>2700000</v>
      </c>
      <c r="G26" s="11">
        <v>8</v>
      </c>
      <c r="H26" s="8">
        <v>332426.94139497774</v>
      </c>
      <c r="I26" s="8">
        <v>2</v>
      </c>
    </row>
    <row r="27" spans="1:9" s="7" customFormat="1">
      <c r="A27" s="3">
        <v>23</v>
      </c>
      <c r="B27" s="3">
        <f t="shared" si="0"/>
        <v>24000</v>
      </c>
      <c r="C27" s="25">
        <v>8000</v>
      </c>
      <c r="D27" s="25">
        <f t="shared" si="1"/>
        <v>8500</v>
      </c>
      <c r="E27" s="19">
        <v>3000000</v>
      </c>
      <c r="F27" s="23">
        <f t="shared" si="2"/>
        <v>2900000</v>
      </c>
      <c r="G27" s="11">
        <v>8</v>
      </c>
      <c r="H27" s="8">
        <v>362593.41641035641</v>
      </c>
      <c r="I27" s="8">
        <v>2</v>
      </c>
    </row>
    <row r="28" spans="1:9" s="7" customFormat="1">
      <c r="A28" s="3">
        <v>24</v>
      </c>
      <c r="B28" s="3">
        <f t="shared" si="0"/>
        <v>30000</v>
      </c>
      <c r="C28" s="25">
        <v>10000</v>
      </c>
      <c r="D28" s="25">
        <f t="shared" si="1"/>
        <v>9500</v>
      </c>
      <c r="E28" s="19">
        <v>3600000</v>
      </c>
      <c r="F28" s="23">
        <f t="shared" si="2"/>
        <v>3200000</v>
      </c>
      <c r="G28" s="11">
        <v>8</v>
      </c>
      <c r="H28" s="8">
        <v>396375.06324795855</v>
      </c>
      <c r="I28" s="8">
        <v>2</v>
      </c>
    </row>
    <row r="29" spans="1:9" s="7" customFormat="1">
      <c r="A29" s="3">
        <v>25</v>
      </c>
      <c r="B29" s="3">
        <f t="shared" si="0"/>
        <v>42000</v>
      </c>
      <c r="C29" s="25">
        <v>14000</v>
      </c>
      <c r="D29" s="25">
        <f t="shared" si="1"/>
        <v>15000</v>
      </c>
      <c r="E29" s="19">
        <v>4800000</v>
      </c>
      <c r="F29" s="23">
        <f t="shared" si="2"/>
        <v>5100000</v>
      </c>
      <c r="G29" s="11">
        <v>8</v>
      </c>
      <c r="H29" s="8">
        <v>632613.86807043524</v>
      </c>
      <c r="I29" s="8">
        <v>2</v>
      </c>
    </row>
    <row r="30" spans="1:9" s="7" customFormat="1">
      <c r="A30" s="3">
        <v>26</v>
      </c>
      <c r="B30" s="3">
        <f t="shared" si="0"/>
        <v>48000</v>
      </c>
      <c r="C30" s="25">
        <v>16000</v>
      </c>
      <c r="D30" s="25">
        <f t="shared" si="1"/>
        <v>16000</v>
      </c>
      <c r="E30" s="19">
        <v>5400000</v>
      </c>
      <c r="F30" s="23">
        <f t="shared" si="2"/>
        <v>5400000</v>
      </c>
      <c r="G30" s="11">
        <v>8</v>
      </c>
      <c r="H30" s="8">
        <v>679839.48852926481</v>
      </c>
      <c r="I30" s="8">
        <v>2</v>
      </c>
    </row>
    <row r="31" spans="1:9" s="7" customFormat="1">
      <c r="A31" s="3">
        <v>27</v>
      </c>
      <c r="B31" s="3">
        <f t="shared" si="0"/>
        <v>54000</v>
      </c>
      <c r="C31" s="25">
        <v>18000</v>
      </c>
      <c r="D31" s="25">
        <f t="shared" si="1"/>
        <v>17000</v>
      </c>
      <c r="E31" s="19">
        <v>6000000</v>
      </c>
      <c r="F31" s="23">
        <f t="shared" si="2"/>
        <v>5800000</v>
      </c>
      <c r="G31" s="11">
        <v>8</v>
      </c>
      <c r="H31" s="8">
        <v>729721.0466627545</v>
      </c>
      <c r="I31" s="8">
        <v>2</v>
      </c>
    </row>
    <row r="32" spans="1:9" s="7" customFormat="1">
      <c r="A32" s="3">
        <v>28</v>
      </c>
      <c r="B32" s="3">
        <f t="shared" si="0"/>
        <v>72000</v>
      </c>
      <c r="C32" s="25">
        <v>24000</v>
      </c>
      <c r="D32" s="25">
        <f t="shared" si="1"/>
        <v>25500</v>
      </c>
      <c r="E32" s="19">
        <v>8000000</v>
      </c>
      <c r="F32" s="23">
        <f t="shared" si="2"/>
        <v>8600000</v>
      </c>
      <c r="G32" s="11">
        <v>8</v>
      </c>
      <c r="H32" s="8">
        <v>1071626.4113575439</v>
      </c>
      <c r="I32" s="8">
        <v>2</v>
      </c>
    </row>
    <row r="33" spans="1:9" s="7" customFormat="1">
      <c r="A33" s="3">
        <v>29</v>
      </c>
      <c r="B33" s="3">
        <f t="shared" si="0"/>
        <v>81000</v>
      </c>
      <c r="C33" s="25">
        <v>27000</v>
      </c>
      <c r="D33" s="25">
        <f t="shared" si="1"/>
        <v>27000</v>
      </c>
      <c r="E33" s="19">
        <v>9000000</v>
      </c>
      <c r="F33" s="23">
        <f t="shared" si="2"/>
        <v>9100000</v>
      </c>
      <c r="G33" s="11">
        <v>8</v>
      </c>
      <c r="H33" s="8">
        <v>1138267.1469490719</v>
      </c>
      <c r="I33" s="8">
        <v>2</v>
      </c>
    </row>
    <row r="34" spans="1:9" s="4" customFormat="1" ht="17.25" thickBot="1">
      <c r="A34" s="6">
        <v>30</v>
      </c>
      <c r="B34" s="6">
        <f t="shared" si="0"/>
        <v>90000</v>
      </c>
      <c r="C34" s="27">
        <v>30000</v>
      </c>
      <c r="D34" s="27">
        <f t="shared" si="1"/>
        <v>28500</v>
      </c>
      <c r="E34" s="20">
        <v>10000000</v>
      </c>
      <c r="F34" s="24">
        <f t="shared" si="2"/>
        <v>9700000</v>
      </c>
      <c r="G34" s="13">
        <v>8</v>
      </c>
      <c r="H34" s="5">
        <v>1217727.5950481098</v>
      </c>
      <c r="I34" s="5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F20" sqref="F20"/>
    </sheetView>
  </sheetViews>
  <sheetFormatPr defaultColWidth="9.140625" defaultRowHeight="16.5"/>
  <cols>
    <col min="1" max="1" width="10.28515625" style="3" bestFit="1" customWidth="1"/>
    <col min="2" max="2" width="25.42578125" style="17" bestFit="1" customWidth="1"/>
    <col min="3" max="3" width="20.140625" style="17" bestFit="1" customWidth="1"/>
    <col min="4" max="4" width="22.85546875" style="17" bestFit="1" customWidth="1"/>
    <col min="5" max="16384" width="9.140625" style="1"/>
  </cols>
  <sheetData>
    <row r="1" spans="1:4">
      <c r="A1" s="3" t="s">
        <v>9</v>
      </c>
      <c r="B1" s="17" t="s">
        <v>8</v>
      </c>
      <c r="C1" s="17" t="s">
        <v>8</v>
      </c>
      <c r="D1" s="17" t="s">
        <v>8</v>
      </c>
    </row>
    <row r="2" spans="1:4">
      <c r="A2" s="3" t="s">
        <v>7</v>
      </c>
      <c r="B2" s="17" t="s">
        <v>7</v>
      </c>
      <c r="C2" s="17" t="s">
        <v>7</v>
      </c>
      <c r="D2" s="17" t="s">
        <v>7</v>
      </c>
    </row>
    <row r="3" spans="1:4">
      <c r="A3" s="3" t="s">
        <v>6</v>
      </c>
      <c r="B3" s="17" t="s">
        <v>32</v>
      </c>
      <c r="C3" s="17" t="s">
        <v>33</v>
      </c>
      <c r="D3" s="17" t="s">
        <v>35</v>
      </c>
    </row>
    <row r="4" spans="1:4" s="4" customFormat="1" ht="17.25" thickBot="1">
      <c r="A4" s="9" t="s">
        <v>3</v>
      </c>
      <c r="B4" s="20" t="s">
        <v>36</v>
      </c>
      <c r="C4" s="20" t="s">
        <v>37</v>
      </c>
      <c r="D4" s="20" t="s">
        <v>39</v>
      </c>
    </row>
    <row r="5" spans="1:4" s="7" customFormat="1">
      <c r="A5" s="3">
        <v>1</v>
      </c>
      <c r="B5" s="19">
        <v>100</v>
      </c>
      <c r="C5" s="19">
        <v>50</v>
      </c>
      <c r="D5" s="19">
        <v>6</v>
      </c>
    </row>
    <row r="6" spans="1:4" s="7" customFormat="1">
      <c r="A6" s="3">
        <v>2</v>
      </c>
      <c r="B6" s="19">
        <v>100</v>
      </c>
      <c r="C6" s="19">
        <v>100</v>
      </c>
      <c r="D6" s="19">
        <v>6</v>
      </c>
    </row>
    <row r="7" spans="1:4" s="7" customFormat="1">
      <c r="A7" s="3">
        <v>3</v>
      </c>
      <c r="B7" s="19">
        <v>100</v>
      </c>
      <c r="C7" s="19">
        <v>150</v>
      </c>
      <c r="D7" s="19">
        <v>6</v>
      </c>
    </row>
    <row r="8" spans="1:4" s="7" customFormat="1">
      <c r="A8" s="3">
        <v>4</v>
      </c>
      <c r="B8" s="19">
        <v>100</v>
      </c>
      <c r="C8" s="19">
        <v>200</v>
      </c>
      <c r="D8" s="19">
        <v>6</v>
      </c>
    </row>
    <row r="9" spans="1:4" s="7" customFormat="1">
      <c r="A9" s="3">
        <v>5</v>
      </c>
      <c r="B9" s="19">
        <v>100</v>
      </c>
      <c r="C9" s="19">
        <v>250</v>
      </c>
      <c r="D9" s="19">
        <v>6</v>
      </c>
    </row>
    <row r="10" spans="1:4">
      <c r="A10" s="3">
        <v>6</v>
      </c>
      <c r="B10" s="19">
        <v>100</v>
      </c>
      <c r="C10" s="17">
        <v>300</v>
      </c>
      <c r="D10" s="17">
        <v>6</v>
      </c>
    </row>
    <row r="11" spans="1:4">
      <c r="A11" s="3">
        <v>7</v>
      </c>
      <c r="B11" s="19">
        <v>100</v>
      </c>
      <c r="C11" s="17">
        <v>350</v>
      </c>
      <c r="D11" s="17">
        <v>6</v>
      </c>
    </row>
    <row r="12" spans="1:4">
      <c r="A12" s="3">
        <v>8</v>
      </c>
      <c r="B12" s="19">
        <v>100</v>
      </c>
      <c r="C12" s="17">
        <v>400</v>
      </c>
      <c r="D12" s="17">
        <v>6</v>
      </c>
    </row>
    <row r="13" spans="1:4">
      <c r="A13" s="3">
        <v>9</v>
      </c>
      <c r="B13" s="19">
        <v>100</v>
      </c>
      <c r="C13" s="17">
        <v>450</v>
      </c>
      <c r="D13" s="17">
        <v>6</v>
      </c>
    </row>
    <row r="14" spans="1:4">
      <c r="A14" s="3">
        <v>10</v>
      </c>
      <c r="B14" s="19">
        <v>100</v>
      </c>
      <c r="C14" s="17">
        <v>500</v>
      </c>
      <c r="D14" s="17">
        <v>6</v>
      </c>
    </row>
    <row r="15" spans="1:4">
      <c r="A15" s="3">
        <v>11</v>
      </c>
      <c r="B15" s="19">
        <v>100</v>
      </c>
      <c r="C15" s="17">
        <v>550</v>
      </c>
      <c r="D15" s="17">
        <v>6</v>
      </c>
    </row>
    <row r="16" spans="1:4">
      <c r="A16" s="3">
        <v>12</v>
      </c>
      <c r="B16" s="19">
        <v>100</v>
      </c>
      <c r="C16" s="17">
        <v>600</v>
      </c>
      <c r="D16" s="17">
        <v>6</v>
      </c>
    </row>
    <row r="17" spans="1:4">
      <c r="A17" s="3">
        <v>13</v>
      </c>
      <c r="B17" s="19">
        <v>100</v>
      </c>
      <c r="C17" s="17">
        <v>650</v>
      </c>
      <c r="D17" s="17">
        <v>6</v>
      </c>
    </row>
    <row r="18" spans="1:4">
      <c r="A18" s="3">
        <v>14</v>
      </c>
      <c r="B18" s="19">
        <v>100</v>
      </c>
      <c r="C18" s="17">
        <v>700</v>
      </c>
      <c r="D18" s="17">
        <v>6</v>
      </c>
    </row>
    <row r="19" spans="1:4">
      <c r="A19" s="3">
        <v>15</v>
      </c>
      <c r="B19" s="19">
        <v>100</v>
      </c>
      <c r="C19" s="17">
        <v>750</v>
      </c>
      <c r="D19" s="17">
        <v>6</v>
      </c>
    </row>
    <row r="20" spans="1:4">
      <c r="A20" s="3">
        <v>16</v>
      </c>
      <c r="B20" s="19">
        <v>100</v>
      </c>
      <c r="C20" s="17">
        <v>800</v>
      </c>
      <c r="D20" s="17">
        <v>6</v>
      </c>
    </row>
    <row r="21" spans="1:4">
      <c r="A21" s="3">
        <v>17</v>
      </c>
      <c r="B21" s="19">
        <v>100</v>
      </c>
      <c r="C21" s="17">
        <v>850</v>
      </c>
      <c r="D21" s="17">
        <v>6</v>
      </c>
    </row>
    <row r="22" spans="1:4">
      <c r="A22" s="3">
        <v>18</v>
      </c>
      <c r="B22" s="19">
        <v>100</v>
      </c>
      <c r="C22" s="17">
        <v>900</v>
      </c>
      <c r="D22" s="17">
        <v>6</v>
      </c>
    </row>
    <row r="23" spans="1:4">
      <c r="A23" s="3">
        <v>19</v>
      </c>
      <c r="B23" s="19">
        <v>100</v>
      </c>
      <c r="C23" s="17">
        <v>950</v>
      </c>
      <c r="D23" s="17">
        <v>6</v>
      </c>
    </row>
    <row r="24" spans="1:4">
      <c r="A24" s="3">
        <v>20</v>
      </c>
      <c r="B24" s="19">
        <v>100</v>
      </c>
      <c r="C24" s="17">
        <v>1000</v>
      </c>
      <c r="D24" s="17">
        <v>6</v>
      </c>
    </row>
    <row r="25" spans="1:4">
      <c r="A25" s="3">
        <v>21</v>
      </c>
      <c r="B25" s="19">
        <v>100</v>
      </c>
      <c r="C25" s="17">
        <v>1050</v>
      </c>
      <c r="D25" s="17">
        <v>6</v>
      </c>
    </row>
    <row r="26" spans="1:4">
      <c r="A26" s="3">
        <v>22</v>
      </c>
      <c r="B26" s="19">
        <v>100</v>
      </c>
      <c r="C26" s="17">
        <v>1100</v>
      </c>
      <c r="D26" s="17">
        <v>6</v>
      </c>
    </row>
    <row r="27" spans="1:4">
      <c r="A27" s="3">
        <v>23</v>
      </c>
      <c r="B27" s="19">
        <v>100</v>
      </c>
      <c r="C27" s="17">
        <v>1150</v>
      </c>
      <c r="D27" s="17">
        <v>6</v>
      </c>
    </row>
    <row r="28" spans="1:4">
      <c r="A28" s="3">
        <v>24</v>
      </c>
      <c r="B28" s="19">
        <v>100</v>
      </c>
      <c r="C28" s="17">
        <v>1200</v>
      </c>
      <c r="D28" s="17">
        <v>6</v>
      </c>
    </row>
    <row r="29" spans="1:4">
      <c r="A29" s="3">
        <v>25</v>
      </c>
      <c r="B29" s="19">
        <v>100</v>
      </c>
      <c r="C29" s="17">
        <v>1250</v>
      </c>
      <c r="D29" s="17">
        <v>6</v>
      </c>
    </row>
    <row r="30" spans="1:4">
      <c r="A30" s="3">
        <v>26</v>
      </c>
      <c r="B30" s="19">
        <v>100</v>
      </c>
      <c r="C30" s="17">
        <v>1300</v>
      </c>
      <c r="D30" s="17">
        <v>6</v>
      </c>
    </row>
    <row r="31" spans="1:4">
      <c r="A31" s="3">
        <v>27</v>
      </c>
      <c r="B31" s="19">
        <v>100</v>
      </c>
      <c r="C31" s="17">
        <v>1350</v>
      </c>
      <c r="D31" s="17">
        <v>6</v>
      </c>
    </row>
    <row r="32" spans="1:4">
      <c r="A32" s="3">
        <v>28</v>
      </c>
      <c r="B32" s="19">
        <v>100</v>
      </c>
      <c r="C32" s="17">
        <v>1400</v>
      </c>
      <c r="D32" s="17">
        <v>6</v>
      </c>
    </row>
    <row r="33" spans="1:4">
      <c r="A33" s="3">
        <v>29</v>
      </c>
      <c r="B33" s="19">
        <v>100</v>
      </c>
      <c r="C33" s="17">
        <v>1450</v>
      </c>
      <c r="D33" s="17">
        <v>6</v>
      </c>
    </row>
    <row r="34" spans="1:4" s="4" customFormat="1" ht="17.25" thickBot="1">
      <c r="A34" s="6">
        <v>30</v>
      </c>
      <c r="B34" s="20">
        <v>100</v>
      </c>
      <c r="C34" s="20">
        <v>1500</v>
      </c>
      <c r="D34" s="20">
        <v>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BLDG_SS</vt:lpstr>
      <vt:lpstr>BLDG_SPACEPORT</vt:lpstr>
      <vt:lpstr>BLDG_FUNC_HULL_FACT</vt:lpstr>
      <vt:lpstr>BLDG_CPNT_FACT</vt:lpstr>
      <vt:lpstr>BLDG_ITEM_STG</vt:lpstr>
      <vt:lpstr>BLDG_SURF_COL</vt:lpstr>
      <vt:lpstr>BLDG_REFNY</vt:lpstr>
      <vt:lpstr>BLDG_POWER_PLANT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dyy</cp:lastModifiedBy>
  <dcterms:created xsi:type="dcterms:W3CDTF">2018-06-19T09:20:58Z</dcterms:created>
  <dcterms:modified xsi:type="dcterms:W3CDTF">2018-07-13T00:40:51Z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