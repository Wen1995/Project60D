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56" i="30" l="1"/>
  <c r="X55" i="30"/>
  <c r="X54" i="30"/>
  <c r="X53" i="30"/>
  <c r="X52" i="30"/>
  <c r="X51" i="30"/>
  <c r="X50" i="30"/>
  <c r="X49" i="30"/>
  <c r="X48" i="30"/>
  <c r="X47" i="30"/>
  <c r="X46" i="30"/>
  <c r="X45" i="30"/>
  <c r="X44" i="30"/>
  <c r="X43" i="30"/>
  <c r="X42" i="30"/>
  <c r="X41" i="30"/>
  <c r="X40" i="30"/>
  <c r="X39" i="30"/>
  <c r="X38" i="30"/>
  <c r="X37" i="30"/>
  <c r="X36" i="30"/>
  <c r="X35" i="30"/>
  <c r="X34" i="30"/>
  <c r="X33" i="30"/>
  <c r="X32" i="30"/>
  <c r="X31" i="30"/>
  <c r="X30" i="30"/>
  <c r="X29" i="30"/>
  <c r="X28" i="30"/>
  <c r="X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12" i="30"/>
  <c r="X11" i="30"/>
  <c r="X10" i="30"/>
  <c r="X9" i="30"/>
  <c r="X8" i="30"/>
  <c r="X7" i="30"/>
  <c r="X6" i="30"/>
  <c r="X5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Q5" i="9" l="1"/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F549" i="9"/>
  <c r="AF550" i="9"/>
  <c r="AF551" i="9"/>
  <c r="AF552" i="9"/>
  <c r="AF553" i="9"/>
  <c r="AF554" i="9"/>
  <c r="AF555" i="9"/>
  <c r="AF556" i="9"/>
  <c r="AF557" i="9"/>
  <c r="AF558" i="9"/>
  <c r="AF559" i="9"/>
  <c r="AF560" i="9"/>
  <c r="AF561" i="9"/>
  <c r="AF562" i="9"/>
  <c r="AF563" i="9"/>
  <c r="AF564" i="9"/>
  <c r="AF5" i="9"/>
  <c r="AZ465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BQ304" i="9" l="1"/>
  <c r="AS304" i="9" s="1"/>
  <c r="BO304" i="9"/>
  <c r="BJ304" i="9"/>
  <c r="BE304" i="9"/>
  <c r="AZ304" i="9"/>
  <c r="AU304" i="9"/>
  <c r="AQ304" i="9"/>
  <c r="AO304" i="9"/>
  <c r="AM304" i="9"/>
  <c r="AA304" i="9"/>
  <c r="X304" i="9"/>
  <c r="F304" i="9"/>
  <c r="C304" i="9"/>
  <c r="A304" i="9" s="1"/>
  <c r="BQ303" i="9"/>
  <c r="AS303" i="9" s="1"/>
  <c r="BO303" i="9"/>
  <c r="BJ303" i="9"/>
  <c r="BE303" i="9"/>
  <c r="AZ303" i="9"/>
  <c r="AU303" i="9"/>
  <c r="AQ303" i="9"/>
  <c r="AO303" i="9"/>
  <c r="AM303" i="9"/>
  <c r="AA303" i="9"/>
  <c r="X303" i="9"/>
  <c r="F303" i="9"/>
  <c r="C303" i="9"/>
  <c r="A303" i="9"/>
  <c r="BQ302" i="9"/>
  <c r="AS302" i="9" s="1"/>
  <c r="BO302" i="9"/>
  <c r="BJ302" i="9"/>
  <c r="BE302" i="9"/>
  <c r="AZ302" i="9"/>
  <c r="AU302" i="9"/>
  <c r="AQ302" i="9"/>
  <c r="AO302" i="9"/>
  <c r="AM302" i="9"/>
  <c r="AA302" i="9"/>
  <c r="X302" i="9"/>
  <c r="F302" i="9"/>
  <c r="C302" i="9"/>
  <c r="A302" i="9"/>
  <c r="BQ301" i="9"/>
  <c r="BO301" i="9"/>
  <c r="BJ301" i="9"/>
  <c r="BE301" i="9"/>
  <c r="AZ301" i="9"/>
  <c r="AU301" i="9"/>
  <c r="AS301" i="9"/>
  <c r="AQ301" i="9"/>
  <c r="AO301" i="9"/>
  <c r="AM301" i="9"/>
  <c r="AA301" i="9"/>
  <c r="X301" i="9"/>
  <c r="F301" i="9"/>
  <c r="C301" i="9"/>
  <c r="A301" i="9"/>
  <c r="BQ300" i="9"/>
  <c r="AS300" i="9" s="1"/>
  <c r="BO300" i="9"/>
  <c r="BJ300" i="9"/>
  <c r="BE300" i="9"/>
  <c r="AZ300" i="9"/>
  <c r="AU300" i="9"/>
  <c r="AQ300" i="9"/>
  <c r="AO300" i="9"/>
  <c r="AM300" i="9"/>
  <c r="AA300" i="9"/>
  <c r="X300" i="9"/>
  <c r="F300" i="9"/>
  <c r="C300" i="9"/>
  <c r="A300" i="9"/>
  <c r="BQ299" i="9"/>
  <c r="AS299" i="9" s="1"/>
  <c r="BO299" i="9"/>
  <c r="BJ299" i="9"/>
  <c r="BE299" i="9"/>
  <c r="AZ299" i="9"/>
  <c r="AU299" i="9"/>
  <c r="AQ299" i="9"/>
  <c r="AO299" i="9"/>
  <c r="AM299" i="9"/>
  <c r="AA299" i="9"/>
  <c r="X299" i="9"/>
  <c r="F299" i="9"/>
  <c r="C299" i="9"/>
  <c r="A299" i="9" s="1"/>
  <c r="BQ298" i="9"/>
  <c r="BO298" i="9"/>
  <c r="BJ298" i="9"/>
  <c r="BE298" i="9"/>
  <c r="AZ298" i="9"/>
  <c r="AU298" i="9"/>
  <c r="AS298" i="9"/>
  <c r="AQ298" i="9"/>
  <c r="AO298" i="9"/>
  <c r="AM298" i="9"/>
  <c r="AA298" i="9"/>
  <c r="X298" i="9"/>
  <c r="F298" i="9"/>
  <c r="C298" i="9"/>
  <c r="A298" i="9"/>
  <c r="BQ297" i="9"/>
  <c r="AS297" i="9" s="1"/>
  <c r="BO297" i="9"/>
  <c r="BJ297" i="9"/>
  <c r="BE297" i="9"/>
  <c r="AZ297" i="9"/>
  <c r="AU297" i="9"/>
  <c r="AQ297" i="9"/>
  <c r="AO297" i="9"/>
  <c r="AM297" i="9"/>
  <c r="AA297" i="9"/>
  <c r="X297" i="9"/>
  <c r="F297" i="9"/>
  <c r="C297" i="9"/>
  <c r="A297" i="9"/>
  <c r="BQ296" i="9"/>
  <c r="AS296" i="9" s="1"/>
  <c r="BO296" i="9"/>
  <c r="BJ296" i="9"/>
  <c r="BE296" i="9"/>
  <c r="AZ296" i="9"/>
  <c r="AU296" i="9"/>
  <c r="AQ296" i="9"/>
  <c r="AO296" i="9"/>
  <c r="AM296" i="9"/>
  <c r="AA296" i="9"/>
  <c r="X296" i="9"/>
  <c r="F296" i="9"/>
  <c r="C296" i="9"/>
  <c r="A296" i="9" s="1"/>
  <c r="BQ295" i="9"/>
  <c r="AS295" i="9" s="1"/>
  <c r="BO295" i="9"/>
  <c r="BJ295" i="9"/>
  <c r="BE295" i="9"/>
  <c r="AZ295" i="9"/>
  <c r="AU295" i="9"/>
  <c r="AQ295" i="9"/>
  <c r="AO295" i="9"/>
  <c r="AM295" i="9"/>
  <c r="AA295" i="9"/>
  <c r="X295" i="9"/>
  <c r="F295" i="9"/>
  <c r="C295" i="9"/>
  <c r="A295" i="9"/>
  <c r="BQ294" i="9"/>
  <c r="AS294" i="9" s="1"/>
  <c r="BO294" i="9"/>
  <c r="BJ294" i="9"/>
  <c r="BE294" i="9"/>
  <c r="AZ294" i="9"/>
  <c r="AU294" i="9"/>
  <c r="AQ294" i="9"/>
  <c r="AO294" i="9"/>
  <c r="AM294" i="9"/>
  <c r="AA294" i="9"/>
  <c r="X294" i="9"/>
  <c r="F294" i="9"/>
  <c r="C294" i="9"/>
  <c r="A294" i="9"/>
  <c r="BQ293" i="9"/>
  <c r="BO293" i="9"/>
  <c r="BJ293" i="9"/>
  <c r="BE293" i="9"/>
  <c r="AZ293" i="9"/>
  <c r="AU293" i="9"/>
  <c r="AS293" i="9"/>
  <c r="AQ293" i="9"/>
  <c r="AO293" i="9"/>
  <c r="AM293" i="9"/>
  <c r="AA293" i="9"/>
  <c r="X293" i="9"/>
  <c r="F293" i="9"/>
  <c r="C293" i="9"/>
  <c r="A293" i="9"/>
  <c r="BQ292" i="9"/>
  <c r="AS292" i="9" s="1"/>
  <c r="BO292" i="9"/>
  <c r="BJ292" i="9"/>
  <c r="BE292" i="9"/>
  <c r="AZ292" i="9"/>
  <c r="AU292" i="9"/>
  <c r="AQ292" i="9"/>
  <c r="AO292" i="9"/>
  <c r="AM292" i="9"/>
  <c r="AA292" i="9"/>
  <c r="X292" i="9"/>
  <c r="F292" i="9"/>
  <c r="C292" i="9"/>
  <c r="A292" i="9"/>
  <c r="BQ291" i="9"/>
  <c r="AS291" i="9" s="1"/>
  <c r="BO291" i="9"/>
  <c r="BJ291" i="9"/>
  <c r="BE291" i="9"/>
  <c r="AZ291" i="9"/>
  <c r="AU291" i="9"/>
  <c r="AQ291" i="9"/>
  <c r="AO291" i="9"/>
  <c r="AM291" i="9"/>
  <c r="AA291" i="9"/>
  <c r="X291" i="9"/>
  <c r="F291" i="9"/>
  <c r="C291" i="9"/>
  <c r="A291" i="9" s="1"/>
  <c r="BQ290" i="9"/>
  <c r="BO290" i="9"/>
  <c r="BJ290" i="9"/>
  <c r="BE290" i="9"/>
  <c r="AZ290" i="9"/>
  <c r="AU290" i="9"/>
  <c r="AS290" i="9"/>
  <c r="AQ290" i="9"/>
  <c r="AO290" i="9"/>
  <c r="AM290" i="9"/>
  <c r="AA290" i="9"/>
  <c r="X290" i="9"/>
  <c r="F290" i="9"/>
  <c r="C290" i="9"/>
  <c r="A290" i="9"/>
  <c r="BQ289" i="9"/>
  <c r="AS289" i="9" s="1"/>
  <c r="BO289" i="9"/>
  <c r="BJ289" i="9"/>
  <c r="BE289" i="9"/>
  <c r="AZ289" i="9"/>
  <c r="AU289" i="9"/>
  <c r="AQ289" i="9"/>
  <c r="AO289" i="9"/>
  <c r="AM289" i="9"/>
  <c r="AA289" i="9"/>
  <c r="X289" i="9"/>
  <c r="F289" i="9"/>
  <c r="C289" i="9"/>
  <c r="A289" i="9"/>
  <c r="BQ288" i="9"/>
  <c r="AS288" i="9" s="1"/>
  <c r="BO288" i="9"/>
  <c r="BJ288" i="9"/>
  <c r="BE288" i="9"/>
  <c r="AZ288" i="9"/>
  <c r="AU288" i="9"/>
  <c r="AQ288" i="9"/>
  <c r="AO288" i="9"/>
  <c r="AM288" i="9"/>
  <c r="AA288" i="9"/>
  <c r="X288" i="9"/>
  <c r="F288" i="9"/>
  <c r="C288" i="9"/>
  <c r="A288" i="9" s="1"/>
  <c r="BQ287" i="9"/>
  <c r="AS287" i="9" s="1"/>
  <c r="BO287" i="9"/>
  <c r="BJ287" i="9"/>
  <c r="BE287" i="9"/>
  <c r="AZ287" i="9"/>
  <c r="AU287" i="9"/>
  <c r="AQ287" i="9"/>
  <c r="AO287" i="9"/>
  <c r="AM287" i="9"/>
  <c r="AA287" i="9"/>
  <c r="X287" i="9"/>
  <c r="F287" i="9"/>
  <c r="C287" i="9"/>
  <c r="A287" i="9"/>
  <c r="BQ286" i="9"/>
  <c r="AS286" i="9" s="1"/>
  <c r="BO286" i="9"/>
  <c r="BJ286" i="9"/>
  <c r="BE286" i="9"/>
  <c r="AZ286" i="9"/>
  <c r="AU286" i="9"/>
  <c r="AQ286" i="9"/>
  <c r="AO286" i="9"/>
  <c r="AM286" i="9"/>
  <c r="AA286" i="9"/>
  <c r="X286" i="9"/>
  <c r="F286" i="9"/>
  <c r="C286" i="9"/>
  <c r="A286" i="9"/>
  <c r="BQ285" i="9"/>
  <c r="BO285" i="9"/>
  <c r="BJ285" i="9"/>
  <c r="BE285" i="9"/>
  <c r="AZ285" i="9"/>
  <c r="AU285" i="9"/>
  <c r="AS285" i="9"/>
  <c r="AQ285" i="9"/>
  <c r="AO285" i="9"/>
  <c r="AM285" i="9"/>
  <c r="AA285" i="9"/>
  <c r="X285" i="9"/>
  <c r="F285" i="9"/>
  <c r="C285" i="9"/>
  <c r="A285" i="9"/>
  <c r="AJ304" i="9" l="1"/>
  <c r="AI304" i="9" s="1"/>
  <c r="AJ289" i="9"/>
  <c r="AI289" i="9" s="1"/>
  <c r="AJ290" i="9"/>
  <c r="AI290" i="9" s="1"/>
  <c r="AJ297" i="9"/>
  <c r="AI297" i="9" s="1"/>
  <c r="AJ298" i="9"/>
  <c r="AI298" i="9" s="1"/>
  <c r="AJ286" i="9"/>
  <c r="AI286" i="9" s="1"/>
  <c r="AJ287" i="9"/>
  <c r="AI287" i="9" s="1"/>
  <c r="AJ294" i="9"/>
  <c r="AJ293" i="9"/>
  <c r="AI293" i="9" s="1"/>
  <c r="AJ295" i="9"/>
  <c r="AI295" i="9" s="1"/>
  <c r="AJ302" i="9"/>
  <c r="AJ291" i="9"/>
  <c r="AJ303" i="9"/>
  <c r="AJ299" i="9"/>
  <c r="AI299" i="9" s="1"/>
  <c r="AJ285" i="9"/>
  <c r="AJ301" i="9"/>
  <c r="AI301" i="9" s="1"/>
  <c r="AJ288" i="9"/>
  <c r="AJ292" i="9"/>
  <c r="AI292" i="9" s="1"/>
  <c r="AJ296" i="9"/>
  <c r="AI296" i="9" s="1"/>
  <c r="AJ300" i="9"/>
  <c r="AI300" i="9" s="1"/>
  <c r="AK293" i="9" l="1"/>
  <c r="AK296" i="9"/>
  <c r="AK290" i="9"/>
  <c r="AK299" i="9"/>
  <c r="AK300" i="9"/>
  <c r="AK287" i="9"/>
  <c r="AK301" i="9"/>
  <c r="AK298" i="9"/>
  <c r="AK297" i="9"/>
  <c r="AI294" i="9"/>
  <c r="AK295" i="9" s="1"/>
  <c r="AI288" i="9"/>
  <c r="AK289" i="9" s="1"/>
  <c r="AI291" i="9"/>
  <c r="AK292" i="9" s="1"/>
  <c r="AI302" i="9"/>
  <c r="AI303" i="9"/>
  <c r="AK304" i="9" s="1"/>
  <c r="AI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K303" i="9" l="1"/>
  <c r="AK288" i="9"/>
  <c r="AK291" i="9"/>
  <c r="AK286" i="9"/>
  <c r="AK285" i="9"/>
  <c r="AK294" i="9"/>
  <c r="AK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305" i="9" l="1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318" i="9" s="1"/>
  <c r="F25" i="30"/>
  <c r="A25" i="30" s="1"/>
  <c r="BJ352" i="9" s="1"/>
  <c r="A26" i="30"/>
  <c r="BJ371" i="9" s="1"/>
  <c r="A27" i="30"/>
  <c r="BJ435" i="9" s="1"/>
  <c r="A28" i="30"/>
  <c r="BJ457" i="9" s="1"/>
  <c r="A34" i="30"/>
  <c r="F20" i="30"/>
  <c r="A20" i="30" s="1"/>
  <c r="BJ14" i="9" s="1"/>
  <c r="A29" i="30"/>
  <c r="BJ476" i="9" s="1"/>
  <c r="A30" i="30"/>
  <c r="BJ494" i="9" s="1"/>
  <c r="A32" i="30"/>
  <c r="BJ55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6" i="9"/>
  <c r="BJ547" i="9"/>
  <c r="BJ548" i="9"/>
  <c r="BJ549" i="9"/>
  <c r="BJ550" i="9"/>
  <c r="BJ551" i="9"/>
  <c r="BJ552" i="9"/>
  <c r="BJ553" i="9"/>
  <c r="BJ554" i="9"/>
  <c r="BJ555" i="9"/>
  <c r="BJ557" i="9"/>
  <c r="BJ558" i="9"/>
  <c r="BJ559" i="9"/>
  <c r="BJ560" i="9"/>
  <c r="BJ561" i="9"/>
  <c r="BJ562" i="9"/>
  <c r="BJ563" i="9"/>
  <c r="BJ56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5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5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64" i="9"/>
  <c r="AQ563" i="9"/>
  <c r="AQ562" i="9"/>
  <c r="AQ561" i="9"/>
  <c r="AQ560" i="9"/>
  <c r="AQ559" i="9"/>
  <c r="AQ558" i="9"/>
  <c r="AQ557" i="9"/>
  <c r="AQ556" i="9"/>
  <c r="AQ555" i="9"/>
  <c r="AQ554" i="9"/>
  <c r="AQ553" i="9"/>
  <c r="AQ552" i="9"/>
  <c r="AQ551" i="9"/>
  <c r="AQ550" i="9"/>
  <c r="AQ549" i="9"/>
  <c r="AQ548" i="9"/>
  <c r="AQ547" i="9"/>
  <c r="AQ546" i="9"/>
  <c r="AQ54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41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86" i="9"/>
  <c r="AZ394" i="9"/>
  <c r="AZ402" i="9"/>
  <c r="AZ19" i="9"/>
  <c r="AZ11" i="9"/>
  <c r="AZ35" i="9"/>
  <c r="AZ52" i="9"/>
  <c r="AZ396" i="9"/>
  <c r="AZ17" i="9"/>
  <c r="AZ36" i="9"/>
  <c r="AZ53" i="9"/>
  <c r="AZ389" i="9"/>
  <c r="AZ24" i="9"/>
  <c r="AZ8" i="9"/>
  <c r="AZ37" i="9"/>
  <c r="AZ54" i="9"/>
  <c r="AZ398" i="9"/>
  <c r="AZ23" i="9"/>
  <c r="AZ7" i="9"/>
  <c r="AZ49" i="9"/>
  <c r="AZ393" i="9"/>
  <c r="AZ12" i="9"/>
  <c r="AZ33" i="9"/>
  <c r="AZ43" i="9"/>
  <c r="AZ51" i="9"/>
  <c r="AZ59" i="9"/>
  <c r="AZ387" i="9"/>
  <c r="AZ395" i="9"/>
  <c r="AZ403" i="9"/>
  <c r="AZ18" i="9"/>
  <c r="AZ44" i="9"/>
  <c r="AZ60" i="9"/>
  <c r="AZ388" i="9"/>
  <c r="AZ404" i="9"/>
  <c r="AZ9" i="9"/>
  <c r="AZ25" i="9"/>
  <c r="AZ45" i="9"/>
  <c r="AZ61" i="9"/>
  <c r="AZ397" i="9"/>
  <c r="AZ16" i="9"/>
  <c r="AZ27" i="9"/>
  <c r="AZ46" i="9"/>
  <c r="AZ62" i="9"/>
  <c r="AZ390" i="9"/>
  <c r="AZ15" i="9"/>
  <c r="AZ30" i="9"/>
  <c r="AZ57" i="9"/>
  <c r="AZ401" i="9"/>
  <c r="AZ20" i="9"/>
  <c r="AZ28" i="9"/>
  <c r="AZ38" i="9"/>
  <c r="AZ47" i="9"/>
  <c r="AZ55" i="9"/>
  <c r="AZ63" i="9"/>
  <c r="AZ391" i="9"/>
  <c r="AZ399" i="9"/>
  <c r="AZ22" i="9"/>
  <c r="AZ14" i="9"/>
  <c r="AZ6" i="9"/>
  <c r="AZ29" i="9"/>
  <c r="AZ39" i="9"/>
  <c r="AZ48" i="9"/>
  <c r="AZ56" i="9"/>
  <c r="AZ64" i="9"/>
  <c r="AZ392" i="9"/>
  <c r="AZ400" i="9"/>
  <c r="AZ21" i="9"/>
  <c r="AZ13" i="9"/>
  <c r="AZ5" i="9"/>
  <c r="AZ41" i="9"/>
  <c r="AZ385" i="9"/>
  <c r="BJ532" i="9"/>
  <c r="BJ272" i="9"/>
  <c r="BJ33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BE185" i="9" l="1"/>
  <c r="BE205" i="9"/>
  <c r="X437" i="9"/>
  <c r="X429" i="9"/>
  <c r="AA389" i="9"/>
  <c r="AA397" i="9"/>
  <c r="X443" i="9"/>
  <c r="X427" i="9"/>
  <c r="AA399" i="9"/>
  <c r="AA385" i="9"/>
  <c r="AA401" i="9"/>
  <c r="X432" i="9"/>
  <c r="AA394" i="9"/>
  <c r="AA395" i="9"/>
  <c r="X430" i="9"/>
  <c r="AA388" i="9"/>
  <c r="X444" i="9"/>
  <c r="X436" i="9"/>
  <c r="X428" i="9"/>
  <c r="AA390" i="9"/>
  <c r="AA398" i="9"/>
  <c r="X435" i="9"/>
  <c r="AA391" i="9"/>
  <c r="AA402" i="9"/>
  <c r="X439" i="9"/>
  <c r="AA387" i="9"/>
  <c r="AA396" i="9"/>
  <c r="X442" i="9"/>
  <c r="X434" i="9"/>
  <c r="X426" i="9"/>
  <c r="AA392" i="9"/>
  <c r="AA400" i="9"/>
  <c r="X441" i="9"/>
  <c r="X433" i="9"/>
  <c r="X425" i="9"/>
  <c r="AA393" i="9"/>
  <c r="X440" i="9"/>
  <c r="AA386" i="9"/>
  <c r="X431" i="9"/>
  <c r="AA403" i="9"/>
  <c r="X438" i="9"/>
  <c r="AA404" i="9"/>
  <c r="AZ223" i="9"/>
  <c r="AZ224" i="9"/>
  <c r="AA405" i="9"/>
  <c r="AA413" i="9"/>
  <c r="AA421" i="9"/>
  <c r="AA407" i="9"/>
  <c r="AA423" i="9"/>
  <c r="AA409" i="9"/>
  <c r="AA410" i="9"/>
  <c r="AA419" i="9"/>
  <c r="AA420" i="9"/>
  <c r="AA406" i="9"/>
  <c r="AA414" i="9"/>
  <c r="AA422" i="9"/>
  <c r="AA415" i="9"/>
  <c r="AA408" i="9"/>
  <c r="AA416" i="9"/>
  <c r="AA424" i="9"/>
  <c r="AA417" i="9"/>
  <c r="AA418" i="9"/>
  <c r="AA411" i="9"/>
  <c r="AA412" i="9"/>
  <c r="AA429" i="9"/>
  <c r="AA437" i="9"/>
  <c r="AA440" i="9"/>
  <c r="AA425" i="9"/>
  <c r="AA426" i="9"/>
  <c r="AA435" i="9"/>
  <c r="AA428" i="9"/>
  <c r="AA430" i="9"/>
  <c r="AA438" i="9"/>
  <c r="AA432" i="9"/>
  <c r="AA441" i="9"/>
  <c r="AA434" i="9"/>
  <c r="AA444" i="9"/>
  <c r="AA431" i="9"/>
  <c r="AA439" i="9"/>
  <c r="AA433" i="9"/>
  <c r="AA442" i="9"/>
  <c r="AA427" i="9"/>
  <c r="AA443" i="9"/>
  <c r="AA436" i="9"/>
  <c r="AZ220" i="9"/>
  <c r="AU223" i="9"/>
  <c r="AZ217" i="9"/>
  <c r="AU224" i="9"/>
  <c r="AZ216" i="9"/>
  <c r="AZ221" i="9"/>
  <c r="AZ218" i="9"/>
  <c r="AZ219" i="9"/>
  <c r="AZ222" i="9"/>
  <c r="AA378" i="9"/>
  <c r="AA371" i="9"/>
  <c r="AA379" i="9"/>
  <c r="AA382" i="9"/>
  <c r="AA383" i="9"/>
  <c r="AA377" i="9"/>
  <c r="AA370" i="9"/>
  <c r="AA372" i="9"/>
  <c r="AA380" i="9"/>
  <c r="AA374" i="9"/>
  <c r="AA367" i="9"/>
  <c r="AA376" i="9"/>
  <c r="AA369" i="9"/>
  <c r="AA365" i="9"/>
  <c r="AA373" i="9"/>
  <c r="AA381" i="9"/>
  <c r="AA366" i="9"/>
  <c r="AA375" i="9"/>
  <c r="AA368" i="9"/>
  <c r="AA384" i="9"/>
  <c r="AA349" i="9"/>
  <c r="AA357" i="9"/>
  <c r="AA351" i="9"/>
  <c r="AA352" i="9"/>
  <c r="AA353" i="9"/>
  <c r="AA346" i="9"/>
  <c r="AA363" i="9"/>
  <c r="AA348" i="9"/>
  <c r="AA350" i="9"/>
  <c r="AA358" i="9"/>
  <c r="AA359" i="9"/>
  <c r="AA360" i="9"/>
  <c r="AA345" i="9"/>
  <c r="AA362" i="9"/>
  <c r="AA355" i="9"/>
  <c r="AA364" i="9"/>
  <c r="AA361" i="9"/>
  <c r="AA354" i="9"/>
  <c r="AA347" i="9"/>
  <c r="AA35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77" i="9"/>
  <c r="X369" i="9"/>
  <c r="X374" i="9"/>
  <c r="X373" i="9"/>
  <c r="X370" i="9"/>
  <c r="X384" i="9"/>
  <c r="X376" i="9"/>
  <c r="X368" i="9"/>
  <c r="X366" i="9"/>
  <c r="X381" i="9"/>
  <c r="X372" i="9"/>
  <c r="X379" i="9"/>
  <c r="X378" i="9"/>
  <c r="X383" i="9"/>
  <c r="X375" i="9"/>
  <c r="X367" i="9"/>
  <c r="X382" i="9"/>
  <c r="X365" i="9"/>
  <c r="X380" i="9"/>
  <c r="X371" i="9"/>
  <c r="X361" i="9"/>
  <c r="X353" i="9"/>
  <c r="X345" i="9"/>
  <c r="X359" i="9"/>
  <c r="X348" i="9"/>
  <c r="X363" i="9"/>
  <c r="X362" i="9"/>
  <c r="X360" i="9"/>
  <c r="X352" i="9"/>
  <c r="X351" i="9"/>
  <c r="X356" i="9"/>
  <c r="X347" i="9"/>
  <c r="X354" i="9"/>
  <c r="X358" i="9"/>
  <c r="X350" i="9"/>
  <c r="X357" i="9"/>
  <c r="X349" i="9"/>
  <c r="X364" i="9"/>
  <c r="X355" i="9"/>
  <c r="X34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21" i="9"/>
  <c r="X413" i="9"/>
  <c r="X405" i="9"/>
  <c r="X419" i="9"/>
  <c r="X408" i="9"/>
  <c r="X407" i="9"/>
  <c r="X414" i="9"/>
  <c r="X420" i="9"/>
  <c r="X412" i="9"/>
  <c r="X411" i="9"/>
  <c r="X416" i="9"/>
  <c r="X415" i="9"/>
  <c r="X418" i="9"/>
  <c r="X410" i="9"/>
  <c r="X417" i="9"/>
  <c r="X409" i="9"/>
  <c r="X424" i="9"/>
  <c r="X423" i="9"/>
  <c r="X422" i="9"/>
  <c r="X40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99" i="9"/>
  <c r="AU401" i="9"/>
  <c r="AU403" i="9"/>
  <c r="AU400" i="9"/>
  <c r="AU404" i="9"/>
  <c r="AU40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305" i="9"/>
  <c r="BE345" i="9"/>
  <c r="BE385" i="9"/>
  <c r="BE405" i="9"/>
  <c r="BE445" i="9"/>
  <c r="BE485" i="9"/>
  <c r="BE525" i="9"/>
  <c r="BE5" i="9"/>
  <c r="BE25" i="9"/>
  <c r="BE65" i="9"/>
  <c r="BE105" i="9"/>
  <c r="BE145" i="9"/>
  <c r="BE225" i="9"/>
  <c r="BE265" i="9"/>
  <c r="BE325" i="9"/>
  <c r="BE365" i="9"/>
  <c r="BE425" i="9"/>
  <c r="BE465" i="9"/>
  <c r="BE505" i="9"/>
  <c r="BE54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505" i="9"/>
  <c r="BJ485" i="9"/>
  <c r="BJ52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49" i="9"/>
  <c r="AZ357" i="9"/>
  <c r="AZ365" i="9"/>
  <c r="AZ373" i="9"/>
  <c r="AZ381" i="9"/>
  <c r="AZ409" i="9"/>
  <c r="AZ417" i="9"/>
  <c r="AZ350" i="9"/>
  <c r="AZ358" i="9"/>
  <c r="AZ366" i="9"/>
  <c r="AZ374" i="9"/>
  <c r="AZ382" i="9"/>
  <c r="AZ410" i="9"/>
  <c r="AZ418" i="9"/>
  <c r="AZ351" i="9"/>
  <c r="AZ359" i="9"/>
  <c r="AZ367" i="9"/>
  <c r="AZ375" i="9"/>
  <c r="AZ383" i="9"/>
  <c r="AZ411" i="9"/>
  <c r="AZ419" i="9"/>
  <c r="AZ352" i="9"/>
  <c r="AZ360" i="9"/>
  <c r="AZ368" i="9"/>
  <c r="AZ376" i="9"/>
  <c r="AZ384" i="9"/>
  <c r="AZ412" i="9"/>
  <c r="AZ420" i="9"/>
  <c r="AZ345" i="9"/>
  <c r="AZ353" i="9"/>
  <c r="AZ361" i="9"/>
  <c r="AZ369" i="9"/>
  <c r="AZ377" i="9"/>
  <c r="AZ405" i="9"/>
  <c r="AZ413" i="9"/>
  <c r="AZ421" i="9"/>
  <c r="AZ346" i="9"/>
  <c r="AZ354" i="9"/>
  <c r="AZ362" i="9"/>
  <c r="AZ370" i="9"/>
  <c r="AZ378" i="9"/>
  <c r="AZ406" i="9"/>
  <c r="AZ414" i="9"/>
  <c r="AZ422" i="9"/>
  <c r="AZ347" i="9"/>
  <c r="AZ355" i="9"/>
  <c r="AZ363" i="9"/>
  <c r="AZ371" i="9"/>
  <c r="AZ379" i="9"/>
  <c r="AZ407" i="9"/>
  <c r="AZ415" i="9"/>
  <c r="AZ423" i="9"/>
  <c r="AZ380" i="9"/>
  <c r="AZ408" i="9"/>
  <c r="AZ416" i="9"/>
  <c r="AZ424" i="9"/>
  <c r="AZ348" i="9"/>
  <c r="AZ356" i="9"/>
  <c r="AZ364" i="9"/>
  <c r="AZ372" i="9"/>
  <c r="AZ425" i="9"/>
  <c r="AZ433" i="9"/>
  <c r="AZ441" i="9"/>
  <c r="AZ426" i="9"/>
  <c r="AZ434" i="9"/>
  <c r="AZ442" i="9"/>
  <c r="AZ427" i="9"/>
  <c r="AZ435" i="9"/>
  <c r="AZ443" i="9"/>
  <c r="AZ428" i="9"/>
  <c r="AZ436" i="9"/>
  <c r="AZ444" i="9"/>
  <c r="AZ429" i="9"/>
  <c r="AZ437" i="9"/>
  <c r="AZ430" i="9"/>
  <c r="AZ431" i="9"/>
  <c r="AZ439" i="9"/>
  <c r="AZ432" i="9"/>
  <c r="AZ440" i="9"/>
  <c r="AU135" i="9"/>
  <c r="AU143" i="9"/>
  <c r="AU347" i="9"/>
  <c r="AU355" i="9"/>
  <c r="AU363" i="9"/>
  <c r="AU455" i="9"/>
  <c r="AU463" i="9"/>
  <c r="AU358" i="9"/>
  <c r="AU136" i="9"/>
  <c r="AU144" i="9"/>
  <c r="AU348" i="9"/>
  <c r="AU356" i="9"/>
  <c r="AU364" i="9"/>
  <c r="AU456" i="9"/>
  <c r="AU464" i="9"/>
  <c r="AU350" i="9"/>
  <c r="AU137" i="9"/>
  <c r="AU349" i="9"/>
  <c r="AU357" i="9"/>
  <c r="AU457" i="9"/>
  <c r="AU138" i="9"/>
  <c r="AU458" i="9"/>
  <c r="AU139" i="9"/>
  <c r="AU351" i="9"/>
  <c r="AU359" i="9"/>
  <c r="AU459" i="9"/>
  <c r="AU360" i="9"/>
  <c r="AU462" i="9"/>
  <c r="AU452" i="9"/>
  <c r="AU346" i="9"/>
  <c r="AU453" i="9"/>
  <c r="AU354" i="9"/>
  <c r="AU361" i="9"/>
  <c r="AU362" i="9"/>
  <c r="AU345" i="9"/>
  <c r="AU140" i="9"/>
  <c r="AU141" i="9"/>
  <c r="AU352" i="9"/>
  <c r="AU454" i="9"/>
  <c r="AU142" i="9"/>
  <c r="AU353" i="9"/>
  <c r="AU460" i="9"/>
  <c r="AU46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307" i="9"/>
  <c r="AU315" i="9"/>
  <c r="AU323" i="9"/>
  <c r="AU331" i="9"/>
  <c r="AU339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154" i="9"/>
  <c r="AU178" i="9"/>
  <c r="AU242" i="9"/>
  <c r="AU266" i="9"/>
  <c r="AU310" i="9"/>
  <c r="AU334" i="9"/>
  <c r="AU474" i="9"/>
  <c r="AU498" i="9"/>
  <c r="AU522" i="9"/>
  <c r="AU54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308" i="9"/>
  <c r="AU316" i="9"/>
  <c r="AU324" i="9"/>
  <c r="AU332" i="9"/>
  <c r="AU340" i="9"/>
  <c r="AU472" i="9"/>
  <c r="AU480" i="9"/>
  <c r="AU488" i="9"/>
  <c r="AU496" i="9"/>
  <c r="AU504" i="9"/>
  <c r="AU512" i="9"/>
  <c r="AU520" i="9"/>
  <c r="AU528" i="9"/>
  <c r="AU536" i="9"/>
  <c r="AU544" i="9"/>
  <c r="AU552" i="9"/>
  <c r="AU560" i="9"/>
  <c r="AU146" i="9"/>
  <c r="AU170" i="9"/>
  <c r="AU234" i="9"/>
  <c r="AU258" i="9"/>
  <c r="AU282" i="9"/>
  <c r="AU326" i="9"/>
  <c r="AU466" i="9"/>
  <c r="AU482" i="9"/>
  <c r="AU506" i="9"/>
  <c r="AU530" i="9"/>
  <c r="AU55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309" i="9"/>
  <c r="AU317" i="9"/>
  <c r="AU325" i="9"/>
  <c r="AU333" i="9"/>
  <c r="AU341" i="9"/>
  <c r="AU465" i="9"/>
  <c r="AU473" i="9"/>
  <c r="AU481" i="9"/>
  <c r="AU489" i="9"/>
  <c r="AU497" i="9"/>
  <c r="AU505" i="9"/>
  <c r="AU513" i="9"/>
  <c r="AU521" i="9"/>
  <c r="AU529" i="9"/>
  <c r="AU537" i="9"/>
  <c r="AU545" i="9"/>
  <c r="AU553" i="9"/>
  <c r="AU561" i="9"/>
  <c r="AU162" i="9"/>
  <c r="AU226" i="9"/>
  <c r="AU250" i="9"/>
  <c r="AU274" i="9"/>
  <c r="AU318" i="9"/>
  <c r="AU342" i="9"/>
  <c r="AU490" i="9"/>
  <c r="AU514" i="9"/>
  <c r="AU53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311" i="9"/>
  <c r="AU319" i="9"/>
  <c r="AU327" i="9"/>
  <c r="AU335" i="9"/>
  <c r="AU343" i="9"/>
  <c r="AU467" i="9"/>
  <c r="AU475" i="9"/>
  <c r="AU483" i="9"/>
  <c r="AU491" i="9"/>
  <c r="AU499" i="9"/>
  <c r="AU507" i="9"/>
  <c r="AU515" i="9"/>
  <c r="AU523" i="9"/>
  <c r="AU531" i="9"/>
  <c r="AU539" i="9"/>
  <c r="AU547" i="9"/>
  <c r="AU555" i="9"/>
  <c r="AU563" i="9"/>
  <c r="AU149" i="9"/>
  <c r="AU172" i="9"/>
  <c r="AU230" i="9"/>
  <c r="AU253" i="9"/>
  <c r="AU276" i="9"/>
  <c r="AU314" i="9"/>
  <c r="AU337" i="9"/>
  <c r="AU485" i="9"/>
  <c r="AU508" i="9"/>
  <c r="AU526" i="9"/>
  <c r="AU549" i="9"/>
  <c r="AU238" i="9"/>
  <c r="AU322" i="9"/>
  <c r="AU534" i="9"/>
  <c r="AU158" i="9"/>
  <c r="AU262" i="9"/>
  <c r="AU517" i="9"/>
  <c r="AU525" i="9"/>
  <c r="AU150" i="9"/>
  <c r="AU173" i="9"/>
  <c r="AU236" i="9"/>
  <c r="AU254" i="9"/>
  <c r="AU277" i="9"/>
  <c r="AU320" i="9"/>
  <c r="AU338" i="9"/>
  <c r="AU468" i="9"/>
  <c r="AU486" i="9"/>
  <c r="AU509" i="9"/>
  <c r="AU532" i="9"/>
  <c r="AU550" i="9"/>
  <c r="AU180" i="9"/>
  <c r="AU284" i="9"/>
  <c r="AU493" i="9"/>
  <c r="AU557" i="9"/>
  <c r="AU181" i="9"/>
  <c r="AU305" i="9"/>
  <c r="AU494" i="9"/>
  <c r="AU558" i="9"/>
  <c r="AU336" i="9"/>
  <c r="AU502" i="9"/>
  <c r="AU156" i="9"/>
  <c r="AU174" i="9"/>
  <c r="AU237" i="9"/>
  <c r="AU260" i="9"/>
  <c r="AU278" i="9"/>
  <c r="AU321" i="9"/>
  <c r="AU344" i="9"/>
  <c r="AU469" i="9"/>
  <c r="AU492" i="9"/>
  <c r="AU510" i="9"/>
  <c r="AU533" i="9"/>
  <c r="AU556" i="9"/>
  <c r="AU157" i="9"/>
  <c r="AU261" i="9"/>
  <c r="AU470" i="9"/>
  <c r="AU516" i="9"/>
  <c r="AU244" i="9"/>
  <c r="AU328" i="9"/>
  <c r="AU476" i="9"/>
  <c r="AU540" i="9"/>
  <c r="AU484" i="9"/>
  <c r="AU164" i="9"/>
  <c r="AU182" i="9"/>
  <c r="AU245" i="9"/>
  <c r="AU268" i="9"/>
  <c r="AU306" i="9"/>
  <c r="AU329" i="9"/>
  <c r="AU477" i="9"/>
  <c r="AU500" i="9"/>
  <c r="AU518" i="9"/>
  <c r="AU541" i="9"/>
  <c r="AU562" i="9"/>
  <c r="AU165" i="9"/>
  <c r="AU228" i="9"/>
  <c r="AU246" i="9"/>
  <c r="AU269" i="9"/>
  <c r="AU312" i="9"/>
  <c r="AU330" i="9"/>
  <c r="AU478" i="9"/>
  <c r="AU501" i="9"/>
  <c r="AU524" i="9"/>
  <c r="AU542" i="9"/>
  <c r="AU564" i="9"/>
  <c r="AU148" i="9"/>
  <c r="AU166" i="9"/>
  <c r="AU229" i="9"/>
  <c r="AU252" i="9"/>
  <c r="AU270" i="9"/>
  <c r="AU313" i="9"/>
  <c r="AU548" i="9"/>
  <c r="AU87" i="9"/>
  <c r="AU95" i="9"/>
  <c r="AU103" i="9"/>
  <c r="AU111" i="9"/>
  <c r="AU119" i="9"/>
  <c r="AU431" i="9"/>
  <c r="AU439" i="9"/>
  <c r="AU106" i="9"/>
  <c r="AU426" i="9"/>
  <c r="AU88" i="9"/>
  <c r="AU96" i="9"/>
  <c r="AU104" i="9"/>
  <c r="AU112" i="9"/>
  <c r="AU120" i="9"/>
  <c r="AU432" i="9"/>
  <c r="AU440" i="9"/>
  <c r="AU98" i="9"/>
  <c r="AU122" i="9"/>
  <c r="AU442" i="9"/>
  <c r="AU89" i="9"/>
  <c r="AU97" i="9"/>
  <c r="AU105" i="9"/>
  <c r="AU113" i="9"/>
  <c r="AU121" i="9"/>
  <c r="AU425" i="9"/>
  <c r="AU433" i="9"/>
  <c r="AU441" i="9"/>
  <c r="AU90" i="9"/>
  <c r="AU114" i="9"/>
  <c r="AU434" i="9"/>
  <c r="AU91" i="9"/>
  <c r="AU99" i="9"/>
  <c r="AU107" i="9"/>
  <c r="AU115" i="9"/>
  <c r="AU123" i="9"/>
  <c r="AU427" i="9"/>
  <c r="AU435" i="9"/>
  <c r="AU443" i="9"/>
  <c r="AU85" i="9"/>
  <c r="AU108" i="9"/>
  <c r="AU444" i="9"/>
  <c r="AU94" i="9"/>
  <c r="AU86" i="9"/>
  <c r="AU109" i="9"/>
  <c r="AU116" i="9"/>
  <c r="AU117" i="9"/>
  <c r="AU430" i="9"/>
  <c r="AU92" i="9"/>
  <c r="AU110" i="9"/>
  <c r="AU428" i="9"/>
  <c r="AU93" i="9"/>
  <c r="AU429" i="9"/>
  <c r="AU100" i="9"/>
  <c r="AU118" i="9"/>
  <c r="AU436" i="9"/>
  <c r="AU101" i="9"/>
  <c r="AU124" i="9"/>
  <c r="AU437" i="9"/>
  <c r="AU102" i="9"/>
  <c r="AU438" i="9"/>
  <c r="AU371" i="9"/>
  <c r="AU379" i="9"/>
  <c r="AU407" i="9"/>
  <c r="AU415" i="9"/>
  <c r="AU423" i="9"/>
  <c r="AU447" i="9"/>
  <c r="AU450" i="9"/>
  <c r="AU372" i="9"/>
  <c r="AU380" i="9"/>
  <c r="AU408" i="9"/>
  <c r="AU416" i="9"/>
  <c r="AU424" i="9"/>
  <c r="AU448" i="9"/>
  <c r="AU374" i="9"/>
  <c r="AU365" i="9"/>
  <c r="AU373" i="9"/>
  <c r="AU381" i="9"/>
  <c r="AU409" i="9"/>
  <c r="AU417" i="9"/>
  <c r="AU449" i="9"/>
  <c r="AU366" i="9"/>
  <c r="AU382" i="9"/>
  <c r="AU410" i="9"/>
  <c r="AU418" i="9"/>
  <c r="AU367" i="9"/>
  <c r="AU375" i="9"/>
  <c r="AU383" i="9"/>
  <c r="AU411" i="9"/>
  <c r="AU419" i="9"/>
  <c r="AU451" i="9"/>
  <c r="AU378" i="9"/>
  <c r="AU421" i="9"/>
  <c r="AU384" i="9"/>
  <c r="AU422" i="9"/>
  <c r="AU445" i="9"/>
  <c r="AU368" i="9"/>
  <c r="AU369" i="9"/>
  <c r="AU405" i="9"/>
  <c r="AU446" i="9"/>
  <c r="AU406" i="9"/>
  <c r="AU412" i="9"/>
  <c r="AU377" i="9"/>
  <c r="AU370" i="9"/>
  <c r="AU413" i="9"/>
  <c r="AU376" i="9"/>
  <c r="AU414" i="9"/>
  <c r="AU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38" i="9" l="1"/>
  <c r="AS262" i="9"/>
  <c r="AS246" i="9"/>
  <c r="AS254" i="9"/>
  <c r="AS260" i="9"/>
  <c r="A445" i="9"/>
  <c r="A429" i="9"/>
  <c r="A38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93" i="9"/>
  <c r="AS249" i="9"/>
  <c r="AS255" i="9"/>
  <c r="AS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K103" i="9" l="1"/>
  <c r="AK107" i="9"/>
  <c r="AK109" i="9"/>
  <c r="AK101" i="9"/>
  <c r="AK99" i="9"/>
  <c r="AK87" i="9"/>
  <c r="AK91" i="9"/>
  <c r="AK97" i="9"/>
  <c r="AK89" i="9"/>
  <c r="AK95" i="9"/>
  <c r="AK93" i="9"/>
  <c r="AK108" i="9"/>
  <c r="AK86" i="9"/>
  <c r="AK85" i="9"/>
  <c r="AK90" i="9"/>
  <c r="AK94" i="9"/>
  <c r="AK100" i="9"/>
  <c r="AK88" i="9"/>
  <c r="AK92" i="9"/>
  <c r="AK96" i="9"/>
  <c r="AK98" i="9"/>
  <c r="AK102" i="9"/>
  <c r="AK104" i="9"/>
  <c r="AJ110" i="9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403" i="9"/>
  <c r="AJ538" i="9"/>
  <c r="AJ189" i="9"/>
  <c r="AJ193" i="9"/>
  <c r="AJ491" i="9"/>
  <c r="AJ316" i="9"/>
  <c r="AJ259" i="9"/>
  <c r="AJ460" i="9"/>
  <c r="AJ483" i="9"/>
  <c r="AJ487" i="9"/>
  <c r="AJ404" i="9"/>
  <c r="AI404" i="9" s="1"/>
  <c r="AJ563" i="9"/>
  <c r="AJ216" i="9"/>
  <c r="AJ198" i="9"/>
  <c r="AJ505" i="9"/>
  <c r="AJ250" i="9"/>
  <c r="AJ421" i="9"/>
  <c r="AJ417" i="9"/>
  <c r="AJ362" i="9"/>
  <c r="AJ377" i="9"/>
  <c r="AJ203" i="9"/>
  <c r="AJ208" i="9"/>
  <c r="AJ510" i="9"/>
  <c r="AJ338" i="9"/>
  <c r="AJ347" i="9"/>
  <c r="AJ513" i="9"/>
  <c r="AJ562" i="9"/>
  <c r="AJ548" i="9"/>
  <c r="AJ346" i="9"/>
  <c r="AJ350" i="9"/>
  <c r="AJ336" i="9"/>
  <c r="AJ214" i="9"/>
  <c r="AJ326" i="9"/>
  <c r="AJ314" i="9"/>
  <c r="AJ410" i="9"/>
  <c r="AJ532" i="9"/>
  <c r="AJ552" i="9"/>
  <c r="AJ463" i="9"/>
  <c r="AJ444" i="9"/>
  <c r="AI444" i="9" s="1"/>
  <c r="AJ517" i="9"/>
  <c r="AJ340" i="9"/>
  <c r="AJ502" i="9"/>
  <c r="AJ197" i="9"/>
  <c r="AJ194" i="9"/>
  <c r="AJ217" i="9"/>
  <c r="AJ545" i="9"/>
  <c r="AJ322" i="9"/>
  <c r="AJ488" i="9"/>
  <c r="AJ472" i="9"/>
  <c r="AJ401" i="9"/>
  <c r="AJ553" i="9"/>
  <c r="AJ320" i="9"/>
  <c r="AJ560" i="9"/>
  <c r="AJ536" i="9"/>
  <c r="AJ356" i="9"/>
  <c r="AJ264" i="9"/>
  <c r="AI264" i="9" s="1"/>
  <c r="AJ325" i="9"/>
  <c r="AJ428" i="9"/>
  <c r="AJ383" i="9"/>
  <c r="AJ461" i="9"/>
  <c r="AJ408" i="9"/>
  <c r="AJ451" i="9"/>
  <c r="AJ441" i="9"/>
  <c r="AJ263" i="9"/>
  <c r="AJ448" i="9"/>
  <c r="AJ215" i="9"/>
  <c r="AJ520" i="9"/>
  <c r="AJ516" i="9"/>
  <c r="AJ367" i="9"/>
  <c r="AJ311" i="9"/>
  <c r="AJ498" i="9"/>
  <c r="AJ453" i="9"/>
  <c r="AJ212" i="9"/>
  <c r="AJ342" i="9"/>
  <c r="AJ456" i="9"/>
  <c r="AJ419" i="9"/>
  <c r="AJ561" i="9"/>
  <c r="AJ209" i="9"/>
  <c r="AJ261" i="9"/>
  <c r="AJ256" i="9"/>
  <c r="AJ251" i="9"/>
  <c r="AJ373" i="9"/>
  <c r="AJ416" i="9"/>
  <c r="AJ379" i="9"/>
  <c r="AJ382" i="9"/>
  <c r="AJ369" i="9"/>
  <c r="AJ370" i="9"/>
  <c r="AJ186" i="9"/>
  <c r="AJ306" i="9"/>
  <c r="AJ559" i="9"/>
  <c r="AJ535" i="9"/>
  <c r="AJ365" i="9"/>
  <c r="AJ402" i="9"/>
  <c r="AJ499" i="9"/>
  <c r="AJ252" i="9"/>
  <c r="AJ218" i="9"/>
  <c r="AJ546" i="9"/>
  <c r="AJ477" i="9"/>
  <c r="AJ384" i="9"/>
  <c r="AI384" i="9" s="1"/>
  <c r="AJ357" i="9"/>
  <c r="AJ475" i="9"/>
  <c r="AJ507" i="9"/>
  <c r="AJ564" i="9"/>
  <c r="AI564" i="9" s="1"/>
  <c r="AJ430" i="9"/>
  <c r="AJ332" i="9"/>
  <c r="AJ469" i="9"/>
  <c r="AJ478" i="9"/>
  <c r="AJ490" i="9"/>
  <c r="AJ462" i="9"/>
  <c r="AJ411" i="9"/>
  <c r="AJ438" i="9"/>
  <c r="AJ482" i="9"/>
  <c r="AJ187" i="9"/>
  <c r="AJ257" i="9"/>
  <c r="AJ324" i="9"/>
  <c r="AI324" i="9" s="1"/>
  <c r="AJ465" i="9"/>
  <c r="AJ199" i="9"/>
  <c r="AJ248" i="9"/>
  <c r="AJ258" i="9"/>
  <c r="AJ372" i="9"/>
  <c r="AJ436" i="9"/>
  <c r="AJ219" i="9"/>
  <c r="AJ434" i="9"/>
  <c r="AJ447" i="9"/>
  <c r="AJ329" i="9"/>
  <c r="AJ445" i="9"/>
  <c r="AJ554" i="9"/>
  <c r="AJ540" i="9"/>
  <c r="AJ331" i="9"/>
  <c r="AJ433" i="9"/>
  <c r="AJ557" i="9"/>
  <c r="AJ409" i="9"/>
  <c r="AJ412" i="9"/>
  <c r="AJ495" i="9"/>
  <c r="AJ414" i="9"/>
  <c r="AJ471" i="9"/>
  <c r="AJ481" i="9"/>
  <c r="AJ450" i="9"/>
  <c r="AJ539" i="9"/>
  <c r="AJ334" i="9"/>
  <c r="AJ524" i="9"/>
  <c r="AI524" i="9" s="1"/>
  <c r="AJ541" i="9"/>
  <c r="AJ458" i="9"/>
  <c r="AJ330" i="9"/>
  <c r="AJ221" i="9"/>
  <c r="AJ503" i="9"/>
  <c r="AJ305" i="9"/>
  <c r="AJ424" i="9"/>
  <c r="AI424" i="9" s="1"/>
  <c r="AJ406" i="9"/>
  <c r="AJ533" i="9"/>
  <c r="AJ480" i="9"/>
  <c r="AJ468" i="9"/>
  <c r="AJ307" i="9"/>
  <c r="AJ192" i="9"/>
  <c r="AJ543" i="9"/>
  <c r="AJ315" i="9"/>
  <c r="AJ449" i="9"/>
  <c r="AJ493" i="9"/>
  <c r="AJ207" i="9"/>
  <c r="AJ319" i="9"/>
  <c r="AJ470" i="9"/>
  <c r="AJ489" i="9"/>
  <c r="AJ464" i="9"/>
  <c r="AI464" i="9" s="1"/>
  <c r="AJ317" i="9"/>
  <c r="AJ518" i="9"/>
  <c r="AJ496" i="9"/>
  <c r="AJ260" i="9"/>
  <c r="AJ527" i="9"/>
  <c r="AJ484" i="9"/>
  <c r="AI484" i="9" s="1"/>
  <c r="AJ405" i="9"/>
  <c r="AJ425" i="9"/>
  <c r="AJ249" i="9"/>
  <c r="AJ254" i="9"/>
  <c r="AJ440" i="9"/>
  <c r="AJ185" i="9"/>
  <c r="AJ413" i="9"/>
  <c r="AJ427" i="9"/>
  <c r="AJ556" i="9"/>
  <c r="AJ486" i="9"/>
  <c r="AJ432" i="9"/>
  <c r="AJ511" i="9"/>
  <c r="AJ459" i="9"/>
  <c r="AJ355" i="9"/>
  <c r="AJ376" i="9"/>
  <c r="AJ526" i="9"/>
  <c r="AJ431" i="9"/>
  <c r="AJ381" i="9"/>
  <c r="AJ353" i="9"/>
  <c r="AJ374" i="9"/>
  <c r="AJ523" i="9"/>
  <c r="AJ188" i="9"/>
  <c r="AJ442" i="9"/>
  <c r="AJ318" i="9"/>
  <c r="AJ479" i="9"/>
  <c r="AJ542" i="9"/>
  <c r="AJ508" i="9"/>
  <c r="AJ206" i="9"/>
  <c r="AJ514" i="9"/>
  <c r="AJ344" i="9"/>
  <c r="AI344" i="9" s="1"/>
  <c r="AJ309" i="9"/>
  <c r="AJ211" i="9"/>
  <c r="AJ530" i="9"/>
  <c r="AJ321" i="9"/>
  <c r="AJ308" i="9"/>
  <c r="AJ531" i="9"/>
  <c r="AJ255" i="9"/>
  <c r="AJ191" i="9"/>
  <c r="AJ196" i="9"/>
  <c r="AJ349" i="9"/>
  <c r="AJ247" i="9"/>
  <c r="AJ361" i="9"/>
  <c r="AJ351" i="9"/>
  <c r="AJ426" i="9"/>
  <c r="AJ415" i="9"/>
  <c r="AJ220" i="9"/>
  <c r="AJ467" i="9"/>
  <c r="AJ549" i="9"/>
  <c r="AJ439" i="9"/>
  <c r="AJ323" i="9"/>
  <c r="AJ521" i="9"/>
  <c r="AJ200" i="9"/>
  <c r="AJ366" i="9"/>
  <c r="AJ515" i="9"/>
  <c r="AJ501" i="9"/>
  <c r="AJ380" i="9"/>
  <c r="AJ358" i="9"/>
  <c r="AJ437" i="9"/>
  <c r="AJ418" i="9"/>
  <c r="AJ420" i="9"/>
  <c r="AJ312" i="9"/>
  <c r="AJ537" i="9"/>
  <c r="AJ454" i="9"/>
  <c r="AJ333" i="9"/>
  <c r="AJ528" i="9"/>
  <c r="AJ352" i="9"/>
  <c r="AJ544" i="9"/>
  <c r="AI544" i="9" s="1"/>
  <c r="AJ348" i="9"/>
  <c r="AJ359" i="9"/>
  <c r="AJ343" i="9"/>
  <c r="AJ422" i="9"/>
  <c r="AJ371" i="9"/>
  <c r="AJ446" i="9"/>
  <c r="AJ327" i="9"/>
  <c r="AJ354" i="9"/>
  <c r="AJ224" i="9"/>
  <c r="AI224" i="9" s="1"/>
  <c r="AJ245" i="9"/>
  <c r="AJ443" i="9"/>
  <c r="AJ435" i="9"/>
  <c r="AJ202" i="9"/>
  <c r="AJ399" i="9"/>
  <c r="AJ375" i="9"/>
  <c r="AJ246" i="9"/>
  <c r="AJ492" i="9"/>
  <c r="AJ494" i="9"/>
  <c r="AJ504" i="9"/>
  <c r="AI504" i="9" s="1"/>
  <c r="AJ368" i="9"/>
  <c r="AJ476" i="9"/>
  <c r="AJ328" i="9"/>
  <c r="AJ378" i="9"/>
  <c r="AJ522" i="9"/>
  <c r="AJ223" i="9"/>
  <c r="AJ201" i="9"/>
  <c r="AJ363" i="9"/>
  <c r="AJ550" i="9"/>
  <c r="AJ339" i="9"/>
  <c r="AJ512" i="9"/>
  <c r="AJ400" i="9"/>
  <c r="AJ262" i="9"/>
  <c r="AJ525" i="9"/>
  <c r="AJ313" i="9"/>
  <c r="AJ210" i="9"/>
  <c r="AJ500" i="9"/>
  <c r="AJ213" i="9"/>
  <c r="AJ423" i="9"/>
  <c r="AJ497" i="9"/>
  <c r="AJ337" i="9"/>
  <c r="AJ534" i="9"/>
  <c r="AJ190" i="9"/>
  <c r="AJ360" i="9"/>
  <c r="AJ222" i="9"/>
  <c r="AJ345" i="9"/>
  <c r="AJ335" i="9"/>
  <c r="AJ509" i="9"/>
  <c r="AJ473" i="9"/>
  <c r="AJ555" i="9"/>
  <c r="AJ547" i="9"/>
  <c r="AJ195" i="9"/>
  <c r="AJ407" i="9"/>
  <c r="AJ429" i="9"/>
  <c r="AJ452" i="9"/>
  <c r="AJ519" i="9"/>
  <c r="AJ529" i="9"/>
  <c r="AJ466" i="9"/>
  <c r="AJ506" i="9"/>
  <c r="AJ474" i="9"/>
  <c r="AJ204" i="9"/>
  <c r="AI204" i="9" s="1"/>
  <c r="AJ205" i="9"/>
  <c r="AJ310" i="9"/>
  <c r="AJ341" i="9"/>
  <c r="AJ485" i="9"/>
  <c r="AJ558" i="9"/>
  <c r="AJ457" i="9"/>
  <c r="AJ551" i="9"/>
  <c r="AJ455" i="9"/>
  <c r="AJ364" i="9"/>
  <c r="AI36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J133" i="9" s="1"/>
  <c r="AI133" i="9" s="1"/>
  <c r="AU128" i="9"/>
  <c r="AJ128" i="9" s="1"/>
  <c r="AU131" i="9"/>
  <c r="AJ131" i="9" s="1"/>
  <c r="AI131" i="9" s="1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87" i="9"/>
  <c r="AU395" i="9"/>
  <c r="AJ395" i="9" s="1"/>
  <c r="AI395" i="9" s="1"/>
  <c r="AU388" i="9"/>
  <c r="AJ388" i="9" s="1"/>
  <c r="AI388" i="9" s="1"/>
  <c r="AU396" i="9"/>
  <c r="AU389" i="9"/>
  <c r="AU397" i="9"/>
  <c r="AJ397" i="9" s="1"/>
  <c r="AI397" i="9" s="1"/>
  <c r="AU390" i="9"/>
  <c r="AU398" i="9"/>
  <c r="AU391" i="9"/>
  <c r="AJ391" i="9" s="1"/>
  <c r="AI391" i="9" s="1"/>
  <c r="AU392" i="9"/>
  <c r="AJ392" i="9" s="1"/>
  <c r="AI392" i="9" s="1"/>
  <c r="AU385" i="9"/>
  <c r="AJ385" i="9" s="1"/>
  <c r="AI385" i="9" s="1"/>
  <c r="AU386" i="9"/>
  <c r="AU393" i="9"/>
  <c r="AU39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K51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277" i="9" l="1"/>
  <c r="AK269" i="9"/>
  <c r="AK233" i="9"/>
  <c r="AK177" i="9"/>
  <c r="AK161" i="9"/>
  <c r="AK274" i="9"/>
  <c r="AK180" i="9"/>
  <c r="AK236" i="9"/>
  <c r="AK148" i="9"/>
  <c r="AK238" i="9"/>
  <c r="AK272" i="9"/>
  <c r="AK164" i="9"/>
  <c r="AK392" i="9"/>
  <c r="AK385" i="9"/>
  <c r="AK270" i="9"/>
  <c r="AK234" i="9"/>
  <c r="AK283" i="9"/>
  <c r="AK267" i="9"/>
  <c r="AK231" i="9"/>
  <c r="AK281" i="9"/>
  <c r="AK278" i="9"/>
  <c r="AK282" i="9"/>
  <c r="AK266" i="9"/>
  <c r="AK265" i="9"/>
  <c r="AK230" i="9"/>
  <c r="AK279" i="9"/>
  <c r="AK243" i="9"/>
  <c r="AK227" i="9"/>
  <c r="AK284" i="9"/>
  <c r="AK280" i="9"/>
  <c r="AK275" i="9"/>
  <c r="AK268" i="9"/>
  <c r="AK244" i="9"/>
  <c r="AK276" i="9"/>
  <c r="AK273" i="9"/>
  <c r="AK228" i="9"/>
  <c r="AK271" i="9"/>
  <c r="AK240" i="9"/>
  <c r="AK237" i="9"/>
  <c r="AK232" i="9"/>
  <c r="AK229" i="9"/>
  <c r="AK173" i="9"/>
  <c r="AK157" i="9"/>
  <c r="AK141" i="9"/>
  <c r="AK115" i="9"/>
  <c r="AK241" i="9"/>
  <c r="AK242" i="9"/>
  <c r="AK226" i="9"/>
  <c r="AK225" i="9"/>
  <c r="AK239" i="9"/>
  <c r="AK235" i="9"/>
  <c r="AK184" i="9"/>
  <c r="AK168" i="9"/>
  <c r="AK152" i="9"/>
  <c r="AK136" i="9"/>
  <c r="AK174" i="9"/>
  <c r="AK171" i="9"/>
  <c r="AK155" i="9"/>
  <c r="AK139" i="9"/>
  <c r="AK113" i="9"/>
  <c r="AK176" i="9"/>
  <c r="AK182" i="9"/>
  <c r="AK150" i="9"/>
  <c r="AK179" i="9"/>
  <c r="AK163" i="9"/>
  <c r="AK147" i="9"/>
  <c r="AK121" i="9"/>
  <c r="AK178" i="9"/>
  <c r="AK175" i="9"/>
  <c r="AK159" i="9"/>
  <c r="AK143" i="9"/>
  <c r="AK166" i="9"/>
  <c r="AK165" i="9"/>
  <c r="AK172" i="9"/>
  <c r="AK169" i="9"/>
  <c r="AK170" i="9"/>
  <c r="AK183" i="9"/>
  <c r="AK167" i="9"/>
  <c r="AK181" i="9"/>
  <c r="AK162" i="9"/>
  <c r="AK158" i="9"/>
  <c r="AK156" i="9"/>
  <c r="AK153" i="9"/>
  <c r="AK146" i="9"/>
  <c r="AK145" i="9"/>
  <c r="AK160" i="9"/>
  <c r="AK154" i="9"/>
  <c r="AK151" i="9"/>
  <c r="AK149" i="9"/>
  <c r="AK118" i="9"/>
  <c r="AK142" i="9"/>
  <c r="AK82" i="9"/>
  <c r="AK140" i="9"/>
  <c r="AK137" i="9"/>
  <c r="AK138" i="9"/>
  <c r="AK144" i="9"/>
  <c r="AK116" i="9"/>
  <c r="AK123" i="9"/>
  <c r="AK111" i="9"/>
  <c r="AK112" i="9"/>
  <c r="AK114" i="9"/>
  <c r="AK84" i="9"/>
  <c r="AK124" i="9"/>
  <c r="AK122" i="9"/>
  <c r="AK119" i="9"/>
  <c r="AK110" i="9"/>
  <c r="AK106" i="9"/>
  <c r="AK105" i="9"/>
  <c r="AK120" i="9"/>
  <c r="AK117" i="9"/>
  <c r="AK83" i="9"/>
  <c r="AK65" i="9"/>
  <c r="AK73" i="9"/>
  <c r="AK44" i="9"/>
  <c r="AI21" i="9"/>
  <c r="AI14" i="9"/>
  <c r="AI9" i="9"/>
  <c r="AK5" i="9"/>
  <c r="AI125" i="9"/>
  <c r="AI129" i="9"/>
  <c r="AI126" i="9"/>
  <c r="AI134" i="9"/>
  <c r="AK135" i="9" s="1"/>
  <c r="AI132" i="9"/>
  <c r="AK133" i="9" s="1"/>
  <c r="AI128" i="9"/>
  <c r="AI127" i="9"/>
  <c r="AI130" i="9"/>
  <c r="AK131" i="9" s="1"/>
  <c r="AI558" i="9"/>
  <c r="AI223" i="9"/>
  <c r="AK224" i="9" s="1"/>
  <c r="AI348" i="9"/>
  <c r="AI426" i="9"/>
  <c r="AI374" i="9"/>
  <c r="AI329" i="9"/>
  <c r="AI402" i="9"/>
  <c r="AI560" i="9"/>
  <c r="AI203" i="9"/>
  <c r="AK204" i="9" s="1"/>
  <c r="AI485" i="9"/>
  <c r="AI337" i="9"/>
  <c r="AI308" i="9"/>
  <c r="AI249" i="9"/>
  <c r="AI334" i="9"/>
  <c r="AI490" i="9"/>
  <c r="AI419" i="9"/>
  <c r="AI194" i="9"/>
  <c r="AI563" i="9"/>
  <c r="AK564" i="9" s="1"/>
  <c r="AI519" i="9"/>
  <c r="AI497" i="9"/>
  <c r="AI378" i="9"/>
  <c r="AI375" i="9"/>
  <c r="AI327" i="9"/>
  <c r="AI352" i="9"/>
  <c r="AI437" i="9"/>
  <c r="AI323" i="9"/>
  <c r="AK324" i="9" s="1"/>
  <c r="AI361" i="9"/>
  <c r="AI321" i="9"/>
  <c r="AI542" i="9"/>
  <c r="AI381" i="9"/>
  <c r="AI486" i="9"/>
  <c r="AI425" i="9"/>
  <c r="AI543" i="9"/>
  <c r="AK544" i="9" s="1"/>
  <c r="AI305" i="9"/>
  <c r="AI539" i="9"/>
  <c r="AI557" i="9"/>
  <c r="AI434" i="9"/>
  <c r="AI478" i="9"/>
  <c r="AI535" i="9"/>
  <c r="AI416" i="9"/>
  <c r="AI456" i="9"/>
  <c r="AI520" i="9"/>
  <c r="AI383" i="9"/>
  <c r="AK384" i="9" s="1"/>
  <c r="AI553" i="9"/>
  <c r="AI197" i="9"/>
  <c r="AI410" i="9"/>
  <c r="AI562" i="9"/>
  <c r="AI362" i="9"/>
  <c r="AI189" i="9"/>
  <c r="AI310" i="9"/>
  <c r="AI452" i="9"/>
  <c r="AI335" i="9"/>
  <c r="AI423" i="9"/>
  <c r="AK424" i="9" s="1"/>
  <c r="AI512" i="9"/>
  <c r="AI328" i="9"/>
  <c r="AI399" i="9"/>
  <c r="AI446" i="9"/>
  <c r="AI528" i="9"/>
  <c r="AI358" i="9"/>
  <c r="AI439" i="9"/>
  <c r="AI247" i="9"/>
  <c r="AI530" i="9"/>
  <c r="AI479" i="9"/>
  <c r="AI431" i="9"/>
  <c r="AI556" i="9"/>
  <c r="AI405" i="9"/>
  <c r="AI489" i="9"/>
  <c r="AI192" i="9"/>
  <c r="AI503" i="9"/>
  <c r="AK504" i="9" s="1"/>
  <c r="AI450" i="9"/>
  <c r="AI433" i="9"/>
  <c r="AI219" i="9"/>
  <c r="AI257" i="9"/>
  <c r="AI469" i="9"/>
  <c r="AI477" i="9"/>
  <c r="AI559" i="9"/>
  <c r="AI373" i="9"/>
  <c r="AI342" i="9"/>
  <c r="AI215" i="9"/>
  <c r="AI428" i="9"/>
  <c r="AI401" i="9"/>
  <c r="AI502" i="9"/>
  <c r="AI314" i="9"/>
  <c r="AI513" i="9"/>
  <c r="AI417" i="9"/>
  <c r="AI487" i="9"/>
  <c r="AI538" i="9"/>
  <c r="AI534" i="9"/>
  <c r="AI531" i="9"/>
  <c r="AI518" i="9"/>
  <c r="AI412" i="9"/>
  <c r="AI475" i="9"/>
  <c r="AI367" i="9"/>
  <c r="AI217" i="9"/>
  <c r="AI216" i="9"/>
  <c r="AI473" i="9"/>
  <c r="AI246" i="9"/>
  <c r="AI418" i="9"/>
  <c r="AI508" i="9"/>
  <c r="AI317" i="9"/>
  <c r="AI409" i="9"/>
  <c r="AI357" i="9"/>
  <c r="AI516" i="9"/>
  <c r="AI532" i="9"/>
  <c r="AI193" i="9"/>
  <c r="AI400" i="9"/>
  <c r="AI205" i="9"/>
  <c r="AI213" i="9"/>
  <c r="AI202" i="9"/>
  <c r="AI380" i="9"/>
  <c r="AI211" i="9"/>
  <c r="AI427" i="9"/>
  <c r="AI307" i="9"/>
  <c r="AI331" i="9"/>
  <c r="AI332" i="9"/>
  <c r="AI251" i="9"/>
  <c r="AI325" i="9"/>
  <c r="AI326" i="9"/>
  <c r="AI483" i="9"/>
  <c r="AK484" i="9" s="1"/>
  <c r="AI455" i="9"/>
  <c r="AI407" i="9"/>
  <c r="AI222" i="9"/>
  <c r="AI500" i="9"/>
  <c r="AI550" i="9"/>
  <c r="AI368" i="9"/>
  <c r="AI435" i="9"/>
  <c r="AI422" i="9"/>
  <c r="AI454" i="9"/>
  <c r="AI501" i="9"/>
  <c r="AI467" i="9"/>
  <c r="AI196" i="9"/>
  <c r="AI309" i="9"/>
  <c r="AI442" i="9"/>
  <c r="AI376" i="9"/>
  <c r="AI413" i="9"/>
  <c r="AI527" i="9"/>
  <c r="AI319" i="9"/>
  <c r="AI468" i="9"/>
  <c r="AI330" i="9"/>
  <c r="AI471" i="9"/>
  <c r="AI540" i="9"/>
  <c r="AI372" i="9"/>
  <c r="AI482" i="9"/>
  <c r="AI430" i="9"/>
  <c r="AI218" i="9"/>
  <c r="AI186" i="9"/>
  <c r="AI256" i="9"/>
  <c r="AI453" i="9"/>
  <c r="AI263" i="9"/>
  <c r="AK264" i="9" s="1"/>
  <c r="AI488" i="9"/>
  <c r="AI517" i="9"/>
  <c r="AI214" i="9"/>
  <c r="AI338" i="9"/>
  <c r="AI250" i="9"/>
  <c r="AI460" i="9"/>
  <c r="AI253" i="9"/>
  <c r="AI555" i="9"/>
  <c r="AI492" i="9"/>
  <c r="AI200" i="9"/>
  <c r="AI511" i="9"/>
  <c r="AI449" i="9"/>
  <c r="AI462" i="9"/>
  <c r="AI382" i="9"/>
  <c r="AI408" i="9"/>
  <c r="AI346" i="9"/>
  <c r="AI529" i="9"/>
  <c r="AK530" i="9" s="1"/>
  <c r="AI522" i="9"/>
  <c r="AI521" i="9"/>
  <c r="AI353" i="9"/>
  <c r="AI315" i="9"/>
  <c r="AI447" i="9"/>
  <c r="AI365" i="9"/>
  <c r="AI461" i="9"/>
  <c r="AI548" i="9"/>
  <c r="AI509" i="9"/>
  <c r="AI429" i="9"/>
  <c r="AI339" i="9"/>
  <c r="AI371" i="9"/>
  <c r="AI549" i="9"/>
  <c r="AI318" i="9"/>
  <c r="AI221" i="9"/>
  <c r="AI436" i="9"/>
  <c r="AI546" i="9"/>
  <c r="AI212" i="9"/>
  <c r="AI472" i="9"/>
  <c r="AI347" i="9"/>
  <c r="AI551" i="9"/>
  <c r="AI474" i="9"/>
  <c r="AI195" i="9"/>
  <c r="AI360" i="9"/>
  <c r="AI210" i="9"/>
  <c r="AI363" i="9"/>
  <c r="AK364" i="9" s="1"/>
  <c r="AI443" i="9"/>
  <c r="AK444" i="9" s="1"/>
  <c r="AI343" i="9"/>
  <c r="AK344" i="9" s="1"/>
  <c r="AI537" i="9"/>
  <c r="AI515" i="9"/>
  <c r="AI220" i="9"/>
  <c r="AI191" i="9"/>
  <c r="AI188" i="9"/>
  <c r="AI355" i="9"/>
  <c r="AI185" i="9"/>
  <c r="AI260" i="9"/>
  <c r="AI207" i="9"/>
  <c r="AI480" i="9"/>
  <c r="AI458" i="9"/>
  <c r="AI414" i="9"/>
  <c r="AI554" i="9"/>
  <c r="AI258" i="9"/>
  <c r="AI438" i="9"/>
  <c r="AI252" i="9"/>
  <c r="AI370" i="9"/>
  <c r="AI261" i="9"/>
  <c r="AI498" i="9"/>
  <c r="AI441" i="9"/>
  <c r="AI356" i="9"/>
  <c r="AI322" i="9"/>
  <c r="AI336" i="9"/>
  <c r="AI510" i="9"/>
  <c r="AI505" i="9"/>
  <c r="AI259" i="9"/>
  <c r="AI466" i="9"/>
  <c r="AI525" i="9"/>
  <c r="AI420" i="9"/>
  <c r="AI206" i="9"/>
  <c r="AI254" i="9"/>
  <c r="AI406" i="9"/>
  <c r="AI199" i="9"/>
  <c r="AI561" i="9"/>
  <c r="AI552" i="9"/>
  <c r="AI491" i="9"/>
  <c r="AI262" i="9"/>
  <c r="AI354" i="9"/>
  <c r="AI351" i="9"/>
  <c r="AI432" i="9"/>
  <c r="AI465" i="9"/>
  <c r="AI379" i="9"/>
  <c r="AI320" i="9"/>
  <c r="AI377" i="9"/>
  <c r="AI341" i="9"/>
  <c r="AI345" i="9"/>
  <c r="AI476" i="9"/>
  <c r="AI333" i="9"/>
  <c r="AI349" i="9"/>
  <c r="AI526" i="9"/>
  <c r="AI470" i="9"/>
  <c r="AI481" i="9"/>
  <c r="AI187" i="9"/>
  <c r="AI306" i="9"/>
  <c r="AI448" i="9"/>
  <c r="AI340" i="9"/>
  <c r="AI421" i="9"/>
  <c r="AI403" i="9"/>
  <c r="AK404" i="9" s="1"/>
  <c r="AI457" i="9"/>
  <c r="AI506" i="9"/>
  <c r="AI547" i="9"/>
  <c r="AI190" i="9"/>
  <c r="AI313" i="9"/>
  <c r="AI201" i="9"/>
  <c r="AI494" i="9"/>
  <c r="AI245" i="9"/>
  <c r="AI359" i="9"/>
  <c r="AI312" i="9"/>
  <c r="AI366" i="9"/>
  <c r="AI415" i="9"/>
  <c r="AI255" i="9"/>
  <c r="AI514" i="9"/>
  <c r="AI523" i="9"/>
  <c r="AK524" i="9" s="1"/>
  <c r="AI459" i="9"/>
  <c r="AI440" i="9"/>
  <c r="AI496" i="9"/>
  <c r="AI493" i="9"/>
  <c r="AI533" i="9"/>
  <c r="AI541" i="9"/>
  <c r="AI495" i="9"/>
  <c r="AI445" i="9"/>
  <c r="AI248" i="9"/>
  <c r="AI411" i="9"/>
  <c r="AI507" i="9"/>
  <c r="AI499" i="9"/>
  <c r="AI369" i="9"/>
  <c r="AI209" i="9"/>
  <c r="AI311" i="9"/>
  <c r="AI451" i="9"/>
  <c r="AK452" i="9" s="1"/>
  <c r="AI536" i="9"/>
  <c r="AI545" i="9"/>
  <c r="AI463" i="9"/>
  <c r="AK464" i="9" s="1"/>
  <c r="AI350" i="9"/>
  <c r="AI208" i="9"/>
  <c r="AI198" i="9"/>
  <c r="AI316" i="9"/>
  <c r="AJ6" i="9"/>
  <c r="AJ57" i="9"/>
  <c r="AI57" i="9" s="1"/>
  <c r="AK58" i="9" s="1"/>
  <c r="AJ60" i="9"/>
  <c r="AI60" i="9" s="1"/>
  <c r="AK61" i="9" s="1"/>
  <c r="AJ389" i="9"/>
  <c r="AI389" i="9" s="1"/>
  <c r="AJ62" i="9"/>
  <c r="AI62" i="9" s="1"/>
  <c r="AJ55" i="9"/>
  <c r="AI55" i="9" s="1"/>
  <c r="AK56" i="9" s="1"/>
  <c r="AJ68" i="9"/>
  <c r="AI68" i="9" s="1"/>
  <c r="AJ59" i="9"/>
  <c r="AI59" i="9" s="1"/>
  <c r="AJ386" i="9"/>
  <c r="AI386" i="9" s="1"/>
  <c r="AK386" i="9" s="1"/>
  <c r="AJ396" i="9"/>
  <c r="AI396" i="9" s="1"/>
  <c r="AK397" i="9" s="1"/>
  <c r="AJ71" i="9"/>
  <c r="AI71" i="9" s="1"/>
  <c r="AK72" i="9" s="1"/>
  <c r="AJ76" i="9"/>
  <c r="AI76" i="9" s="1"/>
  <c r="AJ77" i="9"/>
  <c r="AI77" i="9" s="1"/>
  <c r="AJ74" i="9"/>
  <c r="AI74" i="9" s="1"/>
  <c r="AK75" i="9" s="1"/>
  <c r="AJ394" i="9"/>
  <c r="AI394" i="9" s="1"/>
  <c r="AK395" i="9" s="1"/>
  <c r="AJ38" i="9"/>
  <c r="AI38" i="9" s="1"/>
  <c r="AK38" i="9" s="1"/>
  <c r="AJ63" i="9"/>
  <c r="AI63" i="9" s="1"/>
  <c r="AK64" i="9" s="1"/>
  <c r="AJ27" i="9"/>
  <c r="AI27" i="9" s="1"/>
  <c r="AK27" i="9" s="1"/>
  <c r="AJ46" i="9"/>
  <c r="AI46" i="9" s="1"/>
  <c r="AJ30" i="9"/>
  <c r="AI30" i="9" s="1"/>
  <c r="AK31" i="9" s="1"/>
  <c r="AJ47" i="9"/>
  <c r="AI47" i="9" s="1"/>
  <c r="AJ53" i="9"/>
  <c r="AI53" i="9" s="1"/>
  <c r="AJ398" i="9"/>
  <c r="AI398" i="9" s="1"/>
  <c r="AJ39" i="9"/>
  <c r="AI39" i="9" s="1"/>
  <c r="AK40" i="9" s="1"/>
  <c r="AJ45" i="9"/>
  <c r="AI45" i="9" s="1"/>
  <c r="AJ390" i="9"/>
  <c r="AI390" i="9" s="1"/>
  <c r="AK391" i="9" s="1"/>
  <c r="AJ80" i="9"/>
  <c r="AI80" i="9" s="1"/>
  <c r="AK81" i="9" s="1"/>
  <c r="AJ393" i="9"/>
  <c r="AI393" i="9" s="1"/>
  <c r="AJ69" i="9"/>
  <c r="AI69" i="9" s="1"/>
  <c r="AK70" i="9" s="1"/>
  <c r="AJ32" i="9"/>
  <c r="AI32" i="9" s="1"/>
  <c r="AK33" i="9" s="1"/>
  <c r="AJ54" i="9"/>
  <c r="AI54" i="9" s="1"/>
  <c r="AJ66" i="9"/>
  <c r="AI66" i="9" s="1"/>
  <c r="AK67" i="9" s="1"/>
  <c r="AJ29" i="9"/>
  <c r="AI29" i="9" s="1"/>
  <c r="AJ25" i="9"/>
  <c r="AJ36" i="9"/>
  <c r="AI36" i="9" s="1"/>
  <c r="AK37" i="9" s="1"/>
  <c r="AJ49" i="9"/>
  <c r="AI49" i="9" s="1"/>
  <c r="AK50" i="9" s="1"/>
  <c r="AJ34" i="9"/>
  <c r="AI34" i="9" s="1"/>
  <c r="AK35" i="9" s="1"/>
  <c r="AJ78" i="9"/>
  <c r="AI78" i="9" s="1"/>
  <c r="AK79" i="9" s="1"/>
  <c r="AJ28" i="9"/>
  <c r="AI28" i="9" s="1"/>
  <c r="AJ42" i="9"/>
  <c r="AI42" i="9" s="1"/>
  <c r="AK43" i="9" s="1"/>
  <c r="AJ52" i="9"/>
  <c r="AI52" i="9" s="1"/>
  <c r="AJ48" i="9"/>
  <c r="AI48" i="9" s="1"/>
  <c r="AJ41" i="9"/>
  <c r="AI41" i="9" s="1"/>
  <c r="AJ387" i="9"/>
  <c r="AI387" i="9" s="1"/>
  <c r="AK388" i="9" s="1"/>
  <c r="AJ22" i="9"/>
  <c r="AJ10" i="9"/>
  <c r="AJ11" i="9"/>
  <c r="AJ19" i="9"/>
  <c r="AJ18" i="9"/>
  <c r="AJ16" i="9"/>
  <c r="AJ20" i="9"/>
  <c r="AJ7" i="9"/>
  <c r="AJ15" i="9"/>
  <c r="AJ17" i="9"/>
  <c r="AJ23" i="9"/>
  <c r="AJ13" i="9"/>
  <c r="AJ8" i="9"/>
  <c r="AJ12" i="9"/>
  <c r="AK552" i="9" l="1"/>
  <c r="AK542" i="9"/>
  <c r="AK503" i="9"/>
  <c r="AK548" i="9"/>
  <c r="AK555" i="9"/>
  <c r="AK550" i="9"/>
  <c r="AK557" i="9"/>
  <c r="AK490" i="9"/>
  <c r="AK433" i="9"/>
  <c r="AK536" i="9"/>
  <c r="AK553" i="9"/>
  <c r="AK409" i="9"/>
  <c r="AK522" i="9"/>
  <c r="AK561" i="9"/>
  <c r="AK559" i="9"/>
  <c r="AK533" i="9"/>
  <c r="AK563" i="9"/>
  <c r="AK437" i="9"/>
  <c r="AK546" i="9"/>
  <c r="AK545" i="9"/>
  <c r="AK556" i="9"/>
  <c r="AK543" i="9"/>
  <c r="AK519" i="9"/>
  <c r="AK547" i="9"/>
  <c r="AK539" i="9"/>
  <c r="AK549" i="9"/>
  <c r="AK537" i="9"/>
  <c r="AK527" i="9"/>
  <c r="AK562" i="9"/>
  <c r="AK516" i="9"/>
  <c r="AK551" i="9"/>
  <c r="AK560" i="9"/>
  <c r="AK554" i="9"/>
  <c r="AK558" i="9"/>
  <c r="AK534" i="9"/>
  <c r="AK449" i="9"/>
  <c r="AK500" i="9"/>
  <c r="AK511" i="9"/>
  <c r="AK538" i="9"/>
  <c r="AK528" i="9"/>
  <c r="AK532" i="9"/>
  <c r="AK535" i="9"/>
  <c r="AK529" i="9"/>
  <c r="AK541" i="9"/>
  <c r="AK540" i="9"/>
  <c r="AK508" i="9"/>
  <c r="AK525" i="9"/>
  <c r="AK526" i="9"/>
  <c r="AK480" i="9"/>
  <c r="AK517" i="9"/>
  <c r="AK496" i="9"/>
  <c r="AK467" i="9"/>
  <c r="AK514" i="9"/>
  <c r="AK531" i="9"/>
  <c r="AK513" i="9"/>
  <c r="AK521" i="9"/>
  <c r="AK491" i="9"/>
  <c r="AK510" i="9"/>
  <c r="AK439" i="9"/>
  <c r="AK523" i="9"/>
  <c r="AK512" i="9"/>
  <c r="AK520" i="9"/>
  <c r="AK441" i="9"/>
  <c r="AK506" i="9"/>
  <c r="AK505" i="9"/>
  <c r="AK498" i="9"/>
  <c r="AK515" i="9"/>
  <c r="AK507" i="9"/>
  <c r="AK493" i="9"/>
  <c r="AK518" i="9"/>
  <c r="AK502" i="9"/>
  <c r="AK509" i="9"/>
  <c r="AK476" i="9"/>
  <c r="AK456" i="9"/>
  <c r="AK482" i="9"/>
  <c r="AK454" i="9"/>
  <c r="AK495" i="9"/>
  <c r="AK492" i="9"/>
  <c r="AK499" i="9"/>
  <c r="AK462" i="9"/>
  <c r="AK472" i="9"/>
  <c r="AK489" i="9"/>
  <c r="AK488" i="9"/>
  <c r="AK494" i="9"/>
  <c r="AK481" i="9"/>
  <c r="AK469" i="9"/>
  <c r="AK497" i="9"/>
  <c r="AK341" i="9"/>
  <c r="AK501" i="9"/>
  <c r="AK487" i="9"/>
  <c r="AK486" i="9"/>
  <c r="AK485" i="9"/>
  <c r="AK466" i="9"/>
  <c r="AK465" i="9"/>
  <c r="AK479" i="9"/>
  <c r="AK478" i="9"/>
  <c r="AK477" i="9"/>
  <c r="AK430" i="9"/>
  <c r="AK470" i="9"/>
  <c r="AK475" i="9"/>
  <c r="AK407" i="9"/>
  <c r="AK468" i="9"/>
  <c r="AK474" i="9"/>
  <c r="AK390" i="9"/>
  <c r="AK458" i="9"/>
  <c r="AK471" i="9"/>
  <c r="AK442" i="9"/>
  <c r="AK483" i="9"/>
  <c r="AK451" i="9"/>
  <c r="AK427" i="9"/>
  <c r="AK473" i="9"/>
  <c r="AK455" i="9"/>
  <c r="AK461" i="9"/>
  <c r="AK448" i="9"/>
  <c r="AK453" i="9"/>
  <c r="AK447" i="9"/>
  <c r="AK383" i="9"/>
  <c r="AK431" i="9"/>
  <c r="AK423" i="9"/>
  <c r="AK459" i="9"/>
  <c r="AK348" i="9"/>
  <c r="AK463" i="9"/>
  <c r="AK436" i="9"/>
  <c r="AK460" i="9"/>
  <c r="AK380" i="9"/>
  <c r="AK412" i="9"/>
  <c r="AK446" i="9"/>
  <c r="AK445" i="9"/>
  <c r="AK416" i="9"/>
  <c r="AK450" i="9"/>
  <c r="AK428" i="9"/>
  <c r="AK434" i="9"/>
  <c r="AK440" i="9"/>
  <c r="AK457" i="9"/>
  <c r="AK362" i="9"/>
  <c r="AK435" i="9"/>
  <c r="AK426" i="9"/>
  <c r="AK425" i="9"/>
  <c r="AK399" i="9"/>
  <c r="AK377" i="9"/>
  <c r="AK432" i="9"/>
  <c r="AK438" i="9"/>
  <c r="AK419" i="9"/>
  <c r="AK421" i="9"/>
  <c r="AK331" i="9"/>
  <c r="AK443" i="9"/>
  <c r="AK429" i="9"/>
  <c r="AK411" i="9"/>
  <c r="AK417" i="9"/>
  <c r="AK319" i="9"/>
  <c r="AK413" i="9"/>
  <c r="AK406" i="9"/>
  <c r="AK405" i="9"/>
  <c r="AK422" i="9"/>
  <c r="AK408" i="9"/>
  <c r="AK403" i="9"/>
  <c r="AK372" i="9"/>
  <c r="AK410" i="9"/>
  <c r="AK418" i="9"/>
  <c r="AK396" i="9"/>
  <c r="AK360" i="9"/>
  <c r="AK415" i="9"/>
  <c r="AK401" i="9"/>
  <c r="AK414" i="9"/>
  <c r="AK420" i="9"/>
  <c r="AK402" i="9"/>
  <c r="AK355" i="9"/>
  <c r="AK379" i="9"/>
  <c r="AK375" i="9"/>
  <c r="AK389" i="9"/>
  <c r="AK371" i="9"/>
  <c r="AK394" i="9"/>
  <c r="AK400" i="9"/>
  <c r="AK393" i="9"/>
  <c r="AK387" i="9"/>
  <c r="AK370" i="9"/>
  <c r="AK367" i="9"/>
  <c r="AK333" i="9"/>
  <c r="AK359" i="9"/>
  <c r="AK382" i="9"/>
  <c r="AK398" i="9"/>
  <c r="AK366" i="9"/>
  <c r="AK365" i="9"/>
  <c r="AK369" i="9"/>
  <c r="AK358" i="9"/>
  <c r="AK316" i="9"/>
  <c r="AK374" i="9"/>
  <c r="AK378" i="9"/>
  <c r="AK352" i="9"/>
  <c r="AK350" i="9"/>
  <c r="AK339" i="9"/>
  <c r="AK373" i="9"/>
  <c r="AK310" i="9"/>
  <c r="AK328" i="9"/>
  <c r="AK251" i="9"/>
  <c r="AK381" i="9"/>
  <c r="AK368" i="9"/>
  <c r="AK376" i="9"/>
  <c r="AK349" i="9"/>
  <c r="AK317" i="9"/>
  <c r="AK314" i="9"/>
  <c r="AK334" i="9"/>
  <c r="AK361" i="9"/>
  <c r="AK327" i="9"/>
  <c r="AK347" i="9"/>
  <c r="AK363" i="9"/>
  <c r="AK351" i="9"/>
  <c r="AK346" i="9"/>
  <c r="AK345" i="9"/>
  <c r="AK323" i="9"/>
  <c r="AK356" i="9"/>
  <c r="AK354" i="9"/>
  <c r="AK260" i="9"/>
  <c r="AK357" i="9"/>
  <c r="AK336" i="9"/>
  <c r="AK353" i="9"/>
  <c r="AK332" i="9"/>
  <c r="AK338" i="9"/>
  <c r="AK330" i="9"/>
  <c r="AK343" i="9"/>
  <c r="AK312" i="9"/>
  <c r="AK249" i="9"/>
  <c r="AK340" i="9"/>
  <c r="AK326" i="9"/>
  <c r="AK325" i="9"/>
  <c r="AK329" i="9"/>
  <c r="AK308" i="9"/>
  <c r="AK342" i="9"/>
  <c r="AK337" i="9"/>
  <c r="AK335" i="9"/>
  <c r="AK321" i="9"/>
  <c r="AK311" i="9"/>
  <c r="AK307" i="9"/>
  <c r="AK313" i="9"/>
  <c r="AK188" i="9"/>
  <c r="AK315" i="9"/>
  <c r="AK322" i="9"/>
  <c r="AK320" i="9"/>
  <c r="AK318" i="9"/>
  <c r="AK306" i="9"/>
  <c r="AK305" i="9"/>
  <c r="AK309" i="9"/>
  <c r="AK222" i="9"/>
  <c r="AK256" i="9"/>
  <c r="AK196" i="9"/>
  <c r="AK190" i="9"/>
  <c r="AK55" i="9"/>
  <c r="AK210" i="9"/>
  <c r="AK263" i="9"/>
  <c r="AK259" i="9"/>
  <c r="AK255" i="9"/>
  <c r="AK208" i="9"/>
  <c r="AK223" i="9"/>
  <c r="AK254" i="9"/>
  <c r="AK247" i="9"/>
  <c r="AK262" i="9"/>
  <c r="AK261" i="9"/>
  <c r="AK252" i="9"/>
  <c r="AK246" i="9"/>
  <c r="AK245" i="9"/>
  <c r="AK253" i="9"/>
  <c r="AK216" i="9"/>
  <c r="AK258" i="9"/>
  <c r="AK212" i="9"/>
  <c r="AK257" i="9"/>
  <c r="AK248" i="9"/>
  <c r="AK198" i="9"/>
  <c r="AK250" i="9"/>
  <c r="AK201" i="9"/>
  <c r="AK187" i="9"/>
  <c r="AK220" i="9"/>
  <c r="AK219" i="9"/>
  <c r="AK199" i="9"/>
  <c r="AK207" i="9"/>
  <c r="AK217" i="9"/>
  <c r="AK203" i="9"/>
  <c r="AK191" i="9"/>
  <c r="AK194" i="9"/>
  <c r="AK221" i="9"/>
  <c r="AK215" i="9"/>
  <c r="AK213" i="9"/>
  <c r="AK206" i="9"/>
  <c r="AK205" i="9"/>
  <c r="AK127" i="9"/>
  <c r="AK209" i="9"/>
  <c r="AK214" i="9"/>
  <c r="AK211" i="9"/>
  <c r="AK218" i="9"/>
  <c r="AK186" i="9"/>
  <c r="AK185" i="9"/>
  <c r="AK202" i="9"/>
  <c r="AK195" i="9"/>
  <c r="AK193" i="9"/>
  <c r="AK200" i="9"/>
  <c r="AK189" i="9"/>
  <c r="AK197" i="9"/>
  <c r="AK192" i="9"/>
  <c r="AK128" i="9"/>
  <c r="AK129" i="9"/>
  <c r="AK130" i="9"/>
  <c r="AK126" i="9"/>
  <c r="AK125" i="9"/>
  <c r="AK69" i="9"/>
  <c r="AK132" i="9"/>
  <c r="AK134" i="9"/>
  <c r="AK48" i="9"/>
  <c r="AK63" i="9"/>
  <c r="AK77" i="9"/>
  <c r="AK71" i="9"/>
  <c r="AK32" i="9"/>
  <c r="AK76" i="9"/>
  <c r="AK66" i="9"/>
  <c r="AK78" i="9"/>
  <c r="AK68" i="9"/>
  <c r="AK53" i="9"/>
  <c r="AK80" i="9"/>
  <c r="AK74" i="9"/>
  <c r="AK49" i="9"/>
  <c r="AK62" i="9"/>
  <c r="AK60" i="9"/>
  <c r="AK52" i="9"/>
  <c r="AK59" i="9"/>
  <c r="AK47" i="9"/>
  <c r="AK30" i="9"/>
  <c r="AK46" i="9"/>
  <c r="AK45" i="9"/>
  <c r="AK54" i="9"/>
  <c r="AK57" i="9"/>
  <c r="AK42" i="9"/>
  <c r="AK28" i="9"/>
  <c r="AK39" i="9"/>
  <c r="AK34" i="9"/>
  <c r="AK36" i="9"/>
  <c r="AK29" i="9"/>
  <c r="AK41" i="9"/>
  <c r="AI6" i="9"/>
  <c r="AI15" i="9"/>
  <c r="AK15" i="9" s="1"/>
  <c r="AI22" i="9"/>
  <c r="AK22" i="9" s="1"/>
  <c r="AI19" i="9"/>
  <c r="AI11" i="9"/>
  <c r="AI17" i="9"/>
  <c r="AI13" i="9"/>
  <c r="AK14" i="9" s="1"/>
  <c r="AI7" i="9"/>
  <c r="AI12" i="9"/>
  <c r="AI16" i="9"/>
  <c r="AI23" i="9"/>
  <c r="AK24" i="9" s="1"/>
  <c r="AI10" i="9"/>
  <c r="AI20" i="9"/>
  <c r="AK21" i="9" s="1"/>
  <c r="AI8" i="9"/>
  <c r="AK9" i="9" s="1"/>
  <c r="AI18" i="9"/>
  <c r="AI25" i="9"/>
  <c r="AK17" i="9" l="1"/>
  <c r="AK8" i="9"/>
  <c r="AK26" i="9"/>
  <c r="AK25" i="9"/>
  <c r="AK13" i="9"/>
  <c r="AK7" i="9"/>
  <c r="AK12" i="9"/>
  <c r="AK11" i="9"/>
  <c r="AK20" i="9"/>
  <c r="AK23" i="9"/>
  <c r="AK16" i="9"/>
  <c r="AK6" i="9"/>
  <c r="AK19" i="9"/>
  <c r="AK18" i="9"/>
  <c r="AK10" i="9"/>
</calcChain>
</file>

<file path=xl/sharedStrings.xml><?xml version="1.0" encoding="utf-8"?>
<sst xmlns="http://schemas.openxmlformats.org/spreadsheetml/2006/main" count="6087" uniqueCount="1309">
  <si>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</si>
  <si>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</si>
  <si>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</si>
  <si>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</si>
  <si>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</si>
  <si>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</si>
  <si>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</si>
  <si>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</si>
  <si>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</si>
  <si>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</si>
  <si>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</si>
  <si>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</si>
  <si>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</si>
  <si>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</si>
  <si>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</si>
  <si>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</si>
  <si>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</si>
  <si>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</si>
  <si>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</si>
  <si>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</si>
  <si>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</si>
  <si>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</si>
  <si>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</si>
  <si>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</si>
  <si>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</si>
  <si>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</si>
  <si>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</si>
  <si>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</si>
  <si>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</si>
  <si>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</si>
  <si>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</si>
  <si>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</si>
  <si>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</si>
  <si>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</si>
  <si>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</si>
  <si>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</si>
  <si>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</si>
  <si>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</si>
  <si>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</si>
  <si>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</si>
  <si>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</si>
  <si>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</si>
  <si>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</si>
  <si>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</si>
  <si>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</si>
  <si>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</si>
  <si>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</si>
  <si>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</si>
  <si>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</si>
  <si>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</si>
  <si>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</si>
  <si>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</si>
  <si>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</si>
  <si>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</si>
  <si>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</si>
  <si>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</si>
  <si>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</si>
  <si>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</si>
  <si>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</si>
  <si>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</si>
  <si>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</si>
  <si>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</si>
  <si>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</si>
  <si>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</si>
  <si>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</si>
  <si>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</si>
  <si>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</si>
  <si>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</si>
  <si>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</si>
  <si>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</si>
  <si>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</si>
  <si>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</si>
  <si>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</si>
  <si>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</si>
  <si>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</si>
  <si>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</si>
  <si>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</si>
  <si>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</si>
  <si>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</si>
  <si>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</si>
  <si>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</si>
  <si>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</si>
  <si>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</si>
  <si>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</si>
  <si>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</si>
  <si>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</si>
  <si>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</si>
  <si>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</si>
  <si>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</si>
  <si>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</si>
  <si>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</si>
  <si>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</si>
  <si>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</si>
  <si>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</si>
  <si>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</si>
  <si>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</si>
  <si>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</si>
  <si>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</si>
  <si>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</si>
  <si>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</si>
  <si>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</si>
  <si>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</si>
  <si>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</si>
  <si>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</si>
  <si>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</si>
  <si>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</si>
  <si>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</si>
  <si>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</si>
  <si>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</si>
  <si>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</si>
  <si>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</si>
  <si>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</si>
  <si>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</si>
  <si>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</si>
  <si>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</si>
  <si>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</si>
  <si>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</si>
  <si>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</si>
  <si>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</si>
  <si>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</si>
  <si>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</si>
  <si>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</si>
  <si>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</si>
  <si>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</si>
  <si>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</si>
  <si>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</si>
  <si>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</si>
  <si>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</si>
  <si>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</si>
  <si>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</si>
  <si>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</si>
  <si>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</si>
  <si>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</si>
  <si>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</si>
  <si>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</si>
  <si>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</si>
  <si>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</si>
  <si>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</si>
  <si>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</si>
  <si>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</si>
  <si>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</si>
  <si>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</si>
  <si>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</si>
  <si>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</si>
  <si>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</si>
  <si>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</si>
  <si>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</si>
  <si>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</si>
  <si>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</si>
  <si>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</si>
  <si>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</si>
  <si>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</si>
  <si>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</si>
  <si>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</si>
  <si>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</si>
  <si>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</si>
  <si>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</si>
  <si>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</si>
  <si>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</si>
  <si>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</si>
  <si>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</si>
  <si>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</si>
  <si>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</si>
  <si>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</si>
  <si>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</si>
  <si>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</si>
  <si>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</si>
  <si>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</si>
  <si>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</si>
  <si>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</si>
  <si>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</si>
  <si>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</si>
  <si>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</si>
  <si>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</si>
  <si>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</si>
  <si>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</si>
  <si>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</si>
  <si>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</si>
  <si>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</si>
  <si>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</si>
  <si>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</si>
  <si>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</si>
  <si>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</si>
  <si>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</si>
  <si>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</si>
  <si>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</si>
  <si>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</si>
  <si>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</si>
  <si>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</si>
  <si>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</si>
  <si>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</si>
  <si>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</si>
  <si>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</si>
  <si>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</si>
  <si>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</si>
  <si>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</si>
  <si>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</si>
  <si>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</si>
  <si>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</si>
  <si>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</si>
  <si>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</si>
  <si>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</si>
  <si>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</si>
  <si>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</si>
  <si>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</si>
  <si>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</si>
  <si>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</si>
  <si>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</si>
  <si>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</si>
  <si>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</si>
  <si>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</si>
  <si>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</si>
  <si>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</si>
  <si>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</si>
  <si>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</si>
  <si>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</si>
  <si>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</si>
  <si>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</si>
  <si>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</si>
  <si>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</si>
  <si>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</si>
  <si>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</si>
  <si>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</si>
  <si>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</si>
  <si>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</si>
  <si>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</si>
  <si>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</si>
  <si>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</si>
  <si>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</si>
  <si>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</si>
  <si>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</si>
  <si>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</si>
  <si>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</si>
  <si>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</si>
  <si>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</si>
  <si>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</si>
  <si>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</si>
  <si>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</si>
  <si>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</si>
  <si>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</si>
  <si>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</si>
  <si>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</si>
  <si>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</si>
  <si>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</si>
  <si>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</si>
  <si>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</si>
  <si>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</si>
  <si>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</si>
  <si>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</si>
  <si>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</si>
  <si>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</si>
  <si>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</si>
  <si>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</si>
  <si>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</si>
  <si>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</si>
  <si>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</si>
  <si>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</si>
  <si>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</si>
  <si>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</si>
  <si>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</si>
  <si>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</si>
  <si>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</si>
  <si>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</si>
  <si>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</si>
  <si>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</si>
  <si>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</si>
  <si>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</si>
  <si>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</si>
  <si>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</si>
  <si>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</si>
  <si>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</si>
  <si>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</si>
  <si>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</si>
  <si>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</si>
  <si>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</si>
  <si>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</si>
  <si>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</si>
  <si>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</si>
  <si>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</si>
  <si>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</si>
  <si>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</si>
  <si>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</si>
  <si>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</si>
  <si>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</si>
  <si>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</si>
  <si>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</si>
  <si>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</si>
  <si>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</si>
  <si>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</si>
  <si>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</si>
  <si>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</si>
  <si>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</si>
  <si>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</si>
  <si>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</si>
  <si>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</si>
  <si>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</si>
  <si>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</si>
  <si>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</si>
  <si>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</si>
  <si>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</si>
  <si>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</si>
  <si>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</si>
  <si>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</si>
  <si>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</si>
  <si>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</si>
  <si>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</si>
  <si>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</si>
  <si>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</si>
  <si>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</si>
  <si>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</si>
  <si>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</si>
  <si>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</si>
  <si>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</si>
  <si>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</si>
  <si>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</si>
  <si>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</si>
  <si>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</si>
  <si>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</si>
  <si>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</si>
  <si>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</si>
  <si>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</si>
  <si>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</si>
  <si>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</si>
  <si>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</si>
  <si>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</si>
  <si>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</si>
  <si>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</si>
  <si>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</si>
  <si>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</si>
  <si>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</si>
  <si>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</si>
  <si>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</si>
  <si>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</si>
  <si>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</si>
  <si>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</si>
  <si>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</si>
  <si>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</si>
  <si>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</si>
  <si>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</si>
  <si>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</si>
  <si>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</si>
  <si>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</si>
  <si>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</si>
  <si>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</si>
  <si>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</si>
  <si>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</si>
  <si>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</si>
  <si>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</si>
  <si>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</si>
  <si>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</si>
  <si>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</si>
  <si>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</si>
  <si>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</si>
  <si>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</si>
  <si>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</si>
  <si>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</si>
  <si>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</si>
  <si>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</si>
  <si>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</si>
  <si>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</si>
  <si>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</si>
  <si>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</si>
  <si>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</si>
  <si>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</si>
  <si>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</si>
  <si>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</si>
  <si>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</si>
  <si>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</si>
  <si>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</si>
  <si>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</si>
  <si>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</si>
  <si>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</si>
  <si>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</si>
  <si>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</si>
  <si>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</si>
  <si>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</si>
  <si>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</si>
  <si>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</si>
  <si>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</si>
  <si>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</si>
  <si>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</si>
  <si>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</si>
  <si>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</si>
  <si>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</si>
  <si>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</si>
  <si>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</si>
  <si>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</si>
  <si>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</si>
  <si>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</si>
  <si>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</si>
  <si>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</si>
  <si>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</si>
  <si>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</si>
  <si>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</si>
  <si>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</si>
  <si>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</si>
  <si>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</si>
  <si>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</si>
  <si>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</si>
  <si>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</si>
  <si>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</si>
  <si>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</si>
  <si>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</si>
  <si>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</si>
  <si>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</si>
  <si>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</si>
  <si>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</si>
  <si>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</si>
  <si>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</si>
  <si>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</si>
  <si>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</si>
  <si>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</si>
  <si>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</si>
  <si>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</si>
  <si>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</si>
  <si>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</si>
  <si>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</si>
  <si>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</si>
  <si>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</si>
  <si>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</si>
  <si>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</si>
  <si>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</si>
  <si>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</si>
  <si>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</si>
  <si>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</si>
  <si>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</si>
  <si>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</si>
  <si>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</si>
  <si>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</si>
  <si>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</si>
  <si>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</si>
  <si>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</si>
  <si>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</si>
  <si>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</si>
  <si>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</si>
  <si>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</si>
  <si>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</si>
  <si>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</si>
  <si>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</si>
  <si>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</si>
  <si>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</si>
  <si>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</si>
  <si>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</si>
  <si>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</si>
  <si>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</si>
  <si>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</si>
  <si>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</si>
  <si>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</si>
  <si>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</si>
  <si>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</si>
  <si>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</si>
  <si>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</si>
  <si>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</si>
  <si>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</si>
  <si>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</si>
  <si>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</si>
  <si>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</si>
  <si>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</si>
  <si>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</si>
  <si>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</si>
  <si>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</si>
  <si>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</si>
  <si>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</si>
  <si>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</si>
  <si>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</si>
  <si>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</si>
  <si>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</si>
  <si>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</si>
  <si>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</si>
  <si>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</si>
  <si>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</si>
  <si>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</si>
  <si>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</si>
  <si>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</si>
  <si>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</si>
  <si>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</si>
  <si>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</si>
  <si>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</si>
  <si>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</si>
  <si>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</si>
  <si>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</si>
  <si>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</si>
  <si>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</si>
  <si>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</si>
  <si>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</si>
  <si>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</si>
  <si>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</si>
  <si>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</si>
  <si>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</si>
  <si>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</si>
  <si>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</si>
  <si>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</si>
  <si>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</si>
  <si>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</si>
  <si>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</si>
  <si>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</si>
  <si>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</si>
  <si>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</si>
  <si>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</si>
  <si>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</si>
  <si>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</si>
  <si>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</si>
  <si>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</si>
  <si>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</si>
  <si>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</si>
  <si>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</si>
  <si>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</si>
  <si>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</si>
  <si>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</si>
  <si>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</si>
  <si>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</si>
  <si>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</si>
  <si>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</si>
  <si>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</si>
  <si>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</si>
  <si>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</si>
  <si>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</si>
  <si>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</si>
  <si>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</si>
  <si>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</si>
  <si>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</si>
  <si>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</si>
  <si>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</si>
  <si>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</si>
  <si>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</si>
  <si>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</si>
  <si>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</si>
  <si>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</si>
  <si>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</si>
  <si>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</si>
  <si>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</si>
  <si>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</si>
  <si>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</si>
  <si>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</si>
  <si>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</si>
  <si>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</si>
  <si>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</si>
  <si>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</si>
  <si>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</si>
  <si>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</si>
  <si>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</si>
  <si>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</si>
  <si>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</si>
  <si>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</si>
  <si>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</si>
  <si>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</si>
  <si>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</si>
  <si>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</si>
  <si>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</si>
  <si>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</si>
  <si>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</si>
  <si>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</si>
  <si>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</si>
  <si>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</si>
  <si>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</si>
  <si>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</si>
  <si>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</si>
  <si>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</si>
  <si>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</si>
  <si>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</si>
  <si>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</si>
  <si>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</si>
  <si>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</si>
  <si>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</si>
  <si>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</si>
  <si>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</si>
  <si>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</si>
  <si>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</si>
  <si>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</si>
  <si>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</si>
  <si>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</si>
  <si>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</si>
  <si>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</si>
  <si>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</si>
  <si>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</si>
  <si>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</si>
  <si>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</si>
  <si>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</si>
  <si>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</si>
  <si>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</si>
  <si>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</si>
  <si>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</si>
  <si>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</si>
  <si>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</si>
  <si>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</si>
  <si>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</si>
  <si>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</si>
  <si>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</si>
  <si>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</si>
  <si>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</si>
  <si>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</si>
  <si>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</si>
  <si>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</si>
  <si>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</si>
  <si>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</si>
  <si>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</si>
  <si>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</si>
  <si>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</si>
  <si>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</si>
  <si>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</si>
  <si>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</si>
  <si>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</si>
  <si>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</si>
  <si>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</si>
  <si>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</si>
  <si>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</si>
  <si>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</si>
  <si>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</si>
  <si>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</si>
  <si>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</si>
  <si>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</si>
  <si>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</si>
  <si>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</si>
  <si>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</si>
  <si>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</si>
  <si>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</si>
  <si>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</si>
  <si>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</si>
  <si>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</si>
  <si>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</si>
  <si>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</si>
  <si>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</si>
  <si>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</si>
  <si>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</si>
  <si>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</si>
  <si>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</si>
  <si>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</si>
  <si>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</si>
  <si>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</si>
  <si>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</si>
  <si>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</si>
  <si>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</si>
  <si>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</si>
  <si>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</si>
  <si>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</si>
  <si>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</si>
  <si>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</si>
  <si>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</si>
  <si>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</si>
  <si>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</si>
  <si>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</si>
  <si>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</si>
  <si>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</si>
  <si>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</si>
  <si>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</si>
  <si>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</si>
  <si>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</si>
  <si>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</si>
  <si>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</si>
  <si>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</si>
  <si>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</si>
  <si>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</si>
  <si>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</si>
  <si>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</si>
  <si>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</si>
  <si>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</si>
  <si>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</si>
  <si>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</si>
  <si>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</si>
  <si>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</si>
  <si>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</si>
  <si>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</si>
  <si>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</si>
  <si>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</si>
  <si>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</si>
  <si>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</si>
  <si>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</si>
  <si>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</si>
  <si>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</si>
  <si>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</si>
  <si>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</si>
  <si>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</si>
  <si>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</si>
  <si>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</si>
  <si>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</si>
  <si>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</si>
  <si>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</si>
  <si>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</si>
  <si>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</si>
  <si>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</si>
  <si>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</si>
  <si>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</si>
  <si>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</si>
  <si>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</si>
  <si>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</si>
  <si>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</si>
  <si>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</si>
  <si>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</si>
  <si>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</si>
  <si>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</si>
  <si>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</si>
  <si>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</si>
  <si>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</si>
  <si>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</si>
  <si>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</si>
  <si>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</si>
  <si>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</si>
  <si>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</si>
  <si>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</si>
  <si>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</si>
  <si>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</si>
  <si>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</si>
  <si>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</si>
  <si>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</si>
  <si>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</si>
  <si>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</si>
  <si>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</si>
  <si>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</si>
  <si>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</si>
  <si>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</si>
  <si>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</si>
  <si>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</si>
  <si>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</si>
  <si>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</si>
  <si>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</si>
  <si>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</si>
  <si>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</si>
  <si>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</si>
  <si>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</si>
  <si>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</si>
  <si>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</si>
  <si>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</si>
  <si>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</si>
  <si>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</si>
  <si>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</si>
  <si>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</si>
  <si>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</si>
  <si>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</si>
  <si>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</si>
  <si>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</si>
  <si>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</si>
  <si>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</si>
  <si>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</si>
  <si>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</si>
  <si>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</si>
  <si>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</si>
  <si>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</si>
  <si>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</si>
  <si>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</si>
  <si>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</si>
  <si>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</si>
  <si>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</si>
  <si>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</si>
  <si>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</si>
  <si>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</si>
  <si>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</si>
  <si>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</si>
  <si>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</si>
  <si>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</si>
  <si>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</si>
  <si>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</si>
  <si>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</si>
  <si>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</si>
  <si>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</si>
  <si>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</si>
  <si>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</si>
  <si>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</si>
  <si>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</si>
  <si>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</si>
  <si>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</si>
  <si>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</si>
  <si>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</si>
  <si>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</si>
  <si>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</si>
  <si>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</si>
  <si>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</si>
  <si>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</si>
  <si>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</si>
  <si>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</si>
  <si>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</si>
  <si>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</si>
  <si>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</si>
  <si>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</si>
  <si>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</si>
  <si>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</si>
  <si>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</si>
  <si>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</si>
  <si>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</si>
  <si>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</si>
  <si>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</si>
  <si>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</si>
  <si>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</si>
  <si>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</si>
  <si>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</si>
  <si>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</si>
  <si>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</si>
  <si>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</si>
  <si>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</si>
  <si>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</si>
  <si>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</si>
  <si>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</si>
  <si>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</si>
  <si>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</si>
  <si>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</si>
  <si>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</si>
  <si>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</si>
  <si>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</si>
  <si>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</si>
  <si>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</si>
  <si>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</si>
  <si>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</si>
  <si>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</si>
  <si>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</si>
  <si>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</si>
  <si>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</si>
  <si>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</si>
  <si>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</si>
  <si>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</si>
  <si>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</si>
  <si>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</si>
  <si>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</si>
  <si>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</si>
  <si>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</si>
  <si>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</si>
  <si>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</si>
  <si>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</si>
  <si>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</si>
  <si>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</si>
  <si>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</si>
  <si>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</si>
  <si>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</si>
  <si>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</si>
  <si>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</si>
  <si>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</si>
  <si>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</si>
  <si>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</si>
  <si>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</si>
  <si>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</si>
  <si>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</si>
  <si>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</si>
  <si>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</si>
  <si>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</si>
  <si>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</si>
  <si>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</si>
  <si>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</si>
  <si>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</si>
  <si>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</si>
  <si>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</si>
  <si>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</si>
  <si>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</si>
  <si>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</si>
  <si>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</si>
  <si>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</si>
  <si>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</si>
  <si>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</si>
  <si>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</si>
  <si>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</si>
  <si>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</si>
  <si>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</si>
  <si>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</si>
  <si>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</si>
  <si>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</si>
  <si>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</si>
  <si>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</si>
  <si>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</si>
  <si>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</si>
  <si>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</si>
  <si>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</si>
  <si>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</si>
  <si>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</si>
  <si>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</si>
  <si>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</si>
  <si>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</si>
  <si>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</si>
  <si>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</si>
  <si>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</si>
  <si>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</si>
  <si>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</si>
  <si>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</si>
  <si>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</si>
  <si>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</si>
  <si>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</si>
  <si>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</si>
  <si>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</si>
  <si>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</si>
  <si>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</si>
  <si>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</si>
  <si>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</si>
  <si>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</si>
  <si>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</si>
  <si>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</si>
  <si>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</si>
  <si>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</si>
  <si>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</si>
  <si>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</si>
  <si>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</si>
  <si>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</si>
  <si>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</si>
  <si>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</si>
  <si>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</si>
  <si>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</si>
  <si>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</si>
  <si>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</si>
  <si>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</si>
  <si>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</si>
  <si>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</si>
  <si>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</si>
  <si>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</si>
  <si>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</si>
  <si>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</si>
  <si>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</si>
  <si>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</si>
  <si>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</si>
  <si>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</si>
  <si>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</si>
  <si>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</si>
  <si>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</si>
  <si>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</si>
  <si>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</si>
  <si>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</si>
  <si>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</si>
  <si>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</si>
  <si>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</si>
  <si>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</si>
  <si>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</si>
  <si>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</si>
  <si>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</si>
  <si>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</si>
  <si>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</si>
  <si>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</si>
  <si>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</si>
  <si>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</si>
  <si>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</si>
  <si>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</si>
  <si>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</si>
  <si>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</si>
  <si>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</si>
  <si>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</si>
  <si>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</si>
  <si>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</si>
  <si>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</si>
  <si>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</si>
  <si>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</si>
  <si>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</si>
  <si>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</si>
  <si>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</si>
  <si>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</si>
  <si>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</si>
  <si>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</si>
  <si>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</si>
  <si>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</si>
  <si>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</si>
  <si>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</si>
  <si>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</si>
  <si>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</si>
  <si>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</si>
  <si>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</si>
  <si>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</si>
  <si>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</si>
  <si>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</si>
  <si>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</si>
  <si>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</si>
  <si>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</si>
  <si>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</si>
  <si>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</si>
  <si>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</si>
  <si>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</si>
  <si>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</si>
  <si>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</si>
  <si>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</si>
  <si>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</si>
  <si>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</si>
  <si>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</si>
  <si>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</si>
  <si>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</si>
  <si>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</si>
  <si>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</si>
  <si>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</si>
  <si>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</si>
  <si>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</si>
  <si>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</si>
  <si>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</si>
  <si>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</si>
  <si>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</si>
  <si>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</si>
  <si>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</si>
  <si>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</si>
  <si>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</si>
  <si>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</si>
  <si>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</si>
  <si>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</si>
  <si>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</si>
  <si>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</si>
  <si>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</si>
  <si>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</si>
  <si>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</si>
  <si>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</si>
  <si>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</si>
  <si>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</si>
  <si>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</si>
  <si>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</si>
  <si>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</si>
  <si>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</si>
  <si>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</si>
  <si>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</si>
  <si>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</si>
  <si>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</si>
  <si>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</si>
  <si>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</si>
  <si>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</si>
  <si>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</si>
  <si>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</si>
  <si>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</si>
  <si>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</si>
  <si>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</si>
  <si>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</si>
  <si>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</si>
  <si>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</si>
  <si>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</si>
  <si>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</si>
  <si>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</si>
  <si>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</si>
  <si>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</si>
  <si>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</si>
  <si>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</si>
  <si>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</si>
  <si>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</si>
  <si>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</si>
  <si>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</si>
  <si>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</si>
  <si>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</si>
  <si>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</si>
  <si>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</si>
  <si>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</si>
  <si>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</si>
  <si>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</si>
  <si>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</si>
  <si>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</si>
  <si>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</si>
  <si>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</si>
  <si>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</si>
  <si>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</si>
  <si>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</si>
  <si>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</si>
  <si>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</si>
  <si>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</si>
  <si>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</si>
  <si>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</si>
  <si>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</si>
  <si>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</si>
  <si>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</si>
  <si>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</si>
  <si>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</si>
  <si>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</si>
  <si>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</si>
  <si>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</si>
  <si>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</si>
  <si>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</si>
  <si>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</si>
  <si>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</si>
  <si>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</si>
  <si>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</si>
  <si>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</si>
  <si>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</si>
  <si>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</si>
  <si>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</si>
  <si>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</si>
  <si>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</si>
  <si>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</si>
  <si>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</si>
  <si>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</si>
  <si>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</si>
  <si>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</si>
  <si>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</si>
  <si>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</si>
  <si>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</si>
  <si>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</si>
  <si>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</si>
  <si>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</si>
  <si>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</si>
  <si>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</si>
  <si>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</si>
  <si>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</si>
  <si>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</si>
  <si>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</si>
  <si>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</si>
  <si>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</si>
  <si>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</si>
  <si>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</si>
  <si>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</si>
  <si>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</si>
  <si>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</si>
  <si>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</si>
  <si>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</si>
  <si>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</si>
  <si>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</si>
  <si>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</si>
  <si>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</si>
  <si>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</si>
  <si>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</si>
  <si>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</si>
  <si>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</si>
  <si>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</si>
  <si>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</si>
  <si>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</si>
  <si>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</si>
  <si>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</si>
  <si>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</si>
  <si>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</si>
  <si>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</si>
  <si>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</si>
  <si>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</si>
  <si>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</si>
  <si>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</si>
  <si>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</si>
  <si>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</si>
  <si>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</si>
  <si>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</si>
  <si>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</si>
  <si>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</si>
  <si>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</si>
  <si>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</si>
  <si>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</si>
  <si>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</si>
  <si>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</si>
  <si>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</si>
  <si>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</si>
  <si>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</si>
  <si>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</si>
  <si>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</si>
  <si>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</si>
  <si>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</si>
  <si>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</si>
  <si>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</si>
  <si>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</si>
  <si>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</si>
  <si>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</si>
  <si>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</si>
  <si>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</si>
  <si>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</si>
  <si>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</si>
  <si>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</si>
  <si>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</si>
  <si>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</si>
  <si>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</si>
  <si>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</si>
  <si>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</si>
  <si>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</si>
  <si>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</si>
  <si>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</si>
  <si>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</si>
  <si>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</si>
  <si>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</si>
  <si>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</si>
  <si>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</si>
  <si>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</si>
  <si>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</si>
  <si>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</si>
  <si>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</si>
  <si>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</si>
  <si>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jianshenfang_bldgcap</t>
    <phoneticPr fontId="13" type="noConversion"/>
  </si>
  <si>
    <t>car_bldgspd</t>
    <phoneticPr fontId="13" type="noConversion"/>
  </si>
  <si>
    <t>key1</t>
    <phoneticPr fontId="13" type="noConversion"/>
  </si>
  <si>
    <t>key2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</si>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</sst>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2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573</v>
      </c>
    </row>
    <row r="16" spans="1:7" x14ac:dyDescent="0.15">
      <c r="B16" s="44">
        <v>2</v>
      </c>
      <c r="D16" s="44" t="s">
        <v>258</v>
      </c>
      <c r="F16" s="44" t="s">
        <v>574</v>
      </c>
    </row>
    <row r="17" spans="2:6" x14ac:dyDescent="0.15">
      <c r="B17" s="44">
        <v>3</v>
      </c>
      <c r="D17" s="44" t="s">
        <v>257</v>
      </c>
      <c r="F17" s="44" t="s">
        <v>670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594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65"/>
  <sheetViews>
    <sheetView topLeftCell="A405" zoomScaleNormal="100" workbookViewId="0">
      <pane xSplit="12" topLeftCell="O1" activePane="topRight" state="frozen"/>
      <selection pane="topRight" activeCell="L455" sqref="L45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6" bestFit="1" customWidth="1"/>
    <col min="23" max="23" width="21.125" style="84" bestFit="1" customWidth="1"/>
    <col min="24" max="24" width="27.25" style="9" bestFit="1" customWidth="1"/>
    <col min="25" max="25" width="27.25" style="11" bestFit="1" customWidth="1"/>
    <col min="26" max="26" width="21.125" style="84" bestFit="1" customWidth="1"/>
    <col min="27" max="27" width="27.25" style="9" bestFit="1" customWidth="1"/>
    <col min="28" max="28" width="5.625" style="76" bestFit="1" customWidth="1"/>
    <col min="29" max="29" width="27.25" style="9" bestFit="1" customWidth="1"/>
    <col min="30" max="30" width="21.125" style="9" bestFit="1" customWidth="1"/>
    <col min="31" max="31" width="5.625" style="76" bestFit="1" customWidth="1"/>
    <col min="32" max="32" width="21.125" style="11" bestFit="1" customWidth="1"/>
    <col min="33" max="33" width="21.125" style="56" customWidth="1"/>
    <col min="34" max="34" width="5.625" style="76" bestFit="1" customWidth="1"/>
    <col min="35" max="35" width="21.125" style="56" bestFit="1" customWidth="1"/>
    <col min="36" max="36" width="21.125" style="10" bestFit="1" customWidth="1"/>
    <col min="37" max="37" width="21.125" style="182" bestFit="1" customWidth="1"/>
    <col min="38" max="38" width="5.625" style="76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1092</v>
      </c>
      <c r="M1" s="9" t="s">
        <v>805</v>
      </c>
      <c r="N1" s="9" t="s">
        <v>593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1115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1093</v>
      </c>
      <c r="M2" s="9" t="s">
        <v>804</v>
      </c>
      <c r="N2" s="9" t="s">
        <v>484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484</v>
      </c>
      <c r="X2" s="9" t="s">
        <v>506</v>
      </c>
      <c r="Y2" s="11" t="s">
        <v>61</v>
      </c>
      <c r="AA2" s="9" t="s">
        <v>506</v>
      </c>
      <c r="AC2" s="9" t="s">
        <v>62</v>
      </c>
      <c r="AD2" s="9" t="s">
        <v>61</v>
      </c>
      <c r="AF2" s="11" t="s">
        <v>61</v>
      </c>
      <c r="AG2" s="56" t="s">
        <v>1114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1094</v>
      </c>
      <c r="M3" s="9" t="s">
        <v>935</v>
      </c>
      <c r="N3" s="9" t="s">
        <v>936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486</v>
      </c>
      <c r="X3" s="9" t="s">
        <v>533</v>
      </c>
      <c r="Y3" s="11" t="s">
        <v>557</v>
      </c>
      <c r="AA3" s="9" t="s">
        <v>507</v>
      </c>
      <c r="AC3" s="9" t="s">
        <v>335</v>
      </c>
      <c r="AD3" s="9" t="s">
        <v>340</v>
      </c>
      <c r="AF3" s="11" t="s">
        <v>418</v>
      </c>
      <c r="AG3" s="56" t="s">
        <v>1113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487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1095</v>
      </c>
      <c r="M4" s="27" t="s">
        <v>1152</v>
      </c>
      <c r="N4" s="27" t="s">
        <v>1153</v>
      </c>
      <c r="O4" s="27" t="s">
        <v>342</v>
      </c>
      <c r="P4" s="27" t="s">
        <v>356</v>
      </c>
      <c r="Q4" s="27" t="s">
        <v>238</v>
      </c>
      <c r="R4" s="67" t="s">
        <v>353</v>
      </c>
      <c r="S4" s="67" t="s">
        <v>352</v>
      </c>
      <c r="T4" s="40" t="s">
        <v>323</v>
      </c>
      <c r="U4" s="9" t="s">
        <v>485</v>
      </c>
      <c r="V4" s="77" t="s">
        <v>555</v>
      </c>
      <c r="W4" s="85" t="s">
        <v>537</v>
      </c>
      <c r="X4" s="27" t="s">
        <v>535</v>
      </c>
      <c r="Y4" s="88" t="s">
        <v>565</v>
      </c>
      <c r="Z4" s="85" t="s">
        <v>536</v>
      </c>
      <c r="AA4" s="27" t="s">
        <v>534</v>
      </c>
      <c r="AB4" s="77" t="s">
        <v>554</v>
      </c>
      <c r="AC4" s="27" t="s">
        <v>334</v>
      </c>
      <c r="AD4" s="27" t="s">
        <v>339</v>
      </c>
      <c r="AE4" s="77" t="s">
        <v>417</v>
      </c>
      <c r="AF4" s="88" t="s">
        <v>589</v>
      </c>
      <c r="AG4" s="89" t="s">
        <v>1110</v>
      </c>
      <c r="AH4" s="77" t="s">
        <v>556</v>
      </c>
      <c r="AI4" s="89" t="s">
        <v>675</v>
      </c>
      <c r="AJ4" s="90" t="s">
        <v>1109</v>
      </c>
      <c r="AK4" s="183" t="s">
        <v>588</v>
      </c>
      <c r="AL4" s="77" t="s">
        <v>171</v>
      </c>
      <c r="AM4" s="65" t="s">
        <v>318</v>
      </c>
      <c r="AN4" s="64" t="s">
        <v>1107</v>
      </c>
      <c r="AO4" s="65" t="s">
        <v>419</v>
      </c>
      <c r="AP4" s="64" t="s">
        <v>1106</v>
      </c>
      <c r="AQ4" s="65" t="s">
        <v>426</v>
      </c>
      <c r="AR4" s="64" t="s">
        <v>1108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 t="s">
        <v>954</v>
      </c>
      <c r="N5" s="16" t="s">
        <v>953</v>
      </c>
      <c r="O5" s="16">
        <v>1</v>
      </c>
      <c r="P5" s="16">
        <v>15</v>
      </c>
      <c r="Q5" s="16" t="s">
        <v>1204</v>
      </c>
      <c r="R5" s="17"/>
      <c r="S5" s="17"/>
      <c r="T5" s="18"/>
      <c r="U5" s="16" t="s">
        <v>687</v>
      </c>
      <c r="V5" s="78"/>
      <c r="W5" s="86"/>
      <c r="X5" s="16">
        <f ca="1">IFERROR(OFFSET(ITEM_RES!$A$5,MATCH(BUILDING!W5,ITEM_RES!$J$5:$J$226,0)-1,0),0)</f>
        <v>0</v>
      </c>
      <c r="Y5" s="18"/>
      <c r="Z5" s="86" t="s">
        <v>538</v>
      </c>
      <c r="AA5" s="16">
        <f ca="1">IFERROR(OFFSET(ITEM_RES!$A$5,MATCH(BUILDING!Z5,ITEM_RES!$J$5:$J$226,0)-1,0),0)</f>
        <v>211010101</v>
      </c>
      <c r="AB5" s="78"/>
      <c r="AC5" s="16" t="s">
        <v>508</v>
      </c>
      <c r="AD5" s="16">
        <v>1</v>
      </c>
      <c r="AE5" s="78"/>
      <c r="AF5" s="18">
        <f ca="1">IFERROR(OFFSET(MANOR_LEVEL!$B$1,MATCH(AG5-1,MANOR_LEVEL!$A:$A,0)-1,0),0)</f>
        <v>0</v>
      </c>
      <c r="AG5" s="57">
        <v>1</v>
      </c>
      <c r="AH5" s="78"/>
      <c r="AI5" s="57">
        <f t="shared" ref="AI5:AI24" ca="1" si="3">ROUND(AJ5,0)</f>
        <v>106</v>
      </c>
      <c r="AJ5" s="180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105.6</v>
      </c>
      <c r="AK5" s="184">
        <f ca="1">AI5</f>
        <v>106</v>
      </c>
      <c r="AL5" s="78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0</v>
      </c>
      <c r="AR5" s="17">
        <v>0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20</v>
      </c>
      <c r="AX5" s="17"/>
      <c r="AY5" s="18"/>
      <c r="AZ5" s="18">
        <f ca="1">IFERROR(OFFSET(ITEM_RES!$A$1,MATCH(BA5,ITEM_RES!$J:$J,0)-1,0),0)</f>
        <v>211020101</v>
      </c>
      <c r="BA5" s="17" t="s">
        <v>448</v>
      </c>
      <c r="BB5" s="18">
        <v>20</v>
      </c>
      <c r="BC5" s="17"/>
      <c r="BD5" s="18"/>
      <c r="BE5" s="18">
        <f ca="1">IFERROR(OFFSET(ITEM_RES!$A$1,MATCH(BF5,ITEM_RES!$J:$J,0)-1,0),0)</f>
        <v>213010101</v>
      </c>
      <c r="BF5" s="17" t="s">
        <v>452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 t="s">
        <v>917</v>
      </c>
      <c r="N6" s="9" t="s">
        <v>937</v>
      </c>
      <c r="O6" s="9">
        <v>1</v>
      </c>
      <c r="P6" s="9">
        <v>15</v>
      </c>
      <c r="Q6" s="9" t="s">
        <v>1204</v>
      </c>
      <c r="U6" s="9" t="s">
        <v>682</v>
      </c>
      <c r="X6" s="9">
        <f ca="1">IFERROR(OFFSET(ITEM_RES!$A$5,MATCH(BUILDING!W6,ITEM_RES!$J$5:$J$226,0)-1,0),0)</f>
        <v>0</v>
      </c>
      <c r="Z6" s="84" t="s">
        <v>538</v>
      </c>
      <c r="AA6" s="9">
        <f ca="1">IFERROR(OFFSET(ITEM_RES!$A$5,MATCH(BUILDING!Z6,ITEM_RES!$J$5:$J$226,0)-1,0),0)</f>
        <v>211010101</v>
      </c>
      <c r="AC6" s="9" t="s">
        <v>508</v>
      </c>
      <c r="AD6" s="9">
        <v>2</v>
      </c>
      <c r="AF6" s="11">
        <f ca="1">IFERROR(OFFSET(MANOR_LEVEL!$B$1,MATCH(AG6-1,MANOR_LEVEL!$A:$A,0)-1,0),0)</f>
        <v>0</v>
      </c>
      <c r="AG6" s="56">
        <v>1</v>
      </c>
      <c r="AI6" s="56">
        <f t="shared" ca="1" si="3"/>
        <v>11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10.6</v>
      </c>
      <c r="AK6" s="182">
        <f ca="1">AI5+AI6</f>
        <v>117</v>
      </c>
      <c r="AM6" s="11">
        <f t="shared" si="4"/>
        <v>10</v>
      </c>
      <c r="AN6" s="10">
        <v>10</v>
      </c>
      <c r="AO6" s="11">
        <f t="shared" ref="AO6:AQ89" si="6">ROUND(AP6,0)</f>
        <v>10</v>
      </c>
      <c r="AP6" s="10">
        <v>10</v>
      </c>
      <c r="AQ6" s="11">
        <f t="shared" si="6"/>
        <v>0</v>
      </c>
      <c r="AR6" s="10">
        <v>0</v>
      </c>
      <c r="AS6" s="56">
        <f t="shared" ref="AS6:AS69" si="7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20</v>
      </c>
      <c r="AZ6" s="11">
        <f ca="1">IFERROR(OFFSET(ITEM_RES!$A$1,MATCH(BA6,ITEM_RES!$J:$J,0)-1,0),0)</f>
        <v>211020101</v>
      </c>
      <c r="BA6" s="10" t="s">
        <v>448</v>
      </c>
      <c r="BB6" s="11">
        <v>20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 t="s">
        <v>917</v>
      </c>
      <c r="N7" s="9" t="s">
        <v>937</v>
      </c>
      <c r="O7" s="9">
        <v>1</v>
      </c>
      <c r="P7" s="9">
        <v>15</v>
      </c>
      <c r="Q7" s="9" t="s">
        <v>1205</v>
      </c>
      <c r="U7" s="9" t="s">
        <v>682</v>
      </c>
      <c r="X7" s="9">
        <f ca="1">IFERROR(OFFSET(ITEM_RES!$A$5,MATCH(BUILDING!W7,ITEM_RES!$J$5:$J$226,0)-1,0),0)</f>
        <v>0</v>
      </c>
      <c r="Z7" s="84" t="s">
        <v>538</v>
      </c>
      <c r="AA7" s="9">
        <f ca="1">IFERROR(OFFSET(ITEM_RES!$A$5,MATCH(BUILDING!Z7,ITEM_RES!$J$5:$J$226,0)-1,0),0)</f>
        <v>211010101</v>
      </c>
      <c r="AC7" s="9" t="s">
        <v>508</v>
      </c>
      <c r="AD7" s="9">
        <v>3</v>
      </c>
      <c r="AF7" s="11">
        <f ca="1">IFERROR(OFFSET(MANOR_LEVEL!$B$1,MATCH(AG7-1,MANOR_LEVEL!$A:$A,0)-1,0),0)</f>
        <v>444</v>
      </c>
      <c r="AG7" s="56">
        <v>2</v>
      </c>
      <c r="AI7" s="56">
        <f t="shared" ca="1" si="3"/>
        <v>20</v>
      </c>
      <c r="AJ7" s="181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19.8</v>
      </c>
      <c r="AK7" s="182">
        <f t="shared" ref="AK7:AK24" ca="1" si="8">AI6+AI7</f>
        <v>31</v>
      </c>
      <c r="AM7" s="11">
        <f t="shared" si="4"/>
        <v>15</v>
      </c>
      <c r="AN7" s="10">
        <v>15</v>
      </c>
      <c r="AO7" s="11">
        <f t="shared" si="6"/>
        <v>15</v>
      </c>
      <c r="AP7" s="10">
        <v>15</v>
      </c>
      <c r="AQ7" s="11">
        <f t="shared" si="6"/>
        <v>0</v>
      </c>
      <c r="AR7" s="10">
        <v>0</v>
      </c>
      <c r="AS7" s="56">
        <f t="shared" si="7"/>
        <v>2</v>
      </c>
      <c r="AU7" s="11">
        <f ca="1">IFERROR(OFFSET(ITEM_RES!$A$1,MATCH(AV7,ITEM_RES!$J:$J,0)-1,0),0)</f>
        <v>211010501</v>
      </c>
      <c r="AV7" s="10" t="s">
        <v>427</v>
      </c>
      <c r="AW7" s="11">
        <v>160</v>
      </c>
      <c r="AZ7" s="11">
        <f ca="1">IFERROR(OFFSET(ITEM_RES!$A$1,MATCH(BA7,ITEM_RES!$J:$J,0)-1,0),0)</f>
        <v>211020101</v>
      </c>
      <c r="BA7" s="10" t="s">
        <v>448</v>
      </c>
      <c r="BB7" s="11">
        <v>160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 t="s">
        <v>917</v>
      </c>
      <c r="N8" s="9" t="s">
        <v>937</v>
      </c>
      <c r="O8" s="9">
        <v>1</v>
      </c>
      <c r="P8" s="9">
        <v>15</v>
      </c>
      <c r="Q8" s="9" t="s">
        <v>1206</v>
      </c>
      <c r="U8" s="9" t="s">
        <v>683</v>
      </c>
      <c r="X8" s="9">
        <f ca="1">IFERROR(OFFSET(ITEM_RES!$A$5,MATCH(BUILDING!W8,ITEM_RES!$J$5:$J$226,0)-1,0),0)</f>
        <v>0</v>
      </c>
      <c r="Z8" s="84" t="s">
        <v>538</v>
      </c>
      <c r="AA8" s="9">
        <f ca="1">IFERROR(OFFSET(ITEM_RES!$A$5,MATCH(BUILDING!Z8,ITEM_RES!$J$5:$J$226,0)-1,0),0)</f>
        <v>211010101</v>
      </c>
      <c r="AC8" s="9" t="s">
        <v>508</v>
      </c>
      <c r="AD8" s="9">
        <v>4</v>
      </c>
      <c r="AF8" s="11">
        <f ca="1">IFERROR(OFFSET(MANOR_LEVEL!$B$1,MATCH(AG8-1,MANOR_LEVEL!$A:$A,0)-1,0),0)</f>
        <v>444</v>
      </c>
      <c r="AG8" s="56">
        <v>2</v>
      </c>
      <c r="AI8" s="56">
        <f t="shared" ca="1" si="3"/>
        <v>83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82.6</v>
      </c>
      <c r="AK8" s="182">
        <f t="shared" ca="1" si="8"/>
        <v>103</v>
      </c>
      <c r="AM8" s="11">
        <f t="shared" si="4"/>
        <v>20</v>
      </c>
      <c r="AN8" s="10">
        <v>20</v>
      </c>
      <c r="AO8" s="11">
        <f t="shared" si="6"/>
        <v>25</v>
      </c>
      <c r="AP8" s="10">
        <v>25</v>
      </c>
      <c r="AQ8" s="11">
        <f t="shared" si="6"/>
        <v>0</v>
      </c>
      <c r="AR8" s="10">
        <v>0</v>
      </c>
      <c r="AS8" s="56">
        <f t="shared" si="7"/>
        <v>2</v>
      </c>
      <c r="AU8" s="11">
        <f ca="1">IFERROR(OFFSET(ITEM_RES!$A$1,MATCH(AV8,ITEM_RES!$J:$J,0)-1,0),0)</f>
        <v>211010501</v>
      </c>
      <c r="AV8" s="10" t="s">
        <v>427</v>
      </c>
      <c r="AW8" s="11">
        <v>1920</v>
      </c>
      <c r="AZ8" s="11">
        <f ca="1">IFERROR(OFFSET(ITEM_RES!$A$1,MATCH(BA8,ITEM_RES!$J:$J,0)-1,0),0)</f>
        <v>211020101</v>
      </c>
      <c r="BA8" s="10" t="s">
        <v>448</v>
      </c>
      <c r="BB8" s="11">
        <v>1920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 t="s">
        <v>917</v>
      </c>
      <c r="N9" s="9" t="s">
        <v>937</v>
      </c>
      <c r="O9" s="9">
        <v>1</v>
      </c>
      <c r="P9" s="9">
        <v>15</v>
      </c>
      <c r="Q9" s="9" t="s">
        <v>1207</v>
      </c>
      <c r="U9" s="9" t="s">
        <v>683</v>
      </c>
      <c r="X9" s="9">
        <f ca="1">IFERROR(OFFSET(ITEM_RES!$A$5,MATCH(BUILDING!W9,ITEM_RES!$J$5:$J$226,0)-1,0),0)</f>
        <v>0</v>
      </c>
      <c r="Z9" s="84" t="s">
        <v>538</v>
      </c>
      <c r="AA9" s="9">
        <f ca="1">IFERROR(OFFSET(ITEM_RES!$A$5,MATCH(BUILDING!Z9,ITEM_RES!$J$5:$J$226,0)-1,0),0)</f>
        <v>211010101</v>
      </c>
      <c r="AC9" s="9" t="s">
        <v>508</v>
      </c>
      <c r="AD9" s="9">
        <v>5</v>
      </c>
      <c r="AF9" s="11">
        <f ca="1">IFERROR(OFFSET(MANOR_LEVEL!$B$1,MATCH(AG9-1,MANOR_LEVEL!$A:$A,0)-1,0),0)</f>
        <v>444</v>
      </c>
      <c r="AG9" s="56">
        <v>2</v>
      </c>
      <c r="AI9" s="56">
        <f t="shared" ca="1" si="3"/>
        <v>820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820</v>
      </c>
      <c r="AK9" s="182">
        <f t="shared" ca="1" si="8"/>
        <v>903</v>
      </c>
      <c r="AM9" s="11">
        <f t="shared" si="4"/>
        <v>25</v>
      </c>
      <c r="AN9" s="10">
        <v>25</v>
      </c>
      <c r="AO9" s="11">
        <f t="shared" si="6"/>
        <v>40</v>
      </c>
      <c r="AP9" s="10">
        <v>40</v>
      </c>
      <c r="AQ9" s="11">
        <f t="shared" si="6"/>
        <v>0</v>
      </c>
      <c r="AR9" s="10">
        <v>0</v>
      </c>
      <c r="AS9" s="56">
        <f t="shared" si="7"/>
        <v>2</v>
      </c>
      <c r="AU9" s="11">
        <f ca="1">IFERROR(OFFSET(ITEM_RES!$A$1,MATCH(AV9,ITEM_RES!$J:$J,0)-1,0),0)</f>
        <v>211010501</v>
      </c>
      <c r="AV9" s="10" t="s">
        <v>427</v>
      </c>
      <c r="AW9" s="11">
        <v>26000</v>
      </c>
      <c r="AZ9" s="11">
        <f ca="1">IFERROR(OFFSET(ITEM_RES!$A$1,MATCH(BA9,ITEM_RES!$J:$J,0)-1,0),0)</f>
        <v>211020101</v>
      </c>
      <c r="BA9" s="10" t="s">
        <v>448</v>
      </c>
      <c r="BB9" s="11">
        <v>26000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 t="s">
        <v>917</v>
      </c>
      <c r="N10" s="9" t="s">
        <v>937</v>
      </c>
      <c r="O10" s="9">
        <v>1</v>
      </c>
      <c r="P10" s="9">
        <v>15</v>
      </c>
      <c r="Q10" s="9" t="s">
        <v>1209</v>
      </c>
      <c r="U10" s="9" t="s">
        <v>683</v>
      </c>
      <c r="X10" s="9">
        <f ca="1">IFERROR(OFFSET(ITEM_RES!$A$5,MATCH(BUILDING!W10,ITEM_RES!$J$5:$J$226,0)-1,0),0)</f>
        <v>0</v>
      </c>
      <c r="Z10" s="84" t="s">
        <v>538</v>
      </c>
      <c r="AA10" s="9">
        <f ca="1">IFERROR(OFFSET(ITEM_RES!$A$5,MATCH(BUILDING!Z10,ITEM_RES!$J$5:$J$226,0)-1,0),0)</f>
        <v>211010101</v>
      </c>
      <c r="AC10" s="9" t="s">
        <v>508</v>
      </c>
      <c r="AD10" s="9">
        <v>6</v>
      </c>
      <c r="AF10" s="11">
        <f ca="1">IFERROR(OFFSET(MANOR_LEVEL!$B$1,MATCH(AG10-1,MANOR_LEVEL!$A:$A,0)-1,0),0)</f>
        <v>528</v>
      </c>
      <c r="AG10" s="56">
        <v>3</v>
      </c>
      <c r="AI10" s="56">
        <f t="shared" ca="1" si="3"/>
        <v>7250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7250</v>
      </c>
      <c r="AK10" s="182">
        <f t="shared" ca="1" si="8"/>
        <v>8070</v>
      </c>
      <c r="AM10" s="11">
        <f t="shared" si="4"/>
        <v>30</v>
      </c>
      <c r="AN10" s="10">
        <v>30</v>
      </c>
      <c r="AO10" s="11">
        <f t="shared" si="6"/>
        <v>50</v>
      </c>
      <c r="AP10" s="10">
        <v>50</v>
      </c>
      <c r="AQ10" s="11">
        <f t="shared" si="6"/>
        <v>0</v>
      </c>
      <c r="AR10" s="10">
        <v>0</v>
      </c>
      <c r="AS10" s="56">
        <f t="shared" si="7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240000</v>
      </c>
      <c r="AZ10" s="11">
        <f ca="1">IFERROR(OFFSET(ITEM_RES!$A$1,MATCH(BA10,ITEM_RES!$J:$J,0)-1,0),0)</f>
        <v>211020101</v>
      </c>
      <c r="BA10" s="10" t="s">
        <v>448</v>
      </c>
      <c r="BB10" s="11">
        <v>240000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 t="s">
        <v>917</v>
      </c>
      <c r="N11" s="9" t="s">
        <v>937</v>
      </c>
      <c r="O11" s="9">
        <v>1</v>
      </c>
      <c r="P11" s="9">
        <v>15</v>
      </c>
      <c r="Q11" s="9" t="s">
        <v>1208</v>
      </c>
      <c r="U11" s="9" t="s">
        <v>683</v>
      </c>
      <c r="X11" s="9">
        <f ca="1">IFERROR(OFFSET(ITEM_RES!$A$5,MATCH(BUILDING!W11,ITEM_RES!$J$5:$J$226,0)-1,0),0)</f>
        <v>0</v>
      </c>
      <c r="Z11" s="84" t="s">
        <v>538</v>
      </c>
      <c r="AA11" s="9">
        <f ca="1">IFERROR(OFFSET(ITEM_RES!$A$5,MATCH(BUILDING!Z11,ITEM_RES!$J$5:$J$226,0)-1,0),0)</f>
        <v>211010101</v>
      </c>
      <c r="AC11" s="9" t="s">
        <v>508</v>
      </c>
      <c r="AD11" s="9">
        <v>7</v>
      </c>
      <c r="AF11" s="11">
        <f ca="1">IFERROR(OFFSET(MANOR_LEVEL!$B$1,MATCH(AG11-1,MANOR_LEVEL!$A:$A,0)-1,0),0)</f>
        <v>800</v>
      </c>
      <c r="AG11" s="56">
        <v>4</v>
      </c>
      <c r="AI11" s="56">
        <f t="shared" ca="1" si="3"/>
        <v>16300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16300</v>
      </c>
      <c r="AK11" s="182">
        <f t="shared" ca="1" si="8"/>
        <v>23550</v>
      </c>
      <c r="AM11" s="11">
        <f t="shared" si="4"/>
        <v>35</v>
      </c>
      <c r="AN11" s="10">
        <v>35</v>
      </c>
      <c r="AO11" s="11">
        <f t="shared" si="6"/>
        <v>100</v>
      </c>
      <c r="AP11" s="10">
        <v>100</v>
      </c>
      <c r="AQ11" s="11">
        <f t="shared" si="6"/>
        <v>0</v>
      </c>
      <c r="AR11" s="10">
        <v>0</v>
      </c>
      <c r="AS11" s="56">
        <f t="shared" si="7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540000</v>
      </c>
      <c r="AZ11" s="11">
        <f ca="1">IFERROR(OFFSET(ITEM_RES!$A$1,MATCH(BA11,ITEM_RES!$J:$J,0)-1,0),0)</f>
        <v>211020101</v>
      </c>
      <c r="BA11" s="10" t="s">
        <v>448</v>
      </c>
      <c r="BB11" s="11">
        <v>540000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 t="s">
        <v>917</v>
      </c>
      <c r="N12" s="9" t="s">
        <v>937</v>
      </c>
      <c r="O12" s="9">
        <v>1</v>
      </c>
      <c r="P12" s="9">
        <v>15</v>
      </c>
      <c r="Q12" s="9" t="s">
        <v>1208</v>
      </c>
      <c r="U12" s="9" t="s">
        <v>683</v>
      </c>
      <c r="X12" s="9">
        <f ca="1">IFERROR(OFFSET(ITEM_RES!$A$5,MATCH(BUILDING!W12,ITEM_RES!$J$5:$J$226,0)-1,0),0)</f>
        <v>0</v>
      </c>
      <c r="Z12" s="84" t="s">
        <v>538</v>
      </c>
      <c r="AA12" s="9">
        <f ca="1">IFERROR(OFFSET(ITEM_RES!$A$5,MATCH(BUILDING!Z12,ITEM_RES!$J$5:$J$226,0)-1,0),0)</f>
        <v>211010101</v>
      </c>
      <c r="AC12" s="9" t="s">
        <v>508</v>
      </c>
      <c r="AD12" s="9">
        <v>8</v>
      </c>
      <c r="AF12" s="11">
        <f ca="1">IFERROR(OFFSET(MANOR_LEVEL!$B$1,MATCH(AG12-1,MANOR_LEVEL!$A:$A,0)-1,0),0)</f>
        <v>1500</v>
      </c>
      <c r="AG12" s="56">
        <v>5</v>
      </c>
      <c r="AI12" s="56">
        <f t="shared" ca="1" si="3"/>
        <v>30100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30100</v>
      </c>
      <c r="AK12" s="182">
        <f t="shared" ca="1" si="8"/>
        <v>46400</v>
      </c>
      <c r="AM12" s="11">
        <f t="shared" si="4"/>
        <v>40</v>
      </c>
      <c r="AN12" s="10">
        <v>40</v>
      </c>
      <c r="AO12" s="11">
        <f t="shared" si="6"/>
        <v>100</v>
      </c>
      <c r="AP12" s="10">
        <v>100</v>
      </c>
      <c r="AQ12" s="11">
        <f t="shared" si="6"/>
        <v>0</v>
      </c>
      <c r="AR12" s="10">
        <v>0</v>
      </c>
      <c r="AS12" s="56">
        <f t="shared" si="7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1000000</v>
      </c>
      <c r="AZ12" s="11">
        <f ca="1">IFERROR(OFFSET(ITEM_RES!$A$1,MATCH(BA12,ITEM_RES!$J:$J,0)-1,0),0)</f>
        <v>211020101</v>
      </c>
      <c r="BA12" s="10" t="s">
        <v>448</v>
      </c>
      <c r="BB12" s="11">
        <v>1000000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 t="s">
        <v>917</v>
      </c>
      <c r="N13" s="9" t="s">
        <v>937</v>
      </c>
      <c r="O13" s="9">
        <v>1</v>
      </c>
      <c r="P13" s="9">
        <v>15</v>
      </c>
      <c r="Q13" s="9" t="s">
        <v>1208</v>
      </c>
      <c r="U13" s="9" t="s">
        <v>684</v>
      </c>
      <c r="X13" s="9">
        <f ca="1">IFERROR(OFFSET(ITEM_RES!$A$5,MATCH(BUILDING!W13,ITEM_RES!$J$5:$J$226,0)-1,0),0)</f>
        <v>0</v>
      </c>
      <c r="Z13" s="84" t="s">
        <v>538</v>
      </c>
      <c r="AA13" s="9">
        <f ca="1">IFERROR(OFFSET(ITEM_RES!$A$5,MATCH(BUILDING!Z13,ITEM_RES!$J$5:$J$226,0)-1,0),0)</f>
        <v>211010101</v>
      </c>
      <c r="AC13" s="9" t="s">
        <v>508</v>
      </c>
      <c r="AD13" s="9">
        <v>9</v>
      </c>
      <c r="AF13" s="11">
        <f ca="1">IFERROR(OFFSET(MANOR_LEVEL!$B$1,MATCH(AG13-1,MANOR_LEVEL!$A:$A,0)-1,0),0)</f>
        <v>3872</v>
      </c>
      <c r="AG13" s="56">
        <v>6</v>
      </c>
      <c r="AI13" s="56">
        <f t="shared" ca="1" si="3"/>
        <v>47550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47550</v>
      </c>
      <c r="AK13" s="182">
        <f t="shared" ca="1" si="8"/>
        <v>77650</v>
      </c>
      <c r="AM13" s="11">
        <f t="shared" si="4"/>
        <v>45</v>
      </c>
      <c r="AN13" s="10">
        <v>45</v>
      </c>
      <c r="AO13" s="11">
        <f t="shared" si="6"/>
        <v>150</v>
      </c>
      <c r="AP13" s="10">
        <v>150</v>
      </c>
      <c r="AQ13" s="11">
        <f t="shared" si="6"/>
        <v>0</v>
      </c>
      <c r="AR13" s="10">
        <v>0</v>
      </c>
      <c r="AS13" s="56">
        <f t="shared" si="7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1580000</v>
      </c>
      <c r="AZ13" s="11">
        <f ca="1">IFERROR(OFFSET(ITEM_RES!$A$1,MATCH(BA13,ITEM_RES!$J:$J,0)-1,0),0)</f>
        <v>211020101</v>
      </c>
      <c r="BA13" s="10" t="s">
        <v>448</v>
      </c>
      <c r="BB13" s="11">
        <v>1580000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 t="s">
        <v>917</v>
      </c>
      <c r="N14" s="9" t="s">
        <v>937</v>
      </c>
      <c r="O14" s="9">
        <v>1</v>
      </c>
      <c r="P14" s="9">
        <v>15</v>
      </c>
      <c r="Q14" s="9" t="s">
        <v>1208</v>
      </c>
      <c r="U14" s="9" t="s">
        <v>684</v>
      </c>
      <c r="X14" s="9">
        <f ca="1">IFERROR(OFFSET(ITEM_RES!$A$5,MATCH(BUILDING!W14,ITEM_RES!$J$5:$J$226,0)-1,0),0)</f>
        <v>0</v>
      </c>
      <c r="Z14" s="84" t="s">
        <v>538</v>
      </c>
      <c r="AA14" s="9">
        <f ca="1">IFERROR(OFFSET(ITEM_RES!$A$5,MATCH(BUILDING!Z14,ITEM_RES!$J$5:$J$226,0)-1,0),0)</f>
        <v>211010101</v>
      </c>
      <c r="AC14" s="9" t="s">
        <v>508</v>
      </c>
      <c r="AD14" s="9">
        <v>10</v>
      </c>
      <c r="AF14" s="11">
        <f ca="1">IFERROR(OFFSET(MANOR_LEVEL!$B$1,MATCH(AG14-1,MANOR_LEVEL!$A:$A,0)-1,0),0)</f>
        <v>32640</v>
      </c>
      <c r="AG14" s="56">
        <v>7</v>
      </c>
      <c r="AI14" s="56">
        <f t="shared" ca="1" si="3"/>
        <v>66300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66300</v>
      </c>
      <c r="AK14" s="182">
        <f t="shared" ca="1" si="8"/>
        <v>113850</v>
      </c>
      <c r="AM14" s="11">
        <f t="shared" si="4"/>
        <v>50</v>
      </c>
      <c r="AN14" s="10">
        <v>50</v>
      </c>
      <c r="AO14" s="11">
        <f t="shared" si="6"/>
        <v>200</v>
      </c>
      <c r="AP14" s="10">
        <v>200</v>
      </c>
      <c r="AQ14" s="11">
        <f t="shared" si="6"/>
        <v>0</v>
      </c>
      <c r="AR14" s="10">
        <v>0</v>
      </c>
      <c r="AS14" s="56">
        <f t="shared" si="7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2200000</v>
      </c>
      <c r="AZ14" s="11">
        <f ca="1">IFERROR(OFFSET(ITEM_RES!$A$1,MATCH(BA14,ITEM_RES!$J:$J,0)-1,0),0)</f>
        <v>211020101</v>
      </c>
      <c r="BA14" s="10" t="s">
        <v>448</v>
      </c>
      <c r="BB14" s="11">
        <v>2200000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459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 t="s">
        <v>917</v>
      </c>
      <c r="N15" s="9" t="s">
        <v>937</v>
      </c>
      <c r="O15" s="9">
        <v>1</v>
      </c>
      <c r="P15" s="9">
        <v>15</v>
      </c>
      <c r="Q15" s="9" t="s">
        <v>1208</v>
      </c>
      <c r="U15" s="9" t="s">
        <v>684</v>
      </c>
      <c r="X15" s="9">
        <f ca="1">IFERROR(OFFSET(ITEM_RES!$A$5,MATCH(BUILDING!W15,ITEM_RES!$J$5:$J$226,0)-1,0),0)</f>
        <v>0</v>
      </c>
      <c r="Z15" s="84" t="s">
        <v>538</v>
      </c>
      <c r="AA15" s="9">
        <f ca="1">IFERROR(OFFSET(ITEM_RES!$A$5,MATCH(BUILDING!Z15,ITEM_RES!$J$5:$J$226,0)-1,0),0)</f>
        <v>211010101</v>
      </c>
      <c r="AC15" s="9" t="s">
        <v>508</v>
      </c>
      <c r="AD15" s="9">
        <v>11</v>
      </c>
      <c r="AF15" s="11">
        <f ca="1">IFERROR(OFFSET(MANOR_LEVEL!$B$1,MATCH(AG15-1,MANOR_LEVEL!$A:$A,0)-1,0),0)</f>
        <v>94800</v>
      </c>
      <c r="AG15" s="56">
        <v>8</v>
      </c>
      <c r="AI15" s="56">
        <f t="shared" ca="1" si="3"/>
        <v>132250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132250</v>
      </c>
      <c r="AK15" s="182">
        <f t="shared" ca="1" si="8"/>
        <v>198550</v>
      </c>
      <c r="AM15" s="11">
        <f t="shared" si="4"/>
        <v>55</v>
      </c>
      <c r="AN15" s="10">
        <v>55</v>
      </c>
      <c r="AO15" s="11">
        <f t="shared" si="6"/>
        <v>250</v>
      </c>
      <c r="AP15" s="10">
        <v>250</v>
      </c>
      <c r="AQ15" s="11">
        <f t="shared" si="6"/>
        <v>0</v>
      </c>
      <c r="AR15" s="10">
        <v>0</v>
      </c>
      <c r="AS15" s="56">
        <f t="shared" si="7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4400000</v>
      </c>
      <c r="AZ15" s="11">
        <f ca="1">IFERROR(OFFSET(ITEM_RES!$A$1,MATCH(BA15,ITEM_RES!$J:$J,0)-1,0),0)</f>
        <v>211020101</v>
      </c>
      <c r="BA15" s="10" t="s">
        <v>448</v>
      </c>
      <c r="BB15" s="11">
        <v>4400000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 t="s">
        <v>917</v>
      </c>
      <c r="N16" s="9" t="s">
        <v>937</v>
      </c>
      <c r="O16" s="9">
        <v>1</v>
      </c>
      <c r="P16" s="9">
        <v>15</v>
      </c>
      <c r="Q16" s="9" t="s">
        <v>1208</v>
      </c>
      <c r="U16" s="9" t="s">
        <v>684</v>
      </c>
      <c r="X16" s="9">
        <f ca="1">IFERROR(OFFSET(ITEM_RES!$A$5,MATCH(BUILDING!W16,ITEM_RES!$J$5:$J$226,0)-1,0),0)</f>
        <v>0</v>
      </c>
      <c r="Z16" s="84" t="s">
        <v>538</v>
      </c>
      <c r="AA16" s="9">
        <f ca="1">IFERROR(OFFSET(ITEM_RES!$A$5,MATCH(BUILDING!Z16,ITEM_RES!$J$5:$J$226,0)-1,0),0)</f>
        <v>211010101</v>
      </c>
      <c r="AC16" s="9" t="s">
        <v>508</v>
      </c>
      <c r="AD16" s="9">
        <v>12</v>
      </c>
      <c r="AF16" s="11">
        <f ca="1">IFERROR(OFFSET(MANOR_LEVEL!$B$1,MATCH(AG16-1,MANOR_LEVEL!$A:$A,0)-1,0),0)</f>
        <v>186400</v>
      </c>
      <c r="AG16" s="56">
        <v>9</v>
      </c>
      <c r="AI16" s="56">
        <f t="shared" ca="1" si="3"/>
        <v>156300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156300</v>
      </c>
      <c r="AK16" s="182">
        <f t="shared" ca="1" si="8"/>
        <v>288550</v>
      </c>
      <c r="AM16" s="11">
        <f t="shared" si="4"/>
        <v>60</v>
      </c>
      <c r="AN16" s="10">
        <v>60</v>
      </c>
      <c r="AO16" s="11">
        <f t="shared" si="6"/>
        <v>300</v>
      </c>
      <c r="AP16" s="10">
        <v>300</v>
      </c>
      <c r="AQ16" s="11">
        <f t="shared" si="6"/>
        <v>0</v>
      </c>
      <c r="AR16" s="10">
        <v>0</v>
      </c>
      <c r="AS16" s="56">
        <f t="shared" si="7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5200000</v>
      </c>
      <c r="AZ16" s="11">
        <f ca="1">IFERROR(OFFSET(ITEM_RES!$A$1,MATCH(BA16,ITEM_RES!$J:$J,0)-1,0),0)</f>
        <v>211020101</v>
      </c>
      <c r="BA16" s="10" t="s">
        <v>448</v>
      </c>
      <c r="BB16" s="11">
        <v>5200000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 t="s">
        <v>917</v>
      </c>
      <c r="N17" s="9" t="s">
        <v>937</v>
      </c>
      <c r="O17" s="9">
        <v>1</v>
      </c>
      <c r="P17" s="9">
        <v>15</v>
      </c>
      <c r="Q17" s="9" t="s">
        <v>1208</v>
      </c>
      <c r="U17" s="9" t="s">
        <v>684</v>
      </c>
      <c r="X17" s="9">
        <f ca="1">IFERROR(OFFSET(ITEM_RES!$A$5,MATCH(BUILDING!W17,ITEM_RES!$J$5:$J$226,0)-1,0),0)</f>
        <v>0</v>
      </c>
      <c r="Z17" s="84" t="s">
        <v>538</v>
      </c>
      <c r="AA17" s="9">
        <f ca="1">IFERROR(OFFSET(ITEM_RES!$A$5,MATCH(BUILDING!Z17,ITEM_RES!$J$5:$J$226,0)-1,0),0)</f>
        <v>211010101</v>
      </c>
      <c r="AC17" s="9" t="s">
        <v>508</v>
      </c>
      <c r="AD17" s="9">
        <v>13</v>
      </c>
      <c r="AF17" s="11">
        <f ca="1">IFERROR(OFFSET(MANOR_LEVEL!$B$1,MATCH(AG17-1,MANOR_LEVEL!$A:$A,0)-1,0),0)</f>
        <v>311600</v>
      </c>
      <c r="AG17" s="56">
        <v>10</v>
      </c>
      <c r="AI17" s="56">
        <f t="shared" ca="1" si="3"/>
        <v>258350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258350</v>
      </c>
      <c r="AK17" s="182">
        <f t="shared" ca="1" si="8"/>
        <v>414650</v>
      </c>
      <c r="AM17" s="11">
        <f t="shared" si="4"/>
        <v>65</v>
      </c>
      <c r="AN17" s="10">
        <v>65</v>
      </c>
      <c r="AO17" s="11">
        <f t="shared" si="6"/>
        <v>350</v>
      </c>
      <c r="AP17" s="10">
        <v>350</v>
      </c>
      <c r="AQ17" s="11">
        <f t="shared" si="6"/>
        <v>0</v>
      </c>
      <c r="AR17" s="10">
        <v>0</v>
      </c>
      <c r="AS17" s="56">
        <f t="shared" si="7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8600000</v>
      </c>
      <c r="AZ17" s="11">
        <f ca="1">IFERROR(OFFSET(ITEM_RES!$A$1,MATCH(BA17,ITEM_RES!$J:$J,0)-1,0),0)</f>
        <v>211020101</v>
      </c>
      <c r="BA17" s="10" t="s">
        <v>448</v>
      </c>
      <c r="BB17" s="11">
        <v>8600000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 t="s">
        <v>917</v>
      </c>
      <c r="N18" s="9" t="s">
        <v>937</v>
      </c>
      <c r="O18" s="9">
        <v>1</v>
      </c>
      <c r="P18" s="9">
        <v>15</v>
      </c>
      <c r="Q18" s="9" t="s">
        <v>1208</v>
      </c>
      <c r="U18" s="9" t="s">
        <v>684</v>
      </c>
      <c r="X18" s="9">
        <f ca="1">IFERROR(OFFSET(ITEM_RES!$A$5,MATCH(BUILDING!W18,ITEM_RES!$J$5:$J$226,0)-1,0),0)</f>
        <v>0</v>
      </c>
      <c r="Z18" s="84" t="s">
        <v>538</v>
      </c>
      <c r="AA18" s="9">
        <f ca="1">IFERROR(OFFSET(ITEM_RES!$A$5,MATCH(BUILDING!Z18,ITEM_RES!$J$5:$J$226,0)-1,0),0)</f>
        <v>211010101</v>
      </c>
      <c r="AC18" s="9" t="s">
        <v>508</v>
      </c>
      <c r="AD18" s="9">
        <v>14</v>
      </c>
      <c r="AF18" s="11">
        <f ca="1">IFERROR(OFFSET(MANOR_LEVEL!$B$1,MATCH(AG18-1,MANOR_LEVEL!$A:$A,0)-1,0),0)</f>
        <v>456800</v>
      </c>
      <c r="AG18" s="56">
        <v>11</v>
      </c>
      <c r="AI18" s="56">
        <f t="shared" ca="1" si="3"/>
        <v>396450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396450</v>
      </c>
      <c r="AK18" s="182">
        <f t="shared" ca="1" si="8"/>
        <v>654800</v>
      </c>
      <c r="AM18" s="11">
        <f t="shared" si="4"/>
        <v>70</v>
      </c>
      <c r="AN18" s="10">
        <v>70</v>
      </c>
      <c r="AO18" s="11">
        <f t="shared" si="6"/>
        <v>450</v>
      </c>
      <c r="AP18" s="10">
        <v>450</v>
      </c>
      <c r="AQ18" s="11">
        <f t="shared" si="6"/>
        <v>0</v>
      </c>
      <c r="AR18" s="10">
        <v>0</v>
      </c>
      <c r="AS18" s="56">
        <f t="shared" si="7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13200000</v>
      </c>
      <c r="AZ18" s="11">
        <f ca="1">IFERROR(OFFSET(ITEM_RES!$A$1,MATCH(BA18,ITEM_RES!$J:$J,0)-1,0),0)</f>
        <v>211020101</v>
      </c>
      <c r="BA18" s="10" t="s">
        <v>448</v>
      </c>
      <c r="BB18" s="11">
        <v>13200000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 t="s">
        <v>917</v>
      </c>
      <c r="N19" s="9" t="s">
        <v>937</v>
      </c>
      <c r="O19" s="9">
        <v>1</v>
      </c>
      <c r="P19" s="9">
        <v>15</v>
      </c>
      <c r="Q19" s="9" t="s">
        <v>1208</v>
      </c>
      <c r="U19" s="9" t="s">
        <v>684</v>
      </c>
      <c r="X19" s="9">
        <f ca="1">IFERROR(OFFSET(ITEM_RES!$A$5,MATCH(BUILDING!W19,ITEM_RES!$J$5:$J$226,0)-1,0),0)</f>
        <v>0</v>
      </c>
      <c r="Z19" s="84" t="s">
        <v>538</v>
      </c>
      <c r="AA19" s="9">
        <f ca="1">IFERROR(OFFSET(ITEM_RES!$A$5,MATCH(BUILDING!Z19,ITEM_RES!$J$5:$J$226,0)-1,0),0)</f>
        <v>211010101</v>
      </c>
      <c r="AC19" s="9" t="s">
        <v>508</v>
      </c>
      <c r="AD19" s="9">
        <v>15</v>
      </c>
      <c r="AF19" s="11">
        <f ca="1">IFERROR(OFFSET(MANOR_LEVEL!$B$1,MATCH(AG19-1,MANOR_LEVEL!$A:$A,0)-1,0),0)</f>
        <v>796000</v>
      </c>
      <c r="AG19" s="56">
        <v>12</v>
      </c>
      <c r="AI19" s="56">
        <f t="shared" ca="1" si="3"/>
        <v>660550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660550</v>
      </c>
      <c r="AK19" s="182">
        <f t="shared" ca="1" si="8"/>
        <v>1057000</v>
      </c>
      <c r="AM19" s="11">
        <f t="shared" si="4"/>
        <v>75</v>
      </c>
      <c r="AN19" s="10">
        <v>75</v>
      </c>
      <c r="AO19" s="11">
        <f t="shared" si="6"/>
        <v>550</v>
      </c>
      <c r="AP19" s="10">
        <v>550</v>
      </c>
      <c r="AQ19" s="11">
        <f t="shared" si="6"/>
        <v>0</v>
      </c>
      <c r="AR19" s="10">
        <v>0</v>
      </c>
      <c r="AS19" s="56">
        <f t="shared" si="7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22000000</v>
      </c>
      <c r="AZ19" s="11">
        <f ca="1">IFERROR(OFFSET(ITEM_RES!$A$1,MATCH(BA19,ITEM_RES!$J:$J,0)-1,0),0)</f>
        <v>211020101</v>
      </c>
      <c r="BA19" s="10" t="s">
        <v>448</v>
      </c>
      <c r="BB19" s="11">
        <v>22000000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 t="s">
        <v>917</v>
      </c>
      <c r="N20" s="9" t="s">
        <v>937</v>
      </c>
      <c r="O20" s="9">
        <v>0</v>
      </c>
      <c r="P20" s="9">
        <v>15</v>
      </c>
      <c r="Q20" s="9" t="s">
        <v>1208</v>
      </c>
      <c r="U20" s="9" t="s">
        <v>685</v>
      </c>
      <c r="X20" s="9">
        <f ca="1">IFERROR(OFFSET(ITEM_RES!$A$5,MATCH(BUILDING!W20,ITEM_RES!$J$5:$J$226,0)-1,0),0)</f>
        <v>0</v>
      </c>
      <c r="Z20" s="84" t="s">
        <v>538</v>
      </c>
      <c r="AA20" s="9">
        <f ca="1">IFERROR(OFFSET(ITEM_RES!$A$5,MATCH(BUILDING!Z20,ITEM_RES!$J$5:$J$226,0)-1,0),0)</f>
        <v>211010101</v>
      </c>
      <c r="AC20" s="9" t="s">
        <v>508</v>
      </c>
      <c r="AD20" s="9">
        <v>16</v>
      </c>
      <c r="AF20" s="11">
        <f ca="1">IFERROR(OFFSET(MANOR_LEVEL!$B$1,MATCH(AG20-1,MANOR_LEVEL!$A:$A,0)-1,0),0)</f>
        <v>1156400</v>
      </c>
      <c r="AG20" s="56">
        <v>13</v>
      </c>
      <c r="AI20" s="56">
        <f t="shared" ca="1" si="3"/>
        <v>1200700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1200700</v>
      </c>
      <c r="AK20" s="182">
        <f t="shared" ca="1" si="8"/>
        <v>1861250</v>
      </c>
      <c r="AM20" s="11">
        <f t="shared" si="4"/>
        <v>80</v>
      </c>
      <c r="AN20" s="10">
        <v>80</v>
      </c>
      <c r="AO20" s="11">
        <f t="shared" si="6"/>
        <v>700</v>
      </c>
      <c r="AP20" s="10">
        <v>700</v>
      </c>
      <c r="AQ20" s="11">
        <f t="shared" si="6"/>
        <v>0</v>
      </c>
      <c r="AR20" s="10">
        <v>0</v>
      </c>
      <c r="AS20" s="56">
        <f t="shared" si="7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30000000</v>
      </c>
      <c r="AZ20" s="11">
        <f ca="1">IFERROR(OFFSET(ITEM_RES!$A$1,MATCH(BA20,ITEM_RES!$J:$J,0)-1,0),0)</f>
        <v>211020101</v>
      </c>
      <c r="BA20" s="10" t="s">
        <v>448</v>
      </c>
      <c r="BB20" s="11">
        <v>30000000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 t="s">
        <v>917</v>
      </c>
      <c r="N21" s="9" t="s">
        <v>937</v>
      </c>
      <c r="O21" s="9">
        <v>0</v>
      </c>
      <c r="P21" s="9">
        <v>15</v>
      </c>
      <c r="Q21" s="9" t="s">
        <v>1208</v>
      </c>
      <c r="U21" s="9" t="s">
        <v>685</v>
      </c>
      <c r="X21" s="9">
        <f ca="1">IFERROR(OFFSET(ITEM_RES!$A$5,MATCH(BUILDING!W21,ITEM_RES!$J$5:$J$226,0)-1,0),0)</f>
        <v>0</v>
      </c>
      <c r="Z21" s="84" t="s">
        <v>538</v>
      </c>
      <c r="AA21" s="9">
        <f ca="1">IFERROR(OFFSET(ITEM_RES!$A$5,MATCH(BUILDING!Z21,ITEM_RES!$J$5:$J$226,0)-1,0),0)</f>
        <v>211010101</v>
      </c>
      <c r="AC21" s="9" t="s">
        <v>508</v>
      </c>
      <c r="AD21" s="9">
        <v>17</v>
      </c>
      <c r="AF21" s="11">
        <f ca="1">IFERROR(OFFSET(MANOR_LEVEL!$B$1,MATCH(AG21-1,MANOR_LEVEL!$A:$A,0)-1,0),0)</f>
        <v>1661200</v>
      </c>
      <c r="AG21" s="56">
        <v>14</v>
      </c>
      <c r="AI21" s="56">
        <f t="shared" ca="1" si="3"/>
        <v>1840850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1840850</v>
      </c>
      <c r="AK21" s="182">
        <f t="shared" ca="1" si="8"/>
        <v>3041550</v>
      </c>
      <c r="AM21" s="11">
        <f t="shared" si="4"/>
        <v>85</v>
      </c>
      <c r="AN21" s="10">
        <v>85</v>
      </c>
      <c r="AO21" s="11">
        <f t="shared" si="6"/>
        <v>850</v>
      </c>
      <c r="AP21" s="10">
        <v>850</v>
      </c>
      <c r="AQ21" s="11">
        <f t="shared" si="6"/>
        <v>0</v>
      </c>
      <c r="AR21" s="10">
        <v>0</v>
      </c>
      <c r="AS21" s="56">
        <f t="shared" si="7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46000000</v>
      </c>
      <c r="AZ21" s="11">
        <f ca="1">IFERROR(OFFSET(ITEM_RES!$A$1,MATCH(BA21,ITEM_RES!$J:$J,0)-1,0),0)</f>
        <v>211020101</v>
      </c>
      <c r="BA21" s="10" t="s">
        <v>448</v>
      </c>
      <c r="BB21" s="11">
        <v>46000000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 t="s">
        <v>917</v>
      </c>
      <c r="N22" s="9" t="s">
        <v>937</v>
      </c>
      <c r="O22" s="9">
        <v>0</v>
      </c>
      <c r="P22" s="9">
        <v>15</v>
      </c>
      <c r="Q22" s="9" t="s">
        <v>1208</v>
      </c>
      <c r="U22" s="9" t="s">
        <v>685</v>
      </c>
      <c r="X22" s="9">
        <f ca="1">IFERROR(OFFSET(ITEM_RES!$A$5,MATCH(BUILDING!W22,ITEM_RES!$J$5:$J$226,0)-1,0),0)</f>
        <v>0</v>
      </c>
      <c r="Z22" s="84" t="s">
        <v>538</v>
      </c>
      <c r="AA22" s="9">
        <f ca="1">IFERROR(OFFSET(ITEM_RES!$A$5,MATCH(BUILDING!Z22,ITEM_RES!$J$5:$J$226,0)-1,0),0)</f>
        <v>211010101</v>
      </c>
      <c r="AC22" s="9" t="s">
        <v>508</v>
      </c>
      <c r="AD22" s="9">
        <v>18</v>
      </c>
      <c r="AF22" s="11">
        <f ca="1">IFERROR(OFFSET(MANOR_LEVEL!$B$1,MATCH(AG22-1,MANOR_LEVEL!$A:$A,0)-1,0),0)</f>
        <v>2622400</v>
      </c>
      <c r="AG22" s="56">
        <v>15</v>
      </c>
      <c r="AI22" s="56">
        <f t="shared" ca="1" si="3"/>
        <v>2801050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2801050</v>
      </c>
      <c r="AK22" s="182">
        <f t="shared" ca="1" si="8"/>
        <v>4641900</v>
      </c>
      <c r="AM22" s="11">
        <f t="shared" si="4"/>
        <v>90</v>
      </c>
      <c r="AN22" s="10">
        <v>90</v>
      </c>
      <c r="AO22" s="11">
        <f t="shared" si="6"/>
        <v>1050</v>
      </c>
      <c r="AP22" s="10">
        <v>1050</v>
      </c>
      <c r="AQ22" s="11">
        <f t="shared" si="6"/>
        <v>0</v>
      </c>
      <c r="AR22" s="10">
        <v>0</v>
      </c>
      <c r="AS22" s="56">
        <f t="shared" si="7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70000000</v>
      </c>
      <c r="AZ22" s="11">
        <f ca="1">IFERROR(OFFSET(ITEM_RES!$A$1,MATCH(BA22,ITEM_RES!$J:$J,0)-1,0),0)</f>
        <v>211020101</v>
      </c>
      <c r="BA22" s="10" t="s">
        <v>448</v>
      </c>
      <c r="BB22" s="11">
        <v>70000000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 t="s">
        <v>917</v>
      </c>
      <c r="N23" s="9" t="s">
        <v>937</v>
      </c>
      <c r="O23" s="9">
        <v>0</v>
      </c>
      <c r="P23" s="9">
        <v>15</v>
      </c>
      <c r="Q23" s="9" t="s">
        <v>1208</v>
      </c>
      <c r="U23" s="9" t="s">
        <v>685</v>
      </c>
      <c r="X23" s="9">
        <f ca="1">IFERROR(OFFSET(ITEM_RES!$A$5,MATCH(BUILDING!W23,ITEM_RES!$J$5:$J$226,0)-1,0),0)</f>
        <v>0</v>
      </c>
      <c r="Z23" s="84" t="s">
        <v>538</v>
      </c>
      <c r="AA23" s="9">
        <f ca="1">IFERROR(OFFSET(ITEM_RES!$A$5,MATCH(BUILDING!Z23,ITEM_RES!$J$5:$J$226,0)-1,0),0)</f>
        <v>211010101</v>
      </c>
      <c r="AC23" s="9" t="s">
        <v>508</v>
      </c>
      <c r="AD23" s="9">
        <v>19</v>
      </c>
      <c r="AF23" s="11">
        <f ca="1">IFERROR(OFFSET(MANOR_LEVEL!$B$1,MATCH(AG23-1,MANOR_LEVEL!$A:$A,0)-1,0),0)</f>
        <v>4232000</v>
      </c>
      <c r="AG23" s="56">
        <v>16</v>
      </c>
      <c r="AI23" s="56">
        <f t="shared" ca="1" si="3"/>
        <v>3841250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3841250</v>
      </c>
      <c r="AK23" s="182">
        <f t="shared" ca="1" si="8"/>
        <v>6642300</v>
      </c>
      <c r="AM23" s="11">
        <f t="shared" si="4"/>
        <v>95</v>
      </c>
      <c r="AN23" s="10">
        <v>95</v>
      </c>
      <c r="AO23" s="11">
        <f t="shared" si="6"/>
        <v>1250</v>
      </c>
      <c r="AP23" s="10">
        <v>1250</v>
      </c>
      <c r="AQ23" s="11">
        <f t="shared" si="6"/>
        <v>0</v>
      </c>
      <c r="AR23" s="10">
        <v>0</v>
      </c>
      <c r="AS23" s="56">
        <f t="shared" si="7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96000000</v>
      </c>
      <c r="AZ23" s="11">
        <f ca="1">IFERROR(OFFSET(ITEM_RES!$A$1,MATCH(BA23,ITEM_RES!$J:$J,0)-1,0),0)</f>
        <v>211020101</v>
      </c>
      <c r="BA23" s="10" t="s">
        <v>448</v>
      </c>
      <c r="BB23" s="11">
        <v>96000000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 t="s">
        <v>917</v>
      </c>
      <c r="N24" s="9" t="s">
        <v>937</v>
      </c>
      <c r="O24" s="9">
        <v>0</v>
      </c>
      <c r="P24" s="9">
        <v>15</v>
      </c>
      <c r="Q24" s="9" t="s">
        <v>1208</v>
      </c>
      <c r="U24" s="9" t="s">
        <v>686</v>
      </c>
      <c r="X24" s="9">
        <f ca="1">IFERROR(OFFSET(ITEM_RES!$A$5,MATCH(BUILDING!W24,ITEM_RES!$J$5:$J$226,0)-1,0),0)</f>
        <v>0</v>
      </c>
      <c r="Z24" s="84" t="s">
        <v>538</v>
      </c>
      <c r="AA24" s="9">
        <f ca="1">IFERROR(OFFSET(ITEM_RES!$A$5,MATCH(BUILDING!Z24,ITEM_RES!$J$5:$J$226,0)-1,0),0)</f>
        <v>211010101</v>
      </c>
      <c r="AC24" s="9" t="s">
        <v>508</v>
      </c>
      <c r="AD24" s="9">
        <v>20</v>
      </c>
      <c r="AF24" s="11">
        <f ca="1">IFERROR(OFFSET(MANOR_LEVEL!$B$1,MATCH(AG24-1,MANOR_LEVEL!$A:$A,0)-1,0),0)</f>
        <v>7450000</v>
      </c>
      <c r="AG24" s="56">
        <v>17</v>
      </c>
      <c r="AI24" s="56">
        <f t="shared" ca="1" si="3"/>
        <v>6081500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6081500</v>
      </c>
      <c r="AK24" s="182">
        <f t="shared" ca="1" si="8"/>
        <v>9922750</v>
      </c>
      <c r="AM24" s="11">
        <f t="shared" si="4"/>
        <v>100</v>
      </c>
      <c r="AN24" s="10">
        <v>100</v>
      </c>
      <c r="AO24" s="11">
        <f t="shared" si="6"/>
        <v>1500</v>
      </c>
      <c r="AP24" s="10">
        <v>1500</v>
      </c>
      <c r="AQ24" s="11">
        <f t="shared" si="6"/>
        <v>0</v>
      </c>
      <c r="AR24" s="10">
        <v>0</v>
      </c>
      <c r="AS24" s="56">
        <f t="shared" si="7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152000000</v>
      </c>
      <c r="AZ24" s="11">
        <f ca="1">IFERROR(OFFSET(ITEM_RES!$A$1,MATCH(BA24,ITEM_RES!$J:$J,0)-1,0),0)</f>
        <v>211020101</v>
      </c>
      <c r="BA24" s="10" t="s">
        <v>448</v>
      </c>
      <c r="BB24" s="11">
        <v>152000000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 t="s">
        <v>918</v>
      </c>
      <c r="N25" s="16" t="s">
        <v>938</v>
      </c>
      <c r="O25" s="16">
        <v>1</v>
      </c>
      <c r="P25" s="16">
        <v>15</v>
      </c>
      <c r="Q25" s="16" t="s">
        <v>1210</v>
      </c>
      <c r="R25" s="17"/>
      <c r="S25" s="17"/>
      <c r="T25" s="18"/>
      <c r="U25" s="16" t="s">
        <v>688</v>
      </c>
      <c r="V25" s="78"/>
      <c r="W25" s="86"/>
      <c r="X25" s="16">
        <f ca="1">IFERROR(OFFSET(ITEM_RES!$A$5,MATCH(BUILDING!W25,ITEM_RES!$J$5:$J$226,0)-1,0),0)</f>
        <v>0</v>
      </c>
      <c r="Y25" s="18"/>
      <c r="Z25" s="86" t="s">
        <v>539</v>
      </c>
      <c r="AA25" s="16">
        <f ca="1">IFERROR(OFFSET(ITEM_RES!$A$5,MATCH(BUILDING!Z25,ITEM_RES!$J$5:$J$226,0)-1,0),0)</f>
        <v>211010201</v>
      </c>
      <c r="AB25" s="78"/>
      <c r="AC25" s="16" t="s">
        <v>509</v>
      </c>
      <c r="AD25" s="16">
        <v>1</v>
      </c>
      <c r="AE25" s="78"/>
      <c r="AF25" s="18">
        <f ca="1">IFERROR(OFFSET(MANOR_LEVEL!$B$1,MATCH(AG25-1,MANOR_LEVEL!$A:$A,0)-1,0),0)</f>
        <v>1500</v>
      </c>
      <c r="AG25" s="57">
        <v>5</v>
      </c>
      <c r="AH25" s="78"/>
      <c r="AI25" s="57">
        <f ca="1">ROUND(AJ25,0)</f>
        <v>106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105.6</v>
      </c>
      <c r="AK25" s="184">
        <f ca="1">AI25</f>
        <v>106</v>
      </c>
      <c r="AL25" s="78"/>
      <c r="AM25" s="18">
        <f t="shared" si="4"/>
        <v>5</v>
      </c>
      <c r="AN25" s="17">
        <v>5</v>
      </c>
      <c r="AO25" s="18">
        <f t="shared" si="6"/>
        <v>5</v>
      </c>
      <c r="AP25" s="17">
        <v>5</v>
      </c>
      <c r="AQ25" s="18">
        <f t="shared" si="6"/>
        <v>0</v>
      </c>
      <c r="AR25" s="17">
        <v>0</v>
      </c>
      <c r="AS25" s="57">
        <f t="shared" si="7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20</v>
      </c>
      <c r="AX25" s="17"/>
      <c r="AY25" s="18"/>
      <c r="AZ25" s="18">
        <f ca="1">IFERROR(OFFSET(ITEM_RES!$A$1,MATCH(BA25,ITEM_RES!$J:$J,0)-1,0),0)</f>
        <v>211020101</v>
      </c>
      <c r="BA25" s="17" t="s">
        <v>448</v>
      </c>
      <c r="BB25" s="18">
        <v>20</v>
      </c>
      <c r="BC25" s="17"/>
      <c r="BD25" s="18"/>
      <c r="BE25" s="18">
        <f ca="1">IFERROR(OFFSET(ITEM_RES!$A$1,MATCH(BF25,ITEM_RES!$J:$J,0)-1,0),0)</f>
        <v>213010101</v>
      </c>
      <c r="BF25" s="17" t="s">
        <v>452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918</v>
      </c>
      <c r="N26" s="9" t="s">
        <v>938</v>
      </c>
      <c r="O26" s="9">
        <v>1</v>
      </c>
      <c r="P26" s="9">
        <v>15</v>
      </c>
      <c r="Q26" s="9" t="s">
        <v>1211</v>
      </c>
      <c r="U26" s="9" t="s">
        <v>688</v>
      </c>
      <c r="X26" s="9">
        <f ca="1">IFERROR(OFFSET(ITEM_RES!$A$5,MATCH(BUILDING!W26,ITEM_RES!$J$5:$J$226,0)-1,0),0)</f>
        <v>0</v>
      </c>
      <c r="Z26" s="84" t="s">
        <v>539</v>
      </c>
      <c r="AA26" s="9">
        <f ca="1">IFERROR(OFFSET(ITEM_RES!$A$5,MATCH(BUILDING!Z26,ITEM_RES!$J$5:$J$226,0)-1,0),0)</f>
        <v>211010201</v>
      </c>
      <c r="AC26" s="9" t="s">
        <v>509</v>
      </c>
      <c r="AD26" s="9">
        <v>2</v>
      </c>
      <c r="AF26" s="11">
        <f ca="1">IFERROR(OFFSET(MANOR_LEVEL!$B$1,MATCH(AG26-1,MANOR_LEVEL!$A:$A,0)-1,0),0)</f>
        <v>1500</v>
      </c>
      <c r="AG26" s="56">
        <v>5</v>
      </c>
      <c r="AI26" s="56">
        <f t="shared" ref="AI26:AI89" ca="1" si="9">ROUND(AJ26,0)</f>
        <v>11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10.6</v>
      </c>
      <c r="AK26" s="182">
        <f ca="1">AI25+AI26</f>
        <v>117</v>
      </c>
      <c r="AM26" s="11">
        <f t="shared" si="4"/>
        <v>10</v>
      </c>
      <c r="AN26" s="10">
        <v>10</v>
      </c>
      <c r="AO26" s="11">
        <f t="shared" si="6"/>
        <v>10</v>
      </c>
      <c r="AP26" s="10">
        <v>10</v>
      </c>
      <c r="AQ26" s="11">
        <f t="shared" si="6"/>
        <v>0</v>
      </c>
      <c r="AR26" s="10">
        <v>0</v>
      </c>
      <c r="AS26" s="56">
        <f t="shared" si="7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20</v>
      </c>
      <c r="AZ26" s="11">
        <f ca="1">IFERROR(OFFSET(ITEM_RES!$A$1,MATCH(BA26,ITEM_RES!$J:$J,0)-1,0),0)</f>
        <v>211020101</v>
      </c>
      <c r="BA26" s="10" t="s">
        <v>448</v>
      </c>
      <c r="BB26" s="11">
        <v>20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918</v>
      </c>
      <c r="N27" s="9" t="s">
        <v>938</v>
      </c>
      <c r="O27" s="9">
        <v>1</v>
      </c>
      <c r="P27" s="9">
        <v>15</v>
      </c>
      <c r="Q27" s="9" t="s">
        <v>1212</v>
      </c>
      <c r="U27" s="9" t="s">
        <v>688</v>
      </c>
      <c r="X27" s="9">
        <f ca="1">IFERROR(OFFSET(ITEM_RES!$A$5,MATCH(BUILDING!W27,ITEM_RES!$J$5:$J$226,0)-1,0),0)</f>
        <v>0</v>
      </c>
      <c r="Z27" s="84" t="s">
        <v>539</v>
      </c>
      <c r="AA27" s="9">
        <f ca="1">IFERROR(OFFSET(ITEM_RES!$A$5,MATCH(BUILDING!Z27,ITEM_RES!$J$5:$J$226,0)-1,0),0)</f>
        <v>211010201</v>
      </c>
      <c r="AC27" s="9" t="s">
        <v>509</v>
      </c>
      <c r="AD27" s="9">
        <v>3</v>
      </c>
      <c r="AF27" s="11">
        <f ca="1">IFERROR(OFFSET(MANOR_LEVEL!$B$1,MATCH(AG27-1,MANOR_LEVEL!$A:$A,0)-1,0),0)</f>
        <v>1500</v>
      </c>
      <c r="AG27" s="56">
        <v>5</v>
      </c>
      <c r="AI27" s="56">
        <f t="shared" ca="1" si="9"/>
        <v>20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19.8</v>
      </c>
      <c r="AK27" s="182">
        <f t="shared" ref="AK27:AK44" ca="1" si="10">AI26+AI27</f>
        <v>31</v>
      </c>
      <c r="AM27" s="11">
        <f t="shared" si="4"/>
        <v>15</v>
      </c>
      <c r="AN27" s="10">
        <v>15</v>
      </c>
      <c r="AO27" s="11">
        <f t="shared" si="6"/>
        <v>15</v>
      </c>
      <c r="AP27" s="10">
        <v>15</v>
      </c>
      <c r="AQ27" s="11">
        <f t="shared" si="6"/>
        <v>0</v>
      </c>
      <c r="AR27" s="10">
        <v>0</v>
      </c>
      <c r="AS27" s="56">
        <f t="shared" si="7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160</v>
      </c>
      <c r="AZ27" s="11">
        <f ca="1">IFERROR(OFFSET(ITEM_RES!$A$1,MATCH(BA27,ITEM_RES!$J:$J,0)-1,0),0)</f>
        <v>211020101</v>
      </c>
      <c r="BA27" s="10" t="s">
        <v>448</v>
      </c>
      <c r="BB27" s="11">
        <v>160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918</v>
      </c>
      <c r="N28" s="9" t="s">
        <v>938</v>
      </c>
      <c r="O28" s="9">
        <v>1</v>
      </c>
      <c r="P28" s="9">
        <v>15</v>
      </c>
      <c r="Q28" s="9" t="s">
        <v>1212</v>
      </c>
      <c r="U28" s="9" t="s">
        <v>688</v>
      </c>
      <c r="X28" s="9">
        <f ca="1">IFERROR(OFFSET(ITEM_RES!$A$5,MATCH(BUILDING!W28,ITEM_RES!$J$5:$J$226,0)-1,0),0)</f>
        <v>0</v>
      </c>
      <c r="Z28" s="84" t="s">
        <v>539</v>
      </c>
      <c r="AA28" s="9">
        <f ca="1">IFERROR(OFFSET(ITEM_RES!$A$5,MATCH(BUILDING!Z28,ITEM_RES!$J$5:$J$226,0)-1,0),0)</f>
        <v>211010201</v>
      </c>
      <c r="AC28" s="9" t="s">
        <v>509</v>
      </c>
      <c r="AD28" s="9">
        <v>4</v>
      </c>
      <c r="AF28" s="11">
        <f ca="1">IFERROR(OFFSET(MANOR_LEVEL!$B$1,MATCH(AG28-1,MANOR_LEVEL!$A:$A,0)-1,0),0)</f>
        <v>3872</v>
      </c>
      <c r="AG28" s="56">
        <v>6</v>
      </c>
      <c r="AI28" s="56">
        <f t="shared" ca="1" si="9"/>
        <v>83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82.6</v>
      </c>
      <c r="AK28" s="182">
        <f t="shared" ca="1" si="10"/>
        <v>103</v>
      </c>
      <c r="AM28" s="11">
        <f t="shared" si="4"/>
        <v>20</v>
      </c>
      <c r="AN28" s="10">
        <v>20</v>
      </c>
      <c r="AO28" s="11">
        <f t="shared" si="6"/>
        <v>25</v>
      </c>
      <c r="AP28" s="10">
        <v>25</v>
      </c>
      <c r="AQ28" s="11">
        <f t="shared" si="6"/>
        <v>0</v>
      </c>
      <c r="AR28" s="10">
        <v>0</v>
      </c>
      <c r="AS28" s="56">
        <f t="shared" si="7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1920</v>
      </c>
      <c r="AZ28" s="11">
        <f ca="1">IFERROR(OFFSET(ITEM_RES!$A$1,MATCH(BA28,ITEM_RES!$J:$J,0)-1,0),0)</f>
        <v>211020101</v>
      </c>
      <c r="BA28" s="10" t="s">
        <v>448</v>
      </c>
      <c r="BB28" s="11">
        <v>1920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918</v>
      </c>
      <c r="N29" s="9" t="s">
        <v>938</v>
      </c>
      <c r="O29" s="9">
        <v>1</v>
      </c>
      <c r="P29" s="9">
        <v>15</v>
      </c>
      <c r="Q29" s="9" t="s">
        <v>1213</v>
      </c>
      <c r="U29" s="9" t="s">
        <v>688</v>
      </c>
      <c r="X29" s="9">
        <f ca="1">IFERROR(OFFSET(ITEM_RES!$A$5,MATCH(BUILDING!W29,ITEM_RES!$J$5:$J$226,0)-1,0),0)</f>
        <v>0</v>
      </c>
      <c r="Z29" s="84" t="s">
        <v>539</v>
      </c>
      <c r="AA29" s="9">
        <f ca="1">IFERROR(OFFSET(ITEM_RES!$A$5,MATCH(BUILDING!Z29,ITEM_RES!$J$5:$J$226,0)-1,0),0)</f>
        <v>211010201</v>
      </c>
      <c r="AC29" s="9" t="s">
        <v>509</v>
      </c>
      <c r="AD29" s="9">
        <v>5</v>
      </c>
      <c r="AF29" s="11">
        <f ca="1">IFERROR(OFFSET(MANOR_LEVEL!$B$1,MATCH(AG29-1,MANOR_LEVEL!$A:$A,0)-1,0),0)</f>
        <v>3872</v>
      </c>
      <c r="AG29" s="56">
        <v>6</v>
      </c>
      <c r="AI29" s="56">
        <f t="shared" ca="1" si="9"/>
        <v>820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820</v>
      </c>
      <c r="AK29" s="182">
        <f t="shared" ca="1" si="10"/>
        <v>903</v>
      </c>
      <c r="AM29" s="11">
        <f t="shared" si="4"/>
        <v>25</v>
      </c>
      <c r="AN29" s="10">
        <v>25</v>
      </c>
      <c r="AO29" s="11">
        <f t="shared" si="6"/>
        <v>40</v>
      </c>
      <c r="AP29" s="10">
        <v>40</v>
      </c>
      <c r="AQ29" s="11">
        <f t="shared" si="6"/>
        <v>0</v>
      </c>
      <c r="AR29" s="10">
        <v>0</v>
      </c>
      <c r="AS29" s="56">
        <f t="shared" si="7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26000</v>
      </c>
      <c r="AZ29" s="11">
        <f ca="1">IFERROR(OFFSET(ITEM_RES!$A$1,MATCH(BA29,ITEM_RES!$J:$J,0)-1,0),0)</f>
        <v>211020101</v>
      </c>
      <c r="BA29" s="10" t="s">
        <v>448</v>
      </c>
      <c r="BB29" s="11">
        <v>26000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918</v>
      </c>
      <c r="N30" s="9" t="s">
        <v>938</v>
      </c>
      <c r="O30" s="9">
        <v>1</v>
      </c>
      <c r="P30" s="9">
        <v>15</v>
      </c>
      <c r="Q30" s="9" t="s">
        <v>1214</v>
      </c>
      <c r="U30" s="9" t="s">
        <v>688</v>
      </c>
      <c r="X30" s="9">
        <f ca="1">IFERROR(OFFSET(ITEM_RES!$A$5,MATCH(BUILDING!W30,ITEM_RES!$J$5:$J$226,0)-1,0),0)</f>
        <v>0</v>
      </c>
      <c r="Z30" s="84" t="s">
        <v>539</v>
      </c>
      <c r="AA30" s="9">
        <f ca="1">IFERROR(OFFSET(ITEM_RES!$A$5,MATCH(BUILDING!Z30,ITEM_RES!$J$5:$J$226,0)-1,0),0)</f>
        <v>211010201</v>
      </c>
      <c r="AC30" s="9" t="s">
        <v>509</v>
      </c>
      <c r="AD30" s="9">
        <v>6</v>
      </c>
      <c r="AF30" s="11">
        <f ca="1">IFERROR(OFFSET(MANOR_LEVEL!$B$1,MATCH(AG30-1,MANOR_LEVEL!$A:$A,0)-1,0),0)</f>
        <v>3872</v>
      </c>
      <c r="AG30" s="56">
        <v>6</v>
      </c>
      <c r="AI30" s="56">
        <f t="shared" ca="1" si="9"/>
        <v>7250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7250</v>
      </c>
      <c r="AK30" s="182">
        <f t="shared" ca="1" si="10"/>
        <v>8070</v>
      </c>
      <c r="AM30" s="11">
        <f t="shared" si="4"/>
        <v>30</v>
      </c>
      <c r="AN30" s="10">
        <v>30</v>
      </c>
      <c r="AO30" s="11">
        <f t="shared" si="6"/>
        <v>50</v>
      </c>
      <c r="AP30" s="10">
        <v>50</v>
      </c>
      <c r="AQ30" s="11">
        <f t="shared" si="6"/>
        <v>0</v>
      </c>
      <c r="AR30" s="10">
        <v>0</v>
      </c>
      <c r="AS30" s="56">
        <f t="shared" si="7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240000</v>
      </c>
      <c r="AZ30" s="11">
        <f ca="1">IFERROR(OFFSET(ITEM_RES!$A$1,MATCH(BA30,ITEM_RES!$J:$J,0)-1,0),0)</f>
        <v>211020101</v>
      </c>
      <c r="BA30" s="10" t="s">
        <v>448</v>
      </c>
      <c r="BB30" s="11">
        <v>240000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918</v>
      </c>
      <c r="N31" s="9" t="s">
        <v>938</v>
      </c>
      <c r="O31" s="9">
        <v>1</v>
      </c>
      <c r="P31" s="9">
        <v>15</v>
      </c>
      <c r="Q31" s="9" t="s">
        <v>1215</v>
      </c>
      <c r="U31" s="9" t="s">
        <v>688</v>
      </c>
      <c r="X31" s="9">
        <f ca="1">IFERROR(OFFSET(ITEM_RES!$A$5,MATCH(BUILDING!W31,ITEM_RES!$J$5:$J$226,0)-1,0),0)</f>
        <v>0</v>
      </c>
      <c r="Z31" s="84" t="s">
        <v>539</v>
      </c>
      <c r="AA31" s="9">
        <f ca="1">IFERROR(OFFSET(ITEM_RES!$A$5,MATCH(BUILDING!Z31,ITEM_RES!$J$5:$J$226,0)-1,0),0)</f>
        <v>211010201</v>
      </c>
      <c r="AC31" s="9" t="s">
        <v>509</v>
      </c>
      <c r="AD31" s="9">
        <v>7</v>
      </c>
      <c r="AF31" s="11">
        <f ca="1">IFERROR(OFFSET(MANOR_LEVEL!$B$1,MATCH(AG31-1,MANOR_LEVEL!$A:$A,0)-1,0),0)</f>
        <v>3872</v>
      </c>
      <c r="AG31" s="56">
        <v>6</v>
      </c>
      <c r="AI31" s="56">
        <f t="shared" ca="1" si="9"/>
        <v>16300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16300</v>
      </c>
      <c r="AK31" s="182">
        <f t="shared" ca="1" si="10"/>
        <v>23550</v>
      </c>
      <c r="AM31" s="11">
        <f t="shared" si="4"/>
        <v>35</v>
      </c>
      <c r="AN31" s="10">
        <v>35</v>
      </c>
      <c r="AO31" s="11">
        <f t="shared" si="6"/>
        <v>100</v>
      </c>
      <c r="AP31" s="10">
        <v>100</v>
      </c>
      <c r="AQ31" s="11">
        <f t="shared" si="6"/>
        <v>0</v>
      </c>
      <c r="AR31" s="10">
        <v>0</v>
      </c>
      <c r="AS31" s="56">
        <f t="shared" si="7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540000</v>
      </c>
      <c r="AZ31" s="11">
        <f ca="1">IFERROR(OFFSET(ITEM_RES!$A$1,MATCH(BA31,ITEM_RES!$J:$J,0)-1,0),0)</f>
        <v>211020101</v>
      </c>
      <c r="BA31" s="10" t="s">
        <v>448</v>
      </c>
      <c r="BB31" s="11">
        <v>540000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918</v>
      </c>
      <c r="N32" s="9" t="s">
        <v>938</v>
      </c>
      <c r="O32" s="9">
        <v>1</v>
      </c>
      <c r="P32" s="9">
        <v>15</v>
      </c>
      <c r="Q32" s="9" t="s">
        <v>1215</v>
      </c>
      <c r="U32" s="9" t="s">
        <v>688</v>
      </c>
      <c r="X32" s="9">
        <f ca="1">IFERROR(OFFSET(ITEM_RES!$A$5,MATCH(BUILDING!W32,ITEM_RES!$J$5:$J$226,0)-1,0),0)</f>
        <v>0</v>
      </c>
      <c r="Z32" s="84" t="s">
        <v>539</v>
      </c>
      <c r="AA32" s="9">
        <f ca="1">IFERROR(OFFSET(ITEM_RES!$A$5,MATCH(BUILDING!Z32,ITEM_RES!$J$5:$J$226,0)-1,0),0)</f>
        <v>211010201</v>
      </c>
      <c r="AC32" s="9" t="s">
        <v>509</v>
      </c>
      <c r="AD32" s="9">
        <v>8</v>
      </c>
      <c r="AF32" s="11">
        <f ca="1">IFERROR(OFFSET(MANOR_LEVEL!$B$1,MATCH(AG32-1,MANOR_LEVEL!$A:$A,0)-1,0),0)</f>
        <v>32640</v>
      </c>
      <c r="AG32" s="56">
        <v>7</v>
      </c>
      <c r="AI32" s="56">
        <f t="shared" ca="1" si="9"/>
        <v>30100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30100</v>
      </c>
      <c r="AK32" s="182">
        <f t="shared" ca="1" si="10"/>
        <v>46400</v>
      </c>
      <c r="AM32" s="11">
        <f t="shared" si="4"/>
        <v>40</v>
      </c>
      <c r="AN32" s="10">
        <v>40</v>
      </c>
      <c r="AO32" s="11">
        <f t="shared" si="6"/>
        <v>100</v>
      </c>
      <c r="AP32" s="10">
        <v>100</v>
      </c>
      <c r="AQ32" s="11">
        <f t="shared" si="6"/>
        <v>0</v>
      </c>
      <c r="AR32" s="10">
        <v>0</v>
      </c>
      <c r="AS32" s="56">
        <f t="shared" si="7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1000000</v>
      </c>
      <c r="AZ32" s="11">
        <f ca="1">IFERROR(OFFSET(ITEM_RES!$A$1,MATCH(BA32,ITEM_RES!$J:$J,0)-1,0),0)</f>
        <v>211020101</v>
      </c>
      <c r="BA32" s="10" t="s">
        <v>448</v>
      </c>
      <c r="BB32" s="11">
        <v>1000000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918</v>
      </c>
      <c r="N33" s="9" t="s">
        <v>938</v>
      </c>
      <c r="O33" s="9">
        <v>1</v>
      </c>
      <c r="P33" s="9">
        <v>15</v>
      </c>
      <c r="Q33" s="9" t="s">
        <v>1215</v>
      </c>
      <c r="U33" s="9" t="s">
        <v>688</v>
      </c>
      <c r="X33" s="9">
        <f ca="1">IFERROR(OFFSET(ITEM_RES!$A$5,MATCH(BUILDING!W33,ITEM_RES!$J$5:$J$226,0)-1,0),0)</f>
        <v>0</v>
      </c>
      <c r="Z33" s="84" t="s">
        <v>539</v>
      </c>
      <c r="AA33" s="9">
        <f ca="1">IFERROR(OFFSET(ITEM_RES!$A$5,MATCH(BUILDING!Z33,ITEM_RES!$J$5:$J$226,0)-1,0),0)</f>
        <v>211010201</v>
      </c>
      <c r="AC33" s="9" t="s">
        <v>509</v>
      </c>
      <c r="AD33" s="9">
        <v>9</v>
      </c>
      <c r="AF33" s="11">
        <f ca="1">IFERROR(OFFSET(MANOR_LEVEL!$B$1,MATCH(AG33-1,MANOR_LEVEL!$A:$A,0)-1,0),0)</f>
        <v>32640</v>
      </c>
      <c r="AG33" s="56">
        <v>7</v>
      </c>
      <c r="AI33" s="56">
        <f t="shared" ca="1" si="9"/>
        <v>47550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47550</v>
      </c>
      <c r="AK33" s="182">
        <f t="shared" ca="1" si="10"/>
        <v>77650</v>
      </c>
      <c r="AM33" s="11">
        <f t="shared" si="4"/>
        <v>45</v>
      </c>
      <c r="AN33" s="10">
        <v>45</v>
      </c>
      <c r="AO33" s="11">
        <f t="shared" si="6"/>
        <v>150</v>
      </c>
      <c r="AP33" s="10">
        <v>150</v>
      </c>
      <c r="AQ33" s="11">
        <f t="shared" si="6"/>
        <v>0</v>
      </c>
      <c r="AR33" s="10">
        <v>0</v>
      </c>
      <c r="AS33" s="56">
        <f t="shared" si="7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1580000</v>
      </c>
      <c r="AZ33" s="11">
        <f ca="1">IFERROR(OFFSET(ITEM_RES!$A$1,MATCH(BA33,ITEM_RES!$J:$J,0)-1,0),0)</f>
        <v>211020101</v>
      </c>
      <c r="BA33" s="10" t="s">
        <v>448</v>
      </c>
      <c r="BB33" s="11">
        <v>1580000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918</v>
      </c>
      <c r="N34" s="9" t="s">
        <v>938</v>
      </c>
      <c r="O34" s="9">
        <v>1</v>
      </c>
      <c r="P34" s="9">
        <v>15</v>
      </c>
      <c r="Q34" s="9" t="s">
        <v>1215</v>
      </c>
      <c r="U34" s="9" t="s">
        <v>688</v>
      </c>
      <c r="X34" s="9">
        <f ca="1">IFERROR(OFFSET(ITEM_RES!$A$5,MATCH(BUILDING!W34,ITEM_RES!$J$5:$J$226,0)-1,0),0)</f>
        <v>0</v>
      </c>
      <c r="Z34" s="84" t="s">
        <v>539</v>
      </c>
      <c r="AA34" s="9">
        <f ca="1">IFERROR(OFFSET(ITEM_RES!$A$5,MATCH(BUILDING!Z34,ITEM_RES!$J$5:$J$226,0)-1,0),0)</f>
        <v>211010201</v>
      </c>
      <c r="AC34" s="9" t="s">
        <v>509</v>
      </c>
      <c r="AD34" s="9">
        <v>10</v>
      </c>
      <c r="AF34" s="11">
        <f ca="1">IFERROR(OFFSET(MANOR_LEVEL!$B$1,MATCH(AG34-1,MANOR_LEVEL!$A:$A,0)-1,0),0)</f>
        <v>32640</v>
      </c>
      <c r="AG34" s="56">
        <v>7</v>
      </c>
      <c r="AI34" s="56">
        <f t="shared" ca="1" si="9"/>
        <v>66200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66200</v>
      </c>
      <c r="AK34" s="182">
        <f t="shared" ca="1" si="10"/>
        <v>113750</v>
      </c>
      <c r="AM34" s="11">
        <f t="shared" si="4"/>
        <v>50</v>
      </c>
      <c r="AN34" s="10">
        <v>50</v>
      </c>
      <c r="AO34" s="11">
        <f t="shared" si="6"/>
        <v>200</v>
      </c>
      <c r="AP34" s="10">
        <v>200</v>
      </c>
      <c r="AQ34" s="11">
        <f t="shared" si="6"/>
        <v>0</v>
      </c>
      <c r="AR34" s="10">
        <v>0</v>
      </c>
      <c r="AS34" s="56">
        <f t="shared" si="7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2200000</v>
      </c>
      <c r="AZ34" s="11">
        <f ca="1">IFERROR(OFFSET(ITEM_RES!$A$1,MATCH(BA34,ITEM_RES!$J:$J,0)-1,0),0)</f>
        <v>211020101</v>
      </c>
      <c r="BA34" s="10" t="s">
        <v>448</v>
      </c>
      <c r="BB34" s="11">
        <v>2200000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918</v>
      </c>
      <c r="N35" s="9" t="s">
        <v>938</v>
      </c>
      <c r="O35" s="9">
        <v>1</v>
      </c>
      <c r="P35" s="9">
        <v>15</v>
      </c>
      <c r="Q35" s="9" t="s">
        <v>1215</v>
      </c>
      <c r="U35" s="9" t="s">
        <v>688</v>
      </c>
      <c r="X35" s="9">
        <f ca="1">IFERROR(OFFSET(ITEM_RES!$A$5,MATCH(BUILDING!W35,ITEM_RES!$J$5:$J$226,0)-1,0),0)</f>
        <v>0</v>
      </c>
      <c r="Z35" s="84" t="s">
        <v>539</v>
      </c>
      <c r="AA35" s="9">
        <f ca="1">IFERROR(OFFSET(ITEM_RES!$A$5,MATCH(BUILDING!Z35,ITEM_RES!$J$5:$J$226,0)-1,0),0)</f>
        <v>211010201</v>
      </c>
      <c r="AC35" s="9" t="s">
        <v>509</v>
      </c>
      <c r="AD35" s="9">
        <v>11</v>
      </c>
      <c r="AF35" s="11">
        <f ca="1">IFERROR(OFFSET(MANOR_LEVEL!$B$1,MATCH(AG35-1,MANOR_LEVEL!$A:$A,0)-1,0),0)</f>
        <v>94800</v>
      </c>
      <c r="AG35" s="56">
        <v>8</v>
      </c>
      <c r="AI35" s="56">
        <f t="shared" ca="1" si="9"/>
        <v>132250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132250</v>
      </c>
      <c r="AK35" s="182">
        <f t="shared" ca="1" si="10"/>
        <v>198450</v>
      </c>
      <c r="AM35" s="11">
        <f t="shared" si="4"/>
        <v>55</v>
      </c>
      <c r="AN35" s="10">
        <v>55</v>
      </c>
      <c r="AO35" s="11">
        <f t="shared" si="6"/>
        <v>250</v>
      </c>
      <c r="AP35" s="10">
        <v>250</v>
      </c>
      <c r="AQ35" s="11">
        <f t="shared" si="6"/>
        <v>0</v>
      </c>
      <c r="AR35" s="10">
        <v>0</v>
      </c>
      <c r="AS35" s="56">
        <f t="shared" si="7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4400000</v>
      </c>
      <c r="AZ35" s="11">
        <f ca="1">IFERROR(OFFSET(ITEM_RES!$A$1,MATCH(BA35,ITEM_RES!$J:$J,0)-1,0),0)</f>
        <v>211020101</v>
      </c>
      <c r="BA35" s="10" t="s">
        <v>448</v>
      </c>
      <c r="BB35" s="11">
        <v>4400000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918</v>
      </c>
      <c r="N36" s="9" t="s">
        <v>938</v>
      </c>
      <c r="O36" s="9">
        <v>1</v>
      </c>
      <c r="P36" s="9">
        <v>15</v>
      </c>
      <c r="Q36" s="9" t="s">
        <v>1215</v>
      </c>
      <c r="U36" s="9" t="s">
        <v>688</v>
      </c>
      <c r="X36" s="9">
        <f ca="1">IFERROR(OFFSET(ITEM_RES!$A$5,MATCH(BUILDING!W36,ITEM_RES!$J$5:$J$226,0)-1,0),0)</f>
        <v>0</v>
      </c>
      <c r="Z36" s="84" t="s">
        <v>539</v>
      </c>
      <c r="AA36" s="9">
        <f ca="1">IFERROR(OFFSET(ITEM_RES!$A$5,MATCH(BUILDING!Z36,ITEM_RES!$J$5:$J$226,0)-1,0),0)</f>
        <v>211010201</v>
      </c>
      <c r="AC36" s="9" t="s">
        <v>509</v>
      </c>
      <c r="AD36" s="9">
        <v>12</v>
      </c>
      <c r="AF36" s="11">
        <f ca="1">IFERROR(OFFSET(MANOR_LEVEL!$B$1,MATCH(AG36-1,MANOR_LEVEL!$A:$A,0)-1,0),0)</f>
        <v>94800</v>
      </c>
      <c r="AG36" s="56">
        <v>8</v>
      </c>
      <c r="AI36" s="56">
        <f t="shared" ca="1" si="9"/>
        <v>156300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156300</v>
      </c>
      <c r="AK36" s="182">
        <f t="shared" ca="1" si="10"/>
        <v>288550</v>
      </c>
      <c r="AM36" s="11">
        <f t="shared" si="4"/>
        <v>60</v>
      </c>
      <c r="AN36" s="10">
        <v>60</v>
      </c>
      <c r="AO36" s="11">
        <f t="shared" si="6"/>
        <v>300</v>
      </c>
      <c r="AP36" s="10">
        <v>300</v>
      </c>
      <c r="AQ36" s="11">
        <f t="shared" si="6"/>
        <v>0</v>
      </c>
      <c r="AR36" s="10">
        <v>0</v>
      </c>
      <c r="AS36" s="56">
        <f t="shared" si="7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5200000</v>
      </c>
      <c r="AZ36" s="11">
        <f ca="1">IFERROR(OFFSET(ITEM_RES!$A$1,MATCH(BA36,ITEM_RES!$J:$J,0)-1,0),0)</f>
        <v>211020101</v>
      </c>
      <c r="BA36" s="10" t="s">
        <v>448</v>
      </c>
      <c r="BB36" s="11">
        <v>5200000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918</v>
      </c>
      <c r="N37" s="9" t="s">
        <v>938</v>
      </c>
      <c r="O37" s="9">
        <v>1</v>
      </c>
      <c r="P37" s="9">
        <v>15</v>
      </c>
      <c r="Q37" s="9" t="s">
        <v>1215</v>
      </c>
      <c r="U37" s="9" t="s">
        <v>688</v>
      </c>
      <c r="X37" s="9">
        <f ca="1">IFERROR(OFFSET(ITEM_RES!$A$5,MATCH(BUILDING!W37,ITEM_RES!$J$5:$J$226,0)-1,0),0)</f>
        <v>0</v>
      </c>
      <c r="Z37" s="84" t="s">
        <v>539</v>
      </c>
      <c r="AA37" s="9">
        <f ca="1">IFERROR(OFFSET(ITEM_RES!$A$5,MATCH(BUILDING!Z37,ITEM_RES!$J$5:$J$226,0)-1,0),0)</f>
        <v>211010201</v>
      </c>
      <c r="AC37" s="9" t="s">
        <v>509</v>
      </c>
      <c r="AD37" s="9">
        <v>13</v>
      </c>
      <c r="AF37" s="11">
        <f ca="1">IFERROR(OFFSET(MANOR_LEVEL!$B$1,MATCH(AG37-1,MANOR_LEVEL!$A:$A,0)-1,0),0)</f>
        <v>94800</v>
      </c>
      <c r="AG37" s="56">
        <v>8</v>
      </c>
      <c r="AI37" s="56">
        <f t="shared" ca="1" si="9"/>
        <v>258350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258350</v>
      </c>
      <c r="AK37" s="182">
        <f t="shared" ca="1" si="10"/>
        <v>414650</v>
      </c>
      <c r="AM37" s="11">
        <f t="shared" si="4"/>
        <v>65</v>
      </c>
      <c r="AN37" s="10">
        <v>65</v>
      </c>
      <c r="AO37" s="11">
        <f t="shared" si="6"/>
        <v>350</v>
      </c>
      <c r="AP37" s="10">
        <v>350</v>
      </c>
      <c r="AQ37" s="11">
        <f t="shared" si="6"/>
        <v>0</v>
      </c>
      <c r="AR37" s="10">
        <v>0</v>
      </c>
      <c r="AS37" s="56">
        <f t="shared" si="7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8600000</v>
      </c>
      <c r="AZ37" s="11">
        <f ca="1">IFERROR(OFFSET(ITEM_RES!$A$1,MATCH(BA37,ITEM_RES!$J:$J,0)-1,0),0)</f>
        <v>211020101</v>
      </c>
      <c r="BA37" s="10" t="s">
        <v>448</v>
      </c>
      <c r="BB37" s="11">
        <v>8600000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918</v>
      </c>
      <c r="N38" s="9" t="s">
        <v>938</v>
      </c>
      <c r="O38" s="9">
        <v>1</v>
      </c>
      <c r="P38" s="9">
        <v>15</v>
      </c>
      <c r="Q38" s="9" t="s">
        <v>1215</v>
      </c>
      <c r="U38" s="9" t="s">
        <v>688</v>
      </c>
      <c r="X38" s="9">
        <f ca="1">IFERROR(OFFSET(ITEM_RES!$A$5,MATCH(BUILDING!W38,ITEM_RES!$J$5:$J$226,0)-1,0),0)</f>
        <v>0</v>
      </c>
      <c r="Z38" s="84" t="s">
        <v>539</v>
      </c>
      <c r="AA38" s="9">
        <f ca="1">IFERROR(OFFSET(ITEM_RES!$A$5,MATCH(BUILDING!Z38,ITEM_RES!$J$5:$J$226,0)-1,0),0)</f>
        <v>211010201</v>
      </c>
      <c r="AC38" s="9" t="s">
        <v>509</v>
      </c>
      <c r="AD38" s="9">
        <v>14</v>
      </c>
      <c r="AF38" s="11">
        <f ca="1">IFERROR(OFFSET(MANOR_LEVEL!$B$1,MATCH(AG38-1,MANOR_LEVEL!$A:$A,0)-1,0),0)</f>
        <v>94800</v>
      </c>
      <c r="AG38" s="56">
        <v>8</v>
      </c>
      <c r="AI38" s="56">
        <f t="shared" ca="1" si="9"/>
        <v>396450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396450</v>
      </c>
      <c r="AK38" s="182">
        <f t="shared" ca="1" si="10"/>
        <v>654800</v>
      </c>
      <c r="AM38" s="11">
        <f t="shared" si="4"/>
        <v>70</v>
      </c>
      <c r="AN38" s="10">
        <v>70</v>
      </c>
      <c r="AO38" s="11">
        <f t="shared" si="6"/>
        <v>450</v>
      </c>
      <c r="AP38" s="10">
        <v>450</v>
      </c>
      <c r="AQ38" s="11">
        <f t="shared" si="6"/>
        <v>0</v>
      </c>
      <c r="AR38" s="10">
        <v>0</v>
      </c>
      <c r="AS38" s="56">
        <f t="shared" si="7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13200000</v>
      </c>
      <c r="AZ38" s="11">
        <f ca="1">IFERROR(OFFSET(ITEM_RES!$A$1,MATCH(BA38,ITEM_RES!$J:$J,0)-1,0),0)</f>
        <v>211020101</v>
      </c>
      <c r="BA38" s="10" t="s">
        <v>448</v>
      </c>
      <c r="BB38" s="11">
        <v>13200000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918</v>
      </c>
      <c r="N39" s="9" t="s">
        <v>938</v>
      </c>
      <c r="O39" s="9">
        <v>1</v>
      </c>
      <c r="P39" s="9">
        <v>15</v>
      </c>
      <c r="Q39" s="9" t="s">
        <v>1215</v>
      </c>
      <c r="U39" s="9" t="s">
        <v>688</v>
      </c>
      <c r="X39" s="9">
        <f ca="1">IFERROR(OFFSET(ITEM_RES!$A$5,MATCH(BUILDING!W39,ITEM_RES!$J$5:$J$226,0)-1,0),0)</f>
        <v>0</v>
      </c>
      <c r="Z39" s="84" t="s">
        <v>539</v>
      </c>
      <c r="AA39" s="9">
        <f ca="1">IFERROR(OFFSET(ITEM_RES!$A$5,MATCH(BUILDING!Z39,ITEM_RES!$J$5:$J$226,0)-1,0),0)</f>
        <v>211010201</v>
      </c>
      <c r="AC39" s="9" t="s">
        <v>509</v>
      </c>
      <c r="AD39" s="9">
        <v>15</v>
      </c>
      <c r="AF39" s="11">
        <f ca="1">IFERROR(OFFSET(MANOR_LEVEL!$B$1,MATCH(AG39-1,MANOR_LEVEL!$A:$A,0)-1,0),0)</f>
        <v>94800</v>
      </c>
      <c r="AG39" s="56">
        <v>8</v>
      </c>
      <c r="AI39" s="56">
        <f t="shared" ca="1" si="9"/>
        <v>880550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880550</v>
      </c>
      <c r="AK39" s="182">
        <f t="shared" ca="1" si="10"/>
        <v>1277000</v>
      </c>
      <c r="AM39" s="11">
        <f t="shared" si="4"/>
        <v>75</v>
      </c>
      <c r="AN39" s="10">
        <v>75</v>
      </c>
      <c r="AO39" s="11">
        <f t="shared" si="6"/>
        <v>550</v>
      </c>
      <c r="AP39" s="10">
        <v>550</v>
      </c>
      <c r="AQ39" s="11">
        <f t="shared" si="6"/>
        <v>0</v>
      </c>
      <c r="AR39" s="10">
        <v>0</v>
      </c>
      <c r="AS39" s="56">
        <f t="shared" si="7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22000000</v>
      </c>
      <c r="AZ39" s="11">
        <f ca="1">IFERROR(OFFSET(ITEM_RES!$A$1,MATCH(BA39,ITEM_RES!$J:$J,0)-1,0),0)</f>
        <v>211020101</v>
      </c>
      <c r="BA39" s="10" t="s">
        <v>448</v>
      </c>
      <c r="BB39" s="11">
        <v>22000000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918</v>
      </c>
      <c r="N40" s="9" t="s">
        <v>938</v>
      </c>
      <c r="O40" s="9">
        <v>0</v>
      </c>
      <c r="P40" s="9">
        <v>15</v>
      </c>
      <c r="Q40" s="9" t="s">
        <v>1215</v>
      </c>
      <c r="U40" s="9" t="s">
        <v>688</v>
      </c>
      <c r="X40" s="9">
        <f ca="1">IFERROR(OFFSET(ITEM_RES!$A$5,MATCH(BUILDING!W40,ITEM_RES!$J$5:$J$226,0)-1,0),0)</f>
        <v>0</v>
      </c>
      <c r="Z40" s="84" t="s">
        <v>539</v>
      </c>
      <c r="AA40" s="9">
        <f ca="1">IFERROR(OFFSET(ITEM_RES!$A$5,MATCH(BUILDING!Z40,ITEM_RES!$J$5:$J$226,0)-1,0),0)</f>
        <v>211010201</v>
      </c>
      <c r="AC40" s="9" t="s">
        <v>509</v>
      </c>
      <c r="AD40" s="9">
        <v>16</v>
      </c>
      <c r="AF40" s="11">
        <f ca="1">IFERROR(OFFSET(MANOR_LEVEL!$B$1,MATCH(AG40-1,MANOR_LEVEL!$A:$A,0)-1,0),0)</f>
        <v>186400</v>
      </c>
      <c r="AG40" s="56">
        <v>9</v>
      </c>
      <c r="AI40" s="56">
        <f t="shared" ca="1" si="9"/>
        <v>1200700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1200700</v>
      </c>
      <c r="AK40" s="182">
        <f t="shared" ca="1" si="10"/>
        <v>2081250</v>
      </c>
      <c r="AM40" s="11">
        <f t="shared" si="4"/>
        <v>80</v>
      </c>
      <c r="AN40" s="10">
        <v>80</v>
      </c>
      <c r="AO40" s="11">
        <f t="shared" si="6"/>
        <v>700</v>
      </c>
      <c r="AP40" s="10">
        <v>700</v>
      </c>
      <c r="AQ40" s="11">
        <f t="shared" si="6"/>
        <v>0</v>
      </c>
      <c r="AR40" s="10">
        <v>0</v>
      </c>
      <c r="AS40" s="56">
        <f t="shared" si="7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30000000</v>
      </c>
      <c r="AZ40" s="11">
        <f ca="1">IFERROR(OFFSET(ITEM_RES!$A$1,MATCH(BA40,ITEM_RES!$J:$J,0)-1,0),0)</f>
        <v>211020101</v>
      </c>
      <c r="BA40" s="10" t="s">
        <v>448</v>
      </c>
      <c r="BB40" s="11">
        <v>30000000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918</v>
      </c>
      <c r="N41" s="9" t="s">
        <v>938</v>
      </c>
      <c r="O41" s="9">
        <v>0</v>
      </c>
      <c r="P41" s="9">
        <v>15</v>
      </c>
      <c r="Q41" s="9" t="s">
        <v>1215</v>
      </c>
      <c r="U41" s="9" t="s">
        <v>688</v>
      </c>
      <c r="X41" s="9">
        <f ca="1">IFERROR(OFFSET(ITEM_RES!$A$5,MATCH(BUILDING!W41,ITEM_RES!$J$5:$J$226,0)-1,0),0)</f>
        <v>0</v>
      </c>
      <c r="Z41" s="84" t="s">
        <v>539</v>
      </c>
      <c r="AA41" s="9">
        <f ca="1">IFERROR(OFFSET(ITEM_RES!$A$5,MATCH(BUILDING!Z41,ITEM_RES!$J$5:$J$226,0)-1,0),0)</f>
        <v>211010201</v>
      </c>
      <c r="AC41" s="9" t="s">
        <v>509</v>
      </c>
      <c r="AD41" s="9">
        <v>17</v>
      </c>
      <c r="AF41" s="11">
        <f ca="1">IFERROR(OFFSET(MANOR_LEVEL!$B$1,MATCH(AG41-1,MANOR_LEVEL!$A:$A,0)-1,0),0)</f>
        <v>311600</v>
      </c>
      <c r="AG41" s="56">
        <v>10</v>
      </c>
      <c r="AI41" s="56">
        <f t="shared" ca="1" si="9"/>
        <v>1840850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1840850</v>
      </c>
      <c r="AK41" s="182">
        <f t="shared" ca="1" si="10"/>
        <v>3041550</v>
      </c>
      <c r="AM41" s="11">
        <f t="shared" si="4"/>
        <v>85</v>
      </c>
      <c r="AN41" s="10">
        <v>85</v>
      </c>
      <c r="AO41" s="11">
        <f t="shared" si="6"/>
        <v>850</v>
      </c>
      <c r="AP41" s="10">
        <v>850</v>
      </c>
      <c r="AQ41" s="11">
        <f t="shared" si="6"/>
        <v>0</v>
      </c>
      <c r="AR41" s="10">
        <v>0</v>
      </c>
      <c r="AS41" s="56">
        <f t="shared" si="7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46000000</v>
      </c>
      <c r="AZ41" s="11">
        <f ca="1">IFERROR(OFFSET(ITEM_RES!$A$1,MATCH(BA41,ITEM_RES!$J:$J,0)-1,0),0)</f>
        <v>211020101</v>
      </c>
      <c r="BA41" s="10" t="s">
        <v>448</v>
      </c>
      <c r="BB41" s="11">
        <v>46000000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918</v>
      </c>
      <c r="N42" s="9" t="s">
        <v>938</v>
      </c>
      <c r="O42" s="9">
        <v>0</v>
      </c>
      <c r="P42" s="9">
        <v>15</v>
      </c>
      <c r="Q42" s="9" t="s">
        <v>1215</v>
      </c>
      <c r="U42" s="9" t="s">
        <v>688</v>
      </c>
      <c r="X42" s="9">
        <f ca="1">IFERROR(OFFSET(ITEM_RES!$A$5,MATCH(BUILDING!W42,ITEM_RES!$J$5:$J$226,0)-1,0),0)</f>
        <v>0</v>
      </c>
      <c r="Z42" s="84" t="s">
        <v>539</v>
      </c>
      <c r="AA42" s="9">
        <f ca="1">IFERROR(OFFSET(ITEM_RES!$A$5,MATCH(BUILDING!Z42,ITEM_RES!$J$5:$J$226,0)-1,0),0)</f>
        <v>211010201</v>
      </c>
      <c r="AC42" s="9" t="s">
        <v>509</v>
      </c>
      <c r="AD42" s="9">
        <v>18</v>
      </c>
      <c r="AF42" s="11">
        <f ca="1">IFERROR(OFFSET(MANOR_LEVEL!$B$1,MATCH(AG42-1,MANOR_LEVEL!$A:$A,0)-1,0),0)</f>
        <v>456800</v>
      </c>
      <c r="AG42" s="56">
        <v>11</v>
      </c>
      <c r="AI42" s="56">
        <f t="shared" ca="1" si="9"/>
        <v>2801050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2801050</v>
      </c>
      <c r="AK42" s="182">
        <f t="shared" ca="1" si="10"/>
        <v>4641900</v>
      </c>
      <c r="AM42" s="11">
        <f t="shared" si="4"/>
        <v>90</v>
      </c>
      <c r="AN42" s="10">
        <v>90</v>
      </c>
      <c r="AO42" s="11">
        <f t="shared" si="6"/>
        <v>1050</v>
      </c>
      <c r="AP42" s="10">
        <v>1050</v>
      </c>
      <c r="AQ42" s="11">
        <f t="shared" si="6"/>
        <v>0</v>
      </c>
      <c r="AR42" s="10">
        <v>0</v>
      </c>
      <c r="AS42" s="56">
        <f t="shared" si="7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70000000</v>
      </c>
      <c r="AZ42" s="11">
        <f ca="1">IFERROR(OFFSET(ITEM_RES!$A$1,MATCH(BA42,ITEM_RES!$J:$J,0)-1,0),0)</f>
        <v>211020101</v>
      </c>
      <c r="BA42" s="10" t="s">
        <v>448</v>
      </c>
      <c r="BB42" s="11">
        <v>70000000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918</v>
      </c>
      <c r="N43" s="9" t="s">
        <v>938</v>
      </c>
      <c r="O43" s="9">
        <v>0</v>
      </c>
      <c r="P43" s="9">
        <v>15</v>
      </c>
      <c r="Q43" s="9" t="s">
        <v>1215</v>
      </c>
      <c r="U43" s="9" t="s">
        <v>688</v>
      </c>
      <c r="X43" s="9">
        <f ca="1">IFERROR(OFFSET(ITEM_RES!$A$5,MATCH(BUILDING!W43,ITEM_RES!$J$5:$J$226,0)-1,0),0)</f>
        <v>0</v>
      </c>
      <c r="Z43" s="84" t="s">
        <v>539</v>
      </c>
      <c r="AA43" s="9">
        <f ca="1">IFERROR(OFFSET(ITEM_RES!$A$5,MATCH(BUILDING!Z43,ITEM_RES!$J$5:$J$226,0)-1,0),0)</f>
        <v>211010201</v>
      </c>
      <c r="AC43" s="9" t="s">
        <v>509</v>
      </c>
      <c r="AD43" s="9">
        <v>19</v>
      </c>
      <c r="AF43" s="11">
        <f ca="1">IFERROR(OFFSET(MANOR_LEVEL!$B$1,MATCH(AG43-1,MANOR_LEVEL!$A:$A,0)-1,0),0)</f>
        <v>796000</v>
      </c>
      <c r="AG43" s="56">
        <v>12</v>
      </c>
      <c r="AI43" s="56">
        <f t="shared" ca="1" si="9"/>
        <v>3841250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3841250</v>
      </c>
      <c r="AK43" s="182">
        <f t="shared" ca="1" si="10"/>
        <v>6642300</v>
      </c>
      <c r="AM43" s="11">
        <f t="shared" si="4"/>
        <v>95</v>
      </c>
      <c r="AN43" s="10">
        <v>95</v>
      </c>
      <c r="AO43" s="11">
        <f t="shared" si="6"/>
        <v>1250</v>
      </c>
      <c r="AP43" s="10">
        <v>1250</v>
      </c>
      <c r="AQ43" s="11">
        <f t="shared" si="6"/>
        <v>0</v>
      </c>
      <c r="AR43" s="10">
        <v>0</v>
      </c>
      <c r="AS43" s="56">
        <f t="shared" si="7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96000000</v>
      </c>
      <c r="AZ43" s="11">
        <f ca="1">IFERROR(OFFSET(ITEM_RES!$A$1,MATCH(BA43,ITEM_RES!$J:$J,0)-1,0),0)</f>
        <v>211020101</v>
      </c>
      <c r="BA43" s="10" t="s">
        <v>448</v>
      </c>
      <c r="BB43" s="11">
        <v>96000000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918</v>
      </c>
      <c r="N44" s="9" t="s">
        <v>938</v>
      </c>
      <c r="O44" s="9">
        <v>0</v>
      </c>
      <c r="P44" s="9">
        <v>15</v>
      </c>
      <c r="Q44" s="9" t="s">
        <v>1215</v>
      </c>
      <c r="U44" s="9" t="s">
        <v>688</v>
      </c>
      <c r="X44" s="9">
        <f ca="1">IFERROR(OFFSET(ITEM_RES!$A$5,MATCH(BUILDING!W44,ITEM_RES!$J$5:$J$226,0)-1,0),0)</f>
        <v>0</v>
      </c>
      <c r="Z44" s="84" t="s">
        <v>539</v>
      </c>
      <c r="AA44" s="9">
        <f ca="1">IFERROR(OFFSET(ITEM_RES!$A$5,MATCH(BUILDING!Z44,ITEM_RES!$J$5:$J$226,0)-1,0),0)</f>
        <v>211010201</v>
      </c>
      <c r="AC44" s="9" t="s">
        <v>509</v>
      </c>
      <c r="AD44" s="9">
        <v>20</v>
      </c>
      <c r="AF44" s="11">
        <f ca="1">IFERROR(OFFSET(MANOR_LEVEL!$B$1,MATCH(AG44-1,MANOR_LEVEL!$A:$A,0)-1,0),0)</f>
        <v>1156400</v>
      </c>
      <c r="AG44" s="56">
        <v>13</v>
      </c>
      <c r="AI44" s="56">
        <f t="shared" ca="1" si="9"/>
        <v>6081500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6081500</v>
      </c>
      <c r="AK44" s="182">
        <f t="shared" ca="1" si="10"/>
        <v>9922750</v>
      </c>
      <c r="AM44" s="11">
        <f t="shared" si="4"/>
        <v>100</v>
      </c>
      <c r="AN44" s="10">
        <v>100</v>
      </c>
      <c r="AO44" s="11">
        <f t="shared" si="6"/>
        <v>1500</v>
      </c>
      <c r="AP44" s="10">
        <v>1500</v>
      </c>
      <c r="AQ44" s="11">
        <f t="shared" si="6"/>
        <v>0</v>
      </c>
      <c r="AR44" s="10">
        <v>0</v>
      </c>
      <c r="AS44" s="56">
        <f t="shared" si="7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152000000</v>
      </c>
      <c r="AZ44" s="11">
        <f ca="1">IFERROR(OFFSET(ITEM_RES!$A$1,MATCH(BA44,ITEM_RES!$J:$J,0)-1,0),0)</f>
        <v>211020101</v>
      </c>
      <c r="BA44" s="10" t="s">
        <v>448</v>
      </c>
      <c r="BB44" s="11">
        <v>152000000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 t="s">
        <v>919</v>
      </c>
      <c r="N45" s="16" t="s">
        <v>939</v>
      </c>
      <c r="O45" s="16">
        <v>1</v>
      </c>
      <c r="P45" s="16">
        <v>15</v>
      </c>
      <c r="Q45" s="16" t="s">
        <v>1198</v>
      </c>
      <c r="R45" s="17"/>
      <c r="S45" s="17"/>
      <c r="T45" s="18"/>
      <c r="U45" s="16" t="s">
        <v>689</v>
      </c>
      <c r="V45" s="78"/>
      <c r="W45" s="86"/>
      <c r="X45" s="16">
        <f ca="1">IFERROR(OFFSET(ITEM_RES!$A$5,MATCH(BUILDING!W45,ITEM_RES!$J$5:$J$226,0)-1,0),0)</f>
        <v>0</v>
      </c>
      <c r="Y45" s="18"/>
      <c r="Z45" s="86" t="s">
        <v>540</v>
      </c>
      <c r="AA45" s="16">
        <f ca="1">IFERROR(OFFSET(ITEM_RES!$A$5,MATCH(BUILDING!Z45,ITEM_RES!$J$5:$J$226,0)-1,0),0)</f>
        <v>211010301</v>
      </c>
      <c r="AB45" s="78"/>
      <c r="AC45" s="16" t="s">
        <v>510</v>
      </c>
      <c r="AD45" s="16">
        <v>1</v>
      </c>
      <c r="AE45" s="78"/>
      <c r="AF45" s="18">
        <f ca="1">IFERROR(OFFSET(MANOR_LEVEL!$B$1,MATCH(AG45-1,MANOR_LEVEL!$A:$A,0)-1,0),0)</f>
        <v>0</v>
      </c>
      <c r="AG45" s="57">
        <v>1</v>
      </c>
      <c r="AH45" s="78"/>
      <c r="AI45" s="57">
        <f t="shared" ca="1" si="9"/>
        <v>106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105.6</v>
      </c>
      <c r="AK45" s="184">
        <f ca="1">AI45</f>
        <v>106</v>
      </c>
      <c r="AL45" s="78"/>
      <c r="AM45" s="18">
        <f t="shared" si="4"/>
        <v>5</v>
      </c>
      <c r="AN45" s="17">
        <v>5</v>
      </c>
      <c r="AO45" s="18">
        <f t="shared" si="6"/>
        <v>5</v>
      </c>
      <c r="AP45" s="17">
        <v>5</v>
      </c>
      <c r="AQ45" s="18">
        <f t="shared" si="6"/>
        <v>0</v>
      </c>
      <c r="AR45" s="17">
        <v>0</v>
      </c>
      <c r="AS45" s="57">
        <f t="shared" si="7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20</v>
      </c>
      <c r="AX45" s="17"/>
      <c r="AY45" s="18"/>
      <c r="AZ45" s="18">
        <f ca="1">IFERROR(OFFSET(ITEM_RES!$A$1,MATCH(BA45,ITEM_RES!$J:$J,0)-1,0),0)</f>
        <v>211020101</v>
      </c>
      <c r="BA45" s="17" t="s">
        <v>448</v>
      </c>
      <c r="BB45" s="18">
        <v>20</v>
      </c>
      <c r="BC45" s="17"/>
      <c r="BD45" s="18"/>
      <c r="BE45" s="18">
        <f ca="1">IFERROR(OFFSET(ITEM_RES!$A$1,MATCH(BF45,ITEM_RES!$J:$J,0)-1,0),0)</f>
        <v>213010101</v>
      </c>
      <c r="BF45" s="17" t="s">
        <v>452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919</v>
      </c>
      <c r="N46" s="9" t="s">
        <v>939</v>
      </c>
      <c r="O46" s="9">
        <v>1</v>
      </c>
      <c r="P46" s="9">
        <v>15</v>
      </c>
      <c r="Q46" s="9" t="s">
        <v>1199</v>
      </c>
      <c r="U46" s="9" t="s">
        <v>689</v>
      </c>
      <c r="X46" s="9">
        <f ca="1">IFERROR(OFFSET(ITEM_RES!$A$5,MATCH(BUILDING!W46,ITEM_RES!$J$5:$J$226,0)-1,0),0)</f>
        <v>0</v>
      </c>
      <c r="Z46" s="84" t="s">
        <v>540</v>
      </c>
      <c r="AA46" s="9">
        <f ca="1">IFERROR(OFFSET(ITEM_RES!$A$5,MATCH(BUILDING!Z46,ITEM_RES!$J$5:$J$226,0)-1,0),0)</f>
        <v>211010301</v>
      </c>
      <c r="AC46" s="9" t="s">
        <v>510</v>
      </c>
      <c r="AD46" s="9">
        <v>2</v>
      </c>
      <c r="AF46" s="11">
        <f ca="1">IFERROR(OFFSET(MANOR_LEVEL!$B$1,MATCH(AG46-1,MANOR_LEVEL!$A:$A,0)-1,0),0)</f>
        <v>0</v>
      </c>
      <c r="AG46" s="56">
        <v>1</v>
      </c>
      <c r="AI46" s="56">
        <f t="shared" ca="1" si="9"/>
        <v>11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10.6</v>
      </c>
      <c r="AK46" s="182">
        <f ca="1">AI45+AI46</f>
        <v>117</v>
      </c>
      <c r="AM46" s="11">
        <f t="shared" si="4"/>
        <v>10</v>
      </c>
      <c r="AN46" s="10">
        <v>10</v>
      </c>
      <c r="AO46" s="11">
        <f t="shared" si="6"/>
        <v>10</v>
      </c>
      <c r="AP46" s="10">
        <v>10</v>
      </c>
      <c r="AQ46" s="11">
        <f t="shared" si="6"/>
        <v>0</v>
      </c>
      <c r="AR46" s="10">
        <v>0</v>
      </c>
      <c r="AS46" s="56">
        <f t="shared" si="7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20</v>
      </c>
      <c r="AZ46" s="11">
        <f ca="1">IFERROR(OFFSET(ITEM_RES!$A$1,MATCH(BA46,ITEM_RES!$J:$J,0)-1,0),0)</f>
        <v>211020101</v>
      </c>
      <c r="BA46" s="10" t="s">
        <v>448</v>
      </c>
      <c r="BB46" s="11">
        <v>20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919</v>
      </c>
      <c r="N47" s="9" t="s">
        <v>939</v>
      </c>
      <c r="O47" s="9">
        <v>1</v>
      </c>
      <c r="P47" s="9">
        <v>15</v>
      </c>
      <c r="Q47" s="9" t="s">
        <v>1200</v>
      </c>
      <c r="U47" s="9" t="s">
        <v>689</v>
      </c>
      <c r="X47" s="9">
        <f ca="1">IFERROR(OFFSET(ITEM_RES!$A$5,MATCH(BUILDING!W47,ITEM_RES!$J$5:$J$226,0)-1,0),0)</f>
        <v>0</v>
      </c>
      <c r="Z47" s="84" t="s">
        <v>540</v>
      </c>
      <c r="AA47" s="9">
        <f ca="1">IFERROR(OFFSET(ITEM_RES!$A$5,MATCH(BUILDING!Z47,ITEM_RES!$J$5:$J$226,0)-1,0),0)</f>
        <v>211010301</v>
      </c>
      <c r="AC47" s="9" t="s">
        <v>510</v>
      </c>
      <c r="AD47" s="9">
        <v>3</v>
      </c>
      <c r="AF47" s="11">
        <f ca="1">IFERROR(OFFSET(MANOR_LEVEL!$B$1,MATCH(AG47-1,MANOR_LEVEL!$A:$A,0)-1,0),0)</f>
        <v>0</v>
      </c>
      <c r="AG47" s="56">
        <v>1</v>
      </c>
      <c r="AI47" s="56">
        <f t="shared" ca="1" si="9"/>
        <v>20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19.8</v>
      </c>
      <c r="AK47" s="182">
        <f t="shared" ref="AK47:AK64" ca="1" si="11">AI46+AI47</f>
        <v>31</v>
      </c>
      <c r="AM47" s="11">
        <f t="shared" si="4"/>
        <v>15</v>
      </c>
      <c r="AN47" s="10">
        <v>15</v>
      </c>
      <c r="AO47" s="11">
        <f t="shared" si="6"/>
        <v>15</v>
      </c>
      <c r="AP47" s="10">
        <v>15</v>
      </c>
      <c r="AQ47" s="11">
        <f t="shared" si="6"/>
        <v>0</v>
      </c>
      <c r="AR47" s="10">
        <v>0</v>
      </c>
      <c r="AS47" s="56">
        <f t="shared" si="7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160</v>
      </c>
      <c r="AZ47" s="11">
        <f ca="1">IFERROR(OFFSET(ITEM_RES!$A$1,MATCH(BA47,ITEM_RES!$J:$J,0)-1,0),0)</f>
        <v>211020101</v>
      </c>
      <c r="BA47" s="10" t="s">
        <v>448</v>
      </c>
      <c r="BB47" s="11">
        <v>160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919</v>
      </c>
      <c r="N48" s="9" t="s">
        <v>939</v>
      </c>
      <c r="O48" s="9">
        <v>1</v>
      </c>
      <c r="P48" s="9">
        <v>15</v>
      </c>
      <c r="Q48" s="9" t="s">
        <v>1200</v>
      </c>
      <c r="U48" s="9" t="s">
        <v>689</v>
      </c>
      <c r="X48" s="9">
        <f ca="1">IFERROR(OFFSET(ITEM_RES!$A$5,MATCH(BUILDING!W48,ITEM_RES!$J$5:$J$226,0)-1,0),0)</f>
        <v>0</v>
      </c>
      <c r="Z48" s="84" t="s">
        <v>540</v>
      </c>
      <c r="AA48" s="9">
        <f ca="1">IFERROR(OFFSET(ITEM_RES!$A$5,MATCH(BUILDING!Z48,ITEM_RES!$J$5:$J$226,0)-1,0),0)</f>
        <v>211010301</v>
      </c>
      <c r="AC48" s="9" t="s">
        <v>510</v>
      </c>
      <c r="AD48" s="9">
        <v>4</v>
      </c>
      <c r="AF48" s="11">
        <f ca="1">IFERROR(OFFSET(MANOR_LEVEL!$B$1,MATCH(AG48-1,MANOR_LEVEL!$A:$A,0)-1,0),0)</f>
        <v>444</v>
      </c>
      <c r="AG48" s="56">
        <v>2</v>
      </c>
      <c r="AI48" s="56">
        <f t="shared" ca="1" si="9"/>
        <v>83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82.6</v>
      </c>
      <c r="AK48" s="182">
        <f t="shared" ca="1" si="11"/>
        <v>103</v>
      </c>
      <c r="AM48" s="11">
        <f t="shared" si="4"/>
        <v>20</v>
      </c>
      <c r="AN48" s="10">
        <v>20</v>
      </c>
      <c r="AO48" s="11">
        <f t="shared" si="6"/>
        <v>25</v>
      </c>
      <c r="AP48" s="10">
        <v>25</v>
      </c>
      <c r="AQ48" s="11">
        <f t="shared" si="6"/>
        <v>0</v>
      </c>
      <c r="AR48" s="10">
        <v>0</v>
      </c>
      <c r="AS48" s="56">
        <f t="shared" si="7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1920</v>
      </c>
      <c r="AZ48" s="11">
        <f ca="1">IFERROR(OFFSET(ITEM_RES!$A$1,MATCH(BA48,ITEM_RES!$J:$J,0)-1,0),0)</f>
        <v>211020101</v>
      </c>
      <c r="BA48" s="10" t="s">
        <v>448</v>
      </c>
      <c r="BB48" s="11">
        <v>1920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919</v>
      </c>
      <c r="N49" s="9" t="s">
        <v>939</v>
      </c>
      <c r="O49" s="9">
        <v>1</v>
      </c>
      <c r="P49" s="9">
        <v>15</v>
      </c>
      <c r="Q49" s="9" t="s">
        <v>1201</v>
      </c>
      <c r="U49" s="9" t="s">
        <v>689</v>
      </c>
      <c r="X49" s="9">
        <f ca="1">IFERROR(OFFSET(ITEM_RES!$A$5,MATCH(BUILDING!W49,ITEM_RES!$J$5:$J$226,0)-1,0),0)</f>
        <v>0</v>
      </c>
      <c r="Z49" s="84" t="s">
        <v>540</v>
      </c>
      <c r="AA49" s="9">
        <f ca="1">IFERROR(OFFSET(ITEM_RES!$A$5,MATCH(BUILDING!Z49,ITEM_RES!$J$5:$J$226,0)-1,0),0)</f>
        <v>211010301</v>
      </c>
      <c r="AC49" s="9" t="s">
        <v>510</v>
      </c>
      <c r="AD49" s="9">
        <v>5</v>
      </c>
      <c r="AF49" s="11">
        <f ca="1">IFERROR(OFFSET(MANOR_LEVEL!$B$1,MATCH(AG49-1,MANOR_LEVEL!$A:$A,0)-1,0),0)</f>
        <v>444</v>
      </c>
      <c r="AG49" s="56">
        <v>2</v>
      </c>
      <c r="AI49" s="56">
        <f t="shared" ca="1" si="9"/>
        <v>820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820</v>
      </c>
      <c r="AK49" s="182">
        <f t="shared" ca="1" si="11"/>
        <v>903</v>
      </c>
      <c r="AM49" s="11">
        <f t="shared" si="4"/>
        <v>25</v>
      </c>
      <c r="AN49" s="10">
        <v>25</v>
      </c>
      <c r="AO49" s="11">
        <f t="shared" si="6"/>
        <v>40</v>
      </c>
      <c r="AP49" s="10">
        <v>40</v>
      </c>
      <c r="AQ49" s="11">
        <f t="shared" si="6"/>
        <v>0</v>
      </c>
      <c r="AR49" s="10">
        <v>0</v>
      </c>
      <c r="AS49" s="56">
        <f t="shared" si="7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26000</v>
      </c>
      <c r="AZ49" s="11">
        <f ca="1">IFERROR(OFFSET(ITEM_RES!$A$1,MATCH(BA49,ITEM_RES!$J:$J,0)-1,0),0)</f>
        <v>211020101</v>
      </c>
      <c r="BA49" s="10" t="s">
        <v>448</v>
      </c>
      <c r="BB49" s="11">
        <v>26000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919</v>
      </c>
      <c r="N50" s="9" t="s">
        <v>939</v>
      </c>
      <c r="O50" s="9">
        <v>1</v>
      </c>
      <c r="P50" s="9">
        <v>15</v>
      </c>
      <c r="Q50" s="9" t="s">
        <v>1202</v>
      </c>
      <c r="U50" s="9" t="s">
        <v>689</v>
      </c>
      <c r="X50" s="9">
        <f ca="1">IFERROR(OFFSET(ITEM_RES!$A$5,MATCH(BUILDING!W50,ITEM_RES!$J$5:$J$226,0)-1,0),0)</f>
        <v>0</v>
      </c>
      <c r="Z50" s="84" t="s">
        <v>540</v>
      </c>
      <c r="AA50" s="9">
        <f ca="1">IFERROR(OFFSET(ITEM_RES!$A$5,MATCH(BUILDING!Z50,ITEM_RES!$J$5:$J$226,0)-1,0),0)</f>
        <v>211010301</v>
      </c>
      <c r="AC50" s="9" t="s">
        <v>510</v>
      </c>
      <c r="AD50" s="9">
        <v>6</v>
      </c>
      <c r="AF50" s="11">
        <f ca="1">IFERROR(OFFSET(MANOR_LEVEL!$B$1,MATCH(AG50-1,MANOR_LEVEL!$A:$A,0)-1,0),0)</f>
        <v>444</v>
      </c>
      <c r="AG50" s="56">
        <v>2</v>
      </c>
      <c r="AI50" s="56">
        <f t="shared" ca="1" si="9"/>
        <v>7250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7250</v>
      </c>
      <c r="AK50" s="182">
        <f t="shared" ca="1" si="11"/>
        <v>8070</v>
      </c>
      <c r="AM50" s="11">
        <f t="shared" si="4"/>
        <v>30</v>
      </c>
      <c r="AN50" s="10">
        <v>30</v>
      </c>
      <c r="AO50" s="11">
        <f t="shared" si="6"/>
        <v>50</v>
      </c>
      <c r="AP50" s="10">
        <v>50</v>
      </c>
      <c r="AQ50" s="11">
        <f t="shared" si="6"/>
        <v>0</v>
      </c>
      <c r="AR50" s="10">
        <v>0</v>
      </c>
      <c r="AS50" s="56">
        <f t="shared" si="7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240000</v>
      </c>
      <c r="AZ50" s="11">
        <f ca="1">IFERROR(OFFSET(ITEM_RES!$A$1,MATCH(BA50,ITEM_RES!$J:$J,0)-1,0),0)</f>
        <v>211020101</v>
      </c>
      <c r="BA50" s="10" t="s">
        <v>448</v>
      </c>
      <c r="BB50" s="11">
        <v>240000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919</v>
      </c>
      <c r="N51" s="9" t="s">
        <v>939</v>
      </c>
      <c r="O51" s="9">
        <v>1</v>
      </c>
      <c r="P51" s="9">
        <v>15</v>
      </c>
      <c r="Q51" s="9" t="s">
        <v>1203</v>
      </c>
      <c r="U51" s="9" t="s">
        <v>689</v>
      </c>
      <c r="X51" s="9">
        <f ca="1">IFERROR(OFFSET(ITEM_RES!$A$5,MATCH(BUILDING!W51,ITEM_RES!$J$5:$J$226,0)-1,0),0)</f>
        <v>0</v>
      </c>
      <c r="Z51" s="84" t="s">
        <v>540</v>
      </c>
      <c r="AA51" s="9">
        <f ca="1">IFERROR(OFFSET(ITEM_RES!$A$5,MATCH(BUILDING!Z51,ITEM_RES!$J$5:$J$226,0)-1,0),0)</f>
        <v>211010301</v>
      </c>
      <c r="AC51" s="9" t="s">
        <v>510</v>
      </c>
      <c r="AD51" s="9">
        <v>7</v>
      </c>
      <c r="AF51" s="11">
        <f ca="1">IFERROR(OFFSET(MANOR_LEVEL!$B$1,MATCH(AG51-1,MANOR_LEVEL!$A:$A,0)-1,0),0)</f>
        <v>444</v>
      </c>
      <c r="AG51" s="56">
        <v>2</v>
      </c>
      <c r="AI51" s="56">
        <f t="shared" ca="1" si="9"/>
        <v>16300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16300</v>
      </c>
      <c r="AK51" s="182">
        <f t="shared" ca="1" si="11"/>
        <v>23550</v>
      </c>
      <c r="AM51" s="11">
        <f t="shared" si="4"/>
        <v>35</v>
      </c>
      <c r="AN51" s="10">
        <v>35</v>
      </c>
      <c r="AO51" s="11">
        <f t="shared" si="6"/>
        <v>100</v>
      </c>
      <c r="AP51" s="10">
        <v>100</v>
      </c>
      <c r="AQ51" s="11">
        <f t="shared" si="6"/>
        <v>0</v>
      </c>
      <c r="AR51" s="10">
        <v>0</v>
      </c>
      <c r="AS51" s="56">
        <f t="shared" si="7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540000</v>
      </c>
      <c r="AZ51" s="11">
        <f ca="1">IFERROR(OFFSET(ITEM_RES!$A$1,MATCH(BA51,ITEM_RES!$J:$J,0)-1,0),0)</f>
        <v>211020101</v>
      </c>
      <c r="BA51" s="10" t="s">
        <v>448</v>
      </c>
      <c r="BB51" s="11">
        <v>540000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919</v>
      </c>
      <c r="N52" s="9" t="s">
        <v>939</v>
      </c>
      <c r="O52" s="9">
        <v>1</v>
      </c>
      <c r="P52" s="9">
        <v>15</v>
      </c>
      <c r="Q52" s="9" t="s">
        <v>1203</v>
      </c>
      <c r="U52" s="9" t="s">
        <v>689</v>
      </c>
      <c r="X52" s="9">
        <f ca="1">IFERROR(OFFSET(ITEM_RES!$A$5,MATCH(BUILDING!W52,ITEM_RES!$J$5:$J$226,0)-1,0),0)</f>
        <v>0</v>
      </c>
      <c r="Z52" s="84" t="s">
        <v>540</v>
      </c>
      <c r="AA52" s="9">
        <f ca="1">IFERROR(OFFSET(ITEM_RES!$A$5,MATCH(BUILDING!Z52,ITEM_RES!$J$5:$J$226,0)-1,0),0)</f>
        <v>211010301</v>
      </c>
      <c r="AC52" s="9" t="s">
        <v>510</v>
      </c>
      <c r="AD52" s="9">
        <v>8</v>
      </c>
      <c r="AF52" s="11">
        <f ca="1">IFERROR(OFFSET(MANOR_LEVEL!$B$1,MATCH(AG52-1,MANOR_LEVEL!$A:$A,0)-1,0),0)</f>
        <v>528</v>
      </c>
      <c r="AG52" s="56">
        <v>3</v>
      </c>
      <c r="AI52" s="56">
        <f t="shared" ca="1" si="9"/>
        <v>30100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30100</v>
      </c>
      <c r="AK52" s="182">
        <f t="shared" ca="1" si="11"/>
        <v>46400</v>
      </c>
      <c r="AM52" s="11">
        <f t="shared" si="4"/>
        <v>40</v>
      </c>
      <c r="AN52" s="10">
        <v>40</v>
      </c>
      <c r="AO52" s="11">
        <f t="shared" si="6"/>
        <v>100</v>
      </c>
      <c r="AP52" s="10">
        <v>100</v>
      </c>
      <c r="AQ52" s="11">
        <f t="shared" si="6"/>
        <v>0</v>
      </c>
      <c r="AR52" s="10">
        <v>0</v>
      </c>
      <c r="AS52" s="56">
        <f t="shared" si="7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1000000</v>
      </c>
      <c r="AZ52" s="11">
        <f ca="1">IFERROR(OFFSET(ITEM_RES!$A$1,MATCH(BA52,ITEM_RES!$J:$J,0)-1,0),0)</f>
        <v>211020101</v>
      </c>
      <c r="BA52" s="10" t="s">
        <v>448</v>
      </c>
      <c r="BB52" s="11">
        <v>1000000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919</v>
      </c>
      <c r="N53" s="9" t="s">
        <v>939</v>
      </c>
      <c r="O53" s="9">
        <v>1</v>
      </c>
      <c r="P53" s="9">
        <v>15</v>
      </c>
      <c r="Q53" s="9" t="s">
        <v>1203</v>
      </c>
      <c r="U53" s="9" t="s">
        <v>689</v>
      </c>
      <c r="X53" s="9">
        <f ca="1">IFERROR(OFFSET(ITEM_RES!$A$5,MATCH(BUILDING!W53,ITEM_RES!$J$5:$J$226,0)-1,0),0)</f>
        <v>0</v>
      </c>
      <c r="Z53" s="84" t="s">
        <v>540</v>
      </c>
      <c r="AA53" s="9">
        <f ca="1">IFERROR(OFFSET(ITEM_RES!$A$5,MATCH(BUILDING!Z53,ITEM_RES!$J$5:$J$226,0)-1,0),0)</f>
        <v>211010301</v>
      </c>
      <c r="AC53" s="9" t="s">
        <v>510</v>
      </c>
      <c r="AD53" s="9">
        <v>9</v>
      </c>
      <c r="AF53" s="11">
        <f ca="1">IFERROR(OFFSET(MANOR_LEVEL!$B$1,MATCH(AG53-1,MANOR_LEVEL!$A:$A,0)-1,0),0)</f>
        <v>528</v>
      </c>
      <c r="AG53" s="56">
        <v>3</v>
      </c>
      <c r="AI53" s="56">
        <f t="shared" ca="1" si="9"/>
        <v>47550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47550</v>
      </c>
      <c r="AK53" s="182">
        <f t="shared" ca="1" si="11"/>
        <v>77650</v>
      </c>
      <c r="AM53" s="11">
        <f t="shared" si="4"/>
        <v>45</v>
      </c>
      <c r="AN53" s="10">
        <v>45</v>
      </c>
      <c r="AO53" s="11">
        <f t="shared" si="6"/>
        <v>150</v>
      </c>
      <c r="AP53" s="10">
        <v>150</v>
      </c>
      <c r="AQ53" s="11">
        <f t="shared" si="6"/>
        <v>0</v>
      </c>
      <c r="AR53" s="10">
        <v>0</v>
      </c>
      <c r="AS53" s="56">
        <f t="shared" si="7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1580000</v>
      </c>
      <c r="AZ53" s="11">
        <f ca="1">IFERROR(OFFSET(ITEM_RES!$A$1,MATCH(BA53,ITEM_RES!$J:$J,0)-1,0),0)</f>
        <v>211020101</v>
      </c>
      <c r="BA53" s="10" t="s">
        <v>448</v>
      </c>
      <c r="BB53" s="11">
        <v>1580000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919</v>
      </c>
      <c r="N54" s="9" t="s">
        <v>939</v>
      </c>
      <c r="O54" s="9">
        <v>1</v>
      </c>
      <c r="P54" s="9">
        <v>15</v>
      </c>
      <c r="Q54" s="9" t="s">
        <v>1203</v>
      </c>
      <c r="U54" s="9" t="s">
        <v>689</v>
      </c>
      <c r="X54" s="9">
        <f ca="1">IFERROR(OFFSET(ITEM_RES!$A$5,MATCH(BUILDING!W54,ITEM_RES!$J$5:$J$226,0)-1,0),0)</f>
        <v>0</v>
      </c>
      <c r="Z54" s="84" t="s">
        <v>540</v>
      </c>
      <c r="AA54" s="9">
        <f ca="1">IFERROR(OFFSET(ITEM_RES!$A$5,MATCH(BUILDING!Z54,ITEM_RES!$J$5:$J$226,0)-1,0),0)</f>
        <v>211010301</v>
      </c>
      <c r="AC54" s="9" t="s">
        <v>510</v>
      </c>
      <c r="AD54" s="9">
        <v>10</v>
      </c>
      <c r="AF54" s="11">
        <f ca="1">IFERROR(OFFSET(MANOR_LEVEL!$B$1,MATCH(AG54-1,MANOR_LEVEL!$A:$A,0)-1,0),0)</f>
        <v>528</v>
      </c>
      <c r="AG54" s="56">
        <v>3</v>
      </c>
      <c r="AI54" s="56">
        <f t="shared" ca="1" si="9"/>
        <v>66200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66200</v>
      </c>
      <c r="AK54" s="182">
        <f t="shared" ca="1" si="11"/>
        <v>113750</v>
      </c>
      <c r="AM54" s="11">
        <f t="shared" si="4"/>
        <v>50</v>
      </c>
      <c r="AN54" s="10">
        <v>50</v>
      </c>
      <c r="AO54" s="11">
        <f t="shared" si="6"/>
        <v>200</v>
      </c>
      <c r="AP54" s="10">
        <v>200</v>
      </c>
      <c r="AQ54" s="11">
        <f t="shared" si="6"/>
        <v>0</v>
      </c>
      <c r="AR54" s="10">
        <v>0</v>
      </c>
      <c r="AS54" s="56">
        <f t="shared" si="7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2200000</v>
      </c>
      <c r="AZ54" s="11">
        <f ca="1">IFERROR(OFFSET(ITEM_RES!$A$1,MATCH(BA54,ITEM_RES!$J:$J,0)-1,0),0)</f>
        <v>211020101</v>
      </c>
      <c r="BA54" s="10" t="s">
        <v>448</v>
      </c>
      <c r="BB54" s="11">
        <v>2200000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919</v>
      </c>
      <c r="N55" s="9" t="s">
        <v>939</v>
      </c>
      <c r="O55" s="9">
        <v>1</v>
      </c>
      <c r="P55" s="9">
        <v>15</v>
      </c>
      <c r="Q55" s="9" t="s">
        <v>1203</v>
      </c>
      <c r="U55" s="9" t="s">
        <v>689</v>
      </c>
      <c r="X55" s="9">
        <f ca="1">IFERROR(OFFSET(ITEM_RES!$A$5,MATCH(BUILDING!W55,ITEM_RES!$J$5:$J$226,0)-1,0),0)</f>
        <v>0</v>
      </c>
      <c r="Z55" s="84" t="s">
        <v>540</v>
      </c>
      <c r="AA55" s="9">
        <f ca="1">IFERROR(OFFSET(ITEM_RES!$A$5,MATCH(BUILDING!Z55,ITEM_RES!$J$5:$J$226,0)-1,0),0)</f>
        <v>211010301</v>
      </c>
      <c r="AC55" s="9" t="s">
        <v>510</v>
      </c>
      <c r="AD55" s="9">
        <v>11</v>
      </c>
      <c r="AF55" s="11">
        <f ca="1">IFERROR(OFFSET(MANOR_LEVEL!$B$1,MATCH(AG55-1,MANOR_LEVEL!$A:$A,0)-1,0),0)</f>
        <v>528</v>
      </c>
      <c r="AG55" s="56">
        <v>3</v>
      </c>
      <c r="AI55" s="56">
        <f t="shared" ca="1" si="9"/>
        <v>132250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132250</v>
      </c>
      <c r="AK55" s="182">
        <f t="shared" ca="1" si="11"/>
        <v>198450</v>
      </c>
      <c r="AM55" s="11">
        <f t="shared" si="4"/>
        <v>55</v>
      </c>
      <c r="AN55" s="10">
        <v>55</v>
      </c>
      <c r="AO55" s="11">
        <f t="shared" si="6"/>
        <v>250</v>
      </c>
      <c r="AP55" s="10">
        <v>250</v>
      </c>
      <c r="AQ55" s="11">
        <f t="shared" si="6"/>
        <v>0</v>
      </c>
      <c r="AR55" s="10">
        <v>0</v>
      </c>
      <c r="AS55" s="56">
        <f t="shared" si="7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4400000</v>
      </c>
      <c r="AZ55" s="11">
        <f ca="1">IFERROR(OFFSET(ITEM_RES!$A$1,MATCH(BA55,ITEM_RES!$J:$J,0)-1,0),0)</f>
        <v>211020101</v>
      </c>
      <c r="BA55" s="10" t="s">
        <v>448</v>
      </c>
      <c r="BB55" s="11">
        <v>4400000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919</v>
      </c>
      <c r="N56" s="9" t="s">
        <v>939</v>
      </c>
      <c r="O56" s="9">
        <v>1</v>
      </c>
      <c r="P56" s="9">
        <v>15</v>
      </c>
      <c r="Q56" s="9" t="s">
        <v>1203</v>
      </c>
      <c r="U56" s="9" t="s">
        <v>689</v>
      </c>
      <c r="X56" s="9">
        <f ca="1">IFERROR(OFFSET(ITEM_RES!$A$5,MATCH(BUILDING!W56,ITEM_RES!$J$5:$J$226,0)-1,0),0)</f>
        <v>0</v>
      </c>
      <c r="Z56" s="84" t="s">
        <v>540</v>
      </c>
      <c r="AA56" s="9">
        <f ca="1">IFERROR(OFFSET(ITEM_RES!$A$5,MATCH(BUILDING!Z56,ITEM_RES!$J$5:$J$226,0)-1,0),0)</f>
        <v>211010301</v>
      </c>
      <c r="AC56" s="9" t="s">
        <v>510</v>
      </c>
      <c r="AD56" s="9">
        <v>12</v>
      </c>
      <c r="AF56" s="11">
        <f ca="1">IFERROR(OFFSET(MANOR_LEVEL!$B$1,MATCH(AG56-1,MANOR_LEVEL!$A:$A,0)-1,0),0)</f>
        <v>800</v>
      </c>
      <c r="AG56" s="56">
        <v>4</v>
      </c>
      <c r="AI56" s="56">
        <f t="shared" ca="1" si="9"/>
        <v>156300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156300</v>
      </c>
      <c r="AK56" s="182">
        <f t="shared" ca="1" si="11"/>
        <v>288550</v>
      </c>
      <c r="AM56" s="11">
        <f t="shared" si="4"/>
        <v>60</v>
      </c>
      <c r="AN56" s="10">
        <v>60</v>
      </c>
      <c r="AO56" s="11">
        <f t="shared" si="6"/>
        <v>300</v>
      </c>
      <c r="AP56" s="10">
        <v>300</v>
      </c>
      <c r="AQ56" s="11">
        <f t="shared" si="6"/>
        <v>0</v>
      </c>
      <c r="AR56" s="10">
        <v>0</v>
      </c>
      <c r="AS56" s="56">
        <f t="shared" si="7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5200000</v>
      </c>
      <c r="AZ56" s="11">
        <f ca="1">IFERROR(OFFSET(ITEM_RES!$A$1,MATCH(BA56,ITEM_RES!$J:$J,0)-1,0),0)</f>
        <v>211020101</v>
      </c>
      <c r="BA56" s="10" t="s">
        <v>448</v>
      </c>
      <c r="BB56" s="11">
        <v>5200000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919</v>
      </c>
      <c r="N57" s="9" t="s">
        <v>939</v>
      </c>
      <c r="O57" s="9">
        <v>1</v>
      </c>
      <c r="P57" s="9">
        <v>15</v>
      </c>
      <c r="Q57" s="9" t="s">
        <v>1203</v>
      </c>
      <c r="U57" s="9" t="s">
        <v>689</v>
      </c>
      <c r="X57" s="9">
        <f ca="1">IFERROR(OFFSET(ITEM_RES!$A$5,MATCH(BUILDING!W57,ITEM_RES!$J$5:$J$226,0)-1,0),0)</f>
        <v>0</v>
      </c>
      <c r="Z57" s="84" t="s">
        <v>540</v>
      </c>
      <c r="AA57" s="9">
        <f ca="1">IFERROR(OFFSET(ITEM_RES!$A$5,MATCH(BUILDING!Z57,ITEM_RES!$J$5:$J$226,0)-1,0),0)</f>
        <v>211010301</v>
      </c>
      <c r="AC57" s="9" t="s">
        <v>510</v>
      </c>
      <c r="AD57" s="9">
        <v>13</v>
      </c>
      <c r="AF57" s="11">
        <f ca="1">IFERROR(OFFSET(MANOR_LEVEL!$B$1,MATCH(AG57-1,MANOR_LEVEL!$A:$A,0)-1,0),0)</f>
        <v>800</v>
      </c>
      <c r="AG57" s="56">
        <v>4</v>
      </c>
      <c r="AI57" s="56">
        <f t="shared" ca="1" si="9"/>
        <v>258350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258350</v>
      </c>
      <c r="AK57" s="182">
        <f t="shared" ca="1" si="11"/>
        <v>414650</v>
      </c>
      <c r="AM57" s="11">
        <f t="shared" si="4"/>
        <v>65</v>
      </c>
      <c r="AN57" s="10">
        <v>65</v>
      </c>
      <c r="AO57" s="11">
        <f t="shared" si="6"/>
        <v>350</v>
      </c>
      <c r="AP57" s="10">
        <v>350</v>
      </c>
      <c r="AQ57" s="11">
        <f t="shared" si="6"/>
        <v>0</v>
      </c>
      <c r="AR57" s="10">
        <v>0</v>
      </c>
      <c r="AS57" s="56">
        <f t="shared" si="7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8600000</v>
      </c>
      <c r="AZ57" s="11">
        <f ca="1">IFERROR(OFFSET(ITEM_RES!$A$1,MATCH(BA57,ITEM_RES!$J:$J,0)-1,0),0)</f>
        <v>211020101</v>
      </c>
      <c r="BA57" s="10" t="s">
        <v>448</v>
      </c>
      <c r="BB57" s="11">
        <v>8600000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919</v>
      </c>
      <c r="N58" s="9" t="s">
        <v>939</v>
      </c>
      <c r="O58" s="9">
        <v>1</v>
      </c>
      <c r="P58" s="9">
        <v>15</v>
      </c>
      <c r="Q58" s="9" t="s">
        <v>1203</v>
      </c>
      <c r="U58" s="9" t="s">
        <v>689</v>
      </c>
      <c r="X58" s="9">
        <f ca="1">IFERROR(OFFSET(ITEM_RES!$A$5,MATCH(BUILDING!W58,ITEM_RES!$J$5:$J$226,0)-1,0),0)</f>
        <v>0</v>
      </c>
      <c r="Z58" s="84" t="s">
        <v>540</v>
      </c>
      <c r="AA58" s="9">
        <f ca="1">IFERROR(OFFSET(ITEM_RES!$A$5,MATCH(BUILDING!Z58,ITEM_RES!$J$5:$J$226,0)-1,0),0)</f>
        <v>211010301</v>
      </c>
      <c r="AC58" s="9" t="s">
        <v>510</v>
      </c>
      <c r="AD58" s="9">
        <v>14</v>
      </c>
      <c r="AF58" s="11">
        <f ca="1">IFERROR(OFFSET(MANOR_LEVEL!$B$1,MATCH(AG58-1,MANOR_LEVEL!$A:$A,0)-1,0),0)</f>
        <v>800</v>
      </c>
      <c r="AG58" s="56">
        <v>4</v>
      </c>
      <c r="AI58" s="56">
        <f t="shared" ca="1" si="9"/>
        <v>528450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528450</v>
      </c>
      <c r="AK58" s="182">
        <f t="shared" ca="1" si="11"/>
        <v>786800</v>
      </c>
      <c r="AM58" s="11">
        <f t="shared" si="4"/>
        <v>70</v>
      </c>
      <c r="AN58" s="10">
        <v>70</v>
      </c>
      <c r="AO58" s="11">
        <f t="shared" si="6"/>
        <v>450</v>
      </c>
      <c r="AP58" s="10">
        <v>450</v>
      </c>
      <c r="AQ58" s="11">
        <f t="shared" si="6"/>
        <v>0</v>
      </c>
      <c r="AR58" s="10">
        <v>0</v>
      </c>
      <c r="AS58" s="56">
        <f t="shared" si="7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13200000</v>
      </c>
      <c r="AZ58" s="11">
        <f ca="1">IFERROR(OFFSET(ITEM_RES!$A$1,MATCH(BA58,ITEM_RES!$J:$J,0)-1,0),0)</f>
        <v>211020101</v>
      </c>
      <c r="BA58" s="10" t="s">
        <v>448</v>
      </c>
      <c r="BB58" s="11">
        <v>13200000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919</v>
      </c>
      <c r="N59" s="9" t="s">
        <v>939</v>
      </c>
      <c r="O59" s="9">
        <v>1</v>
      </c>
      <c r="P59" s="9">
        <v>15</v>
      </c>
      <c r="Q59" s="9" t="s">
        <v>1203</v>
      </c>
      <c r="U59" s="9" t="s">
        <v>689</v>
      </c>
      <c r="X59" s="9">
        <f ca="1">IFERROR(OFFSET(ITEM_RES!$A$5,MATCH(BUILDING!W59,ITEM_RES!$J$5:$J$226,0)-1,0),0)</f>
        <v>0</v>
      </c>
      <c r="Z59" s="84" t="s">
        <v>540</v>
      </c>
      <c r="AA59" s="9">
        <f ca="1">IFERROR(OFFSET(ITEM_RES!$A$5,MATCH(BUILDING!Z59,ITEM_RES!$J$5:$J$226,0)-1,0),0)</f>
        <v>211010301</v>
      </c>
      <c r="AC59" s="9" t="s">
        <v>510</v>
      </c>
      <c r="AD59" s="9">
        <v>15</v>
      </c>
      <c r="AF59" s="11">
        <f ca="1">IFERROR(OFFSET(MANOR_LEVEL!$B$1,MATCH(AG59-1,MANOR_LEVEL!$A:$A,0)-1,0),0)</f>
        <v>1500</v>
      </c>
      <c r="AG59" s="56">
        <v>5</v>
      </c>
      <c r="AI59" s="56">
        <f t="shared" ca="1" si="9"/>
        <v>880550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880550</v>
      </c>
      <c r="AK59" s="182">
        <f t="shared" ca="1" si="11"/>
        <v>1409000</v>
      </c>
      <c r="AM59" s="11">
        <f t="shared" si="4"/>
        <v>75</v>
      </c>
      <c r="AN59" s="10">
        <v>75</v>
      </c>
      <c r="AO59" s="11">
        <f t="shared" si="6"/>
        <v>550</v>
      </c>
      <c r="AP59" s="10">
        <v>550</v>
      </c>
      <c r="AQ59" s="11">
        <f t="shared" si="6"/>
        <v>0</v>
      </c>
      <c r="AR59" s="10">
        <v>0</v>
      </c>
      <c r="AS59" s="56">
        <f t="shared" si="7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22000000</v>
      </c>
      <c r="AZ59" s="11">
        <f ca="1">IFERROR(OFFSET(ITEM_RES!$A$1,MATCH(BA59,ITEM_RES!$J:$J,0)-1,0),0)</f>
        <v>211020101</v>
      </c>
      <c r="BA59" s="10" t="s">
        <v>448</v>
      </c>
      <c r="BB59" s="11">
        <v>22000000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919</v>
      </c>
      <c r="N60" s="9" t="s">
        <v>939</v>
      </c>
      <c r="O60" s="9">
        <v>0</v>
      </c>
      <c r="P60" s="9">
        <v>15</v>
      </c>
      <c r="Q60" s="9" t="s">
        <v>1203</v>
      </c>
      <c r="U60" s="9" t="s">
        <v>689</v>
      </c>
      <c r="X60" s="9">
        <f ca="1">IFERROR(OFFSET(ITEM_RES!$A$5,MATCH(BUILDING!W60,ITEM_RES!$J$5:$J$226,0)-1,0),0)</f>
        <v>0</v>
      </c>
      <c r="Z60" s="84" t="s">
        <v>540</v>
      </c>
      <c r="AA60" s="9">
        <f ca="1">IFERROR(OFFSET(ITEM_RES!$A$5,MATCH(BUILDING!Z60,ITEM_RES!$J$5:$J$226,0)-1,0),0)</f>
        <v>211010301</v>
      </c>
      <c r="AC60" s="9" t="s">
        <v>510</v>
      </c>
      <c r="AD60" s="9">
        <v>16</v>
      </c>
      <c r="AF60" s="11">
        <f ca="1">IFERROR(OFFSET(MANOR_LEVEL!$B$1,MATCH(AG60-1,MANOR_LEVEL!$A:$A,0)-1,0),0)</f>
        <v>1500</v>
      </c>
      <c r="AG60" s="56">
        <v>5</v>
      </c>
      <c r="AI60" s="56">
        <f t="shared" ca="1" si="9"/>
        <v>1200700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1200700</v>
      </c>
      <c r="AK60" s="182">
        <f t="shared" ca="1" si="11"/>
        <v>2081250</v>
      </c>
      <c r="AM60" s="11">
        <f t="shared" si="4"/>
        <v>80</v>
      </c>
      <c r="AN60" s="10">
        <v>80</v>
      </c>
      <c r="AO60" s="11">
        <f t="shared" si="6"/>
        <v>700</v>
      </c>
      <c r="AP60" s="10">
        <v>700</v>
      </c>
      <c r="AQ60" s="11">
        <f t="shared" si="6"/>
        <v>0</v>
      </c>
      <c r="AR60" s="10">
        <v>0</v>
      </c>
      <c r="AS60" s="56">
        <f t="shared" si="7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30000000</v>
      </c>
      <c r="AZ60" s="11">
        <f ca="1">IFERROR(OFFSET(ITEM_RES!$A$1,MATCH(BA60,ITEM_RES!$J:$J,0)-1,0),0)</f>
        <v>211020101</v>
      </c>
      <c r="BA60" s="10" t="s">
        <v>448</v>
      </c>
      <c r="BB60" s="11">
        <v>30000000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919</v>
      </c>
      <c r="N61" s="9" t="s">
        <v>939</v>
      </c>
      <c r="O61" s="9">
        <v>0</v>
      </c>
      <c r="P61" s="9">
        <v>15</v>
      </c>
      <c r="Q61" s="9" t="s">
        <v>1203</v>
      </c>
      <c r="U61" s="9" t="s">
        <v>689</v>
      </c>
      <c r="X61" s="9">
        <f ca="1">IFERROR(OFFSET(ITEM_RES!$A$5,MATCH(BUILDING!W61,ITEM_RES!$J$5:$J$226,0)-1,0),0)</f>
        <v>0</v>
      </c>
      <c r="Z61" s="84" t="s">
        <v>540</v>
      </c>
      <c r="AA61" s="9">
        <f ca="1">IFERROR(OFFSET(ITEM_RES!$A$5,MATCH(BUILDING!Z61,ITEM_RES!$J$5:$J$226,0)-1,0),0)</f>
        <v>211010301</v>
      </c>
      <c r="AC61" s="9" t="s">
        <v>510</v>
      </c>
      <c r="AD61" s="9">
        <v>17</v>
      </c>
      <c r="AF61" s="11">
        <f ca="1">IFERROR(OFFSET(MANOR_LEVEL!$B$1,MATCH(AG61-1,MANOR_LEVEL!$A:$A,0)-1,0),0)</f>
        <v>3872</v>
      </c>
      <c r="AG61" s="56">
        <v>6</v>
      </c>
      <c r="AI61" s="56">
        <f t="shared" ca="1" si="9"/>
        <v>1840850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1840850</v>
      </c>
      <c r="AK61" s="182">
        <f t="shared" ca="1" si="11"/>
        <v>3041550</v>
      </c>
      <c r="AM61" s="11">
        <f t="shared" si="4"/>
        <v>85</v>
      </c>
      <c r="AN61" s="10">
        <v>85</v>
      </c>
      <c r="AO61" s="11">
        <f t="shared" si="6"/>
        <v>850</v>
      </c>
      <c r="AP61" s="10">
        <v>850</v>
      </c>
      <c r="AQ61" s="11">
        <f t="shared" si="6"/>
        <v>0</v>
      </c>
      <c r="AR61" s="10">
        <v>0</v>
      </c>
      <c r="AS61" s="56">
        <f t="shared" si="7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46000000</v>
      </c>
      <c r="AZ61" s="11">
        <f ca="1">IFERROR(OFFSET(ITEM_RES!$A$1,MATCH(BA61,ITEM_RES!$J:$J,0)-1,0),0)</f>
        <v>211020101</v>
      </c>
      <c r="BA61" s="10" t="s">
        <v>448</v>
      </c>
      <c r="BB61" s="11">
        <v>46000000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919</v>
      </c>
      <c r="N62" s="9" t="s">
        <v>939</v>
      </c>
      <c r="O62" s="9">
        <v>0</v>
      </c>
      <c r="P62" s="9">
        <v>15</v>
      </c>
      <c r="Q62" s="9" t="s">
        <v>1203</v>
      </c>
      <c r="U62" s="9" t="s">
        <v>689</v>
      </c>
      <c r="X62" s="9">
        <f ca="1">IFERROR(OFFSET(ITEM_RES!$A$5,MATCH(BUILDING!W62,ITEM_RES!$J$5:$J$226,0)-1,0),0)</f>
        <v>0</v>
      </c>
      <c r="Z62" s="84" t="s">
        <v>540</v>
      </c>
      <c r="AA62" s="9">
        <f ca="1">IFERROR(OFFSET(ITEM_RES!$A$5,MATCH(BUILDING!Z62,ITEM_RES!$J$5:$J$226,0)-1,0),0)</f>
        <v>211010301</v>
      </c>
      <c r="AC62" s="9" t="s">
        <v>510</v>
      </c>
      <c r="AD62" s="9">
        <v>18</v>
      </c>
      <c r="AF62" s="11">
        <f ca="1">IFERROR(OFFSET(MANOR_LEVEL!$B$1,MATCH(AG62-1,MANOR_LEVEL!$A:$A,0)-1,0),0)</f>
        <v>32640</v>
      </c>
      <c r="AG62" s="56">
        <v>7</v>
      </c>
      <c r="AI62" s="56">
        <f t="shared" ca="1" si="9"/>
        <v>2801050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2801050</v>
      </c>
      <c r="AK62" s="182">
        <f t="shared" ca="1" si="11"/>
        <v>4641900</v>
      </c>
      <c r="AM62" s="11">
        <f t="shared" si="4"/>
        <v>90</v>
      </c>
      <c r="AN62" s="10">
        <v>90</v>
      </c>
      <c r="AO62" s="11">
        <f t="shared" si="6"/>
        <v>1050</v>
      </c>
      <c r="AP62" s="10">
        <v>1050</v>
      </c>
      <c r="AQ62" s="11">
        <f t="shared" si="6"/>
        <v>0</v>
      </c>
      <c r="AR62" s="10">
        <v>0</v>
      </c>
      <c r="AS62" s="56">
        <f t="shared" si="7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70000000</v>
      </c>
      <c r="AZ62" s="11">
        <f ca="1">IFERROR(OFFSET(ITEM_RES!$A$1,MATCH(BA62,ITEM_RES!$J:$J,0)-1,0),0)</f>
        <v>211020101</v>
      </c>
      <c r="BA62" s="10" t="s">
        <v>448</v>
      </c>
      <c r="BB62" s="11">
        <v>70000000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919</v>
      </c>
      <c r="N63" s="9" t="s">
        <v>939</v>
      </c>
      <c r="O63" s="9">
        <v>0</v>
      </c>
      <c r="P63" s="9">
        <v>15</v>
      </c>
      <c r="Q63" s="9" t="s">
        <v>1203</v>
      </c>
      <c r="U63" s="9" t="s">
        <v>689</v>
      </c>
      <c r="X63" s="9">
        <f ca="1">IFERROR(OFFSET(ITEM_RES!$A$5,MATCH(BUILDING!W63,ITEM_RES!$J$5:$J$226,0)-1,0),0)</f>
        <v>0</v>
      </c>
      <c r="Z63" s="84" t="s">
        <v>540</v>
      </c>
      <c r="AA63" s="9">
        <f ca="1">IFERROR(OFFSET(ITEM_RES!$A$5,MATCH(BUILDING!Z63,ITEM_RES!$J$5:$J$226,0)-1,0),0)</f>
        <v>211010301</v>
      </c>
      <c r="AC63" s="9" t="s">
        <v>510</v>
      </c>
      <c r="AD63" s="9">
        <v>19</v>
      </c>
      <c r="AF63" s="11">
        <f ca="1">IFERROR(OFFSET(MANOR_LEVEL!$B$1,MATCH(AG63-1,MANOR_LEVEL!$A:$A,0)-1,0),0)</f>
        <v>32640</v>
      </c>
      <c r="AG63" s="56">
        <v>7</v>
      </c>
      <c r="AI63" s="56">
        <f t="shared" ca="1" si="9"/>
        <v>3841250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3841250</v>
      </c>
      <c r="AK63" s="182">
        <f t="shared" ca="1" si="11"/>
        <v>6642300</v>
      </c>
      <c r="AM63" s="11">
        <f t="shared" si="4"/>
        <v>95</v>
      </c>
      <c r="AN63" s="10">
        <v>95</v>
      </c>
      <c r="AO63" s="11">
        <f t="shared" si="6"/>
        <v>1250</v>
      </c>
      <c r="AP63" s="10">
        <v>1250</v>
      </c>
      <c r="AQ63" s="11">
        <f t="shared" si="6"/>
        <v>0</v>
      </c>
      <c r="AR63" s="10">
        <v>0</v>
      </c>
      <c r="AS63" s="56">
        <f t="shared" si="7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96000000</v>
      </c>
      <c r="AZ63" s="11">
        <f ca="1">IFERROR(OFFSET(ITEM_RES!$A$1,MATCH(BA63,ITEM_RES!$J:$J,0)-1,0),0)</f>
        <v>211020101</v>
      </c>
      <c r="BA63" s="10" t="s">
        <v>448</v>
      </c>
      <c r="BB63" s="11">
        <v>96000000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919</v>
      </c>
      <c r="N64" s="9" t="s">
        <v>939</v>
      </c>
      <c r="O64" s="9">
        <v>0</v>
      </c>
      <c r="P64" s="9">
        <v>15</v>
      </c>
      <c r="Q64" s="9" t="s">
        <v>1203</v>
      </c>
      <c r="U64" s="9" t="s">
        <v>689</v>
      </c>
      <c r="X64" s="9">
        <f ca="1">IFERROR(OFFSET(ITEM_RES!$A$5,MATCH(BUILDING!W64,ITEM_RES!$J$5:$J$226,0)-1,0),0)</f>
        <v>0</v>
      </c>
      <c r="Z64" s="84" t="s">
        <v>540</v>
      </c>
      <c r="AA64" s="9">
        <f ca="1">IFERROR(OFFSET(ITEM_RES!$A$5,MATCH(BUILDING!Z64,ITEM_RES!$J$5:$J$226,0)-1,0),0)</f>
        <v>211010301</v>
      </c>
      <c r="AC64" s="9" t="s">
        <v>510</v>
      </c>
      <c r="AD64" s="9">
        <v>20</v>
      </c>
      <c r="AF64" s="11">
        <f ca="1">IFERROR(OFFSET(MANOR_LEVEL!$B$1,MATCH(AG64-1,MANOR_LEVEL!$A:$A,0)-1,0),0)</f>
        <v>32640</v>
      </c>
      <c r="AG64" s="56">
        <v>7</v>
      </c>
      <c r="AI64" s="56">
        <f t="shared" ca="1" si="9"/>
        <v>6081500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6081500</v>
      </c>
      <c r="AK64" s="182">
        <f t="shared" ca="1" si="11"/>
        <v>9922750</v>
      </c>
      <c r="AM64" s="11">
        <f t="shared" si="4"/>
        <v>100</v>
      </c>
      <c r="AN64" s="10">
        <v>100</v>
      </c>
      <c r="AO64" s="11">
        <f t="shared" si="6"/>
        <v>1500</v>
      </c>
      <c r="AP64" s="10">
        <v>1500</v>
      </c>
      <c r="AQ64" s="11">
        <f t="shared" si="6"/>
        <v>0</v>
      </c>
      <c r="AR64" s="10">
        <v>0</v>
      </c>
      <c r="AS64" s="56">
        <f t="shared" si="7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152000000</v>
      </c>
      <c r="AZ64" s="11">
        <f ca="1">IFERROR(OFFSET(ITEM_RES!$A$1,MATCH(BA64,ITEM_RES!$J:$J,0)-1,0),0)</f>
        <v>211020101</v>
      </c>
      <c r="BA64" s="10" t="s">
        <v>448</v>
      </c>
      <c r="BB64" s="11">
        <v>152000000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 t="s">
        <v>920</v>
      </c>
      <c r="N65" s="16" t="s">
        <v>940</v>
      </c>
      <c r="O65" s="16">
        <v>1</v>
      </c>
      <c r="P65" s="16">
        <v>15</v>
      </c>
      <c r="Q65" s="16" t="s">
        <v>1216</v>
      </c>
      <c r="R65" s="17"/>
      <c r="S65" s="17"/>
      <c r="T65" s="18"/>
      <c r="U65" s="16" t="s">
        <v>690</v>
      </c>
      <c r="V65" s="78"/>
      <c r="W65" s="86"/>
      <c r="X65" s="16">
        <f ca="1">IFERROR(OFFSET(ITEM_RES!$A$5,MATCH(BUILDING!W65,ITEM_RES!$J$5:$J$226,0)-1,0),0)</f>
        <v>0</v>
      </c>
      <c r="Y65" s="18"/>
      <c r="Z65" s="86" t="s">
        <v>541</v>
      </c>
      <c r="AA65" s="16">
        <f ca="1">IFERROR(OFFSET(ITEM_RES!$A$5,MATCH(BUILDING!Z65,ITEM_RES!$J$5:$J$226,0)-1,0),0)</f>
        <v>211020101</v>
      </c>
      <c r="AB65" s="78"/>
      <c r="AC65" s="16" t="s">
        <v>511</v>
      </c>
      <c r="AD65" s="16">
        <v>1</v>
      </c>
      <c r="AE65" s="78"/>
      <c r="AF65" s="18">
        <f ca="1">IFERROR(OFFSET(MANOR_LEVEL!$B$1,MATCH(AG65-1,MANOR_LEVEL!$A:$A,0)-1,0),0)</f>
        <v>0</v>
      </c>
      <c r="AG65" s="57">
        <v>1</v>
      </c>
      <c r="AH65" s="78"/>
      <c r="AI65" s="57">
        <f t="shared" ca="1" si="9"/>
        <v>105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105.3</v>
      </c>
      <c r="AK65" s="184">
        <f ca="1">AI65</f>
        <v>105</v>
      </c>
      <c r="AL65" s="78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0</v>
      </c>
      <c r="AR65" s="17">
        <v>0</v>
      </c>
      <c r="AS65" s="57">
        <f t="shared" si="7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20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1</v>
      </c>
      <c r="BC65" s="17"/>
      <c r="BD65" s="18"/>
      <c r="BE65" s="18">
        <f ca="1">IFERROR(OFFSET(ITEM_RES!$A$1,MATCH(BF65,ITEM_RES!$J:$J,0)-1,0),0)</f>
        <v>213010101</v>
      </c>
      <c r="BF65" s="17" t="s">
        <v>452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920</v>
      </c>
      <c r="N66" s="9" t="s">
        <v>940</v>
      </c>
      <c r="O66" s="9">
        <v>1</v>
      </c>
      <c r="P66" s="9">
        <v>15</v>
      </c>
      <c r="Q66" s="9" t="s">
        <v>1216</v>
      </c>
      <c r="U66" s="9" t="s">
        <v>690</v>
      </c>
      <c r="X66" s="9">
        <f ca="1">IFERROR(OFFSET(ITEM_RES!$A$5,MATCH(BUILDING!W66,ITEM_RES!$J$5:$J$226,0)-1,0),0)</f>
        <v>0</v>
      </c>
      <c r="Z66" s="84" t="s">
        <v>541</v>
      </c>
      <c r="AA66" s="9">
        <f ca="1">IFERROR(OFFSET(ITEM_RES!$A$5,MATCH(BUILDING!Z66,ITEM_RES!$J$5:$J$226,0)-1,0),0)</f>
        <v>211020101</v>
      </c>
      <c r="AC66" s="9" t="s">
        <v>511</v>
      </c>
      <c r="AD66" s="9">
        <v>2</v>
      </c>
      <c r="AF66" s="11">
        <f ca="1">IFERROR(OFFSET(MANOR_LEVEL!$B$1,MATCH(AG66-1,MANOR_LEVEL!$A:$A,0)-1,0),0)</f>
        <v>0</v>
      </c>
      <c r="AG66" s="56">
        <v>1</v>
      </c>
      <c r="AI66" s="56">
        <f t="shared" ca="1" si="9"/>
        <v>10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10.3</v>
      </c>
      <c r="AK66" s="182">
        <f ca="1">AI65+AI66</f>
        <v>115</v>
      </c>
      <c r="AM66" s="11">
        <f t="shared" si="4"/>
        <v>10</v>
      </c>
      <c r="AN66" s="10">
        <v>10</v>
      </c>
      <c r="AO66" s="11">
        <f t="shared" ref="AO66" si="17">ROUND(AP66,0)</f>
        <v>10</v>
      </c>
      <c r="AP66" s="10">
        <v>10</v>
      </c>
      <c r="AQ66" s="11">
        <f t="shared" ref="AQ66" si="18">ROUND(AR66,0)</f>
        <v>0</v>
      </c>
      <c r="AR66" s="10">
        <v>0</v>
      </c>
      <c r="AS66" s="56">
        <f t="shared" si="7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20</v>
      </c>
      <c r="AZ66" s="11">
        <f ca="1">IFERROR(OFFSET(ITEM_RES!$A$1,MATCH(BA66,ITEM_RES!$J:$J,0)-1,0),0)</f>
        <v>211020801</v>
      </c>
      <c r="BA66" s="10" t="s">
        <v>437</v>
      </c>
      <c r="BB66" s="11">
        <v>1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920</v>
      </c>
      <c r="N67" s="9" t="s">
        <v>940</v>
      </c>
      <c r="O67" s="9">
        <v>1</v>
      </c>
      <c r="P67" s="9">
        <v>15</v>
      </c>
      <c r="Q67" s="9" t="s">
        <v>1217</v>
      </c>
      <c r="U67" s="9" t="s">
        <v>690</v>
      </c>
      <c r="X67" s="9">
        <f ca="1">IFERROR(OFFSET(ITEM_RES!$A$5,MATCH(BUILDING!W67,ITEM_RES!$J$5:$J$226,0)-1,0),0)</f>
        <v>0</v>
      </c>
      <c r="Z67" s="84" t="s">
        <v>541</v>
      </c>
      <c r="AA67" s="9">
        <f ca="1">IFERROR(OFFSET(ITEM_RES!$A$5,MATCH(BUILDING!Z67,ITEM_RES!$J$5:$J$226,0)-1,0),0)</f>
        <v>211020101</v>
      </c>
      <c r="AC67" s="9" t="s">
        <v>511</v>
      </c>
      <c r="AD67" s="9">
        <v>3</v>
      </c>
      <c r="AF67" s="11">
        <f ca="1">IFERROR(OFFSET(MANOR_LEVEL!$B$1,MATCH(AG67-1,MANOR_LEVEL!$A:$A,0)-1,0),0)</f>
        <v>0</v>
      </c>
      <c r="AG67" s="56">
        <v>1</v>
      </c>
      <c r="AI67" s="56">
        <f t="shared" ca="1" si="9"/>
        <v>17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16.7</v>
      </c>
      <c r="AK67" s="182">
        <f t="shared" ref="AK67:AK84" ca="1" si="19">AI66+AI67</f>
        <v>27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0</v>
      </c>
      <c r="AR67" s="10">
        <v>0</v>
      </c>
      <c r="AS67" s="56">
        <f t="shared" si="7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160</v>
      </c>
      <c r="AZ67" s="11">
        <f ca="1">IFERROR(OFFSET(ITEM_RES!$A$1,MATCH(BA67,ITEM_RES!$J:$J,0)-1,0),0)</f>
        <v>211020801</v>
      </c>
      <c r="BA67" s="10" t="s">
        <v>437</v>
      </c>
      <c r="BB67" s="11">
        <v>1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920</v>
      </c>
      <c r="N68" s="9" t="s">
        <v>940</v>
      </c>
      <c r="O68" s="9">
        <v>1</v>
      </c>
      <c r="P68" s="9">
        <v>15</v>
      </c>
      <c r="Q68" s="9" t="s">
        <v>1218</v>
      </c>
      <c r="U68" s="9" t="s">
        <v>690</v>
      </c>
      <c r="X68" s="9">
        <f ca="1">IFERROR(OFFSET(ITEM_RES!$A$5,MATCH(BUILDING!W68,ITEM_RES!$J$5:$J$226,0)-1,0),0)</f>
        <v>0</v>
      </c>
      <c r="Z68" s="84" t="s">
        <v>541</v>
      </c>
      <c r="AA68" s="9">
        <f ca="1">IFERROR(OFFSET(ITEM_RES!$A$5,MATCH(BUILDING!Z68,ITEM_RES!$J$5:$J$226,0)-1,0),0)</f>
        <v>211020101</v>
      </c>
      <c r="AC68" s="9" t="s">
        <v>511</v>
      </c>
      <c r="AD68" s="9">
        <v>4</v>
      </c>
      <c r="AF68" s="11">
        <f ca="1">IFERROR(OFFSET(MANOR_LEVEL!$B$1,MATCH(AG68-1,MANOR_LEVEL!$A:$A,0)-1,0),0)</f>
        <v>0</v>
      </c>
      <c r="AG68" s="56">
        <v>1</v>
      </c>
      <c r="AI68" s="56">
        <f t="shared" ca="1" si="9"/>
        <v>44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44.3</v>
      </c>
      <c r="AK68" s="182">
        <f t="shared" ca="1" si="19"/>
        <v>61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0</v>
      </c>
      <c r="AR68" s="10">
        <v>0</v>
      </c>
      <c r="AS68" s="56">
        <f t="shared" si="7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1920</v>
      </c>
      <c r="AZ68" s="11">
        <f ca="1">IFERROR(OFFSET(ITEM_RES!$A$1,MATCH(BA68,ITEM_RES!$J:$J,0)-1,0),0)</f>
        <v>211020801</v>
      </c>
      <c r="BA68" s="10" t="s">
        <v>437</v>
      </c>
      <c r="BB68" s="11">
        <v>1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920</v>
      </c>
      <c r="N69" s="9" t="s">
        <v>940</v>
      </c>
      <c r="O69" s="9">
        <v>1</v>
      </c>
      <c r="P69" s="9">
        <v>15</v>
      </c>
      <c r="Q69" s="9" t="s">
        <v>1219</v>
      </c>
      <c r="U69" s="9" t="s">
        <v>690</v>
      </c>
      <c r="X69" s="9">
        <f ca="1">IFERROR(OFFSET(ITEM_RES!$A$5,MATCH(BUILDING!W69,ITEM_RES!$J$5:$J$226,0)-1,0),0)</f>
        <v>0</v>
      </c>
      <c r="Z69" s="84" t="s">
        <v>541</v>
      </c>
      <c r="AA69" s="9">
        <f ca="1">IFERROR(OFFSET(ITEM_RES!$A$5,MATCH(BUILDING!Z69,ITEM_RES!$J$5:$J$226,0)-1,0),0)</f>
        <v>211020101</v>
      </c>
      <c r="AC69" s="9" t="s">
        <v>511</v>
      </c>
      <c r="AD69" s="9">
        <v>5</v>
      </c>
      <c r="AF69" s="11">
        <f ca="1">IFERROR(OFFSET(MANOR_LEVEL!$B$1,MATCH(AG69-1,MANOR_LEVEL!$A:$A,0)-1,0),0)</f>
        <v>444</v>
      </c>
      <c r="AG69" s="56">
        <v>2</v>
      </c>
      <c r="AI69" s="56">
        <f t="shared" ca="1" si="9"/>
        <v>300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300.10000000000002</v>
      </c>
      <c r="AK69" s="182">
        <f t="shared" ca="1" si="19"/>
        <v>344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0</v>
      </c>
      <c r="AR69" s="10">
        <v>0</v>
      </c>
      <c r="AS69" s="56">
        <f t="shared" si="7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26000</v>
      </c>
      <c r="AZ69" s="11">
        <f ca="1">IFERROR(OFFSET(ITEM_RES!$A$1,MATCH(BA69,ITEM_RES!$J:$J,0)-1,0),0)</f>
        <v>211020801</v>
      </c>
      <c r="BA69" s="10" t="s">
        <v>437</v>
      </c>
      <c r="BB69" s="11">
        <v>1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920</v>
      </c>
      <c r="N70" s="9" t="s">
        <v>940</v>
      </c>
      <c r="O70" s="9">
        <v>1</v>
      </c>
      <c r="P70" s="9">
        <v>15</v>
      </c>
      <c r="Q70" s="9" t="s">
        <v>1220</v>
      </c>
      <c r="U70" s="9" t="s">
        <v>690</v>
      </c>
      <c r="X70" s="9">
        <f ca="1">IFERROR(OFFSET(ITEM_RES!$A$5,MATCH(BUILDING!W70,ITEM_RES!$J$5:$J$226,0)-1,0),0)</f>
        <v>0</v>
      </c>
      <c r="Z70" s="84" t="s">
        <v>541</v>
      </c>
      <c r="AA70" s="9">
        <f ca="1">IFERROR(OFFSET(ITEM_RES!$A$5,MATCH(BUILDING!Z70,ITEM_RES!$J$5:$J$226,0)-1,0),0)</f>
        <v>211020101</v>
      </c>
      <c r="AC70" s="9" t="s">
        <v>511</v>
      </c>
      <c r="AD70" s="9">
        <v>6</v>
      </c>
      <c r="AF70" s="11">
        <f ca="1">IFERROR(OFFSET(MANOR_LEVEL!$B$1,MATCH(AG70-1,MANOR_LEVEL!$A:$A,0)-1,0),0)</f>
        <v>528</v>
      </c>
      <c r="AG70" s="56">
        <v>3</v>
      </c>
      <c r="AI70" s="56">
        <f t="shared" ca="1" si="9"/>
        <v>2450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2450.1</v>
      </c>
      <c r="AK70" s="182">
        <f t="shared" ca="1" si="19"/>
        <v>2750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0</v>
      </c>
      <c r="AR70" s="10">
        <v>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240000</v>
      </c>
      <c r="AZ70" s="11">
        <f ca="1">IFERROR(OFFSET(ITEM_RES!$A$1,MATCH(BA70,ITEM_RES!$J:$J,0)-1,0),0)</f>
        <v>211020801</v>
      </c>
      <c r="BA70" s="10" t="s">
        <v>437</v>
      </c>
      <c r="BB70" s="11">
        <v>1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920</v>
      </c>
      <c r="N71" s="9" t="s">
        <v>940</v>
      </c>
      <c r="O71" s="9">
        <v>1</v>
      </c>
      <c r="P71" s="9">
        <v>15</v>
      </c>
      <c r="Q71" s="9" t="s">
        <v>1221</v>
      </c>
      <c r="U71" s="9" t="s">
        <v>690</v>
      </c>
      <c r="X71" s="9">
        <f ca="1">IFERROR(OFFSET(ITEM_RES!$A$5,MATCH(BUILDING!W71,ITEM_RES!$J$5:$J$226,0)-1,0),0)</f>
        <v>0</v>
      </c>
      <c r="Z71" s="84" t="s">
        <v>541</v>
      </c>
      <c r="AA71" s="9">
        <f ca="1">IFERROR(OFFSET(ITEM_RES!$A$5,MATCH(BUILDING!Z71,ITEM_RES!$J$5:$J$226,0)-1,0),0)</f>
        <v>211020101</v>
      </c>
      <c r="AC71" s="9" t="s">
        <v>511</v>
      </c>
      <c r="AD71" s="9">
        <v>7</v>
      </c>
      <c r="AF71" s="11">
        <f ca="1">IFERROR(OFFSET(MANOR_LEVEL!$B$1,MATCH(AG71-1,MANOR_LEVEL!$A:$A,0)-1,0),0)</f>
        <v>800</v>
      </c>
      <c r="AG71" s="56">
        <v>4</v>
      </c>
      <c r="AI71" s="56">
        <f t="shared" ca="1" si="9"/>
        <v>5500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5500.1</v>
      </c>
      <c r="AK71" s="182">
        <f t="shared" ca="1" si="19"/>
        <v>7950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0</v>
      </c>
      <c r="AR71" s="10">
        <v>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540000</v>
      </c>
      <c r="AZ71" s="11">
        <f ca="1">IFERROR(OFFSET(ITEM_RES!$A$1,MATCH(BA71,ITEM_RES!$J:$J,0)-1,0),0)</f>
        <v>211020801</v>
      </c>
      <c r="BA71" s="10" t="s">
        <v>437</v>
      </c>
      <c r="BB71" s="11">
        <v>1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920</v>
      </c>
      <c r="N72" s="9" t="s">
        <v>940</v>
      </c>
      <c r="O72" s="9">
        <v>1</v>
      </c>
      <c r="P72" s="9">
        <v>15</v>
      </c>
      <c r="Q72" s="9" t="s">
        <v>1221</v>
      </c>
      <c r="U72" s="9" t="s">
        <v>690</v>
      </c>
      <c r="X72" s="9">
        <f ca="1">IFERROR(OFFSET(ITEM_RES!$A$5,MATCH(BUILDING!W72,ITEM_RES!$J$5:$J$226,0)-1,0),0)</f>
        <v>0</v>
      </c>
      <c r="Z72" s="84" t="s">
        <v>541</v>
      </c>
      <c r="AA72" s="9">
        <f ca="1">IFERROR(OFFSET(ITEM_RES!$A$5,MATCH(BUILDING!Z72,ITEM_RES!$J$5:$J$226,0)-1,0),0)</f>
        <v>211020101</v>
      </c>
      <c r="AC72" s="9" t="s">
        <v>511</v>
      </c>
      <c r="AD72" s="9">
        <v>8</v>
      </c>
      <c r="AF72" s="11">
        <f ca="1">IFERROR(OFFSET(MANOR_LEVEL!$B$1,MATCH(AG72-1,MANOR_LEVEL!$A:$A,0)-1,0),0)</f>
        <v>1500</v>
      </c>
      <c r="AG72" s="56">
        <v>5</v>
      </c>
      <c r="AI72" s="56">
        <f t="shared" ca="1" si="9"/>
        <v>10100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10100.1</v>
      </c>
      <c r="AK72" s="182">
        <f t="shared" ca="1" si="19"/>
        <v>15600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0</v>
      </c>
      <c r="AR72" s="10">
        <v>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1000000</v>
      </c>
      <c r="AZ72" s="11">
        <f ca="1">IFERROR(OFFSET(ITEM_RES!$A$1,MATCH(BA72,ITEM_RES!$J:$J,0)-1,0),0)</f>
        <v>211020801</v>
      </c>
      <c r="BA72" s="10" t="s">
        <v>437</v>
      </c>
      <c r="BB72" s="11">
        <v>1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920</v>
      </c>
      <c r="N73" s="9" t="s">
        <v>940</v>
      </c>
      <c r="O73" s="9">
        <v>1</v>
      </c>
      <c r="P73" s="9">
        <v>15</v>
      </c>
      <c r="Q73" s="9" t="s">
        <v>1221</v>
      </c>
      <c r="U73" s="9" t="s">
        <v>690</v>
      </c>
      <c r="X73" s="9">
        <f ca="1">IFERROR(OFFSET(ITEM_RES!$A$5,MATCH(BUILDING!W73,ITEM_RES!$J$5:$J$226,0)-1,0),0)</f>
        <v>0</v>
      </c>
      <c r="Z73" s="84" t="s">
        <v>541</v>
      </c>
      <c r="AA73" s="9">
        <f ca="1">IFERROR(OFFSET(ITEM_RES!$A$5,MATCH(BUILDING!Z73,ITEM_RES!$J$5:$J$226,0)-1,0),0)</f>
        <v>211020101</v>
      </c>
      <c r="AC73" s="9" t="s">
        <v>511</v>
      </c>
      <c r="AD73" s="9">
        <v>9</v>
      </c>
      <c r="AF73" s="11">
        <f ca="1">IFERROR(OFFSET(MANOR_LEVEL!$B$1,MATCH(AG73-1,MANOR_LEVEL!$A:$A,0)-1,0),0)</f>
        <v>3872</v>
      </c>
      <c r="AG73" s="56">
        <v>6</v>
      </c>
      <c r="AI73" s="56">
        <f t="shared" ca="1" si="9"/>
        <v>15950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15950.1</v>
      </c>
      <c r="AK73" s="182">
        <f t="shared" ca="1" si="19"/>
        <v>26050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0</v>
      </c>
      <c r="AR73" s="10">
        <v>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1580000</v>
      </c>
      <c r="AZ73" s="11">
        <f ca="1">IFERROR(OFFSET(ITEM_RES!$A$1,MATCH(BA73,ITEM_RES!$J:$J,0)-1,0),0)</f>
        <v>211020801</v>
      </c>
      <c r="BA73" s="10" t="s">
        <v>437</v>
      </c>
      <c r="BB73" s="11">
        <v>1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920</v>
      </c>
      <c r="N74" s="9" t="s">
        <v>940</v>
      </c>
      <c r="O74" s="9">
        <v>1</v>
      </c>
      <c r="P74" s="9">
        <v>15</v>
      </c>
      <c r="Q74" s="9" t="s">
        <v>1221</v>
      </c>
      <c r="U74" s="9" t="s">
        <v>690</v>
      </c>
      <c r="X74" s="9">
        <f ca="1">IFERROR(OFFSET(ITEM_RES!$A$5,MATCH(BUILDING!W74,ITEM_RES!$J$5:$J$226,0)-1,0),0)</f>
        <v>0</v>
      </c>
      <c r="Z74" s="84" t="s">
        <v>541</v>
      </c>
      <c r="AA74" s="9">
        <f ca="1">IFERROR(OFFSET(ITEM_RES!$A$5,MATCH(BUILDING!Z74,ITEM_RES!$J$5:$J$226,0)-1,0),0)</f>
        <v>211020101</v>
      </c>
      <c r="AC74" s="9" t="s">
        <v>511</v>
      </c>
      <c r="AD74" s="9">
        <v>10</v>
      </c>
      <c r="AF74" s="11">
        <f ca="1">IFERROR(OFFSET(MANOR_LEVEL!$B$1,MATCH(AG74-1,MANOR_LEVEL!$A:$A,0)-1,0),0)</f>
        <v>32640</v>
      </c>
      <c r="AG74" s="56">
        <v>7</v>
      </c>
      <c r="AI74" s="56">
        <f t="shared" ca="1" si="9"/>
        <v>22200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22200.1</v>
      </c>
      <c r="AK74" s="182">
        <f t="shared" ca="1" si="19"/>
        <v>38150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0</v>
      </c>
      <c r="AR74" s="10">
        <v>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2200000</v>
      </c>
      <c r="AZ74" s="11">
        <f ca="1">IFERROR(OFFSET(ITEM_RES!$A$1,MATCH(BA74,ITEM_RES!$J:$J,0)-1,0),0)</f>
        <v>211020801</v>
      </c>
      <c r="BA74" s="10" t="s">
        <v>437</v>
      </c>
      <c r="BB74" s="11">
        <v>1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920</v>
      </c>
      <c r="N75" s="9" t="s">
        <v>940</v>
      </c>
      <c r="O75" s="9">
        <v>1</v>
      </c>
      <c r="P75" s="9">
        <v>15</v>
      </c>
      <c r="Q75" s="9" t="s">
        <v>1221</v>
      </c>
      <c r="U75" s="9" t="s">
        <v>690</v>
      </c>
      <c r="X75" s="9">
        <f ca="1">IFERROR(OFFSET(ITEM_RES!$A$5,MATCH(BUILDING!W75,ITEM_RES!$J$5:$J$226,0)-1,0),0)</f>
        <v>0</v>
      </c>
      <c r="Z75" s="84" t="s">
        <v>541</v>
      </c>
      <c r="AA75" s="9">
        <f ca="1">IFERROR(OFFSET(ITEM_RES!$A$5,MATCH(BUILDING!Z75,ITEM_RES!$J$5:$J$226,0)-1,0),0)</f>
        <v>211020101</v>
      </c>
      <c r="AC75" s="9" t="s">
        <v>511</v>
      </c>
      <c r="AD75" s="9">
        <v>11</v>
      </c>
      <c r="AF75" s="11">
        <f ca="1">IFERROR(OFFSET(MANOR_LEVEL!$B$1,MATCH(AG75-1,MANOR_LEVEL!$A:$A,0)-1,0),0)</f>
        <v>94800</v>
      </c>
      <c r="AG75" s="56">
        <v>8</v>
      </c>
      <c r="AI75" s="56">
        <f t="shared" ca="1" si="9"/>
        <v>44350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44350.1</v>
      </c>
      <c r="AK75" s="182">
        <f t="shared" ca="1" si="19"/>
        <v>66550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0</v>
      </c>
      <c r="AR75" s="10">
        <v>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4400000</v>
      </c>
      <c r="AZ75" s="11">
        <f ca="1">IFERROR(OFFSET(ITEM_RES!$A$1,MATCH(BA75,ITEM_RES!$J:$J,0)-1,0),0)</f>
        <v>211020801</v>
      </c>
      <c r="BA75" s="10" t="s">
        <v>437</v>
      </c>
      <c r="BB75" s="11">
        <v>1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460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920</v>
      </c>
      <c r="N76" s="9" t="s">
        <v>940</v>
      </c>
      <c r="O76" s="9">
        <v>1</v>
      </c>
      <c r="P76" s="9">
        <v>15</v>
      </c>
      <c r="Q76" s="9" t="s">
        <v>1221</v>
      </c>
      <c r="U76" s="9" t="s">
        <v>690</v>
      </c>
      <c r="X76" s="9">
        <f ca="1">IFERROR(OFFSET(ITEM_RES!$A$5,MATCH(BUILDING!W76,ITEM_RES!$J$5:$J$226,0)-1,0),0)</f>
        <v>0</v>
      </c>
      <c r="Z76" s="84" t="s">
        <v>541</v>
      </c>
      <c r="AA76" s="9">
        <f ca="1">IFERROR(OFFSET(ITEM_RES!$A$5,MATCH(BUILDING!Z76,ITEM_RES!$J$5:$J$226,0)-1,0),0)</f>
        <v>211020101</v>
      </c>
      <c r="AC76" s="9" t="s">
        <v>511</v>
      </c>
      <c r="AD76" s="9">
        <v>12</v>
      </c>
      <c r="AF76" s="11">
        <f ca="1">IFERROR(OFFSET(MANOR_LEVEL!$B$1,MATCH(AG76-1,MANOR_LEVEL!$A:$A,0)-1,0),0)</f>
        <v>186400</v>
      </c>
      <c r="AG76" s="56">
        <v>9</v>
      </c>
      <c r="AI76" s="56">
        <f t="shared" ca="1" si="9"/>
        <v>52300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52300.1</v>
      </c>
      <c r="AK76" s="182">
        <f t="shared" ca="1" si="19"/>
        <v>96650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0</v>
      </c>
      <c r="AR76" s="10">
        <v>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5200000</v>
      </c>
      <c r="AZ76" s="11">
        <f ca="1">IFERROR(OFFSET(ITEM_RES!$A$1,MATCH(BA76,ITEM_RES!$J:$J,0)-1,0),0)</f>
        <v>211020801</v>
      </c>
      <c r="BA76" s="10" t="s">
        <v>437</v>
      </c>
      <c r="BB76" s="11">
        <v>1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920</v>
      </c>
      <c r="N77" s="9" t="s">
        <v>940</v>
      </c>
      <c r="O77" s="9">
        <v>1</v>
      </c>
      <c r="P77" s="9">
        <v>15</v>
      </c>
      <c r="Q77" s="9" t="s">
        <v>1221</v>
      </c>
      <c r="U77" s="9" t="s">
        <v>690</v>
      </c>
      <c r="X77" s="9">
        <f ca="1">IFERROR(OFFSET(ITEM_RES!$A$5,MATCH(BUILDING!W77,ITEM_RES!$J$5:$J$226,0)-1,0),0)</f>
        <v>0</v>
      </c>
      <c r="Z77" s="84" t="s">
        <v>541</v>
      </c>
      <c r="AA77" s="9">
        <f ca="1">IFERROR(OFFSET(ITEM_RES!$A$5,MATCH(BUILDING!Z77,ITEM_RES!$J$5:$J$226,0)-1,0),0)</f>
        <v>211020101</v>
      </c>
      <c r="AC77" s="9" t="s">
        <v>511</v>
      </c>
      <c r="AD77" s="9">
        <v>13</v>
      </c>
      <c r="AF77" s="11">
        <f ca="1">IFERROR(OFFSET(MANOR_LEVEL!$B$1,MATCH(AG77-1,MANOR_LEVEL!$A:$A,0)-1,0),0)</f>
        <v>311600</v>
      </c>
      <c r="AG77" s="56">
        <v>10</v>
      </c>
      <c r="AI77" s="56">
        <f t="shared" ca="1" si="9"/>
        <v>86350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86350.1</v>
      </c>
      <c r="AK77" s="182">
        <f t="shared" ca="1" si="19"/>
        <v>138650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0</v>
      </c>
      <c r="AR77" s="10">
        <v>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8600000</v>
      </c>
      <c r="AZ77" s="11">
        <f ca="1">IFERROR(OFFSET(ITEM_RES!$A$1,MATCH(BA77,ITEM_RES!$J:$J,0)-1,0),0)</f>
        <v>211020801</v>
      </c>
      <c r="BA77" s="10" t="s">
        <v>437</v>
      </c>
      <c r="BB77" s="11">
        <v>1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920</v>
      </c>
      <c r="N78" s="9" t="s">
        <v>940</v>
      </c>
      <c r="O78" s="9">
        <v>1</v>
      </c>
      <c r="P78" s="9">
        <v>15</v>
      </c>
      <c r="Q78" s="9" t="s">
        <v>1221</v>
      </c>
      <c r="U78" s="9" t="s">
        <v>690</v>
      </c>
      <c r="X78" s="9">
        <f ca="1">IFERROR(OFFSET(ITEM_RES!$A$5,MATCH(BUILDING!W78,ITEM_RES!$J$5:$J$226,0)-1,0),0)</f>
        <v>0</v>
      </c>
      <c r="Z78" s="84" t="s">
        <v>541</v>
      </c>
      <c r="AA78" s="9">
        <f ca="1">IFERROR(OFFSET(ITEM_RES!$A$5,MATCH(BUILDING!Z78,ITEM_RES!$J$5:$J$226,0)-1,0),0)</f>
        <v>211020101</v>
      </c>
      <c r="AC78" s="9" t="s">
        <v>511</v>
      </c>
      <c r="AD78" s="9">
        <v>14</v>
      </c>
      <c r="AF78" s="11">
        <f ca="1">IFERROR(OFFSET(MANOR_LEVEL!$B$1,MATCH(AG78-1,MANOR_LEVEL!$A:$A,0)-1,0),0)</f>
        <v>456800</v>
      </c>
      <c r="AG78" s="56">
        <v>11</v>
      </c>
      <c r="AI78" s="56">
        <f t="shared" ca="1" si="9"/>
        <v>264450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264450.2</v>
      </c>
      <c r="AK78" s="182">
        <f t="shared" ca="1" si="19"/>
        <v>350800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0</v>
      </c>
      <c r="AR78" s="10">
        <v>0</v>
      </c>
      <c r="AS78" s="56">
        <f t="shared" si="29"/>
        <v>2</v>
      </c>
      <c r="AU78" s="11">
        <f ca="1">IFERROR(OFFSET(ITEM_RES!$A$1,MATCH(AV78,ITEM_RES!$J:$J,0)-1,0),0)</f>
        <v>211010601</v>
      </c>
      <c r="AV78" s="10" t="s">
        <v>1189</v>
      </c>
      <c r="AW78" s="11">
        <v>13200000</v>
      </c>
      <c r="AZ78" s="11">
        <f ca="1">IFERROR(OFFSET(ITEM_RES!$A$1,MATCH(BA78,ITEM_RES!$J:$J,0)-1,0),0)</f>
        <v>211020901</v>
      </c>
      <c r="BA78" s="10" t="s">
        <v>445</v>
      </c>
      <c r="BB78" s="11">
        <v>1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920</v>
      </c>
      <c r="N79" s="9" t="s">
        <v>940</v>
      </c>
      <c r="O79" s="9">
        <v>1</v>
      </c>
      <c r="P79" s="9">
        <v>15</v>
      </c>
      <c r="Q79" s="9" t="s">
        <v>1221</v>
      </c>
      <c r="U79" s="9" t="s">
        <v>690</v>
      </c>
      <c r="X79" s="9">
        <f ca="1">IFERROR(OFFSET(ITEM_RES!$A$5,MATCH(BUILDING!W79,ITEM_RES!$J$5:$J$226,0)-1,0),0)</f>
        <v>0</v>
      </c>
      <c r="Z79" s="84" t="s">
        <v>541</v>
      </c>
      <c r="AA79" s="9">
        <f ca="1">IFERROR(OFFSET(ITEM_RES!$A$5,MATCH(BUILDING!Z79,ITEM_RES!$J$5:$J$226,0)-1,0),0)</f>
        <v>211020101</v>
      </c>
      <c r="AC79" s="9" t="s">
        <v>511</v>
      </c>
      <c r="AD79" s="9">
        <v>15</v>
      </c>
      <c r="AF79" s="11">
        <f ca="1">IFERROR(OFFSET(MANOR_LEVEL!$B$1,MATCH(AG79-1,MANOR_LEVEL!$A:$A,0)-1,0),0)</f>
        <v>796000</v>
      </c>
      <c r="AG79" s="56">
        <v>12</v>
      </c>
      <c r="AI79" s="56">
        <f t="shared" ca="1" si="9"/>
        <v>440550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440550.2</v>
      </c>
      <c r="AK79" s="182">
        <f t="shared" ca="1" si="19"/>
        <v>705000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0</v>
      </c>
      <c r="AR79" s="10">
        <v>0</v>
      </c>
      <c r="AS79" s="56">
        <f t="shared" si="29"/>
        <v>2</v>
      </c>
      <c r="AU79" s="11">
        <f ca="1">IFERROR(OFFSET(ITEM_RES!$A$1,MATCH(AV79,ITEM_RES!$J:$J,0)-1,0),0)</f>
        <v>211010601</v>
      </c>
      <c r="AV79" s="10" t="s">
        <v>1189</v>
      </c>
      <c r="AW79" s="11">
        <v>22000000</v>
      </c>
      <c r="AZ79" s="11">
        <f ca="1">IFERROR(OFFSET(ITEM_RES!$A$1,MATCH(BA79,ITEM_RES!$J:$J,0)-1,0),0)</f>
        <v>211020901</v>
      </c>
      <c r="BA79" s="10" t="s">
        <v>445</v>
      </c>
      <c r="BB79" s="11">
        <v>1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920</v>
      </c>
      <c r="N80" s="9" t="s">
        <v>940</v>
      </c>
      <c r="O80" s="9">
        <v>0</v>
      </c>
      <c r="P80" s="9">
        <v>15</v>
      </c>
      <c r="Q80" s="9" t="s">
        <v>1221</v>
      </c>
      <c r="U80" s="9" t="s">
        <v>690</v>
      </c>
      <c r="X80" s="9">
        <f ca="1">IFERROR(OFFSET(ITEM_RES!$A$5,MATCH(BUILDING!W80,ITEM_RES!$J$5:$J$226,0)-1,0),0)</f>
        <v>0</v>
      </c>
      <c r="Z80" s="84" t="s">
        <v>541</v>
      </c>
      <c r="AA80" s="9">
        <f ca="1">IFERROR(OFFSET(ITEM_RES!$A$5,MATCH(BUILDING!Z80,ITEM_RES!$J$5:$J$226,0)-1,0),0)</f>
        <v>211020101</v>
      </c>
      <c r="AC80" s="9" t="s">
        <v>511</v>
      </c>
      <c r="AD80" s="9">
        <v>16</v>
      </c>
      <c r="AF80" s="11">
        <f ca="1">IFERROR(OFFSET(MANOR_LEVEL!$B$1,MATCH(AG80-1,MANOR_LEVEL!$A:$A,0)-1,0),0)</f>
        <v>1156400</v>
      </c>
      <c r="AG80" s="56">
        <v>13</v>
      </c>
      <c r="AI80" s="56">
        <f t="shared" ca="1" si="9"/>
        <v>600700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600700.19999999995</v>
      </c>
      <c r="AK80" s="182">
        <f t="shared" ca="1" si="19"/>
        <v>1041250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0</v>
      </c>
      <c r="AR80" s="10">
        <v>0</v>
      </c>
      <c r="AS80" s="56">
        <f t="shared" si="29"/>
        <v>2</v>
      </c>
      <c r="AU80" s="11">
        <f ca="1">IFERROR(OFFSET(ITEM_RES!$A$1,MATCH(AV80,ITEM_RES!$J:$J,0)-1,0),0)</f>
        <v>211010601</v>
      </c>
      <c r="AV80" s="10" t="s">
        <v>1189</v>
      </c>
      <c r="AW80" s="11">
        <v>30000000</v>
      </c>
      <c r="AZ80" s="11">
        <f ca="1">IFERROR(OFFSET(ITEM_RES!$A$1,MATCH(BA80,ITEM_RES!$J:$J,0)-1,0),0)</f>
        <v>211020901</v>
      </c>
      <c r="BA80" s="10" t="s">
        <v>445</v>
      </c>
      <c r="BB80" s="11">
        <v>1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920</v>
      </c>
      <c r="N81" s="9" t="s">
        <v>940</v>
      </c>
      <c r="O81" s="9">
        <v>0</v>
      </c>
      <c r="P81" s="9">
        <v>15</v>
      </c>
      <c r="Q81" s="9" t="s">
        <v>1221</v>
      </c>
      <c r="U81" s="9" t="s">
        <v>690</v>
      </c>
      <c r="X81" s="9">
        <f ca="1">IFERROR(OFFSET(ITEM_RES!$A$5,MATCH(BUILDING!W81,ITEM_RES!$J$5:$J$226,0)-1,0),0)</f>
        <v>0</v>
      </c>
      <c r="Z81" s="84" t="s">
        <v>541</v>
      </c>
      <c r="AA81" s="9">
        <f ca="1">IFERROR(OFFSET(ITEM_RES!$A$5,MATCH(BUILDING!Z81,ITEM_RES!$J$5:$J$226,0)-1,0),0)</f>
        <v>211020101</v>
      </c>
      <c r="AC81" s="9" t="s">
        <v>511</v>
      </c>
      <c r="AD81" s="9">
        <v>17</v>
      </c>
      <c r="AF81" s="11">
        <f ca="1">IFERROR(OFFSET(MANOR_LEVEL!$B$1,MATCH(AG81-1,MANOR_LEVEL!$A:$A,0)-1,0),0)</f>
        <v>1661200</v>
      </c>
      <c r="AG81" s="56">
        <v>14</v>
      </c>
      <c r="AI81" s="56">
        <f t="shared" ca="1" si="9"/>
        <v>920850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920850.2</v>
      </c>
      <c r="AK81" s="182">
        <f t="shared" ca="1" si="19"/>
        <v>1521550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0</v>
      </c>
      <c r="AR81" s="10">
        <v>0</v>
      </c>
      <c r="AS81" s="56">
        <f t="shared" si="29"/>
        <v>2</v>
      </c>
      <c r="AU81" s="11">
        <f ca="1">IFERROR(OFFSET(ITEM_RES!$A$1,MATCH(AV81,ITEM_RES!$J:$J,0)-1,0),0)</f>
        <v>211010601</v>
      </c>
      <c r="AV81" s="10" t="s">
        <v>1189</v>
      </c>
      <c r="AW81" s="11">
        <v>46000000</v>
      </c>
      <c r="AZ81" s="11">
        <f ca="1">IFERROR(OFFSET(ITEM_RES!$A$1,MATCH(BA81,ITEM_RES!$J:$J,0)-1,0),0)</f>
        <v>211020901</v>
      </c>
      <c r="BA81" s="10" t="s">
        <v>445</v>
      </c>
      <c r="BB81" s="11">
        <v>1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920</v>
      </c>
      <c r="N82" s="9" t="s">
        <v>940</v>
      </c>
      <c r="O82" s="9">
        <v>0</v>
      </c>
      <c r="P82" s="9">
        <v>15</v>
      </c>
      <c r="Q82" s="9" t="s">
        <v>1221</v>
      </c>
      <c r="U82" s="9" t="s">
        <v>690</v>
      </c>
      <c r="X82" s="9">
        <f ca="1">IFERROR(OFFSET(ITEM_RES!$A$5,MATCH(BUILDING!W82,ITEM_RES!$J$5:$J$226,0)-1,0),0)</f>
        <v>0</v>
      </c>
      <c r="Z82" s="84" t="s">
        <v>541</v>
      </c>
      <c r="AA82" s="9">
        <f ca="1">IFERROR(OFFSET(ITEM_RES!$A$5,MATCH(BUILDING!Z82,ITEM_RES!$J$5:$J$226,0)-1,0),0)</f>
        <v>211020101</v>
      </c>
      <c r="AC82" s="9" t="s">
        <v>511</v>
      </c>
      <c r="AD82" s="9">
        <v>18</v>
      </c>
      <c r="AF82" s="11">
        <f ca="1">IFERROR(OFFSET(MANOR_LEVEL!$B$1,MATCH(AG82-1,MANOR_LEVEL!$A:$A,0)-1,0),0)</f>
        <v>2622400</v>
      </c>
      <c r="AG82" s="56">
        <v>15</v>
      </c>
      <c r="AI82" s="56">
        <f t="shared" ca="1" si="9"/>
        <v>1401050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1401050.2</v>
      </c>
      <c r="AK82" s="182">
        <f t="shared" ca="1" si="19"/>
        <v>2321900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0</v>
      </c>
      <c r="AR82" s="10">
        <v>0</v>
      </c>
      <c r="AS82" s="56">
        <f t="shared" si="29"/>
        <v>2</v>
      </c>
      <c r="AU82" s="11">
        <f ca="1">IFERROR(OFFSET(ITEM_RES!$A$1,MATCH(AV82,ITEM_RES!$J:$J,0)-1,0),0)</f>
        <v>211010601</v>
      </c>
      <c r="AV82" s="10" t="s">
        <v>1189</v>
      </c>
      <c r="AW82" s="11">
        <v>70000000</v>
      </c>
      <c r="AZ82" s="11">
        <f ca="1">IFERROR(OFFSET(ITEM_RES!$A$1,MATCH(BA82,ITEM_RES!$J:$J,0)-1,0),0)</f>
        <v>211020901</v>
      </c>
      <c r="BA82" s="10" t="s">
        <v>445</v>
      </c>
      <c r="BB82" s="11">
        <v>1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920</v>
      </c>
      <c r="N83" s="9" t="s">
        <v>940</v>
      </c>
      <c r="O83" s="9">
        <v>0</v>
      </c>
      <c r="P83" s="9">
        <v>15</v>
      </c>
      <c r="Q83" s="9" t="s">
        <v>1221</v>
      </c>
      <c r="U83" s="9" t="s">
        <v>690</v>
      </c>
      <c r="X83" s="9">
        <f ca="1">IFERROR(OFFSET(ITEM_RES!$A$5,MATCH(BUILDING!W83,ITEM_RES!$J$5:$J$226,0)-1,0),0)</f>
        <v>0</v>
      </c>
      <c r="Z83" s="84" t="s">
        <v>541</v>
      </c>
      <c r="AA83" s="9">
        <f ca="1">IFERROR(OFFSET(ITEM_RES!$A$5,MATCH(BUILDING!Z83,ITEM_RES!$J$5:$J$226,0)-1,0),0)</f>
        <v>211020101</v>
      </c>
      <c r="AC83" s="9" t="s">
        <v>511</v>
      </c>
      <c r="AD83" s="9">
        <v>19</v>
      </c>
      <c r="AF83" s="11">
        <f ca="1">IFERROR(OFFSET(MANOR_LEVEL!$B$1,MATCH(AG83-1,MANOR_LEVEL!$A:$A,0)-1,0),0)</f>
        <v>4232000</v>
      </c>
      <c r="AG83" s="56">
        <v>16</v>
      </c>
      <c r="AI83" s="56">
        <f t="shared" ca="1" si="9"/>
        <v>1921250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1921250.2</v>
      </c>
      <c r="AK83" s="182">
        <f t="shared" ca="1" si="19"/>
        <v>3322300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0</v>
      </c>
      <c r="AR83" s="10">
        <v>0</v>
      </c>
      <c r="AS83" s="56">
        <f t="shared" si="29"/>
        <v>2</v>
      </c>
      <c r="AU83" s="11">
        <f ca="1">IFERROR(OFFSET(ITEM_RES!$A$1,MATCH(AV83,ITEM_RES!$J:$J,0)-1,0),0)</f>
        <v>211010601</v>
      </c>
      <c r="AV83" s="10" t="s">
        <v>1189</v>
      </c>
      <c r="AW83" s="11">
        <v>96000000</v>
      </c>
      <c r="AZ83" s="11">
        <f ca="1">IFERROR(OFFSET(ITEM_RES!$A$1,MATCH(BA83,ITEM_RES!$J:$J,0)-1,0),0)</f>
        <v>211020901</v>
      </c>
      <c r="BA83" s="10" t="s">
        <v>445</v>
      </c>
      <c r="BB83" s="11">
        <v>1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920</v>
      </c>
      <c r="N84" s="9" t="s">
        <v>940</v>
      </c>
      <c r="O84" s="9">
        <v>0</v>
      </c>
      <c r="P84" s="9">
        <v>15</v>
      </c>
      <c r="Q84" s="9" t="s">
        <v>1221</v>
      </c>
      <c r="U84" s="9" t="s">
        <v>690</v>
      </c>
      <c r="X84" s="9">
        <f ca="1">IFERROR(OFFSET(ITEM_RES!$A$5,MATCH(BUILDING!W84,ITEM_RES!$J$5:$J$226,0)-1,0),0)</f>
        <v>0</v>
      </c>
      <c r="Z84" s="84" t="s">
        <v>541</v>
      </c>
      <c r="AA84" s="9">
        <f ca="1">IFERROR(OFFSET(ITEM_RES!$A$5,MATCH(BUILDING!Z84,ITEM_RES!$J$5:$J$226,0)-1,0),0)</f>
        <v>211020101</v>
      </c>
      <c r="AC84" s="9" t="s">
        <v>511</v>
      </c>
      <c r="AD84" s="9">
        <v>20</v>
      </c>
      <c r="AF84" s="11">
        <f ca="1">IFERROR(OFFSET(MANOR_LEVEL!$B$1,MATCH(AG84-1,MANOR_LEVEL!$A:$A,0)-1,0),0)</f>
        <v>7450000</v>
      </c>
      <c r="AG84" s="56">
        <v>17</v>
      </c>
      <c r="AI84" s="56">
        <f t="shared" ca="1" si="9"/>
        <v>3041500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3041500.2</v>
      </c>
      <c r="AK84" s="182">
        <f t="shared" ca="1" si="19"/>
        <v>4962750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0</v>
      </c>
      <c r="AR84" s="10">
        <v>0</v>
      </c>
      <c r="AS84" s="56">
        <f t="shared" si="29"/>
        <v>2</v>
      </c>
      <c r="AU84" s="11">
        <f ca="1">IFERROR(OFFSET(ITEM_RES!$A$1,MATCH(AV84,ITEM_RES!$J:$J,0)-1,0),0)</f>
        <v>211010601</v>
      </c>
      <c r="AV84" s="10" t="s">
        <v>1189</v>
      </c>
      <c r="AW84" s="11">
        <v>152000000</v>
      </c>
      <c r="AZ84" s="11">
        <f ca="1">IFERROR(OFFSET(ITEM_RES!$A$1,MATCH(BA84,ITEM_RES!$J:$J,0)-1,0),0)</f>
        <v>211020901</v>
      </c>
      <c r="BA84" s="10" t="s">
        <v>445</v>
      </c>
      <c r="BB84" s="11">
        <v>1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66" t="s">
        <v>921</v>
      </c>
      <c r="N85" s="66" t="s">
        <v>941</v>
      </c>
      <c r="O85" s="16">
        <v>1</v>
      </c>
      <c r="P85" s="16">
        <v>15</v>
      </c>
      <c r="Q85" s="16" t="s">
        <v>768</v>
      </c>
      <c r="R85" s="17"/>
      <c r="S85" s="17"/>
      <c r="T85" s="18"/>
      <c r="U85" s="16" t="s">
        <v>712</v>
      </c>
      <c r="V85" s="78"/>
      <c r="W85" s="86" t="s">
        <v>543</v>
      </c>
      <c r="X85" s="16">
        <f ca="1">IFERROR(OFFSET(ITEM_RES!$A$5,MATCH(BUILDING!W85,ITEM_RES!$J$5:$J$226,0)-1,0),0)</f>
        <v>211021101</v>
      </c>
      <c r="Y85" s="18">
        <v>100</v>
      </c>
      <c r="Z85" s="86" t="s">
        <v>542</v>
      </c>
      <c r="AA85" s="16">
        <f ca="1">IFERROR(OFFSET(ITEM_RES!$A$5,MATCH(BUILDING!Z85,ITEM_RES!$J$5:$J$226,0)-1,0),0)</f>
        <v>211010401</v>
      </c>
      <c r="AB85" s="78"/>
      <c r="AC85" s="16" t="s">
        <v>512</v>
      </c>
      <c r="AD85" s="16">
        <v>1</v>
      </c>
      <c r="AE85" s="78"/>
      <c r="AF85" s="18">
        <f ca="1">IFERROR(OFFSET(MANOR_LEVEL!$B$1,MATCH(AG85-1,MANOR_LEVEL!$A:$A,0)-1,0),0)</f>
        <v>796000</v>
      </c>
      <c r="AG85" s="57">
        <v>12</v>
      </c>
      <c r="AH85" s="78"/>
      <c r="AI85" s="57">
        <f t="shared" ca="1" si="9"/>
        <v>105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105.21</v>
      </c>
      <c r="AK85" s="184">
        <f ca="1">AI85</f>
        <v>105</v>
      </c>
      <c r="AL85" s="78"/>
      <c r="AM85" s="18">
        <f t="shared" si="24"/>
        <v>5</v>
      </c>
      <c r="AN85" s="17">
        <v>5</v>
      </c>
      <c r="AO85" s="18">
        <f t="shared" si="6"/>
        <v>5</v>
      </c>
      <c r="AP85" s="17">
        <v>5</v>
      </c>
      <c r="AQ85" s="18">
        <f t="shared" si="6"/>
        <v>0</v>
      </c>
      <c r="AR85" s="17">
        <v>0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20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1</v>
      </c>
      <c r="BC85" s="17"/>
      <c r="BD85" s="18"/>
      <c r="BE85" s="18">
        <f ca="1">IFERROR(OFFSET(ITEM_RES!$A$1,MATCH(BF85,ITEM_RES!$J:$J,0)-1,0),0)</f>
        <v>213010101</v>
      </c>
      <c r="BF85" s="17" t="s">
        <v>452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921</v>
      </c>
      <c r="N86" s="9" t="s">
        <v>941</v>
      </c>
      <c r="O86" s="9">
        <v>1</v>
      </c>
      <c r="P86" s="9">
        <v>15</v>
      </c>
      <c r="Q86" s="9" t="s">
        <v>768</v>
      </c>
      <c r="U86" s="9" t="s">
        <v>712</v>
      </c>
      <c r="W86" s="84" t="s">
        <v>543</v>
      </c>
      <c r="X86" s="9">
        <f ca="1">IFERROR(OFFSET(ITEM_RES!$A$5,MATCH(BUILDING!W86,ITEM_RES!$J$5:$J$226,0)-1,0),0)</f>
        <v>211021101</v>
      </c>
      <c r="Y86" s="11">
        <v>100</v>
      </c>
      <c r="Z86" s="84" t="s">
        <v>542</v>
      </c>
      <c r="AA86" s="9">
        <f ca="1">IFERROR(OFFSET(ITEM_RES!$A$5,MATCH(BUILDING!Z86,ITEM_RES!$J$5:$J$226,0)-1,0),0)</f>
        <v>211010401</v>
      </c>
      <c r="AC86" s="9" t="s">
        <v>512</v>
      </c>
      <c r="AD86" s="9">
        <v>2</v>
      </c>
      <c r="AF86" s="11">
        <f ca="1">IFERROR(OFFSET(MANOR_LEVEL!$B$1,MATCH(AG86-1,MANOR_LEVEL!$A:$A,0)-1,0),0)</f>
        <v>796000</v>
      </c>
      <c r="AG86" s="56">
        <v>12</v>
      </c>
      <c r="AI86" s="56">
        <f t="shared" ca="1" si="9"/>
        <v>10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10.210000000000001</v>
      </c>
      <c r="AK86" s="182">
        <f ca="1">AI85+AI86</f>
        <v>115</v>
      </c>
      <c r="AM86" s="11">
        <f t="shared" si="24"/>
        <v>10</v>
      </c>
      <c r="AN86" s="10">
        <v>10</v>
      </c>
      <c r="AO86" s="11">
        <f t="shared" si="6"/>
        <v>10</v>
      </c>
      <c r="AP86" s="10">
        <v>10</v>
      </c>
      <c r="AQ86" s="11">
        <f t="shared" si="6"/>
        <v>0</v>
      </c>
      <c r="AR86" s="10">
        <v>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20</v>
      </c>
      <c r="AZ86" s="11">
        <f ca="1">IFERROR(OFFSET(ITEM_RES!$A$1,MATCH(BA86,ITEM_RES!$J:$J,0)-1,0),0)</f>
        <v>211020401</v>
      </c>
      <c r="BA86" s="10" t="s">
        <v>436</v>
      </c>
      <c r="BB86" s="11">
        <v>1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921</v>
      </c>
      <c r="N87" s="9" t="s">
        <v>941</v>
      </c>
      <c r="O87" s="9">
        <v>1</v>
      </c>
      <c r="P87" s="9">
        <v>15</v>
      </c>
      <c r="Q87" s="9" t="s">
        <v>768</v>
      </c>
      <c r="U87" s="9" t="s">
        <v>712</v>
      </c>
      <c r="W87" s="84" t="s">
        <v>543</v>
      </c>
      <c r="X87" s="9">
        <f ca="1">IFERROR(OFFSET(ITEM_RES!$A$5,MATCH(BUILDING!W87,ITEM_RES!$J$5:$J$226,0)-1,0),0)</f>
        <v>211021101</v>
      </c>
      <c r="Y87" s="11">
        <v>100</v>
      </c>
      <c r="Z87" s="84" t="s">
        <v>542</v>
      </c>
      <c r="AA87" s="9">
        <f ca="1">IFERROR(OFFSET(ITEM_RES!$A$5,MATCH(BUILDING!Z87,ITEM_RES!$J$5:$J$226,0)-1,0),0)</f>
        <v>211010401</v>
      </c>
      <c r="AC87" s="9" t="s">
        <v>512</v>
      </c>
      <c r="AD87" s="9">
        <v>3</v>
      </c>
      <c r="AF87" s="11">
        <f ca="1">IFERROR(OFFSET(MANOR_LEVEL!$B$1,MATCH(AG87-1,MANOR_LEVEL!$A:$A,0)-1,0),0)</f>
        <v>796000</v>
      </c>
      <c r="AG87" s="56">
        <v>12</v>
      </c>
      <c r="AI87" s="56">
        <f t="shared" ca="1" si="9"/>
        <v>17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16.61</v>
      </c>
      <c r="AK87" s="182">
        <f t="shared" ref="AK87:AK104" ca="1" si="58">AI86+AI87</f>
        <v>27</v>
      </c>
      <c r="AM87" s="11">
        <f t="shared" si="24"/>
        <v>15</v>
      </c>
      <c r="AN87" s="10">
        <v>15</v>
      </c>
      <c r="AO87" s="11">
        <f t="shared" si="6"/>
        <v>15</v>
      </c>
      <c r="AP87" s="10">
        <v>15</v>
      </c>
      <c r="AQ87" s="11">
        <f t="shared" si="6"/>
        <v>0</v>
      </c>
      <c r="AR87" s="10">
        <v>0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160</v>
      </c>
      <c r="AZ87" s="11">
        <f ca="1">IFERROR(OFFSET(ITEM_RES!$A$1,MATCH(BA87,ITEM_RES!$J:$J,0)-1,0),0)</f>
        <v>211020401</v>
      </c>
      <c r="BA87" s="10" t="s">
        <v>436</v>
      </c>
      <c r="BB87" s="11">
        <v>1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921</v>
      </c>
      <c r="N88" s="9" t="s">
        <v>941</v>
      </c>
      <c r="O88" s="9">
        <v>1</v>
      </c>
      <c r="P88" s="9">
        <v>15</v>
      </c>
      <c r="Q88" s="9" t="s">
        <v>768</v>
      </c>
      <c r="U88" s="9" t="s">
        <v>712</v>
      </c>
      <c r="W88" s="84" t="s">
        <v>543</v>
      </c>
      <c r="X88" s="9">
        <f ca="1">IFERROR(OFFSET(ITEM_RES!$A$5,MATCH(BUILDING!W88,ITEM_RES!$J$5:$J$226,0)-1,0),0)</f>
        <v>211021101</v>
      </c>
      <c r="Y88" s="11">
        <v>100</v>
      </c>
      <c r="Z88" s="84" t="s">
        <v>542</v>
      </c>
      <c r="AA88" s="9">
        <f ca="1">IFERROR(OFFSET(ITEM_RES!$A$5,MATCH(BUILDING!Z88,ITEM_RES!$J$5:$J$226,0)-1,0),0)</f>
        <v>211010401</v>
      </c>
      <c r="AC88" s="9" t="s">
        <v>512</v>
      </c>
      <c r="AD88" s="9">
        <v>4</v>
      </c>
      <c r="AF88" s="11">
        <f ca="1">IFERROR(OFFSET(MANOR_LEVEL!$B$1,MATCH(AG88-1,MANOR_LEVEL!$A:$A,0)-1,0),0)</f>
        <v>796000</v>
      </c>
      <c r="AG88" s="56">
        <v>12</v>
      </c>
      <c r="AI88" s="56">
        <f t="shared" ca="1" si="9"/>
        <v>44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44.21</v>
      </c>
      <c r="AK88" s="182">
        <f t="shared" ca="1" si="58"/>
        <v>61</v>
      </c>
      <c r="AM88" s="11">
        <f t="shared" si="24"/>
        <v>20</v>
      </c>
      <c r="AN88" s="10">
        <v>20</v>
      </c>
      <c r="AO88" s="11">
        <f t="shared" si="6"/>
        <v>25</v>
      </c>
      <c r="AP88" s="10">
        <v>25</v>
      </c>
      <c r="AQ88" s="11">
        <f t="shared" si="6"/>
        <v>0</v>
      </c>
      <c r="AR88" s="10">
        <v>0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1920</v>
      </c>
      <c r="AZ88" s="11">
        <f ca="1">IFERROR(OFFSET(ITEM_RES!$A$1,MATCH(BA88,ITEM_RES!$J:$J,0)-1,0),0)</f>
        <v>211020401</v>
      </c>
      <c r="BA88" s="10" t="s">
        <v>436</v>
      </c>
      <c r="BB88" s="11">
        <v>1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921</v>
      </c>
      <c r="N89" s="9" t="s">
        <v>941</v>
      </c>
      <c r="O89" s="9">
        <v>1</v>
      </c>
      <c r="P89" s="9">
        <v>15</v>
      </c>
      <c r="Q89" s="9" t="s">
        <v>768</v>
      </c>
      <c r="U89" s="9" t="s">
        <v>712</v>
      </c>
      <c r="W89" s="84" t="s">
        <v>543</v>
      </c>
      <c r="X89" s="9">
        <f ca="1">IFERROR(OFFSET(ITEM_RES!$A$5,MATCH(BUILDING!W89,ITEM_RES!$J$5:$J$226,0)-1,0),0)</f>
        <v>211021101</v>
      </c>
      <c r="Y89" s="11">
        <v>100</v>
      </c>
      <c r="Z89" s="84" t="s">
        <v>542</v>
      </c>
      <c r="AA89" s="9">
        <f ca="1">IFERROR(OFFSET(ITEM_RES!$A$5,MATCH(BUILDING!Z89,ITEM_RES!$J$5:$J$226,0)-1,0),0)</f>
        <v>211010401</v>
      </c>
      <c r="AC89" s="9" t="s">
        <v>512</v>
      </c>
      <c r="AD89" s="9">
        <v>5</v>
      </c>
      <c r="AF89" s="11">
        <f ca="1">IFERROR(OFFSET(MANOR_LEVEL!$B$1,MATCH(AG89-1,MANOR_LEVEL!$A:$A,0)-1,0),0)</f>
        <v>796000</v>
      </c>
      <c r="AG89" s="56">
        <v>12</v>
      </c>
      <c r="AI89" s="56">
        <f t="shared" ca="1" si="9"/>
        <v>300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300.01</v>
      </c>
      <c r="AK89" s="182">
        <f t="shared" ca="1" si="58"/>
        <v>344</v>
      </c>
      <c r="AM89" s="11">
        <f t="shared" si="24"/>
        <v>25</v>
      </c>
      <c r="AN89" s="10">
        <v>25</v>
      </c>
      <c r="AO89" s="11">
        <f t="shared" si="6"/>
        <v>40</v>
      </c>
      <c r="AP89" s="10">
        <v>40</v>
      </c>
      <c r="AQ89" s="11">
        <f t="shared" si="6"/>
        <v>0</v>
      </c>
      <c r="AR89" s="10">
        <v>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26000</v>
      </c>
      <c r="AZ89" s="11">
        <f ca="1">IFERROR(OFFSET(ITEM_RES!$A$1,MATCH(BA89,ITEM_RES!$J:$J,0)-1,0),0)</f>
        <v>211020401</v>
      </c>
      <c r="BA89" s="10" t="s">
        <v>436</v>
      </c>
      <c r="BB89" s="11">
        <v>1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921</v>
      </c>
      <c r="N90" s="9" t="s">
        <v>941</v>
      </c>
      <c r="O90" s="9">
        <v>1</v>
      </c>
      <c r="P90" s="9">
        <v>15</v>
      </c>
      <c r="Q90" s="9" t="s">
        <v>768</v>
      </c>
      <c r="U90" s="9" t="s">
        <v>712</v>
      </c>
      <c r="W90" s="84" t="s">
        <v>543</v>
      </c>
      <c r="X90" s="9">
        <f ca="1">IFERROR(OFFSET(ITEM_RES!$A$5,MATCH(BUILDING!W90,ITEM_RES!$J$5:$J$226,0)-1,0),0)</f>
        <v>211021101</v>
      </c>
      <c r="Y90" s="11">
        <v>100</v>
      </c>
      <c r="Z90" s="84" t="s">
        <v>542</v>
      </c>
      <c r="AA90" s="9">
        <f ca="1">IFERROR(OFFSET(ITEM_RES!$A$5,MATCH(BUILDING!Z90,ITEM_RES!$J$5:$J$226,0)-1,0),0)</f>
        <v>211010401</v>
      </c>
      <c r="AC90" s="9" t="s">
        <v>512</v>
      </c>
      <c r="AD90" s="9">
        <v>6</v>
      </c>
      <c r="AF90" s="11">
        <f ca="1">IFERROR(OFFSET(MANOR_LEVEL!$B$1,MATCH(AG90-1,MANOR_LEVEL!$A:$A,0)-1,0),0)</f>
        <v>796000</v>
      </c>
      <c r="AG90" s="56">
        <v>12</v>
      </c>
      <c r="AI90" s="56">
        <f t="shared" ref="AI90:AI153" ca="1" si="63">ROUND(AJ90,0)</f>
        <v>2450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2450.0100000000002</v>
      </c>
      <c r="AK90" s="182">
        <f t="shared" ca="1" si="58"/>
        <v>2750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0</v>
      </c>
      <c r="AR90" s="10">
        <v>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240000</v>
      </c>
      <c r="AZ90" s="11">
        <f ca="1">IFERROR(OFFSET(ITEM_RES!$A$1,MATCH(BA90,ITEM_RES!$J:$J,0)-1,0),0)</f>
        <v>211020401</v>
      </c>
      <c r="BA90" s="10" t="s">
        <v>436</v>
      </c>
      <c r="BB90" s="11">
        <v>1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921</v>
      </c>
      <c r="N91" s="9" t="s">
        <v>941</v>
      </c>
      <c r="O91" s="9">
        <v>1</v>
      </c>
      <c r="P91" s="9">
        <v>15</v>
      </c>
      <c r="Q91" s="9" t="s">
        <v>768</v>
      </c>
      <c r="U91" s="9" t="s">
        <v>712</v>
      </c>
      <c r="W91" s="84" t="s">
        <v>543</v>
      </c>
      <c r="X91" s="9">
        <f ca="1">IFERROR(OFFSET(ITEM_RES!$A$5,MATCH(BUILDING!W91,ITEM_RES!$J$5:$J$226,0)-1,0),0)</f>
        <v>211021101</v>
      </c>
      <c r="Y91" s="11">
        <v>100</v>
      </c>
      <c r="Z91" s="84" t="s">
        <v>542</v>
      </c>
      <c r="AA91" s="9">
        <f ca="1">IFERROR(OFFSET(ITEM_RES!$A$5,MATCH(BUILDING!Z91,ITEM_RES!$J$5:$J$226,0)-1,0),0)</f>
        <v>211010401</v>
      </c>
      <c r="AC91" s="9" t="s">
        <v>512</v>
      </c>
      <c r="AD91" s="9">
        <v>7</v>
      </c>
      <c r="AF91" s="11">
        <f ca="1">IFERROR(OFFSET(MANOR_LEVEL!$B$1,MATCH(AG91-1,MANOR_LEVEL!$A:$A,0)-1,0),0)</f>
        <v>796000</v>
      </c>
      <c r="AG91" s="56">
        <v>12</v>
      </c>
      <c r="AI91" s="56">
        <f t="shared" ca="1" si="63"/>
        <v>108100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108100.01</v>
      </c>
      <c r="AK91" s="182">
        <f t="shared" ca="1" si="58"/>
        <v>110550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0</v>
      </c>
      <c r="AR91" s="10">
        <v>0</v>
      </c>
      <c r="AS91" s="56">
        <f t="shared" si="29"/>
        <v>2</v>
      </c>
      <c r="AU91" s="11">
        <f ca="1">IFERROR(OFFSET(ITEM_RES!$A$1,MATCH(AV91,ITEM_RES!$J:$J,0)-1,0),0)</f>
        <v>211020301</v>
      </c>
      <c r="AV91" s="10" t="s">
        <v>394</v>
      </c>
      <c r="AW91" s="11">
        <v>540000</v>
      </c>
      <c r="AZ91" s="11">
        <f ca="1">IFERROR(OFFSET(ITEM_RES!$A$1,MATCH(BA91,ITEM_RES!$J:$J,0)-1,0),0)</f>
        <v>211020401</v>
      </c>
      <c r="BA91" s="10" t="s">
        <v>436</v>
      </c>
      <c r="BB91" s="11">
        <v>1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921</v>
      </c>
      <c r="N92" s="9" t="s">
        <v>941</v>
      </c>
      <c r="O92" s="9">
        <v>1</v>
      </c>
      <c r="P92" s="9">
        <v>15</v>
      </c>
      <c r="Q92" s="9" t="s">
        <v>768</v>
      </c>
      <c r="U92" s="9" t="s">
        <v>712</v>
      </c>
      <c r="W92" s="84" t="s">
        <v>543</v>
      </c>
      <c r="X92" s="9">
        <f ca="1">IFERROR(OFFSET(ITEM_RES!$A$5,MATCH(BUILDING!W92,ITEM_RES!$J$5:$J$226,0)-1,0),0)</f>
        <v>211021101</v>
      </c>
      <c r="Y92" s="11">
        <v>100</v>
      </c>
      <c r="Z92" s="84" t="s">
        <v>542</v>
      </c>
      <c r="AA92" s="9">
        <f ca="1">IFERROR(OFFSET(ITEM_RES!$A$5,MATCH(BUILDING!Z92,ITEM_RES!$J$5:$J$226,0)-1,0),0)</f>
        <v>211010401</v>
      </c>
      <c r="AC92" s="9" t="s">
        <v>512</v>
      </c>
      <c r="AD92" s="9">
        <v>8</v>
      </c>
      <c r="AF92" s="11">
        <f ca="1">IFERROR(OFFSET(MANOR_LEVEL!$B$1,MATCH(AG92-1,MANOR_LEVEL!$A:$A,0)-1,0),0)</f>
        <v>796000</v>
      </c>
      <c r="AG92" s="56">
        <v>12</v>
      </c>
      <c r="AI92" s="56">
        <f t="shared" ca="1" si="63"/>
        <v>200100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200100.01</v>
      </c>
      <c r="AK92" s="182">
        <f t="shared" ca="1" si="58"/>
        <v>308200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0</v>
      </c>
      <c r="AR92" s="10">
        <v>0</v>
      </c>
      <c r="AS92" s="56">
        <f t="shared" si="29"/>
        <v>2</v>
      </c>
      <c r="AU92" s="11">
        <f ca="1">IFERROR(OFFSET(ITEM_RES!$A$1,MATCH(AV92,ITEM_RES!$J:$J,0)-1,0),0)</f>
        <v>211020301</v>
      </c>
      <c r="AV92" s="10" t="s">
        <v>394</v>
      </c>
      <c r="AW92" s="11">
        <v>1000000</v>
      </c>
      <c r="AZ92" s="11">
        <f ca="1">IFERROR(OFFSET(ITEM_RES!$A$1,MATCH(BA92,ITEM_RES!$J:$J,0)-1,0),0)</f>
        <v>211020401</v>
      </c>
      <c r="BA92" s="10" t="s">
        <v>436</v>
      </c>
      <c r="BB92" s="11">
        <v>1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921</v>
      </c>
      <c r="N93" s="9" t="s">
        <v>941</v>
      </c>
      <c r="O93" s="9">
        <v>1</v>
      </c>
      <c r="P93" s="9">
        <v>15</v>
      </c>
      <c r="Q93" s="9" t="s">
        <v>768</v>
      </c>
      <c r="U93" s="9" t="s">
        <v>712</v>
      </c>
      <c r="W93" s="84" t="s">
        <v>543</v>
      </c>
      <c r="X93" s="9">
        <f ca="1">IFERROR(OFFSET(ITEM_RES!$A$5,MATCH(BUILDING!W93,ITEM_RES!$J$5:$J$226,0)-1,0),0)</f>
        <v>211021101</v>
      </c>
      <c r="Y93" s="11">
        <v>100</v>
      </c>
      <c r="Z93" s="84" t="s">
        <v>542</v>
      </c>
      <c r="AA93" s="9">
        <f ca="1">IFERROR(OFFSET(ITEM_RES!$A$5,MATCH(BUILDING!Z93,ITEM_RES!$J$5:$J$226,0)-1,0),0)</f>
        <v>211010401</v>
      </c>
      <c r="AC93" s="9" t="s">
        <v>512</v>
      </c>
      <c r="AD93" s="9">
        <v>9</v>
      </c>
      <c r="AF93" s="11">
        <f ca="1">IFERROR(OFFSET(MANOR_LEVEL!$B$1,MATCH(AG93-1,MANOR_LEVEL!$A:$A,0)-1,0),0)</f>
        <v>796000</v>
      </c>
      <c r="AG93" s="56">
        <v>12</v>
      </c>
      <c r="AI93" s="56">
        <f t="shared" ca="1" si="63"/>
        <v>316150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316150.01</v>
      </c>
      <c r="AK93" s="182">
        <f t="shared" ca="1" si="58"/>
        <v>516250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0</v>
      </c>
      <c r="AR93" s="10">
        <v>0</v>
      </c>
      <c r="AS93" s="56">
        <f t="shared" si="29"/>
        <v>2</v>
      </c>
      <c r="AU93" s="11">
        <f ca="1">IFERROR(OFFSET(ITEM_RES!$A$1,MATCH(AV93,ITEM_RES!$J:$J,0)-1,0),0)</f>
        <v>211020301</v>
      </c>
      <c r="AV93" s="10" t="s">
        <v>394</v>
      </c>
      <c r="AW93" s="11">
        <v>1580000</v>
      </c>
      <c r="AZ93" s="11">
        <f ca="1">IFERROR(OFFSET(ITEM_RES!$A$1,MATCH(BA93,ITEM_RES!$J:$J,0)-1,0),0)</f>
        <v>211020401</v>
      </c>
      <c r="BA93" s="10" t="s">
        <v>436</v>
      </c>
      <c r="BB93" s="11">
        <v>1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921</v>
      </c>
      <c r="N94" s="9" t="s">
        <v>941</v>
      </c>
      <c r="O94" s="9">
        <v>1</v>
      </c>
      <c r="P94" s="9">
        <v>15</v>
      </c>
      <c r="Q94" s="9" t="s">
        <v>768</v>
      </c>
      <c r="U94" s="9" t="s">
        <v>712</v>
      </c>
      <c r="W94" s="84" t="s">
        <v>543</v>
      </c>
      <c r="X94" s="9">
        <f ca="1">IFERROR(OFFSET(ITEM_RES!$A$5,MATCH(BUILDING!W94,ITEM_RES!$J$5:$J$226,0)-1,0),0)</f>
        <v>211021101</v>
      </c>
      <c r="Y94" s="11">
        <v>100</v>
      </c>
      <c r="Z94" s="84" t="s">
        <v>542</v>
      </c>
      <c r="AA94" s="9">
        <f ca="1">IFERROR(OFFSET(ITEM_RES!$A$5,MATCH(BUILDING!Z94,ITEM_RES!$J$5:$J$226,0)-1,0),0)</f>
        <v>211010401</v>
      </c>
      <c r="AC94" s="9" t="s">
        <v>512</v>
      </c>
      <c r="AD94" s="9">
        <v>10</v>
      </c>
      <c r="AF94" s="11">
        <f ca="1">IFERROR(OFFSET(MANOR_LEVEL!$B$1,MATCH(AG94-1,MANOR_LEVEL!$A:$A,0)-1,0),0)</f>
        <v>796000</v>
      </c>
      <c r="AG94" s="56">
        <v>12</v>
      </c>
      <c r="AI94" s="56">
        <f t="shared" ca="1" si="63"/>
        <v>440200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440200.01</v>
      </c>
      <c r="AK94" s="182">
        <f t="shared" ca="1" si="58"/>
        <v>756350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0</v>
      </c>
      <c r="AR94" s="10">
        <v>0</v>
      </c>
      <c r="AS94" s="56">
        <f t="shared" si="29"/>
        <v>2</v>
      </c>
      <c r="AU94" s="11">
        <f ca="1">IFERROR(OFFSET(ITEM_RES!$A$1,MATCH(AV94,ITEM_RES!$J:$J,0)-1,0),0)</f>
        <v>211020301</v>
      </c>
      <c r="AV94" s="10" t="s">
        <v>394</v>
      </c>
      <c r="AW94" s="11">
        <v>2200000</v>
      </c>
      <c r="AZ94" s="11">
        <f ca="1">IFERROR(OFFSET(ITEM_RES!$A$1,MATCH(BA94,ITEM_RES!$J:$J,0)-1,0),0)</f>
        <v>211020401</v>
      </c>
      <c r="BA94" s="10" t="s">
        <v>436</v>
      </c>
      <c r="BB94" s="11">
        <v>1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921</v>
      </c>
      <c r="N95" s="9" t="s">
        <v>941</v>
      </c>
      <c r="O95" s="9">
        <v>1</v>
      </c>
      <c r="P95" s="9">
        <v>15</v>
      </c>
      <c r="Q95" s="9" t="s">
        <v>768</v>
      </c>
      <c r="U95" s="9" t="s">
        <v>712</v>
      </c>
      <c r="W95" s="84" t="s">
        <v>543</v>
      </c>
      <c r="X95" s="9">
        <f ca="1">IFERROR(OFFSET(ITEM_RES!$A$5,MATCH(BUILDING!W95,ITEM_RES!$J$5:$J$226,0)-1,0),0)</f>
        <v>211021101</v>
      </c>
      <c r="Y95" s="11">
        <v>100</v>
      </c>
      <c r="Z95" s="84" t="s">
        <v>542</v>
      </c>
      <c r="AA95" s="9">
        <f ca="1">IFERROR(OFFSET(ITEM_RES!$A$5,MATCH(BUILDING!Z95,ITEM_RES!$J$5:$J$226,0)-1,0),0)</f>
        <v>211010401</v>
      </c>
      <c r="AC95" s="9" t="s">
        <v>512</v>
      </c>
      <c r="AD95" s="9">
        <v>11</v>
      </c>
      <c r="AF95" s="11">
        <f ca="1">IFERROR(OFFSET(MANOR_LEVEL!$B$1,MATCH(AG95-1,MANOR_LEVEL!$A:$A,0)-1,0),0)</f>
        <v>796000</v>
      </c>
      <c r="AG95" s="56">
        <v>12</v>
      </c>
      <c r="AI95" s="56">
        <f t="shared" ca="1" si="63"/>
        <v>880250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880250.01</v>
      </c>
      <c r="AK95" s="182">
        <f t="shared" ca="1" si="58"/>
        <v>1320450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0</v>
      </c>
      <c r="AR95" s="10">
        <v>0</v>
      </c>
      <c r="AS95" s="56">
        <f t="shared" si="29"/>
        <v>2</v>
      </c>
      <c r="AU95" s="11">
        <f ca="1">IFERROR(OFFSET(ITEM_RES!$A$1,MATCH(AV95,ITEM_RES!$J:$J,0)-1,0),0)</f>
        <v>211020301</v>
      </c>
      <c r="AV95" s="10" t="s">
        <v>394</v>
      </c>
      <c r="AW95" s="11">
        <v>4400000</v>
      </c>
      <c r="AZ95" s="11">
        <f ca="1">IFERROR(OFFSET(ITEM_RES!$A$1,MATCH(BA95,ITEM_RES!$J:$J,0)-1,0),0)</f>
        <v>211020401</v>
      </c>
      <c r="BA95" s="10" t="s">
        <v>436</v>
      </c>
      <c r="BB95" s="11">
        <v>1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921</v>
      </c>
      <c r="N96" s="9" t="s">
        <v>941</v>
      </c>
      <c r="O96" s="9">
        <v>1</v>
      </c>
      <c r="P96" s="9">
        <v>15</v>
      </c>
      <c r="Q96" s="9" t="s">
        <v>768</v>
      </c>
      <c r="U96" s="9" t="s">
        <v>712</v>
      </c>
      <c r="W96" s="84" t="s">
        <v>543</v>
      </c>
      <c r="X96" s="9">
        <f ca="1">IFERROR(OFFSET(ITEM_RES!$A$5,MATCH(BUILDING!W96,ITEM_RES!$J$5:$J$226,0)-1,0),0)</f>
        <v>211021101</v>
      </c>
      <c r="Y96" s="11">
        <v>100</v>
      </c>
      <c r="Z96" s="84" t="s">
        <v>542</v>
      </c>
      <c r="AA96" s="9">
        <f ca="1">IFERROR(OFFSET(ITEM_RES!$A$5,MATCH(BUILDING!Z96,ITEM_RES!$J$5:$J$226,0)-1,0),0)</f>
        <v>211010401</v>
      </c>
      <c r="AC96" s="9" t="s">
        <v>512</v>
      </c>
      <c r="AD96" s="9">
        <v>12</v>
      </c>
      <c r="AF96" s="11">
        <f ca="1">IFERROR(OFFSET(MANOR_LEVEL!$B$1,MATCH(AG96-1,MANOR_LEVEL!$A:$A,0)-1,0),0)</f>
        <v>796000</v>
      </c>
      <c r="AG96" s="56">
        <v>12</v>
      </c>
      <c r="AI96" s="56">
        <f t="shared" ca="1" si="63"/>
        <v>1040800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1040800.01</v>
      </c>
      <c r="AK96" s="182">
        <f t="shared" ca="1" si="58"/>
        <v>1921050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0</v>
      </c>
      <c r="AR96" s="10">
        <v>0</v>
      </c>
      <c r="AS96" s="56">
        <f t="shared" si="29"/>
        <v>3</v>
      </c>
      <c r="AU96" s="11">
        <f ca="1">IFERROR(OFFSET(ITEM_RES!$A$1,MATCH(AV96,ITEM_RES!$J:$J,0)-1,0),0)</f>
        <v>211020301</v>
      </c>
      <c r="AV96" s="10" t="s">
        <v>394</v>
      </c>
      <c r="AW96" s="11">
        <v>5200000</v>
      </c>
      <c r="AZ96" s="11">
        <f ca="1">IFERROR(OFFSET(ITEM_RES!$A$1,MATCH(BA96,ITEM_RES!$J:$J,0)-1,0),0)</f>
        <v>211020401</v>
      </c>
      <c r="BA96" s="10" t="s">
        <v>436</v>
      </c>
      <c r="BB96" s="11">
        <v>1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461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921</v>
      </c>
      <c r="N97" s="9" t="s">
        <v>941</v>
      </c>
      <c r="O97" s="9">
        <v>1</v>
      </c>
      <c r="P97" s="9">
        <v>15</v>
      </c>
      <c r="Q97" s="9" t="s">
        <v>768</v>
      </c>
      <c r="U97" s="9" t="s">
        <v>712</v>
      </c>
      <c r="W97" s="84" t="s">
        <v>543</v>
      </c>
      <c r="X97" s="9">
        <f ca="1">IFERROR(OFFSET(ITEM_RES!$A$5,MATCH(BUILDING!W97,ITEM_RES!$J$5:$J$226,0)-1,0),0)</f>
        <v>211021101</v>
      </c>
      <c r="Y97" s="11">
        <v>100</v>
      </c>
      <c r="Z97" s="84" t="s">
        <v>542</v>
      </c>
      <c r="AA97" s="9">
        <f ca="1">IFERROR(OFFSET(ITEM_RES!$A$5,MATCH(BUILDING!Z97,ITEM_RES!$J$5:$J$226,0)-1,0),0)</f>
        <v>211010401</v>
      </c>
      <c r="AC97" s="9" t="s">
        <v>512</v>
      </c>
      <c r="AD97" s="9">
        <v>13</v>
      </c>
      <c r="AF97" s="11">
        <f ca="1">IFERROR(OFFSET(MANOR_LEVEL!$B$1,MATCH(AG97-1,MANOR_LEVEL!$A:$A,0)-1,0),0)</f>
        <v>796000</v>
      </c>
      <c r="AG97" s="56">
        <v>12</v>
      </c>
      <c r="AI97" s="56">
        <f t="shared" ca="1" si="63"/>
        <v>1720350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1720350.01</v>
      </c>
      <c r="AK97" s="182">
        <f t="shared" ca="1" si="58"/>
        <v>2761150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0</v>
      </c>
      <c r="AR97" s="10">
        <v>0</v>
      </c>
      <c r="AS97" s="56">
        <f t="shared" si="29"/>
        <v>2</v>
      </c>
      <c r="AU97" s="11">
        <f ca="1">IFERROR(OFFSET(ITEM_RES!$A$1,MATCH(AV97,ITEM_RES!$J:$J,0)-1,0),0)</f>
        <v>211020301</v>
      </c>
      <c r="AV97" s="10" t="s">
        <v>394</v>
      </c>
      <c r="AW97" s="11">
        <v>8600000</v>
      </c>
      <c r="AZ97" s="11">
        <f ca="1">IFERROR(OFFSET(ITEM_RES!$A$1,MATCH(BA97,ITEM_RES!$J:$J,0)-1,0),0)</f>
        <v>211020401</v>
      </c>
      <c r="BA97" s="10" t="s">
        <v>436</v>
      </c>
      <c r="BB97" s="11">
        <v>1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921</v>
      </c>
      <c r="N98" s="9" t="s">
        <v>941</v>
      </c>
      <c r="O98" s="9">
        <v>1</v>
      </c>
      <c r="P98" s="9">
        <v>15</v>
      </c>
      <c r="Q98" s="9" t="s">
        <v>768</v>
      </c>
      <c r="U98" s="9" t="s">
        <v>712</v>
      </c>
      <c r="W98" s="84" t="s">
        <v>543</v>
      </c>
      <c r="X98" s="9">
        <f ca="1">IFERROR(OFFSET(ITEM_RES!$A$5,MATCH(BUILDING!W98,ITEM_RES!$J$5:$J$226,0)-1,0),0)</f>
        <v>211021101</v>
      </c>
      <c r="Y98" s="11">
        <v>100</v>
      </c>
      <c r="Z98" s="84" t="s">
        <v>542</v>
      </c>
      <c r="AA98" s="9">
        <f ca="1">IFERROR(OFFSET(ITEM_RES!$A$5,MATCH(BUILDING!Z98,ITEM_RES!$J$5:$J$226,0)-1,0),0)</f>
        <v>211010401</v>
      </c>
      <c r="AC98" s="9" t="s">
        <v>512</v>
      </c>
      <c r="AD98" s="9">
        <v>14</v>
      </c>
      <c r="AF98" s="11">
        <f ca="1">IFERROR(OFFSET(MANOR_LEVEL!$B$1,MATCH(AG98-1,MANOR_LEVEL!$A:$A,0)-1,0),0)</f>
        <v>796000</v>
      </c>
      <c r="AG98" s="56">
        <v>12</v>
      </c>
      <c r="AI98" s="56">
        <f t="shared" ca="1" si="63"/>
        <v>2640450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2640450.0099999998</v>
      </c>
      <c r="AK98" s="182">
        <f t="shared" ca="1" si="58"/>
        <v>4360800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0</v>
      </c>
      <c r="AR98" s="10">
        <v>0</v>
      </c>
      <c r="AS98" s="56">
        <f t="shared" si="29"/>
        <v>2</v>
      </c>
      <c r="AU98" s="11">
        <f ca="1">IFERROR(OFFSET(ITEM_RES!$A$1,MATCH(AV98,ITEM_RES!$J:$J,0)-1,0),0)</f>
        <v>211020301</v>
      </c>
      <c r="AV98" s="10" t="s">
        <v>394</v>
      </c>
      <c r="AW98" s="11">
        <v>13200000</v>
      </c>
      <c r="AZ98" s="11">
        <f ca="1">IFERROR(OFFSET(ITEM_RES!$A$1,MATCH(BA98,ITEM_RES!$J:$J,0)-1,0),0)</f>
        <v>211020401</v>
      </c>
      <c r="BA98" s="10" t="s">
        <v>436</v>
      </c>
      <c r="BB98" s="11">
        <v>1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921</v>
      </c>
      <c r="N99" s="9" t="s">
        <v>941</v>
      </c>
      <c r="O99" s="9">
        <v>1</v>
      </c>
      <c r="P99" s="9">
        <v>15</v>
      </c>
      <c r="Q99" s="9" t="s">
        <v>768</v>
      </c>
      <c r="U99" s="9" t="s">
        <v>712</v>
      </c>
      <c r="W99" s="84" t="s">
        <v>543</v>
      </c>
      <c r="X99" s="9">
        <f ca="1">IFERROR(OFFSET(ITEM_RES!$A$5,MATCH(BUILDING!W99,ITEM_RES!$J$5:$J$226,0)-1,0),0)</f>
        <v>211021101</v>
      </c>
      <c r="Y99" s="11">
        <v>100</v>
      </c>
      <c r="Z99" s="84" t="s">
        <v>542</v>
      </c>
      <c r="AA99" s="9">
        <f ca="1">IFERROR(OFFSET(ITEM_RES!$A$5,MATCH(BUILDING!Z99,ITEM_RES!$J$5:$J$226,0)-1,0),0)</f>
        <v>211010401</v>
      </c>
      <c r="AC99" s="9" t="s">
        <v>512</v>
      </c>
      <c r="AD99" s="9">
        <v>15</v>
      </c>
      <c r="AF99" s="11">
        <f ca="1">IFERROR(OFFSET(MANOR_LEVEL!$B$1,MATCH(AG99-1,MANOR_LEVEL!$A:$A,0)-1,0),0)</f>
        <v>796000</v>
      </c>
      <c r="AG99" s="56">
        <v>12</v>
      </c>
      <c r="AI99" s="56">
        <f t="shared" ca="1" si="63"/>
        <v>4400550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4400550.2</v>
      </c>
      <c r="AK99" s="182">
        <f t="shared" ca="1" si="58"/>
        <v>7041000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0</v>
      </c>
      <c r="AR99" s="10">
        <v>0</v>
      </c>
      <c r="AS99" s="56">
        <f t="shared" si="29"/>
        <v>2</v>
      </c>
      <c r="AU99" s="11">
        <f ca="1">IFERROR(OFFSET(ITEM_RES!$A$1,MATCH(AV99,ITEM_RES!$J:$J,0)-1,0),0)</f>
        <v>211020301</v>
      </c>
      <c r="AV99" s="10" t="s">
        <v>394</v>
      </c>
      <c r="AW99" s="11">
        <v>22000000</v>
      </c>
      <c r="AZ99" s="11">
        <f ca="1">IFERROR(OFFSET(ITEM_RES!$A$1,MATCH(BA99,ITEM_RES!$J:$J,0)-1,0),0)</f>
        <v>211020501</v>
      </c>
      <c r="BA99" s="10" t="s">
        <v>433</v>
      </c>
      <c r="BB99" s="11">
        <v>1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921</v>
      </c>
      <c r="N100" s="9" t="s">
        <v>941</v>
      </c>
      <c r="O100" s="9">
        <v>0</v>
      </c>
      <c r="P100" s="9">
        <v>15</v>
      </c>
      <c r="Q100" s="9" t="s">
        <v>768</v>
      </c>
      <c r="U100" s="9" t="s">
        <v>712</v>
      </c>
      <c r="W100" s="84" t="s">
        <v>543</v>
      </c>
      <c r="X100" s="9">
        <f ca="1">IFERROR(OFFSET(ITEM_RES!$A$5,MATCH(BUILDING!W100,ITEM_RES!$J$5:$J$226,0)-1,0),0)</f>
        <v>211021101</v>
      </c>
      <c r="Y100" s="11">
        <v>100</v>
      </c>
      <c r="Z100" s="84" t="s">
        <v>542</v>
      </c>
      <c r="AA100" s="9">
        <f ca="1">IFERROR(OFFSET(ITEM_RES!$A$5,MATCH(BUILDING!Z100,ITEM_RES!$J$5:$J$226,0)-1,0),0)</f>
        <v>211010401</v>
      </c>
      <c r="AC100" s="9" t="s">
        <v>512</v>
      </c>
      <c r="AD100" s="9">
        <v>16</v>
      </c>
      <c r="AF100" s="11">
        <f ca="1">IFERROR(OFFSET(MANOR_LEVEL!$B$1,MATCH(AG100-1,MANOR_LEVEL!$A:$A,0)-1,0),0)</f>
        <v>796000</v>
      </c>
      <c r="AG100" s="56">
        <v>12</v>
      </c>
      <c r="AI100" s="56">
        <f t="shared" ca="1" si="63"/>
        <v>6000700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6000700.2000000002</v>
      </c>
      <c r="AK100" s="182">
        <f t="shared" ca="1" si="58"/>
        <v>10401250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0</v>
      </c>
      <c r="AR100" s="10">
        <v>0</v>
      </c>
      <c r="AS100" s="56">
        <f t="shared" si="29"/>
        <v>2</v>
      </c>
      <c r="AU100" s="11">
        <f ca="1">IFERROR(OFFSET(ITEM_RES!$A$1,MATCH(AV100,ITEM_RES!$J:$J,0)-1,0),0)</f>
        <v>211020301</v>
      </c>
      <c r="AV100" s="10" t="s">
        <v>394</v>
      </c>
      <c r="AW100" s="11">
        <v>30000000</v>
      </c>
      <c r="AZ100" s="11">
        <f ca="1">IFERROR(OFFSET(ITEM_RES!$A$1,MATCH(BA100,ITEM_RES!$J:$J,0)-1,0),0)</f>
        <v>211020501</v>
      </c>
      <c r="BA100" s="10" t="s">
        <v>433</v>
      </c>
      <c r="BB100" s="11">
        <v>1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921</v>
      </c>
      <c r="N101" s="9" t="s">
        <v>941</v>
      </c>
      <c r="O101" s="9">
        <v>0</v>
      </c>
      <c r="P101" s="9">
        <v>15</v>
      </c>
      <c r="Q101" s="9" t="s">
        <v>768</v>
      </c>
      <c r="U101" s="9" t="s">
        <v>712</v>
      </c>
      <c r="W101" s="84" t="s">
        <v>543</v>
      </c>
      <c r="X101" s="9">
        <f ca="1">IFERROR(OFFSET(ITEM_RES!$A$5,MATCH(BUILDING!W101,ITEM_RES!$J$5:$J$226,0)-1,0),0)</f>
        <v>211021101</v>
      </c>
      <c r="Y101" s="11">
        <v>100</v>
      </c>
      <c r="Z101" s="84" t="s">
        <v>542</v>
      </c>
      <c r="AA101" s="9">
        <f ca="1">IFERROR(OFFSET(ITEM_RES!$A$5,MATCH(BUILDING!Z101,ITEM_RES!$J$5:$J$226,0)-1,0),0)</f>
        <v>211010401</v>
      </c>
      <c r="AC101" s="9" t="s">
        <v>512</v>
      </c>
      <c r="AD101" s="9">
        <v>17</v>
      </c>
      <c r="AF101" s="11">
        <f ca="1">IFERROR(OFFSET(MANOR_LEVEL!$B$1,MATCH(AG101-1,MANOR_LEVEL!$A:$A,0)-1,0),0)</f>
        <v>796000</v>
      </c>
      <c r="AG101" s="56">
        <v>12</v>
      </c>
      <c r="AI101" s="56">
        <f t="shared" ca="1" si="63"/>
        <v>9200850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9200850.1999999993</v>
      </c>
      <c r="AK101" s="182">
        <f t="shared" ca="1" si="58"/>
        <v>15201550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0</v>
      </c>
      <c r="AR101" s="10">
        <v>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1112</v>
      </c>
      <c r="AW101" s="11">
        <v>46000000</v>
      </c>
      <c r="AZ101" s="11">
        <f ca="1">IFERROR(OFFSET(ITEM_RES!$A$1,MATCH(BA101,ITEM_RES!$J:$J,0)-1,0),0)</f>
        <v>211020501</v>
      </c>
      <c r="BA101" s="10" t="s">
        <v>433</v>
      </c>
      <c r="BB101" s="11">
        <v>1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921</v>
      </c>
      <c r="N102" s="9" t="s">
        <v>941</v>
      </c>
      <c r="O102" s="9">
        <v>0</v>
      </c>
      <c r="P102" s="9">
        <v>15</v>
      </c>
      <c r="Q102" s="9" t="s">
        <v>768</v>
      </c>
      <c r="U102" s="9" t="s">
        <v>712</v>
      </c>
      <c r="W102" s="84" t="s">
        <v>543</v>
      </c>
      <c r="X102" s="9">
        <f ca="1">IFERROR(OFFSET(ITEM_RES!$A$5,MATCH(BUILDING!W102,ITEM_RES!$J$5:$J$226,0)-1,0),0)</f>
        <v>211021101</v>
      </c>
      <c r="Y102" s="11">
        <v>100</v>
      </c>
      <c r="Z102" s="84" t="s">
        <v>542</v>
      </c>
      <c r="AA102" s="9">
        <f ca="1">IFERROR(OFFSET(ITEM_RES!$A$5,MATCH(BUILDING!Z102,ITEM_RES!$J$5:$J$226,0)-1,0),0)</f>
        <v>211010401</v>
      </c>
      <c r="AC102" s="9" t="s">
        <v>512</v>
      </c>
      <c r="AD102" s="9">
        <v>18</v>
      </c>
      <c r="AF102" s="11">
        <f ca="1">IFERROR(OFFSET(MANOR_LEVEL!$B$1,MATCH(AG102-1,MANOR_LEVEL!$A:$A,0)-1,0),0)</f>
        <v>796000</v>
      </c>
      <c r="AG102" s="56">
        <v>12</v>
      </c>
      <c r="AI102" s="56">
        <f t="shared" ca="1" si="63"/>
        <v>14001050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14001050.199999999</v>
      </c>
      <c r="AK102" s="182">
        <f t="shared" ca="1" si="58"/>
        <v>23201900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0</v>
      </c>
      <c r="AR102" s="10">
        <v>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1112</v>
      </c>
      <c r="AW102" s="11">
        <v>70000000</v>
      </c>
      <c r="AZ102" s="11">
        <f ca="1">IFERROR(OFFSET(ITEM_RES!$A$1,MATCH(BA102,ITEM_RES!$J:$J,0)-1,0),0)</f>
        <v>211020501</v>
      </c>
      <c r="BA102" s="10" t="s">
        <v>433</v>
      </c>
      <c r="BB102" s="11">
        <v>1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921</v>
      </c>
      <c r="N103" s="9" t="s">
        <v>941</v>
      </c>
      <c r="O103" s="9">
        <v>0</v>
      </c>
      <c r="P103" s="9">
        <v>15</v>
      </c>
      <c r="Q103" s="9" t="s">
        <v>768</v>
      </c>
      <c r="U103" s="9" t="s">
        <v>712</v>
      </c>
      <c r="W103" s="84" t="s">
        <v>543</v>
      </c>
      <c r="X103" s="9">
        <f ca="1">IFERROR(OFFSET(ITEM_RES!$A$5,MATCH(BUILDING!W103,ITEM_RES!$J$5:$J$226,0)-1,0),0)</f>
        <v>211021101</v>
      </c>
      <c r="Y103" s="11">
        <v>100</v>
      </c>
      <c r="Z103" s="84" t="s">
        <v>542</v>
      </c>
      <c r="AA103" s="9">
        <f ca="1">IFERROR(OFFSET(ITEM_RES!$A$5,MATCH(BUILDING!Z103,ITEM_RES!$J$5:$J$226,0)-1,0),0)</f>
        <v>211010401</v>
      </c>
      <c r="AC103" s="9" t="s">
        <v>512</v>
      </c>
      <c r="AD103" s="9">
        <v>19</v>
      </c>
      <c r="AF103" s="11">
        <f ca="1">IFERROR(OFFSET(MANOR_LEVEL!$B$1,MATCH(AG103-1,MANOR_LEVEL!$A:$A,0)-1,0),0)</f>
        <v>796000</v>
      </c>
      <c r="AG103" s="56">
        <v>12</v>
      </c>
      <c r="AI103" s="56">
        <f t="shared" ca="1" si="63"/>
        <v>19201250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19201250.199999999</v>
      </c>
      <c r="AK103" s="182">
        <f t="shared" ca="1" si="58"/>
        <v>33202300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0</v>
      </c>
      <c r="AR103" s="10">
        <v>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1112</v>
      </c>
      <c r="AW103" s="11">
        <v>96000000</v>
      </c>
      <c r="AZ103" s="11">
        <f ca="1">IFERROR(OFFSET(ITEM_RES!$A$1,MATCH(BA103,ITEM_RES!$J:$J,0)-1,0),0)</f>
        <v>211020501</v>
      </c>
      <c r="BA103" s="10" t="s">
        <v>433</v>
      </c>
      <c r="BB103" s="11">
        <v>1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921</v>
      </c>
      <c r="N104" s="9" t="s">
        <v>941</v>
      </c>
      <c r="O104" s="9">
        <v>0</v>
      </c>
      <c r="P104" s="9">
        <v>15</v>
      </c>
      <c r="Q104" s="9" t="s">
        <v>768</v>
      </c>
      <c r="U104" s="9" t="s">
        <v>712</v>
      </c>
      <c r="W104" s="84" t="s">
        <v>543</v>
      </c>
      <c r="X104" s="9">
        <f ca="1">IFERROR(OFFSET(ITEM_RES!$A$5,MATCH(BUILDING!W104,ITEM_RES!$J$5:$J$226,0)-1,0),0)</f>
        <v>211021101</v>
      </c>
      <c r="Y104" s="11">
        <v>100</v>
      </c>
      <c r="Z104" s="84" t="s">
        <v>542</v>
      </c>
      <c r="AA104" s="9">
        <f ca="1">IFERROR(OFFSET(ITEM_RES!$A$5,MATCH(BUILDING!Z104,ITEM_RES!$J$5:$J$226,0)-1,0),0)</f>
        <v>211010401</v>
      </c>
      <c r="AC104" s="9" t="s">
        <v>512</v>
      </c>
      <c r="AD104" s="9">
        <v>20</v>
      </c>
      <c r="AF104" s="11">
        <f ca="1">IFERROR(OFFSET(MANOR_LEVEL!$B$1,MATCH(AG104-1,MANOR_LEVEL!$A:$A,0)-1,0),0)</f>
        <v>796000</v>
      </c>
      <c r="AG104" s="56">
        <v>12</v>
      </c>
      <c r="AI104" s="56">
        <f t="shared" ca="1" si="63"/>
        <v>30401500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30401500.199999999</v>
      </c>
      <c r="AK104" s="182">
        <f t="shared" ca="1" si="58"/>
        <v>49602750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0</v>
      </c>
      <c r="AR104" s="10">
        <v>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1112</v>
      </c>
      <c r="AW104" s="11">
        <v>152000000</v>
      </c>
      <c r="AZ104" s="11">
        <f ca="1">IFERROR(OFFSET(ITEM_RES!$A$1,MATCH(BA104,ITEM_RES!$J:$J,0)-1,0),0)</f>
        <v>211020501</v>
      </c>
      <c r="BA104" s="10" t="s">
        <v>433</v>
      </c>
      <c r="BB104" s="11">
        <v>1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765</v>
      </c>
      <c r="L105" s="66">
        <v>12</v>
      </c>
      <c r="M105" s="66" t="s">
        <v>922</v>
      </c>
      <c r="N105" s="66" t="s">
        <v>942</v>
      </c>
      <c r="O105" s="16">
        <v>1</v>
      </c>
      <c r="P105" s="16">
        <v>15</v>
      </c>
      <c r="Q105" s="16" t="s">
        <v>767</v>
      </c>
      <c r="R105" s="17"/>
      <c r="S105" s="17"/>
      <c r="T105" s="18"/>
      <c r="U105" s="16" t="s">
        <v>766</v>
      </c>
      <c r="V105" s="78"/>
      <c r="W105" s="86" t="s">
        <v>550</v>
      </c>
      <c r="X105" s="16">
        <f ca="1">IFERROR(OFFSET(ITEM_RES!$A$5,MATCH(BUILDING!W105,ITEM_RES!$J$5:$J$226,0)-1,0),0)</f>
        <v>211021001</v>
      </c>
      <c r="Y105" s="18">
        <v>10</v>
      </c>
      <c r="Z105" s="86" t="s">
        <v>543</v>
      </c>
      <c r="AA105" s="16">
        <f ca="1">IFERROR(OFFSET(ITEM_RES!$A$5,MATCH(BUILDING!Z105,ITEM_RES!$J$5:$J$226,0)-1,0),0)</f>
        <v>211021101</v>
      </c>
      <c r="AB105" s="78"/>
      <c r="AC105" s="16" t="s">
        <v>513</v>
      </c>
      <c r="AD105" s="16">
        <v>1</v>
      </c>
      <c r="AE105" s="78"/>
      <c r="AF105" s="18">
        <f ca="1">IFERROR(OFFSET(MANOR_LEVEL!$B$1,MATCH(AG105-1,MANOR_LEVEL!$A:$A,0)-1,0),0)</f>
        <v>2622400</v>
      </c>
      <c r="AG105" s="57">
        <v>15</v>
      </c>
      <c r="AH105" s="78"/>
      <c r="AI105" s="57">
        <f t="shared" ca="1" si="63"/>
        <v>105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105.21</v>
      </c>
      <c r="AK105" s="184">
        <f ca="1">AI105</f>
        <v>105</v>
      </c>
      <c r="AL105" s="78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0</v>
      </c>
      <c r="AR105" s="17">
        <v>0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20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1</v>
      </c>
      <c r="BC105" s="17"/>
      <c r="BD105" s="18"/>
      <c r="BE105" s="18">
        <f ca="1">IFERROR(OFFSET(ITEM_RES!$A$1,MATCH(BF105,ITEM_RES!$J:$J,0)-1,0),0)</f>
        <v>213010101</v>
      </c>
      <c r="BF105" s="17" t="s">
        <v>452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765</v>
      </c>
      <c r="M106" s="9" t="s">
        <v>922</v>
      </c>
      <c r="N106" s="9" t="s">
        <v>942</v>
      </c>
      <c r="O106" s="9">
        <v>1</v>
      </c>
      <c r="P106" s="9">
        <v>15</v>
      </c>
      <c r="Q106" s="9" t="s">
        <v>767</v>
      </c>
      <c r="U106" s="9" t="s">
        <v>766</v>
      </c>
      <c r="W106" s="84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4" t="s">
        <v>543</v>
      </c>
      <c r="AA106" s="9">
        <f ca="1">IFERROR(OFFSET(ITEM_RES!$A$5,MATCH(BUILDING!Z106,ITEM_RES!$J$5:$J$226,0)-1,0),0)</f>
        <v>211021101</v>
      </c>
      <c r="AC106" s="9" t="s">
        <v>513</v>
      </c>
      <c r="AD106" s="9">
        <v>2</v>
      </c>
      <c r="AF106" s="11">
        <f ca="1">IFERROR(OFFSET(MANOR_LEVEL!$B$1,MATCH(AG106-1,MANOR_LEVEL!$A:$A,0)-1,0),0)</f>
        <v>4232000</v>
      </c>
      <c r="AG106" s="56">
        <v>16</v>
      </c>
      <c r="AI106" s="56">
        <f t="shared" ca="1" si="63"/>
        <v>10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10.210000000000001</v>
      </c>
      <c r="AK106" s="182">
        <f ca="1">AI105+AI106</f>
        <v>115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0</v>
      </c>
      <c r="AR106" s="10">
        <v>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20</v>
      </c>
      <c r="AZ106" s="11">
        <f ca="1">IFERROR(OFFSET(ITEM_RES!$A$1,MATCH(BA106,ITEM_RES!$J:$J,0)-1,0),0)</f>
        <v>211020401</v>
      </c>
      <c r="BA106" s="10" t="s">
        <v>423</v>
      </c>
      <c r="BB106" s="11">
        <v>1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765</v>
      </c>
      <c r="M107" s="9" t="s">
        <v>922</v>
      </c>
      <c r="N107" s="9" t="s">
        <v>942</v>
      </c>
      <c r="O107" s="9">
        <v>1</v>
      </c>
      <c r="P107" s="9">
        <v>15</v>
      </c>
      <c r="Q107" s="9" t="s">
        <v>767</v>
      </c>
      <c r="U107" s="9" t="s">
        <v>766</v>
      </c>
      <c r="W107" s="84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4" t="s">
        <v>543</v>
      </c>
      <c r="AA107" s="9">
        <f ca="1">IFERROR(OFFSET(ITEM_RES!$A$5,MATCH(BUILDING!Z107,ITEM_RES!$J$5:$J$226,0)-1,0),0)</f>
        <v>211021101</v>
      </c>
      <c r="AC107" s="9" t="s">
        <v>513</v>
      </c>
      <c r="AD107" s="9">
        <v>3</v>
      </c>
      <c r="AF107" s="11">
        <f ca="1">IFERROR(OFFSET(MANOR_LEVEL!$B$1,MATCH(AG107-1,MANOR_LEVEL!$A:$A,0)-1,0),0)</f>
        <v>4232000</v>
      </c>
      <c r="AG107" s="56">
        <v>16</v>
      </c>
      <c r="AI107" s="56">
        <f t="shared" ca="1" si="63"/>
        <v>17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16.61</v>
      </c>
      <c r="AK107" s="182">
        <f t="shared" ref="AK107:AK124" ca="1" si="65">AI106+AI107</f>
        <v>27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0</v>
      </c>
      <c r="AR107" s="10">
        <v>0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160</v>
      </c>
      <c r="AZ107" s="11">
        <f ca="1">IFERROR(OFFSET(ITEM_RES!$A$1,MATCH(BA107,ITEM_RES!$J:$J,0)-1,0),0)</f>
        <v>211020401</v>
      </c>
      <c r="BA107" s="10" t="s">
        <v>423</v>
      </c>
      <c r="BB107" s="11">
        <v>1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765</v>
      </c>
      <c r="M108" s="9" t="s">
        <v>922</v>
      </c>
      <c r="N108" s="9" t="s">
        <v>942</v>
      </c>
      <c r="O108" s="9">
        <v>1</v>
      </c>
      <c r="P108" s="9">
        <v>15</v>
      </c>
      <c r="Q108" s="9" t="s">
        <v>767</v>
      </c>
      <c r="U108" s="9" t="s">
        <v>766</v>
      </c>
      <c r="W108" s="84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4" t="s">
        <v>543</v>
      </c>
      <c r="AA108" s="9">
        <f ca="1">IFERROR(OFFSET(ITEM_RES!$A$5,MATCH(BUILDING!Z108,ITEM_RES!$J$5:$J$226,0)-1,0),0)</f>
        <v>211021101</v>
      </c>
      <c r="AC108" s="9" t="s">
        <v>513</v>
      </c>
      <c r="AD108" s="9">
        <v>4</v>
      </c>
      <c r="AF108" s="11">
        <f ca="1">IFERROR(OFFSET(MANOR_LEVEL!$B$1,MATCH(AG108-1,MANOR_LEVEL!$A:$A,0)-1,0),0)</f>
        <v>4232000</v>
      </c>
      <c r="AG108" s="56">
        <v>16</v>
      </c>
      <c r="AI108" s="56">
        <f t="shared" ca="1" si="63"/>
        <v>44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44.21</v>
      </c>
      <c r="AK108" s="182">
        <f t="shared" ca="1" si="65"/>
        <v>61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0</v>
      </c>
      <c r="AR108" s="10">
        <v>0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431</v>
      </c>
      <c r="AW108" s="11">
        <v>1920</v>
      </c>
      <c r="AZ108" s="11">
        <f ca="1">IFERROR(OFFSET(ITEM_RES!$A$1,MATCH(BA108,ITEM_RES!$J:$J,0)-1,0),0)</f>
        <v>211020401</v>
      </c>
      <c r="BA108" s="10" t="s">
        <v>423</v>
      </c>
      <c r="BB108" s="11">
        <v>1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765</v>
      </c>
      <c r="M109" s="9" t="s">
        <v>922</v>
      </c>
      <c r="N109" s="9" t="s">
        <v>942</v>
      </c>
      <c r="O109" s="9">
        <v>1</v>
      </c>
      <c r="P109" s="9">
        <v>15</v>
      </c>
      <c r="Q109" s="9" t="s">
        <v>767</v>
      </c>
      <c r="U109" s="9" t="s">
        <v>766</v>
      </c>
      <c r="W109" s="84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4" t="s">
        <v>543</v>
      </c>
      <c r="AA109" s="9">
        <f ca="1">IFERROR(OFFSET(ITEM_RES!$A$5,MATCH(BUILDING!Z109,ITEM_RES!$J$5:$J$226,0)-1,0),0)</f>
        <v>211021101</v>
      </c>
      <c r="AC109" s="9" t="s">
        <v>513</v>
      </c>
      <c r="AD109" s="9">
        <v>5</v>
      </c>
      <c r="AF109" s="11">
        <f ca="1">IFERROR(OFFSET(MANOR_LEVEL!$B$1,MATCH(AG109-1,MANOR_LEVEL!$A:$A,0)-1,0),0)</f>
        <v>4232000</v>
      </c>
      <c r="AG109" s="56">
        <v>16</v>
      </c>
      <c r="AI109" s="56">
        <f t="shared" ca="1" si="63"/>
        <v>300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300.01</v>
      </c>
      <c r="AK109" s="182">
        <f t="shared" ca="1" si="65"/>
        <v>344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0</v>
      </c>
      <c r="AR109" s="10">
        <v>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26000</v>
      </c>
      <c r="AZ109" s="11">
        <f ca="1">IFERROR(OFFSET(ITEM_RES!$A$1,MATCH(BA109,ITEM_RES!$J:$J,0)-1,0),0)</f>
        <v>211020401</v>
      </c>
      <c r="BA109" s="10" t="s">
        <v>423</v>
      </c>
      <c r="BB109" s="11">
        <v>1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765</v>
      </c>
      <c r="M110" s="9" t="s">
        <v>922</v>
      </c>
      <c r="N110" s="9" t="s">
        <v>942</v>
      </c>
      <c r="O110" s="9">
        <v>1</v>
      </c>
      <c r="P110" s="9">
        <v>15</v>
      </c>
      <c r="Q110" s="9" t="s">
        <v>767</v>
      </c>
      <c r="U110" s="9" t="s">
        <v>766</v>
      </c>
      <c r="W110" s="84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4" t="s">
        <v>543</v>
      </c>
      <c r="AA110" s="9">
        <f ca="1">IFERROR(OFFSET(ITEM_RES!$A$5,MATCH(BUILDING!Z110,ITEM_RES!$J$5:$J$226,0)-1,0),0)</f>
        <v>211021101</v>
      </c>
      <c r="AC110" s="9" t="s">
        <v>513</v>
      </c>
      <c r="AD110" s="9">
        <v>6</v>
      </c>
      <c r="AF110" s="11">
        <f ca="1">IFERROR(OFFSET(MANOR_LEVEL!$B$1,MATCH(AG110-1,MANOR_LEVEL!$A:$A,0)-1,0),0)</f>
        <v>4232000</v>
      </c>
      <c r="AG110" s="56">
        <v>16</v>
      </c>
      <c r="AI110" s="56">
        <f t="shared" ca="1" si="63"/>
        <v>2450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2450.0100000000002</v>
      </c>
      <c r="AK110" s="182">
        <f t="shared" ca="1" si="65"/>
        <v>2750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0</v>
      </c>
      <c r="AR110" s="10">
        <v>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431</v>
      </c>
      <c r="AW110" s="11">
        <v>240000</v>
      </c>
      <c r="AZ110" s="11">
        <f ca="1">IFERROR(OFFSET(ITEM_RES!$A$1,MATCH(BA110,ITEM_RES!$J:$J,0)-1,0),0)</f>
        <v>211020401</v>
      </c>
      <c r="BA110" s="10" t="s">
        <v>423</v>
      </c>
      <c r="BB110" s="11">
        <v>1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765</v>
      </c>
      <c r="M111" s="9" t="s">
        <v>922</v>
      </c>
      <c r="N111" s="9" t="s">
        <v>942</v>
      </c>
      <c r="O111" s="9">
        <v>1</v>
      </c>
      <c r="P111" s="9">
        <v>15</v>
      </c>
      <c r="Q111" s="9" t="s">
        <v>767</v>
      </c>
      <c r="U111" s="9" t="s">
        <v>766</v>
      </c>
      <c r="W111" s="84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4" t="s">
        <v>543</v>
      </c>
      <c r="AA111" s="9">
        <f ca="1">IFERROR(OFFSET(ITEM_RES!$A$5,MATCH(BUILDING!Z111,ITEM_RES!$J$5:$J$226,0)-1,0),0)</f>
        <v>211021101</v>
      </c>
      <c r="AC111" s="9" t="s">
        <v>513</v>
      </c>
      <c r="AD111" s="9">
        <v>7</v>
      </c>
      <c r="AF111" s="11">
        <f ca="1">IFERROR(OFFSET(MANOR_LEVEL!$B$1,MATCH(AG111-1,MANOR_LEVEL!$A:$A,0)-1,0),0)</f>
        <v>4232000</v>
      </c>
      <c r="AG111" s="56">
        <v>16</v>
      </c>
      <c r="AI111" s="56">
        <f t="shared" ca="1" si="63"/>
        <v>5500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5500.01</v>
      </c>
      <c r="AK111" s="182">
        <f t="shared" ca="1" si="65"/>
        <v>7950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0</v>
      </c>
      <c r="AR111" s="10">
        <v>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431</v>
      </c>
      <c r="AW111" s="11">
        <v>540000</v>
      </c>
      <c r="AZ111" s="11">
        <f ca="1">IFERROR(OFFSET(ITEM_RES!$A$1,MATCH(BA111,ITEM_RES!$J:$J,0)-1,0),0)</f>
        <v>211020401</v>
      </c>
      <c r="BA111" s="10" t="s">
        <v>423</v>
      </c>
      <c r="BB111" s="11">
        <v>1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765</v>
      </c>
      <c r="M112" s="9" t="s">
        <v>922</v>
      </c>
      <c r="N112" s="9" t="s">
        <v>942</v>
      </c>
      <c r="O112" s="9">
        <v>1</v>
      </c>
      <c r="P112" s="9">
        <v>15</v>
      </c>
      <c r="Q112" s="9" t="s">
        <v>767</v>
      </c>
      <c r="U112" s="9" t="s">
        <v>766</v>
      </c>
      <c r="W112" s="84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4" t="s">
        <v>543</v>
      </c>
      <c r="AA112" s="9">
        <f ca="1">IFERROR(OFFSET(ITEM_RES!$A$5,MATCH(BUILDING!Z112,ITEM_RES!$J$5:$J$226,0)-1,0),0)</f>
        <v>211021101</v>
      </c>
      <c r="AC112" s="9" t="s">
        <v>513</v>
      </c>
      <c r="AD112" s="9">
        <v>8</v>
      </c>
      <c r="AF112" s="11">
        <f ca="1">IFERROR(OFFSET(MANOR_LEVEL!$B$1,MATCH(AG112-1,MANOR_LEVEL!$A:$A,0)-1,0),0)</f>
        <v>4232000</v>
      </c>
      <c r="AG112" s="56">
        <v>16</v>
      </c>
      <c r="AI112" s="56">
        <f t="shared" ca="1" si="63"/>
        <v>10100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10100.01</v>
      </c>
      <c r="AK112" s="182">
        <f t="shared" ca="1" si="65"/>
        <v>15600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0</v>
      </c>
      <c r="AR112" s="10">
        <v>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431</v>
      </c>
      <c r="AW112" s="11">
        <v>1000000</v>
      </c>
      <c r="AZ112" s="11">
        <f ca="1">IFERROR(OFFSET(ITEM_RES!$A$1,MATCH(BA112,ITEM_RES!$J:$J,0)-1,0),0)</f>
        <v>211020401</v>
      </c>
      <c r="BA112" s="10" t="s">
        <v>423</v>
      </c>
      <c r="BB112" s="11">
        <v>1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765</v>
      </c>
      <c r="M113" s="9" t="s">
        <v>922</v>
      </c>
      <c r="N113" s="9" t="s">
        <v>942</v>
      </c>
      <c r="O113" s="9">
        <v>1</v>
      </c>
      <c r="P113" s="9">
        <v>15</v>
      </c>
      <c r="Q113" s="9" t="s">
        <v>767</v>
      </c>
      <c r="U113" s="9" t="s">
        <v>766</v>
      </c>
      <c r="W113" s="84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4" t="s">
        <v>543</v>
      </c>
      <c r="AA113" s="9">
        <f ca="1">IFERROR(OFFSET(ITEM_RES!$A$5,MATCH(BUILDING!Z113,ITEM_RES!$J$5:$J$226,0)-1,0),0)</f>
        <v>211021101</v>
      </c>
      <c r="AC113" s="9" t="s">
        <v>513</v>
      </c>
      <c r="AD113" s="9">
        <v>9</v>
      </c>
      <c r="AF113" s="11">
        <f ca="1">IFERROR(OFFSET(MANOR_LEVEL!$B$1,MATCH(AG113-1,MANOR_LEVEL!$A:$A,0)-1,0),0)</f>
        <v>4232000</v>
      </c>
      <c r="AG113" s="56">
        <v>16</v>
      </c>
      <c r="AI113" s="56">
        <f t="shared" ca="1" si="63"/>
        <v>15950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15950.01</v>
      </c>
      <c r="AK113" s="182">
        <f t="shared" ca="1" si="65"/>
        <v>26050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0</v>
      </c>
      <c r="AR113" s="10">
        <v>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431</v>
      </c>
      <c r="AW113" s="11">
        <v>1580000</v>
      </c>
      <c r="AZ113" s="11">
        <f ca="1">IFERROR(OFFSET(ITEM_RES!$A$1,MATCH(BA113,ITEM_RES!$J:$J,0)-1,0),0)</f>
        <v>211020401</v>
      </c>
      <c r="BA113" s="10" t="s">
        <v>423</v>
      </c>
      <c r="BB113" s="11">
        <v>1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765</v>
      </c>
      <c r="M114" s="9" t="s">
        <v>922</v>
      </c>
      <c r="N114" s="9" t="s">
        <v>942</v>
      </c>
      <c r="O114" s="9">
        <v>1</v>
      </c>
      <c r="P114" s="9">
        <v>15</v>
      </c>
      <c r="Q114" s="9" t="s">
        <v>767</v>
      </c>
      <c r="U114" s="9" t="s">
        <v>766</v>
      </c>
      <c r="W114" s="84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4" t="s">
        <v>543</v>
      </c>
      <c r="AA114" s="9">
        <f ca="1">IFERROR(OFFSET(ITEM_RES!$A$5,MATCH(BUILDING!Z114,ITEM_RES!$J$5:$J$226,0)-1,0),0)</f>
        <v>211021101</v>
      </c>
      <c r="AC114" s="9" t="s">
        <v>513</v>
      </c>
      <c r="AD114" s="9">
        <v>10</v>
      </c>
      <c r="AF114" s="11">
        <f ca="1">IFERROR(OFFSET(MANOR_LEVEL!$B$1,MATCH(AG114-1,MANOR_LEVEL!$A:$A,0)-1,0),0)</f>
        <v>4232000</v>
      </c>
      <c r="AG114" s="56">
        <v>16</v>
      </c>
      <c r="AI114" s="56">
        <f t="shared" ca="1" si="63"/>
        <v>22200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22200.01</v>
      </c>
      <c r="AK114" s="182">
        <f t="shared" ca="1" si="65"/>
        <v>38150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0</v>
      </c>
      <c r="AR114" s="10">
        <v>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431</v>
      </c>
      <c r="AW114" s="11">
        <v>2200000</v>
      </c>
      <c r="AZ114" s="11">
        <f ca="1">IFERROR(OFFSET(ITEM_RES!$A$1,MATCH(BA114,ITEM_RES!$J:$J,0)-1,0),0)</f>
        <v>211020401</v>
      </c>
      <c r="BA114" s="10" t="s">
        <v>423</v>
      </c>
      <c r="BB114" s="11">
        <v>1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765</v>
      </c>
      <c r="M115" s="9" t="s">
        <v>922</v>
      </c>
      <c r="N115" s="9" t="s">
        <v>942</v>
      </c>
      <c r="O115" s="9">
        <v>1</v>
      </c>
      <c r="P115" s="9">
        <v>15</v>
      </c>
      <c r="Q115" s="9" t="s">
        <v>767</v>
      </c>
      <c r="U115" s="9" t="s">
        <v>766</v>
      </c>
      <c r="W115" s="84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4" t="s">
        <v>543</v>
      </c>
      <c r="AA115" s="9">
        <f ca="1">IFERROR(OFFSET(ITEM_RES!$A$5,MATCH(BUILDING!Z115,ITEM_RES!$J$5:$J$226,0)-1,0),0)</f>
        <v>211021101</v>
      </c>
      <c r="AC115" s="9" t="s">
        <v>513</v>
      </c>
      <c r="AD115" s="9">
        <v>11</v>
      </c>
      <c r="AF115" s="11">
        <f ca="1">IFERROR(OFFSET(MANOR_LEVEL!$B$1,MATCH(AG115-1,MANOR_LEVEL!$A:$A,0)-1,0),0)</f>
        <v>4232000</v>
      </c>
      <c r="AG115" s="56">
        <v>16</v>
      </c>
      <c r="AI115" s="56">
        <f t="shared" ca="1" si="63"/>
        <v>880250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880250.01</v>
      </c>
      <c r="AK115" s="182">
        <f t="shared" ca="1" si="65"/>
        <v>902450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0</v>
      </c>
      <c r="AR115" s="10">
        <v>0</v>
      </c>
      <c r="AS115" s="56">
        <f t="shared" si="29"/>
        <v>2</v>
      </c>
      <c r="AU115" s="11">
        <f ca="1">IFERROR(OFFSET(ITEM_RES!$A$1,MATCH(AV115,ITEM_RES!$J:$J,0)-1,0),0)</f>
        <v>211020301</v>
      </c>
      <c r="AV115" s="10" t="s">
        <v>394</v>
      </c>
      <c r="AW115" s="11">
        <v>4400000</v>
      </c>
      <c r="AZ115" s="11">
        <f ca="1">IFERROR(OFFSET(ITEM_RES!$A$1,MATCH(BA115,ITEM_RES!$J:$J,0)-1,0),0)</f>
        <v>211020401</v>
      </c>
      <c r="BA115" s="10" t="s">
        <v>423</v>
      </c>
      <c r="BB115" s="11">
        <v>1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765</v>
      </c>
      <c r="M116" s="9" t="s">
        <v>922</v>
      </c>
      <c r="N116" s="9" t="s">
        <v>942</v>
      </c>
      <c r="O116" s="9">
        <v>1</v>
      </c>
      <c r="P116" s="9">
        <v>15</v>
      </c>
      <c r="Q116" s="9" t="s">
        <v>767</v>
      </c>
      <c r="U116" s="9" t="s">
        <v>766</v>
      </c>
      <c r="W116" s="84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4" t="s">
        <v>543</v>
      </c>
      <c r="AA116" s="9">
        <f ca="1">IFERROR(OFFSET(ITEM_RES!$A$5,MATCH(BUILDING!Z116,ITEM_RES!$J$5:$J$226,0)-1,0),0)</f>
        <v>211021101</v>
      </c>
      <c r="AC116" s="9" t="s">
        <v>513</v>
      </c>
      <c r="AD116" s="9">
        <v>12</v>
      </c>
      <c r="AF116" s="11">
        <f ca="1">IFERROR(OFFSET(MANOR_LEVEL!$B$1,MATCH(AG116-1,MANOR_LEVEL!$A:$A,0)-1,0),0)</f>
        <v>4232000</v>
      </c>
      <c r="AG116" s="56">
        <v>16</v>
      </c>
      <c r="AI116" s="56">
        <f t="shared" ca="1" si="63"/>
        <v>1040300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1040300.01</v>
      </c>
      <c r="AK116" s="182">
        <f t="shared" ca="1" si="65"/>
        <v>1920550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0</v>
      </c>
      <c r="AR116" s="10">
        <v>0</v>
      </c>
      <c r="AS116" s="56">
        <f t="shared" si="29"/>
        <v>2</v>
      </c>
      <c r="AU116" s="11">
        <f ca="1">IFERROR(OFFSET(ITEM_RES!$A$1,MATCH(AV116,ITEM_RES!$J:$J,0)-1,0),0)</f>
        <v>211020301</v>
      </c>
      <c r="AV116" s="10" t="s">
        <v>394</v>
      </c>
      <c r="AW116" s="11">
        <v>5200000</v>
      </c>
      <c r="AZ116" s="11">
        <f ca="1">IFERROR(OFFSET(ITEM_RES!$A$1,MATCH(BA116,ITEM_RES!$J:$J,0)-1,0),0)</f>
        <v>211020401</v>
      </c>
      <c r="BA116" s="10" t="s">
        <v>423</v>
      </c>
      <c r="BB116" s="11">
        <v>1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765</v>
      </c>
      <c r="M117" s="9" t="s">
        <v>922</v>
      </c>
      <c r="N117" s="9" t="s">
        <v>942</v>
      </c>
      <c r="O117" s="9">
        <v>1</v>
      </c>
      <c r="P117" s="9">
        <v>15</v>
      </c>
      <c r="Q117" s="9" t="s">
        <v>767</v>
      </c>
      <c r="U117" s="9" t="s">
        <v>766</v>
      </c>
      <c r="W117" s="84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4" t="s">
        <v>543</v>
      </c>
      <c r="AA117" s="9">
        <f ca="1">IFERROR(OFFSET(ITEM_RES!$A$5,MATCH(BUILDING!Z117,ITEM_RES!$J$5:$J$226,0)-1,0),0)</f>
        <v>211021101</v>
      </c>
      <c r="AC117" s="9" t="s">
        <v>513</v>
      </c>
      <c r="AD117" s="9">
        <v>13</v>
      </c>
      <c r="AF117" s="11">
        <f ca="1">IFERROR(OFFSET(MANOR_LEVEL!$B$1,MATCH(AG117-1,MANOR_LEVEL!$A:$A,0)-1,0),0)</f>
        <v>4232000</v>
      </c>
      <c r="AG117" s="56">
        <v>16</v>
      </c>
      <c r="AI117" s="56">
        <f t="shared" ca="1" si="63"/>
        <v>1720350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1720350.01</v>
      </c>
      <c r="AK117" s="182">
        <f t="shared" ca="1" si="65"/>
        <v>2760650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0</v>
      </c>
      <c r="AR117" s="10">
        <v>0</v>
      </c>
      <c r="AS117" s="56">
        <f t="shared" si="29"/>
        <v>2</v>
      </c>
      <c r="AU117" s="11">
        <f ca="1">IFERROR(OFFSET(ITEM_RES!$A$1,MATCH(AV117,ITEM_RES!$J:$J,0)-1,0),0)</f>
        <v>211020301</v>
      </c>
      <c r="AV117" s="10" t="s">
        <v>394</v>
      </c>
      <c r="AW117" s="11">
        <v>8600000</v>
      </c>
      <c r="AZ117" s="11">
        <f ca="1">IFERROR(OFFSET(ITEM_RES!$A$1,MATCH(BA117,ITEM_RES!$J:$J,0)-1,0),0)</f>
        <v>211020401</v>
      </c>
      <c r="BA117" s="10" t="s">
        <v>423</v>
      </c>
      <c r="BB117" s="11">
        <v>1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765</v>
      </c>
      <c r="M118" s="9" t="s">
        <v>922</v>
      </c>
      <c r="N118" s="9" t="s">
        <v>942</v>
      </c>
      <c r="O118" s="9">
        <v>1</v>
      </c>
      <c r="P118" s="9">
        <v>15</v>
      </c>
      <c r="Q118" s="9" t="s">
        <v>767</v>
      </c>
      <c r="U118" s="9" t="s">
        <v>766</v>
      </c>
      <c r="W118" s="84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4" t="s">
        <v>543</v>
      </c>
      <c r="AA118" s="9">
        <f ca="1">IFERROR(OFFSET(ITEM_RES!$A$5,MATCH(BUILDING!Z118,ITEM_RES!$J$5:$J$226,0)-1,0),0)</f>
        <v>211021101</v>
      </c>
      <c r="AC118" s="9" t="s">
        <v>513</v>
      </c>
      <c r="AD118" s="9">
        <v>14</v>
      </c>
      <c r="AF118" s="11">
        <f ca="1">IFERROR(OFFSET(MANOR_LEVEL!$B$1,MATCH(AG118-1,MANOR_LEVEL!$A:$A,0)-1,0),0)</f>
        <v>4232000</v>
      </c>
      <c r="AG118" s="56">
        <v>16</v>
      </c>
      <c r="AI118" s="56">
        <f t="shared" ca="1" si="63"/>
        <v>2640450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2640450.0099999998</v>
      </c>
      <c r="AK118" s="182">
        <f t="shared" ca="1" si="65"/>
        <v>4360800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0</v>
      </c>
      <c r="AR118" s="10">
        <v>0</v>
      </c>
      <c r="AS118" s="56">
        <f t="shared" si="29"/>
        <v>2</v>
      </c>
      <c r="AU118" s="11">
        <f ca="1">IFERROR(OFFSET(ITEM_RES!$A$1,MATCH(AV118,ITEM_RES!$J:$J,0)-1,0),0)</f>
        <v>211020301</v>
      </c>
      <c r="AV118" s="10" t="s">
        <v>394</v>
      </c>
      <c r="AW118" s="11">
        <v>13200000</v>
      </c>
      <c r="AZ118" s="11">
        <f ca="1">IFERROR(OFFSET(ITEM_RES!$A$1,MATCH(BA118,ITEM_RES!$J:$J,0)-1,0),0)</f>
        <v>211020401</v>
      </c>
      <c r="BA118" s="10" t="s">
        <v>423</v>
      </c>
      <c r="BB118" s="11">
        <v>1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765</v>
      </c>
      <c r="M119" s="9" t="s">
        <v>922</v>
      </c>
      <c r="N119" s="9" t="s">
        <v>942</v>
      </c>
      <c r="O119" s="9">
        <v>1</v>
      </c>
      <c r="P119" s="9">
        <v>15</v>
      </c>
      <c r="Q119" s="9" t="s">
        <v>767</v>
      </c>
      <c r="U119" s="9" t="s">
        <v>766</v>
      </c>
      <c r="W119" s="84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4" t="s">
        <v>543</v>
      </c>
      <c r="AA119" s="9">
        <f ca="1">IFERROR(OFFSET(ITEM_RES!$A$5,MATCH(BUILDING!Z119,ITEM_RES!$J$5:$J$226,0)-1,0),0)</f>
        <v>211021101</v>
      </c>
      <c r="AC119" s="9" t="s">
        <v>513</v>
      </c>
      <c r="AD119" s="9">
        <v>15</v>
      </c>
      <c r="AF119" s="11">
        <f ca="1">IFERROR(OFFSET(MANOR_LEVEL!$B$1,MATCH(AG119-1,MANOR_LEVEL!$A:$A,0)-1,0),0)</f>
        <v>4232000</v>
      </c>
      <c r="AG119" s="56">
        <v>16</v>
      </c>
      <c r="AI119" s="56">
        <f t="shared" ca="1" si="63"/>
        <v>4400550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4400550.2</v>
      </c>
      <c r="AK119" s="182">
        <f t="shared" ca="1" si="65"/>
        <v>7041000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0</v>
      </c>
      <c r="AR119" s="10">
        <v>0</v>
      </c>
      <c r="AS119" s="56">
        <f t="shared" si="29"/>
        <v>2</v>
      </c>
      <c r="AU119" s="11">
        <f ca="1">IFERROR(OFFSET(ITEM_RES!$A$1,MATCH(AV119,ITEM_RES!$J:$J,0)-1,0),0)</f>
        <v>211020301</v>
      </c>
      <c r="AV119" s="10" t="s">
        <v>394</v>
      </c>
      <c r="AW119" s="11">
        <v>22000000</v>
      </c>
      <c r="AZ119" s="11">
        <f ca="1">IFERROR(OFFSET(ITEM_RES!$A$1,MATCH(BA119,ITEM_RES!$J:$J,0)-1,0),0)</f>
        <v>211020501</v>
      </c>
      <c r="BA119" s="10" t="s">
        <v>424</v>
      </c>
      <c r="BB119" s="11">
        <v>1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765</v>
      </c>
      <c r="M120" s="9" t="s">
        <v>922</v>
      </c>
      <c r="N120" s="9" t="s">
        <v>942</v>
      </c>
      <c r="O120" s="9">
        <v>0</v>
      </c>
      <c r="P120" s="9">
        <v>15</v>
      </c>
      <c r="Q120" s="9" t="s">
        <v>767</v>
      </c>
      <c r="U120" s="9" t="s">
        <v>766</v>
      </c>
      <c r="W120" s="84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4" t="s">
        <v>543</v>
      </c>
      <c r="AA120" s="9">
        <f ca="1">IFERROR(OFFSET(ITEM_RES!$A$5,MATCH(BUILDING!Z120,ITEM_RES!$J$5:$J$226,0)-1,0),0)</f>
        <v>211021101</v>
      </c>
      <c r="AC120" s="9" t="s">
        <v>513</v>
      </c>
      <c r="AD120" s="9">
        <v>16</v>
      </c>
      <c r="AF120" s="11">
        <f ca="1">IFERROR(OFFSET(MANOR_LEVEL!$B$1,MATCH(AG120-1,MANOR_LEVEL!$A:$A,0)-1,0),0)</f>
        <v>4232000</v>
      </c>
      <c r="AG120" s="56">
        <v>16</v>
      </c>
      <c r="AI120" s="56">
        <f t="shared" ca="1" si="63"/>
        <v>6000700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6000700.2000000002</v>
      </c>
      <c r="AK120" s="182">
        <f t="shared" ca="1" si="65"/>
        <v>10401250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0</v>
      </c>
      <c r="AR120" s="10">
        <v>0</v>
      </c>
      <c r="AS120" s="56">
        <f t="shared" si="29"/>
        <v>2</v>
      </c>
      <c r="AU120" s="11">
        <f ca="1">IFERROR(OFFSET(ITEM_RES!$A$1,MATCH(AV120,ITEM_RES!$J:$J,0)-1,0),0)</f>
        <v>211020301</v>
      </c>
      <c r="AV120" s="10" t="s">
        <v>394</v>
      </c>
      <c r="AW120" s="11">
        <v>30000000</v>
      </c>
      <c r="AZ120" s="11">
        <f ca="1">IFERROR(OFFSET(ITEM_RES!$A$1,MATCH(BA120,ITEM_RES!$J:$J,0)-1,0),0)</f>
        <v>211020501</v>
      </c>
      <c r="BA120" s="10" t="s">
        <v>424</v>
      </c>
      <c r="BB120" s="11">
        <v>1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765</v>
      </c>
      <c r="M121" s="9" t="s">
        <v>922</v>
      </c>
      <c r="N121" s="9" t="s">
        <v>942</v>
      </c>
      <c r="O121" s="9">
        <v>0</v>
      </c>
      <c r="P121" s="9">
        <v>15</v>
      </c>
      <c r="Q121" s="9" t="s">
        <v>767</v>
      </c>
      <c r="U121" s="9" t="s">
        <v>766</v>
      </c>
      <c r="W121" s="84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4" t="s">
        <v>543</v>
      </c>
      <c r="AA121" s="9">
        <f ca="1">IFERROR(OFFSET(ITEM_RES!$A$5,MATCH(BUILDING!Z121,ITEM_RES!$J$5:$J$226,0)-1,0),0)</f>
        <v>211021101</v>
      </c>
      <c r="AC121" s="9" t="s">
        <v>513</v>
      </c>
      <c r="AD121" s="9">
        <v>17</v>
      </c>
      <c r="AF121" s="11">
        <f ca="1">IFERROR(OFFSET(MANOR_LEVEL!$B$1,MATCH(AG121-1,MANOR_LEVEL!$A:$A,0)-1,0),0)</f>
        <v>4232000</v>
      </c>
      <c r="AG121" s="56">
        <v>16</v>
      </c>
      <c r="AI121" s="56">
        <f t="shared" ca="1" si="63"/>
        <v>9200850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9200850.1999999993</v>
      </c>
      <c r="AK121" s="182">
        <f t="shared" ca="1" si="65"/>
        <v>15201550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0</v>
      </c>
      <c r="AR121" s="10">
        <v>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1112</v>
      </c>
      <c r="AW121" s="11">
        <v>46000000</v>
      </c>
      <c r="AZ121" s="11">
        <f ca="1">IFERROR(OFFSET(ITEM_RES!$A$1,MATCH(BA121,ITEM_RES!$J:$J,0)-1,0),0)</f>
        <v>211020501</v>
      </c>
      <c r="BA121" s="10" t="s">
        <v>424</v>
      </c>
      <c r="BB121" s="11">
        <v>1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765</v>
      </c>
      <c r="M122" s="9" t="s">
        <v>922</v>
      </c>
      <c r="N122" s="9" t="s">
        <v>942</v>
      </c>
      <c r="O122" s="9">
        <v>0</v>
      </c>
      <c r="P122" s="9">
        <v>15</v>
      </c>
      <c r="Q122" s="9" t="s">
        <v>767</v>
      </c>
      <c r="U122" s="9" t="s">
        <v>766</v>
      </c>
      <c r="W122" s="84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4" t="s">
        <v>543</v>
      </c>
      <c r="AA122" s="9">
        <f ca="1">IFERROR(OFFSET(ITEM_RES!$A$5,MATCH(BUILDING!Z122,ITEM_RES!$J$5:$J$226,0)-1,0),0)</f>
        <v>211021101</v>
      </c>
      <c r="AC122" s="9" t="s">
        <v>513</v>
      </c>
      <c r="AD122" s="9">
        <v>18</v>
      </c>
      <c r="AF122" s="11">
        <f ca="1">IFERROR(OFFSET(MANOR_LEVEL!$B$1,MATCH(AG122-1,MANOR_LEVEL!$A:$A,0)-1,0),0)</f>
        <v>4232000</v>
      </c>
      <c r="AG122" s="56">
        <v>16</v>
      </c>
      <c r="AI122" s="56">
        <f t="shared" ca="1" si="63"/>
        <v>14001050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14001050.199999999</v>
      </c>
      <c r="AK122" s="182">
        <f t="shared" ca="1" si="65"/>
        <v>23201900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0</v>
      </c>
      <c r="AR122" s="10">
        <v>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1112</v>
      </c>
      <c r="AW122" s="11">
        <v>70000000</v>
      </c>
      <c r="AZ122" s="11">
        <f ca="1">IFERROR(OFFSET(ITEM_RES!$A$1,MATCH(BA122,ITEM_RES!$J:$J,0)-1,0),0)</f>
        <v>211020501</v>
      </c>
      <c r="BA122" s="10" t="s">
        <v>424</v>
      </c>
      <c r="BB122" s="11">
        <v>1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765</v>
      </c>
      <c r="M123" s="9" t="s">
        <v>922</v>
      </c>
      <c r="N123" s="9" t="s">
        <v>942</v>
      </c>
      <c r="O123" s="9">
        <v>0</v>
      </c>
      <c r="P123" s="9">
        <v>15</v>
      </c>
      <c r="Q123" s="9" t="s">
        <v>767</v>
      </c>
      <c r="U123" s="9" t="s">
        <v>766</v>
      </c>
      <c r="W123" s="84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4" t="s">
        <v>543</v>
      </c>
      <c r="AA123" s="9">
        <f ca="1">IFERROR(OFFSET(ITEM_RES!$A$5,MATCH(BUILDING!Z123,ITEM_RES!$J$5:$J$226,0)-1,0),0)</f>
        <v>211021101</v>
      </c>
      <c r="AC123" s="9" t="s">
        <v>513</v>
      </c>
      <c r="AD123" s="9">
        <v>19</v>
      </c>
      <c r="AF123" s="11">
        <f ca="1">IFERROR(OFFSET(MANOR_LEVEL!$B$1,MATCH(AG123-1,MANOR_LEVEL!$A:$A,0)-1,0),0)</f>
        <v>4232000</v>
      </c>
      <c r="AG123" s="56">
        <v>16</v>
      </c>
      <c r="AI123" s="56">
        <f t="shared" ca="1" si="63"/>
        <v>19201250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19201250.199999999</v>
      </c>
      <c r="AK123" s="182">
        <f t="shared" ca="1" si="65"/>
        <v>33202300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0</v>
      </c>
      <c r="AR123" s="10">
        <v>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1112</v>
      </c>
      <c r="AW123" s="11">
        <v>96000000</v>
      </c>
      <c r="AZ123" s="11">
        <f ca="1">IFERROR(OFFSET(ITEM_RES!$A$1,MATCH(BA123,ITEM_RES!$J:$J,0)-1,0),0)</f>
        <v>211020501</v>
      </c>
      <c r="BA123" s="10" t="s">
        <v>424</v>
      </c>
      <c r="BB123" s="11">
        <v>1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765</v>
      </c>
      <c r="M124" s="9" t="s">
        <v>922</v>
      </c>
      <c r="N124" s="9" t="s">
        <v>942</v>
      </c>
      <c r="O124" s="9">
        <v>0</v>
      </c>
      <c r="P124" s="9">
        <v>15</v>
      </c>
      <c r="Q124" s="9" t="s">
        <v>767</v>
      </c>
      <c r="U124" s="9" t="s">
        <v>766</v>
      </c>
      <c r="W124" s="84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4" t="s">
        <v>543</v>
      </c>
      <c r="AA124" s="9">
        <f ca="1">IFERROR(OFFSET(ITEM_RES!$A$5,MATCH(BUILDING!Z124,ITEM_RES!$J$5:$J$226,0)-1,0),0)</f>
        <v>211021101</v>
      </c>
      <c r="AC124" s="9" t="s">
        <v>513</v>
      </c>
      <c r="AD124" s="9">
        <v>20</v>
      </c>
      <c r="AF124" s="11">
        <f ca="1">IFERROR(OFFSET(MANOR_LEVEL!$B$1,MATCH(AG124-1,MANOR_LEVEL!$A:$A,0)-1,0),0)</f>
        <v>4232000</v>
      </c>
      <c r="AG124" s="56">
        <v>16</v>
      </c>
      <c r="AI124" s="56">
        <f t="shared" ca="1" si="63"/>
        <v>30401500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30401500.199999999</v>
      </c>
      <c r="AK124" s="182">
        <f t="shared" ca="1" si="65"/>
        <v>49602750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0</v>
      </c>
      <c r="AR124" s="10">
        <v>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1112</v>
      </c>
      <c r="AW124" s="11">
        <v>152000000</v>
      </c>
      <c r="AZ124" s="11">
        <f ca="1">IFERROR(OFFSET(ITEM_RES!$A$1,MATCH(BA124,ITEM_RES!$J:$J,0)-1,0),0)</f>
        <v>211020501</v>
      </c>
      <c r="BA124" s="10" t="s">
        <v>424</v>
      </c>
      <c r="BB124" s="11">
        <v>1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 t="s">
        <v>923</v>
      </c>
      <c r="N125" s="16" t="s">
        <v>943</v>
      </c>
      <c r="O125" s="16">
        <v>1</v>
      </c>
      <c r="P125" s="16">
        <v>15</v>
      </c>
      <c r="Q125" s="16" t="s">
        <v>1222</v>
      </c>
      <c r="R125" s="17"/>
      <c r="S125" s="17"/>
      <c r="T125" s="18"/>
      <c r="U125" s="16" t="s">
        <v>691</v>
      </c>
      <c r="V125" s="78"/>
      <c r="W125" s="86"/>
      <c r="X125" s="16">
        <f ca="1">IFERROR(OFFSET(ITEM_RES!$A$5,MATCH(BUILDING!W125,ITEM_RES!$J$5:$J$226,0)-1,0),0)</f>
        <v>0</v>
      </c>
      <c r="Y125" s="18"/>
      <c r="Z125" s="86" t="s">
        <v>544</v>
      </c>
      <c r="AA125" s="16">
        <f ca="1">IFERROR(OFFSET(ITEM_RES!$A$5,MATCH(BUILDING!Z125,ITEM_RES!$J$5:$J$226,0)-1,0),0)</f>
        <v>211010501</v>
      </c>
      <c r="AB125" s="78"/>
      <c r="AC125" s="16" t="s">
        <v>514</v>
      </c>
      <c r="AD125" s="16">
        <v>1</v>
      </c>
      <c r="AE125" s="78"/>
      <c r="AF125" s="18">
        <f ca="1">IFERROR(OFFSET(MANOR_LEVEL!$B$1,MATCH(AG125-1,MANOR_LEVEL!$A:$A,0)-1,0),0)</f>
        <v>0</v>
      </c>
      <c r="AG125" s="57">
        <v>1</v>
      </c>
      <c r="AH125" s="78"/>
      <c r="AI125" s="57">
        <f t="shared" ca="1" si="63"/>
        <v>105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105.21</v>
      </c>
      <c r="AK125" s="184">
        <f ca="1">AI125</f>
        <v>105</v>
      </c>
      <c r="AL125" s="78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0</v>
      </c>
      <c r="AR125" s="17">
        <v>0</v>
      </c>
      <c r="AS125" s="57">
        <f t="shared" si="29"/>
        <v>3</v>
      </c>
      <c r="AT125" s="18"/>
      <c r="AU125" s="18">
        <f ca="1">IFERROR(OFFSET(ITEM_RES!$A$1,MATCH(AV125,ITEM_RES!$J:$J,0)-1,0),0)</f>
        <v>211010501</v>
      </c>
      <c r="AV125" s="17" t="s">
        <v>1192</v>
      </c>
      <c r="AW125" s="18">
        <v>20</v>
      </c>
      <c r="AX125" s="17"/>
      <c r="AY125" s="18"/>
      <c r="AZ125" s="18">
        <f ca="1">IFERROR(OFFSET(ITEM_RES!$A$1,MATCH(BA125,ITEM_RES!$J:$J,0)-1,0),0)</f>
        <v>211020401</v>
      </c>
      <c r="BA125" s="17" t="s">
        <v>1190</v>
      </c>
      <c r="BB125" s="18">
        <v>1</v>
      </c>
      <c r="BC125" s="17"/>
      <c r="BD125" s="18"/>
      <c r="BE125" s="18">
        <f ca="1">IFERROR(OFFSET(ITEM_RES!$A$1,MATCH(BF125,ITEM_RES!$J:$J,0)-1,0),0)</f>
        <v>213010101</v>
      </c>
      <c r="BF125" s="17" t="s">
        <v>452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923</v>
      </c>
      <c r="N126" s="9" t="s">
        <v>943</v>
      </c>
      <c r="O126" s="9">
        <v>1</v>
      </c>
      <c r="P126" s="9">
        <v>15</v>
      </c>
      <c r="Q126" s="9" t="s">
        <v>1223</v>
      </c>
      <c r="U126" s="9" t="s">
        <v>691</v>
      </c>
      <c r="X126" s="9">
        <f ca="1">IFERROR(OFFSET(ITEM_RES!$A$5,MATCH(BUILDING!W126,ITEM_RES!$J$5:$J$226,0)-1,0),0)</f>
        <v>0</v>
      </c>
      <c r="Z126" s="84" t="s">
        <v>544</v>
      </c>
      <c r="AA126" s="9">
        <f ca="1">IFERROR(OFFSET(ITEM_RES!$A$5,MATCH(BUILDING!Z126,ITEM_RES!$J$5:$J$226,0)-1,0),0)</f>
        <v>211010501</v>
      </c>
      <c r="AC126" s="9" t="s">
        <v>514</v>
      </c>
      <c r="AD126" s="9">
        <v>2</v>
      </c>
      <c r="AF126" s="11">
        <f ca="1">IFERROR(OFFSET(MANOR_LEVEL!$B$1,MATCH(AG126-1,MANOR_LEVEL!$A:$A,0)-1,0),0)</f>
        <v>0</v>
      </c>
      <c r="AG126" s="56">
        <v>1</v>
      </c>
      <c r="AI126" s="56">
        <f t="shared" ca="1" si="63"/>
        <v>10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10.210000000000001</v>
      </c>
      <c r="AK126" s="182">
        <f ca="1">AI125+AI126</f>
        <v>115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0</v>
      </c>
      <c r="AR126" s="10">
        <v>0</v>
      </c>
      <c r="AS126" s="56">
        <f t="shared" si="29"/>
        <v>2</v>
      </c>
      <c r="AU126" s="11">
        <f ca="1">IFERROR(OFFSET(ITEM_RES!$A$1,MATCH(AV126,ITEM_RES!$J:$J,0)-1,0),0)</f>
        <v>211010501</v>
      </c>
      <c r="AV126" s="10" t="s">
        <v>1192</v>
      </c>
      <c r="AW126" s="11">
        <v>20</v>
      </c>
      <c r="AZ126" s="11">
        <f ca="1">IFERROR(OFFSET(ITEM_RES!$A$1,MATCH(BA126,ITEM_RES!$J:$J,0)-1,0),0)</f>
        <v>211020401</v>
      </c>
      <c r="BA126" s="10" t="s">
        <v>1190</v>
      </c>
      <c r="BB126" s="11">
        <v>1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923</v>
      </c>
      <c r="N127" s="9" t="s">
        <v>943</v>
      </c>
      <c r="O127" s="9">
        <v>1</v>
      </c>
      <c r="P127" s="9">
        <v>15</v>
      </c>
      <c r="Q127" s="9" t="s">
        <v>1224</v>
      </c>
      <c r="U127" s="9" t="s">
        <v>691</v>
      </c>
      <c r="X127" s="9">
        <f ca="1">IFERROR(OFFSET(ITEM_RES!$A$5,MATCH(BUILDING!W127,ITEM_RES!$J$5:$J$226,0)-1,0),0)</f>
        <v>0</v>
      </c>
      <c r="Z127" s="84" t="s">
        <v>544</v>
      </c>
      <c r="AA127" s="9">
        <f ca="1">IFERROR(OFFSET(ITEM_RES!$A$5,MATCH(BUILDING!Z127,ITEM_RES!$J$5:$J$226,0)-1,0),0)</f>
        <v>211010501</v>
      </c>
      <c r="AC127" s="9" t="s">
        <v>514</v>
      </c>
      <c r="AD127" s="9">
        <v>3</v>
      </c>
      <c r="AF127" s="11">
        <f ca="1">IFERROR(OFFSET(MANOR_LEVEL!$B$1,MATCH(AG127-1,MANOR_LEVEL!$A:$A,0)-1,0),0)</f>
        <v>0</v>
      </c>
      <c r="AG127" s="56">
        <v>1</v>
      </c>
      <c r="AI127" s="56">
        <f t="shared" ca="1" si="63"/>
        <v>17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16.61</v>
      </c>
      <c r="AK127" s="182">
        <f t="shared" ref="AK127:AK144" ca="1" si="66">AI126+AI127</f>
        <v>27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0</v>
      </c>
      <c r="AR127" s="10">
        <v>0</v>
      </c>
      <c r="AS127" s="56">
        <f t="shared" si="29"/>
        <v>2</v>
      </c>
      <c r="AU127" s="11">
        <f ca="1">IFERROR(OFFSET(ITEM_RES!$A$1,MATCH(AV127,ITEM_RES!$J:$J,0)-1,0),0)</f>
        <v>211010501</v>
      </c>
      <c r="AV127" s="10" t="s">
        <v>1192</v>
      </c>
      <c r="AW127" s="11">
        <v>160</v>
      </c>
      <c r="AZ127" s="11">
        <f ca="1">IFERROR(OFFSET(ITEM_RES!$A$1,MATCH(BA127,ITEM_RES!$J:$J,0)-1,0),0)</f>
        <v>211020401</v>
      </c>
      <c r="BA127" s="10" t="s">
        <v>1190</v>
      </c>
      <c r="BB127" s="11">
        <v>1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923</v>
      </c>
      <c r="N128" s="9" t="s">
        <v>943</v>
      </c>
      <c r="O128" s="9">
        <v>1</v>
      </c>
      <c r="P128" s="9">
        <v>15</v>
      </c>
      <c r="Q128" s="9" t="s">
        <v>1225</v>
      </c>
      <c r="U128" s="9" t="s">
        <v>691</v>
      </c>
      <c r="X128" s="9">
        <f ca="1">IFERROR(OFFSET(ITEM_RES!$A$5,MATCH(BUILDING!W128,ITEM_RES!$J$5:$J$226,0)-1,0),0)</f>
        <v>0</v>
      </c>
      <c r="Z128" s="84" t="s">
        <v>544</v>
      </c>
      <c r="AA128" s="9">
        <f ca="1">IFERROR(OFFSET(ITEM_RES!$A$5,MATCH(BUILDING!Z128,ITEM_RES!$J$5:$J$226,0)-1,0),0)</f>
        <v>211010501</v>
      </c>
      <c r="AC128" s="9" t="s">
        <v>514</v>
      </c>
      <c r="AD128" s="9">
        <v>4</v>
      </c>
      <c r="AF128" s="11">
        <f ca="1">IFERROR(OFFSET(MANOR_LEVEL!$B$1,MATCH(AG128-1,MANOR_LEVEL!$A:$A,0)-1,0),0)</f>
        <v>0</v>
      </c>
      <c r="AG128" s="56">
        <v>1</v>
      </c>
      <c r="AI128" s="56">
        <f t="shared" ca="1" si="63"/>
        <v>44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44.21</v>
      </c>
      <c r="AK128" s="182">
        <f t="shared" ca="1" si="66"/>
        <v>61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0</v>
      </c>
      <c r="AR128" s="10">
        <v>0</v>
      </c>
      <c r="AS128" s="56">
        <f t="shared" si="29"/>
        <v>2</v>
      </c>
      <c r="AU128" s="11">
        <f ca="1">IFERROR(OFFSET(ITEM_RES!$A$1,MATCH(AV128,ITEM_RES!$J:$J,0)-1,0),0)</f>
        <v>211010501</v>
      </c>
      <c r="AV128" s="10" t="s">
        <v>1192</v>
      </c>
      <c r="AW128" s="11">
        <v>1920</v>
      </c>
      <c r="AZ128" s="11">
        <f ca="1">IFERROR(OFFSET(ITEM_RES!$A$1,MATCH(BA128,ITEM_RES!$J:$J,0)-1,0),0)</f>
        <v>211020401</v>
      </c>
      <c r="BA128" s="10" t="s">
        <v>1190</v>
      </c>
      <c r="BB128" s="11">
        <v>1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923</v>
      </c>
      <c r="N129" s="9" t="s">
        <v>943</v>
      </c>
      <c r="O129" s="9">
        <v>1</v>
      </c>
      <c r="P129" s="9">
        <v>15</v>
      </c>
      <c r="Q129" s="9" t="s">
        <v>1226</v>
      </c>
      <c r="U129" s="9" t="s">
        <v>691</v>
      </c>
      <c r="X129" s="9">
        <f ca="1">IFERROR(OFFSET(ITEM_RES!$A$5,MATCH(BUILDING!W129,ITEM_RES!$J$5:$J$226,0)-1,0),0)</f>
        <v>0</v>
      </c>
      <c r="Z129" s="84" t="s">
        <v>544</v>
      </c>
      <c r="AA129" s="9">
        <f ca="1">IFERROR(OFFSET(ITEM_RES!$A$5,MATCH(BUILDING!Z129,ITEM_RES!$J$5:$J$226,0)-1,0),0)</f>
        <v>211010501</v>
      </c>
      <c r="AC129" s="9" t="s">
        <v>514</v>
      </c>
      <c r="AD129" s="9">
        <v>5</v>
      </c>
      <c r="AF129" s="11">
        <f ca="1">IFERROR(OFFSET(MANOR_LEVEL!$B$1,MATCH(AG129-1,MANOR_LEVEL!$A:$A,0)-1,0),0)</f>
        <v>444</v>
      </c>
      <c r="AG129" s="56">
        <v>2</v>
      </c>
      <c r="AI129" s="56">
        <f t="shared" ca="1" si="63"/>
        <v>300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300.01</v>
      </c>
      <c r="AK129" s="182">
        <f t="shared" ca="1" si="66"/>
        <v>344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0</v>
      </c>
      <c r="AR129" s="10">
        <v>0</v>
      </c>
      <c r="AS129" s="56">
        <f t="shared" si="29"/>
        <v>2</v>
      </c>
      <c r="AU129" s="11">
        <f ca="1">IFERROR(OFFSET(ITEM_RES!$A$1,MATCH(AV129,ITEM_RES!$J:$J,0)-1,0),0)</f>
        <v>211010501</v>
      </c>
      <c r="AV129" s="10" t="s">
        <v>1192</v>
      </c>
      <c r="AW129" s="11">
        <v>26000</v>
      </c>
      <c r="AZ129" s="11">
        <f ca="1">IFERROR(OFFSET(ITEM_RES!$A$1,MATCH(BA129,ITEM_RES!$J:$J,0)-1,0),0)</f>
        <v>211020401</v>
      </c>
      <c r="BA129" s="10" t="s">
        <v>1190</v>
      </c>
      <c r="BB129" s="11">
        <v>1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923</v>
      </c>
      <c r="N130" s="9" t="s">
        <v>943</v>
      </c>
      <c r="O130" s="9">
        <v>1</v>
      </c>
      <c r="P130" s="9">
        <v>15</v>
      </c>
      <c r="Q130" s="9" t="s">
        <v>1227</v>
      </c>
      <c r="U130" s="9" t="s">
        <v>691</v>
      </c>
      <c r="X130" s="9">
        <f ca="1">IFERROR(OFFSET(ITEM_RES!$A$5,MATCH(BUILDING!W130,ITEM_RES!$J$5:$J$226,0)-1,0),0)</f>
        <v>0</v>
      </c>
      <c r="Z130" s="84" t="s">
        <v>544</v>
      </c>
      <c r="AA130" s="9">
        <f ca="1">IFERROR(OFFSET(ITEM_RES!$A$5,MATCH(BUILDING!Z130,ITEM_RES!$J$5:$J$226,0)-1,0),0)</f>
        <v>211010501</v>
      </c>
      <c r="AC130" s="9" t="s">
        <v>514</v>
      </c>
      <c r="AD130" s="9">
        <v>6</v>
      </c>
      <c r="AF130" s="11">
        <f ca="1">IFERROR(OFFSET(MANOR_LEVEL!$B$1,MATCH(AG130-1,MANOR_LEVEL!$A:$A,0)-1,0),0)</f>
        <v>528</v>
      </c>
      <c r="AG130" s="56">
        <v>3</v>
      </c>
      <c r="AI130" s="56">
        <f t="shared" ca="1" si="63"/>
        <v>2450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2450.0100000000002</v>
      </c>
      <c r="AK130" s="182">
        <f t="shared" ca="1" si="66"/>
        <v>2750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0</v>
      </c>
      <c r="AR130" s="10">
        <v>0</v>
      </c>
      <c r="AS130" s="56">
        <f t="shared" si="29"/>
        <v>2</v>
      </c>
      <c r="AU130" s="11">
        <f ca="1">IFERROR(OFFSET(ITEM_RES!$A$1,MATCH(AV130,ITEM_RES!$J:$J,0)-1,0),0)</f>
        <v>211010501</v>
      </c>
      <c r="AV130" s="10" t="s">
        <v>1192</v>
      </c>
      <c r="AW130" s="11">
        <v>240000</v>
      </c>
      <c r="AZ130" s="11">
        <f ca="1">IFERROR(OFFSET(ITEM_RES!$A$1,MATCH(BA130,ITEM_RES!$J:$J,0)-1,0),0)</f>
        <v>211020401</v>
      </c>
      <c r="BA130" s="10" t="s">
        <v>1190</v>
      </c>
      <c r="BB130" s="11">
        <v>1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923</v>
      </c>
      <c r="N131" s="9" t="s">
        <v>943</v>
      </c>
      <c r="O131" s="9">
        <v>1</v>
      </c>
      <c r="P131" s="9">
        <v>15</v>
      </c>
      <c r="Q131" s="9" t="s">
        <v>1228</v>
      </c>
      <c r="U131" s="9" t="s">
        <v>691</v>
      </c>
      <c r="X131" s="9">
        <f ca="1">IFERROR(OFFSET(ITEM_RES!$A$5,MATCH(BUILDING!W131,ITEM_RES!$J$5:$J$226,0)-1,0),0)</f>
        <v>0</v>
      </c>
      <c r="Z131" s="84" t="s">
        <v>544</v>
      </c>
      <c r="AA131" s="9">
        <f ca="1">IFERROR(OFFSET(ITEM_RES!$A$5,MATCH(BUILDING!Z131,ITEM_RES!$J$5:$J$226,0)-1,0),0)</f>
        <v>211010501</v>
      </c>
      <c r="AC131" s="9" t="s">
        <v>514</v>
      </c>
      <c r="AD131" s="9">
        <v>7</v>
      </c>
      <c r="AF131" s="11">
        <f ca="1">IFERROR(OFFSET(MANOR_LEVEL!$B$1,MATCH(AG131-1,MANOR_LEVEL!$A:$A,0)-1,0),0)</f>
        <v>800</v>
      </c>
      <c r="AG131" s="56">
        <v>4</v>
      </c>
      <c r="AI131" s="56">
        <f t="shared" ca="1" si="63"/>
        <v>5500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5500.01</v>
      </c>
      <c r="AK131" s="182">
        <f t="shared" ca="1" si="66"/>
        <v>7950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0</v>
      </c>
      <c r="AR131" s="10">
        <v>0</v>
      </c>
      <c r="AS131" s="56">
        <f t="shared" si="29"/>
        <v>2</v>
      </c>
      <c r="AU131" s="11">
        <f ca="1">IFERROR(OFFSET(ITEM_RES!$A$1,MATCH(AV131,ITEM_RES!$J:$J,0)-1,0),0)</f>
        <v>211010501</v>
      </c>
      <c r="AV131" s="10" t="s">
        <v>1192</v>
      </c>
      <c r="AW131" s="11">
        <v>540000</v>
      </c>
      <c r="AZ131" s="11">
        <f ca="1">IFERROR(OFFSET(ITEM_RES!$A$1,MATCH(BA131,ITEM_RES!$J:$J,0)-1,0),0)</f>
        <v>211020401</v>
      </c>
      <c r="BA131" s="10" t="s">
        <v>1190</v>
      </c>
      <c r="BB131" s="11">
        <v>1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923</v>
      </c>
      <c r="N132" s="9" t="s">
        <v>943</v>
      </c>
      <c r="O132" s="9">
        <v>1</v>
      </c>
      <c r="P132" s="9">
        <v>15</v>
      </c>
      <c r="Q132" s="9" t="s">
        <v>1228</v>
      </c>
      <c r="U132" s="9" t="s">
        <v>691</v>
      </c>
      <c r="X132" s="9">
        <f ca="1">IFERROR(OFFSET(ITEM_RES!$A$5,MATCH(BUILDING!W132,ITEM_RES!$J$5:$J$226,0)-1,0),0)</f>
        <v>0</v>
      </c>
      <c r="Z132" s="84" t="s">
        <v>544</v>
      </c>
      <c r="AA132" s="9">
        <f ca="1">IFERROR(OFFSET(ITEM_RES!$A$5,MATCH(BUILDING!Z132,ITEM_RES!$J$5:$J$226,0)-1,0),0)</f>
        <v>211010501</v>
      </c>
      <c r="AC132" s="9" t="s">
        <v>514</v>
      </c>
      <c r="AD132" s="9">
        <v>8</v>
      </c>
      <c r="AF132" s="11">
        <f ca="1">IFERROR(OFFSET(MANOR_LEVEL!$B$1,MATCH(AG132-1,MANOR_LEVEL!$A:$A,0)-1,0),0)</f>
        <v>1500</v>
      </c>
      <c r="AG132" s="56">
        <v>5</v>
      </c>
      <c r="AI132" s="56">
        <f t="shared" ca="1" si="63"/>
        <v>10100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10100.01</v>
      </c>
      <c r="AK132" s="182">
        <f t="shared" ca="1" si="66"/>
        <v>15600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0</v>
      </c>
      <c r="AR132" s="10">
        <v>0</v>
      </c>
      <c r="AS132" s="56">
        <f t="shared" si="29"/>
        <v>2</v>
      </c>
      <c r="AU132" s="11">
        <f ca="1">IFERROR(OFFSET(ITEM_RES!$A$1,MATCH(AV132,ITEM_RES!$J:$J,0)-1,0),0)</f>
        <v>211010501</v>
      </c>
      <c r="AV132" s="10" t="s">
        <v>1192</v>
      </c>
      <c r="AW132" s="11">
        <v>1000000</v>
      </c>
      <c r="AZ132" s="11">
        <f ca="1">IFERROR(OFFSET(ITEM_RES!$A$1,MATCH(BA132,ITEM_RES!$J:$J,0)-1,0),0)</f>
        <v>211020401</v>
      </c>
      <c r="BA132" s="10" t="s">
        <v>1190</v>
      </c>
      <c r="BB132" s="11">
        <v>1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923</v>
      </c>
      <c r="N133" s="9" t="s">
        <v>943</v>
      </c>
      <c r="O133" s="9">
        <v>1</v>
      </c>
      <c r="P133" s="9">
        <v>15</v>
      </c>
      <c r="Q133" s="9" t="s">
        <v>1228</v>
      </c>
      <c r="U133" s="9" t="s">
        <v>691</v>
      </c>
      <c r="X133" s="9">
        <f ca="1">IFERROR(OFFSET(ITEM_RES!$A$5,MATCH(BUILDING!W133,ITEM_RES!$J$5:$J$226,0)-1,0),0)</f>
        <v>0</v>
      </c>
      <c r="Z133" s="84" t="s">
        <v>544</v>
      </c>
      <c r="AA133" s="9">
        <f ca="1">IFERROR(OFFSET(ITEM_RES!$A$5,MATCH(BUILDING!Z133,ITEM_RES!$J$5:$J$226,0)-1,0),0)</f>
        <v>211010501</v>
      </c>
      <c r="AC133" s="9" t="s">
        <v>514</v>
      </c>
      <c r="AD133" s="9">
        <v>9</v>
      </c>
      <c r="AF133" s="11">
        <f ca="1">IFERROR(OFFSET(MANOR_LEVEL!$B$1,MATCH(AG133-1,MANOR_LEVEL!$A:$A,0)-1,0),0)</f>
        <v>3872</v>
      </c>
      <c r="AG133" s="56">
        <v>6</v>
      </c>
      <c r="AI133" s="56">
        <f t="shared" ca="1" si="63"/>
        <v>15950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15950.01</v>
      </c>
      <c r="AK133" s="182">
        <f t="shared" ca="1" si="66"/>
        <v>26050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0</v>
      </c>
      <c r="AR133" s="10">
        <v>0</v>
      </c>
      <c r="AS133" s="56">
        <f t="shared" si="29"/>
        <v>2</v>
      </c>
      <c r="AU133" s="11">
        <f ca="1">IFERROR(OFFSET(ITEM_RES!$A$1,MATCH(AV133,ITEM_RES!$J:$J,0)-1,0),0)</f>
        <v>211010501</v>
      </c>
      <c r="AV133" s="10" t="s">
        <v>1192</v>
      </c>
      <c r="AW133" s="11">
        <v>1580000</v>
      </c>
      <c r="AZ133" s="11">
        <f ca="1">IFERROR(OFFSET(ITEM_RES!$A$1,MATCH(BA133,ITEM_RES!$J:$J,0)-1,0),0)</f>
        <v>211020401</v>
      </c>
      <c r="BA133" s="10" t="s">
        <v>1190</v>
      </c>
      <c r="BB133" s="11">
        <v>1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923</v>
      </c>
      <c r="N134" s="9" t="s">
        <v>943</v>
      </c>
      <c r="O134" s="9">
        <v>1</v>
      </c>
      <c r="P134" s="9">
        <v>15</v>
      </c>
      <c r="Q134" s="9" t="s">
        <v>1228</v>
      </c>
      <c r="U134" s="9" t="s">
        <v>691</v>
      </c>
      <c r="X134" s="9">
        <f ca="1">IFERROR(OFFSET(ITEM_RES!$A$5,MATCH(BUILDING!W134,ITEM_RES!$J$5:$J$226,0)-1,0),0)</f>
        <v>0</v>
      </c>
      <c r="Z134" s="84" t="s">
        <v>544</v>
      </c>
      <c r="AA134" s="9">
        <f ca="1">IFERROR(OFFSET(ITEM_RES!$A$5,MATCH(BUILDING!Z134,ITEM_RES!$J$5:$J$226,0)-1,0),0)</f>
        <v>211010501</v>
      </c>
      <c r="AC134" s="9" t="s">
        <v>514</v>
      </c>
      <c r="AD134" s="9">
        <v>10</v>
      </c>
      <c r="AF134" s="11">
        <f ca="1">IFERROR(OFFSET(MANOR_LEVEL!$B$1,MATCH(AG134-1,MANOR_LEVEL!$A:$A,0)-1,0),0)</f>
        <v>32640</v>
      </c>
      <c r="AG134" s="56">
        <v>7</v>
      </c>
      <c r="AI134" s="56">
        <f t="shared" ca="1" si="63"/>
        <v>22200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22200.01</v>
      </c>
      <c r="AK134" s="182">
        <f t="shared" ca="1" si="66"/>
        <v>38150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0</v>
      </c>
      <c r="AR134" s="10">
        <v>0</v>
      </c>
      <c r="AS134" s="56">
        <f t="shared" ref="AS134:AS237" si="68">(AW134&gt;0)*1+(BB134&gt;0)*1+(BG134&gt;0)*1+(BL134&gt;0)*1+(BQ134&gt;0)*1</f>
        <v>2</v>
      </c>
      <c r="AU134" s="11">
        <f ca="1">IFERROR(OFFSET(ITEM_RES!$A$1,MATCH(AV134,ITEM_RES!$J:$J,0)-1,0),0)</f>
        <v>211010501</v>
      </c>
      <c r="AV134" s="10" t="s">
        <v>1192</v>
      </c>
      <c r="AW134" s="11">
        <v>2200000</v>
      </c>
      <c r="AZ134" s="11">
        <f ca="1">IFERROR(OFFSET(ITEM_RES!$A$1,MATCH(BA134,ITEM_RES!$J:$J,0)-1,0),0)</f>
        <v>211020401</v>
      </c>
      <c r="BA134" s="10" t="s">
        <v>1190</v>
      </c>
      <c r="BB134" s="11">
        <v>1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923</v>
      </c>
      <c r="N135" s="9" t="s">
        <v>943</v>
      </c>
      <c r="O135" s="9">
        <v>1</v>
      </c>
      <c r="P135" s="9">
        <v>15</v>
      </c>
      <c r="Q135" s="9" t="s">
        <v>1228</v>
      </c>
      <c r="U135" s="9" t="s">
        <v>691</v>
      </c>
      <c r="X135" s="9">
        <f ca="1">IFERROR(OFFSET(ITEM_RES!$A$5,MATCH(BUILDING!W135,ITEM_RES!$J$5:$J$226,0)-1,0),0)</f>
        <v>0</v>
      </c>
      <c r="Z135" s="84" t="s">
        <v>544</v>
      </c>
      <c r="AA135" s="9">
        <f ca="1">IFERROR(OFFSET(ITEM_RES!$A$5,MATCH(BUILDING!Z135,ITEM_RES!$J$5:$J$226,0)-1,0),0)</f>
        <v>211010501</v>
      </c>
      <c r="AC135" s="9" t="s">
        <v>514</v>
      </c>
      <c r="AD135" s="9">
        <v>11</v>
      </c>
      <c r="AF135" s="11">
        <f ca="1">IFERROR(OFFSET(MANOR_LEVEL!$B$1,MATCH(AG135-1,MANOR_LEVEL!$A:$A,0)-1,0),0)</f>
        <v>94800</v>
      </c>
      <c r="AG135" s="56">
        <v>8</v>
      </c>
      <c r="AI135" s="56">
        <f t="shared" ca="1" si="63"/>
        <v>88250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88250.01</v>
      </c>
      <c r="AK135" s="182">
        <f t="shared" ca="1" si="66"/>
        <v>110450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0</v>
      </c>
      <c r="AR135" s="10">
        <v>0</v>
      </c>
      <c r="AS135" s="56">
        <f t="shared" si="68"/>
        <v>2</v>
      </c>
      <c r="AU135" s="11">
        <f ca="1">IFERROR(OFFSET(ITEM_RES!$A$1,MATCH(AV135,ITEM_RES!$J:$J,0)-1,0),0)</f>
        <v>211010601</v>
      </c>
      <c r="AV135" s="10" t="s">
        <v>1193</v>
      </c>
      <c r="AW135" s="11">
        <v>4400000</v>
      </c>
      <c r="AZ135" s="11">
        <f ca="1">IFERROR(OFFSET(ITEM_RES!$A$1,MATCH(BA135,ITEM_RES!$J:$J,0)-1,0),0)</f>
        <v>211020401</v>
      </c>
      <c r="BA135" s="10" t="s">
        <v>1190</v>
      </c>
      <c r="BB135" s="11">
        <v>1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923</v>
      </c>
      <c r="N136" s="9" t="s">
        <v>943</v>
      </c>
      <c r="O136" s="9">
        <v>1</v>
      </c>
      <c r="P136" s="9">
        <v>15</v>
      </c>
      <c r="Q136" s="9" t="s">
        <v>1228</v>
      </c>
      <c r="U136" s="9" t="s">
        <v>691</v>
      </c>
      <c r="X136" s="9">
        <f ca="1">IFERROR(OFFSET(ITEM_RES!$A$5,MATCH(BUILDING!W136,ITEM_RES!$J$5:$J$226,0)-1,0),0)</f>
        <v>0</v>
      </c>
      <c r="Z136" s="84" t="s">
        <v>544</v>
      </c>
      <c r="AA136" s="9">
        <f ca="1">IFERROR(OFFSET(ITEM_RES!$A$5,MATCH(BUILDING!Z136,ITEM_RES!$J$5:$J$226,0)-1,0),0)</f>
        <v>211010501</v>
      </c>
      <c r="AC136" s="9" t="s">
        <v>514</v>
      </c>
      <c r="AD136" s="9">
        <v>12</v>
      </c>
      <c r="AF136" s="11">
        <f ca="1">IFERROR(OFFSET(MANOR_LEVEL!$B$1,MATCH(AG136-1,MANOR_LEVEL!$A:$A,0)-1,0),0)</f>
        <v>186400</v>
      </c>
      <c r="AG136" s="56">
        <v>9</v>
      </c>
      <c r="AI136" s="56">
        <f t="shared" ca="1" si="63"/>
        <v>104300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104300.01</v>
      </c>
      <c r="AK136" s="182">
        <f t="shared" ca="1" si="66"/>
        <v>192550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0</v>
      </c>
      <c r="AR136" s="10">
        <v>0</v>
      </c>
      <c r="AS136" s="56">
        <f t="shared" si="68"/>
        <v>2</v>
      </c>
      <c r="AU136" s="11">
        <f ca="1">IFERROR(OFFSET(ITEM_RES!$A$1,MATCH(AV136,ITEM_RES!$J:$J,0)-1,0),0)</f>
        <v>211010601</v>
      </c>
      <c r="AV136" s="10" t="s">
        <v>1193</v>
      </c>
      <c r="AW136" s="11">
        <v>5200000</v>
      </c>
      <c r="AZ136" s="11">
        <f ca="1">IFERROR(OFFSET(ITEM_RES!$A$1,MATCH(BA136,ITEM_RES!$J:$J,0)-1,0),0)</f>
        <v>211020401</v>
      </c>
      <c r="BA136" s="10" t="s">
        <v>1190</v>
      </c>
      <c r="BB136" s="11">
        <v>1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923</v>
      </c>
      <c r="N137" s="9" t="s">
        <v>943</v>
      </c>
      <c r="O137" s="9">
        <v>1</v>
      </c>
      <c r="P137" s="9">
        <v>15</v>
      </c>
      <c r="Q137" s="9" t="s">
        <v>1228</v>
      </c>
      <c r="U137" s="9" t="s">
        <v>691</v>
      </c>
      <c r="X137" s="9">
        <f ca="1">IFERROR(OFFSET(ITEM_RES!$A$5,MATCH(BUILDING!W137,ITEM_RES!$J$5:$J$226,0)-1,0),0)</f>
        <v>0</v>
      </c>
      <c r="Z137" s="84" t="s">
        <v>544</v>
      </c>
      <c r="AA137" s="9">
        <f ca="1">IFERROR(OFFSET(ITEM_RES!$A$5,MATCH(BUILDING!Z137,ITEM_RES!$J$5:$J$226,0)-1,0),0)</f>
        <v>211010501</v>
      </c>
      <c r="AC137" s="9" t="s">
        <v>514</v>
      </c>
      <c r="AD137" s="9">
        <v>13</v>
      </c>
      <c r="AF137" s="11">
        <f ca="1">IFERROR(OFFSET(MANOR_LEVEL!$B$1,MATCH(AG137-1,MANOR_LEVEL!$A:$A,0)-1,0),0)</f>
        <v>311600</v>
      </c>
      <c r="AG137" s="56">
        <v>10</v>
      </c>
      <c r="AI137" s="56">
        <f t="shared" ca="1" si="63"/>
        <v>172350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172350.01</v>
      </c>
      <c r="AK137" s="182">
        <f t="shared" ca="1" si="66"/>
        <v>276650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0</v>
      </c>
      <c r="AR137" s="10">
        <v>0</v>
      </c>
      <c r="AS137" s="56">
        <f t="shared" si="68"/>
        <v>2</v>
      </c>
      <c r="AU137" s="11">
        <f ca="1">IFERROR(OFFSET(ITEM_RES!$A$1,MATCH(AV137,ITEM_RES!$J:$J,0)-1,0),0)</f>
        <v>211010601</v>
      </c>
      <c r="AV137" s="10" t="s">
        <v>1193</v>
      </c>
      <c r="AW137" s="11">
        <v>8600000</v>
      </c>
      <c r="AZ137" s="11">
        <f ca="1">IFERROR(OFFSET(ITEM_RES!$A$1,MATCH(BA137,ITEM_RES!$J:$J,0)-1,0),0)</f>
        <v>211020401</v>
      </c>
      <c r="BA137" s="10" t="s">
        <v>1190</v>
      </c>
      <c r="BB137" s="11">
        <v>1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923</v>
      </c>
      <c r="N138" s="9" t="s">
        <v>943</v>
      </c>
      <c r="O138" s="9">
        <v>1</v>
      </c>
      <c r="P138" s="9">
        <v>15</v>
      </c>
      <c r="Q138" s="9" t="s">
        <v>1228</v>
      </c>
      <c r="U138" s="9" t="s">
        <v>691</v>
      </c>
      <c r="X138" s="9">
        <f ca="1">IFERROR(OFFSET(ITEM_RES!$A$5,MATCH(BUILDING!W138,ITEM_RES!$J$5:$J$226,0)-1,0),0)</f>
        <v>0</v>
      </c>
      <c r="Z138" s="84" t="s">
        <v>544</v>
      </c>
      <c r="AA138" s="9">
        <f ca="1">IFERROR(OFFSET(ITEM_RES!$A$5,MATCH(BUILDING!Z138,ITEM_RES!$J$5:$J$226,0)-1,0),0)</f>
        <v>211010501</v>
      </c>
      <c r="AC138" s="9" t="s">
        <v>514</v>
      </c>
      <c r="AD138" s="9">
        <v>14</v>
      </c>
      <c r="AF138" s="11">
        <f ca="1">IFERROR(OFFSET(MANOR_LEVEL!$B$1,MATCH(AG138-1,MANOR_LEVEL!$A:$A,0)-1,0),0)</f>
        <v>456800</v>
      </c>
      <c r="AG138" s="56">
        <v>11</v>
      </c>
      <c r="AI138" s="56">
        <f t="shared" ca="1" si="63"/>
        <v>264450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264450.01</v>
      </c>
      <c r="AK138" s="182">
        <f t="shared" ca="1" si="66"/>
        <v>436800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0</v>
      </c>
      <c r="AR138" s="10">
        <v>0</v>
      </c>
      <c r="AS138" s="56">
        <f t="shared" si="68"/>
        <v>2</v>
      </c>
      <c r="AU138" s="11">
        <f ca="1">IFERROR(OFFSET(ITEM_RES!$A$1,MATCH(AV138,ITEM_RES!$J:$J,0)-1,0),0)</f>
        <v>211010601</v>
      </c>
      <c r="AV138" s="10" t="s">
        <v>1193</v>
      </c>
      <c r="AW138" s="11">
        <v>13200000</v>
      </c>
      <c r="AZ138" s="11">
        <f ca="1">IFERROR(OFFSET(ITEM_RES!$A$1,MATCH(BA138,ITEM_RES!$J:$J,0)-1,0),0)</f>
        <v>211020401</v>
      </c>
      <c r="BA138" s="10" t="s">
        <v>1190</v>
      </c>
      <c r="BB138" s="11">
        <v>1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923</v>
      </c>
      <c r="N139" s="9" t="s">
        <v>943</v>
      </c>
      <c r="O139" s="9">
        <v>1</v>
      </c>
      <c r="P139" s="9">
        <v>15</v>
      </c>
      <c r="Q139" s="9" t="s">
        <v>1228</v>
      </c>
      <c r="U139" s="9" t="s">
        <v>691</v>
      </c>
      <c r="X139" s="9">
        <f ca="1">IFERROR(OFFSET(ITEM_RES!$A$5,MATCH(BUILDING!W139,ITEM_RES!$J$5:$J$226,0)-1,0),0)</f>
        <v>0</v>
      </c>
      <c r="Z139" s="84" t="s">
        <v>544</v>
      </c>
      <c r="AA139" s="9">
        <f ca="1">IFERROR(OFFSET(ITEM_RES!$A$5,MATCH(BUILDING!Z139,ITEM_RES!$J$5:$J$226,0)-1,0),0)</f>
        <v>211010501</v>
      </c>
      <c r="AC139" s="9" t="s">
        <v>514</v>
      </c>
      <c r="AD139" s="9">
        <v>15</v>
      </c>
      <c r="AF139" s="11">
        <f ca="1">IFERROR(OFFSET(MANOR_LEVEL!$B$1,MATCH(AG139-1,MANOR_LEVEL!$A:$A,0)-1,0),0)</f>
        <v>796000</v>
      </c>
      <c r="AG139" s="56">
        <v>12</v>
      </c>
      <c r="AI139" s="56">
        <f t="shared" ca="1" si="63"/>
        <v>440550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440550.01</v>
      </c>
      <c r="AK139" s="182">
        <f t="shared" ca="1" si="66"/>
        <v>705000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0</v>
      </c>
      <c r="AR139" s="10">
        <v>0</v>
      </c>
      <c r="AS139" s="56">
        <f t="shared" si="68"/>
        <v>2</v>
      </c>
      <c r="AU139" s="11">
        <f ca="1">IFERROR(OFFSET(ITEM_RES!$A$1,MATCH(AV139,ITEM_RES!$J:$J,0)-1,0),0)</f>
        <v>211010601</v>
      </c>
      <c r="AV139" s="10" t="s">
        <v>1193</v>
      </c>
      <c r="AW139" s="11">
        <v>22000000</v>
      </c>
      <c r="AZ139" s="11">
        <f ca="1">IFERROR(OFFSET(ITEM_RES!$A$1,MATCH(BA139,ITEM_RES!$J:$J,0)-1,0),0)</f>
        <v>211020401</v>
      </c>
      <c r="BA139" s="10" t="s">
        <v>1190</v>
      </c>
      <c r="BB139" s="11">
        <v>1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923</v>
      </c>
      <c r="N140" s="9" t="s">
        <v>943</v>
      </c>
      <c r="O140" s="9">
        <v>0</v>
      </c>
      <c r="P140" s="9">
        <v>15</v>
      </c>
      <c r="Q140" s="9" t="s">
        <v>1228</v>
      </c>
      <c r="U140" s="9" t="s">
        <v>691</v>
      </c>
      <c r="X140" s="9">
        <f ca="1">IFERROR(OFFSET(ITEM_RES!$A$5,MATCH(BUILDING!W140,ITEM_RES!$J$5:$J$226,0)-1,0),0)</f>
        <v>0</v>
      </c>
      <c r="Z140" s="84" t="s">
        <v>544</v>
      </c>
      <c r="AA140" s="9">
        <f ca="1">IFERROR(OFFSET(ITEM_RES!$A$5,MATCH(BUILDING!Z140,ITEM_RES!$J$5:$J$226,0)-1,0),0)</f>
        <v>211010501</v>
      </c>
      <c r="AC140" s="9" t="s">
        <v>514</v>
      </c>
      <c r="AD140" s="9">
        <v>16</v>
      </c>
      <c r="AF140" s="11">
        <f ca="1">IFERROR(OFFSET(MANOR_LEVEL!$B$1,MATCH(AG140-1,MANOR_LEVEL!$A:$A,0)-1,0),0)</f>
        <v>1156400</v>
      </c>
      <c r="AG140" s="56">
        <v>13</v>
      </c>
      <c r="AI140" s="56">
        <f t="shared" ca="1" si="63"/>
        <v>600700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600700.01</v>
      </c>
      <c r="AK140" s="182">
        <f t="shared" ca="1" si="66"/>
        <v>1041250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0</v>
      </c>
      <c r="AR140" s="10">
        <v>0</v>
      </c>
      <c r="AS140" s="56">
        <f t="shared" si="68"/>
        <v>2</v>
      </c>
      <c r="AU140" s="11">
        <f ca="1">IFERROR(OFFSET(ITEM_RES!$A$1,MATCH(AV140,ITEM_RES!$J:$J,0)-1,0),0)</f>
        <v>211010601</v>
      </c>
      <c r="AV140" s="10" t="s">
        <v>1193</v>
      </c>
      <c r="AW140" s="11">
        <v>30000000</v>
      </c>
      <c r="AZ140" s="11">
        <f ca="1">IFERROR(OFFSET(ITEM_RES!$A$1,MATCH(BA140,ITEM_RES!$J:$J,0)-1,0),0)</f>
        <v>211020401</v>
      </c>
      <c r="BA140" s="10" t="s">
        <v>1190</v>
      </c>
      <c r="BB140" s="11">
        <v>1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923</v>
      </c>
      <c r="N141" s="9" t="s">
        <v>943</v>
      </c>
      <c r="O141" s="9">
        <v>0</v>
      </c>
      <c r="P141" s="9">
        <v>15</v>
      </c>
      <c r="Q141" s="9" t="s">
        <v>1228</v>
      </c>
      <c r="U141" s="9" t="s">
        <v>691</v>
      </c>
      <c r="X141" s="9">
        <f ca="1">IFERROR(OFFSET(ITEM_RES!$A$5,MATCH(BUILDING!W141,ITEM_RES!$J$5:$J$226,0)-1,0),0)</f>
        <v>0</v>
      </c>
      <c r="Z141" s="84" t="s">
        <v>544</v>
      </c>
      <c r="AA141" s="9">
        <f ca="1">IFERROR(OFFSET(ITEM_RES!$A$5,MATCH(BUILDING!Z141,ITEM_RES!$J$5:$J$226,0)-1,0),0)</f>
        <v>211010501</v>
      </c>
      <c r="AC141" s="9" t="s">
        <v>514</v>
      </c>
      <c r="AD141" s="9">
        <v>17</v>
      </c>
      <c r="AF141" s="11">
        <f ca="1">IFERROR(OFFSET(MANOR_LEVEL!$B$1,MATCH(AG141-1,MANOR_LEVEL!$A:$A,0)-1,0),0)</f>
        <v>1661200</v>
      </c>
      <c r="AG141" s="56">
        <v>14</v>
      </c>
      <c r="AI141" s="56">
        <f t="shared" ca="1" si="63"/>
        <v>920850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920850.2</v>
      </c>
      <c r="AK141" s="182">
        <f t="shared" ca="1" si="66"/>
        <v>1521550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0</v>
      </c>
      <c r="AR141" s="10">
        <v>0</v>
      </c>
      <c r="AS141" s="56">
        <f t="shared" si="68"/>
        <v>2</v>
      </c>
      <c r="AU141" s="11">
        <f ca="1">IFERROR(OFFSET(ITEM_RES!$A$1,MATCH(AV141,ITEM_RES!$J:$J,0)-1,0),0)</f>
        <v>211010601</v>
      </c>
      <c r="AV141" s="10" t="s">
        <v>1193</v>
      </c>
      <c r="AW141" s="11">
        <v>46000000</v>
      </c>
      <c r="AZ141" s="11">
        <f ca="1">IFERROR(OFFSET(ITEM_RES!$A$1,MATCH(BA141,ITEM_RES!$J:$J,0)-1,0),0)</f>
        <v>211020501</v>
      </c>
      <c r="BA141" s="10" t="s">
        <v>1194</v>
      </c>
      <c r="BB141" s="11">
        <v>1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923</v>
      </c>
      <c r="N142" s="9" t="s">
        <v>943</v>
      </c>
      <c r="O142" s="9">
        <v>0</v>
      </c>
      <c r="P142" s="9">
        <v>15</v>
      </c>
      <c r="Q142" s="9" t="s">
        <v>1228</v>
      </c>
      <c r="U142" s="9" t="s">
        <v>691</v>
      </c>
      <c r="X142" s="9">
        <f ca="1">IFERROR(OFFSET(ITEM_RES!$A$5,MATCH(BUILDING!W142,ITEM_RES!$J$5:$J$226,0)-1,0),0)</f>
        <v>0</v>
      </c>
      <c r="Z142" s="84" t="s">
        <v>544</v>
      </c>
      <c r="AA142" s="9">
        <f ca="1">IFERROR(OFFSET(ITEM_RES!$A$5,MATCH(BUILDING!Z142,ITEM_RES!$J$5:$J$226,0)-1,0),0)</f>
        <v>211010501</v>
      </c>
      <c r="AC142" s="9" t="s">
        <v>514</v>
      </c>
      <c r="AD142" s="9">
        <v>18</v>
      </c>
      <c r="AF142" s="11">
        <f ca="1">IFERROR(OFFSET(MANOR_LEVEL!$B$1,MATCH(AG142-1,MANOR_LEVEL!$A:$A,0)-1,0),0)</f>
        <v>2622400</v>
      </c>
      <c r="AG142" s="56">
        <v>15</v>
      </c>
      <c r="AI142" s="56">
        <f t="shared" ca="1" si="63"/>
        <v>1401050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1401050.2</v>
      </c>
      <c r="AK142" s="182">
        <f t="shared" ca="1" si="66"/>
        <v>2321900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0</v>
      </c>
      <c r="AR142" s="10">
        <v>0</v>
      </c>
      <c r="AS142" s="56">
        <f t="shared" si="68"/>
        <v>2</v>
      </c>
      <c r="AU142" s="11">
        <f ca="1">IFERROR(OFFSET(ITEM_RES!$A$1,MATCH(AV142,ITEM_RES!$J:$J,0)-1,0),0)</f>
        <v>211010601</v>
      </c>
      <c r="AV142" s="10" t="s">
        <v>1193</v>
      </c>
      <c r="AW142" s="11">
        <v>70000000</v>
      </c>
      <c r="AZ142" s="11">
        <f ca="1">IFERROR(OFFSET(ITEM_RES!$A$1,MATCH(BA142,ITEM_RES!$J:$J,0)-1,0),0)</f>
        <v>211020501</v>
      </c>
      <c r="BA142" s="10" t="s">
        <v>1194</v>
      </c>
      <c r="BB142" s="11">
        <v>1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923</v>
      </c>
      <c r="N143" s="9" t="s">
        <v>943</v>
      </c>
      <c r="O143" s="9">
        <v>0</v>
      </c>
      <c r="P143" s="9">
        <v>15</v>
      </c>
      <c r="Q143" s="9" t="s">
        <v>1228</v>
      </c>
      <c r="U143" s="9" t="s">
        <v>691</v>
      </c>
      <c r="X143" s="9">
        <f ca="1">IFERROR(OFFSET(ITEM_RES!$A$5,MATCH(BUILDING!W143,ITEM_RES!$J$5:$J$226,0)-1,0),0)</f>
        <v>0</v>
      </c>
      <c r="Z143" s="84" t="s">
        <v>544</v>
      </c>
      <c r="AA143" s="9">
        <f ca="1">IFERROR(OFFSET(ITEM_RES!$A$5,MATCH(BUILDING!Z143,ITEM_RES!$J$5:$J$226,0)-1,0),0)</f>
        <v>211010501</v>
      </c>
      <c r="AC143" s="9" t="s">
        <v>514</v>
      </c>
      <c r="AD143" s="9">
        <v>19</v>
      </c>
      <c r="AF143" s="11">
        <f ca="1">IFERROR(OFFSET(MANOR_LEVEL!$B$1,MATCH(AG143-1,MANOR_LEVEL!$A:$A,0)-1,0),0)</f>
        <v>4232000</v>
      </c>
      <c r="AG143" s="56">
        <v>16</v>
      </c>
      <c r="AI143" s="56">
        <f t="shared" ca="1" si="63"/>
        <v>1921250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1921250.2</v>
      </c>
      <c r="AK143" s="182">
        <f t="shared" ca="1" si="66"/>
        <v>3322300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0</v>
      </c>
      <c r="AR143" s="10">
        <v>0</v>
      </c>
      <c r="AS143" s="56">
        <f t="shared" si="68"/>
        <v>2</v>
      </c>
      <c r="AU143" s="11">
        <f ca="1">IFERROR(OFFSET(ITEM_RES!$A$1,MATCH(AV143,ITEM_RES!$J:$J,0)-1,0),0)</f>
        <v>211010601</v>
      </c>
      <c r="AV143" s="10" t="s">
        <v>1193</v>
      </c>
      <c r="AW143" s="11">
        <v>96000000</v>
      </c>
      <c r="AZ143" s="11">
        <f ca="1">IFERROR(OFFSET(ITEM_RES!$A$1,MATCH(BA143,ITEM_RES!$J:$J,0)-1,0),0)</f>
        <v>211020501</v>
      </c>
      <c r="BA143" s="10" t="s">
        <v>1194</v>
      </c>
      <c r="BB143" s="11">
        <v>1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923</v>
      </c>
      <c r="N144" s="9" t="s">
        <v>943</v>
      </c>
      <c r="O144" s="9">
        <v>0</v>
      </c>
      <c r="P144" s="9">
        <v>15</v>
      </c>
      <c r="Q144" s="9" t="s">
        <v>1228</v>
      </c>
      <c r="U144" s="9" t="s">
        <v>691</v>
      </c>
      <c r="X144" s="9">
        <f ca="1">IFERROR(OFFSET(ITEM_RES!$A$5,MATCH(BUILDING!W144,ITEM_RES!$J$5:$J$226,0)-1,0),0)</f>
        <v>0</v>
      </c>
      <c r="Z144" s="84" t="s">
        <v>544</v>
      </c>
      <c r="AA144" s="9">
        <f ca="1">IFERROR(OFFSET(ITEM_RES!$A$5,MATCH(BUILDING!Z144,ITEM_RES!$J$5:$J$226,0)-1,0),0)</f>
        <v>211010501</v>
      </c>
      <c r="AC144" s="9" t="s">
        <v>514</v>
      </c>
      <c r="AD144" s="9">
        <v>20</v>
      </c>
      <c r="AF144" s="11">
        <f ca="1">IFERROR(OFFSET(MANOR_LEVEL!$B$1,MATCH(AG144-1,MANOR_LEVEL!$A:$A,0)-1,0),0)</f>
        <v>7450000</v>
      </c>
      <c r="AG144" s="56">
        <v>17</v>
      </c>
      <c r="AI144" s="56">
        <f t="shared" ca="1" si="63"/>
        <v>3041500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3041500.2</v>
      </c>
      <c r="AK144" s="182">
        <f t="shared" ca="1" si="66"/>
        <v>4962750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0</v>
      </c>
      <c r="AR144" s="10">
        <v>0</v>
      </c>
      <c r="AS144" s="56">
        <f t="shared" si="68"/>
        <v>2</v>
      </c>
      <c r="AU144" s="11">
        <f ca="1">IFERROR(OFFSET(ITEM_RES!$A$1,MATCH(AV144,ITEM_RES!$J:$J,0)-1,0),0)</f>
        <v>211010601</v>
      </c>
      <c r="AV144" s="10" t="s">
        <v>1193</v>
      </c>
      <c r="AW144" s="11">
        <v>152000000</v>
      </c>
      <c r="AZ144" s="11">
        <f ca="1">IFERROR(OFFSET(ITEM_RES!$A$1,MATCH(BA144,ITEM_RES!$J:$J,0)-1,0),0)</f>
        <v>211020501</v>
      </c>
      <c r="BA144" s="10" t="s">
        <v>1194</v>
      </c>
      <c r="BB144" s="11">
        <v>1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 t="s">
        <v>924</v>
      </c>
      <c r="N145" s="16" t="s">
        <v>944</v>
      </c>
      <c r="O145" s="16">
        <v>1</v>
      </c>
      <c r="P145" s="16">
        <v>15</v>
      </c>
      <c r="Q145" s="16" t="s">
        <v>1229</v>
      </c>
      <c r="R145" s="17"/>
      <c r="S145" s="17"/>
      <c r="T145" s="18"/>
      <c r="U145" s="16" t="s">
        <v>711</v>
      </c>
      <c r="V145" s="78"/>
      <c r="W145" s="86"/>
      <c r="X145" s="16">
        <f ca="1">IFERROR(OFFSET(ITEM_RES!$A$5,MATCH(BUILDING!W145,ITEM_RES!$J$5:$J$226,0)-1,0),0)</f>
        <v>0</v>
      </c>
      <c r="Y145" s="18"/>
      <c r="Z145" s="86" t="s">
        <v>544</v>
      </c>
      <c r="AA145" s="16">
        <f ca="1">IFERROR(OFFSET(ITEM_RES!$A$5,MATCH(BUILDING!Z145,ITEM_RES!$J$5:$J$226,0)-1,0),0)</f>
        <v>211010501</v>
      </c>
      <c r="AB145" s="78"/>
      <c r="AC145" s="16" t="s">
        <v>515</v>
      </c>
      <c r="AD145" s="16">
        <v>1</v>
      </c>
      <c r="AE145" s="78"/>
      <c r="AF145" s="18">
        <f ca="1">IFERROR(OFFSET(MANOR_LEVEL!$B$1,MATCH(AG145-1,MANOR_LEVEL!$A:$A,0)-1,0),0)</f>
        <v>186400</v>
      </c>
      <c r="AG145" s="57">
        <v>9</v>
      </c>
      <c r="AH145" s="78"/>
      <c r="AI145" s="57">
        <f t="shared" ca="1" si="63"/>
        <v>105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105.3</v>
      </c>
      <c r="AK145" s="184">
        <f ca="1">AI145</f>
        <v>105</v>
      </c>
      <c r="AL145" s="78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0</v>
      </c>
      <c r="AR145" s="17">
        <v>0</v>
      </c>
      <c r="AS145" s="57">
        <f t="shared" si="68"/>
        <v>3</v>
      </c>
      <c r="AT145" s="18"/>
      <c r="AU145" s="18">
        <f ca="1">IFERROR(OFFSET(ITEM_RES!$A$1,MATCH(AV145,ITEM_RES!$J:$J,0)-1,0),0)</f>
        <v>211010501</v>
      </c>
      <c r="AV145" s="17" t="s">
        <v>1191</v>
      </c>
      <c r="AW145" s="18">
        <v>20</v>
      </c>
      <c r="AX145" s="17"/>
      <c r="AY145" s="18"/>
      <c r="AZ145" s="18">
        <f ca="1">IFERROR(OFFSET(ITEM_RES!$A$1,MATCH(BA145,ITEM_RES!$J:$J,0)-1,0),0)</f>
        <v>211020801</v>
      </c>
      <c r="BA145" s="17" t="s">
        <v>1195</v>
      </c>
      <c r="BB145" s="18">
        <v>1</v>
      </c>
      <c r="BC145" s="17"/>
      <c r="BD145" s="18"/>
      <c r="BE145" s="18">
        <f ca="1">IFERROR(OFFSET(ITEM_RES!$A$1,MATCH(BF145,ITEM_RES!$J:$J,0)-1,0),0)</f>
        <v>213010101</v>
      </c>
      <c r="BF145" s="17" t="s">
        <v>452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924</v>
      </c>
      <c r="N146" s="9" t="s">
        <v>944</v>
      </c>
      <c r="O146" s="9">
        <v>1</v>
      </c>
      <c r="P146" s="9">
        <v>15</v>
      </c>
      <c r="Q146" s="9" t="s">
        <v>1229</v>
      </c>
      <c r="U146" s="9" t="s">
        <v>711</v>
      </c>
      <c r="X146" s="9">
        <f ca="1">IFERROR(OFFSET(ITEM_RES!$A$5,MATCH(BUILDING!W146,ITEM_RES!$J$5:$J$226,0)-1,0),0)</f>
        <v>0</v>
      </c>
      <c r="Z146" s="84" t="s">
        <v>544</v>
      </c>
      <c r="AA146" s="9">
        <f ca="1">IFERROR(OFFSET(ITEM_RES!$A$5,MATCH(BUILDING!Z146,ITEM_RES!$J$5:$J$226,0)-1,0),0)</f>
        <v>211010501</v>
      </c>
      <c r="AC146" s="9" t="s">
        <v>515</v>
      </c>
      <c r="AD146" s="9">
        <v>2</v>
      </c>
      <c r="AF146" s="11">
        <f ca="1">IFERROR(OFFSET(MANOR_LEVEL!$B$1,MATCH(AG146-1,MANOR_LEVEL!$A:$A,0)-1,0),0)</f>
        <v>186400</v>
      </c>
      <c r="AG146" s="56">
        <v>9</v>
      </c>
      <c r="AI146" s="56">
        <f t="shared" ca="1" si="63"/>
        <v>10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10.3</v>
      </c>
      <c r="AK146" s="182">
        <f ca="1">AI145+AI146</f>
        <v>115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0</v>
      </c>
      <c r="AR146" s="10">
        <v>0</v>
      </c>
      <c r="AS146" s="56">
        <f t="shared" si="68"/>
        <v>2</v>
      </c>
      <c r="AU146" s="11">
        <f ca="1">IFERROR(OFFSET(ITEM_RES!$A$1,MATCH(AV146,ITEM_RES!$J:$J,0)-1,0),0)</f>
        <v>211010501</v>
      </c>
      <c r="AV146" s="10" t="s">
        <v>1191</v>
      </c>
      <c r="AW146" s="11">
        <v>20</v>
      </c>
      <c r="AZ146" s="11">
        <f ca="1">IFERROR(OFFSET(ITEM_RES!$A$1,MATCH(BA146,ITEM_RES!$J:$J,0)-1,0),0)</f>
        <v>211020801</v>
      </c>
      <c r="BA146" s="10" t="s">
        <v>1195</v>
      </c>
      <c r="BB146" s="11">
        <v>1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924</v>
      </c>
      <c r="N147" s="9" t="s">
        <v>944</v>
      </c>
      <c r="O147" s="9">
        <v>1</v>
      </c>
      <c r="P147" s="9">
        <v>15</v>
      </c>
      <c r="Q147" s="9" t="s">
        <v>1230</v>
      </c>
      <c r="U147" s="9" t="s">
        <v>711</v>
      </c>
      <c r="X147" s="9">
        <f ca="1">IFERROR(OFFSET(ITEM_RES!$A$5,MATCH(BUILDING!W147,ITEM_RES!$J$5:$J$226,0)-1,0),0)</f>
        <v>0</v>
      </c>
      <c r="Z147" s="84" t="s">
        <v>544</v>
      </c>
      <c r="AA147" s="9">
        <f ca="1">IFERROR(OFFSET(ITEM_RES!$A$5,MATCH(BUILDING!Z147,ITEM_RES!$J$5:$J$226,0)-1,0),0)</f>
        <v>211010501</v>
      </c>
      <c r="AC147" s="9" t="s">
        <v>515</v>
      </c>
      <c r="AD147" s="9">
        <v>3</v>
      </c>
      <c r="AF147" s="11">
        <f ca="1">IFERROR(OFFSET(MANOR_LEVEL!$B$1,MATCH(AG147-1,MANOR_LEVEL!$A:$A,0)-1,0),0)</f>
        <v>311600</v>
      </c>
      <c r="AG147" s="56">
        <v>10</v>
      </c>
      <c r="AI147" s="56">
        <f t="shared" ca="1" si="63"/>
        <v>17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16.7</v>
      </c>
      <c r="AK147" s="182">
        <f t="shared" ref="AK147:AK164" ca="1" si="69">AI146+AI147</f>
        <v>27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0</v>
      </c>
      <c r="AR147" s="10">
        <v>0</v>
      </c>
      <c r="AS147" s="56">
        <f t="shared" si="68"/>
        <v>2</v>
      </c>
      <c r="AU147" s="11">
        <f ca="1">IFERROR(OFFSET(ITEM_RES!$A$1,MATCH(AV147,ITEM_RES!$J:$J,0)-1,0),0)</f>
        <v>211010501</v>
      </c>
      <c r="AV147" s="10" t="s">
        <v>1191</v>
      </c>
      <c r="AW147" s="11">
        <v>160</v>
      </c>
      <c r="AZ147" s="11">
        <f ca="1">IFERROR(OFFSET(ITEM_RES!$A$1,MATCH(BA147,ITEM_RES!$J:$J,0)-1,0),0)</f>
        <v>211020801</v>
      </c>
      <c r="BA147" s="10" t="s">
        <v>1195</v>
      </c>
      <c r="BB147" s="11">
        <v>1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924</v>
      </c>
      <c r="N148" s="9" t="s">
        <v>944</v>
      </c>
      <c r="O148" s="9">
        <v>1</v>
      </c>
      <c r="P148" s="9">
        <v>15</v>
      </c>
      <c r="Q148" s="9" t="s">
        <v>1231</v>
      </c>
      <c r="U148" s="9" t="s">
        <v>711</v>
      </c>
      <c r="X148" s="9">
        <f ca="1">IFERROR(OFFSET(ITEM_RES!$A$5,MATCH(BUILDING!W148,ITEM_RES!$J$5:$J$226,0)-1,0),0)</f>
        <v>0</v>
      </c>
      <c r="Z148" s="84" t="s">
        <v>544</v>
      </c>
      <c r="AA148" s="9">
        <f ca="1">IFERROR(OFFSET(ITEM_RES!$A$5,MATCH(BUILDING!Z148,ITEM_RES!$J$5:$J$226,0)-1,0),0)</f>
        <v>211010501</v>
      </c>
      <c r="AC148" s="9" t="s">
        <v>515</v>
      </c>
      <c r="AD148" s="9">
        <v>4</v>
      </c>
      <c r="AF148" s="11">
        <f ca="1">IFERROR(OFFSET(MANOR_LEVEL!$B$1,MATCH(AG148-1,MANOR_LEVEL!$A:$A,0)-1,0),0)</f>
        <v>311600</v>
      </c>
      <c r="AG148" s="56">
        <v>10</v>
      </c>
      <c r="AI148" s="56">
        <f t="shared" ca="1" si="63"/>
        <v>44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44.3</v>
      </c>
      <c r="AK148" s="182">
        <f t="shared" ca="1" si="69"/>
        <v>61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0</v>
      </c>
      <c r="AR148" s="10">
        <v>0</v>
      </c>
      <c r="AS148" s="56">
        <f t="shared" si="68"/>
        <v>2</v>
      </c>
      <c r="AU148" s="11">
        <f ca="1">IFERROR(OFFSET(ITEM_RES!$A$1,MATCH(AV148,ITEM_RES!$J:$J,0)-1,0),0)</f>
        <v>211010501</v>
      </c>
      <c r="AV148" s="10" t="s">
        <v>1191</v>
      </c>
      <c r="AW148" s="11">
        <v>1920</v>
      </c>
      <c r="AZ148" s="11">
        <f ca="1">IFERROR(OFFSET(ITEM_RES!$A$1,MATCH(BA148,ITEM_RES!$J:$J,0)-1,0),0)</f>
        <v>211020801</v>
      </c>
      <c r="BA148" s="10" t="s">
        <v>1195</v>
      </c>
      <c r="BB148" s="11">
        <v>1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924</v>
      </c>
      <c r="N149" s="9" t="s">
        <v>944</v>
      </c>
      <c r="O149" s="9">
        <v>1</v>
      </c>
      <c r="P149" s="9">
        <v>15</v>
      </c>
      <c r="Q149" s="9" t="s">
        <v>1232</v>
      </c>
      <c r="U149" s="9" t="s">
        <v>711</v>
      </c>
      <c r="X149" s="9">
        <f ca="1">IFERROR(OFFSET(ITEM_RES!$A$5,MATCH(BUILDING!W149,ITEM_RES!$J$5:$J$226,0)-1,0),0)</f>
        <v>0</v>
      </c>
      <c r="Z149" s="84" t="s">
        <v>544</v>
      </c>
      <c r="AA149" s="9">
        <f ca="1">IFERROR(OFFSET(ITEM_RES!$A$5,MATCH(BUILDING!Z149,ITEM_RES!$J$5:$J$226,0)-1,0),0)</f>
        <v>211010501</v>
      </c>
      <c r="AC149" s="9" t="s">
        <v>515</v>
      </c>
      <c r="AD149" s="9">
        <v>5</v>
      </c>
      <c r="AF149" s="11">
        <f ca="1">IFERROR(OFFSET(MANOR_LEVEL!$B$1,MATCH(AG149-1,MANOR_LEVEL!$A:$A,0)-1,0),0)</f>
        <v>311600</v>
      </c>
      <c r="AG149" s="56">
        <v>10</v>
      </c>
      <c r="AI149" s="56">
        <f t="shared" ca="1" si="63"/>
        <v>300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300.10000000000002</v>
      </c>
      <c r="AK149" s="182">
        <f t="shared" ca="1" si="69"/>
        <v>344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0</v>
      </c>
      <c r="AR149" s="10">
        <v>0</v>
      </c>
      <c r="AS149" s="56">
        <f t="shared" si="68"/>
        <v>2</v>
      </c>
      <c r="AU149" s="11">
        <f ca="1">IFERROR(OFFSET(ITEM_RES!$A$1,MATCH(AV149,ITEM_RES!$J:$J,0)-1,0),0)</f>
        <v>211010501</v>
      </c>
      <c r="AV149" s="10" t="s">
        <v>1191</v>
      </c>
      <c r="AW149" s="11">
        <v>26000</v>
      </c>
      <c r="AZ149" s="11">
        <f ca="1">IFERROR(OFFSET(ITEM_RES!$A$1,MATCH(BA149,ITEM_RES!$J:$J,0)-1,0),0)</f>
        <v>211020801</v>
      </c>
      <c r="BA149" s="10" t="s">
        <v>1195</v>
      </c>
      <c r="BB149" s="11">
        <v>1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924</v>
      </c>
      <c r="N150" s="9" t="s">
        <v>944</v>
      </c>
      <c r="O150" s="9">
        <v>1</v>
      </c>
      <c r="P150" s="9">
        <v>15</v>
      </c>
      <c r="Q150" s="9" t="s">
        <v>1233</v>
      </c>
      <c r="U150" s="9" t="s">
        <v>711</v>
      </c>
      <c r="X150" s="9">
        <f ca="1">IFERROR(OFFSET(ITEM_RES!$A$5,MATCH(BUILDING!W150,ITEM_RES!$J$5:$J$226,0)-1,0),0)</f>
        <v>0</v>
      </c>
      <c r="Z150" s="84" t="s">
        <v>544</v>
      </c>
      <c r="AA150" s="9">
        <f ca="1">IFERROR(OFFSET(ITEM_RES!$A$5,MATCH(BUILDING!Z150,ITEM_RES!$J$5:$J$226,0)-1,0),0)</f>
        <v>211010501</v>
      </c>
      <c r="AC150" s="9" t="s">
        <v>515</v>
      </c>
      <c r="AD150" s="9">
        <v>6</v>
      </c>
      <c r="AF150" s="11">
        <f ca="1">IFERROR(OFFSET(MANOR_LEVEL!$B$1,MATCH(AG150-1,MANOR_LEVEL!$A:$A,0)-1,0),0)</f>
        <v>311600</v>
      </c>
      <c r="AG150" s="56">
        <v>10</v>
      </c>
      <c r="AI150" s="56">
        <f t="shared" ca="1" si="63"/>
        <v>2450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2450.1</v>
      </c>
      <c r="AK150" s="182">
        <f t="shared" ca="1" si="69"/>
        <v>2750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0</v>
      </c>
      <c r="AR150" s="10">
        <v>0</v>
      </c>
      <c r="AS150" s="56">
        <f t="shared" si="68"/>
        <v>2</v>
      </c>
      <c r="AU150" s="11">
        <f ca="1">IFERROR(OFFSET(ITEM_RES!$A$1,MATCH(AV150,ITEM_RES!$J:$J,0)-1,0),0)</f>
        <v>211010501</v>
      </c>
      <c r="AV150" s="10" t="s">
        <v>1191</v>
      </c>
      <c r="AW150" s="11">
        <v>240000</v>
      </c>
      <c r="AZ150" s="11">
        <f ca="1">IFERROR(OFFSET(ITEM_RES!$A$1,MATCH(BA150,ITEM_RES!$J:$J,0)-1,0),0)</f>
        <v>211020801</v>
      </c>
      <c r="BA150" s="10" t="s">
        <v>1195</v>
      </c>
      <c r="BB150" s="11">
        <v>1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924</v>
      </c>
      <c r="N151" s="9" t="s">
        <v>944</v>
      </c>
      <c r="O151" s="9">
        <v>1</v>
      </c>
      <c r="P151" s="9">
        <v>15</v>
      </c>
      <c r="Q151" s="9" t="s">
        <v>1234</v>
      </c>
      <c r="U151" s="9" t="s">
        <v>711</v>
      </c>
      <c r="X151" s="9">
        <f ca="1">IFERROR(OFFSET(ITEM_RES!$A$5,MATCH(BUILDING!W151,ITEM_RES!$J$5:$J$226,0)-1,0),0)</f>
        <v>0</v>
      </c>
      <c r="Z151" s="84" t="s">
        <v>544</v>
      </c>
      <c r="AA151" s="9">
        <f ca="1">IFERROR(OFFSET(ITEM_RES!$A$5,MATCH(BUILDING!Z151,ITEM_RES!$J$5:$J$226,0)-1,0),0)</f>
        <v>211010501</v>
      </c>
      <c r="AC151" s="9" t="s">
        <v>515</v>
      </c>
      <c r="AD151" s="9">
        <v>7</v>
      </c>
      <c r="AF151" s="11">
        <f ca="1">IFERROR(OFFSET(MANOR_LEVEL!$B$1,MATCH(AG151-1,MANOR_LEVEL!$A:$A,0)-1,0),0)</f>
        <v>456800</v>
      </c>
      <c r="AG151" s="56">
        <v>11</v>
      </c>
      <c r="AI151" s="56">
        <f t="shared" ca="1" si="63"/>
        <v>5500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5500.1</v>
      </c>
      <c r="AK151" s="182">
        <f t="shared" ca="1" si="69"/>
        <v>7950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0</v>
      </c>
      <c r="AR151" s="10">
        <v>0</v>
      </c>
      <c r="AS151" s="56">
        <f t="shared" si="68"/>
        <v>2</v>
      </c>
      <c r="AU151" s="11">
        <f ca="1">IFERROR(OFFSET(ITEM_RES!$A$1,MATCH(AV151,ITEM_RES!$J:$J,0)-1,0),0)</f>
        <v>211010501</v>
      </c>
      <c r="AV151" s="10" t="s">
        <v>1191</v>
      </c>
      <c r="AW151" s="11">
        <v>540000</v>
      </c>
      <c r="AZ151" s="11">
        <f ca="1">IFERROR(OFFSET(ITEM_RES!$A$1,MATCH(BA151,ITEM_RES!$J:$J,0)-1,0),0)</f>
        <v>211020801</v>
      </c>
      <c r="BA151" s="10" t="s">
        <v>1195</v>
      </c>
      <c r="BB151" s="11">
        <v>1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924</v>
      </c>
      <c r="N152" s="9" t="s">
        <v>944</v>
      </c>
      <c r="O152" s="9">
        <v>1</v>
      </c>
      <c r="P152" s="9">
        <v>15</v>
      </c>
      <c r="Q152" s="9" t="s">
        <v>1234</v>
      </c>
      <c r="U152" s="9" t="s">
        <v>711</v>
      </c>
      <c r="X152" s="9">
        <f ca="1">IFERROR(OFFSET(ITEM_RES!$A$5,MATCH(BUILDING!W152,ITEM_RES!$J$5:$J$226,0)-1,0),0)</f>
        <v>0</v>
      </c>
      <c r="Z152" s="84" t="s">
        <v>544</v>
      </c>
      <c r="AA152" s="9">
        <f ca="1">IFERROR(OFFSET(ITEM_RES!$A$5,MATCH(BUILDING!Z152,ITEM_RES!$J$5:$J$226,0)-1,0),0)</f>
        <v>211010501</v>
      </c>
      <c r="AC152" s="9" t="s">
        <v>515</v>
      </c>
      <c r="AD152" s="9">
        <v>8</v>
      </c>
      <c r="AF152" s="11">
        <f ca="1">IFERROR(OFFSET(MANOR_LEVEL!$B$1,MATCH(AG152-1,MANOR_LEVEL!$A:$A,0)-1,0),0)</f>
        <v>796000</v>
      </c>
      <c r="AG152" s="56">
        <v>12</v>
      </c>
      <c r="AI152" s="56">
        <f t="shared" ca="1" si="63"/>
        <v>10100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10100.1</v>
      </c>
      <c r="AK152" s="182">
        <f t="shared" ca="1" si="69"/>
        <v>15600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0</v>
      </c>
      <c r="AR152" s="10">
        <v>0</v>
      </c>
      <c r="AS152" s="56">
        <f t="shared" si="68"/>
        <v>2</v>
      </c>
      <c r="AU152" s="11">
        <f ca="1">IFERROR(OFFSET(ITEM_RES!$A$1,MATCH(AV152,ITEM_RES!$J:$J,0)-1,0),0)</f>
        <v>211010501</v>
      </c>
      <c r="AV152" s="10" t="s">
        <v>1191</v>
      </c>
      <c r="AW152" s="11">
        <v>1000000</v>
      </c>
      <c r="AZ152" s="11">
        <f ca="1">IFERROR(OFFSET(ITEM_RES!$A$1,MATCH(BA152,ITEM_RES!$J:$J,0)-1,0),0)</f>
        <v>211020801</v>
      </c>
      <c r="BA152" s="10" t="s">
        <v>1195</v>
      </c>
      <c r="BB152" s="11">
        <v>1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924</v>
      </c>
      <c r="N153" s="9" t="s">
        <v>944</v>
      </c>
      <c r="O153" s="9">
        <v>1</v>
      </c>
      <c r="P153" s="9">
        <v>15</v>
      </c>
      <c r="Q153" s="9" t="s">
        <v>1234</v>
      </c>
      <c r="U153" s="9" t="s">
        <v>711</v>
      </c>
      <c r="X153" s="9">
        <f ca="1">IFERROR(OFFSET(ITEM_RES!$A$5,MATCH(BUILDING!W153,ITEM_RES!$J$5:$J$226,0)-1,0),0)</f>
        <v>0</v>
      </c>
      <c r="Z153" s="84" t="s">
        <v>544</v>
      </c>
      <c r="AA153" s="9">
        <f ca="1">IFERROR(OFFSET(ITEM_RES!$A$5,MATCH(BUILDING!Z153,ITEM_RES!$J$5:$J$226,0)-1,0),0)</f>
        <v>211010501</v>
      </c>
      <c r="AC153" s="9" t="s">
        <v>515</v>
      </c>
      <c r="AD153" s="9">
        <v>9</v>
      </c>
      <c r="AF153" s="11">
        <f ca="1">IFERROR(OFFSET(MANOR_LEVEL!$B$1,MATCH(AG153-1,MANOR_LEVEL!$A:$A,0)-1,0),0)</f>
        <v>1156400</v>
      </c>
      <c r="AG153" s="56">
        <v>13</v>
      </c>
      <c r="AI153" s="56">
        <f t="shared" ca="1" si="63"/>
        <v>15950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15950.1</v>
      </c>
      <c r="AK153" s="182">
        <f t="shared" ca="1" si="69"/>
        <v>26050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0</v>
      </c>
      <c r="AR153" s="10">
        <v>0</v>
      </c>
      <c r="AS153" s="56">
        <f t="shared" si="68"/>
        <v>2</v>
      </c>
      <c r="AU153" s="11">
        <f ca="1">IFERROR(OFFSET(ITEM_RES!$A$1,MATCH(AV153,ITEM_RES!$J:$J,0)-1,0),0)</f>
        <v>211010501</v>
      </c>
      <c r="AV153" s="10" t="s">
        <v>1191</v>
      </c>
      <c r="AW153" s="11">
        <v>1580000</v>
      </c>
      <c r="AZ153" s="11">
        <f ca="1">IFERROR(OFFSET(ITEM_RES!$A$1,MATCH(BA153,ITEM_RES!$J:$J,0)-1,0),0)</f>
        <v>211020801</v>
      </c>
      <c r="BA153" s="10" t="s">
        <v>1195</v>
      </c>
      <c r="BB153" s="11">
        <v>1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924</v>
      </c>
      <c r="N154" s="9" t="s">
        <v>944</v>
      </c>
      <c r="O154" s="9">
        <v>1</v>
      </c>
      <c r="P154" s="9">
        <v>15</v>
      </c>
      <c r="Q154" s="9" t="s">
        <v>1234</v>
      </c>
      <c r="U154" s="9" t="s">
        <v>711</v>
      </c>
      <c r="X154" s="9">
        <f ca="1">IFERROR(OFFSET(ITEM_RES!$A$5,MATCH(BUILDING!W154,ITEM_RES!$J$5:$J$226,0)-1,0),0)</f>
        <v>0</v>
      </c>
      <c r="Z154" s="84" t="s">
        <v>544</v>
      </c>
      <c r="AA154" s="9">
        <f ca="1">IFERROR(OFFSET(ITEM_RES!$A$5,MATCH(BUILDING!Z154,ITEM_RES!$J$5:$J$226,0)-1,0),0)</f>
        <v>211010501</v>
      </c>
      <c r="AC154" s="9" t="s">
        <v>515</v>
      </c>
      <c r="AD154" s="9">
        <v>10</v>
      </c>
      <c r="AF154" s="11">
        <f ca="1">IFERROR(OFFSET(MANOR_LEVEL!$B$1,MATCH(AG154-1,MANOR_LEVEL!$A:$A,0)-1,0),0)</f>
        <v>1156400</v>
      </c>
      <c r="AG154" s="56">
        <v>13</v>
      </c>
      <c r="AI154" s="56">
        <f t="shared" ref="AI154:AI217" ca="1" si="74">ROUND(AJ154,0)</f>
        <v>22200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22200.1</v>
      </c>
      <c r="AK154" s="182">
        <f t="shared" ca="1" si="69"/>
        <v>38150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0</v>
      </c>
      <c r="AR154" s="10">
        <v>0</v>
      </c>
      <c r="AS154" s="56">
        <f t="shared" si="68"/>
        <v>2</v>
      </c>
      <c r="AU154" s="11">
        <f ca="1">IFERROR(OFFSET(ITEM_RES!$A$1,MATCH(AV154,ITEM_RES!$J:$J,0)-1,0),0)</f>
        <v>211010501</v>
      </c>
      <c r="AV154" s="10" t="s">
        <v>1191</v>
      </c>
      <c r="AW154" s="11">
        <v>2200000</v>
      </c>
      <c r="AZ154" s="11">
        <f ca="1">IFERROR(OFFSET(ITEM_RES!$A$1,MATCH(BA154,ITEM_RES!$J:$J,0)-1,0),0)</f>
        <v>211020801</v>
      </c>
      <c r="BA154" s="10" t="s">
        <v>1195</v>
      </c>
      <c r="BB154" s="11">
        <v>1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924</v>
      </c>
      <c r="N155" s="9" t="s">
        <v>944</v>
      </c>
      <c r="O155" s="9">
        <v>1</v>
      </c>
      <c r="P155" s="9">
        <v>15</v>
      </c>
      <c r="Q155" s="9" t="s">
        <v>1234</v>
      </c>
      <c r="U155" s="9" t="s">
        <v>711</v>
      </c>
      <c r="X155" s="9">
        <f ca="1">IFERROR(OFFSET(ITEM_RES!$A$5,MATCH(BUILDING!W155,ITEM_RES!$J$5:$J$226,0)-1,0),0)</f>
        <v>0</v>
      </c>
      <c r="Z155" s="84" t="s">
        <v>544</v>
      </c>
      <c r="AA155" s="9">
        <f ca="1">IFERROR(OFFSET(ITEM_RES!$A$5,MATCH(BUILDING!Z155,ITEM_RES!$J$5:$J$226,0)-1,0),0)</f>
        <v>211010501</v>
      </c>
      <c r="AC155" s="9" t="s">
        <v>515</v>
      </c>
      <c r="AD155" s="9">
        <v>11</v>
      </c>
      <c r="AF155" s="11">
        <f ca="1">IFERROR(OFFSET(MANOR_LEVEL!$B$1,MATCH(AG155-1,MANOR_LEVEL!$A:$A,0)-1,0),0)</f>
        <v>1661200</v>
      </c>
      <c r="AG155" s="56">
        <v>14</v>
      </c>
      <c r="AI155" s="56">
        <f t="shared" ca="1" si="74"/>
        <v>88250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88250.1</v>
      </c>
      <c r="AK155" s="182">
        <f t="shared" ca="1" si="69"/>
        <v>110450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0</v>
      </c>
      <c r="AR155" s="10">
        <v>0</v>
      </c>
      <c r="AS155" s="56">
        <f t="shared" si="68"/>
        <v>2</v>
      </c>
      <c r="AU155" s="11">
        <f ca="1">IFERROR(OFFSET(ITEM_RES!$A$1,MATCH(AV155,ITEM_RES!$J:$J,0)-1,0),0)</f>
        <v>211010601</v>
      </c>
      <c r="AV155" s="10" t="s">
        <v>1189</v>
      </c>
      <c r="AW155" s="11">
        <v>4400000</v>
      </c>
      <c r="AZ155" s="11">
        <f ca="1">IFERROR(OFFSET(ITEM_RES!$A$1,MATCH(BA155,ITEM_RES!$J:$J,0)-1,0),0)</f>
        <v>211020801</v>
      </c>
      <c r="BA155" s="10" t="s">
        <v>1195</v>
      </c>
      <c r="BB155" s="11">
        <v>1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924</v>
      </c>
      <c r="N156" s="9" t="s">
        <v>944</v>
      </c>
      <c r="O156" s="9">
        <v>1</v>
      </c>
      <c r="P156" s="9">
        <v>15</v>
      </c>
      <c r="Q156" s="9" t="s">
        <v>1234</v>
      </c>
      <c r="U156" s="9" t="s">
        <v>711</v>
      </c>
      <c r="X156" s="9">
        <f ca="1">IFERROR(OFFSET(ITEM_RES!$A$5,MATCH(BUILDING!W156,ITEM_RES!$J$5:$J$226,0)-1,0),0)</f>
        <v>0</v>
      </c>
      <c r="Z156" s="84" t="s">
        <v>544</v>
      </c>
      <c r="AA156" s="9">
        <f ca="1">IFERROR(OFFSET(ITEM_RES!$A$5,MATCH(BUILDING!Z156,ITEM_RES!$J$5:$J$226,0)-1,0),0)</f>
        <v>211010501</v>
      </c>
      <c r="AC156" s="9" t="s">
        <v>515</v>
      </c>
      <c r="AD156" s="9">
        <v>12</v>
      </c>
      <c r="AF156" s="11">
        <f ca="1">IFERROR(OFFSET(MANOR_LEVEL!$B$1,MATCH(AG156-1,MANOR_LEVEL!$A:$A,0)-1,0),0)</f>
        <v>2622400</v>
      </c>
      <c r="AG156" s="56">
        <v>15</v>
      </c>
      <c r="AI156" s="56">
        <f t="shared" ca="1" si="74"/>
        <v>104300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104300.1</v>
      </c>
      <c r="AK156" s="182">
        <f t="shared" ca="1" si="69"/>
        <v>192550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0</v>
      </c>
      <c r="AR156" s="10">
        <v>0</v>
      </c>
      <c r="AS156" s="56">
        <f t="shared" si="68"/>
        <v>2</v>
      </c>
      <c r="AU156" s="11">
        <f ca="1">IFERROR(OFFSET(ITEM_RES!$A$1,MATCH(AV156,ITEM_RES!$J:$J,0)-1,0),0)</f>
        <v>211010601</v>
      </c>
      <c r="AV156" s="10" t="s">
        <v>1189</v>
      </c>
      <c r="AW156" s="11">
        <v>5200000</v>
      </c>
      <c r="AZ156" s="11">
        <f ca="1">IFERROR(OFFSET(ITEM_RES!$A$1,MATCH(BA156,ITEM_RES!$J:$J,0)-1,0),0)</f>
        <v>211020801</v>
      </c>
      <c r="BA156" s="10" t="s">
        <v>1195</v>
      </c>
      <c r="BB156" s="11">
        <v>1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924</v>
      </c>
      <c r="N157" s="9" t="s">
        <v>944</v>
      </c>
      <c r="O157" s="9">
        <v>1</v>
      </c>
      <c r="P157" s="9">
        <v>15</v>
      </c>
      <c r="Q157" s="9" t="s">
        <v>1234</v>
      </c>
      <c r="U157" s="9" t="s">
        <v>711</v>
      </c>
      <c r="X157" s="9">
        <f ca="1">IFERROR(OFFSET(ITEM_RES!$A$5,MATCH(BUILDING!W157,ITEM_RES!$J$5:$J$226,0)-1,0),0)</f>
        <v>0</v>
      </c>
      <c r="Z157" s="84" t="s">
        <v>544</v>
      </c>
      <c r="AA157" s="9">
        <f ca="1">IFERROR(OFFSET(ITEM_RES!$A$5,MATCH(BUILDING!Z157,ITEM_RES!$J$5:$J$226,0)-1,0),0)</f>
        <v>211010501</v>
      </c>
      <c r="AC157" s="9" t="s">
        <v>515</v>
      </c>
      <c r="AD157" s="9">
        <v>13</v>
      </c>
      <c r="AF157" s="11">
        <f ca="1">IFERROR(OFFSET(MANOR_LEVEL!$B$1,MATCH(AG157-1,MANOR_LEVEL!$A:$A,0)-1,0),0)</f>
        <v>4232000</v>
      </c>
      <c r="AG157" s="56">
        <v>16</v>
      </c>
      <c r="AI157" s="56">
        <f t="shared" ca="1" si="74"/>
        <v>172350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172350.2</v>
      </c>
      <c r="AK157" s="182">
        <f t="shared" ca="1" si="69"/>
        <v>276650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0</v>
      </c>
      <c r="AR157" s="10">
        <v>0</v>
      </c>
      <c r="AS157" s="56">
        <f t="shared" si="68"/>
        <v>2</v>
      </c>
      <c r="AU157" s="11">
        <f ca="1">IFERROR(OFFSET(ITEM_RES!$A$1,MATCH(AV157,ITEM_RES!$J:$J,0)-1,0),0)</f>
        <v>211010601</v>
      </c>
      <c r="AV157" s="10" t="s">
        <v>1189</v>
      </c>
      <c r="AW157" s="11">
        <v>8600000</v>
      </c>
      <c r="AZ157" s="11">
        <f ca="1">IFERROR(OFFSET(ITEM_RES!$A$1,MATCH(BA157,ITEM_RES!$J:$J,0)-1,0),0)</f>
        <v>211020901</v>
      </c>
      <c r="BA157" s="10" t="s">
        <v>1196</v>
      </c>
      <c r="BB157" s="11">
        <v>1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924</v>
      </c>
      <c r="N158" s="9" t="s">
        <v>944</v>
      </c>
      <c r="O158" s="9">
        <v>1</v>
      </c>
      <c r="P158" s="9">
        <v>15</v>
      </c>
      <c r="Q158" s="9" t="s">
        <v>1234</v>
      </c>
      <c r="U158" s="9" t="s">
        <v>711</v>
      </c>
      <c r="X158" s="9">
        <f ca="1">IFERROR(OFFSET(ITEM_RES!$A$5,MATCH(BUILDING!W158,ITEM_RES!$J$5:$J$226,0)-1,0),0)</f>
        <v>0</v>
      </c>
      <c r="Z158" s="84" t="s">
        <v>544</v>
      </c>
      <c r="AA158" s="9">
        <f ca="1">IFERROR(OFFSET(ITEM_RES!$A$5,MATCH(BUILDING!Z158,ITEM_RES!$J$5:$J$226,0)-1,0),0)</f>
        <v>211010501</v>
      </c>
      <c r="AC158" s="9" t="s">
        <v>515</v>
      </c>
      <c r="AD158" s="9">
        <v>14</v>
      </c>
      <c r="AF158" s="11">
        <f ca="1">IFERROR(OFFSET(MANOR_LEVEL!$B$1,MATCH(AG158-1,MANOR_LEVEL!$A:$A,0)-1,0),0)</f>
        <v>7450000</v>
      </c>
      <c r="AG158" s="56">
        <v>17</v>
      </c>
      <c r="AI158" s="56">
        <f t="shared" ca="1" si="74"/>
        <v>264450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264450.2</v>
      </c>
      <c r="AK158" s="182">
        <f t="shared" ca="1" si="69"/>
        <v>436800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0</v>
      </c>
      <c r="AR158" s="10">
        <v>0</v>
      </c>
      <c r="AS158" s="56">
        <f t="shared" si="68"/>
        <v>2</v>
      </c>
      <c r="AU158" s="11">
        <f ca="1">IFERROR(OFFSET(ITEM_RES!$A$1,MATCH(AV158,ITEM_RES!$J:$J,0)-1,0),0)</f>
        <v>211010601</v>
      </c>
      <c r="AV158" s="10" t="s">
        <v>1189</v>
      </c>
      <c r="AW158" s="11">
        <v>13200000</v>
      </c>
      <c r="AZ158" s="11">
        <f ca="1">IFERROR(OFFSET(ITEM_RES!$A$1,MATCH(BA158,ITEM_RES!$J:$J,0)-1,0),0)</f>
        <v>211020901</v>
      </c>
      <c r="BA158" s="10" t="s">
        <v>1196</v>
      </c>
      <c r="BB158" s="11">
        <v>1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924</v>
      </c>
      <c r="N159" s="9" t="s">
        <v>944</v>
      </c>
      <c r="O159" s="9">
        <v>1</v>
      </c>
      <c r="P159" s="9">
        <v>15</v>
      </c>
      <c r="Q159" s="9" t="s">
        <v>1234</v>
      </c>
      <c r="U159" s="9" t="s">
        <v>711</v>
      </c>
      <c r="X159" s="9">
        <f ca="1">IFERROR(OFFSET(ITEM_RES!$A$5,MATCH(BUILDING!W159,ITEM_RES!$J$5:$J$226,0)-1,0),0)</f>
        <v>0</v>
      </c>
      <c r="Z159" s="84" t="s">
        <v>544</v>
      </c>
      <c r="AA159" s="9">
        <f ca="1">IFERROR(OFFSET(ITEM_RES!$A$5,MATCH(BUILDING!Z159,ITEM_RES!$J$5:$J$226,0)-1,0),0)</f>
        <v>211010501</v>
      </c>
      <c r="AC159" s="9" t="s">
        <v>515</v>
      </c>
      <c r="AD159" s="9">
        <v>15</v>
      </c>
      <c r="AF159" s="11">
        <f ca="1">IFERROR(OFFSET(MANOR_LEVEL!$B$1,MATCH(AG159-1,MANOR_LEVEL!$A:$A,0)-1,0),0)</f>
        <v>12172400</v>
      </c>
      <c r="AG159" s="56">
        <v>18</v>
      </c>
      <c r="AI159" s="56">
        <f t="shared" ca="1" si="74"/>
        <v>440550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440550.2</v>
      </c>
      <c r="AK159" s="182">
        <f t="shared" ca="1" si="69"/>
        <v>705000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0</v>
      </c>
      <c r="AR159" s="10">
        <v>0</v>
      </c>
      <c r="AS159" s="56">
        <f t="shared" si="68"/>
        <v>2</v>
      </c>
      <c r="AU159" s="11">
        <f ca="1">IFERROR(OFFSET(ITEM_RES!$A$1,MATCH(AV159,ITEM_RES!$J:$J,0)-1,0),0)</f>
        <v>211010601</v>
      </c>
      <c r="AV159" s="10" t="s">
        <v>1189</v>
      </c>
      <c r="AW159" s="11">
        <v>22000000</v>
      </c>
      <c r="AZ159" s="11">
        <f ca="1">IFERROR(OFFSET(ITEM_RES!$A$1,MATCH(BA159,ITEM_RES!$J:$J,0)-1,0),0)</f>
        <v>211020901</v>
      </c>
      <c r="BA159" s="10" t="s">
        <v>1196</v>
      </c>
      <c r="BB159" s="11">
        <v>1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924</v>
      </c>
      <c r="N160" s="9" t="s">
        <v>944</v>
      </c>
      <c r="O160" s="9">
        <v>0</v>
      </c>
      <c r="P160" s="9">
        <v>15</v>
      </c>
      <c r="Q160" s="9" t="s">
        <v>1234</v>
      </c>
      <c r="U160" s="9" t="s">
        <v>711</v>
      </c>
      <c r="X160" s="9">
        <f ca="1">IFERROR(OFFSET(ITEM_RES!$A$5,MATCH(BUILDING!W160,ITEM_RES!$J$5:$J$226,0)-1,0),0)</f>
        <v>0</v>
      </c>
      <c r="Z160" s="84" t="s">
        <v>544</v>
      </c>
      <c r="AA160" s="9">
        <f ca="1">IFERROR(OFFSET(ITEM_RES!$A$5,MATCH(BUILDING!Z160,ITEM_RES!$J$5:$J$226,0)-1,0),0)</f>
        <v>211010501</v>
      </c>
      <c r="AC160" s="9" t="s">
        <v>515</v>
      </c>
      <c r="AD160" s="9">
        <v>16</v>
      </c>
      <c r="AF160" s="11">
        <f ca="1">IFERROR(OFFSET(MANOR_LEVEL!$B$1,MATCH(AG160-1,MANOR_LEVEL!$A:$A,0)-1,0),0)</f>
        <v>12172400</v>
      </c>
      <c r="AG160" s="56">
        <v>18</v>
      </c>
      <c r="AI160" s="56">
        <f t="shared" ca="1" si="74"/>
        <v>600700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600700.19999999995</v>
      </c>
      <c r="AK160" s="182">
        <f t="shared" ca="1" si="69"/>
        <v>1041250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0</v>
      </c>
      <c r="AR160" s="10">
        <v>0</v>
      </c>
      <c r="AS160" s="56">
        <f t="shared" si="68"/>
        <v>2</v>
      </c>
      <c r="AU160" s="11">
        <f ca="1">IFERROR(OFFSET(ITEM_RES!$A$1,MATCH(AV160,ITEM_RES!$J:$J,0)-1,0),0)</f>
        <v>211010601</v>
      </c>
      <c r="AV160" s="10" t="s">
        <v>1189</v>
      </c>
      <c r="AW160" s="11">
        <v>30000000</v>
      </c>
      <c r="AZ160" s="11">
        <f ca="1">IFERROR(OFFSET(ITEM_RES!$A$1,MATCH(BA160,ITEM_RES!$J:$J,0)-1,0),0)</f>
        <v>211020901</v>
      </c>
      <c r="BA160" s="10" t="s">
        <v>1196</v>
      </c>
      <c r="BB160" s="11">
        <v>1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924</v>
      </c>
      <c r="N161" s="9" t="s">
        <v>944</v>
      </c>
      <c r="O161" s="9">
        <v>0</v>
      </c>
      <c r="P161" s="9">
        <v>15</v>
      </c>
      <c r="Q161" s="9" t="s">
        <v>1234</v>
      </c>
      <c r="U161" s="9" t="s">
        <v>711</v>
      </c>
      <c r="X161" s="9">
        <f ca="1">IFERROR(OFFSET(ITEM_RES!$A$5,MATCH(BUILDING!W161,ITEM_RES!$J$5:$J$226,0)-1,0),0)</f>
        <v>0</v>
      </c>
      <c r="Z161" s="84" t="s">
        <v>544</v>
      </c>
      <c r="AA161" s="9">
        <f ca="1">IFERROR(OFFSET(ITEM_RES!$A$5,MATCH(BUILDING!Z161,ITEM_RES!$J$5:$J$226,0)-1,0),0)</f>
        <v>211010501</v>
      </c>
      <c r="AC161" s="9" t="s">
        <v>515</v>
      </c>
      <c r="AD161" s="9">
        <v>17</v>
      </c>
      <c r="AF161" s="11">
        <f ca="1">IFERROR(OFFSET(MANOR_LEVEL!$B$1,MATCH(AG161-1,MANOR_LEVEL!$A:$A,0)-1,0),0)</f>
        <v>12172400</v>
      </c>
      <c r="AG161" s="56">
        <v>18</v>
      </c>
      <c r="AI161" s="56">
        <f t="shared" ca="1" si="74"/>
        <v>920850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920850.2</v>
      </c>
      <c r="AK161" s="182">
        <f t="shared" ca="1" si="69"/>
        <v>1521550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0</v>
      </c>
      <c r="AR161" s="10">
        <v>0</v>
      </c>
      <c r="AS161" s="56">
        <f t="shared" si="68"/>
        <v>2</v>
      </c>
      <c r="AU161" s="11">
        <f ca="1">IFERROR(OFFSET(ITEM_RES!$A$1,MATCH(AV161,ITEM_RES!$J:$J,0)-1,0),0)</f>
        <v>211010601</v>
      </c>
      <c r="AV161" s="10" t="s">
        <v>1189</v>
      </c>
      <c r="AW161" s="11">
        <v>46000000</v>
      </c>
      <c r="AZ161" s="11">
        <f ca="1">IFERROR(OFFSET(ITEM_RES!$A$1,MATCH(BA161,ITEM_RES!$J:$J,0)-1,0),0)</f>
        <v>211020901</v>
      </c>
      <c r="BA161" s="10" t="s">
        <v>1196</v>
      </c>
      <c r="BB161" s="11">
        <v>1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924</v>
      </c>
      <c r="N162" s="9" t="s">
        <v>944</v>
      </c>
      <c r="O162" s="9">
        <v>0</v>
      </c>
      <c r="P162" s="9">
        <v>15</v>
      </c>
      <c r="Q162" s="9" t="s">
        <v>1234</v>
      </c>
      <c r="U162" s="9" t="s">
        <v>711</v>
      </c>
      <c r="X162" s="9">
        <f ca="1">IFERROR(OFFSET(ITEM_RES!$A$5,MATCH(BUILDING!W162,ITEM_RES!$J$5:$J$226,0)-1,0),0)</f>
        <v>0</v>
      </c>
      <c r="Z162" s="84" t="s">
        <v>544</v>
      </c>
      <c r="AA162" s="9">
        <f ca="1">IFERROR(OFFSET(ITEM_RES!$A$5,MATCH(BUILDING!Z162,ITEM_RES!$J$5:$J$226,0)-1,0),0)</f>
        <v>211010501</v>
      </c>
      <c r="AC162" s="9" t="s">
        <v>515</v>
      </c>
      <c r="AD162" s="9">
        <v>18</v>
      </c>
      <c r="AF162" s="11">
        <f ca="1">IFERROR(OFFSET(MANOR_LEVEL!$B$1,MATCH(AG162-1,MANOR_LEVEL!$A:$A,0)-1,0),0)</f>
        <v>12172400</v>
      </c>
      <c r="AG162" s="56">
        <v>18</v>
      </c>
      <c r="AI162" s="56">
        <f t="shared" ca="1" si="74"/>
        <v>1401050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1401050.2</v>
      </c>
      <c r="AK162" s="182">
        <f t="shared" ca="1" si="69"/>
        <v>2321900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0</v>
      </c>
      <c r="AR162" s="10">
        <v>0</v>
      </c>
      <c r="AS162" s="56">
        <f t="shared" si="68"/>
        <v>2</v>
      </c>
      <c r="AU162" s="11">
        <f ca="1">IFERROR(OFFSET(ITEM_RES!$A$1,MATCH(AV162,ITEM_RES!$J:$J,0)-1,0),0)</f>
        <v>211010601</v>
      </c>
      <c r="AV162" s="10" t="s">
        <v>1189</v>
      </c>
      <c r="AW162" s="11">
        <v>70000000</v>
      </c>
      <c r="AZ162" s="11">
        <f ca="1">IFERROR(OFFSET(ITEM_RES!$A$1,MATCH(BA162,ITEM_RES!$J:$J,0)-1,0),0)</f>
        <v>211020901</v>
      </c>
      <c r="BA162" s="10" t="s">
        <v>1196</v>
      </c>
      <c r="BB162" s="11">
        <v>1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924</v>
      </c>
      <c r="N163" s="9" t="s">
        <v>944</v>
      </c>
      <c r="O163" s="9">
        <v>0</v>
      </c>
      <c r="P163" s="9">
        <v>15</v>
      </c>
      <c r="Q163" s="9" t="s">
        <v>1234</v>
      </c>
      <c r="U163" s="9" t="s">
        <v>711</v>
      </c>
      <c r="X163" s="9">
        <f ca="1">IFERROR(OFFSET(ITEM_RES!$A$5,MATCH(BUILDING!W163,ITEM_RES!$J$5:$J$226,0)-1,0),0)</f>
        <v>0</v>
      </c>
      <c r="Z163" s="84" t="s">
        <v>544</v>
      </c>
      <c r="AA163" s="9">
        <f ca="1">IFERROR(OFFSET(ITEM_RES!$A$5,MATCH(BUILDING!Z163,ITEM_RES!$J$5:$J$226,0)-1,0),0)</f>
        <v>211010501</v>
      </c>
      <c r="AC163" s="9" t="s">
        <v>515</v>
      </c>
      <c r="AD163" s="9">
        <v>19</v>
      </c>
      <c r="AF163" s="11">
        <f ca="1">IFERROR(OFFSET(MANOR_LEVEL!$B$1,MATCH(AG163-1,MANOR_LEVEL!$A:$A,0)-1,0),0)</f>
        <v>12172400</v>
      </c>
      <c r="AG163" s="56">
        <v>18</v>
      </c>
      <c r="AI163" s="56">
        <f t="shared" ca="1" si="74"/>
        <v>1921250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1921250.2</v>
      </c>
      <c r="AK163" s="182">
        <f t="shared" ca="1" si="69"/>
        <v>3322300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0</v>
      </c>
      <c r="AR163" s="10">
        <v>0</v>
      </c>
      <c r="AS163" s="56">
        <f t="shared" si="68"/>
        <v>2</v>
      </c>
      <c r="AU163" s="11">
        <f ca="1">IFERROR(OFFSET(ITEM_RES!$A$1,MATCH(AV163,ITEM_RES!$J:$J,0)-1,0),0)</f>
        <v>211010601</v>
      </c>
      <c r="AV163" s="10" t="s">
        <v>1189</v>
      </c>
      <c r="AW163" s="11">
        <v>96000000</v>
      </c>
      <c r="AZ163" s="11">
        <f ca="1">IFERROR(OFFSET(ITEM_RES!$A$1,MATCH(BA163,ITEM_RES!$J:$J,0)-1,0),0)</f>
        <v>211020901</v>
      </c>
      <c r="BA163" s="10" t="s">
        <v>1196</v>
      </c>
      <c r="BB163" s="11">
        <v>1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924</v>
      </c>
      <c r="N164" s="9" t="s">
        <v>944</v>
      </c>
      <c r="O164" s="9">
        <v>0</v>
      </c>
      <c r="P164" s="9">
        <v>15</v>
      </c>
      <c r="Q164" s="9" t="s">
        <v>1234</v>
      </c>
      <c r="U164" s="9" t="s">
        <v>711</v>
      </c>
      <c r="X164" s="9">
        <f ca="1">IFERROR(OFFSET(ITEM_RES!$A$5,MATCH(BUILDING!W164,ITEM_RES!$J$5:$J$226,0)-1,0),0)</f>
        <v>0</v>
      </c>
      <c r="Z164" s="84" t="s">
        <v>544</v>
      </c>
      <c r="AA164" s="9">
        <f ca="1">IFERROR(OFFSET(ITEM_RES!$A$5,MATCH(BUILDING!Z164,ITEM_RES!$J$5:$J$226,0)-1,0),0)</f>
        <v>211010501</v>
      </c>
      <c r="AC164" s="9" t="s">
        <v>515</v>
      </c>
      <c r="AD164" s="9">
        <v>20</v>
      </c>
      <c r="AF164" s="11">
        <f ca="1">IFERROR(OFFSET(MANOR_LEVEL!$B$1,MATCH(AG164-1,MANOR_LEVEL!$A:$A,0)-1,0),0)</f>
        <v>18575200</v>
      </c>
      <c r="AG164" s="56">
        <v>19</v>
      </c>
      <c r="AI164" s="56">
        <f t="shared" ca="1" si="74"/>
        <v>3041500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3041500.2</v>
      </c>
      <c r="AK164" s="182">
        <f t="shared" ca="1" si="69"/>
        <v>4962750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0</v>
      </c>
      <c r="AR164" s="10">
        <v>0</v>
      </c>
      <c r="AS164" s="56">
        <f t="shared" si="68"/>
        <v>2</v>
      </c>
      <c r="AU164" s="11">
        <f ca="1">IFERROR(OFFSET(ITEM_RES!$A$1,MATCH(AV164,ITEM_RES!$J:$J,0)-1,0),0)</f>
        <v>211010601</v>
      </c>
      <c r="AV164" s="10" t="s">
        <v>1189</v>
      </c>
      <c r="AW164" s="11">
        <v>152000000</v>
      </c>
      <c r="AZ164" s="11">
        <f ca="1">IFERROR(OFFSET(ITEM_RES!$A$1,MATCH(BA164,ITEM_RES!$J:$J,0)-1,0),0)</f>
        <v>211020901</v>
      </c>
      <c r="BA164" s="10" t="s">
        <v>1196</v>
      </c>
      <c r="BB164" s="11">
        <v>1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 t="s">
        <v>925</v>
      </c>
      <c r="N165" s="16" t="s">
        <v>945</v>
      </c>
      <c r="O165" s="16">
        <v>1</v>
      </c>
      <c r="P165" s="16">
        <v>15</v>
      </c>
      <c r="Q165" s="16" t="s">
        <v>764</v>
      </c>
      <c r="R165" s="17"/>
      <c r="S165" s="17"/>
      <c r="T165" s="18"/>
      <c r="U165" s="16" t="s">
        <v>692</v>
      </c>
      <c r="V165" s="78"/>
      <c r="W165" s="86" t="s">
        <v>544</v>
      </c>
      <c r="X165" s="16">
        <f ca="1">IFERROR(OFFSET(ITEM_RES!$A$5,MATCH(BUILDING!W165,ITEM_RES!$J$5:$J$226,0)-1,0),0)</f>
        <v>211010501</v>
      </c>
      <c r="Y165" s="18">
        <v>1</v>
      </c>
      <c r="Z165" s="86" t="s">
        <v>545</v>
      </c>
      <c r="AA165" s="16">
        <f ca="1">IFERROR(OFFSET(ITEM_RES!$A$5,MATCH(BUILDING!Z165,ITEM_RES!$J$5:$J$226,0)-1,0),0)</f>
        <v>211010601</v>
      </c>
      <c r="AB165" s="78"/>
      <c r="AC165" s="16" t="s">
        <v>516</v>
      </c>
      <c r="AD165" s="16">
        <v>1</v>
      </c>
      <c r="AE165" s="78"/>
      <c r="AF165" s="18">
        <f ca="1">IFERROR(OFFSET(MANOR_LEVEL!$B$1,MATCH(AG165-1,MANOR_LEVEL!$A:$A,0)-1,0),0)</f>
        <v>796000</v>
      </c>
      <c r="AG165" s="57">
        <v>12</v>
      </c>
      <c r="AH165" s="78"/>
      <c r="AI165" s="57">
        <f t="shared" ca="1" si="74"/>
        <v>105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105.3</v>
      </c>
      <c r="AK165" s="184">
        <f ca="1">AI165</f>
        <v>105</v>
      </c>
      <c r="AL165" s="78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0</v>
      </c>
      <c r="AR165" s="17">
        <v>0</v>
      </c>
      <c r="AS165" s="57">
        <f t="shared" si="68"/>
        <v>3</v>
      </c>
      <c r="AT165" s="18"/>
      <c r="AU165" s="18">
        <f ca="1">IFERROR(OFFSET(ITEM_RES!$A$1,MATCH(AV165,ITEM_RES!$J:$J,0)-1,0),0)</f>
        <v>211010501</v>
      </c>
      <c r="AV165" s="17" t="s">
        <v>1191</v>
      </c>
      <c r="AW165" s="18">
        <v>20</v>
      </c>
      <c r="AX165" s="17"/>
      <c r="AY165" s="18"/>
      <c r="AZ165" s="18">
        <f ca="1">IFERROR(OFFSET(ITEM_RES!$A$1,MATCH(BA165,ITEM_RES!$J:$J,0)-1,0),0)</f>
        <v>211020801</v>
      </c>
      <c r="BA165" s="17" t="s">
        <v>1195</v>
      </c>
      <c r="BB165" s="18">
        <v>1</v>
      </c>
      <c r="BC165" s="17"/>
      <c r="BD165" s="18"/>
      <c r="BE165" s="18">
        <f ca="1">IFERROR(OFFSET(ITEM_RES!$A$1,MATCH(BF165,ITEM_RES!$J:$J,0)-1,0),0)</f>
        <v>213010101</v>
      </c>
      <c r="BF165" s="17" t="s">
        <v>452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925</v>
      </c>
      <c r="N166" s="9" t="s">
        <v>945</v>
      </c>
      <c r="O166" s="9">
        <v>1</v>
      </c>
      <c r="P166" s="9">
        <v>15</v>
      </c>
      <c r="Q166" s="9" t="s">
        <v>764</v>
      </c>
      <c r="U166" s="9" t="s">
        <v>692</v>
      </c>
      <c r="W166" s="84" t="s">
        <v>544</v>
      </c>
      <c r="X166" s="9">
        <f ca="1">IFERROR(OFFSET(ITEM_RES!$A$5,MATCH(BUILDING!W166,ITEM_RES!$J$5:$J$226,0)-1,0),0)</f>
        <v>211010501</v>
      </c>
      <c r="Y166" s="11">
        <v>1</v>
      </c>
      <c r="Z166" s="84" t="s">
        <v>545</v>
      </c>
      <c r="AA166" s="9">
        <f ca="1">IFERROR(OFFSET(ITEM_RES!$A$5,MATCH(BUILDING!Z166,ITEM_RES!$J$5:$J$226,0)-1,0),0)</f>
        <v>211010601</v>
      </c>
      <c r="AC166" s="9" t="s">
        <v>516</v>
      </c>
      <c r="AD166" s="9">
        <v>2</v>
      </c>
      <c r="AF166" s="11">
        <f ca="1">IFERROR(OFFSET(MANOR_LEVEL!$B$1,MATCH(AG166-1,MANOR_LEVEL!$A:$A,0)-1,0),0)</f>
        <v>796000</v>
      </c>
      <c r="AG166" s="56">
        <v>12</v>
      </c>
      <c r="AI166" s="56">
        <f t="shared" ca="1" si="74"/>
        <v>10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10.3</v>
      </c>
      <c r="AK166" s="182">
        <f ca="1">AI165+AI166</f>
        <v>115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0</v>
      </c>
      <c r="AR166" s="10">
        <v>0</v>
      </c>
      <c r="AS166" s="56">
        <f t="shared" si="68"/>
        <v>2</v>
      </c>
      <c r="AU166" s="11">
        <f ca="1">IFERROR(OFFSET(ITEM_RES!$A$1,MATCH(AV166,ITEM_RES!$J:$J,0)-1,0),0)</f>
        <v>211010501</v>
      </c>
      <c r="AV166" s="10" t="s">
        <v>1191</v>
      </c>
      <c r="AW166" s="11">
        <v>20</v>
      </c>
      <c r="AZ166" s="11">
        <f ca="1">IFERROR(OFFSET(ITEM_RES!$A$1,MATCH(BA166,ITEM_RES!$J:$J,0)-1,0),0)</f>
        <v>211020801</v>
      </c>
      <c r="BA166" s="10" t="s">
        <v>1195</v>
      </c>
      <c r="BB166" s="11">
        <v>1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925</v>
      </c>
      <c r="N167" s="9" t="s">
        <v>945</v>
      </c>
      <c r="O167" s="9">
        <v>1</v>
      </c>
      <c r="P167" s="9">
        <v>15</v>
      </c>
      <c r="Q167" s="9" t="s">
        <v>764</v>
      </c>
      <c r="U167" s="9" t="s">
        <v>692</v>
      </c>
      <c r="W167" s="84" t="s">
        <v>544</v>
      </c>
      <c r="X167" s="9">
        <f ca="1">IFERROR(OFFSET(ITEM_RES!$A$5,MATCH(BUILDING!W167,ITEM_RES!$J$5:$J$226,0)-1,0),0)</f>
        <v>211010501</v>
      </c>
      <c r="Y167" s="11">
        <v>1</v>
      </c>
      <c r="Z167" s="84" t="s">
        <v>545</v>
      </c>
      <c r="AA167" s="9">
        <f ca="1">IFERROR(OFFSET(ITEM_RES!$A$5,MATCH(BUILDING!Z167,ITEM_RES!$J$5:$J$226,0)-1,0),0)</f>
        <v>211010601</v>
      </c>
      <c r="AC167" s="9" t="s">
        <v>516</v>
      </c>
      <c r="AD167" s="9">
        <v>3</v>
      </c>
      <c r="AF167" s="11">
        <f ca="1">IFERROR(OFFSET(MANOR_LEVEL!$B$1,MATCH(AG167-1,MANOR_LEVEL!$A:$A,0)-1,0),0)</f>
        <v>796000</v>
      </c>
      <c r="AG167" s="56">
        <v>12</v>
      </c>
      <c r="AI167" s="56">
        <f t="shared" ca="1" si="74"/>
        <v>17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16.7</v>
      </c>
      <c r="AK167" s="182">
        <f t="shared" ref="AK167:AK184" ca="1" si="76">AI166+AI167</f>
        <v>27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0</v>
      </c>
      <c r="AR167" s="10">
        <v>0</v>
      </c>
      <c r="AS167" s="56">
        <f t="shared" si="68"/>
        <v>2</v>
      </c>
      <c r="AU167" s="11">
        <f ca="1">IFERROR(OFFSET(ITEM_RES!$A$1,MATCH(AV167,ITEM_RES!$J:$J,0)-1,0),0)</f>
        <v>211010501</v>
      </c>
      <c r="AV167" s="10" t="s">
        <v>1191</v>
      </c>
      <c r="AW167" s="11">
        <v>160</v>
      </c>
      <c r="AZ167" s="11">
        <f ca="1">IFERROR(OFFSET(ITEM_RES!$A$1,MATCH(BA167,ITEM_RES!$J:$J,0)-1,0),0)</f>
        <v>211020801</v>
      </c>
      <c r="BA167" s="10" t="s">
        <v>1195</v>
      </c>
      <c r="BB167" s="11">
        <v>1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925</v>
      </c>
      <c r="N168" s="9" t="s">
        <v>945</v>
      </c>
      <c r="O168" s="9">
        <v>1</v>
      </c>
      <c r="P168" s="9">
        <v>15</v>
      </c>
      <c r="Q168" s="9" t="s">
        <v>764</v>
      </c>
      <c r="U168" s="9" t="s">
        <v>692</v>
      </c>
      <c r="W168" s="84" t="s">
        <v>544</v>
      </c>
      <c r="X168" s="9">
        <f ca="1">IFERROR(OFFSET(ITEM_RES!$A$5,MATCH(BUILDING!W168,ITEM_RES!$J$5:$J$226,0)-1,0),0)</f>
        <v>211010501</v>
      </c>
      <c r="Y168" s="11">
        <v>1</v>
      </c>
      <c r="Z168" s="84" t="s">
        <v>545</v>
      </c>
      <c r="AA168" s="9">
        <f ca="1">IFERROR(OFFSET(ITEM_RES!$A$5,MATCH(BUILDING!Z168,ITEM_RES!$J$5:$J$226,0)-1,0),0)</f>
        <v>211010601</v>
      </c>
      <c r="AC168" s="9" t="s">
        <v>516</v>
      </c>
      <c r="AD168" s="9">
        <v>4</v>
      </c>
      <c r="AF168" s="11">
        <f ca="1">IFERROR(OFFSET(MANOR_LEVEL!$B$1,MATCH(AG168-1,MANOR_LEVEL!$A:$A,0)-1,0),0)</f>
        <v>796000</v>
      </c>
      <c r="AG168" s="56">
        <v>12</v>
      </c>
      <c r="AI168" s="56">
        <f t="shared" ca="1" si="74"/>
        <v>44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44.3</v>
      </c>
      <c r="AK168" s="182">
        <f t="shared" ca="1" si="76"/>
        <v>61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0</v>
      </c>
      <c r="AR168" s="10">
        <v>0</v>
      </c>
      <c r="AS168" s="56">
        <f t="shared" si="68"/>
        <v>2</v>
      </c>
      <c r="AU168" s="11">
        <f ca="1">IFERROR(OFFSET(ITEM_RES!$A$1,MATCH(AV168,ITEM_RES!$J:$J,0)-1,0),0)</f>
        <v>211010501</v>
      </c>
      <c r="AV168" s="10" t="s">
        <v>1191</v>
      </c>
      <c r="AW168" s="11">
        <v>1920</v>
      </c>
      <c r="AZ168" s="11">
        <f ca="1">IFERROR(OFFSET(ITEM_RES!$A$1,MATCH(BA168,ITEM_RES!$J:$J,0)-1,0),0)</f>
        <v>211020801</v>
      </c>
      <c r="BA168" s="10" t="s">
        <v>1195</v>
      </c>
      <c r="BB168" s="11">
        <v>1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925</v>
      </c>
      <c r="N169" s="9" t="s">
        <v>945</v>
      </c>
      <c r="O169" s="9">
        <v>1</v>
      </c>
      <c r="P169" s="9">
        <v>15</v>
      </c>
      <c r="Q169" s="9" t="s">
        <v>764</v>
      </c>
      <c r="U169" s="9" t="s">
        <v>692</v>
      </c>
      <c r="W169" s="84" t="s">
        <v>544</v>
      </c>
      <c r="X169" s="9">
        <f ca="1">IFERROR(OFFSET(ITEM_RES!$A$5,MATCH(BUILDING!W169,ITEM_RES!$J$5:$J$226,0)-1,0),0)</f>
        <v>211010501</v>
      </c>
      <c r="Y169" s="11">
        <v>1</v>
      </c>
      <c r="Z169" s="84" t="s">
        <v>545</v>
      </c>
      <c r="AA169" s="9">
        <f ca="1">IFERROR(OFFSET(ITEM_RES!$A$5,MATCH(BUILDING!Z169,ITEM_RES!$J$5:$J$226,0)-1,0),0)</f>
        <v>211010601</v>
      </c>
      <c r="AC169" s="9" t="s">
        <v>516</v>
      </c>
      <c r="AD169" s="9">
        <v>5</v>
      </c>
      <c r="AF169" s="11">
        <f ca="1">IFERROR(OFFSET(MANOR_LEVEL!$B$1,MATCH(AG169-1,MANOR_LEVEL!$A:$A,0)-1,0),0)</f>
        <v>796000</v>
      </c>
      <c r="AG169" s="56">
        <v>12</v>
      </c>
      <c r="AI169" s="56">
        <f t="shared" ca="1" si="74"/>
        <v>300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300.10000000000002</v>
      </c>
      <c r="AK169" s="182">
        <f t="shared" ca="1" si="76"/>
        <v>344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0</v>
      </c>
      <c r="AR169" s="10">
        <v>0</v>
      </c>
      <c r="AS169" s="56">
        <f t="shared" si="68"/>
        <v>2</v>
      </c>
      <c r="AU169" s="11">
        <f ca="1">IFERROR(OFFSET(ITEM_RES!$A$1,MATCH(AV169,ITEM_RES!$J:$J,0)-1,0),0)</f>
        <v>211010501</v>
      </c>
      <c r="AV169" s="10" t="s">
        <v>1191</v>
      </c>
      <c r="AW169" s="11">
        <v>26000</v>
      </c>
      <c r="AZ169" s="11">
        <f ca="1">IFERROR(OFFSET(ITEM_RES!$A$1,MATCH(BA169,ITEM_RES!$J:$J,0)-1,0),0)</f>
        <v>211020801</v>
      </c>
      <c r="BA169" s="10" t="s">
        <v>1195</v>
      </c>
      <c r="BB169" s="11">
        <v>1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925</v>
      </c>
      <c r="N170" s="9" t="s">
        <v>945</v>
      </c>
      <c r="O170" s="9">
        <v>1</v>
      </c>
      <c r="P170" s="9">
        <v>15</v>
      </c>
      <c r="Q170" s="9" t="s">
        <v>764</v>
      </c>
      <c r="U170" s="9" t="s">
        <v>692</v>
      </c>
      <c r="W170" s="84" t="s">
        <v>544</v>
      </c>
      <c r="X170" s="9">
        <f ca="1">IFERROR(OFFSET(ITEM_RES!$A$5,MATCH(BUILDING!W170,ITEM_RES!$J$5:$J$226,0)-1,0),0)</f>
        <v>211010501</v>
      </c>
      <c r="Y170" s="11">
        <v>1</v>
      </c>
      <c r="Z170" s="84" t="s">
        <v>545</v>
      </c>
      <c r="AA170" s="9">
        <f ca="1">IFERROR(OFFSET(ITEM_RES!$A$5,MATCH(BUILDING!Z170,ITEM_RES!$J$5:$J$226,0)-1,0),0)</f>
        <v>211010601</v>
      </c>
      <c r="AC170" s="9" t="s">
        <v>516</v>
      </c>
      <c r="AD170" s="9">
        <v>6</v>
      </c>
      <c r="AF170" s="11">
        <f ca="1">IFERROR(OFFSET(MANOR_LEVEL!$B$1,MATCH(AG170-1,MANOR_LEVEL!$A:$A,0)-1,0),0)</f>
        <v>796000</v>
      </c>
      <c r="AG170" s="56">
        <v>12</v>
      </c>
      <c r="AI170" s="56">
        <f t="shared" ca="1" si="74"/>
        <v>2450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2450.1</v>
      </c>
      <c r="AK170" s="182">
        <f t="shared" ca="1" si="76"/>
        <v>2750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0</v>
      </c>
      <c r="AR170" s="10">
        <v>0</v>
      </c>
      <c r="AS170" s="56">
        <f t="shared" si="68"/>
        <v>2</v>
      </c>
      <c r="AU170" s="11">
        <f ca="1">IFERROR(OFFSET(ITEM_RES!$A$1,MATCH(AV170,ITEM_RES!$J:$J,0)-1,0),0)</f>
        <v>211010501</v>
      </c>
      <c r="AV170" s="10" t="s">
        <v>1191</v>
      </c>
      <c r="AW170" s="11">
        <v>240000</v>
      </c>
      <c r="AZ170" s="11">
        <f ca="1">IFERROR(OFFSET(ITEM_RES!$A$1,MATCH(BA170,ITEM_RES!$J:$J,0)-1,0),0)</f>
        <v>211020801</v>
      </c>
      <c r="BA170" s="10" t="s">
        <v>1195</v>
      </c>
      <c r="BB170" s="11">
        <v>1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925</v>
      </c>
      <c r="N171" s="9" t="s">
        <v>945</v>
      </c>
      <c r="O171" s="9">
        <v>1</v>
      </c>
      <c r="P171" s="9">
        <v>15</v>
      </c>
      <c r="Q171" s="9" t="s">
        <v>764</v>
      </c>
      <c r="U171" s="9" t="s">
        <v>692</v>
      </c>
      <c r="W171" s="84" t="s">
        <v>544</v>
      </c>
      <c r="X171" s="9">
        <f ca="1">IFERROR(OFFSET(ITEM_RES!$A$5,MATCH(BUILDING!W171,ITEM_RES!$J$5:$J$226,0)-1,0),0)</f>
        <v>211010501</v>
      </c>
      <c r="Y171" s="11">
        <v>1</v>
      </c>
      <c r="Z171" s="84" t="s">
        <v>545</v>
      </c>
      <c r="AA171" s="9">
        <f ca="1">IFERROR(OFFSET(ITEM_RES!$A$5,MATCH(BUILDING!Z171,ITEM_RES!$J$5:$J$226,0)-1,0),0)</f>
        <v>211010601</v>
      </c>
      <c r="AC171" s="9" t="s">
        <v>516</v>
      </c>
      <c r="AD171" s="9">
        <v>7</v>
      </c>
      <c r="AF171" s="11">
        <f ca="1">IFERROR(OFFSET(MANOR_LEVEL!$B$1,MATCH(AG171-1,MANOR_LEVEL!$A:$A,0)-1,0),0)</f>
        <v>796000</v>
      </c>
      <c r="AG171" s="56">
        <v>12</v>
      </c>
      <c r="AI171" s="56">
        <f t="shared" ca="1" si="74"/>
        <v>5500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5500.1</v>
      </c>
      <c r="AK171" s="182">
        <f t="shared" ca="1" si="76"/>
        <v>7950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0</v>
      </c>
      <c r="AR171" s="10">
        <v>0</v>
      </c>
      <c r="AS171" s="56">
        <f t="shared" si="68"/>
        <v>2</v>
      </c>
      <c r="AU171" s="11">
        <f ca="1">IFERROR(OFFSET(ITEM_RES!$A$1,MATCH(AV171,ITEM_RES!$J:$J,0)-1,0),0)</f>
        <v>211010501</v>
      </c>
      <c r="AV171" s="10" t="s">
        <v>1191</v>
      </c>
      <c r="AW171" s="11">
        <v>540000</v>
      </c>
      <c r="AZ171" s="11">
        <f ca="1">IFERROR(OFFSET(ITEM_RES!$A$1,MATCH(BA171,ITEM_RES!$J:$J,0)-1,0),0)</f>
        <v>211020801</v>
      </c>
      <c r="BA171" s="10" t="s">
        <v>1195</v>
      </c>
      <c r="BB171" s="11">
        <v>1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925</v>
      </c>
      <c r="N172" s="9" t="s">
        <v>945</v>
      </c>
      <c r="O172" s="9">
        <v>1</v>
      </c>
      <c r="P172" s="9">
        <v>15</v>
      </c>
      <c r="Q172" s="9" t="s">
        <v>764</v>
      </c>
      <c r="U172" s="9" t="s">
        <v>692</v>
      </c>
      <c r="W172" s="84" t="s">
        <v>544</v>
      </c>
      <c r="X172" s="9">
        <f ca="1">IFERROR(OFFSET(ITEM_RES!$A$5,MATCH(BUILDING!W172,ITEM_RES!$J$5:$J$226,0)-1,0),0)</f>
        <v>211010501</v>
      </c>
      <c r="Y172" s="11">
        <v>1</v>
      </c>
      <c r="Z172" s="84" t="s">
        <v>545</v>
      </c>
      <c r="AA172" s="9">
        <f ca="1">IFERROR(OFFSET(ITEM_RES!$A$5,MATCH(BUILDING!Z172,ITEM_RES!$J$5:$J$226,0)-1,0),0)</f>
        <v>211010601</v>
      </c>
      <c r="AC172" s="9" t="s">
        <v>516</v>
      </c>
      <c r="AD172" s="9">
        <v>8</v>
      </c>
      <c r="AF172" s="11">
        <f ca="1">IFERROR(OFFSET(MANOR_LEVEL!$B$1,MATCH(AG172-1,MANOR_LEVEL!$A:$A,0)-1,0),0)</f>
        <v>796000</v>
      </c>
      <c r="AG172" s="56">
        <v>12</v>
      </c>
      <c r="AI172" s="56">
        <f t="shared" ca="1" si="74"/>
        <v>10100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10100.1</v>
      </c>
      <c r="AK172" s="182">
        <f t="shared" ca="1" si="76"/>
        <v>15600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0</v>
      </c>
      <c r="AR172" s="10">
        <v>0</v>
      </c>
      <c r="AS172" s="56">
        <f t="shared" si="68"/>
        <v>2</v>
      </c>
      <c r="AU172" s="11">
        <f ca="1">IFERROR(OFFSET(ITEM_RES!$A$1,MATCH(AV172,ITEM_RES!$J:$J,0)-1,0),0)</f>
        <v>211010501</v>
      </c>
      <c r="AV172" s="10" t="s">
        <v>1191</v>
      </c>
      <c r="AW172" s="11">
        <v>1000000</v>
      </c>
      <c r="AZ172" s="11">
        <f ca="1">IFERROR(OFFSET(ITEM_RES!$A$1,MATCH(BA172,ITEM_RES!$J:$J,0)-1,0),0)</f>
        <v>211020801</v>
      </c>
      <c r="BA172" s="10" t="s">
        <v>1195</v>
      </c>
      <c r="BB172" s="11">
        <v>1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925</v>
      </c>
      <c r="N173" s="9" t="s">
        <v>945</v>
      </c>
      <c r="O173" s="9">
        <v>1</v>
      </c>
      <c r="P173" s="9">
        <v>15</v>
      </c>
      <c r="Q173" s="9" t="s">
        <v>764</v>
      </c>
      <c r="U173" s="9" t="s">
        <v>692</v>
      </c>
      <c r="W173" s="84" t="s">
        <v>544</v>
      </c>
      <c r="X173" s="9">
        <f ca="1">IFERROR(OFFSET(ITEM_RES!$A$5,MATCH(BUILDING!W173,ITEM_RES!$J$5:$J$226,0)-1,0),0)</f>
        <v>211010501</v>
      </c>
      <c r="Y173" s="11">
        <v>1</v>
      </c>
      <c r="Z173" s="84" t="s">
        <v>545</v>
      </c>
      <c r="AA173" s="9">
        <f ca="1">IFERROR(OFFSET(ITEM_RES!$A$5,MATCH(BUILDING!Z173,ITEM_RES!$J$5:$J$226,0)-1,0),0)</f>
        <v>211010601</v>
      </c>
      <c r="AC173" s="9" t="s">
        <v>516</v>
      </c>
      <c r="AD173" s="9">
        <v>9</v>
      </c>
      <c r="AF173" s="11">
        <f ca="1">IFERROR(OFFSET(MANOR_LEVEL!$B$1,MATCH(AG173-1,MANOR_LEVEL!$A:$A,0)-1,0),0)</f>
        <v>796000</v>
      </c>
      <c r="AG173" s="56">
        <v>12</v>
      </c>
      <c r="AI173" s="56">
        <f t="shared" ca="1" si="74"/>
        <v>15950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15950.1</v>
      </c>
      <c r="AK173" s="182">
        <f t="shared" ca="1" si="76"/>
        <v>26050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0</v>
      </c>
      <c r="AR173" s="10">
        <v>0</v>
      </c>
      <c r="AS173" s="56">
        <f t="shared" si="68"/>
        <v>2</v>
      </c>
      <c r="AU173" s="11">
        <f ca="1">IFERROR(OFFSET(ITEM_RES!$A$1,MATCH(AV173,ITEM_RES!$J:$J,0)-1,0),0)</f>
        <v>211010501</v>
      </c>
      <c r="AV173" s="10" t="s">
        <v>1191</v>
      </c>
      <c r="AW173" s="11">
        <v>1580000</v>
      </c>
      <c r="AZ173" s="11">
        <f ca="1">IFERROR(OFFSET(ITEM_RES!$A$1,MATCH(BA173,ITEM_RES!$J:$J,0)-1,0),0)</f>
        <v>211020801</v>
      </c>
      <c r="BA173" s="10" t="s">
        <v>1195</v>
      </c>
      <c r="BB173" s="11">
        <v>1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925</v>
      </c>
      <c r="N174" s="9" t="s">
        <v>945</v>
      </c>
      <c r="O174" s="9">
        <v>1</v>
      </c>
      <c r="P174" s="9">
        <v>15</v>
      </c>
      <c r="Q174" s="9" t="s">
        <v>764</v>
      </c>
      <c r="U174" s="9" t="s">
        <v>692</v>
      </c>
      <c r="W174" s="84" t="s">
        <v>544</v>
      </c>
      <c r="X174" s="9">
        <f ca="1">IFERROR(OFFSET(ITEM_RES!$A$5,MATCH(BUILDING!W174,ITEM_RES!$J$5:$J$226,0)-1,0),0)</f>
        <v>211010501</v>
      </c>
      <c r="Y174" s="11">
        <v>1</v>
      </c>
      <c r="Z174" s="84" t="s">
        <v>545</v>
      </c>
      <c r="AA174" s="9">
        <f ca="1">IFERROR(OFFSET(ITEM_RES!$A$5,MATCH(BUILDING!Z174,ITEM_RES!$J$5:$J$226,0)-1,0),0)</f>
        <v>211010601</v>
      </c>
      <c r="AC174" s="9" t="s">
        <v>516</v>
      </c>
      <c r="AD174" s="9">
        <v>10</v>
      </c>
      <c r="AF174" s="11">
        <f ca="1">IFERROR(OFFSET(MANOR_LEVEL!$B$1,MATCH(AG174-1,MANOR_LEVEL!$A:$A,0)-1,0),0)</f>
        <v>796000</v>
      </c>
      <c r="AG174" s="56">
        <v>12</v>
      </c>
      <c r="AI174" s="56">
        <f t="shared" ca="1" si="74"/>
        <v>22200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22200.1</v>
      </c>
      <c r="AK174" s="182">
        <f t="shared" ca="1" si="76"/>
        <v>38150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0</v>
      </c>
      <c r="AR174" s="10">
        <v>0</v>
      </c>
      <c r="AS174" s="56">
        <f t="shared" si="68"/>
        <v>2</v>
      </c>
      <c r="AU174" s="11">
        <f ca="1">IFERROR(OFFSET(ITEM_RES!$A$1,MATCH(AV174,ITEM_RES!$J:$J,0)-1,0),0)</f>
        <v>211010501</v>
      </c>
      <c r="AV174" s="10" t="s">
        <v>1191</v>
      </c>
      <c r="AW174" s="11">
        <v>2200000</v>
      </c>
      <c r="AZ174" s="11">
        <f ca="1">IFERROR(OFFSET(ITEM_RES!$A$1,MATCH(BA174,ITEM_RES!$J:$J,0)-1,0),0)</f>
        <v>211020801</v>
      </c>
      <c r="BA174" s="10" t="s">
        <v>1195</v>
      </c>
      <c r="BB174" s="11">
        <v>1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925</v>
      </c>
      <c r="N175" s="9" t="s">
        <v>945</v>
      </c>
      <c r="O175" s="9">
        <v>1</v>
      </c>
      <c r="P175" s="9">
        <v>15</v>
      </c>
      <c r="Q175" s="9" t="s">
        <v>764</v>
      </c>
      <c r="U175" s="9" t="s">
        <v>692</v>
      </c>
      <c r="W175" s="84" t="s">
        <v>544</v>
      </c>
      <c r="X175" s="9">
        <f ca="1">IFERROR(OFFSET(ITEM_RES!$A$5,MATCH(BUILDING!W175,ITEM_RES!$J$5:$J$226,0)-1,0),0)</f>
        <v>211010501</v>
      </c>
      <c r="Y175" s="11">
        <v>1</v>
      </c>
      <c r="Z175" s="84" t="s">
        <v>545</v>
      </c>
      <c r="AA175" s="9">
        <f ca="1">IFERROR(OFFSET(ITEM_RES!$A$5,MATCH(BUILDING!Z175,ITEM_RES!$J$5:$J$226,0)-1,0),0)</f>
        <v>211010601</v>
      </c>
      <c r="AC175" s="9" t="s">
        <v>516</v>
      </c>
      <c r="AD175" s="9">
        <v>11</v>
      </c>
      <c r="AF175" s="11">
        <f ca="1">IFERROR(OFFSET(MANOR_LEVEL!$B$1,MATCH(AG175-1,MANOR_LEVEL!$A:$A,0)-1,0),0)</f>
        <v>796000</v>
      </c>
      <c r="AG175" s="56">
        <v>12</v>
      </c>
      <c r="AI175" s="56">
        <f t="shared" ca="1" si="74"/>
        <v>88250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88250.1</v>
      </c>
      <c r="AK175" s="182">
        <f t="shared" ca="1" si="76"/>
        <v>110450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0</v>
      </c>
      <c r="AR175" s="10">
        <v>0</v>
      </c>
      <c r="AS175" s="56">
        <f t="shared" si="68"/>
        <v>2</v>
      </c>
      <c r="AU175" s="11">
        <f ca="1">IFERROR(OFFSET(ITEM_RES!$A$1,MATCH(AV175,ITEM_RES!$J:$J,0)-1,0),0)</f>
        <v>211010601</v>
      </c>
      <c r="AV175" s="10" t="s">
        <v>1189</v>
      </c>
      <c r="AW175" s="11">
        <v>4400000</v>
      </c>
      <c r="AZ175" s="11">
        <f ca="1">IFERROR(OFFSET(ITEM_RES!$A$1,MATCH(BA175,ITEM_RES!$J:$J,0)-1,0),0)</f>
        <v>211020801</v>
      </c>
      <c r="BA175" s="10" t="s">
        <v>1195</v>
      </c>
      <c r="BB175" s="11">
        <v>1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925</v>
      </c>
      <c r="N176" s="9" t="s">
        <v>945</v>
      </c>
      <c r="O176" s="9">
        <v>1</v>
      </c>
      <c r="P176" s="9">
        <v>15</v>
      </c>
      <c r="Q176" s="9" t="s">
        <v>764</v>
      </c>
      <c r="U176" s="9" t="s">
        <v>692</v>
      </c>
      <c r="W176" s="84" t="s">
        <v>544</v>
      </c>
      <c r="X176" s="9">
        <f ca="1">IFERROR(OFFSET(ITEM_RES!$A$5,MATCH(BUILDING!W176,ITEM_RES!$J$5:$J$226,0)-1,0),0)</f>
        <v>211010501</v>
      </c>
      <c r="Y176" s="11">
        <v>1</v>
      </c>
      <c r="Z176" s="84" t="s">
        <v>545</v>
      </c>
      <c r="AA176" s="9">
        <f ca="1">IFERROR(OFFSET(ITEM_RES!$A$5,MATCH(BUILDING!Z176,ITEM_RES!$J$5:$J$226,0)-1,0),0)</f>
        <v>211010601</v>
      </c>
      <c r="AC176" s="9" t="s">
        <v>516</v>
      </c>
      <c r="AD176" s="9">
        <v>12</v>
      </c>
      <c r="AF176" s="11">
        <f ca="1">IFERROR(OFFSET(MANOR_LEVEL!$B$1,MATCH(AG176-1,MANOR_LEVEL!$A:$A,0)-1,0),0)</f>
        <v>796000</v>
      </c>
      <c r="AG176" s="56">
        <v>12</v>
      </c>
      <c r="AI176" s="56">
        <f t="shared" ca="1" si="74"/>
        <v>104300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104300.1</v>
      </c>
      <c r="AK176" s="182">
        <f t="shared" ca="1" si="76"/>
        <v>192550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0</v>
      </c>
      <c r="AR176" s="10">
        <v>0</v>
      </c>
      <c r="AS176" s="56">
        <f t="shared" si="68"/>
        <v>2</v>
      </c>
      <c r="AU176" s="11">
        <f ca="1">IFERROR(OFFSET(ITEM_RES!$A$1,MATCH(AV176,ITEM_RES!$J:$J,0)-1,0),0)</f>
        <v>211010601</v>
      </c>
      <c r="AV176" s="10" t="s">
        <v>1189</v>
      </c>
      <c r="AW176" s="11">
        <v>5200000</v>
      </c>
      <c r="AZ176" s="11">
        <f ca="1">IFERROR(OFFSET(ITEM_RES!$A$1,MATCH(BA176,ITEM_RES!$J:$J,0)-1,0),0)</f>
        <v>211020801</v>
      </c>
      <c r="BA176" s="10" t="s">
        <v>1195</v>
      </c>
      <c r="BB176" s="11">
        <v>1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925</v>
      </c>
      <c r="N177" s="9" t="s">
        <v>945</v>
      </c>
      <c r="O177" s="9">
        <v>1</v>
      </c>
      <c r="P177" s="9">
        <v>15</v>
      </c>
      <c r="Q177" s="9" t="s">
        <v>764</v>
      </c>
      <c r="U177" s="9" t="s">
        <v>692</v>
      </c>
      <c r="W177" s="84" t="s">
        <v>544</v>
      </c>
      <c r="X177" s="9">
        <f ca="1">IFERROR(OFFSET(ITEM_RES!$A$5,MATCH(BUILDING!W177,ITEM_RES!$J$5:$J$226,0)-1,0),0)</f>
        <v>211010501</v>
      </c>
      <c r="Y177" s="11">
        <v>1</v>
      </c>
      <c r="Z177" s="84" t="s">
        <v>545</v>
      </c>
      <c r="AA177" s="9">
        <f ca="1">IFERROR(OFFSET(ITEM_RES!$A$5,MATCH(BUILDING!Z177,ITEM_RES!$J$5:$J$226,0)-1,0),0)</f>
        <v>211010601</v>
      </c>
      <c r="AC177" s="9" t="s">
        <v>516</v>
      </c>
      <c r="AD177" s="9">
        <v>13</v>
      </c>
      <c r="AF177" s="11">
        <f ca="1">IFERROR(OFFSET(MANOR_LEVEL!$B$1,MATCH(AG177-1,MANOR_LEVEL!$A:$A,0)-1,0),0)</f>
        <v>796000</v>
      </c>
      <c r="AG177" s="56">
        <v>12</v>
      </c>
      <c r="AI177" s="56">
        <f t="shared" ca="1" si="74"/>
        <v>172350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172350.1</v>
      </c>
      <c r="AK177" s="182">
        <f t="shared" ca="1" si="76"/>
        <v>276650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0</v>
      </c>
      <c r="AR177" s="10">
        <v>0</v>
      </c>
      <c r="AS177" s="56">
        <f t="shared" si="68"/>
        <v>2</v>
      </c>
      <c r="AU177" s="11">
        <f ca="1">IFERROR(OFFSET(ITEM_RES!$A$1,MATCH(AV177,ITEM_RES!$J:$J,0)-1,0),0)</f>
        <v>211010601</v>
      </c>
      <c r="AV177" s="10" t="s">
        <v>1189</v>
      </c>
      <c r="AW177" s="11">
        <v>8600000</v>
      </c>
      <c r="AZ177" s="11">
        <f ca="1">IFERROR(OFFSET(ITEM_RES!$A$1,MATCH(BA177,ITEM_RES!$J:$J,0)-1,0),0)</f>
        <v>211020801</v>
      </c>
      <c r="BA177" s="10" t="s">
        <v>1195</v>
      </c>
      <c r="BB177" s="11">
        <v>1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925</v>
      </c>
      <c r="N178" s="9" t="s">
        <v>945</v>
      </c>
      <c r="O178" s="9">
        <v>1</v>
      </c>
      <c r="P178" s="9">
        <v>15</v>
      </c>
      <c r="Q178" s="9" t="s">
        <v>764</v>
      </c>
      <c r="U178" s="9" t="s">
        <v>692</v>
      </c>
      <c r="W178" s="84" t="s">
        <v>544</v>
      </c>
      <c r="X178" s="9">
        <f ca="1">IFERROR(OFFSET(ITEM_RES!$A$5,MATCH(BUILDING!W178,ITEM_RES!$J$5:$J$226,0)-1,0),0)</f>
        <v>211010501</v>
      </c>
      <c r="Y178" s="11">
        <v>1</v>
      </c>
      <c r="Z178" s="84" t="s">
        <v>545</v>
      </c>
      <c r="AA178" s="9">
        <f ca="1">IFERROR(OFFSET(ITEM_RES!$A$5,MATCH(BUILDING!Z178,ITEM_RES!$J$5:$J$226,0)-1,0),0)</f>
        <v>211010601</v>
      </c>
      <c r="AC178" s="9" t="s">
        <v>516</v>
      </c>
      <c r="AD178" s="9">
        <v>14</v>
      </c>
      <c r="AF178" s="11">
        <f ca="1">IFERROR(OFFSET(MANOR_LEVEL!$B$1,MATCH(AG178-1,MANOR_LEVEL!$A:$A,0)-1,0),0)</f>
        <v>796000</v>
      </c>
      <c r="AG178" s="56">
        <v>12</v>
      </c>
      <c r="AI178" s="56">
        <f t="shared" ca="1" si="74"/>
        <v>264450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264450.09999999998</v>
      </c>
      <c r="AK178" s="182">
        <f t="shared" ca="1" si="76"/>
        <v>436800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0</v>
      </c>
      <c r="AR178" s="10">
        <v>0</v>
      </c>
      <c r="AS178" s="56">
        <f t="shared" si="68"/>
        <v>2</v>
      </c>
      <c r="AU178" s="11">
        <f ca="1">IFERROR(OFFSET(ITEM_RES!$A$1,MATCH(AV178,ITEM_RES!$J:$J,0)-1,0),0)</f>
        <v>211010601</v>
      </c>
      <c r="AV178" s="10" t="s">
        <v>1189</v>
      </c>
      <c r="AW178" s="11">
        <v>13200000</v>
      </c>
      <c r="AZ178" s="11">
        <f ca="1">IFERROR(OFFSET(ITEM_RES!$A$1,MATCH(BA178,ITEM_RES!$J:$J,0)-1,0),0)</f>
        <v>211020801</v>
      </c>
      <c r="BA178" s="10" t="s">
        <v>1195</v>
      </c>
      <c r="BB178" s="11">
        <v>1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925</v>
      </c>
      <c r="N179" s="9" t="s">
        <v>945</v>
      </c>
      <c r="O179" s="9">
        <v>1</v>
      </c>
      <c r="P179" s="9">
        <v>15</v>
      </c>
      <c r="Q179" s="9" t="s">
        <v>764</v>
      </c>
      <c r="U179" s="9" t="s">
        <v>692</v>
      </c>
      <c r="W179" s="84" t="s">
        <v>544</v>
      </c>
      <c r="X179" s="9">
        <f ca="1">IFERROR(OFFSET(ITEM_RES!$A$5,MATCH(BUILDING!W179,ITEM_RES!$J$5:$J$226,0)-1,0),0)</f>
        <v>211010501</v>
      </c>
      <c r="Y179" s="11">
        <v>1</v>
      </c>
      <c r="Z179" s="84" t="s">
        <v>545</v>
      </c>
      <c r="AA179" s="9">
        <f ca="1">IFERROR(OFFSET(ITEM_RES!$A$5,MATCH(BUILDING!Z179,ITEM_RES!$J$5:$J$226,0)-1,0),0)</f>
        <v>211010601</v>
      </c>
      <c r="AC179" s="9" t="s">
        <v>516</v>
      </c>
      <c r="AD179" s="9">
        <v>15</v>
      </c>
      <c r="AF179" s="11">
        <f ca="1">IFERROR(OFFSET(MANOR_LEVEL!$B$1,MATCH(AG179-1,MANOR_LEVEL!$A:$A,0)-1,0),0)</f>
        <v>796000</v>
      </c>
      <c r="AG179" s="56">
        <v>12</v>
      </c>
      <c r="AI179" s="56">
        <f t="shared" ca="1" si="74"/>
        <v>440550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440550.1</v>
      </c>
      <c r="AK179" s="182">
        <f t="shared" ca="1" si="76"/>
        <v>705000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0</v>
      </c>
      <c r="AR179" s="10">
        <v>0</v>
      </c>
      <c r="AS179" s="56">
        <f t="shared" si="68"/>
        <v>2</v>
      </c>
      <c r="AU179" s="11">
        <f ca="1">IFERROR(OFFSET(ITEM_RES!$A$1,MATCH(AV179,ITEM_RES!$J:$J,0)-1,0),0)</f>
        <v>211010601</v>
      </c>
      <c r="AV179" s="10" t="s">
        <v>1189</v>
      </c>
      <c r="AW179" s="11">
        <v>22000000</v>
      </c>
      <c r="AZ179" s="11">
        <f ca="1">IFERROR(OFFSET(ITEM_RES!$A$1,MATCH(BA179,ITEM_RES!$J:$J,0)-1,0),0)</f>
        <v>211020801</v>
      </c>
      <c r="BA179" s="10" t="s">
        <v>1195</v>
      </c>
      <c r="BB179" s="11">
        <v>1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925</v>
      </c>
      <c r="N180" s="9" t="s">
        <v>945</v>
      </c>
      <c r="O180" s="9">
        <v>0</v>
      </c>
      <c r="P180" s="9">
        <v>15</v>
      </c>
      <c r="Q180" s="9" t="s">
        <v>764</v>
      </c>
      <c r="U180" s="9" t="s">
        <v>692</v>
      </c>
      <c r="W180" s="84" t="s">
        <v>544</v>
      </c>
      <c r="X180" s="9">
        <f ca="1">IFERROR(OFFSET(ITEM_RES!$A$5,MATCH(BUILDING!W180,ITEM_RES!$J$5:$J$226,0)-1,0),0)</f>
        <v>211010501</v>
      </c>
      <c r="Y180" s="11">
        <v>1</v>
      </c>
      <c r="Z180" s="84" t="s">
        <v>545</v>
      </c>
      <c r="AA180" s="9">
        <f ca="1">IFERROR(OFFSET(ITEM_RES!$A$5,MATCH(BUILDING!Z180,ITEM_RES!$J$5:$J$226,0)-1,0),0)</f>
        <v>211010601</v>
      </c>
      <c r="AC180" s="9" t="s">
        <v>516</v>
      </c>
      <c r="AD180" s="9">
        <v>16</v>
      </c>
      <c r="AF180" s="11">
        <f ca="1">IFERROR(OFFSET(MANOR_LEVEL!$B$1,MATCH(AG180-1,MANOR_LEVEL!$A:$A,0)-1,0),0)</f>
        <v>796000</v>
      </c>
      <c r="AG180" s="56">
        <v>12</v>
      </c>
      <c r="AI180" s="56">
        <f t="shared" ca="1" si="74"/>
        <v>600700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600700.1</v>
      </c>
      <c r="AK180" s="182">
        <f t="shared" ca="1" si="76"/>
        <v>1041250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0</v>
      </c>
      <c r="AR180" s="10">
        <v>0</v>
      </c>
      <c r="AS180" s="56">
        <f t="shared" si="68"/>
        <v>2</v>
      </c>
      <c r="AU180" s="11">
        <f ca="1">IFERROR(OFFSET(ITEM_RES!$A$1,MATCH(AV180,ITEM_RES!$J:$J,0)-1,0),0)</f>
        <v>211010601</v>
      </c>
      <c r="AV180" s="10" t="s">
        <v>1189</v>
      </c>
      <c r="AW180" s="11">
        <v>30000000</v>
      </c>
      <c r="AZ180" s="11">
        <f ca="1">IFERROR(OFFSET(ITEM_RES!$A$1,MATCH(BA180,ITEM_RES!$J:$J,0)-1,0),0)</f>
        <v>211020801</v>
      </c>
      <c r="BA180" s="10" t="s">
        <v>1195</v>
      </c>
      <c r="BB180" s="11">
        <v>1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925</v>
      </c>
      <c r="N181" s="9" t="s">
        <v>945</v>
      </c>
      <c r="O181" s="9">
        <v>0</v>
      </c>
      <c r="P181" s="9">
        <v>15</v>
      </c>
      <c r="Q181" s="9" t="s">
        <v>764</v>
      </c>
      <c r="U181" s="9" t="s">
        <v>692</v>
      </c>
      <c r="W181" s="84" t="s">
        <v>544</v>
      </c>
      <c r="X181" s="9">
        <f ca="1">IFERROR(OFFSET(ITEM_RES!$A$5,MATCH(BUILDING!W181,ITEM_RES!$J$5:$J$226,0)-1,0),0)</f>
        <v>211010501</v>
      </c>
      <c r="Y181" s="11">
        <v>1</v>
      </c>
      <c r="Z181" s="84" t="s">
        <v>545</v>
      </c>
      <c r="AA181" s="9">
        <f ca="1">IFERROR(OFFSET(ITEM_RES!$A$5,MATCH(BUILDING!Z181,ITEM_RES!$J$5:$J$226,0)-1,0),0)</f>
        <v>211010601</v>
      </c>
      <c r="AC181" s="9" t="s">
        <v>516</v>
      </c>
      <c r="AD181" s="9">
        <v>17</v>
      </c>
      <c r="AF181" s="11">
        <f ca="1">IFERROR(OFFSET(MANOR_LEVEL!$B$1,MATCH(AG181-1,MANOR_LEVEL!$A:$A,0)-1,0),0)</f>
        <v>796000</v>
      </c>
      <c r="AG181" s="56">
        <v>12</v>
      </c>
      <c r="AI181" s="56">
        <f t="shared" ca="1" si="74"/>
        <v>920850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920850.2</v>
      </c>
      <c r="AK181" s="182">
        <f t="shared" ca="1" si="76"/>
        <v>1521550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0</v>
      </c>
      <c r="AR181" s="10">
        <v>0</v>
      </c>
      <c r="AS181" s="56">
        <f t="shared" si="68"/>
        <v>2</v>
      </c>
      <c r="AU181" s="11">
        <f ca="1">IFERROR(OFFSET(ITEM_RES!$A$1,MATCH(AV181,ITEM_RES!$J:$J,0)-1,0),0)</f>
        <v>211010601</v>
      </c>
      <c r="AV181" s="10" t="s">
        <v>1189</v>
      </c>
      <c r="AW181" s="11">
        <v>46000000</v>
      </c>
      <c r="AZ181" s="11">
        <f ca="1">IFERROR(OFFSET(ITEM_RES!$A$1,MATCH(BA181,ITEM_RES!$J:$J,0)-1,0),0)</f>
        <v>211020901</v>
      </c>
      <c r="BA181" s="10" t="s">
        <v>1196</v>
      </c>
      <c r="BB181" s="11">
        <v>1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925</v>
      </c>
      <c r="N182" s="9" t="s">
        <v>945</v>
      </c>
      <c r="O182" s="9">
        <v>0</v>
      </c>
      <c r="P182" s="9">
        <v>15</v>
      </c>
      <c r="Q182" s="9" t="s">
        <v>764</v>
      </c>
      <c r="U182" s="9" t="s">
        <v>692</v>
      </c>
      <c r="W182" s="84" t="s">
        <v>544</v>
      </c>
      <c r="X182" s="9">
        <f ca="1">IFERROR(OFFSET(ITEM_RES!$A$5,MATCH(BUILDING!W182,ITEM_RES!$J$5:$J$226,0)-1,0),0)</f>
        <v>211010501</v>
      </c>
      <c r="Y182" s="11">
        <v>1</v>
      </c>
      <c r="Z182" s="84" t="s">
        <v>545</v>
      </c>
      <c r="AA182" s="9">
        <f ca="1">IFERROR(OFFSET(ITEM_RES!$A$5,MATCH(BUILDING!Z182,ITEM_RES!$J$5:$J$226,0)-1,0),0)</f>
        <v>211010601</v>
      </c>
      <c r="AC182" s="9" t="s">
        <v>516</v>
      </c>
      <c r="AD182" s="9">
        <v>18</v>
      </c>
      <c r="AF182" s="11">
        <f ca="1">IFERROR(OFFSET(MANOR_LEVEL!$B$1,MATCH(AG182-1,MANOR_LEVEL!$A:$A,0)-1,0),0)</f>
        <v>796000</v>
      </c>
      <c r="AG182" s="56">
        <v>12</v>
      </c>
      <c r="AI182" s="56">
        <f t="shared" ca="1" si="74"/>
        <v>1401050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1401050.2</v>
      </c>
      <c r="AK182" s="182">
        <f t="shared" ca="1" si="76"/>
        <v>2321900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0</v>
      </c>
      <c r="AR182" s="10">
        <v>0</v>
      </c>
      <c r="AS182" s="56">
        <f t="shared" si="68"/>
        <v>2</v>
      </c>
      <c r="AU182" s="11">
        <f ca="1">IFERROR(OFFSET(ITEM_RES!$A$1,MATCH(AV182,ITEM_RES!$J:$J,0)-1,0),0)</f>
        <v>211010601</v>
      </c>
      <c r="AV182" s="10" t="s">
        <v>1189</v>
      </c>
      <c r="AW182" s="11">
        <v>70000000</v>
      </c>
      <c r="AZ182" s="11">
        <f ca="1">IFERROR(OFFSET(ITEM_RES!$A$1,MATCH(BA182,ITEM_RES!$J:$J,0)-1,0),0)</f>
        <v>211020901</v>
      </c>
      <c r="BA182" s="10" t="s">
        <v>1196</v>
      </c>
      <c r="BB182" s="11">
        <v>1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925</v>
      </c>
      <c r="N183" s="9" t="s">
        <v>945</v>
      </c>
      <c r="O183" s="9">
        <v>0</v>
      </c>
      <c r="P183" s="9">
        <v>15</v>
      </c>
      <c r="Q183" s="9" t="s">
        <v>764</v>
      </c>
      <c r="U183" s="9" t="s">
        <v>692</v>
      </c>
      <c r="W183" s="84" t="s">
        <v>544</v>
      </c>
      <c r="X183" s="9">
        <f ca="1">IFERROR(OFFSET(ITEM_RES!$A$5,MATCH(BUILDING!W183,ITEM_RES!$J$5:$J$226,0)-1,0),0)</f>
        <v>211010501</v>
      </c>
      <c r="Y183" s="11">
        <v>1</v>
      </c>
      <c r="Z183" s="84" t="s">
        <v>545</v>
      </c>
      <c r="AA183" s="9">
        <f ca="1">IFERROR(OFFSET(ITEM_RES!$A$5,MATCH(BUILDING!Z183,ITEM_RES!$J$5:$J$226,0)-1,0),0)</f>
        <v>211010601</v>
      </c>
      <c r="AC183" s="9" t="s">
        <v>516</v>
      </c>
      <c r="AD183" s="9">
        <v>19</v>
      </c>
      <c r="AF183" s="11">
        <f ca="1">IFERROR(OFFSET(MANOR_LEVEL!$B$1,MATCH(AG183-1,MANOR_LEVEL!$A:$A,0)-1,0),0)</f>
        <v>796000</v>
      </c>
      <c r="AG183" s="56">
        <v>12</v>
      </c>
      <c r="AI183" s="56">
        <f t="shared" ca="1" si="74"/>
        <v>1921250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1921250.2</v>
      </c>
      <c r="AK183" s="182">
        <f t="shared" ca="1" si="76"/>
        <v>3322300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0</v>
      </c>
      <c r="AR183" s="10">
        <v>0</v>
      </c>
      <c r="AS183" s="56">
        <f t="shared" si="68"/>
        <v>2</v>
      </c>
      <c r="AU183" s="11">
        <f ca="1">IFERROR(OFFSET(ITEM_RES!$A$1,MATCH(AV183,ITEM_RES!$J:$J,0)-1,0),0)</f>
        <v>211010601</v>
      </c>
      <c r="AV183" s="10" t="s">
        <v>1189</v>
      </c>
      <c r="AW183" s="11">
        <v>96000000</v>
      </c>
      <c r="AZ183" s="11">
        <f ca="1">IFERROR(OFFSET(ITEM_RES!$A$1,MATCH(BA183,ITEM_RES!$J:$J,0)-1,0),0)</f>
        <v>211020901</v>
      </c>
      <c r="BA183" s="10" t="s">
        <v>1196</v>
      </c>
      <c r="BB183" s="11">
        <v>1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925</v>
      </c>
      <c r="N184" s="9" t="s">
        <v>945</v>
      </c>
      <c r="O184" s="9">
        <v>0</v>
      </c>
      <c r="P184" s="9">
        <v>15</v>
      </c>
      <c r="Q184" s="9" t="s">
        <v>764</v>
      </c>
      <c r="U184" s="9" t="s">
        <v>692</v>
      </c>
      <c r="W184" s="84" t="s">
        <v>544</v>
      </c>
      <c r="X184" s="9">
        <f ca="1">IFERROR(OFFSET(ITEM_RES!$A$5,MATCH(BUILDING!W184,ITEM_RES!$J$5:$J$226,0)-1,0),0)</f>
        <v>211010501</v>
      </c>
      <c r="Y184" s="11">
        <v>1</v>
      </c>
      <c r="Z184" s="84" t="s">
        <v>545</v>
      </c>
      <c r="AA184" s="9">
        <f ca="1">IFERROR(OFFSET(ITEM_RES!$A$5,MATCH(BUILDING!Z184,ITEM_RES!$J$5:$J$226,0)-1,0),0)</f>
        <v>211010601</v>
      </c>
      <c r="AC184" s="9" t="s">
        <v>516</v>
      </c>
      <c r="AD184" s="9">
        <v>20</v>
      </c>
      <c r="AF184" s="11">
        <f ca="1">IFERROR(OFFSET(MANOR_LEVEL!$B$1,MATCH(AG184-1,MANOR_LEVEL!$A:$A,0)-1,0),0)</f>
        <v>796000</v>
      </c>
      <c r="AG184" s="56">
        <v>12</v>
      </c>
      <c r="AI184" s="56">
        <f t="shared" ca="1" si="74"/>
        <v>3041500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3041500.2</v>
      </c>
      <c r="AK184" s="182">
        <f t="shared" ca="1" si="76"/>
        <v>4962750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0</v>
      </c>
      <c r="AR184" s="10">
        <v>0</v>
      </c>
      <c r="AS184" s="56">
        <f t="shared" si="68"/>
        <v>2</v>
      </c>
      <c r="AU184" s="11">
        <f ca="1">IFERROR(OFFSET(ITEM_RES!$A$1,MATCH(AV184,ITEM_RES!$J:$J,0)-1,0),0)</f>
        <v>211010601</v>
      </c>
      <c r="AV184" s="10" t="s">
        <v>1189</v>
      </c>
      <c r="AW184" s="11">
        <v>152000000</v>
      </c>
      <c r="AZ184" s="11">
        <f ca="1">IFERROR(OFFSET(ITEM_RES!$A$1,MATCH(BA184,ITEM_RES!$J:$J,0)-1,0),0)</f>
        <v>211020901</v>
      </c>
      <c r="BA184" s="10" t="s">
        <v>1196</v>
      </c>
      <c r="BB184" s="11">
        <v>1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63" t="s">
        <v>993</v>
      </c>
      <c r="N185" s="63"/>
      <c r="O185" s="16">
        <v>1</v>
      </c>
      <c r="P185" s="16">
        <v>15</v>
      </c>
      <c r="Q185" s="16" t="s">
        <v>1236</v>
      </c>
      <c r="R185" s="17"/>
      <c r="S185" s="17"/>
      <c r="T185" s="18"/>
      <c r="U185" s="16" t="s">
        <v>710</v>
      </c>
      <c r="V185" s="78"/>
      <c r="W185" s="86"/>
      <c r="X185" s="16">
        <f ca="1">IFERROR(OFFSET(ITEM_RES!$A$5,MATCH(BUILDING!W185,ITEM_RES!$J$5:$J$226,0)-1,0),0)</f>
        <v>0</v>
      </c>
      <c r="Y185" s="18"/>
      <c r="Z185" s="86"/>
      <c r="AA185" s="16">
        <f ca="1">IFERROR(OFFSET(ITEM_RES!$A$5,MATCH(BUILDING!Z185,ITEM_RES!$J$5:$J$226,0)-1,0),0)</f>
        <v>0</v>
      </c>
      <c r="AB185" s="78"/>
      <c r="AC185" s="16" t="s">
        <v>517</v>
      </c>
      <c r="AD185" s="16">
        <v>1</v>
      </c>
      <c r="AE185" s="78"/>
      <c r="AF185" s="18">
        <f ca="1">IFERROR(OFFSET(MANOR_LEVEL!$B$1,MATCH(AG185-1,MANOR_LEVEL!$A:$A,0)-1,0),0)</f>
        <v>3872</v>
      </c>
      <c r="AG185" s="57">
        <v>6</v>
      </c>
      <c r="AH185" s="78"/>
      <c r="AI185" s="57">
        <f t="shared" ca="1" si="74"/>
        <v>105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105.1</v>
      </c>
      <c r="AK185" s="184">
        <f ca="1">AI185</f>
        <v>105</v>
      </c>
      <c r="AL185" s="78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0</v>
      </c>
      <c r="AR185" s="17">
        <v>0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1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56" t="s">
        <v>993</v>
      </c>
      <c r="N186" s="56"/>
      <c r="O186" s="9">
        <v>1</v>
      </c>
      <c r="P186" s="9">
        <v>15</v>
      </c>
      <c r="Q186" s="83" t="s">
        <v>1235</v>
      </c>
      <c r="U186" s="9" t="s">
        <v>693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517</v>
      </c>
      <c r="AD186" s="9">
        <v>2</v>
      </c>
      <c r="AF186" s="11">
        <f ca="1">IFERROR(OFFSET(MANOR_LEVEL!$B$1,MATCH(AG186-1,MANOR_LEVEL!$A:$A,0)-1,0),0)</f>
        <v>3872</v>
      </c>
      <c r="AG186" s="56">
        <v>6</v>
      </c>
      <c r="AI186" s="56">
        <f t="shared" ca="1" si="74"/>
        <v>10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10.1</v>
      </c>
      <c r="AK186" s="182">
        <f ca="1">AI185+AI186</f>
        <v>115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0</v>
      </c>
      <c r="AR186" s="10">
        <v>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1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56" t="s">
        <v>993</v>
      </c>
      <c r="N187" s="56"/>
      <c r="O187" s="9">
        <v>1</v>
      </c>
      <c r="P187" s="9">
        <v>15</v>
      </c>
      <c r="Q187" s="9" t="s">
        <v>1136</v>
      </c>
      <c r="U187" s="9" t="s">
        <v>693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517</v>
      </c>
      <c r="AD187" s="9">
        <v>3</v>
      </c>
      <c r="AF187" s="11">
        <f ca="1">IFERROR(OFFSET(MANOR_LEVEL!$B$1,MATCH(AG187-1,MANOR_LEVEL!$A:$A,0)-1,0),0)</f>
        <v>94800</v>
      </c>
      <c r="AG187" s="56">
        <v>8</v>
      </c>
      <c r="AI187" s="56">
        <f t="shared" ca="1" si="74"/>
        <v>15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15.1</v>
      </c>
      <c r="AK187" s="182">
        <f t="shared" ref="AK187:AK204" ca="1" si="85">AI186+AI187</f>
        <v>25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0</v>
      </c>
      <c r="AR187" s="10">
        <v>0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1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56" t="s">
        <v>993</v>
      </c>
      <c r="N188" s="56"/>
      <c r="O188" s="9">
        <v>1</v>
      </c>
      <c r="P188" s="9">
        <v>15</v>
      </c>
      <c r="Q188" s="9" t="s">
        <v>1136</v>
      </c>
      <c r="U188" s="9" t="s">
        <v>693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517</v>
      </c>
      <c r="AD188" s="9">
        <v>4</v>
      </c>
      <c r="AF188" s="11">
        <f ca="1">IFERROR(OFFSET(MANOR_LEVEL!$B$1,MATCH(AG188-1,MANOR_LEVEL!$A:$A,0)-1,0),0)</f>
        <v>94800</v>
      </c>
      <c r="AG188" s="56">
        <v>8</v>
      </c>
      <c r="AI188" s="56">
        <f t="shared" ca="1" si="74"/>
        <v>25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25.1</v>
      </c>
      <c r="AK188" s="182">
        <f t="shared" ca="1" si="85"/>
        <v>40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0</v>
      </c>
      <c r="AR188" s="10">
        <v>0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56" t="s">
        <v>993</v>
      </c>
      <c r="N189" s="56"/>
      <c r="O189" s="9">
        <v>1</v>
      </c>
      <c r="P189" s="9">
        <v>15</v>
      </c>
      <c r="Q189" s="9" t="s">
        <v>1136</v>
      </c>
      <c r="U189" s="9" t="s">
        <v>693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517</v>
      </c>
      <c r="AD189" s="9">
        <v>5</v>
      </c>
      <c r="AF189" s="11">
        <f ca="1">IFERROR(OFFSET(MANOR_LEVEL!$B$1,MATCH(AG189-1,MANOR_LEVEL!$A:$A,0)-1,0),0)</f>
        <v>186400</v>
      </c>
      <c r="AG189" s="56">
        <v>9</v>
      </c>
      <c r="AI189" s="56">
        <f t="shared" ca="1" si="74"/>
        <v>40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40.1</v>
      </c>
      <c r="AK189" s="182">
        <f t="shared" ca="1" si="85"/>
        <v>65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0</v>
      </c>
      <c r="AR189" s="10">
        <v>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1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56" t="s">
        <v>993</v>
      </c>
      <c r="N190" s="56"/>
      <c r="O190" s="9">
        <v>1</v>
      </c>
      <c r="P190" s="9">
        <v>15</v>
      </c>
      <c r="Q190" s="9" t="s">
        <v>1136</v>
      </c>
      <c r="U190" s="9" t="s">
        <v>693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517</v>
      </c>
      <c r="AD190" s="9">
        <v>6</v>
      </c>
      <c r="AF190" s="11">
        <f ca="1">IFERROR(OFFSET(MANOR_LEVEL!$B$1,MATCH(AG190-1,MANOR_LEVEL!$A:$A,0)-1,0),0)</f>
        <v>186400</v>
      </c>
      <c r="AG190" s="56">
        <v>9</v>
      </c>
      <c r="AI190" s="56">
        <f t="shared" ca="1" si="74"/>
        <v>50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50.1</v>
      </c>
      <c r="AK190" s="182">
        <f t="shared" ca="1" si="85"/>
        <v>90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0</v>
      </c>
      <c r="AR190" s="10">
        <v>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1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56" t="s">
        <v>993</v>
      </c>
      <c r="N191" s="56"/>
      <c r="O191" s="9">
        <v>1</v>
      </c>
      <c r="P191" s="9">
        <v>15</v>
      </c>
      <c r="Q191" s="9" t="s">
        <v>1136</v>
      </c>
      <c r="U191" s="9" t="s">
        <v>693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517</v>
      </c>
      <c r="AD191" s="9">
        <v>7</v>
      </c>
      <c r="AF191" s="11">
        <f ca="1">IFERROR(OFFSET(MANOR_LEVEL!$B$1,MATCH(AG191-1,MANOR_LEVEL!$A:$A,0)-1,0),0)</f>
        <v>186400</v>
      </c>
      <c r="AG191" s="56">
        <v>9</v>
      </c>
      <c r="AI191" s="56">
        <f t="shared" ca="1" si="74"/>
        <v>100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100.1</v>
      </c>
      <c r="AK191" s="182">
        <f t="shared" ca="1" si="85"/>
        <v>150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0</v>
      </c>
      <c r="AR191" s="10">
        <v>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1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56" t="s">
        <v>993</v>
      </c>
      <c r="N192" s="56"/>
      <c r="O192" s="9">
        <v>1</v>
      </c>
      <c r="P192" s="9">
        <v>15</v>
      </c>
      <c r="Q192" s="9" t="s">
        <v>1136</v>
      </c>
      <c r="U192" s="9" t="s">
        <v>693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517</v>
      </c>
      <c r="AD192" s="9">
        <v>8</v>
      </c>
      <c r="AF192" s="11">
        <f ca="1">IFERROR(OFFSET(MANOR_LEVEL!$B$1,MATCH(AG192-1,MANOR_LEVEL!$A:$A,0)-1,0),0)</f>
        <v>311600</v>
      </c>
      <c r="AG192" s="56">
        <v>10</v>
      </c>
      <c r="AI192" s="56">
        <f t="shared" ca="1" si="74"/>
        <v>100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100.1</v>
      </c>
      <c r="AK192" s="182">
        <f t="shared" ca="1" si="85"/>
        <v>200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0</v>
      </c>
      <c r="AR192" s="10">
        <v>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1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56" t="s">
        <v>993</v>
      </c>
      <c r="N193" s="56"/>
      <c r="O193" s="9">
        <v>1</v>
      </c>
      <c r="P193" s="9">
        <v>15</v>
      </c>
      <c r="Q193" s="9" t="s">
        <v>1136</v>
      </c>
      <c r="U193" s="9" t="s">
        <v>693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517</v>
      </c>
      <c r="AD193" s="9">
        <v>9</v>
      </c>
      <c r="AF193" s="11">
        <f ca="1">IFERROR(OFFSET(MANOR_LEVEL!$B$1,MATCH(AG193-1,MANOR_LEVEL!$A:$A,0)-1,0),0)</f>
        <v>796000</v>
      </c>
      <c r="AG193" s="56">
        <v>12</v>
      </c>
      <c r="AI193" s="56">
        <f t="shared" ca="1" si="74"/>
        <v>150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150.1</v>
      </c>
      <c r="AK193" s="182">
        <f t="shared" ca="1" si="85"/>
        <v>250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0</v>
      </c>
      <c r="AR193" s="10">
        <v>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1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56" t="s">
        <v>993</v>
      </c>
      <c r="N194" s="56"/>
      <c r="O194" s="9">
        <v>1</v>
      </c>
      <c r="P194" s="9">
        <v>15</v>
      </c>
      <c r="Q194" s="9" t="s">
        <v>1136</v>
      </c>
      <c r="U194" s="9" t="s">
        <v>693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517</v>
      </c>
      <c r="AD194" s="9">
        <v>10</v>
      </c>
      <c r="AF194" s="11">
        <f ca="1">IFERROR(OFFSET(MANOR_LEVEL!$B$1,MATCH(AG194-1,MANOR_LEVEL!$A:$A,0)-1,0),0)</f>
        <v>796000</v>
      </c>
      <c r="AG194" s="56">
        <v>12</v>
      </c>
      <c r="AI194" s="56">
        <f t="shared" ca="1" si="74"/>
        <v>300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300.10000000000002</v>
      </c>
      <c r="AK194" s="182">
        <f t="shared" ca="1" si="85"/>
        <v>450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0</v>
      </c>
      <c r="AR194" s="10">
        <v>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463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56" t="s">
        <v>993</v>
      </c>
      <c r="N195" s="56"/>
      <c r="O195" s="9">
        <v>1</v>
      </c>
      <c r="P195" s="9">
        <v>15</v>
      </c>
      <c r="Q195" s="9" t="s">
        <v>1136</v>
      </c>
      <c r="U195" s="9" t="s">
        <v>693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517</v>
      </c>
      <c r="AD195" s="9">
        <v>11</v>
      </c>
      <c r="AF195" s="11">
        <f ca="1">IFERROR(OFFSET(MANOR_LEVEL!$B$1,MATCH(AG195-1,MANOR_LEVEL!$A:$A,0)-1,0),0)</f>
        <v>796000</v>
      </c>
      <c r="AG195" s="56">
        <v>12</v>
      </c>
      <c r="AI195" s="56">
        <f t="shared" ca="1" si="74"/>
        <v>250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250.1</v>
      </c>
      <c r="AK195" s="182">
        <f t="shared" ca="1" si="85"/>
        <v>550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0</v>
      </c>
      <c r="AR195" s="10">
        <v>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56" t="s">
        <v>993</v>
      </c>
      <c r="N196" s="56"/>
      <c r="O196" s="9">
        <v>1</v>
      </c>
      <c r="P196" s="9">
        <v>15</v>
      </c>
      <c r="Q196" s="9" t="s">
        <v>1136</v>
      </c>
      <c r="U196" s="9" t="s">
        <v>693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517</v>
      </c>
      <c r="AD196" s="9">
        <v>12</v>
      </c>
      <c r="AF196" s="11">
        <f ca="1">IFERROR(OFFSET(MANOR_LEVEL!$B$1,MATCH(AG196-1,MANOR_LEVEL!$A:$A,0)-1,0),0)</f>
        <v>12172400</v>
      </c>
      <c r="AG196" s="56">
        <v>18</v>
      </c>
      <c r="AI196" s="56">
        <f t="shared" ca="1" si="74"/>
        <v>300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300.3</v>
      </c>
      <c r="AK196" s="182">
        <f t="shared" ca="1" si="85"/>
        <v>550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0</v>
      </c>
      <c r="AR196" s="10">
        <v>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</v>
      </c>
      <c r="AZ196" s="11">
        <f ca="1">IFERROR(OFFSET(ITEM_RES!$A$1,MATCH(BA196,ITEM_RES!$J:$J,0)-1,0),0)</f>
        <v>211020901</v>
      </c>
      <c r="BA196" s="10" t="s">
        <v>393</v>
      </c>
      <c r="BB196" s="11">
        <v>1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56" t="s">
        <v>993</v>
      </c>
      <c r="N197" s="56"/>
      <c r="O197" s="9">
        <v>1</v>
      </c>
      <c r="P197" s="9">
        <v>15</v>
      </c>
      <c r="Q197" s="9" t="s">
        <v>1136</v>
      </c>
      <c r="U197" s="9" t="s">
        <v>693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517</v>
      </c>
      <c r="AD197" s="9">
        <v>13</v>
      </c>
      <c r="AF197" s="11">
        <f ca="1">IFERROR(OFFSET(MANOR_LEVEL!$B$1,MATCH(AG197-1,MANOR_LEVEL!$A:$A,0)-1,0),0)</f>
        <v>12172400</v>
      </c>
      <c r="AG197" s="56">
        <v>18</v>
      </c>
      <c r="AI197" s="56">
        <f t="shared" ca="1" si="74"/>
        <v>350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350.3</v>
      </c>
      <c r="AK197" s="182">
        <f t="shared" ca="1" si="85"/>
        <v>650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0</v>
      </c>
      <c r="AR197" s="10">
        <v>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</v>
      </c>
      <c r="AZ197" s="11">
        <f ca="1">IFERROR(OFFSET(ITEM_RES!$A$1,MATCH(BA197,ITEM_RES!$J:$J,0)-1,0),0)</f>
        <v>211020901</v>
      </c>
      <c r="BA197" s="10" t="s">
        <v>393</v>
      </c>
      <c r="BB197" s="11">
        <v>1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56" t="s">
        <v>993</v>
      </c>
      <c r="N198" s="56"/>
      <c r="O198" s="9">
        <v>1</v>
      </c>
      <c r="P198" s="9">
        <v>15</v>
      </c>
      <c r="Q198" s="9" t="s">
        <v>1136</v>
      </c>
      <c r="U198" s="9" t="s">
        <v>693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517</v>
      </c>
      <c r="AD198" s="9">
        <v>14</v>
      </c>
      <c r="AF198" s="11">
        <f ca="1">IFERROR(OFFSET(MANOR_LEVEL!$B$1,MATCH(AG198-1,MANOR_LEVEL!$A:$A,0)-1,0),0)</f>
        <v>12172400</v>
      </c>
      <c r="AG198" s="56">
        <v>18</v>
      </c>
      <c r="AI198" s="56">
        <f t="shared" ca="1" si="74"/>
        <v>450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450.3</v>
      </c>
      <c r="AK198" s="182">
        <f t="shared" ca="1" si="85"/>
        <v>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0</v>
      </c>
      <c r="AR198" s="10">
        <v>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1</v>
      </c>
      <c r="AZ198" s="11">
        <f ca="1">IFERROR(OFFSET(ITEM_RES!$A$1,MATCH(BA198,ITEM_RES!$J:$J,0)-1,0),0)</f>
        <v>211020901</v>
      </c>
      <c r="BA198" s="10" t="s">
        <v>393</v>
      </c>
      <c r="BB198" s="11">
        <v>1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56" t="s">
        <v>993</v>
      </c>
      <c r="N199" s="56"/>
      <c r="O199" s="9">
        <v>1</v>
      </c>
      <c r="P199" s="9">
        <v>15</v>
      </c>
      <c r="Q199" s="9" t="s">
        <v>1136</v>
      </c>
      <c r="U199" s="9" t="s">
        <v>693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517</v>
      </c>
      <c r="AD199" s="9">
        <v>15</v>
      </c>
      <c r="AF199" s="11">
        <f ca="1">IFERROR(OFFSET(MANOR_LEVEL!$B$1,MATCH(AG199-1,MANOR_LEVEL!$A:$A,0)-1,0),0)</f>
        <v>12172400</v>
      </c>
      <c r="AG199" s="56">
        <v>18</v>
      </c>
      <c r="AI199" s="56">
        <f t="shared" ca="1" si="74"/>
        <v>550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550.29999999999995</v>
      </c>
      <c r="AK199" s="182">
        <f t="shared" ca="1" si="85"/>
        <v>1000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0</v>
      </c>
      <c r="AR199" s="10">
        <v>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1</v>
      </c>
      <c r="AZ199" s="11">
        <f ca="1">IFERROR(OFFSET(ITEM_RES!$A$1,MATCH(BA199,ITEM_RES!$J:$J,0)-1,0),0)</f>
        <v>211020901</v>
      </c>
      <c r="BA199" s="10" t="s">
        <v>393</v>
      </c>
      <c r="BB199" s="11">
        <v>1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56" t="s">
        <v>993</v>
      </c>
      <c r="N200" s="56"/>
      <c r="O200" s="9">
        <v>0</v>
      </c>
      <c r="P200" s="9">
        <v>15</v>
      </c>
      <c r="Q200" s="9" t="s">
        <v>1136</v>
      </c>
      <c r="U200" s="9" t="s">
        <v>693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517</v>
      </c>
      <c r="AD200" s="9">
        <v>16</v>
      </c>
      <c r="AF200" s="11">
        <f ca="1">IFERROR(OFFSET(MANOR_LEVEL!$B$1,MATCH(AG200-1,MANOR_LEVEL!$A:$A,0)-1,0),0)</f>
        <v>12172400</v>
      </c>
      <c r="AG200" s="56">
        <v>18</v>
      </c>
      <c r="AI200" s="56">
        <f t="shared" ca="1" si="74"/>
        <v>700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700.3</v>
      </c>
      <c r="AK200" s="182">
        <f t="shared" ca="1" si="85"/>
        <v>1250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0</v>
      </c>
      <c r="AR200" s="10">
        <v>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1</v>
      </c>
      <c r="AZ200" s="11">
        <f ca="1">IFERROR(OFFSET(ITEM_RES!$A$1,MATCH(BA200,ITEM_RES!$J:$J,0)-1,0),0)</f>
        <v>211020901</v>
      </c>
      <c r="BA200" s="10" t="s">
        <v>393</v>
      </c>
      <c r="BB200" s="11">
        <v>1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56" t="s">
        <v>993</v>
      </c>
      <c r="N201" s="56"/>
      <c r="O201" s="9">
        <v>0</v>
      </c>
      <c r="P201" s="9">
        <v>15</v>
      </c>
      <c r="Q201" s="9" t="s">
        <v>1136</v>
      </c>
      <c r="U201" s="9" t="s">
        <v>693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517</v>
      </c>
      <c r="AD201" s="9">
        <v>17</v>
      </c>
      <c r="AF201" s="11">
        <f ca="1">IFERROR(OFFSET(MANOR_LEVEL!$B$1,MATCH(AG201-1,MANOR_LEVEL!$A:$A,0)-1,0),0)</f>
        <v>12172400</v>
      </c>
      <c r="AG201" s="56">
        <v>18</v>
      </c>
      <c r="AI201" s="56">
        <f t="shared" ca="1" si="74"/>
        <v>850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850.3</v>
      </c>
      <c r="AK201" s="182">
        <f t="shared" ca="1" si="85"/>
        <v>1550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0</v>
      </c>
      <c r="AR201" s="10">
        <v>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1</v>
      </c>
      <c r="AZ201" s="11">
        <f ca="1">IFERROR(OFFSET(ITEM_RES!$A$1,MATCH(BA201,ITEM_RES!$J:$J,0)-1,0),0)</f>
        <v>211020901</v>
      </c>
      <c r="BA201" s="10" t="s">
        <v>393</v>
      </c>
      <c r="BB201" s="11">
        <v>1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56" t="s">
        <v>993</v>
      </c>
      <c r="N202" s="56"/>
      <c r="O202" s="9">
        <v>0</v>
      </c>
      <c r="P202" s="9">
        <v>15</v>
      </c>
      <c r="Q202" s="9" t="s">
        <v>1136</v>
      </c>
      <c r="U202" s="9" t="s">
        <v>693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517</v>
      </c>
      <c r="AD202" s="9">
        <v>18</v>
      </c>
      <c r="AF202" s="11">
        <f ca="1">IFERROR(OFFSET(MANOR_LEVEL!$B$1,MATCH(AG202-1,MANOR_LEVEL!$A:$A,0)-1,0),0)</f>
        <v>12172400</v>
      </c>
      <c r="AG202" s="56">
        <v>18</v>
      </c>
      <c r="AI202" s="56">
        <f t="shared" ca="1" si="74"/>
        <v>1050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1050.3</v>
      </c>
      <c r="AK202" s="182">
        <f t="shared" ca="1" si="85"/>
        <v>1900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0</v>
      </c>
      <c r="AR202" s="10">
        <v>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1</v>
      </c>
      <c r="AZ202" s="11">
        <f ca="1">IFERROR(OFFSET(ITEM_RES!$A$1,MATCH(BA202,ITEM_RES!$J:$J,0)-1,0),0)</f>
        <v>211020901</v>
      </c>
      <c r="BA202" s="10" t="s">
        <v>393</v>
      </c>
      <c r="BB202" s="11">
        <v>1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56" t="s">
        <v>993</v>
      </c>
      <c r="N203" s="56"/>
      <c r="O203" s="9">
        <v>0</v>
      </c>
      <c r="P203" s="9">
        <v>15</v>
      </c>
      <c r="Q203" s="9" t="s">
        <v>1136</v>
      </c>
      <c r="U203" s="9" t="s">
        <v>693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517</v>
      </c>
      <c r="AD203" s="9">
        <v>19</v>
      </c>
      <c r="AF203" s="11">
        <f ca="1">IFERROR(OFFSET(MANOR_LEVEL!$B$1,MATCH(AG203-1,MANOR_LEVEL!$A:$A,0)-1,0),0)</f>
        <v>12172400</v>
      </c>
      <c r="AG203" s="56">
        <v>18</v>
      </c>
      <c r="AI203" s="56">
        <f t="shared" ca="1" si="74"/>
        <v>1250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1250.4000000000001</v>
      </c>
      <c r="AK203" s="182">
        <f t="shared" ca="1" si="85"/>
        <v>2300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0</v>
      </c>
      <c r="AR203" s="10">
        <v>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1</v>
      </c>
      <c r="AZ203" s="11">
        <f ca="1">IFERROR(OFFSET(ITEM_RES!$A$1,MATCH(BA203,ITEM_RES!$J:$J,0)-1,0),0)</f>
        <v>211020501</v>
      </c>
      <c r="BA203" s="10" t="s">
        <v>424</v>
      </c>
      <c r="BB203" s="11">
        <v>1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56" t="s">
        <v>993</v>
      </c>
      <c r="N204" s="56"/>
      <c r="O204" s="9">
        <v>0</v>
      </c>
      <c r="P204" s="9">
        <v>15</v>
      </c>
      <c r="Q204" s="9" t="s">
        <v>1136</v>
      </c>
      <c r="U204" s="9" t="s">
        <v>693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517</v>
      </c>
      <c r="AD204" s="9">
        <v>20</v>
      </c>
      <c r="AF204" s="11">
        <f ca="1">IFERROR(OFFSET(MANOR_LEVEL!$B$1,MATCH(AG204-1,MANOR_LEVEL!$A:$A,0)-1,0),0)</f>
        <v>12172400</v>
      </c>
      <c r="AG204" s="56">
        <v>18</v>
      </c>
      <c r="AI204" s="56">
        <f t="shared" ca="1" si="74"/>
        <v>1500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1500.4</v>
      </c>
      <c r="AK204" s="182">
        <f t="shared" ca="1" si="85"/>
        <v>2750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0</v>
      </c>
      <c r="AR204" s="10">
        <v>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504</v>
      </c>
      <c r="AW204" s="11">
        <v>1</v>
      </c>
      <c r="AZ204" s="11">
        <f ca="1">IFERROR(OFFSET(ITEM_RES!$A$1,MATCH(BA204,ITEM_RES!$J:$J,0)-1,0),0)</f>
        <v>211020501</v>
      </c>
      <c r="BA204" s="10" t="s">
        <v>424</v>
      </c>
      <c r="BB204" s="11">
        <v>1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63" t="s">
        <v>994</v>
      </c>
      <c r="N205" s="63"/>
      <c r="O205" s="16">
        <v>1</v>
      </c>
      <c r="P205" s="16">
        <v>15</v>
      </c>
      <c r="Q205" s="16" t="s">
        <v>1237</v>
      </c>
      <c r="R205" s="17"/>
      <c r="S205" s="17"/>
      <c r="T205" s="18"/>
      <c r="U205" s="16" t="s">
        <v>694</v>
      </c>
      <c r="V205" s="78"/>
      <c r="W205" s="86"/>
      <c r="X205" s="16">
        <f ca="1">IFERROR(OFFSET(ITEM_RES!$A$5,MATCH(BUILDING!W205,ITEM_RES!$J$5:$J$226,0)-1,0),0)</f>
        <v>0</v>
      </c>
      <c r="Y205" s="18"/>
      <c r="Z205" s="86"/>
      <c r="AA205" s="16">
        <f ca="1">IFERROR(OFFSET(ITEM_RES!$A$5,MATCH(BUILDING!Z205,ITEM_RES!$J$5:$J$226,0)-1,0),0)</f>
        <v>0</v>
      </c>
      <c r="AB205" s="78"/>
      <c r="AC205" s="16" t="s">
        <v>571</v>
      </c>
      <c r="AD205" s="16">
        <v>1</v>
      </c>
      <c r="AE205" s="78"/>
      <c r="AF205" s="18">
        <f ca="1">IFERROR(OFFSET(MANOR_LEVEL!$B$1,MATCH(AG205-1,MANOR_LEVEL!$A:$A,0)-1,0),0)</f>
        <v>1500</v>
      </c>
      <c r="AG205" s="57">
        <v>5</v>
      </c>
      <c r="AH205" s="78"/>
      <c r="AI205" s="57">
        <f t="shared" ca="1" si="74"/>
        <v>105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105.1</v>
      </c>
      <c r="AK205" s="184">
        <f ca="1">AI205</f>
        <v>105</v>
      </c>
      <c r="AL205" s="78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0</v>
      </c>
      <c r="AR205" s="17">
        <v>0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1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56" t="s">
        <v>994</v>
      </c>
      <c r="N206" s="56"/>
      <c r="O206" s="9">
        <v>1</v>
      </c>
      <c r="P206" s="9">
        <v>15</v>
      </c>
      <c r="Q206" s="9" t="s">
        <v>1237</v>
      </c>
      <c r="R206" s="10"/>
      <c r="S206" s="10"/>
      <c r="T206" s="11"/>
      <c r="U206" s="9" t="s">
        <v>694</v>
      </c>
      <c r="V206" s="185"/>
      <c r="W206" s="84"/>
      <c r="X206" s="9">
        <f ca="1">IFERROR(OFFSET(ITEM_RES!$A$5,MATCH(BUILDING!W206,ITEM_RES!$J$5:$J$226,0)-1,0),0)</f>
        <v>0</v>
      </c>
      <c r="Y206" s="11"/>
      <c r="Z206" s="84"/>
      <c r="AA206" s="9">
        <f ca="1">IFERROR(OFFSET(ITEM_RES!$A$5,MATCH(BUILDING!Z206,ITEM_RES!$J$5:$J$226,0)-1,0),0)</f>
        <v>0</v>
      </c>
      <c r="AB206" s="185"/>
      <c r="AC206" s="9" t="s">
        <v>571</v>
      </c>
      <c r="AD206" s="9">
        <v>2</v>
      </c>
      <c r="AE206" s="185"/>
      <c r="AF206" s="11">
        <f ca="1">IFERROR(OFFSET(MANOR_LEVEL!$B$1,MATCH(AG206-1,MANOR_LEVEL!$A:$A,0)-1,0),0)</f>
        <v>1500</v>
      </c>
      <c r="AG206" s="56">
        <v>5</v>
      </c>
      <c r="AH206" s="185"/>
      <c r="AI206" s="56">
        <f t="shared" ca="1" si="74"/>
        <v>10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10.1</v>
      </c>
      <c r="AK206" s="182">
        <f ca="1">AI205+AI206</f>
        <v>115</v>
      </c>
      <c r="AL206" s="185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0</v>
      </c>
      <c r="AR206" s="10">
        <v>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1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56" t="s">
        <v>994</v>
      </c>
      <c r="N207" s="56"/>
      <c r="O207" s="9">
        <v>1</v>
      </c>
      <c r="P207" s="9">
        <v>15</v>
      </c>
      <c r="Q207" s="9" t="s">
        <v>1237</v>
      </c>
      <c r="U207" s="9" t="s">
        <v>694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571</v>
      </c>
      <c r="AD207" s="9">
        <v>3</v>
      </c>
      <c r="AF207" s="11">
        <f ca="1">IFERROR(OFFSET(MANOR_LEVEL!$B$1,MATCH(AG207-1,MANOR_LEVEL!$A:$A,0)-1,0),0)</f>
        <v>1500</v>
      </c>
      <c r="AG207" s="56">
        <v>5</v>
      </c>
      <c r="AI207" s="56">
        <f t="shared" ca="1" si="74"/>
        <v>15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15.1</v>
      </c>
      <c r="AK207" s="182">
        <f t="shared" ref="AK207:AK224" ca="1" si="94">AI206+AI207</f>
        <v>25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0</v>
      </c>
      <c r="AR207" s="10">
        <v>0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1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56" t="s">
        <v>994</v>
      </c>
      <c r="N208" s="56"/>
      <c r="O208" s="9">
        <v>1</v>
      </c>
      <c r="P208" s="9">
        <v>15</v>
      </c>
      <c r="Q208" s="9" t="s">
        <v>1237</v>
      </c>
      <c r="U208" s="9" t="s">
        <v>694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571</v>
      </c>
      <c r="AD208" s="9">
        <v>4</v>
      </c>
      <c r="AF208" s="11">
        <f ca="1">IFERROR(OFFSET(MANOR_LEVEL!$B$1,MATCH(AG208-1,MANOR_LEVEL!$A:$A,0)-1,0),0)</f>
        <v>3872</v>
      </c>
      <c r="AG208" s="56">
        <v>6</v>
      </c>
      <c r="AI208" s="56">
        <f t="shared" ca="1" si="74"/>
        <v>25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25.1</v>
      </c>
      <c r="AK208" s="182">
        <f t="shared" ca="1" si="94"/>
        <v>40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0</v>
      </c>
      <c r="AR208" s="10">
        <v>0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56" t="s">
        <v>994</v>
      </c>
      <c r="N209" s="56"/>
      <c r="O209" s="9">
        <v>1</v>
      </c>
      <c r="P209" s="9">
        <v>15</v>
      </c>
      <c r="Q209" s="9" t="s">
        <v>1237</v>
      </c>
      <c r="U209" s="9" t="s">
        <v>694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571</v>
      </c>
      <c r="AD209" s="9">
        <v>5</v>
      </c>
      <c r="AF209" s="11">
        <f ca="1">IFERROR(OFFSET(MANOR_LEVEL!$B$1,MATCH(AG209-1,MANOR_LEVEL!$A:$A,0)-1,0),0)</f>
        <v>3872</v>
      </c>
      <c r="AG209" s="56">
        <v>6</v>
      </c>
      <c r="AI209" s="56">
        <f t="shared" ca="1" si="74"/>
        <v>40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40.1</v>
      </c>
      <c r="AK209" s="182">
        <f t="shared" ca="1" si="94"/>
        <v>65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0</v>
      </c>
      <c r="AR209" s="10">
        <v>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1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56" t="s">
        <v>994</v>
      </c>
      <c r="N210" s="56"/>
      <c r="O210" s="9">
        <v>1</v>
      </c>
      <c r="P210" s="9">
        <v>15</v>
      </c>
      <c r="Q210" s="9" t="s">
        <v>1237</v>
      </c>
      <c r="U210" s="9" t="s">
        <v>694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571</v>
      </c>
      <c r="AD210" s="9">
        <v>6</v>
      </c>
      <c r="AF210" s="11">
        <f ca="1">IFERROR(OFFSET(MANOR_LEVEL!$B$1,MATCH(AG210-1,MANOR_LEVEL!$A:$A,0)-1,0),0)</f>
        <v>3872</v>
      </c>
      <c r="AG210" s="56">
        <v>6</v>
      </c>
      <c r="AI210" s="56">
        <f t="shared" ca="1" si="74"/>
        <v>50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50.1</v>
      </c>
      <c r="AK210" s="182">
        <f t="shared" ca="1" si="94"/>
        <v>90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0</v>
      </c>
      <c r="AR210" s="10">
        <v>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1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56" t="s">
        <v>994</v>
      </c>
      <c r="N211" s="56"/>
      <c r="O211" s="9">
        <v>1</v>
      </c>
      <c r="P211" s="9">
        <v>15</v>
      </c>
      <c r="Q211" s="9" t="s">
        <v>1237</v>
      </c>
      <c r="U211" s="9" t="s">
        <v>694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571</v>
      </c>
      <c r="AD211" s="9">
        <v>7</v>
      </c>
      <c r="AF211" s="11">
        <f ca="1">IFERROR(OFFSET(MANOR_LEVEL!$B$1,MATCH(AG211-1,MANOR_LEVEL!$A:$A,0)-1,0),0)</f>
        <v>3872</v>
      </c>
      <c r="AG211" s="56">
        <v>6</v>
      </c>
      <c r="AI211" s="56">
        <f t="shared" ca="1" si="74"/>
        <v>100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100.1</v>
      </c>
      <c r="AK211" s="182">
        <f t="shared" ca="1" si="94"/>
        <v>150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0</v>
      </c>
      <c r="AR211" s="10">
        <v>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1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56" t="s">
        <v>994</v>
      </c>
      <c r="N212" s="56"/>
      <c r="O212" s="9">
        <v>1</v>
      </c>
      <c r="P212" s="9">
        <v>15</v>
      </c>
      <c r="Q212" s="9" t="s">
        <v>1238</v>
      </c>
      <c r="U212" s="9" t="s">
        <v>694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571</v>
      </c>
      <c r="AD212" s="9">
        <v>8</v>
      </c>
      <c r="AF212" s="11">
        <f ca="1">IFERROR(OFFSET(MANOR_LEVEL!$B$1,MATCH(AG212-1,MANOR_LEVEL!$A:$A,0)-1,0),0)</f>
        <v>3872</v>
      </c>
      <c r="AG212" s="56">
        <v>6</v>
      </c>
      <c r="AI212" s="56">
        <f t="shared" ca="1" si="74"/>
        <v>100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100.1</v>
      </c>
      <c r="AK212" s="182">
        <f t="shared" ca="1" si="94"/>
        <v>200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0</v>
      </c>
      <c r="AR212" s="10">
        <v>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1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56" t="s">
        <v>994</v>
      </c>
      <c r="N213" s="56"/>
      <c r="O213" s="9">
        <v>1</v>
      </c>
      <c r="P213" s="9">
        <v>15</v>
      </c>
      <c r="Q213" s="9" t="s">
        <v>1238</v>
      </c>
      <c r="U213" s="9" t="s">
        <v>694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571</v>
      </c>
      <c r="AD213" s="9">
        <v>9</v>
      </c>
      <c r="AF213" s="11">
        <f ca="1">IFERROR(OFFSET(MANOR_LEVEL!$B$1,MATCH(AG213-1,MANOR_LEVEL!$A:$A,0)-1,0),0)</f>
        <v>3872</v>
      </c>
      <c r="AG213" s="56">
        <v>6</v>
      </c>
      <c r="AI213" s="56">
        <f t="shared" ca="1" si="74"/>
        <v>150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150.1</v>
      </c>
      <c r="AK213" s="182">
        <f t="shared" ca="1" si="94"/>
        <v>250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0</v>
      </c>
      <c r="AR213" s="10">
        <v>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1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56" t="s">
        <v>994</v>
      </c>
      <c r="N214" s="56"/>
      <c r="O214" s="9">
        <v>1</v>
      </c>
      <c r="P214" s="9">
        <v>15</v>
      </c>
      <c r="Q214" s="9" t="s">
        <v>1239</v>
      </c>
      <c r="U214" s="9" t="s">
        <v>694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571</v>
      </c>
      <c r="AD214" s="9">
        <v>10</v>
      </c>
      <c r="AF214" s="11">
        <f ca="1">IFERROR(OFFSET(MANOR_LEVEL!$B$1,MATCH(AG214-1,MANOR_LEVEL!$A:$A,0)-1,0),0)</f>
        <v>3872</v>
      </c>
      <c r="AG214" s="56">
        <v>6</v>
      </c>
      <c r="AI214" s="56">
        <f t="shared" ca="1" si="74"/>
        <v>300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300.10000000000002</v>
      </c>
      <c r="AK214" s="182">
        <f t="shared" ca="1" si="94"/>
        <v>450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0</v>
      </c>
      <c r="AR214" s="10">
        <v>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462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56" t="s">
        <v>994</v>
      </c>
      <c r="N215" s="56"/>
      <c r="O215" s="9">
        <v>1</v>
      </c>
      <c r="P215" s="9">
        <v>15</v>
      </c>
      <c r="Q215" s="9" t="s">
        <v>1239</v>
      </c>
      <c r="U215" s="9" t="s">
        <v>694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571</v>
      </c>
      <c r="AD215" s="9">
        <v>11</v>
      </c>
      <c r="AF215" s="11">
        <f ca="1">IFERROR(OFFSET(MANOR_LEVEL!$B$1,MATCH(AG215-1,MANOR_LEVEL!$A:$A,0)-1,0),0)</f>
        <v>94800</v>
      </c>
      <c r="AG215" s="56">
        <v>8</v>
      </c>
      <c r="AI215" s="56">
        <f t="shared" ca="1" si="74"/>
        <v>250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250.1</v>
      </c>
      <c r="AK215" s="182">
        <f t="shared" ca="1" si="94"/>
        <v>550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0</v>
      </c>
      <c r="AR215" s="10">
        <v>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56" t="s">
        <v>994</v>
      </c>
      <c r="N216" s="56"/>
      <c r="O216" s="9">
        <v>1</v>
      </c>
      <c r="P216" s="9">
        <v>15</v>
      </c>
      <c r="Q216" s="9" t="s">
        <v>1239</v>
      </c>
      <c r="U216" s="9" t="s">
        <v>694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571</v>
      </c>
      <c r="AD216" s="9">
        <v>12</v>
      </c>
      <c r="AF216" s="11">
        <f ca="1">IFERROR(OFFSET(MANOR_LEVEL!$B$1,MATCH(AG216-1,MANOR_LEVEL!$A:$A,0)-1,0),0)</f>
        <v>186400</v>
      </c>
      <c r="AG216" s="56">
        <v>9</v>
      </c>
      <c r="AI216" s="56">
        <f t="shared" ca="1" si="74"/>
        <v>300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300.3</v>
      </c>
      <c r="AK216" s="182">
        <f t="shared" ca="1" si="94"/>
        <v>550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0</v>
      </c>
      <c r="AR216" s="10">
        <v>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</v>
      </c>
      <c r="AZ216" s="11">
        <f ca="1">IFERROR(OFFSET(ITEM_RES!$A$1,MATCH(BA216,ITEM_RES!$J:$J,0)-1,0),0)</f>
        <v>211020901</v>
      </c>
      <c r="BA216" s="10" t="s">
        <v>393</v>
      </c>
      <c r="BB216" s="11">
        <v>1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56" t="s">
        <v>994</v>
      </c>
      <c r="N217" s="56"/>
      <c r="O217" s="9">
        <v>1</v>
      </c>
      <c r="P217" s="9">
        <v>15</v>
      </c>
      <c r="Q217" s="9" t="s">
        <v>1239</v>
      </c>
      <c r="U217" s="9" t="s">
        <v>694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571</v>
      </c>
      <c r="AD217" s="9">
        <v>13</v>
      </c>
      <c r="AF217" s="11">
        <f ca="1">IFERROR(OFFSET(MANOR_LEVEL!$B$1,MATCH(AG217-1,MANOR_LEVEL!$A:$A,0)-1,0),0)</f>
        <v>311600</v>
      </c>
      <c r="AG217" s="56">
        <v>10</v>
      </c>
      <c r="AI217" s="56">
        <f t="shared" ca="1" si="74"/>
        <v>350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350.3</v>
      </c>
      <c r="AK217" s="182">
        <f t="shared" ca="1" si="94"/>
        <v>650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0</v>
      </c>
      <c r="AR217" s="10">
        <v>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</v>
      </c>
      <c r="AZ217" s="11">
        <f ca="1">IFERROR(OFFSET(ITEM_RES!$A$1,MATCH(BA217,ITEM_RES!$J:$J,0)-1,0),0)</f>
        <v>211020901</v>
      </c>
      <c r="BA217" s="10" t="s">
        <v>393</v>
      </c>
      <c r="BB217" s="11">
        <v>1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56" t="s">
        <v>994</v>
      </c>
      <c r="N218" s="56"/>
      <c r="O218" s="9">
        <v>1</v>
      </c>
      <c r="P218" s="9">
        <v>15</v>
      </c>
      <c r="Q218" s="9" t="s">
        <v>1239</v>
      </c>
      <c r="U218" s="9" t="s">
        <v>694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571</v>
      </c>
      <c r="AD218" s="9">
        <v>14</v>
      </c>
      <c r="AF218" s="11">
        <f ca="1">IFERROR(OFFSET(MANOR_LEVEL!$B$1,MATCH(AG218-1,MANOR_LEVEL!$A:$A,0)-1,0),0)</f>
        <v>456800</v>
      </c>
      <c r="AG218" s="56">
        <v>11</v>
      </c>
      <c r="AI218" s="56">
        <f t="shared" ref="AI218:AI281" ca="1" si="95">ROUND(AJ218,0)</f>
        <v>450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450.3</v>
      </c>
      <c r="AK218" s="182">
        <f t="shared" ca="1" si="94"/>
        <v>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0</v>
      </c>
      <c r="AR218" s="10">
        <v>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1</v>
      </c>
      <c r="AZ218" s="11">
        <f ca="1">IFERROR(OFFSET(ITEM_RES!$A$1,MATCH(BA218,ITEM_RES!$J:$J,0)-1,0),0)</f>
        <v>211020901</v>
      </c>
      <c r="BA218" s="10" t="s">
        <v>393</v>
      </c>
      <c r="BB218" s="11">
        <v>1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56" t="s">
        <v>994</v>
      </c>
      <c r="N219" s="56"/>
      <c r="O219" s="9">
        <v>1</v>
      </c>
      <c r="P219" s="9">
        <v>15</v>
      </c>
      <c r="Q219" s="9" t="s">
        <v>1239</v>
      </c>
      <c r="U219" s="9" t="s">
        <v>694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571</v>
      </c>
      <c r="AD219" s="9">
        <v>15</v>
      </c>
      <c r="AF219" s="11">
        <f ca="1">IFERROR(OFFSET(MANOR_LEVEL!$B$1,MATCH(AG219-1,MANOR_LEVEL!$A:$A,0)-1,0),0)</f>
        <v>796000</v>
      </c>
      <c r="AG219" s="56">
        <v>12</v>
      </c>
      <c r="AI219" s="56">
        <f t="shared" ca="1" si="95"/>
        <v>550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550.29999999999995</v>
      </c>
      <c r="AK219" s="182">
        <f t="shared" ca="1" si="94"/>
        <v>1000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0</v>
      </c>
      <c r="AR219" s="10">
        <v>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1</v>
      </c>
      <c r="AZ219" s="11">
        <f ca="1">IFERROR(OFFSET(ITEM_RES!$A$1,MATCH(BA219,ITEM_RES!$J:$J,0)-1,0),0)</f>
        <v>211020901</v>
      </c>
      <c r="BA219" s="10" t="s">
        <v>393</v>
      </c>
      <c r="BB219" s="11">
        <v>1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56" t="s">
        <v>994</v>
      </c>
      <c r="N220" s="56"/>
      <c r="O220" s="9">
        <v>0</v>
      </c>
      <c r="P220" s="9">
        <v>15</v>
      </c>
      <c r="Q220" s="9" t="s">
        <v>1239</v>
      </c>
      <c r="U220" s="9" t="s">
        <v>694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571</v>
      </c>
      <c r="AD220" s="9">
        <v>16</v>
      </c>
      <c r="AF220" s="11">
        <f ca="1">IFERROR(OFFSET(MANOR_LEVEL!$B$1,MATCH(AG220-1,MANOR_LEVEL!$A:$A,0)-1,0),0)</f>
        <v>1156400</v>
      </c>
      <c r="AG220" s="56">
        <v>13</v>
      </c>
      <c r="AI220" s="56">
        <f t="shared" ca="1" si="95"/>
        <v>700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700.3</v>
      </c>
      <c r="AK220" s="182">
        <f t="shared" ca="1" si="94"/>
        <v>1250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0</v>
      </c>
      <c r="AR220" s="10">
        <v>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1</v>
      </c>
      <c r="AZ220" s="11">
        <f ca="1">IFERROR(OFFSET(ITEM_RES!$A$1,MATCH(BA220,ITEM_RES!$J:$J,0)-1,0),0)</f>
        <v>211020901</v>
      </c>
      <c r="BA220" s="10" t="s">
        <v>393</v>
      </c>
      <c r="BB220" s="11">
        <v>1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56" t="s">
        <v>994</v>
      </c>
      <c r="N221" s="56"/>
      <c r="O221" s="9">
        <v>0</v>
      </c>
      <c r="P221" s="9">
        <v>15</v>
      </c>
      <c r="Q221" s="9" t="s">
        <v>1239</v>
      </c>
      <c r="U221" s="9" t="s">
        <v>694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571</v>
      </c>
      <c r="AD221" s="9">
        <v>17</v>
      </c>
      <c r="AF221" s="11">
        <f ca="1">IFERROR(OFFSET(MANOR_LEVEL!$B$1,MATCH(AG221-1,MANOR_LEVEL!$A:$A,0)-1,0),0)</f>
        <v>1661200</v>
      </c>
      <c r="AG221" s="56">
        <v>14</v>
      </c>
      <c r="AI221" s="56">
        <f t="shared" ca="1" si="95"/>
        <v>850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850.3</v>
      </c>
      <c r="AK221" s="182">
        <f t="shared" ca="1" si="94"/>
        <v>1550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0</v>
      </c>
      <c r="AR221" s="10">
        <v>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1</v>
      </c>
      <c r="AZ221" s="11">
        <f ca="1">IFERROR(OFFSET(ITEM_RES!$A$1,MATCH(BA221,ITEM_RES!$J:$J,0)-1,0),0)</f>
        <v>211020901</v>
      </c>
      <c r="BA221" s="10" t="s">
        <v>393</v>
      </c>
      <c r="BB221" s="11">
        <v>1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56" t="s">
        <v>994</v>
      </c>
      <c r="N222" s="56"/>
      <c r="O222" s="9">
        <v>0</v>
      </c>
      <c r="P222" s="9">
        <v>15</v>
      </c>
      <c r="Q222" s="9" t="s">
        <v>1239</v>
      </c>
      <c r="U222" s="9" t="s">
        <v>694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571</v>
      </c>
      <c r="AD222" s="9">
        <v>18</v>
      </c>
      <c r="AF222" s="11">
        <f ca="1">IFERROR(OFFSET(MANOR_LEVEL!$B$1,MATCH(AG222-1,MANOR_LEVEL!$A:$A,0)-1,0),0)</f>
        <v>2622400</v>
      </c>
      <c r="AG222" s="56">
        <v>15</v>
      </c>
      <c r="AI222" s="56">
        <f t="shared" ca="1" si="95"/>
        <v>1050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1050.3</v>
      </c>
      <c r="AK222" s="182">
        <f t="shared" ca="1" si="94"/>
        <v>1900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0</v>
      </c>
      <c r="AR222" s="10">
        <v>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1</v>
      </c>
      <c r="AZ222" s="11">
        <f ca="1">IFERROR(OFFSET(ITEM_RES!$A$1,MATCH(BA222,ITEM_RES!$J:$J,0)-1,0),0)</f>
        <v>211020901</v>
      </c>
      <c r="BA222" s="10" t="s">
        <v>393</v>
      </c>
      <c r="BB222" s="11">
        <v>1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56" t="s">
        <v>994</v>
      </c>
      <c r="N223" s="56"/>
      <c r="O223" s="9">
        <v>0</v>
      </c>
      <c r="P223" s="9">
        <v>15</v>
      </c>
      <c r="Q223" s="9" t="s">
        <v>1239</v>
      </c>
      <c r="U223" s="9" t="s">
        <v>694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571</v>
      </c>
      <c r="AD223" s="9">
        <v>19</v>
      </c>
      <c r="AF223" s="11">
        <f ca="1">IFERROR(OFFSET(MANOR_LEVEL!$B$1,MATCH(AG223-1,MANOR_LEVEL!$A:$A,0)-1,0),0)</f>
        <v>4232000</v>
      </c>
      <c r="AG223" s="56">
        <v>16</v>
      </c>
      <c r="AI223" s="56">
        <f t="shared" ca="1" si="95"/>
        <v>1250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1250.4000000000001</v>
      </c>
      <c r="AK223" s="182">
        <f t="shared" ca="1" si="94"/>
        <v>2300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0</v>
      </c>
      <c r="AR223" s="10">
        <v>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1</v>
      </c>
      <c r="AZ223" s="11">
        <f ca="1">IFERROR(OFFSET(ITEM_RES!$A$1,MATCH(BA223,ITEM_RES!$J:$J,0)-1,0),0)</f>
        <v>211020501</v>
      </c>
      <c r="BA223" s="10" t="s">
        <v>424</v>
      </c>
      <c r="BB223" s="11">
        <v>1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56" t="s">
        <v>994</v>
      </c>
      <c r="N224" s="56"/>
      <c r="O224" s="9">
        <v>0</v>
      </c>
      <c r="P224" s="9">
        <v>15</v>
      </c>
      <c r="Q224" s="9" t="s">
        <v>1239</v>
      </c>
      <c r="U224" s="9" t="s">
        <v>694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571</v>
      </c>
      <c r="AD224" s="9">
        <v>20</v>
      </c>
      <c r="AF224" s="11">
        <f ca="1">IFERROR(OFFSET(MANOR_LEVEL!$B$1,MATCH(AG224-1,MANOR_LEVEL!$A:$A,0)-1,0),0)</f>
        <v>7450000</v>
      </c>
      <c r="AG224" s="56">
        <v>17</v>
      </c>
      <c r="AI224" s="56">
        <f t="shared" ca="1" si="95"/>
        <v>1500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1500.4</v>
      </c>
      <c r="AK224" s="182">
        <f t="shared" ca="1" si="94"/>
        <v>2750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0</v>
      </c>
      <c r="AR224" s="10">
        <v>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1</v>
      </c>
      <c r="AZ224" s="11">
        <f ca="1">IFERROR(OFFSET(ITEM_RES!$A$1,MATCH(BA224,ITEM_RES!$J:$J,0)-1,0),0)</f>
        <v>211020501</v>
      </c>
      <c r="BA224" s="10" t="s">
        <v>424</v>
      </c>
      <c r="BB224" s="11">
        <v>1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63" t="s">
        <v>926</v>
      </c>
      <c r="N225" s="63"/>
      <c r="O225" s="16">
        <v>1</v>
      </c>
      <c r="P225" s="16">
        <v>15</v>
      </c>
      <c r="Q225" s="16" t="s">
        <v>763</v>
      </c>
      <c r="R225" s="17"/>
      <c r="S225" s="17"/>
      <c r="T225" s="18"/>
      <c r="U225" s="16" t="s">
        <v>695</v>
      </c>
      <c r="V225" s="78"/>
      <c r="W225" s="86"/>
      <c r="X225" s="16">
        <f ca="1">IFERROR(OFFSET(ITEM_RES!$A$5,MATCH(BUILDING!W225,ITEM_RES!$J$5:$J$226,0)-1,0),0)</f>
        <v>0</v>
      </c>
      <c r="Y225" s="18"/>
      <c r="Z225" s="86"/>
      <c r="AA225" s="16">
        <f ca="1">IFERROR(OFFSET(ITEM_RES!$A$5,MATCH(BUILDING!Z225,ITEM_RES!$J$5:$J$226,0)-1,0),0)</f>
        <v>0</v>
      </c>
      <c r="AB225" s="78"/>
      <c r="AC225" s="16" t="s">
        <v>518</v>
      </c>
      <c r="AD225" s="16">
        <v>1</v>
      </c>
      <c r="AE225" s="78"/>
      <c r="AF225" s="18">
        <f ca="1">IFERROR(OFFSET(MANOR_LEVEL!$B$1,MATCH(AG225-1,MANOR_LEVEL!$A:$A,0)-1,0),0)</f>
        <v>0</v>
      </c>
      <c r="AG225" s="57">
        <v>1</v>
      </c>
      <c r="AH225" s="78"/>
      <c r="AI225" s="57">
        <f t="shared" ca="1" si="95"/>
        <v>105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105.11</v>
      </c>
      <c r="AK225" s="184">
        <f ca="1">AI225</f>
        <v>105</v>
      </c>
      <c r="AL225" s="78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0</v>
      </c>
      <c r="AR225" s="17">
        <v>0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1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1</v>
      </c>
      <c r="BC225" s="17"/>
      <c r="BD225" s="18"/>
      <c r="BE225" s="18">
        <f ca="1">IFERROR(OFFSET(ITEM_RES!$A$1,MATCH(BF225,ITEM_RES!$J:$J,0)-1,0),0)</f>
        <v>213010101</v>
      </c>
      <c r="BF225" s="17" t="s">
        <v>452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926</v>
      </c>
      <c r="N226" s="56"/>
      <c r="O226" s="9">
        <v>1</v>
      </c>
      <c r="P226" s="9">
        <v>15</v>
      </c>
      <c r="Q226" s="9" t="s">
        <v>763</v>
      </c>
      <c r="U226" s="9" t="s">
        <v>695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518</v>
      </c>
      <c r="AD226" s="9">
        <v>2</v>
      </c>
      <c r="AF226" s="11">
        <f ca="1">IFERROR(OFFSET(MANOR_LEVEL!$B$1,MATCH(AG226-1,MANOR_LEVEL!$A:$A,0)-1,0),0)</f>
        <v>0</v>
      </c>
      <c r="AG226" s="56">
        <v>1</v>
      </c>
      <c r="AI226" s="56">
        <f t="shared" ca="1" si="95"/>
        <v>10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10.11</v>
      </c>
      <c r="AK226" s="182">
        <f ca="1">AI225+AI226</f>
        <v>115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0</v>
      </c>
      <c r="AR226" s="10">
        <v>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1</v>
      </c>
      <c r="AZ226" s="11">
        <f ca="1">IFERROR(OFFSET(ITEM_RES!$A$1,MATCH(BA226,ITEM_RES!$J:$J,0)-1,0),0)</f>
        <v>211020401</v>
      </c>
      <c r="BA226" s="10" t="s">
        <v>423</v>
      </c>
      <c r="BB226" s="11">
        <v>1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926</v>
      </c>
      <c r="N227" s="56"/>
      <c r="O227" s="9">
        <v>1</v>
      </c>
      <c r="P227" s="9">
        <v>15</v>
      </c>
      <c r="Q227" s="9" t="s">
        <v>763</v>
      </c>
      <c r="U227" s="9" t="s">
        <v>695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518</v>
      </c>
      <c r="AD227" s="9">
        <v>3</v>
      </c>
      <c r="AF227" s="11">
        <f ca="1">IFERROR(OFFSET(MANOR_LEVEL!$B$1,MATCH(AG227-1,MANOR_LEVEL!$A:$A,0)-1,0),0)</f>
        <v>0</v>
      </c>
      <c r="AG227" s="56">
        <v>1</v>
      </c>
      <c r="AI227" s="56">
        <f t="shared" ca="1" si="95"/>
        <v>15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15.11</v>
      </c>
      <c r="AK227" s="182">
        <f t="shared" ref="AK227:AK244" ca="1" si="96">AI226+AI227</f>
        <v>25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0</v>
      </c>
      <c r="AR227" s="10">
        <v>0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1</v>
      </c>
      <c r="AZ227" s="11">
        <f ca="1">IFERROR(OFFSET(ITEM_RES!$A$1,MATCH(BA227,ITEM_RES!$J:$J,0)-1,0),0)</f>
        <v>211020401</v>
      </c>
      <c r="BA227" s="10" t="s">
        <v>423</v>
      </c>
      <c r="BB227" s="11">
        <v>1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926</v>
      </c>
      <c r="N228" s="56"/>
      <c r="O228" s="9">
        <v>1</v>
      </c>
      <c r="P228" s="9">
        <v>15</v>
      </c>
      <c r="Q228" s="9" t="s">
        <v>763</v>
      </c>
      <c r="U228" s="9" t="s">
        <v>695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518</v>
      </c>
      <c r="AD228" s="9">
        <v>4</v>
      </c>
      <c r="AF228" s="11">
        <f ca="1">IFERROR(OFFSET(MANOR_LEVEL!$B$1,MATCH(AG228-1,MANOR_LEVEL!$A:$A,0)-1,0),0)</f>
        <v>0</v>
      </c>
      <c r="AG228" s="56">
        <v>1</v>
      </c>
      <c r="AI228" s="56">
        <f t="shared" ca="1" si="95"/>
        <v>25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25.11</v>
      </c>
      <c r="AK228" s="182">
        <f t="shared" ca="1" si="96"/>
        <v>40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0</v>
      </c>
      <c r="AR228" s="10">
        <v>0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</v>
      </c>
      <c r="AZ228" s="11">
        <f ca="1">IFERROR(OFFSET(ITEM_RES!$A$1,MATCH(BA228,ITEM_RES!$J:$J,0)-1,0),0)</f>
        <v>211020401</v>
      </c>
      <c r="BA228" s="10" t="s">
        <v>423</v>
      </c>
      <c r="BB228" s="11">
        <v>1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926</v>
      </c>
      <c r="N229" s="56"/>
      <c r="O229" s="9">
        <v>1</v>
      </c>
      <c r="P229" s="9">
        <v>15</v>
      </c>
      <c r="Q229" s="9" t="s">
        <v>763</v>
      </c>
      <c r="U229" s="9" t="s">
        <v>695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518</v>
      </c>
      <c r="AD229" s="9">
        <v>5</v>
      </c>
      <c r="AF229" s="11">
        <f ca="1">IFERROR(OFFSET(MANOR_LEVEL!$B$1,MATCH(AG229-1,MANOR_LEVEL!$A:$A,0)-1,0),0)</f>
        <v>0</v>
      </c>
      <c r="AG229" s="56">
        <v>1</v>
      </c>
      <c r="AI229" s="56">
        <f t="shared" ca="1" si="95"/>
        <v>40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40.11</v>
      </c>
      <c r="AK229" s="182">
        <f t="shared" ca="1" si="96"/>
        <v>65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0</v>
      </c>
      <c r="AR229" s="10">
        <v>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1</v>
      </c>
      <c r="AZ229" s="11">
        <f ca="1">IFERROR(OFFSET(ITEM_RES!$A$1,MATCH(BA229,ITEM_RES!$J:$J,0)-1,0),0)</f>
        <v>211020401</v>
      </c>
      <c r="BA229" s="10" t="s">
        <v>423</v>
      </c>
      <c r="BB229" s="11">
        <v>1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926</v>
      </c>
      <c r="N230" s="56"/>
      <c r="O230" s="9">
        <v>1</v>
      </c>
      <c r="P230" s="9">
        <v>15</v>
      </c>
      <c r="Q230" s="9" t="s">
        <v>763</v>
      </c>
      <c r="U230" s="9" t="s">
        <v>695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518</v>
      </c>
      <c r="AD230" s="9">
        <v>6</v>
      </c>
      <c r="AF230" s="11">
        <f ca="1">IFERROR(OFFSET(MANOR_LEVEL!$B$1,MATCH(AG230-1,MANOR_LEVEL!$A:$A,0)-1,0),0)</f>
        <v>528</v>
      </c>
      <c r="AG230" s="56">
        <v>3</v>
      </c>
      <c r="AI230" s="56">
        <f t="shared" ca="1" si="95"/>
        <v>50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50.11</v>
      </c>
      <c r="AK230" s="182">
        <f t="shared" ca="1" si="96"/>
        <v>90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0</v>
      </c>
      <c r="AR230" s="10">
        <v>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1</v>
      </c>
      <c r="AZ230" s="11">
        <f ca="1">IFERROR(OFFSET(ITEM_RES!$A$1,MATCH(BA230,ITEM_RES!$J:$J,0)-1,0),0)</f>
        <v>211020401</v>
      </c>
      <c r="BA230" s="10" t="s">
        <v>423</v>
      </c>
      <c r="BB230" s="11">
        <v>1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926</v>
      </c>
      <c r="N231" s="56"/>
      <c r="O231" s="9">
        <v>1</v>
      </c>
      <c r="P231" s="9">
        <v>15</v>
      </c>
      <c r="Q231" s="9" t="s">
        <v>763</v>
      </c>
      <c r="U231" s="9" t="s">
        <v>695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518</v>
      </c>
      <c r="AD231" s="9">
        <v>7</v>
      </c>
      <c r="AF231" s="11">
        <f ca="1">IFERROR(OFFSET(MANOR_LEVEL!$B$1,MATCH(AG231-1,MANOR_LEVEL!$A:$A,0)-1,0),0)</f>
        <v>800</v>
      </c>
      <c r="AG231" s="56">
        <v>4</v>
      </c>
      <c r="AI231" s="56">
        <f t="shared" ca="1" si="95"/>
        <v>100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100.11</v>
      </c>
      <c r="AK231" s="182">
        <f t="shared" ca="1" si="96"/>
        <v>150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0</v>
      </c>
      <c r="AR231" s="10">
        <v>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1</v>
      </c>
      <c r="AZ231" s="11">
        <f ca="1">IFERROR(OFFSET(ITEM_RES!$A$1,MATCH(BA231,ITEM_RES!$J:$J,0)-1,0),0)</f>
        <v>211020401</v>
      </c>
      <c r="BA231" s="10" t="s">
        <v>423</v>
      </c>
      <c r="BB231" s="11">
        <v>1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926</v>
      </c>
      <c r="N232" s="56"/>
      <c r="O232" s="9">
        <v>1</v>
      </c>
      <c r="P232" s="9">
        <v>15</v>
      </c>
      <c r="Q232" s="9" t="s">
        <v>763</v>
      </c>
      <c r="U232" s="9" t="s">
        <v>695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518</v>
      </c>
      <c r="AD232" s="9">
        <v>8</v>
      </c>
      <c r="AF232" s="11">
        <f ca="1">IFERROR(OFFSET(MANOR_LEVEL!$B$1,MATCH(AG232-1,MANOR_LEVEL!$A:$A,0)-1,0),0)</f>
        <v>1500</v>
      </c>
      <c r="AG232" s="56">
        <v>5</v>
      </c>
      <c r="AI232" s="56">
        <f t="shared" ca="1" si="95"/>
        <v>100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100.11</v>
      </c>
      <c r="AK232" s="182">
        <f t="shared" ca="1" si="96"/>
        <v>200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0</v>
      </c>
      <c r="AR232" s="10">
        <v>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1</v>
      </c>
      <c r="AZ232" s="11">
        <f ca="1">IFERROR(OFFSET(ITEM_RES!$A$1,MATCH(BA232,ITEM_RES!$J:$J,0)-1,0),0)</f>
        <v>211020401</v>
      </c>
      <c r="BA232" s="10" t="s">
        <v>423</v>
      </c>
      <c r="BB232" s="11">
        <v>1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926</v>
      </c>
      <c r="N233" s="56"/>
      <c r="O233" s="9">
        <v>1</v>
      </c>
      <c r="P233" s="9">
        <v>15</v>
      </c>
      <c r="Q233" s="9" t="s">
        <v>763</v>
      </c>
      <c r="U233" s="9" t="s">
        <v>695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518</v>
      </c>
      <c r="AD233" s="9">
        <v>9</v>
      </c>
      <c r="AF233" s="11">
        <f ca="1">IFERROR(OFFSET(MANOR_LEVEL!$B$1,MATCH(AG233-1,MANOR_LEVEL!$A:$A,0)-1,0),0)</f>
        <v>3872</v>
      </c>
      <c r="AG233" s="56">
        <v>6</v>
      </c>
      <c r="AI233" s="56">
        <f t="shared" ca="1" si="95"/>
        <v>150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150.11000000000001</v>
      </c>
      <c r="AK233" s="182">
        <f t="shared" ca="1" si="96"/>
        <v>250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0</v>
      </c>
      <c r="AR233" s="10">
        <v>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1</v>
      </c>
      <c r="AZ233" s="11">
        <f ca="1">IFERROR(OFFSET(ITEM_RES!$A$1,MATCH(BA233,ITEM_RES!$J:$J,0)-1,0),0)</f>
        <v>211020401</v>
      </c>
      <c r="BA233" s="10" t="s">
        <v>423</v>
      </c>
      <c r="BB233" s="11">
        <v>1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926</v>
      </c>
      <c r="N234" s="56"/>
      <c r="O234" s="9">
        <v>1</v>
      </c>
      <c r="P234" s="9">
        <v>15</v>
      </c>
      <c r="Q234" s="9" t="s">
        <v>763</v>
      </c>
      <c r="U234" s="9" t="s">
        <v>695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518</v>
      </c>
      <c r="AD234" s="9">
        <v>10</v>
      </c>
      <c r="AF234" s="11">
        <f ca="1">IFERROR(OFFSET(MANOR_LEVEL!$B$1,MATCH(AG234-1,MANOR_LEVEL!$A:$A,0)-1,0),0)</f>
        <v>32640</v>
      </c>
      <c r="AG234" s="56">
        <v>7</v>
      </c>
      <c r="AI234" s="56">
        <f t="shared" ca="1" si="95"/>
        <v>300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300.11</v>
      </c>
      <c r="AK234" s="182">
        <f t="shared" ca="1" si="96"/>
        <v>450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0</v>
      </c>
      <c r="AR234" s="10">
        <v>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</v>
      </c>
      <c r="AZ234" s="11">
        <f ca="1">IFERROR(OFFSET(ITEM_RES!$A$1,MATCH(BA234,ITEM_RES!$J:$J,0)-1,0),0)</f>
        <v>211020401</v>
      </c>
      <c r="BA234" s="10" t="s">
        <v>423</v>
      </c>
      <c r="BB234" s="11">
        <v>1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505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926</v>
      </c>
      <c r="N235" s="56"/>
      <c r="O235" s="9">
        <v>1</v>
      </c>
      <c r="P235" s="9">
        <v>15</v>
      </c>
      <c r="Q235" s="9" t="s">
        <v>763</v>
      </c>
      <c r="U235" s="9" t="s">
        <v>695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518</v>
      </c>
      <c r="AD235" s="9">
        <v>11</v>
      </c>
      <c r="AF235" s="11">
        <f ca="1">IFERROR(OFFSET(MANOR_LEVEL!$B$1,MATCH(AG235-1,MANOR_LEVEL!$A:$A,0)-1,0),0)</f>
        <v>94800</v>
      </c>
      <c r="AG235" s="56">
        <v>8</v>
      </c>
      <c r="AI235" s="56">
        <f t="shared" ca="1" si="95"/>
        <v>250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250.21</v>
      </c>
      <c r="AK235" s="182">
        <f t="shared" ca="1" si="96"/>
        <v>550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0</v>
      </c>
      <c r="AR235" s="10">
        <v>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445</v>
      </c>
      <c r="AW235" s="11">
        <v>1</v>
      </c>
      <c r="AZ235" s="11">
        <f ca="1">IFERROR(OFFSET(ITEM_RES!$A$1,MATCH(BA235,ITEM_RES!$J:$J,0)-1,0),0)</f>
        <v>211020401</v>
      </c>
      <c r="BA235" s="10" t="s">
        <v>423</v>
      </c>
      <c r="BB235" s="11">
        <v>1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926</v>
      </c>
      <c r="N236" s="56"/>
      <c r="O236" s="9">
        <v>1</v>
      </c>
      <c r="P236" s="9">
        <v>15</v>
      </c>
      <c r="Q236" s="9" t="s">
        <v>763</v>
      </c>
      <c r="U236" s="9" t="s">
        <v>696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518</v>
      </c>
      <c r="AD236" s="9">
        <v>12</v>
      </c>
      <c r="AF236" s="11">
        <f ca="1">IFERROR(OFFSET(MANOR_LEVEL!$B$1,MATCH(AG236-1,MANOR_LEVEL!$A:$A,0)-1,0),0)</f>
        <v>186400</v>
      </c>
      <c r="AG236" s="56">
        <v>9</v>
      </c>
      <c r="AI236" s="56">
        <f t="shared" ca="1" si="95"/>
        <v>300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300.20999999999998</v>
      </c>
      <c r="AK236" s="182">
        <f t="shared" ca="1" si="96"/>
        <v>550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0</v>
      </c>
      <c r="AR236" s="10">
        <v>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445</v>
      </c>
      <c r="AW236" s="11">
        <v>1</v>
      </c>
      <c r="AZ236" s="11">
        <f ca="1">IFERROR(OFFSET(ITEM_RES!$A$1,MATCH(BA236,ITEM_RES!$J:$J,0)-1,0),0)</f>
        <v>211020401</v>
      </c>
      <c r="BA236" s="10" t="s">
        <v>423</v>
      </c>
      <c r="BB236" s="11">
        <v>1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926</v>
      </c>
      <c r="N237" s="56"/>
      <c r="O237" s="9">
        <v>1</v>
      </c>
      <c r="P237" s="9">
        <v>15</v>
      </c>
      <c r="Q237" s="9" t="s">
        <v>763</v>
      </c>
      <c r="U237" s="9" t="s">
        <v>696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518</v>
      </c>
      <c r="AD237" s="9">
        <v>13</v>
      </c>
      <c r="AF237" s="11">
        <f ca="1">IFERROR(OFFSET(MANOR_LEVEL!$B$1,MATCH(AG237-1,MANOR_LEVEL!$A:$A,0)-1,0),0)</f>
        <v>311600</v>
      </c>
      <c r="AG237" s="56">
        <v>10</v>
      </c>
      <c r="AI237" s="56">
        <f t="shared" ca="1" si="95"/>
        <v>350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350.21</v>
      </c>
      <c r="AK237" s="182">
        <f t="shared" ca="1" si="96"/>
        <v>650</v>
      </c>
      <c r="AM237" s="11">
        <f t="shared" ref="AM237:AM32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0</v>
      </c>
      <c r="AR237" s="10">
        <v>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445</v>
      </c>
      <c r="AW237" s="11">
        <v>1</v>
      </c>
      <c r="AZ237" s="11">
        <f ca="1">IFERROR(OFFSET(ITEM_RES!$A$1,MATCH(BA237,ITEM_RES!$J:$J,0)-1,0),0)</f>
        <v>211020401</v>
      </c>
      <c r="BA237" s="10" t="s">
        <v>423</v>
      </c>
      <c r="BB237" s="11">
        <v>1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926</v>
      </c>
      <c r="N238" s="56"/>
      <c r="O238" s="9">
        <v>1</v>
      </c>
      <c r="P238" s="9">
        <v>15</v>
      </c>
      <c r="Q238" s="9" t="s">
        <v>763</v>
      </c>
      <c r="U238" s="9" t="s">
        <v>696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518</v>
      </c>
      <c r="AD238" s="9">
        <v>14</v>
      </c>
      <c r="AF238" s="11">
        <f ca="1">IFERROR(OFFSET(MANOR_LEVEL!$B$1,MATCH(AG238-1,MANOR_LEVEL!$A:$A,0)-1,0),0)</f>
        <v>456800</v>
      </c>
      <c r="AG238" s="56">
        <v>11</v>
      </c>
      <c r="AI238" s="56">
        <f t="shared" ca="1" si="95"/>
        <v>450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450.21</v>
      </c>
      <c r="AK238" s="182">
        <f t="shared" ca="1" si="96"/>
        <v>800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0</v>
      </c>
      <c r="AR238" s="10">
        <v>0</v>
      </c>
      <c r="AS238" s="56">
        <f t="shared" ref="AS238:AS32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445</v>
      </c>
      <c r="AW238" s="11">
        <v>1</v>
      </c>
      <c r="AZ238" s="11">
        <f ca="1">IFERROR(OFFSET(ITEM_RES!$A$1,MATCH(BA238,ITEM_RES!$J:$J,0)-1,0),0)</f>
        <v>211020401</v>
      </c>
      <c r="BA238" s="10" t="s">
        <v>423</v>
      </c>
      <c r="BB238" s="11">
        <v>1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926</v>
      </c>
      <c r="N239" s="56"/>
      <c r="O239" s="9">
        <v>1</v>
      </c>
      <c r="P239" s="9">
        <v>15</v>
      </c>
      <c r="Q239" s="9" t="s">
        <v>763</v>
      </c>
      <c r="U239" s="9" t="s">
        <v>696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518</v>
      </c>
      <c r="AD239" s="9">
        <v>15</v>
      </c>
      <c r="AF239" s="11">
        <f ca="1">IFERROR(OFFSET(MANOR_LEVEL!$B$1,MATCH(AG239-1,MANOR_LEVEL!$A:$A,0)-1,0),0)</f>
        <v>796000</v>
      </c>
      <c r="AG239" s="56">
        <v>12</v>
      </c>
      <c r="AI239" s="56">
        <f t="shared" ca="1" si="95"/>
        <v>550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550.21</v>
      </c>
      <c r="AK239" s="182">
        <f t="shared" ca="1" si="96"/>
        <v>1000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0</v>
      </c>
      <c r="AR239" s="10">
        <v>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445</v>
      </c>
      <c r="AW239" s="11">
        <v>1</v>
      </c>
      <c r="AZ239" s="11">
        <f ca="1">IFERROR(OFFSET(ITEM_RES!$A$1,MATCH(BA239,ITEM_RES!$J:$J,0)-1,0),0)</f>
        <v>211020401</v>
      </c>
      <c r="BA239" s="10" t="s">
        <v>436</v>
      </c>
      <c r="BB239" s="11">
        <v>1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926</v>
      </c>
      <c r="N240" s="56"/>
      <c r="O240" s="9">
        <v>0</v>
      </c>
      <c r="P240" s="9">
        <v>15</v>
      </c>
      <c r="Q240" s="9" t="s">
        <v>763</v>
      </c>
      <c r="U240" s="9" t="s">
        <v>696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518</v>
      </c>
      <c r="AD240" s="9">
        <v>16</v>
      </c>
      <c r="AF240" s="11">
        <f ca="1">IFERROR(OFFSET(MANOR_LEVEL!$B$1,MATCH(AG240-1,MANOR_LEVEL!$A:$A,0)-1,0),0)</f>
        <v>1156400</v>
      </c>
      <c r="AG240" s="56">
        <v>13</v>
      </c>
      <c r="AI240" s="56">
        <f t="shared" ca="1" si="95"/>
        <v>700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700.4</v>
      </c>
      <c r="AK240" s="182">
        <f t="shared" ca="1" si="96"/>
        <v>1250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0</v>
      </c>
      <c r="AR240" s="10">
        <v>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445</v>
      </c>
      <c r="AW240" s="11">
        <v>1</v>
      </c>
      <c r="AZ240" s="11">
        <f ca="1">IFERROR(OFFSET(ITEM_RES!$A$1,MATCH(BA240,ITEM_RES!$J:$J,0)-1,0),0)</f>
        <v>211020501</v>
      </c>
      <c r="BA240" s="10" t="s">
        <v>433</v>
      </c>
      <c r="BB240" s="11">
        <v>1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926</v>
      </c>
      <c r="N241" s="56"/>
      <c r="O241" s="9">
        <v>0</v>
      </c>
      <c r="P241" s="9">
        <v>15</v>
      </c>
      <c r="Q241" s="9" t="s">
        <v>763</v>
      </c>
      <c r="U241" s="9" t="s">
        <v>696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518</v>
      </c>
      <c r="AD241" s="9">
        <v>17</v>
      </c>
      <c r="AF241" s="11">
        <f ca="1">IFERROR(OFFSET(MANOR_LEVEL!$B$1,MATCH(AG241-1,MANOR_LEVEL!$A:$A,0)-1,0),0)</f>
        <v>1661200</v>
      </c>
      <c r="AG241" s="56">
        <v>14</v>
      </c>
      <c r="AI241" s="56">
        <f t="shared" ca="1" si="95"/>
        <v>850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850.4</v>
      </c>
      <c r="AK241" s="182">
        <f t="shared" ca="1" si="96"/>
        <v>1550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0</v>
      </c>
      <c r="AR241" s="10">
        <v>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445</v>
      </c>
      <c r="AW241" s="11">
        <v>1</v>
      </c>
      <c r="AZ241" s="11">
        <f ca="1">IFERROR(OFFSET(ITEM_RES!$A$1,MATCH(BA241,ITEM_RES!$J:$J,0)-1,0),0)</f>
        <v>211020501</v>
      </c>
      <c r="BA241" s="10" t="s">
        <v>424</v>
      </c>
      <c r="BB241" s="11">
        <v>1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926</v>
      </c>
      <c r="N242" s="56"/>
      <c r="O242" s="9">
        <v>0</v>
      </c>
      <c r="P242" s="9">
        <v>15</v>
      </c>
      <c r="Q242" s="9" t="s">
        <v>763</v>
      </c>
      <c r="U242" s="9" t="s">
        <v>696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518</v>
      </c>
      <c r="AD242" s="9">
        <v>18</v>
      </c>
      <c r="AF242" s="11">
        <f ca="1">IFERROR(OFFSET(MANOR_LEVEL!$B$1,MATCH(AG242-1,MANOR_LEVEL!$A:$A,0)-1,0),0)</f>
        <v>2622400</v>
      </c>
      <c r="AG242" s="56">
        <v>15</v>
      </c>
      <c r="AI242" s="56">
        <f t="shared" ca="1" si="95"/>
        <v>1050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1050.4000000000001</v>
      </c>
      <c r="AK242" s="182">
        <f t="shared" ca="1" si="96"/>
        <v>1900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0</v>
      </c>
      <c r="AR242" s="10">
        <v>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445</v>
      </c>
      <c r="AW242" s="11">
        <v>1</v>
      </c>
      <c r="AZ242" s="11">
        <f ca="1">IFERROR(OFFSET(ITEM_RES!$A$1,MATCH(BA242,ITEM_RES!$J:$J,0)-1,0),0)</f>
        <v>211020501</v>
      </c>
      <c r="BA242" s="10" t="s">
        <v>424</v>
      </c>
      <c r="BB242" s="11">
        <v>1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926</v>
      </c>
      <c r="N243" s="56"/>
      <c r="O243" s="9">
        <v>0</v>
      </c>
      <c r="P243" s="9">
        <v>15</v>
      </c>
      <c r="Q243" s="9" t="s">
        <v>763</v>
      </c>
      <c r="U243" s="9" t="s">
        <v>696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518</v>
      </c>
      <c r="AD243" s="9">
        <v>19</v>
      </c>
      <c r="AF243" s="11">
        <f ca="1">IFERROR(OFFSET(MANOR_LEVEL!$B$1,MATCH(AG243-1,MANOR_LEVEL!$A:$A,0)-1,0),0)</f>
        <v>4232000</v>
      </c>
      <c r="AG243" s="56">
        <v>16</v>
      </c>
      <c r="AI243" s="56">
        <f t="shared" ca="1" si="95"/>
        <v>1250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1250.4000000000001</v>
      </c>
      <c r="AK243" s="182">
        <f t="shared" ca="1" si="96"/>
        <v>2300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0</v>
      </c>
      <c r="AR243" s="10">
        <v>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445</v>
      </c>
      <c r="AW243" s="11">
        <v>1</v>
      </c>
      <c r="AZ243" s="11">
        <f ca="1">IFERROR(OFFSET(ITEM_RES!$A$1,MATCH(BA243,ITEM_RES!$J:$J,0)-1,0),0)</f>
        <v>211020501</v>
      </c>
      <c r="BA243" s="10" t="s">
        <v>424</v>
      </c>
      <c r="BB243" s="11">
        <v>1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926</v>
      </c>
      <c r="N244" s="56"/>
      <c r="O244" s="9">
        <v>0</v>
      </c>
      <c r="P244" s="9">
        <v>15</v>
      </c>
      <c r="Q244" s="9" t="s">
        <v>763</v>
      </c>
      <c r="U244" s="9" t="s">
        <v>696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518</v>
      </c>
      <c r="AD244" s="9">
        <v>20</v>
      </c>
      <c r="AF244" s="11">
        <f ca="1">IFERROR(OFFSET(MANOR_LEVEL!$B$1,MATCH(AG244-1,MANOR_LEVEL!$A:$A,0)-1,0),0)</f>
        <v>7450000</v>
      </c>
      <c r="AG244" s="56">
        <v>17</v>
      </c>
      <c r="AI244" s="56">
        <f t="shared" ca="1" si="95"/>
        <v>1500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1500.4</v>
      </c>
      <c r="AK244" s="182">
        <f t="shared" ca="1" si="96"/>
        <v>2750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0</v>
      </c>
      <c r="AR244" s="10">
        <v>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445</v>
      </c>
      <c r="AW244" s="11">
        <v>1</v>
      </c>
      <c r="AZ244" s="11">
        <f ca="1">IFERROR(OFFSET(ITEM_RES!$A$1,MATCH(BA244,ITEM_RES!$J:$J,0)-1,0),0)</f>
        <v>211020501</v>
      </c>
      <c r="BA244" s="10" t="s">
        <v>424</v>
      </c>
      <c r="BB244" s="11">
        <v>1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63" t="s">
        <v>927</v>
      </c>
      <c r="N245" s="63"/>
      <c r="O245" s="16">
        <v>1</v>
      </c>
      <c r="P245" s="16">
        <v>15</v>
      </c>
      <c r="Q245" s="16" t="s">
        <v>1240</v>
      </c>
      <c r="R245" s="17"/>
      <c r="S245" s="17"/>
      <c r="T245" s="18"/>
      <c r="U245" s="16" t="s">
        <v>697</v>
      </c>
      <c r="V245" s="78"/>
      <c r="W245" s="86"/>
      <c r="X245" s="16">
        <f ca="1">IFERROR(OFFSET(ITEM_RES!$A$5,MATCH(BUILDING!W245,ITEM_RES!$J$5:$J$226,0)-1,0),0)</f>
        <v>0</v>
      </c>
      <c r="Y245" s="18"/>
      <c r="Z245" s="86"/>
      <c r="AA245" s="16">
        <f ca="1">IFERROR(OFFSET(ITEM_RES!$A$5,MATCH(BUILDING!Z245,ITEM_RES!$J$5:$J$226,0)-1,0),0)</f>
        <v>0</v>
      </c>
      <c r="AB245" s="78"/>
      <c r="AC245" s="16" t="s">
        <v>519</v>
      </c>
      <c r="AD245" s="16">
        <v>1</v>
      </c>
      <c r="AE245" s="78"/>
      <c r="AF245" s="18">
        <f ca="1">IFERROR(OFFSET(MANOR_LEVEL!$B$1,MATCH(AG245-1,MANOR_LEVEL!$A:$A,0)-1,0),0)</f>
        <v>32640</v>
      </c>
      <c r="AG245" s="57">
        <v>7</v>
      </c>
      <c r="AH245" s="78"/>
      <c r="AI245" s="57">
        <f t="shared" ca="1" si="95"/>
        <v>105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105.1</v>
      </c>
      <c r="AK245" s="184">
        <f ca="1">AI245</f>
        <v>105</v>
      </c>
      <c r="AL245" s="78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0</v>
      </c>
      <c r="AR245" s="17">
        <v>0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1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452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927</v>
      </c>
      <c r="N246" s="56"/>
      <c r="O246" s="9">
        <v>1</v>
      </c>
      <c r="P246" s="9">
        <v>15</v>
      </c>
      <c r="Q246" s="139" t="s">
        <v>1241</v>
      </c>
      <c r="U246" s="9" t="s">
        <v>697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519</v>
      </c>
      <c r="AD246" s="9">
        <v>2</v>
      </c>
      <c r="AF246" s="11">
        <f ca="1">IFERROR(OFFSET(MANOR_LEVEL!$B$1,MATCH(AG246-1,MANOR_LEVEL!$A:$A,0)-1,0),0)</f>
        <v>94800</v>
      </c>
      <c r="AG246" s="56">
        <v>8</v>
      </c>
      <c r="AI246" s="56">
        <f t="shared" ca="1" si="95"/>
        <v>10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10.1</v>
      </c>
      <c r="AK246" s="182">
        <f ca="1">AI245+AI246</f>
        <v>115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0</v>
      </c>
      <c r="AR246" s="10">
        <v>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1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927</v>
      </c>
      <c r="N247" s="56"/>
      <c r="O247" s="9">
        <v>1</v>
      </c>
      <c r="P247" s="9">
        <v>15</v>
      </c>
      <c r="Q247" s="9" t="s">
        <v>1242</v>
      </c>
      <c r="U247" s="9" t="s">
        <v>697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519</v>
      </c>
      <c r="AD247" s="9">
        <v>3</v>
      </c>
      <c r="AF247" s="11">
        <f ca="1">IFERROR(OFFSET(MANOR_LEVEL!$B$1,MATCH(AG247-1,MANOR_LEVEL!$A:$A,0)-1,0),0)</f>
        <v>186400</v>
      </c>
      <c r="AG247" s="56">
        <v>9</v>
      </c>
      <c r="AI247" s="56">
        <f t="shared" ca="1" si="95"/>
        <v>15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15.1</v>
      </c>
      <c r="AK247" s="182">
        <f t="shared" ref="AK247:AK264" ca="1" si="99">AI246+AI247</f>
        <v>25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0</v>
      </c>
      <c r="AR247" s="10">
        <v>0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1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927</v>
      </c>
      <c r="N248" s="56"/>
      <c r="O248" s="9">
        <v>1</v>
      </c>
      <c r="P248" s="9">
        <v>15</v>
      </c>
      <c r="Q248" s="9" t="s">
        <v>1242</v>
      </c>
      <c r="U248" s="9" t="s">
        <v>697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519</v>
      </c>
      <c r="AD248" s="9">
        <v>4</v>
      </c>
      <c r="AF248" s="11">
        <f ca="1">IFERROR(OFFSET(MANOR_LEVEL!$B$1,MATCH(AG248-1,MANOR_LEVEL!$A:$A,0)-1,0),0)</f>
        <v>186400</v>
      </c>
      <c r="AG248" s="56">
        <v>9</v>
      </c>
      <c r="AI248" s="56">
        <f t="shared" ca="1" si="95"/>
        <v>25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25.1</v>
      </c>
      <c r="AK248" s="182">
        <f t="shared" ca="1" si="99"/>
        <v>40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0</v>
      </c>
      <c r="AR248" s="10">
        <v>0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927</v>
      </c>
      <c r="N249" s="56"/>
      <c r="O249" s="9">
        <v>1</v>
      </c>
      <c r="P249" s="9">
        <v>15</v>
      </c>
      <c r="Q249" s="9" t="s">
        <v>1243</v>
      </c>
      <c r="U249" s="9" t="s">
        <v>697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519</v>
      </c>
      <c r="AD249" s="9">
        <v>5</v>
      </c>
      <c r="AF249" s="11">
        <f ca="1">IFERROR(OFFSET(MANOR_LEVEL!$B$1,MATCH(AG249-1,MANOR_LEVEL!$A:$A,0)-1,0),0)</f>
        <v>311600</v>
      </c>
      <c r="AG249" s="56">
        <v>10</v>
      </c>
      <c r="AI249" s="56">
        <f t="shared" ca="1" si="95"/>
        <v>40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40.1</v>
      </c>
      <c r="AK249" s="182">
        <f t="shared" ca="1" si="99"/>
        <v>65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0</v>
      </c>
      <c r="AR249" s="10">
        <v>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1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927</v>
      </c>
      <c r="N250" s="56"/>
      <c r="O250" s="9">
        <v>1</v>
      </c>
      <c r="P250" s="9">
        <v>15</v>
      </c>
      <c r="Q250" s="9" t="s">
        <v>1244</v>
      </c>
      <c r="U250" s="9" t="s">
        <v>697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519</v>
      </c>
      <c r="AD250" s="9">
        <v>6</v>
      </c>
      <c r="AF250" s="11">
        <f ca="1">IFERROR(OFFSET(MANOR_LEVEL!$B$1,MATCH(AG250-1,MANOR_LEVEL!$A:$A,0)-1,0),0)</f>
        <v>311600</v>
      </c>
      <c r="AG250" s="56">
        <v>10</v>
      </c>
      <c r="AI250" s="56">
        <f t="shared" ca="1" si="95"/>
        <v>50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50.1</v>
      </c>
      <c r="AK250" s="182">
        <f t="shared" ca="1" si="99"/>
        <v>90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0</v>
      </c>
      <c r="AR250" s="10">
        <v>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1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927</v>
      </c>
      <c r="N251" s="56"/>
      <c r="O251" s="9">
        <v>1</v>
      </c>
      <c r="P251" s="9">
        <v>15</v>
      </c>
      <c r="Q251" s="9" t="s">
        <v>1245</v>
      </c>
      <c r="U251" s="9" t="s">
        <v>697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519</v>
      </c>
      <c r="AD251" s="9">
        <v>7</v>
      </c>
      <c r="AF251" s="11">
        <f ca="1">IFERROR(OFFSET(MANOR_LEVEL!$B$1,MATCH(AG251-1,MANOR_LEVEL!$A:$A,0)-1,0),0)</f>
        <v>456800</v>
      </c>
      <c r="AG251" s="56">
        <v>11</v>
      </c>
      <c r="AI251" s="56">
        <f t="shared" ca="1" si="95"/>
        <v>100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100.1</v>
      </c>
      <c r="AK251" s="182">
        <f t="shared" ca="1" si="99"/>
        <v>150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0</v>
      </c>
      <c r="AR251" s="10">
        <v>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1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927</v>
      </c>
      <c r="N252" s="56"/>
      <c r="O252" s="9">
        <v>1</v>
      </c>
      <c r="P252" s="9">
        <v>15</v>
      </c>
      <c r="Q252" s="9" t="s">
        <v>1245</v>
      </c>
      <c r="U252" s="9" t="s">
        <v>697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519</v>
      </c>
      <c r="AD252" s="9">
        <v>8</v>
      </c>
      <c r="AF252" s="11">
        <f ca="1">IFERROR(OFFSET(MANOR_LEVEL!$B$1,MATCH(AG252-1,MANOR_LEVEL!$A:$A,0)-1,0),0)</f>
        <v>796000</v>
      </c>
      <c r="AG252" s="56">
        <v>12</v>
      </c>
      <c r="AI252" s="56">
        <f t="shared" ca="1" si="95"/>
        <v>100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100.1</v>
      </c>
      <c r="AK252" s="182">
        <f t="shared" ca="1" si="99"/>
        <v>200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0</v>
      </c>
      <c r="AR252" s="10">
        <v>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1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927</v>
      </c>
      <c r="N253" s="56"/>
      <c r="O253" s="9">
        <v>1</v>
      </c>
      <c r="P253" s="9">
        <v>15</v>
      </c>
      <c r="Q253" s="9" t="s">
        <v>1245</v>
      </c>
      <c r="U253" s="9" t="s">
        <v>697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519</v>
      </c>
      <c r="AD253" s="9">
        <v>9</v>
      </c>
      <c r="AF253" s="11">
        <f ca="1">IFERROR(OFFSET(MANOR_LEVEL!$B$1,MATCH(AG253-1,MANOR_LEVEL!$A:$A,0)-1,0),0)</f>
        <v>1156400</v>
      </c>
      <c r="AG253" s="56">
        <v>13</v>
      </c>
      <c r="AI253" s="56">
        <f t="shared" ca="1" si="95"/>
        <v>150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150.1</v>
      </c>
      <c r="AK253" s="182">
        <f t="shared" ca="1" si="99"/>
        <v>250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0</v>
      </c>
      <c r="AR253" s="10">
        <v>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1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927</v>
      </c>
      <c r="N254" s="56"/>
      <c r="O254" s="9">
        <v>1</v>
      </c>
      <c r="P254" s="9">
        <v>15</v>
      </c>
      <c r="Q254" s="9" t="s">
        <v>1245</v>
      </c>
      <c r="U254" s="9" t="s">
        <v>697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519</v>
      </c>
      <c r="AD254" s="9">
        <v>10</v>
      </c>
      <c r="AF254" s="11">
        <f ca="1">IFERROR(OFFSET(MANOR_LEVEL!$B$1,MATCH(AG254-1,MANOR_LEVEL!$A:$A,0)-1,0),0)</f>
        <v>1156400</v>
      </c>
      <c r="AG254" s="56">
        <v>13</v>
      </c>
      <c r="AI254" s="56">
        <f t="shared" ca="1" si="95"/>
        <v>300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300.10000000000002</v>
      </c>
      <c r="AK254" s="182">
        <f t="shared" ca="1" si="99"/>
        <v>450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0</v>
      </c>
      <c r="AR254" s="10">
        <v>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464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927</v>
      </c>
      <c r="N255" s="56"/>
      <c r="O255" s="9">
        <v>1</v>
      </c>
      <c r="P255" s="9">
        <v>15</v>
      </c>
      <c r="Q255" s="9" t="s">
        <v>1245</v>
      </c>
      <c r="U255" s="9" t="s">
        <v>697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519</v>
      </c>
      <c r="AD255" s="9">
        <v>11</v>
      </c>
      <c r="AF255" s="11">
        <f ca="1">IFERROR(OFFSET(MANOR_LEVEL!$B$1,MATCH(AG255-1,MANOR_LEVEL!$A:$A,0)-1,0),0)</f>
        <v>1661200</v>
      </c>
      <c r="AG255" s="56">
        <v>14</v>
      </c>
      <c r="AI255" s="56">
        <f t="shared" ca="1" si="95"/>
        <v>250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250.1</v>
      </c>
      <c r="AK255" s="182">
        <f t="shared" ca="1" si="99"/>
        <v>550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0</v>
      </c>
      <c r="AR255" s="10">
        <v>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927</v>
      </c>
      <c r="N256" s="56"/>
      <c r="O256" s="9">
        <v>1</v>
      </c>
      <c r="P256" s="9">
        <v>15</v>
      </c>
      <c r="Q256" s="9" t="s">
        <v>1245</v>
      </c>
      <c r="U256" s="9" t="s">
        <v>697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519</v>
      </c>
      <c r="AD256" s="9">
        <v>12</v>
      </c>
      <c r="AF256" s="11">
        <f ca="1">IFERROR(OFFSET(MANOR_LEVEL!$B$1,MATCH(AG256-1,MANOR_LEVEL!$A:$A,0)-1,0),0)</f>
        <v>2622400</v>
      </c>
      <c r="AG256" s="56">
        <v>15</v>
      </c>
      <c r="AI256" s="56">
        <f t="shared" ca="1" si="95"/>
        <v>300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300.10000000000002</v>
      </c>
      <c r="AK256" s="182">
        <f t="shared" ca="1" si="99"/>
        <v>550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0</v>
      </c>
      <c r="AR256" s="10">
        <v>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927</v>
      </c>
      <c r="N257" s="56"/>
      <c r="O257" s="9">
        <v>1</v>
      </c>
      <c r="P257" s="9">
        <v>15</v>
      </c>
      <c r="Q257" s="9" t="s">
        <v>1245</v>
      </c>
      <c r="U257" s="9" t="s">
        <v>697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519</v>
      </c>
      <c r="AD257" s="9">
        <v>13</v>
      </c>
      <c r="AF257" s="11">
        <f ca="1">IFERROR(OFFSET(MANOR_LEVEL!$B$1,MATCH(AG257-1,MANOR_LEVEL!$A:$A,0)-1,0),0)</f>
        <v>4232000</v>
      </c>
      <c r="AG257" s="56">
        <v>16</v>
      </c>
      <c r="AI257" s="56">
        <f t="shared" ca="1" si="95"/>
        <v>350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350.2</v>
      </c>
      <c r="AK257" s="182">
        <f t="shared" ca="1" si="99"/>
        <v>650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0</v>
      </c>
      <c r="AR257" s="10">
        <v>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445</v>
      </c>
      <c r="AW257" s="11">
        <v>1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927</v>
      </c>
      <c r="N258" s="56"/>
      <c r="O258" s="9">
        <v>1</v>
      </c>
      <c r="P258" s="9">
        <v>15</v>
      </c>
      <c r="Q258" s="9" t="s">
        <v>1245</v>
      </c>
      <c r="U258" s="9" t="s">
        <v>697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519</v>
      </c>
      <c r="AD258" s="9">
        <v>14</v>
      </c>
      <c r="AF258" s="11">
        <f ca="1">IFERROR(OFFSET(MANOR_LEVEL!$B$1,MATCH(AG258-1,MANOR_LEVEL!$A:$A,0)-1,0),0)</f>
        <v>7450000</v>
      </c>
      <c r="AG258" s="56">
        <v>17</v>
      </c>
      <c r="AI258" s="56">
        <f t="shared" ca="1" si="95"/>
        <v>450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450.2</v>
      </c>
      <c r="AK258" s="182">
        <f t="shared" ca="1" si="99"/>
        <v>800</v>
      </c>
      <c r="AM258" s="11">
        <f t="shared" si="97"/>
        <v>70</v>
      </c>
      <c r="AN258" s="10">
        <v>70</v>
      </c>
      <c r="AO258" s="11">
        <f t="shared" ref="AO258:AQ341" si="104">ROUND(AP258,0)</f>
        <v>450</v>
      </c>
      <c r="AP258" s="10">
        <v>450</v>
      </c>
      <c r="AQ258" s="11">
        <f t="shared" si="104"/>
        <v>0</v>
      </c>
      <c r="AR258" s="10">
        <v>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445</v>
      </c>
      <c r="AW258" s="11">
        <v>1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927</v>
      </c>
      <c r="N259" s="56"/>
      <c r="O259" s="9">
        <v>1</v>
      </c>
      <c r="P259" s="9">
        <v>15</v>
      </c>
      <c r="Q259" s="9" t="s">
        <v>1245</v>
      </c>
      <c r="U259" s="9" t="s">
        <v>697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519</v>
      </c>
      <c r="AD259" s="9">
        <v>15</v>
      </c>
      <c r="AF259" s="11">
        <f ca="1">IFERROR(OFFSET(MANOR_LEVEL!$B$1,MATCH(AG259-1,MANOR_LEVEL!$A:$A,0)-1,0),0)</f>
        <v>12172400</v>
      </c>
      <c r="AG259" s="56">
        <v>18</v>
      </c>
      <c r="AI259" s="56">
        <f t="shared" ca="1" si="95"/>
        <v>550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550.20000000000005</v>
      </c>
      <c r="AK259" s="182">
        <f t="shared" ca="1" si="99"/>
        <v>1000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0</v>
      </c>
      <c r="AR259" s="10">
        <v>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445</v>
      </c>
      <c r="AW259" s="11">
        <v>1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927</v>
      </c>
      <c r="N260" s="56"/>
      <c r="O260" s="9">
        <v>0</v>
      </c>
      <c r="P260" s="9">
        <v>15</v>
      </c>
      <c r="Q260" s="9" t="s">
        <v>1245</v>
      </c>
      <c r="U260" s="9" t="s">
        <v>697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519</v>
      </c>
      <c r="AD260" s="9">
        <v>16</v>
      </c>
      <c r="AF260" s="11">
        <f ca="1">IFERROR(OFFSET(MANOR_LEVEL!$B$1,MATCH(AG260-1,MANOR_LEVEL!$A:$A,0)-1,0),0)</f>
        <v>12172400</v>
      </c>
      <c r="AG260" s="56">
        <v>18</v>
      </c>
      <c r="AI260" s="56">
        <f t="shared" ca="1" si="95"/>
        <v>700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700.2</v>
      </c>
      <c r="AK260" s="182">
        <f t="shared" ca="1" si="99"/>
        <v>1250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0</v>
      </c>
      <c r="AR260" s="10">
        <v>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445</v>
      </c>
      <c r="AW260" s="11">
        <v>1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927</v>
      </c>
      <c r="N261" s="56"/>
      <c r="O261" s="9">
        <v>0</v>
      </c>
      <c r="P261" s="9">
        <v>15</v>
      </c>
      <c r="Q261" s="9" t="s">
        <v>1245</v>
      </c>
      <c r="U261" s="9" t="s">
        <v>697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519</v>
      </c>
      <c r="AD261" s="9">
        <v>17</v>
      </c>
      <c r="AF261" s="11">
        <f ca="1">IFERROR(OFFSET(MANOR_LEVEL!$B$1,MATCH(AG261-1,MANOR_LEVEL!$A:$A,0)-1,0),0)</f>
        <v>12172400</v>
      </c>
      <c r="AG261" s="56">
        <v>18</v>
      </c>
      <c r="AI261" s="56">
        <f t="shared" ca="1" si="95"/>
        <v>850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850.2</v>
      </c>
      <c r="AK261" s="182">
        <f t="shared" ca="1" si="99"/>
        <v>1550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0</v>
      </c>
      <c r="AR261" s="10">
        <v>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445</v>
      </c>
      <c r="AW261" s="11">
        <v>1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927</v>
      </c>
      <c r="N262" s="56"/>
      <c r="O262" s="9">
        <v>0</v>
      </c>
      <c r="P262" s="9">
        <v>15</v>
      </c>
      <c r="Q262" s="9" t="s">
        <v>1245</v>
      </c>
      <c r="U262" s="9" t="s">
        <v>697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519</v>
      </c>
      <c r="AD262" s="9">
        <v>18</v>
      </c>
      <c r="AF262" s="11">
        <f ca="1">IFERROR(OFFSET(MANOR_LEVEL!$B$1,MATCH(AG262-1,MANOR_LEVEL!$A:$A,0)-1,0),0)</f>
        <v>12172400</v>
      </c>
      <c r="AG262" s="56">
        <v>18</v>
      </c>
      <c r="AI262" s="56">
        <f t="shared" ca="1" si="95"/>
        <v>1050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1050.2</v>
      </c>
      <c r="AK262" s="182">
        <f t="shared" ca="1" si="99"/>
        <v>1900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0</v>
      </c>
      <c r="AR262" s="10">
        <v>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445</v>
      </c>
      <c r="AW262" s="11">
        <v>1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927</v>
      </c>
      <c r="N263" s="56"/>
      <c r="O263" s="9">
        <v>0</v>
      </c>
      <c r="P263" s="9">
        <v>15</v>
      </c>
      <c r="Q263" s="9" t="s">
        <v>1245</v>
      </c>
      <c r="U263" s="9" t="s">
        <v>697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519</v>
      </c>
      <c r="AD263" s="9">
        <v>19</v>
      </c>
      <c r="AF263" s="11">
        <f ca="1">IFERROR(OFFSET(MANOR_LEVEL!$B$1,MATCH(AG263-1,MANOR_LEVEL!$A:$A,0)-1,0),0)</f>
        <v>12172400</v>
      </c>
      <c r="AG263" s="56">
        <v>18</v>
      </c>
      <c r="AI263" s="56">
        <f t="shared" ca="1" si="95"/>
        <v>1250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1250.2</v>
      </c>
      <c r="AK263" s="182">
        <f t="shared" ca="1" si="99"/>
        <v>2300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0</v>
      </c>
      <c r="AR263" s="10">
        <v>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445</v>
      </c>
      <c r="AW263" s="11">
        <v>1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927</v>
      </c>
      <c r="N264" s="56"/>
      <c r="O264" s="9">
        <v>0</v>
      </c>
      <c r="P264" s="9">
        <v>15</v>
      </c>
      <c r="Q264" s="9" t="s">
        <v>1245</v>
      </c>
      <c r="U264" s="9" t="s">
        <v>697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519</v>
      </c>
      <c r="AD264" s="9">
        <v>20</v>
      </c>
      <c r="AF264" s="11">
        <f ca="1">IFERROR(OFFSET(MANOR_LEVEL!$B$1,MATCH(AG264-1,MANOR_LEVEL!$A:$A,0)-1,0),0)</f>
        <v>12172400</v>
      </c>
      <c r="AG264" s="56">
        <v>18</v>
      </c>
      <c r="AI264" s="56">
        <f t="shared" ca="1" si="95"/>
        <v>1500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1500.2</v>
      </c>
      <c r="AK264" s="182">
        <f t="shared" ca="1" si="99"/>
        <v>2750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0</v>
      </c>
      <c r="AR264" s="10">
        <v>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445</v>
      </c>
      <c r="AW264" s="11">
        <v>1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 t="s">
        <v>928</v>
      </c>
      <c r="N265" s="16" t="s">
        <v>946</v>
      </c>
      <c r="O265" s="16">
        <v>1</v>
      </c>
      <c r="P265" s="16">
        <v>15</v>
      </c>
      <c r="Q265" s="140"/>
      <c r="R265" s="17"/>
      <c r="S265" s="17"/>
      <c r="T265" s="18"/>
      <c r="U265" s="16" t="s">
        <v>698</v>
      </c>
      <c r="V265" s="78"/>
      <c r="W265" s="86"/>
      <c r="X265" s="16">
        <f ca="1">IFERROR(OFFSET(ITEM_RES!$A$5,MATCH(BUILDING!W265,ITEM_RES!$J$5:$J$226,0)-1,0),0)</f>
        <v>0</v>
      </c>
      <c r="Y265" s="18"/>
      <c r="Z265" s="86"/>
      <c r="AA265" s="16">
        <f ca="1">IFERROR(OFFSET(ITEM_RES!$A$5,MATCH(BUILDING!Z265,ITEM_RES!$J$5:$J$226,0)-1,0),0)</f>
        <v>0</v>
      </c>
      <c r="AB265" s="78"/>
      <c r="AC265" s="16" t="s">
        <v>520</v>
      </c>
      <c r="AD265" s="16">
        <v>1</v>
      </c>
      <c r="AE265" s="78"/>
      <c r="AF265" s="18">
        <f ca="1">IFERROR(OFFSET(MANOR_LEVEL!$B$1,MATCH(AG265-1,MANOR_LEVEL!$A:$A,0)-1,0),0)</f>
        <v>2622400</v>
      </c>
      <c r="AG265" s="57">
        <v>15</v>
      </c>
      <c r="AH265" s="78"/>
      <c r="AI265" s="57">
        <f t="shared" ca="1" si="95"/>
        <v>105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105.11</v>
      </c>
      <c r="AK265" s="184">
        <f ca="1">AI265</f>
        <v>105</v>
      </c>
      <c r="AL265" s="78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0</v>
      </c>
      <c r="AR265" s="17">
        <v>0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1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1</v>
      </c>
      <c r="BC265" s="17"/>
      <c r="BD265" s="18"/>
      <c r="BE265" s="18">
        <f ca="1">IFERROR(OFFSET(ITEM_RES!$A$1,MATCH(BF265,ITEM_RES!$J:$J,0)-1,0),0)</f>
        <v>213010101</v>
      </c>
      <c r="BF265" s="17" t="s">
        <v>452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928</v>
      </c>
      <c r="N266" s="9" t="s">
        <v>946</v>
      </c>
      <c r="O266" s="9">
        <v>1</v>
      </c>
      <c r="P266" s="9">
        <v>15</v>
      </c>
      <c r="Q266" s="141"/>
      <c r="U266" s="9" t="s">
        <v>698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520</v>
      </c>
      <c r="AD266" s="9">
        <v>2</v>
      </c>
      <c r="AF266" s="11">
        <f ca="1">IFERROR(OFFSET(MANOR_LEVEL!$B$1,MATCH(AG266-1,MANOR_LEVEL!$A:$A,0)-1,0),0)</f>
        <v>4232000</v>
      </c>
      <c r="AG266" s="56">
        <v>16</v>
      </c>
      <c r="AI266" s="56">
        <f t="shared" ca="1" si="95"/>
        <v>10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10.11</v>
      </c>
      <c r="AK266" s="182">
        <f ca="1">AI265+AI266</f>
        <v>115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0</v>
      </c>
      <c r="AR266" s="10">
        <v>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1</v>
      </c>
      <c r="AZ266" s="11">
        <f ca="1">IFERROR(OFFSET(ITEM_RES!$A$1,MATCH(BA266,ITEM_RES!$J:$J,0)-1,0),0)</f>
        <v>211020401</v>
      </c>
      <c r="BA266" s="10" t="s">
        <v>423</v>
      </c>
      <c r="BB266" s="11">
        <v>1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928</v>
      </c>
      <c r="N267" s="9" t="s">
        <v>946</v>
      </c>
      <c r="O267" s="9">
        <v>1</v>
      </c>
      <c r="P267" s="9">
        <v>15</v>
      </c>
      <c r="Q267" s="141"/>
      <c r="U267" s="9" t="s">
        <v>698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520</v>
      </c>
      <c r="AD267" s="9">
        <v>3</v>
      </c>
      <c r="AF267" s="11">
        <f ca="1">IFERROR(OFFSET(MANOR_LEVEL!$B$1,MATCH(AG267-1,MANOR_LEVEL!$A:$A,0)-1,0),0)</f>
        <v>4232000</v>
      </c>
      <c r="AG267" s="56">
        <v>16</v>
      </c>
      <c r="AI267" s="56">
        <f t="shared" ca="1" si="95"/>
        <v>15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15.11</v>
      </c>
      <c r="AK267" s="182">
        <f t="shared" ref="AK267:AK284" ca="1" si="105">AI266+AI267</f>
        <v>25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0</v>
      </c>
      <c r="AR267" s="10">
        <v>0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1</v>
      </c>
      <c r="AZ267" s="11">
        <f ca="1">IFERROR(OFFSET(ITEM_RES!$A$1,MATCH(BA267,ITEM_RES!$J:$J,0)-1,0),0)</f>
        <v>211020401</v>
      </c>
      <c r="BA267" s="10" t="s">
        <v>423</v>
      </c>
      <c r="BB267" s="11">
        <v>1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928</v>
      </c>
      <c r="N268" s="9" t="s">
        <v>946</v>
      </c>
      <c r="O268" s="9">
        <v>1</v>
      </c>
      <c r="P268" s="9">
        <v>15</v>
      </c>
      <c r="Q268" s="141"/>
      <c r="U268" s="9" t="s">
        <v>698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520</v>
      </c>
      <c r="AD268" s="9">
        <v>4</v>
      </c>
      <c r="AF268" s="11">
        <f ca="1">IFERROR(OFFSET(MANOR_LEVEL!$B$1,MATCH(AG268-1,MANOR_LEVEL!$A:$A,0)-1,0),0)</f>
        <v>4232000</v>
      </c>
      <c r="AG268" s="56">
        <v>16</v>
      </c>
      <c r="AI268" s="56">
        <f t="shared" ca="1" si="95"/>
        <v>25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25.11</v>
      </c>
      <c r="AK268" s="182">
        <f t="shared" ca="1" si="105"/>
        <v>40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0</v>
      </c>
      <c r="AR268" s="10">
        <v>0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</v>
      </c>
      <c r="AZ268" s="11">
        <f ca="1">IFERROR(OFFSET(ITEM_RES!$A$1,MATCH(BA268,ITEM_RES!$J:$J,0)-1,0),0)</f>
        <v>211020401</v>
      </c>
      <c r="BA268" s="10" t="s">
        <v>423</v>
      </c>
      <c r="BB268" s="11">
        <v>1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928</v>
      </c>
      <c r="N269" s="9" t="s">
        <v>946</v>
      </c>
      <c r="O269" s="9">
        <v>1</v>
      </c>
      <c r="P269" s="9">
        <v>15</v>
      </c>
      <c r="Q269" s="141"/>
      <c r="U269" s="9" t="s">
        <v>698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520</v>
      </c>
      <c r="AD269" s="9">
        <v>5</v>
      </c>
      <c r="AF269" s="11">
        <f ca="1">IFERROR(OFFSET(MANOR_LEVEL!$B$1,MATCH(AG269-1,MANOR_LEVEL!$A:$A,0)-1,0),0)</f>
        <v>4232000</v>
      </c>
      <c r="AG269" s="56">
        <v>16</v>
      </c>
      <c r="AI269" s="56">
        <f t="shared" ca="1" si="95"/>
        <v>40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40.11</v>
      </c>
      <c r="AK269" s="182">
        <f t="shared" ca="1" si="105"/>
        <v>65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0</v>
      </c>
      <c r="AR269" s="10">
        <v>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1</v>
      </c>
      <c r="AZ269" s="11">
        <f ca="1">IFERROR(OFFSET(ITEM_RES!$A$1,MATCH(BA269,ITEM_RES!$J:$J,0)-1,0),0)</f>
        <v>211020401</v>
      </c>
      <c r="BA269" s="10" t="s">
        <v>423</v>
      </c>
      <c r="BB269" s="11">
        <v>1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928</v>
      </c>
      <c r="N270" s="9" t="s">
        <v>946</v>
      </c>
      <c r="O270" s="9">
        <v>1</v>
      </c>
      <c r="P270" s="9">
        <v>15</v>
      </c>
      <c r="Q270" s="141"/>
      <c r="U270" s="9" t="s">
        <v>698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520</v>
      </c>
      <c r="AD270" s="9">
        <v>6</v>
      </c>
      <c r="AF270" s="11">
        <f ca="1">IFERROR(OFFSET(MANOR_LEVEL!$B$1,MATCH(AG270-1,MANOR_LEVEL!$A:$A,0)-1,0),0)</f>
        <v>4232000</v>
      </c>
      <c r="AG270" s="56">
        <v>16</v>
      </c>
      <c r="AI270" s="56">
        <f t="shared" ca="1" si="95"/>
        <v>50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50.11</v>
      </c>
      <c r="AK270" s="182">
        <f t="shared" ca="1" si="105"/>
        <v>90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0</v>
      </c>
      <c r="AR270" s="10">
        <v>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1</v>
      </c>
      <c r="AZ270" s="11">
        <f ca="1">IFERROR(OFFSET(ITEM_RES!$A$1,MATCH(BA270,ITEM_RES!$J:$J,0)-1,0),0)</f>
        <v>211020401</v>
      </c>
      <c r="BA270" s="10" t="s">
        <v>423</v>
      </c>
      <c r="BB270" s="11">
        <v>1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928</v>
      </c>
      <c r="N271" s="9" t="s">
        <v>946</v>
      </c>
      <c r="O271" s="9">
        <v>1</v>
      </c>
      <c r="P271" s="9">
        <v>15</v>
      </c>
      <c r="Q271" s="141"/>
      <c r="U271" s="9" t="s">
        <v>698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520</v>
      </c>
      <c r="AD271" s="9">
        <v>7</v>
      </c>
      <c r="AF271" s="11">
        <f ca="1">IFERROR(OFFSET(MANOR_LEVEL!$B$1,MATCH(AG271-1,MANOR_LEVEL!$A:$A,0)-1,0),0)</f>
        <v>4232000</v>
      </c>
      <c r="AG271" s="56">
        <v>16</v>
      </c>
      <c r="AI271" s="56">
        <f t="shared" ca="1" si="95"/>
        <v>100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100.11</v>
      </c>
      <c r="AK271" s="182">
        <f t="shared" ca="1" si="105"/>
        <v>150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0</v>
      </c>
      <c r="AR271" s="10">
        <v>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1</v>
      </c>
      <c r="AZ271" s="11">
        <f ca="1">IFERROR(OFFSET(ITEM_RES!$A$1,MATCH(BA271,ITEM_RES!$J:$J,0)-1,0),0)</f>
        <v>211020401</v>
      </c>
      <c r="BA271" s="10" t="s">
        <v>423</v>
      </c>
      <c r="BB271" s="11">
        <v>1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928</v>
      </c>
      <c r="N272" s="9" t="s">
        <v>946</v>
      </c>
      <c r="O272" s="9">
        <v>1</v>
      </c>
      <c r="P272" s="9">
        <v>15</v>
      </c>
      <c r="Q272" s="141"/>
      <c r="U272" s="9" t="s">
        <v>698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520</v>
      </c>
      <c r="AD272" s="9">
        <v>8</v>
      </c>
      <c r="AF272" s="11">
        <f ca="1">IFERROR(OFFSET(MANOR_LEVEL!$B$1,MATCH(AG272-1,MANOR_LEVEL!$A:$A,0)-1,0),0)</f>
        <v>4232000</v>
      </c>
      <c r="AG272" s="56">
        <v>16</v>
      </c>
      <c r="AI272" s="56">
        <f t="shared" ca="1" si="95"/>
        <v>200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200.11</v>
      </c>
      <c r="AK272" s="182">
        <f t="shared" ca="1" si="105"/>
        <v>300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0</v>
      </c>
      <c r="AR272" s="10">
        <v>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1</v>
      </c>
      <c r="AZ272" s="11">
        <f ca="1">IFERROR(OFFSET(ITEM_RES!$A$1,MATCH(BA272,ITEM_RES!$J:$J,0)-1,0),0)</f>
        <v>211020401</v>
      </c>
      <c r="BA272" s="10" t="s">
        <v>423</v>
      </c>
      <c r="BB272" s="11">
        <v>1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464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928</v>
      </c>
      <c r="N273" s="9" t="s">
        <v>946</v>
      </c>
      <c r="O273" s="9">
        <v>1</v>
      </c>
      <c r="P273" s="9">
        <v>15</v>
      </c>
      <c r="Q273" s="141"/>
      <c r="U273" s="9" t="s">
        <v>698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520</v>
      </c>
      <c r="AD273" s="9">
        <v>9</v>
      </c>
      <c r="AF273" s="11">
        <f ca="1">IFERROR(OFFSET(MANOR_LEVEL!$B$1,MATCH(AG273-1,MANOR_LEVEL!$A:$A,0)-1,0),0)</f>
        <v>4232000</v>
      </c>
      <c r="AG273" s="56">
        <v>16</v>
      </c>
      <c r="AI273" s="56">
        <f t="shared" ca="1" si="95"/>
        <v>150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150.11000000000001</v>
      </c>
      <c r="AK273" s="182">
        <f t="shared" ca="1" si="105"/>
        <v>350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0</v>
      </c>
      <c r="AR273" s="10">
        <v>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1</v>
      </c>
      <c r="AZ273" s="11">
        <f ca="1">IFERROR(OFFSET(ITEM_RES!$A$1,MATCH(BA273,ITEM_RES!$J:$J,0)-1,0),0)</f>
        <v>211020401</v>
      </c>
      <c r="BA273" s="10" t="s">
        <v>423</v>
      </c>
      <c r="BB273" s="11">
        <v>1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928</v>
      </c>
      <c r="N274" s="9" t="s">
        <v>946</v>
      </c>
      <c r="O274" s="9">
        <v>1</v>
      </c>
      <c r="P274" s="9">
        <v>15</v>
      </c>
      <c r="Q274" s="141"/>
      <c r="U274" s="9" t="s">
        <v>698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520</v>
      </c>
      <c r="AD274" s="9">
        <v>10</v>
      </c>
      <c r="AF274" s="11">
        <f ca="1">IFERROR(OFFSET(MANOR_LEVEL!$B$1,MATCH(AG274-1,MANOR_LEVEL!$A:$A,0)-1,0),0)</f>
        <v>4232000</v>
      </c>
      <c r="AG274" s="56">
        <v>16</v>
      </c>
      <c r="AI274" s="56">
        <f t="shared" ca="1" si="95"/>
        <v>200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200.11</v>
      </c>
      <c r="AK274" s="182">
        <f t="shared" ca="1" si="105"/>
        <v>350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0</v>
      </c>
      <c r="AR274" s="10">
        <v>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</v>
      </c>
      <c r="AZ274" s="11">
        <f ca="1">IFERROR(OFFSET(ITEM_RES!$A$1,MATCH(BA274,ITEM_RES!$J:$J,0)-1,0),0)</f>
        <v>211020401</v>
      </c>
      <c r="BA274" s="10" t="s">
        <v>423</v>
      </c>
      <c r="BB274" s="11">
        <v>1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928</v>
      </c>
      <c r="N275" s="9" t="s">
        <v>946</v>
      </c>
      <c r="O275" s="9">
        <v>1</v>
      </c>
      <c r="P275" s="9">
        <v>15</v>
      </c>
      <c r="Q275" s="141"/>
      <c r="U275" s="9" t="s">
        <v>698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520</v>
      </c>
      <c r="AD275" s="9">
        <v>11</v>
      </c>
      <c r="AF275" s="11">
        <f ca="1">IFERROR(OFFSET(MANOR_LEVEL!$B$1,MATCH(AG275-1,MANOR_LEVEL!$A:$A,0)-1,0),0)</f>
        <v>4232000</v>
      </c>
      <c r="AG275" s="56">
        <v>16</v>
      </c>
      <c r="AI275" s="56">
        <f t="shared" ca="1" si="95"/>
        <v>250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250.11</v>
      </c>
      <c r="AK275" s="182">
        <f t="shared" ca="1" si="105"/>
        <v>450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0</v>
      </c>
      <c r="AR275" s="10">
        <v>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</v>
      </c>
      <c r="AZ275" s="11">
        <f ca="1">IFERROR(OFFSET(ITEM_RES!$A$1,MATCH(BA275,ITEM_RES!$J:$J,0)-1,0),0)</f>
        <v>211020401</v>
      </c>
      <c r="BA275" s="10" t="s">
        <v>423</v>
      </c>
      <c r="BB275" s="11">
        <v>1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928</v>
      </c>
      <c r="N276" s="9" t="s">
        <v>946</v>
      </c>
      <c r="O276" s="9">
        <v>1</v>
      </c>
      <c r="P276" s="9">
        <v>15</v>
      </c>
      <c r="Q276" s="141"/>
      <c r="U276" s="9" t="s">
        <v>698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520</v>
      </c>
      <c r="AD276" s="9">
        <v>12</v>
      </c>
      <c r="AF276" s="11">
        <f ca="1">IFERROR(OFFSET(MANOR_LEVEL!$B$1,MATCH(AG276-1,MANOR_LEVEL!$A:$A,0)-1,0),0)</f>
        <v>4232000</v>
      </c>
      <c r="AG276" s="56">
        <v>16</v>
      </c>
      <c r="AI276" s="56">
        <f t="shared" ca="1" si="95"/>
        <v>300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300.11</v>
      </c>
      <c r="AK276" s="182">
        <f t="shared" ca="1" si="105"/>
        <v>550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0</v>
      </c>
      <c r="AR276" s="10">
        <v>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</v>
      </c>
      <c r="AZ276" s="11">
        <f ca="1">IFERROR(OFFSET(ITEM_RES!$A$1,MATCH(BA276,ITEM_RES!$J:$J,0)-1,0),0)</f>
        <v>211020401</v>
      </c>
      <c r="BA276" s="10" t="s">
        <v>423</v>
      </c>
      <c r="BB276" s="11">
        <v>1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928</v>
      </c>
      <c r="N277" s="9" t="s">
        <v>946</v>
      </c>
      <c r="O277" s="9">
        <v>1</v>
      </c>
      <c r="P277" s="9">
        <v>15</v>
      </c>
      <c r="Q277" s="141"/>
      <c r="U277" s="9" t="s">
        <v>698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520</v>
      </c>
      <c r="AD277" s="9">
        <v>13</v>
      </c>
      <c r="AF277" s="11">
        <f ca="1">IFERROR(OFFSET(MANOR_LEVEL!$B$1,MATCH(AG277-1,MANOR_LEVEL!$A:$A,0)-1,0),0)</f>
        <v>4232000</v>
      </c>
      <c r="AG277" s="56">
        <v>16</v>
      </c>
      <c r="AI277" s="56">
        <f t="shared" ca="1" si="95"/>
        <v>350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350.11</v>
      </c>
      <c r="AK277" s="182">
        <f t="shared" ca="1" si="105"/>
        <v>650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0</v>
      </c>
      <c r="AR277" s="10">
        <v>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</v>
      </c>
      <c r="AZ277" s="11">
        <f ca="1">IFERROR(OFFSET(ITEM_RES!$A$1,MATCH(BA277,ITEM_RES!$J:$J,0)-1,0),0)</f>
        <v>211020401</v>
      </c>
      <c r="BA277" s="10" t="s">
        <v>423</v>
      </c>
      <c r="BB277" s="11">
        <v>1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928</v>
      </c>
      <c r="N278" s="9" t="s">
        <v>946</v>
      </c>
      <c r="O278" s="9">
        <v>1</v>
      </c>
      <c r="P278" s="9">
        <v>15</v>
      </c>
      <c r="Q278" s="141"/>
      <c r="U278" s="9" t="s">
        <v>698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520</v>
      </c>
      <c r="AD278" s="9">
        <v>14</v>
      </c>
      <c r="AF278" s="11">
        <f ca="1">IFERROR(OFFSET(MANOR_LEVEL!$B$1,MATCH(AG278-1,MANOR_LEVEL!$A:$A,0)-1,0),0)</f>
        <v>4232000</v>
      </c>
      <c r="AG278" s="56">
        <v>16</v>
      </c>
      <c r="AI278" s="56">
        <f t="shared" ca="1" si="95"/>
        <v>450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450.11</v>
      </c>
      <c r="AK278" s="182">
        <f t="shared" ca="1" si="105"/>
        <v>800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0</v>
      </c>
      <c r="AR278" s="10">
        <v>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1</v>
      </c>
      <c r="AZ278" s="11">
        <f ca="1">IFERROR(OFFSET(ITEM_RES!$A$1,MATCH(BA278,ITEM_RES!$J:$J,0)-1,0),0)</f>
        <v>211020401</v>
      </c>
      <c r="BA278" s="10" t="s">
        <v>423</v>
      </c>
      <c r="BB278" s="11">
        <v>1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928</v>
      </c>
      <c r="N279" s="9" t="s">
        <v>946</v>
      </c>
      <c r="O279" s="9">
        <v>1</v>
      </c>
      <c r="P279" s="9">
        <v>15</v>
      </c>
      <c r="Q279" s="141"/>
      <c r="U279" s="9" t="s">
        <v>698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520</v>
      </c>
      <c r="AD279" s="9">
        <v>15</v>
      </c>
      <c r="AF279" s="11">
        <f ca="1">IFERROR(OFFSET(MANOR_LEVEL!$B$1,MATCH(AG279-1,MANOR_LEVEL!$A:$A,0)-1,0),0)</f>
        <v>4232000</v>
      </c>
      <c r="AG279" s="56">
        <v>16</v>
      </c>
      <c r="AI279" s="56">
        <f t="shared" ca="1" si="95"/>
        <v>550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550.11</v>
      </c>
      <c r="AK279" s="182">
        <f t="shared" ca="1" si="105"/>
        <v>1000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0</v>
      </c>
      <c r="AR279" s="10">
        <v>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1</v>
      </c>
      <c r="AZ279" s="11">
        <f ca="1">IFERROR(OFFSET(ITEM_RES!$A$1,MATCH(BA279,ITEM_RES!$J:$J,0)-1,0),0)</f>
        <v>211020401</v>
      </c>
      <c r="BA279" s="10" t="s">
        <v>436</v>
      </c>
      <c r="BB279" s="11">
        <v>1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928</v>
      </c>
      <c r="N280" s="9" t="s">
        <v>946</v>
      </c>
      <c r="O280" s="9">
        <v>0</v>
      </c>
      <c r="P280" s="9">
        <v>15</v>
      </c>
      <c r="Q280" s="141"/>
      <c r="U280" s="9" t="s">
        <v>698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520</v>
      </c>
      <c r="AD280" s="9">
        <v>16</v>
      </c>
      <c r="AF280" s="11">
        <f ca="1">IFERROR(OFFSET(MANOR_LEVEL!$B$1,MATCH(AG280-1,MANOR_LEVEL!$A:$A,0)-1,0),0)</f>
        <v>4232000</v>
      </c>
      <c r="AG280" s="56">
        <v>16</v>
      </c>
      <c r="AI280" s="56">
        <f t="shared" ca="1" si="95"/>
        <v>700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700.11</v>
      </c>
      <c r="AK280" s="182">
        <f t="shared" ca="1" si="105"/>
        <v>1250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0</v>
      </c>
      <c r="AR280" s="10">
        <v>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1</v>
      </c>
      <c r="AZ280" s="11">
        <f ca="1">IFERROR(OFFSET(ITEM_RES!$A$1,MATCH(BA280,ITEM_RES!$J:$J,0)-1,0),0)</f>
        <v>211020401</v>
      </c>
      <c r="BA280" s="10" t="s">
        <v>436</v>
      </c>
      <c r="BB280" s="11">
        <v>1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928</v>
      </c>
      <c r="N281" s="9" t="s">
        <v>946</v>
      </c>
      <c r="O281" s="9">
        <v>0</v>
      </c>
      <c r="P281" s="9">
        <v>15</v>
      </c>
      <c r="Q281" s="141"/>
      <c r="U281" s="9" t="s">
        <v>698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520</v>
      </c>
      <c r="AD281" s="9">
        <v>17</v>
      </c>
      <c r="AF281" s="11">
        <f ca="1">IFERROR(OFFSET(MANOR_LEVEL!$B$1,MATCH(AG281-1,MANOR_LEVEL!$A:$A,0)-1,0),0)</f>
        <v>4232000</v>
      </c>
      <c r="AG281" s="56">
        <v>16</v>
      </c>
      <c r="AI281" s="56">
        <f t="shared" ca="1" si="95"/>
        <v>850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850.21</v>
      </c>
      <c r="AK281" s="182">
        <f t="shared" ca="1" si="105"/>
        <v>1550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0</v>
      </c>
      <c r="AR281" s="10">
        <v>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444</v>
      </c>
      <c r="AW281" s="11">
        <v>1</v>
      </c>
      <c r="AZ281" s="11">
        <f ca="1">IFERROR(OFFSET(ITEM_RES!$A$1,MATCH(BA281,ITEM_RES!$J:$J,0)-1,0),0)</f>
        <v>211020401</v>
      </c>
      <c r="BA281" s="10" t="s">
        <v>436</v>
      </c>
      <c r="BB281" s="11">
        <v>1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928</v>
      </c>
      <c r="N282" s="9" t="s">
        <v>946</v>
      </c>
      <c r="O282" s="9">
        <v>0</v>
      </c>
      <c r="P282" s="9">
        <v>15</v>
      </c>
      <c r="Q282" s="141"/>
      <c r="U282" s="9" t="s">
        <v>698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520</v>
      </c>
      <c r="AD282" s="9">
        <v>18</v>
      </c>
      <c r="AF282" s="11">
        <f ca="1">IFERROR(OFFSET(MANOR_LEVEL!$B$1,MATCH(AG282-1,MANOR_LEVEL!$A:$A,0)-1,0),0)</f>
        <v>4232000</v>
      </c>
      <c r="AG282" s="56">
        <v>16</v>
      </c>
      <c r="AI282" s="56">
        <f t="shared" ref="AI282:AI365" ca="1" si="106">ROUND(AJ282,0)</f>
        <v>1050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1050.4000000000001</v>
      </c>
      <c r="AK282" s="182">
        <f t="shared" ca="1" si="105"/>
        <v>1900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0</v>
      </c>
      <c r="AR282" s="10">
        <v>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444</v>
      </c>
      <c r="AW282" s="11">
        <v>1</v>
      </c>
      <c r="AZ282" s="11">
        <f ca="1">IFERROR(OFFSET(ITEM_RES!$A$1,MATCH(BA282,ITEM_RES!$J:$J,0)-1,0),0)</f>
        <v>211020501</v>
      </c>
      <c r="BA282" s="10" t="s">
        <v>424</v>
      </c>
      <c r="BB282" s="11">
        <v>1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928</v>
      </c>
      <c r="N283" s="9" t="s">
        <v>946</v>
      </c>
      <c r="O283" s="9">
        <v>0</v>
      </c>
      <c r="P283" s="9">
        <v>15</v>
      </c>
      <c r="Q283" s="141"/>
      <c r="U283" s="9" t="s">
        <v>698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520</v>
      </c>
      <c r="AD283" s="9">
        <v>19</v>
      </c>
      <c r="AF283" s="11">
        <f ca="1">IFERROR(OFFSET(MANOR_LEVEL!$B$1,MATCH(AG283-1,MANOR_LEVEL!$A:$A,0)-1,0),0)</f>
        <v>4232000</v>
      </c>
      <c r="AG283" s="56">
        <v>16</v>
      </c>
      <c r="AI283" s="56">
        <f t="shared" ca="1" si="106"/>
        <v>1250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1250.4000000000001</v>
      </c>
      <c r="AK283" s="182">
        <f t="shared" ca="1" si="105"/>
        <v>2300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0</v>
      </c>
      <c r="AR283" s="10">
        <v>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444</v>
      </c>
      <c r="AW283" s="11">
        <v>1</v>
      </c>
      <c r="AZ283" s="11">
        <f ca="1">IFERROR(OFFSET(ITEM_RES!$A$1,MATCH(BA283,ITEM_RES!$J:$J,0)-1,0),0)</f>
        <v>211020501</v>
      </c>
      <c r="BA283" s="10" t="s">
        <v>424</v>
      </c>
      <c r="BB283" s="11">
        <v>1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1150</v>
      </c>
      <c r="N284" s="9" t="s">
        <v>946</v>
      </c>
      <c r="O284" s="9">
        <v>0</v>
      </c>
      <c r="P284" s="9">
        <v>15</v>
      </c>
      <c r="Q284" s="141"/>
      <c r="U284" s="9" t="s">
        <v>698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520</v>
      </c>
      <c r="AD284" s="9">
        <v>20</v>
      </c>
      <c r="AF284" s="11">
        <f ca="1">IFERROR(OFFSET(MANOR_LEVEL!$B$1,MATCH(AG284-1,MANOR_LEVEL!$A:$A,0)-1,0),0)</f>
        <v>4232000</v>
      </c>
      <c r="AG284" s="56">
        <v>16</v>
      </c>
      <c r="AI284" s="56">
        <f t="shared" ca="1" si="106"/>
        <v>1500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1500.4</v>
      </c>
      <c r="AK284" s="182">
        <f t="shared" ca="1" si="105"/>
        <v>2750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0</v>
      </c>
      <c r="AR284" s="10">
        <v>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444</v>
      </c>
      <c r="AW284" s="11">
        <v>1</v>
      </c>
      <c r="AZ284" s="11">
        <f ca="1">IFERROR(OFFSET(ITEM_RES!$A$1,MATCH(BA284,ITEM_RES!$J:$J,0)-1,0),0)</f>
        <v>211020501</v>
      </c>
      <c r="BA284" s="10" t="s">
        <v>424</v>
      </c>
      <c r="BB284" s="11">
        <v>1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1143</v>
      </c>
      <c r="L285" s="16">
        <v>10</v>
      </c>
      <c r="M285" s="16" t="s">
        <v>1151</v>
      </c>
      <c r="N285" s="16"/>
      <c r="O285" s="16">
        <v>1</v>
      </c>
      <c r="P285" s="16">
        <v>15</v>
      </c>
      <c r="Q285" s="140" t="s">
        <v>1149</v>
      </c>
      <c r="R285" s="17"/>
      <c r="S285" s="17"/>
      <c r="T285" s="18"/>
      <c r="U285" s="16" t="s">
        <v>1144</v>
      </c>
      <c r="V285" s="78"/>
      <c r="W285" s="86"/>
      <c r="X285" s="16">
        <f ca="1">IFERROR(OFFSET(ITEM_RES!$A$5,MATCH(BUILDING!W285,ITEM_RES!$J$5:$J$226,0)-1,0),0)</f>
        <v>0</v>
      </c>
      <c r="Y285" s="18"/>
      <c r="Z285" s="86"/>
      <c r="AA285" s="16">
        <f ca="1">IFERROR(OFFSET(ITEM_RES!$A$5,MATCH(BUILDING!Z285,ITEM_RES!$J$5:$J$226,0)-1,0),0)</f>
        <v>0</v>
      </c>
      <c r="AB285" s="78"/>
      <c r="AC285" s="16" t="s">
        <v>1148</v>
      </c>
      <c r="AD285" s="16">
        <v>1</v>
      </c>
      <c r="AE285" s="78"/>
      <c r="AF285" s="18">
        <f ca="1">IFERROR(OFFSET(MANOR_LEVEL!$B$1,MATCH(AG285-1,MANOR_LEVEL!$A:$A,0)-1,0),0)</f>
        <v>311600</v>
      </c>
      <c r="AG285" s="57">
        <v>10</v>
      </c>
      <c r="AH285" s="78"/>
      <c r="AI285" s="57">
        <f t="shared" ca="1" si="106"/>
        <v>105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105.1</v>
      </c>
      <c r="AK285" s="184">
        <f ca="1">AI285</f>
        <v>105</v>
      </c>
      <c r="AL285" s="78"/>
      <c r="AM285" s="18">
        <f t="shared" ref="AM285:AM304" si="110">ROUND(AN285,0)</f>
        <v>5</v>
      </c>
      <c r="AN285" s="17">
        <v>5</v>
      </c>
      <c r="AO285" s="18">
        <f t="shared" ref="AO285:AO304" si="111">ROUND(AP285,0)</f>
        <v>5</v>
      </c>
      <c r="AP285" s="17">
        <v>5</v>
      </c>
      <c r="AQ285" s="18">
        <f t="shared" ref="AQ285:AQ304" si="112">ROUND(AR285,0)</f>
        <v>0</v>
      </c>
      <c r="AR285" s="17">
        <v>0</v>
      </c>
      <c r="AS285" s="57">
        <f t="shared" ref="AS285:AS304" si="113">(AW285&gt;0)*1+(BB285&gt;0)*1+(BG285&gt;0)*1+(BL285&gt;0)*1+(BQ285&gt;0)*1</f>
        <v>2</v>
      </c>
      <c r="AT285" s="18"/>
      <c r="AU285" s="18">
        <f ca="1">IFERROR(OFFSET(ITEM_RES!$A$1,MATCH(AV285,ITEM_RES!$J:$J,0)-1,0),0)</f>
        <v>211020801</v>
      </c>
      <c r="AV285" s="17" t="s">
        <v>392</v>
      </c>
      <c r="AW285" s="18">
        <v>1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395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>
        <f t="shared" ref="BQ285:BQ304" si="114">IF(BR285&lt;100,ROUND(BR285,1-LEN(ROUND(BR285,0))),ROUND(BR285,2-LEN(ROUND(BR285,0))))</f>
        <v>0</v>
      </c>
      <c r="BR285" s="17"/>
    </row>
    <row r="286" spans="1:70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1143</v>
      </c>
      <c r="M286" s="9" t="s">
        <v>1151</v>
      </c>
      <c r="O286" s="9">
        <v>1</v>
      </c>
      <c r="P286" s="9">
        <v>15</v>
      </c>
      <c r="Q286" s="141" t="s">
        <v>1149</v>
      </c>
      <c r="U286" s="9" t="s">
        <v>1144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1147</v>
      </c>
      <c r="AD286" s="9">
        <v>2</v>
      </c>
      <c r="AF286" s="11">
        <f ca="1">IFERROR(OFFSET(MANOR_LEVEL!$B$1,MATCH(AG286-1,MANOR_LEVEL!$A:$A,0)-1,0),0)</f>
        <v>456800</v>
      </c>
      <c r="AG286" s="56">
        <v>11</v>
      </c>
      <c r="AI286" s="56">
        <f t="shared" ca="1" si="106"/>
        <v>10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10.1</v>
      </c>
      <c r="AK286" s="182">
        <f ca="1">AI285+AI286</f>
        <v>115</v>
      </c>
      <c r="AM286" s="11">
        <f t="shared" si="110"/>
        <v>10</v>
      </c>
      <c r="AN286" s="10">
        <v>10</v>
      </c>
      <c r="AO286" s="11">
        <f t="shared" si="111"/>
        <v>10</v>
      </c>
      <c r="AP286" s="10">
        <v>10</v>
      </c>
      <c r="AQ286" s="11">
        <f t="shared" si="112"/>
        <v>0</v>
      </c>
      <c r="AR286" s="10">
        <v>0</v>
      </c>
      <c r="AS286" s="56">
        <f t="shared" si="113"/>
        <v>1</v>
      </c>
      <c r="AU286" s="11">
        <f ca="1">IFERROR(OFFSET(ITEM_RES!$A$1,MATCH(AV286,ITEM_RES!$J:$J,0)-1,0),0)</f>
        <v>211020801</v>
      </c>
      <c r="AV286" s="10" t="s">
        <v>392</v>
      </c>
      <c r="AW286" s="11">
        <v>1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  <c r="BQ286" s="11">
        <f t="shared" si="114"/>
        <v>0</v>
      </c>
    </row>
    <row r="287" spans="1:70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1143</v>
      </c>
      <c r="M287" s="9" t="s">
        <v>1151</v>
      </c>
      <c r="O287" s="9">
        <v>1</v>
      </c>
      <c r="P287" s="9">
        <v>15</v>
      </c>
      <c r="Q287" s="141" t="s">
        <v>1149</v>
      </c>
      <c r="U287" s="9" t="s">
        <v>1144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1147</v>
      </c>
      <c r="AD287" s="9">
        <v>3</v>
      </c>
      <c r="AF287" s="11">
        <f ca="1">IFERROR(OFFSET(MANOR_LEVEL!$B$1,MATCH(AG287-1,MANOR_LEVEL!$A:$A,0)-1,0),0)</f>
        <v>456800</v>
      </c>
      <c r="AG287" s="56">
        <v>11</v>
      </c>
      <c r="AI287" s="56">
        <f t="shared" ca="1" si="106"/>
        <v>15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15.1</v>
      </c>
      <c r="AK287" s="182">
        <f t="shared" ref="AK287:AK304" ca="1" si="115">AI286+AI287</f>
        <v>25</v>
      </c>
      <c r="AM287" s="11">
        <f t="shared" si="110"/>
        <v>15</v>
      </c>
      <c r="AN287" s="10">
        <v>15</v>
      </c>
      <c r="AO287" s="11">
        <f t="shared" si="111"/>
        <v>15</v>
      </c>
      <c r="AP287" s="10">
        <v>15</v>
      </c>
      <c r="AQ287" s="11">
        <f t="shared" si="112"/>
        <v>0</v>
      </c>
      <c r="AR287" s="10">
        <v>0</v>
      </c>
      <c r="AS287" s="56">
        <f t="shared" si="113"/>
        <v>1</v>
      </c>
      <c r="AU287" s="11">
        <f ca="1">IFERROR(OFFSET(ITEM_RES!$A$1,MATCH(AV287,ITEM_RES!$J:$J,0)-1,0),0)</f>
        <v>211020801</v>
      </c>
      <c r="AV287" s="10" t="s">
        <v>392</v>
      </c>
      <c r="AW287" s="11">
        <v>1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  <c r="BQ287" s="11">
        <f t="shared" si="114"/>
        <v>0</v>
      </c>
    </row>
    <row r="288" spans="1:70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1143</v>
      </c>
      <c r="M288" s="9" t="s">
        <v>1151</v>
      </c>
      <c r="O288" s="9">
        <v>1</v>
      </c>
      <c r="P288" s="9">
        <v>15</v>
      </c>
      <c r="Q288" s="141" t="s">
        <v>1149</v>
      </c>
      <c r="U288" s="9" t="s">
        <v>1144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1147</v>
      </c>
      <c r="AD288" s="9">
        <v>4</v>
      </c>
      <c r="AF288" s="11">
        <f ca="1">IFERROR(OFFSET(MANOR_LEVEL!$B$1,MATCH(AG288-1,MANOR_LEVEL!$A:$A,0)-1,0),0)</f>
        <v>456800</v>
      </c>
      <c r="AG288" s="56">
        <v>11</v>
      </c>
      <c r="AI288" s="56">
        <f t="shared" ca="1" si="106"/>
        <v>25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25.1</v>
      </c>
      <c r="AK288" s="182">
        <f t="shared" ca="1" si="115"/>
        <v>40</v>
      </c>
      <c r="AM288" s="11">
        <f t="shared" si="110"/>
        <v>20</v>
      </c>
      <c r="AN288" s="10">
        <v>20</v>
      </c>
      <c r="AO288" s="11">
        <f t="shared" si="111"/>
        <v>25</v>
      </c>
      <c r="AP288" s="10">
        <v>25</v>
      </c>
      <c r="AQ288" s="11">
        <f t="shared" si="112"/>
        <v>0</v>
      </c>
      <c r="AR288" s="10">
        <v>0</v>
      </c>
      <c r="AS288" s="56">
        <f t="shared" si="113"/>
        <v>1</v>
      </c>
      <c r="AU288" s="11">
        <f ca="1">IFERROR(OFFSET(ITEM_RES!$A$1,MATCH(AV288,ITEM_RES!$J:$J,0)-1,0),0)</f>
        <v>211020801</v>
      </c>
      <c r="AV288" s="10" t="s">
        <v>392</v>
      </c>
      <c r="AW288" s="11">
        <v>1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  <c r="BQ288" s="11">
        <f t="shared" si="114"/>
        <v>0</v>
      </c>
    </row>
    <row r="289" spans="1:69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1143</v>
      </c>
      <c r="M289" s="9" t="s">
        <v>1151</v>
      </c>
      <c r="O289" s="9">
        <v>1</v>
      </c>
      <c r="P289" s="9">
        <v>15</v>
      </c>
      <c r="Q289" s="141" t="s">
        <v>1149</v>
      </c>
      <c r="U289" s="9" t="s">
        <v>1144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1147</v>
      </c>
      <c r="AD289" s="9">
        <v>5</v>
      </c>
      <c r="AF289" s="11">
        <f ca="1">IFERROR(OFFSET(MANOR_LEVEL!$B$1,MATCH(AG289-1,MANOR_LEVEL!$A:$A,0)-1,0),0)</f>
        <v>456800</v>
      </c>
      <c r="AG289" s="56">
        <v>11</v>
      </c>
      <c r="AI289" s="56">
        <f t="shared" ca="1" si="106"/>
        <v>40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40.1</v>
      </c>
      <c r="AK289" s="182">
        <f t="shared" ca="1" si="115"/>
        <v>65</v>
      </c>
      <c r="AM289" s="11">
        <f t="shared" si="110"/>
        <v>25</v>
      </c>
      <c r="AN289" s="10">
        <v>25</v>
      </c>
      <c r="AO289" s="11">
        <f t="shared" si="111"/>
        <v>40</v>
      </c>
      <c r="AP289" s="10">
        <v>40</v>
      </c>
      <c r="AQ289" s="11">
        <f t="shared" si="112"/>
        <v>0</v>
      </c>
      <c r="AR289" s="10">
        <v>0</v>
      </c>
      <c r="AS289" s="56">
        <f t="shared" si="113"/>
        <v>1</v>
      </c>
      <c r="AU289" s="11">
        <f ca="1">IFERROR(OFFSET(ITEM_RES!$A$1,MATCH(AV289,ITEM_RES!$J:$J,0)-1,0),0)</f>
        <v>211020801</v>
      </c>
      <c r="AV289" s="10" t="s">
        <v>392</v>
      </c>
      <c r="AW289" s="11">
        <v>1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  <c r="BQ289" s="11">
        <f t="shared" si="114"/>
        <v>0</v>
      </c>
    </row>
    <row r="290" spans="1:69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1143</v>
      </c>
      <c r="M290" s="9" t="s">
        <v>1151</v>
      </c>
      <c r="O290" s="9">
        <v>1</v>
      </c>
      <c r="P290" s="9">
        <v>15</v>
      </c>
      <c r="Q290" s="141" t="s">
        <v>1149</v>
      </c>
      <c r="U290" s="9" t="s">
        <v>1144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1147</v>
      </c>
      <c r="AD290" s="9">
        <v>6</v>
      </c>
      <c r="AF290" s="11">
        <f ca="1">IFERROR(OFFSET(MANOR_LEVEL!$B$1,MATCH(AG290-1,MANOR_LEVEL!$A:$A,0)-1,0),0)</f>
        <v>456800</v>
      </c>
      <c r="AG290" s="56">
        <v>11</v>
      </c>
      <c r="AI290" s="56">
        <f t="shared" ca="1" si="106"/>
        <v>50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50.1</v>
      </c>
      <c r="AK290" s="182">
        <f t="shared" ca="1" si="115"/>
        <v>90</v>
      </c>
      <c r="AM290" s="11">
        <f t="shared" si="110"/>
        <v>30</v>
      </c>
      <c r="AN290" s="10">
        <v>30</v>
      </c>
      <c r="AO290" s="11">
        <f t="shared" si="111"/>
        <v>50</v>
      </c>
      <c r="AP290" s="10">
        <v>50</v>
      </c>
      <c r="AQ290" s="11">
        <f t="shared" si="112"/>
        <v>0</v>
      </c>
      <c r="AR290" s="10">
        <v>0</v>
      </c>
      <c r="AS290" s="56">
        <f t="shared" si="113"/>
        <v>1</v>
      </c>
      <c r="AU290" s="11">
        <f ca="1">IFERROR(OFFSET(ITEM_RES!$A$1,MATCH(AV290,ITEM_RES!$J:$J,0)-1,0),0)</f>
        <v>211020801</v>
      </c>
      <c r="AV290" s="10" t="s">
        <v>392</v>
      </c>
      <c r="AW290" s="11">
        <v>1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  <c r="BQ290" s="11">
        <f t="shared" si="114"/>
        <v>0</v>
      </c>
    </row>
    <row r="291" spans="1:69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1143</v>
      </c>
      <c r="M291" s="9" t="s">
        <v>1151</v>
      </c>
      <c r="O291" s="9">
        <v>1</v>
      </c>
      <c r="P291" s="9">
        <v>15</v>
      </c>
      <c r="Q291" s="141" t="s">
        <v>1149</v>
      </c>
      <c r="U291" s="9" t="s">
        <v>1144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1147</v>
      </c>
      <c r="AD291" s="9">
        <v>7</v>
      </c>
      <c r="AF291" s="11">
        <f ca="1">IFERROR(OFFSET(MANOR_LEVEL!$B$1,MATCH(AG291-1,MANOR_LEVEL!$A:$A,0)-1,0),0)</f>
        <v>456800</v>
      </c>
      <c r="AG291" s="56">
        <v>11</v>
      </c>
      <c r="AI291" s="56">
        <f t="shared" ca="1" si="106"/>
        <v>100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100.1</v>
      </c>
      <c r="AK291" s="182">
        <f t="shared" ca="1" si="115"/>
        <v>150</v>
      </c>
      <c r="AM291" s="11">
        <f t="shared" si="110"/>
        <v>35</v>
      </c>
      <c r="AN291" s="10">
        <v>35</v>
      </c>
      <c r="AO291" s="11">
        <f t="shared" si="111"/>
        <v>100</v>
      </c>
      <c r="AP291" s="10">
        <v>100</v>
      </c>
      <c r="AQ291" s="11">
        <f t="shared" si="112"/>
        <v>0</v>
      </c>
      <c r="AR291" s="10">
        <v>0</v>
      </c>
      <c r="AS291" s="56">
        <f t="shared" si="113"/>
        <v>1</v>
      </c>
      <c r="AU291" s="11">
        <f ca="1">IFERROR(OFFSET(ITEM_RES!$A$1,MATCH(AV291,ITEM_RES!$J:$J,0)-1,0),0)</f>
        <v>211020801</v>
      </c>
      <c r="AV291" s="10" t="s">
        <v>392</v>
      </c>
      <c r="AW291" s="11">
        <v>1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  <c r="BQ291" s="11">
        <f t="shared" si="114"/>
        <v>0</v>
      </c>
    </row>
    <row r="292" spans="1:69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1143</v>
      </c>
      <c r="M292" s="9" t="s">
        <v>1151</v>
      </c>
      <c r="O292" s="9">
        <v>1</v>
      </c>
      <c r="P292" s="9">
        <v>15</v>
      </c>
      <c r="Q292" s="141" t="s">
        <v>1149</v>
      </c>
      <c r="U292" s="9" t="s">
        <v>1144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1147</v>
      </c>
      <c r="AD292" s="9">
        <v>8</v>
      </c>
      <c r="AF292" s="11">
        <f ca="1">IFERROR(OFFSET(MANOR_LEVEL!$B$1,MATCH(AG292-1,MANOR_LEVEL!$A:$A,0)-1,0),0)</f>
        <v>456800</v>
      </c>
      <c r="AG292" s="56">
        <v>11</v>
      </c>
      <c r="AI292" s="56">
        <f t="shared" ca="1" si="106"/>
        <v>200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200.1</v>
      </c>
      <c r="AK292" s="182">
        <f t="shared" ca="1" si="115"/>
        <v>300</v>
      </c>
      <c r="AM292" s="11">
        <f t="shared" si="110"/>
        <v>40</v>
      </c>
      <c r="AN292" s="10">
        <v>40</v>
      </c>
      <c r="AO292" s="11">
        <f t="shared" si="111"/>
        <v>100</v>
      </c>
      <c r="AP292" s="10">
        <v>100</v>
      </c>
      <c r="AQ292" s="11">
        <f t="shared" si="112"/>
        <v>0</v>
      </c>
      <c r="AR292" s="10">
        <v>0</v>
      </c>
      <c r="AS292" s="56">
        <f t="shared" si="113"/>
        <v>2</v>
      </c>
      <c r="AU292" s="11">
        <f ca="1">IFERROR(OFFSET(ITEM_RES!$A$1,MATCH(AV292,ITEM_RES!$J:$J,0)-1,0),0)</f>
        <v>211020801</v>
      </c>
      <c r="AV292" s="10" t="s">
        <v>392</v>
      </c>
      <c r="AW292" s="11">
        <v>1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213010901</v>
      </c>
      <c r="BK292" s="10" t="s">
        <v>456</v>
      </c>
      <c r="BL292" s="11">
        <v>1</v>
      </c>
      <c r="BO292" s="11">
        <f ca="1">IFERROR(OFFSET(ITEM_RES!$A$1,MATCH(BP292,ITEM_RES!$J:$J,0)-1,0),0)</f>
        <v>0</v>
      </c>
      <c r="BQ292" s="11">
        <f t="shared" si="114"/>
        <v>0</v>
      </c>
    </row>
    <row r="293" spans="1:69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1143</v>
      </c>
      <c r="M293" s="9" t="s">
        <v>1151</v>
      </c>
      <c r="O293" s="9">
        <v>1</v>
      </c>
      <c r="P293" s="9">
        <v>15</v>
      </c>
      <c r="Q293" s="141" t="s">
        <v>1149</v>
      </c>
      <c r="U293" s="9" t="s">
        <v>1144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1147</v>
      </c>
      <c r="AD293" s="9">
        <v>9</v>
      </c>
      <c r="AF293" s="11">
        <f ca="1">IFERROR(OFFSET(MANOR_LEVEL!$B$1,MATCH(AG293-1,MANOR_LEVEL!$A:$A,0)-1,0),0)</f>
        <v>456800</v>
      </c>
      <c r="AG293" s="56">
        <v>11</v>
      </c>
      <c r="AI293" s="56">
        <f t="shared" ca="1" si="106"/>
        <v>150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150.1</v>
      </c>
      <c r="AK293" s="182">
        <f t="shared" ca="1" si="115"/>
        <v>350</v>
      </c>
      <c r="AM293" s="11">
        <f t="shared" si="110"/>
        <v>45</v>
      </c>
      <c r="AN293" s="10">
        <v>45</v>
      </c>
      <c r="AO293" s="11">
        <f t="shared" si="111"/>
        <v>150</v>
      </c>
      <c r="AP293" s="10">
        <v>150</v>
      </c>
      <c r="AQ293" s="11">
        <f t="shared" si="112"/>
        <v>0</v>
      </c>
      <c r="AR293" s="10">
        <v>0</v>
      </c>
      <c r="AS293" s="56">
        <f t="shared" si="113"/>
        <v>1</v>
      </c>
      <c r="AU293" s="11">
        <f ca="1">IFERROR(OFFSET(ITEM_RES!$A$1,MATCH(AV293,ITEM_RES!$J:$J,0)-1,0),0)</f>
        <v>211020801</v>
      </c>
      <c r="AV293" s="10" t="s">
        <v>392</v>
      </c>
      <c r="AW293" s="11">
        <v>1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  <c r="BQ293" s="11">
        <f t="shared" si="114"/>
        <v>0</v>
      </c>
    </row>
    <row r="294" spans="1:69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1143</v>
      </c>
      <c r="M294" s="9" t="s">
        <v>1151</v>
      </c>
      <c r="O294" s="9">
        <v>1</v>
      </c>
      <c r="P294" s="9">
        <v>15</v>
      </c>
      <c r="Q294" s="141" t="s">
        <v>1149</v>
      </c>
      <c r="U294" s="9" t="s">
        <v>1144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1147</v>
      </c>
      <c r="AD294" s="9">
        <v>10</v>
      </c>
      <c r="AF294" s="11">
        <f ca="1">IFERROR(OFFSET(MANOR_LEVEL!$B$1,MATCH(AG294-1,MANOR_LEVEL!$A:$A,0)-1,0),0)</f>
        <v>456800</v>
      </c>
      <c r="AG294" s="56">
        <v>11</v>
      </c>
      <c r="AI294" s="56">
        <f t="shared" ca="1" si="106"/>
        <v>200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200.1</v>
      </c>
      <c r="AK294" s="182">
        <f t="shared" ca="1" si="115"/>
        <v>350</v>
      </c>
      <c r="AM294" s="11">
        <f t="shared" si="110"/>
        <v>50</v>
      </c>
      <c r="AN294" s="10">
        <v>50</v>
      </c>
      <c r="AO294" s="11">
        <f t="shared" si="111"/>
        <v>200</v>
      </c>
      <c r="AP294" s="10">
        <v>200</v>
      </c>
      <c r="AQ294" s="11">
        <f t="shared" si="112"/>
        <v>0</v>
      </c>
      <c r="AR294" s="10">
        <v>0</v>
      </c>
      <c r="AS294" s="56">
        <f t="shared" si="113"/>
        <v>1</v>
      </c>
      <c r="AU294" s="11">
        <f ca="1">IFERROR(OFFSET(ITEM_RES!$A$1,MATCH(AV294,ITEM_RES!$J:$J,0)-1,0),0)</f>
        <v>211020801</v>
      </c>
      <c r="AV294" s="10" t="s">
        <v>392</v>
      </c>
      <c r="AW294" s="11">
        <v>1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  <c r="BQ294" s="11">
        <f t="shared" si="114"/>
        <v>0</v>
      </c>
    </row>
    <row r="295" spans="1:69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1143</v>
      </c>
      <c r="M295" s="9" t="s">
        <v>1151</v>
      </c>
      <c r="O295" s="9">
        <v>1</v>
      </c>
      <c r="P295" s="9">
        <v>15</v>
      </c>
      <c r="Q295" s="141" t="s">
        <v>1149</v>
      </c>
      <c r="U295" s="9" t="s">
        <v>1144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1147</v>
      </c>
      <c r="AD295" s="9">
        <v>11</v>
      </c>
      <c r="AF295" s="11">
        <f ca="1">IFERROR(OFFSET(MANOR_LEVEL!$B$1,MATCH(AG295-1,MANOR_LEVEL!$A:$A,0)-1,0),0)</f>
        <v>456800</v>
      </c>
      <c r="AG295" s="56">
        <v>11</v>
      </c>
      <c r="AI295" s="56">
        <f t="shared" ca="1" si="106"/>
        <v>250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250.1</v>
      </c>
      <c r="AK295" s="182">
        <f t="shared" ca="1" si="115"/>
        <v>450</v>
      </c>
      <c r="AM295" s="11">
        <f t="shared" si="110"/>
        <v>55</v>
      </c>
      <c r="AN295" s="10">
        <v>55</v>
      </c>
      <c r="AO295" s="11">
        <f t="shared" si="111"/>
        <v>250</v>
      </c>
      <c r="AP295" s="10">
        <v>250</v>
      </c>
      <c r="AQ295" s="11">
        <f t="shared" si="112"/>
        <v>0</v>
      </c>
      <c r="AR295" s="10">
        <v>0</v>
      </c>
      <c r="AS295" s="56">
        <f t="shared" si="113"/>
        <v>1</v>
      </c>
      <c r="AU295" s="11">
        <f ca="1">IFERROR(OFFSET(ITEM_RES!$A$1,MATCH(AV295,ITEM_RES!$J:$J,0)-1,0),0)</f>
        <v>211020801</v>
      </c>
      <c r="AV295" s="10" t="s">
        <v>392</v>
      </c>
      <c r="AW295" s="11">
        <v>1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  <c r="BQ295" s="11">
        <f t="shared" si="114"/>
        <v>0</v>
      </c>
    </row>
    <row r="296" spans="1:69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1143</v>
      </c>
      <c r="M296" s="9" t="s">
        <v>1151</v>
      </c>
      <c r="O296" s="9">
        <v>1</v>
      </c>
      <c r="P296" s="9">
        <v>15</v>
      </c>
      <c r="Q296" s="141" t="s">
        <v>1149</v>
      </c>
      <c r="U296" s="9" t="s">
        <v>1144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1147</v>
      </c>
      <c r="AD296" s="9">
        <v>12</v>
      </c>
      <c r="AF296" s="11">
        <f ca="1">IFERROR(OFFSET(MANOR_LEVEL!$B$1,MATCH(AG296-1,MANOR_LEVEL!$A:$A,0)-1,0),0)</f>
        <v>456800</v>
      </c>
      <c r="AG296" s="56">
        <v>11</v>
      </c>
      <c r="AI296" s="56">
        <f t="shared" ca="1" si="106"/>
        <v>300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300.10000000000002</v>
      </c>
      <c r="AK296" s="182">
        <f t="shared" ca="1" si="115"/>
        <v>550</v>
      </c>
      <c r="AM296" s="11">
        <f t="shared" si="110"/>
        <v>60</v>
      </c>
      <c r="AN296" s="10">
        <v>60</v>
      </c>
      <c r="AO296" s="11">
        <f t="shared" si="111"/>
        <v>300</v>
      </c>
      <c r="AP296" s="10">
        <v>300</v>
      </c>
      <c r="AQ296" s="11">
        <f t="shared" si="112"/>
        <v>0</v>
      </c>
      <c r="AR296" s="10">
        <v>0</v>
      </c>
      <c r="AS296" s="56">
        <f t="shared" si="113"/>
        <v>1</v>
      </c>
      <c r="AU296" s="11">
        <f ca="1">IFERROR(OFFSET(ITEM_RES!$A$1,MATCH(AV296,ITEM_RES!$J:$J,0)-1,0),0)</f>
        <v>211020801</v>
      </c>
      <c r="AV296" s="10" t="s">
        <v>392</v>
      </c>
      <c r="AW296" s="11">
        <v>1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  <c r="BQ296" s="11">
        <f t="shared" si="114"/>
        <v>0</v>
      </c>
    </row>
    <row r="297" spans="1:69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1143</v>
      </c>
      <c r="M297" s="9" t="s">
        <v>1151</v>
      </c>
      <c r="O297" s="9">
        <v>1</v>
      </c>
      <c r="P297" s="9">
        <v>15</v>
      </c>
      <c r="Q297" s="141" t="s">
        <v>1149</v>
      </c>
      <c r="U297" s="9" t="s">
        <v>1144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1147</v>
      </c>
      <c r="AD297" s="9">
        <v>13</v>
      </c>
      <c r="AF297" s="11">
        <f ca="1">IFERROR(OFFSET(MANOR_LEVEL!$B$1,MATCH(AG297-1,MANOR_LEVEL!$A:$A,0)-1,0),0)</f>
        <v>456800</v>
      </c>
      <c r="AG297" s="56">
        <v>11</v>
      </c>
      <c r="AI297" s="56">
        <f t="shared" ca="1" si="106"/>
        <v>350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350.1</v>
      </c>
      <c r="AK297" s="182">
        <f t="shared" ca="1" si="115"/>
        <v>650</v>
      </c>
      <c r="AM297" s="11">
        <f t="shared" si="110"/>
        <v>65</v>
      </c>
      <c r="AN297" s="10">
        <v>65</v>
      </c>
      <c r="AO297" s="11">
        <f t="shared" si="111"/>
        <v>350</v>
      </c>
      <c r="AP297" s="10">
        <v>350</v>
      </c>
      <c r="AQ297" s="11">
        <f t="shared" si="112"/>
        <v>0</v>
      </c>
      <c r="AR297" s="10">
        <v>0</v>
      </c>
      <c r="AS297" s="56">
        <f t="shared" si="113"/>
        <v>1</v>
      </c>
      <c r="AU297" s="11">
        <f ca="1">IFERROR(OFFSET(ITEM_RES!$A$1,MATCH(AV297,ITEM_RES!$J:$J,0)-1,0),0)</f>
        <v>211020801</v>
      </c>
      <c r="AV297" s="10" t="s">
        <v>392</v>
      </c>
      <c r="AW297" s="11">
        <v>1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  <c r="BQ297" s="11">
        <f t="shared" si="114"/>
        <v>0</v>
      </c>
    </row>
    <row r="298" spans="1:69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1143</v>
      </c>
      <c r="M298" s="9" t="s">
        <v>1151</v>
      </c>
      <c r="O298" s="9">
        <v>1</v>
      </c>
      <c r="P298" s="9">
        <v>15</v>
      </c>
      <c r="Q298" s="141" t="s">
        <v>1149</v>
      </c>
      <c r="U298" s="9" t="s">
        <v>1144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1147</v>
      </c>
      <c r="AD298" s="9">
        <v>14</v>
      </c>
      <c r="AF298" s="11">
        <f ca="1">IFERROR(OFFSET(MANOR_LEVEL!$B$1,MATCH(AG298-1,MANOR_LEVEL!$A:$A,0)-1,0),0)</f>
        <v>456800</v>
      </c>
      <c r="AG298" s="56">
        <v>11</v>
      </c>
      <c r="AI298" s="56">
        <f t="shared" ca="1" si="106"/>
        <v>450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450.1</v>
      </c>
      <c r="AK298" s="182">
        <f t="shared" ca="1" si="115"/>
        <v>800</v>
      </c>
      <c r="AM298" s="11">
        <f t="shared" si="110"/>
        <v>70</v>
      </c>
      <c r="AN298" s="10">
        <v>70</v>
      </c>
      <c r="AO298" s="11">
        <f t="shared" si="111"/>
        <v>450</v>
      </c>
      <c r="AP298" s="10">
        <v>450</v>
      </c>
      <c r="AQ298" s="11">
        <f t="shared" si="112"/>
        <v>0</v>
      </c>
      <c r="AR298" s="10">
        <v>0</v>
      </c>
      <c r="AS298" s="56">
        <f t="shared" si="113"/>
        <v>1</v>
      </c>
      <c r="AU298" s="11">
        <f ca="1">IFERROR(OFFSET(ITEM_RES!$A$1,MATCH(AV298,ITEM_RES!$J:$J,0)-1,0),0)</f>
        <v>211020801</v>
      </c>
      <c r="AV298" s="10" t="s">
        <v>392</v>
      </c>
      <c r="AW298" s="11">
        <v>1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  <c r="BO298" s="11">
        <f ca="1">IFERROR(OFFSET(ITEM_RES!$A$1,MATCH(BP298,ITEM_RES!$J:$J,0)-1,0),0)</f>
        <v>0</v>
      </c>
      <c r="BQ298" s="11">
        <f t="shared" si="114"/>
        <v>0</v>
      </c>
    </row>
    <row r="299" spans="1:69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1143</v>
      </c>
      <c r="M299" s="9" t="s">
        <v>1151</v>
      </c>
      <c r="O299" s="9">
        <v>1</v>
      </c>
      <c r="P299" s="9">
        <v>15</v>
      </c>
      <c r="Q299" s="141" t="s">
        <v>1149</v>
      </c>
      <c r="U299" s="9" t="s">
        <v>1144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1147</v>
      </c>
      <c r="AD299" s="9">
        <v>15</v>
      </c>
      <c r="AF299" s="11">
        <f ca="1">IFERROR(OFFSET(MANOR_LEVEL!$B$1,MATCH(AG299-1,MANOR_LEVEL!$A:$A,0)-1,0),0)</f>
        <v>456800</v>
      </c>
      <c r="AG299" s="56">
        <v>11</v>
      </c>
      <c r="AI299" s="56">
        <f t="shared" ca="1" si="106"/>
        <v>550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550.1</v>
      </c>
      <c r="AK299" s="182">
        <f t="shared" ca="1" si="115"/>
        <v>1000</v>
      </c>
      <c r="AM299" s="11">
        <f t="shared" si="110"/>
        <v>75</v>
      </c>
      <c r="AN299" s="10">
        <v>75</v>
      </c>
      <c r="AO299" s="11">
        <f t="shared" si="111"/>
        <v>550</v>
      </c>
      <c r="AP299" s="10">
        <v>550</v>
      </c>
      <c r="AQ299" s="11">
        <f t="shared" si="112"/>
        <v>0</v>
      </c>
      <c r="AR299" s="10">
        <v>0</v>
      </c>
      <c r="AS299" s="56">
        <f t="shared" si="113"/>
        <v>1</v>
      </c>
      <c r="AU299" s="11">
        <f ca="1">IFERROR(OFFSET(ITEM_RES!$A$1,MATCH(AV299,ITEM_RES!$J:$J,0)-1,0),0)</f>
        <v>211020801</v>
      </c>
      <c r="AV299" s="10" t="s">
        <v>392</v>
      </c>
      <c r="AW299" s="11">
        <v>1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  <c r="BQ299" s="11">
        <f t="shared" si="114"/>
        <v>0</v>
      </c>
    </row>
    <row r="300" spans="1:69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1143</v>
      </c>
      <c r="M300" s="9" t="s">
        <v>1151</v>
      </c>
      <c r="O300" s="9">
        <v>0</v>
      </c>
      <c r="P300" s="9">
        <v>15</v>
      </c>
      <c r="Q300" s="141" t="s">
        <v>1149</v>
      </c>
      <c r="U300" s="9" t="s">
        <v>1144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1147</v>
      </c>
      <c r="AD300" s="9">
        <v>16</v>
      </c>
      <c r="AF300" s="11">
        <f ca="1">IFERROR(OFFSET(MANOR_LEVEL!$B$1,MATCH(AG300-1,MANOR_LEVEL!$A:$A,0)-1,0),0)</f>
        <v>796000</v>
      </c>
      <c r="AG300" s="56">
        <v>12</v>
      </c>
      <c r="AI300" s="56">
        <f t="shared" ca="1" si="106"/>
        <v>700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700.1</v>
      </c>
      <c r="AK300" s="182">
        <f t="shared" ca="1" si="115"/>
        <v>1250</v>
      </c>
      <c r="AM300" s="11">
        <f t="shared" si="110"/>
        <v>80</v>
      </c>
      <c r="AN300" s="10">
        <v>80</v>
      </c>
      <c r="AO300" s="11">
        <f t="shared" si="111"/>
        <v>700</v>
      </c>
      <c r="AP300" s="10">
        <v>700</v>
      </c>
      <c r="AQ300" s="11">
        <f t="shared" si="112"/>
        <v>0</v>
      </c>
      <c r="AR300" s="10">
        <v>0</v>
      </c>
      <c r="AS300" s="56">
        <f t="shared" si="113"/>
        <v>1</v>
      </c>
      <c r="AU300" s="11">
        <f ca="1">IFERROR(OFFSET(ITEM_RES!$A$1,MATCH(AV300,ITEM_RES!$J:$J,0)-1,0),0)</f>
        <v>211020801</v>
      </c>
      <c r="AV300" s="10" t="s">
        <v>392</v>
      </c>
      <c r="AW300" s="11">
        <v>1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  <c r="BQ300" s="11">
        <f t="shared" si="114"/>
        <v>0</v>
      </c>
    </row>
    <row r="301" spans="1:69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1143</v>
      </c>
      <c r="M301" s="9" t="s">
        <v>1151</v>
      </c>
      <c r="O301" s="9">
        <v>0</v>
      </c>
      <c r="P301" s="9">
        <v>15</v>
      </c>
      <c r="Q301" s="141" t="s">
        <v>1149</v>
      </c>
      <c r="U301" s="9" t="s">
        <v>1144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1147</v>
      </c>
      <c r="AD301" s="9">
        <v>17</v>
      </c>
      <c r="AF301" s="11">
        <f ca="1">IFERROR(OFFSET(MANOR_LEVEL!$B$1,MATCH(AG301-1,MANOR_LEVEL!$A:$A,0)-1,0),0)</f>
        <v>2622400</v>
      </c>
      <c r="AG301" s="56">
        <v>15</v>
      </c>
      <c r="AI301" s="56">
        <f t="shared" ca="1" si="106"/>
        <v>850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850.2</v>
      </c>
      <c r="AK301" s="182">
        <f t="shared" ca="1" si="115"/>
        <v>1550</v>
      </c>
      <c r="AM301" s="11">
        <f t="shared" si="110"/>
        <v>85</v>
      </c>
      <c r="AN301" s="10">
        <v>85</v>
      </c>
      <c r="AO301" s="11">
        <f t="shared" si="111"/>
        <v>850</v>
      </c>
      <c r="AP301" s="10">
        <v>850</v>
      </c>
      <c r="AQ301" s="11">
        <f t="shared" si="112"/>
        <v>0</v>
      </c>
      <c r="AR301" s="10">
        <v>0</v>
      </c>
      <c r="AS301" s="56">
        <f t="shared" si="113"/>
        <v>1</v>
      </c>
      <c r="AU301" s="11">
        <f ca="1">IFERROR(OFFSET(ITEM_RES!$A$1,MATCH(AV301,ITEM_RES!$J:$J,0)-1,0),0)</f>
        <v>211020901</v>
      </c>
      <c r="AV301" s="10" t="s">
        <v>393</v>
      </c>
      <c r="AW301" s="11">
        <v>1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  <c r="BQ301" s="11">
        <f t="shared" si="114"/>
        <v>0</v>
      </c>
    </row>
    <row r="302" spans="1:69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1143</v>
      </c>
      <c r="M302" s="9" t="s">
        <v>1151</v>
      </c>
      <c r="O302" s="9">
        <v>0</v>
      </c>
      <c r="P302" s="9">
        <v>15</v>
      </c>
      <c r="Q302" s="141" t="s">
        <v>1149</v>
      </c>
      <c r="U302" s="9" t="s">
        <v>1144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1147</v>
      </c>
      <c r="AD302" s="9">
        <v>18</v>
      </c>
      <c r="AF302" s="11">
        <f ca="1">IFERROR(OFFSET(MANOR_LEVEL!$B$1,MATCH(AG302-1,MANOR_LEVEL!$A:$A,0)-1,0),0)</f>
        <v>7450000</v>
      </c>
      <c r="AG302" s="56">
        <v>17</v>
      </c>
      <c r="AI302" s="56">
        <f t="shared" ref="AI302:AI304" ca="1" si="116">ROUND(AJ302,0)</f>
        <v>1050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1050.2</v>
      </c>
      <c r="AK302" s="182">
        <f t="shared" ca="1" si="115"/>
        <v>1900</v>
      </c>
      <c r="AM302" s="11">
        <f t="shared" si="110"/>
        <v>90</v>
      </c>
      <c r="AN302" s="10">
        <v>90</v>
      </c>
      <c r="AO302" s="11">
        <f t="shared" si="111"/>
        <v>1050</v>
      </c>
      <c r="AP302" s="10">
        <v>1050</v>
      </c>
      <c r="AQ302" s="11">
        <f t="shared" si="112"/>
        <v>0</v>
      </c>
      <c r="AR302" s="10">
        <v>0</v>
      </c>
      <c r="AS302" s="56">
        <f t="shared" si="113"/>
        <v>1</v>
      </c>
      <c r="AU302" s="11">
        <f ca="1">IFERROR(OFFSET(ITEM_RES!$A$1,MATCH(AV302,ITEM_RES!$J:$J,0)-1,0),0)</f>
        <v>211020901</v>
      </c>
      <c r="AV302" s="10" t="s">
        <v>393</v>
      </c>
      <c r="AW302" s="11">
        <v>1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  <c r="BQ302" s="11">
        <f t="shared" si="114"/>
        <v>0</v>
      </c>
    </row>
    <row r="303" spans="1:69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1143</v>
      </c>
      <c r="M303" s="9" t="s">
        <v>1151</v>
      </c>
      <c r="O303" s="9">
        <v>0</v>
      </c>
      <c r="P303" s="9">
        <v>15</v>
      </c>
      <c r="Q303" s="141" t="s">
        <v>1149</v>
      </c>
      <c r="U303" s="9" t="s">
        <v>1144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1147</v>
      </c>
      <c r="AD303" s="9">
        <v>19</v>
      </c>
      <c r="AF303" s="11">
        <f ca="1">IFERROR(OFFSET(MANOR_LEVEL!$B$1,MATCH(AG303-1,MANOR_LEVEL!$A:$A,0)-1,0),0)</f>
        <v>12172400</v>
      </c>
      <c r="AG303" s="56">
        <v>18</v>
      </c>
      <c r="AI303" s="56">
        <f t="shared" ca="1" si="116"/>
        <v>1250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1250.2</v>
      </c>
      <c r="AK303" s="182">
        <f t="shared" ca="1" si="115"/>
        <v>2300</v>
      </c>
      <c r="AM303" s="11">
        <f t="shared" si="110"/>
        <v>95</v>
      </c>
      <c r="AN303" s="10">
        <v>95</v>
      </c>
      <c r="AO303" s="11">
        <f t="shared" si="111"/>
        <v>1250</v>
      </c>
      <c r="AP303" s="10">
        <v>1250</v>
      </c>
      <c r="AQ303" s="11">
        <f t="shared" si="112"/>
        <v>0</v>
      </c>
      <c r="AR303" s="10">
        <v>0</v>
      </c>
      <c r="AS303" s="56">
        <f t="shared" si="113"/>
        <v>1</v>
      </c>
      <c r="AU303" s="11">
        <f ca="1">IFERROR(OFFSET(ITEM_RES!$A$1,MATCH(AV303,ITEM_RES!$J:$J,0)-1,0),0)</f>
        <v>211020901</v>
      </c>
      <c r="AV303" s="10" t="s">
        <v>393</v>
      </c>
      <c r="AW303" s="11">
        <v>1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  <c r="BQ303" s="11">
        <f t="shared" si="114"/>
        <v>0</v>
      </c>
    </row>
    <row r="304" spans="1:69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1143</v>
      </c>
      <c r="M304" s="9" t="s">
        <v>1151</v>
      </c>
      <c r="O304" s="9">
        <v>0</v>
      </c>
      <c r="P304" s="9">
        <v>15</v>
      </c>
      <c r="Q304" s="141" t="s">
        <v>1149</v>
      </c>
      <c r="U304" s="9" t="s">
        <v>1144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1147</v>
      </c>
      <c r="AD304" s="9">
        <v>20</v>
      </c>
      <c r="AF304" s="11">
        <f ca="1">IFERROR(OFFSET(MANOR_LEVEL!$B$1,MATCH(AG304-1,MANOR_LEVEL!$A:$A,0)-1,0),0)</f>
        <v>26578400</v>
      </c>
      <c r="AG304" s="56">
        <v>20</v>
      </c>
      <c r="AI304" s="56">
        <f t="shared" ca="1" si="116"/>
        <v>1500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1500.2</v>
      </c>
      <c r="AK304" s="182">
        <f t="shared" ca="1" si="115"/>
        <v>2750</v>
      </c>
      <c r="AM304" s="11">
        <f t="shared" si="110"/>
        <v>100</v>
      </c>
      <c r="AN304" s="10">
        <v>100</v>
      </c>
      <c r="AO304" s="11">
        <f t="shared" si="111"/>
        <v>1500</v>
      </c>
      <c r="AP304" s="10">
        <v>1500</v>
      </c>
      <c r="AQ304" s="11">
        <f t="shared" si="112"/>
        <v>0</v>
      </c>
      <c r="AR304" s="10">
        <v>0</v>
      </c>
      <c r="AS304" s="56">
        <f t="shared" si="113"/>
        <v>1</v>
      </c>
      <c r="AU304" s="11">
        <f ca="1">IFERROR(OFFSET(ITEM_RES!$A$1,MATCH(AV304,ITEM_RES!$J:$J,0)-1,0),0)</f>
        <v>211020901</v>
      </c>
      <c r="AV304" s="10" t="s">
        <v>393</v>
      </c>
      <c r="AW304" s="11">
        <v>1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  <c r="BQ304" s="11">
        <f t="shared" si="114"/>
        <v>0</v>
      </c>
    </row>
    <row r="305" spans="1:70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700</v>
      </c>
      <c r="L305" s="16">
        <v>13</v>
      </c>
      <c r="M305" s="16" t="s">
        <v>929</v>
      </c>
      <c r="N305" s="16" t="s">
        <v>947</v>
      </c>
      <c r="O305" s="16">
        <v>1</v>
      </c>
      <c r="P305" s="16">
        <v>15</v>
      </c>
      <c r="Q305" s="140"/>
      <c r="R305" s="17"/>
      <c r="S305" s="17"/>
      <c r="T305" s="18"/>
      <c r="U305" s="16" t="s">
        <v>699</v>
      </c>
      <c r="V305" s="78"/>
      <c r="W305" s="86"/>
      <c r="X305" s="16">
        <f ca="1">IFERROR(OFFSET(ITEM_RES!$A$5,MATCH(BUILDING!W305,ITEM_RES!$J$5:$J$226,0)-1,0),0)</f>
        <v>0</v>
      </c>
      <c r="Y305" s="18"/>
      <c r="Z305" s="86"/>
      <c r="AA305" s="16">
        <f ca="1">IFERROR(OFFSET(ITEM_RES!$A$5,MATCH(BUILDING!Z305,ITEM_RES!$J$5:$J$226,0)-1,0),0)</f>
        <v>0</v>
      </c>
      <c r="AB305" s="78"/>
      <c r="AC305" s="16" t="s">
        <v>521</v>
      </c>
      <c r="AD305" s="16">
        <v>1</v>
      </c>
      <c r="AE305" s="78"/>
      <c r="AF305" s="18">
        <f ca="1">IFERROR(OFFSET(MANOR_LEVEL!$B$1,MATCH(AG305-1,MANOR_LEVEL!$A:$A,0)-1,0),0)</f>
        <v>1156400</v>
      </c>
      <c r="AG305" s="57">
        <v>13</v>
      </c>
      <c r="AH305" s="78"/>
      <c r="AI305" s="57">
        <f t="shared" ca="1" si="106"/>
        <v>105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105.1</v>
      </c>
      <c r="AK305" s="184">
        <f ca="1">AI305</f>
        <v>105</v>
      </c>
      <c r="AL305" s="78"/>
      <c r="AM305" s="18">
        <f t="shared" si="97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0</v>
      </c>
      <c r="AR305" s="17">
        <v>0</v>
      </c>
      <c r="AS305" s="57">
        <f t="shared" si="98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1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452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700</v>
      </c>
      <c r="M306" s="9" t="s">
        <v>929</v>
      </c>
      <c r="N306" s="9" t="s">
        <v>947</v>
      </c>
      <c r="O306" s="9">
        <v>1</v>
      </c>
      <c r="P306" s="9">
        <v>15</v>
      </c>
      <c r="Q306" s="141"/>
      <c r="U306" s="9" t="s">
        <v>699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521</v>
      </c>
      <c r="AD306" s="9">
        <v>2</v>
      </c>
      <c r="AF306" s="11">
        <f ca="1">IFERROR(OFFSET(MANOR_LEVEL!$B$1,MATCH(AG306-1,MANOR_LEVEL!$A:$A,0)-1,0),0)</f>
        <v>2622400</v>
      </c>
      <c r="AG306" s="56">
        <v>15</v>
      </c>
      <c r="AI306" s="56">
        <f t="shared" ca="1" si="106"/>
        <v>10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10.1</v>
      </c>
      <c r="AK306" s="182">
        <f ca="1">AI305+AI306</f>
        <v>115</v>
      </c>
      <c r="AM306" s="11">
        <f t="shared" si="97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0</v>
      </c>
      <c r="AR306" s="10">
        <v>0</v>
      </c>
      <c r="AS306" s="56">
        <f t="shared" si="98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1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700</v>
      </c>
      <c r="M307" s="9" t="s">
        <v>929</v>
      </c>
      <c r="N307" s="9" t="s">
        <v>947</v>
      </c>
      <c r="O307" s="9">
        <v>1</v>
      </c>
      <c r="P307" s="9">
        <v>15</v>
      </c>
      <c r="Q307" s="141"/>
      <c r="U307" s="9" t="s">
        <v>699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521</v>
      </c>
      <c r="AD307" s="9">
        <v>3</v>
      </c>
      <c r="AF307" s="11">
        <f ca="1">IFERROR(OFFSET(MANOR_LEVEL!$B$1,MATCH(AG307-1,MANOR_LEVEL!$A:$A,0)-1,0),0)</f>
        <v>4232000</v>
      </c>
      <c r="AG307" s="56">
        <v>16</v>
      </c>
      <c r="AI307" s="56">
        <f t="shared" ca="1" si="106"/>
        <v>15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15.1</v>
      </c>
      <c r="AK307" s="182">
        <f t="shared" ref="AK307:AK324" ca="1" si="117">AI306+AI307</f>
        <v>25</v>
      </c>
      <c r="AM307" s="11">
        <f t="shared" si="97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0</v>
      </c>
      <c r="AR307" s="10">
        <v>0</v>
      </c>
      <c r="AS307" s="56">
        <f t="shared" si="98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1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700</v>
      </c>
      <c r="M308" s="9" t="s">
        <v>929</v>
      </c>
      <c r="N308" s="9" t="s">
        <v>947</v>
      </c>
      <c r="O308" s="9">
        <v>1</v>
      </c>
      <c r="P308" s="9">
        <v>15</v>
      </c>
      <c r="Q308" s="141"/>
      <c r="U308" s="9" t="s">
        <v>699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521</v>
      </c>
      <c r="AD308" s="9">
        <v>4</v>
      </c>
      <c r="AF308" s="11">
        <f ca="1">IFERROR(OFFSET(MANOR_LEVEL!$B$1,MATCH(AG308-1,MANOR_LEVEL!$A:$A,0)-1,0),0)</f>
        <v>4232000</v>
      </c>
      <c r="AG308" s="56">
        <v>16</v>
      </c>
      <c r="AI308" s="56">
        <f t="shared" ca="1" si="106"/>
        <v>25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25.1</v>
      </c>
      <c r="AK308" s="182">
        <f t="shared" ca="1" si="117"/>
        <v>40</v>
      </c>
      <c r="AM308" s="11">
        <f t="shared" si="97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0</v>
      </c>
      <c r="AR308" s="10">
        <v>0</v>
      </c>
      <c r="AS308" s="56">
        <f t="shared" si="98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700</v>
      </c>
      <c r="M309" s="9" t="s">
        <v>929</v>
      </c>
      <c r="N309" s="9" t="s">
        <v>947</v>
      </c>
      <c r="O309" s="9">
        <v>1</v>
      </c>
      <c r="P309" s="9">
        <v>15</v>
      </c>
      <c r="Q309" s="141"/>
      <c r="U309" s="9" t="s">
        <v>699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521</v>
      </c>
      <c r="AD309" s="9">
        <v>5</v>
      </c>
      <c r="AF309" s="11">
        <f ca="1">IFERROR(OFFSET(MANOR_LEVEL!$B$1,MATCH(AG309-1,MANOR_LEVEL!$A:$A,0)-1,0),0)</f>
        <v>4232000</v>
      </c>
      <c r="AG309" s="56">
        <v>16</v>
      </c>
      <c r="AI309" s="56">
        <f t="shared" ca="1" si="106"/>
        <v>40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40.1</v>
      </c>
      <c r="AK309" s="182">
        <f t="shared" ca="1" si="117"/>
        <v>65</v>
      </c>
      <c r="AM309" s="11">
        <f t="shared" si="97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0</v>
      </c>
      <c r="AR309" s="10">
        <v>0</v>
      </c>
      <c r="AS309" s="56">
        <f t="shared" si="98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1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700</v>
      </c>
      <c r="M310" s="9" t="s">
        <v>929</v>
      </c>
      <c r="N310" s="9" t="s">
        <v>947</v>
      </c>
      <c r="O310" s="9">
        <v>1</v>
      </c>
      <c r="P310" s="9">
        <v>15</v>
      </c>
      <c r="Q310" s="141"/>
      <c r="U310" s="9" t="s">
        <v>699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521</v>
      </c>
      <c r="AD310" s="9">
        <v>6</v>
      </c>
      <c r="AF310" s="11">
        <f ca="1">IFERROR(OFFSET(MANOR_LEVEL!$B$1,MATCH(AG310-1,MANOR_LEVEL!$A:$A,0)-1,0),0)</f>
        <v>4232000</v>
      </c>
      <c r="AG310" s="56">
        <v>16</v>
      </c>
      <c r="AI310" s="56">
        <f t="shared" ca="1" si="106"/>
        <v>50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50.1</v>
      </c>
      <c r="AK310" s="182">
        <f t="shared" ca="1" si="117"/>
        <v>90</v>
      </c>
      <c r="AM310" s="11">
        <f t="shared" si="97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0</v>
      </c>
      <c r="AR310" s="10">
        <v>0</v>
      </c>
      <c r="AS310" s="56">
        <f t="shared" si="98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1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700</v>
      </c>
      <c r="M311" s="9" t="s">
        <v>929</v>
      </c>
      <c r="N311" s="9" t="s">
        <v>947</v>
      </c>
      <c r="O311" s="9">
        <v>1</v>
      </c>
      <c r="P311" s="9">
        <v>15</v>
      </c>
      <c r="Q311" s="141"/>
      <c r="U311" s="9" t="s">
        <v>699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521</v>
      </c>
      <c r="AD311" s="9">
        <v>7</v>
      </c>
      <c r="AF311" s="11">
        <f ca="1">IFERROR(OFFSET(MANOR_LEVEL!$B$1,MATCH(AG311-1,MANOR_LEVEL!$A:$A,0)-1,0),0)</f>
        <v>4232000</v>
      </c>
      <c r="AG311" s="56">
        <v>16</v>
      </c>
      <c r="AI311" s="56">
        <f t="shared" ca="1" si="106"/>
        <v>100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100.1</v>
      </c>
      <c r="AK311" s="182">
        <f t="shared" ca="1" si="117"/>
        <v>150</v>
      </c>
      <c r="AM311" s="11">
        <f t="shared" si="97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0</v>
      </c>
      <c r="AR311" s="10">
        <v>0</v>
      </c>
      <c r="AS311" s="56">
        <f t="shared" si="98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1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700</v>
      </c>
      <c r="M312" s="9" t="s">
        <v>929</v>
      </c>
      <c r="N312" s="9" t="s">
        <v>947</v>
      </c>
      <c r="O312" s="9">
        <v>1</v>
      </c>
      <c r="P312" s="9">
        <v>15</v>
      </c>
      <c r="Q312" s="141"/>
      <c r="U312" s="9" t="s">
        <v>699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521</v>
      </c>
      <c r="AD312" s="9">
        <v>8</v>
      </c>
      <c r="AF312" s="11">
        <f ca="1">IFERROR(OFFSET(MANOR_LEVEL!$B$1,MATCH(AG312-1,MANOR_LEVEL!$A:$A,0)-1,0),0)</f>
        <v>4232000</v>
      </c>
      <c r="AG312" s="56">
        <v>16</v>
      </c>
      <c r="AI312" s="56">
        <f t="shared" ca="1" si="106"/>
        <v>100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100.1</v>
      </c>
      <c r="AK312" s="182">
        <f t="shared" ca="1" si="117"/>
        <v>200</v>
      </c>
      <c r="AM312" s="11">
        <f t="shared" si="97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0</v>
      </c>
      <c r="AR312" s="10">
        <v>0</v>
      </c>
      <c r="AS312" s="56">
        <f t="shared" si="98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1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700</v>
      </c>
      <c r="M313" s="9" t="s">
        <v>929</v>
      </c>
      <c r="N313" s="9" t="s">
        <v>947</v>
      </c>
      <c r="O313" s="9">
        <v>1</v>
      </c>
      <c r="P313" s="9">
        <v>15</v>
      </c>
      <c r="Q313" s="141"/>
      <c r="U313" s="9" t="s">
        <v>699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521</v>
      </c>
      <c r="AD313" s="9">
        <v>9</v>
      </c>
      <c r="AF313" s="11">
        <f ca="1">IFERROR(OFFSET(MANOR_LEVEL!$B$1,MATCH(AG313-1,MANOR_LEVEL!$A:$A,0)-1,0),0)</f>
        <v>4232000</v>
      </c>
      <c r="AG313" s="56">
        <v>16</v>
      </c>
      <c r="AI313" s="56">
        <f t="shared" ca="1" si="106"/>
        <v>150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150.1</v>
      </c>
      <c r="AK313" s="182">
        <f t="shared" ca="1" si="117"/>
        <v>250</v>
      </c>
      <c r="AM313" s="11">
        <f t="shared" si="97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0</v>
      </c>
      <c r="AR313" s="10">
        <v>0</v>
      </c>
      <c r="AS313" s="56">
        <f t="shared" si="98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1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700</v>
      </c>
      <c r="M314" s="9" t="s">
        <v>929</v>
      </c>
      <c r="N314" s="9" t="s">
        <v>947</v>
      </c>
      <c r="O314" s="9">
        <v>1</v>
      </c>
      <c r="P314" s="9">
        <v>15</v>
      </c>
      <c r="Q314" s="141"/>
      <c r="U314" s="9" t="s">
        <v>699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521</v>
      </c>
      <c r="AD314" s="9">
        <v>10</v>
      </c>
      <c r="AF314" s="11">
        <f ca="1">IFERROR(OFFSET(MANOR_LEVEL!$B$1,MATCH(AG314-1,MANOR_LEVEL!$A:$A,0)-1,0),0)</f>
        <v>4232000</v>
      </c>
      <c r="AG314" s="56">
        <v>16</v>
      </c>
      <c r="AI314" s="56">
        <f t="shared" ca="1" si="106"/>
        <v>200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200.1</v>
      </c>
      <c r="AK314" s="182">
        <f t="shared" ca="1" si="117"/>
        <v>350</v>
      </c>
      <c r="AM314" s="11">
        <f t="shared" si="97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0</v>
      </c>
      <c r="AR314" s="10">
        <v>0</v>
      </c>
      <c r="AS314" s="56">
        <f t="shared" si="98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700</v>
      </c>
      <c r="M315" s="9" t="s">
        <v>929</v>
      </c>
      <c r="N315" s="9" t="s">
        <v>947</v>
      </c>
      <c r="O315" s="9">
        <v>1</v>
      </c>
      <c r="P315" s="9">
        <v>15</v>
      </c>
      <c r="Q315" s="141"/>
      <c r="U315" s="9" t="s">
        <v>699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521</v>
      </c>
      <c r="AD315" s="9">
        <v>11</v>
      </c>
      <c r="AF315" s="11">
        <f ca="1">IFERROR(OFFSET(MANOR_LEVEL!$B$1,MATCH(AG315-1,MANOR_LEVEL!$A:$A,0)-1,0),0)</f>
        <v>4232000</v>
      </c>
      <c r="AG315" s="56">
        <v>16</v>
      </c>
      <c r="AI315" s="56">
        <f t="shared" ca="1" si="106"/>
        <v>250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250.1</v>
      </c>
      <c r="AK315" s="182">
        <f t="shared" ca="1" si="117"/>
        <v>450</v>
      </c>
      <c r="AM315" s="11">
        <f t="shared" si="97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0</v>
      </c>
      <c r="AR315" s="10">
        <v>0</v>
      </c>
      <c r="AS315" s="56">
        <f t="shared" si="98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700</v>
      </c>
      <c r="M316" s="9" t="s">
        <v>929</v>
      </c>
      <c r="N316" s="9" t="s">
        <v>947</v>
      </c>
      <c r="O316" s="9">
        <v>1</v>
      </c>
      <c r="P316" s="9">
        <v>15</v>
      </c>
      <c r="Q316" s="141"/>
      <c r="U316" s="9" t="s">
        <v>699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521</v>
      </c>
      <c r="AD316" s="9">
        <v>12</v>
      </c>
      <c r="AF316" s="11">
        <f ca="1">IFERROR(OFFSET(MANOR_LEVEL!$B$1,MATCH(AG316-1,MANOR_LEVEL!$A:$A,0)-1,0),0)</f>
        <v>4232000</v>
      </c>
      <c r="AG316" s="56">
        <v>16</v>
      </c>
      <c r="AI316" s="56">
        <f t="shared" ca="1" si="106"/>
        <v>300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300.10000000000002</v>
      </c>
      <c r="AK316" s="182">
        <f t="shared" ca="1" si="117"/>
        <v>550</v>
      </c>
      <c r="AM316" s="11">
        <f t="shared" si="97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0</v>
      </c>
      <c r="AR316" s="10">
        <v>0</v>
      </c>
      <c r="AS316" s="56">
        <f t="shared" si="98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700</v>
      </c>
      <c r="M317" s="9" t="s">
        <v>929</v>
      </c>
      <c r="N317" s="9" t="s">
        <v>947</v>
      </c>
      <c r="O317" s="9">
        <v>1</v>
      </c>
      <c r="P317" s="9">
        <v>15</v>
      </c>
      <c r="Q317" s="141"/>
      <c r="U317" s="9" t="s">
        <v>699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521</v>
      </c>
      <c r="AD317" s="9">
        <v>13</v>
      </c>
      <c r="AF317" s="11">
        <f ca="1">IFERROR(OFFSET(MANOR_LEVEL!$B$1,MATCH(AG317-1,MANOR_LEVEL!$A:$A,0)-1,0),0)</f>
        <v>4232000</v>
      </c>
      <c r="AG317" s="56">
        <v>16</v>
      </c>
      <c r="AI317" s="56">
        <f t="shared" ca="1" si="106"/>
        <v>350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350.1</v>
      </c>
      <c r="AK317" s="182">
        <f t="shared" ca="1" si="117"/>
        <v>650</v>
      </c>
      <c r="AM317" s="11">
        <f t="shared" si="97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0</v>
      </c>
      <c r="AR317" s="10">
        <v>0</v>
      </c>
      <c r="AS317" s="56">
        <f t="shared" si="98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700</v>
      </c>
      <c r="M318" s="9" t="s">
        <v>929</v>
      </c>
      <c r="N318" s="9" t="s">
        <v>947</v>
      </c>
      <c r="O318" s="9">
        <v>1</v>
      </c>
      <c r="P318" s="9">
        <v>15</v>
      </c>
      <c r="Q318" s="141"/>
      <c r="U318" s="9" t="s">
        <v>699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521</v>
      </c>
      <c r="AD318" s="9">
        <v>14</v>
      </c>
      <c r="AF318" s="11">
        <f ca="1">IFERROR(OFFSET(MANOR_LEVEL!$B$1,MATCH(AG318-1,MANOR_LEVEL!$A:$A,0)-1,0),0)</f>
        <v>4232000</v>
      </c>
      <c r="AG318" s="56">
        <v>16</v>
      </c>
      <c r="AI318" s="56">
        <f t="shared" ca="1" si="106"/>
        <v>550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550.1</v>
      </c>
      <c r="AK318" s="182">
        <f t="shared" ca="1" si="117"/>
        <v>900</v>
      </c>
      <c r="AM318" s="11">
        <f t="shared" si="97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0</v>
      </c>
      <c r="AR318" s="10">
        <v>0</v>
      </c>
      <c r="AS318" s="56">
        <f t="shared" si="98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1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464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700</v>
      </c>
      <c r="M319" s="9" t="s">
        <v>929</v>
      </c>
      <c r="N319" s="9" t="s">
        <v>947</v>
      </c>
      <c r="O319" s="9">
        <v>1</v>
      </c>
      <c r="P319" s="9">
        <v>15</v>
      </c>
      <c r="Q319" s="141"/>
      <c r="U319" s="9" t="s">
        <v>699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521</v>
      </c>
      <c r="AD319" s="9">
        <v>15</v>
      </c>
      <c r="AF319" s="11">
        <f ca="1">IFERROR(OFFSET(MANOR_LEVEL!$B$1,MATCH(AG319-1,MANOR_LEVEL!$A:$A,0)-1,0),0)</f>
        <v>4232000</v>
      </c>
      <c r="AG319" s="56">
        <v>16</v>
      </c>
      <c r="AI319" s="56">
        <f t="shared" ca="1" si="106"/>
        <v>550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550.1</v>
      </c>
      <c r="AK319" s="182">
        <f t="shared" ca="1" si="117"/>
        <v>1100</v>
      </c>
      <c r="AM319" s="11">
        <f t="shared" si="97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0</v>
      </c>
      <c r="AR319" s="10">
        <v>0</v>
      </c>
      <c r="AS319" s="56">
        <f t="shared" si="98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1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700</v>
      </c>
      <c r="M320" s="9" t="s">
        <v>929</v>
      </c>
      <c r="N320" s="9" t="s">
        <v>947</v>
      </c>
      <c r="O320" s="9">
        <v>0</v>
      </c>
      <c r="P320" s="9">
        <v>15</v>
      </c>
      <c r="Q320" s="141"/>
      <c r="U320" s="9" t="s">
        <v>699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521</v>
      </c>
      <c r="AD320" s="9">
        <v>16</v>
      </c>
      <c r="AF320" s="11">
        <f ca="1">IFERROR(OFFSET(MANOR_LEVEL!$B$1,MATCH(AG320-1,MANOR_LEVEL!$A:$A,0)-1,0),0)</f>
        <v>4232000</v>
      </c>
      <c r="AG320" s="56">
        <v>16</v>
      </c>
      <c r="AI320" s="56">
        <f t="shared" ca="1" si="106"/>
        <v>700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700.1</v>
      </c>
      <c r="AK320" s="182">
        <f t="shared" ca="1" si="117"/>
        <v>1250</v>
      </c>
      <c r="AM320" s="11">
        <f t="shared" si="97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0</v>
      </c>
      <c r="AR320" s="10">
        <v>0</v>
      </c>
      <c r="AS320" s="56">
        <f t="shared" si="98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1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700</v>
      </c>
      <c r="M321" s="9" t="s">
        <v>929</v>
      </c>
      <c r="N321" s="9" t="s">
        <v>947</v>
      </c>
      <c r="O321" s="9">
        <v>0</v>
      </c>
      <c r="P321" s="9">
        <v>15</v>
      </c>
      <c r="Q321" s="141"/>
      <c r="U321" s="9" t="s">
        <v>699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521</v>
      </c>
      <c r="AD321" s="9">
        <v>17</v>
      </c>
      <c r="AF321" s="11">
        <f ca="1">IFERROR(OFFSET(MANOR_LEVEL!$B$1,MATCH(AG321-1,MANOR_LEVEL!$A:$A,0)-1,0),0)</f>
        <v>4232000</v>
      </c>
      <c r="AG321" s="56">
        <v>16</v>
      </c>
      <c r="AI321" s="56">
        <f t="shared" ca="1" si="106"/>
        <v>850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850.1</v>
      </c>
      <c r="AK321" s="182">
        <f t="shared" ca="1" si="117"/>
        <v>1550</v>
      </c>
      <c r="AM321" s="11">
        <f t="shared" ref="AM321:AM384" si="118">ROUND(AN321,0)</f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0</v>
      </c>
      <c r="AR321" s="10">
        <v>0</v>
      </c>
      <c r="AS321" s="56">
        <f t="shared" si="98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1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700</v>
      </c>
      <c r="M322" s="9" t="s">
        <v>929</v>
      </c>
      <c r="N322" s="9" t="s">
        <v>947</v>
      </c>
      <c r="O322" s="9">
        <v>0</v>
      </c>
      <c r="P322" s="9">
        <v>15</v>
      </c>
      <c r="Q322" s="141"/>
      <c r="U322" s="9" t="s">
        <v>699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521</v>
      </c>
      <c r="AD322" s="9">
        <v>18</v>
      </c>
      <c r="AF322" s="11">
        <f ca="1">IFERROR(OFFSET(MANOR_LEVEL!$B$1,MATCH(AG322-1,MANOR_LEVEL!$A:$A,0)-1,0),0)</f>
        <v>4232000</v>
      </c>
      <c r="AG322" s="56">
        <v>16</v>
      </c>
      <c r="AI322" s="56">
        <f t="shared" ca="1" si="106"/>
        <v>1050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1050.2</v>
      </c>
      <c r="AK322" s="182">
        <f t="shared" ca="1" si="117"/>
        <v>1900</v>
      </c>
      <c r="AM322" s="11">
        <f t="shared" si="118"/>
        <v>90</v>
      </c>
      <c r="AN322" s="10">
        <v>90</v>
      </c>
      <c r="AO322" s="11">
        <f t="shared" si="104"/>
        <v>1050</v>
      </c>
      <c r="AP322" s="10">
        <v>1050</v>
      </c>
      <c r="AQ322" s="11">
        <f t="shared" si="104"/>
        <v>0</v>
      </c>
      <c r="AR322" s="10">
        <v>0</v>
      </c>
      <c r="AS322" s="56">
        <f t="shared" ref="AS322:AS385" si="119">(AW322&gt;0)*1+(BB322&gt;0)*1+(BG322&gt;0)*1+(BL322&gt;0)*1+(BQ322&gt;0)*1</f>
        <v>1</v>
      </c>
      <c r="AU322" s="11">
        <f ca="1">IFERROR(OFFSET(ITEM_RES!$A$1,MATCH(AV322,ITEM_RES!$J:$J,0)-1,0),0)</f>
        <v>211020901</v>
      </c>
      <c r="AV322" s="10" t="s">
        <v>444</v>
      </c>
      <c r="AW322" s="11">
        <v>1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700</v>
      </c>
      <c r="M323" s="9" t="s">
        <v>929</v>
      </c>
      <c r="N323" s="9" t="s">
        <v>947</v>
      </c>
      <c r="O323" s="9">
        <v>0</v>
      </c>
      <c r="P323" s="9">
        <v>15</v>
      </c>
      <c r="Q323" s="141"/>
      <c r="U323" s="9" t="s">
        <v>699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521</v>
      </c>
      <c r="AD323" s="9">
        <v>19</v>
      </c>
      <c r="AF323" s="11">
        <f ca="1">IFERROR(OFFSET(MANOR_LEVEL!$B$1,MATCH(AG323-1,MANOR_LEVEL!$A:$A,0)-1,0),0)</f>
        <v>4232000</v>
      </c>
      <c r="AG323" s="56">
        <v>16</v>
      </c>
      <c r="AI323" s="56">
        <f t="shared" ca="1" si="106"/>
        <v>1250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1250.2</v>
      </c>
      <c r="AK323" s="182">
        <f t="shared" ca="1" si="117"/>
        <v>2300</v>
      </c>
      <c r="AM323" s="11">
        <f t="shared" si="118"/>
        <v>95</v>
      </c>
      <c r="AN323" s="10">
        <v>95</v>
      </c>
      <c r="AO323" s="11">
        <f t="shared" si="104"/>
        <v>1250</v>
      </c>
      <c r="AP323" s="10">
        <v>1250</v>
      </c>
      <c r="AQ323" s="11">
        <f t="shared" si="104"/>
        <v>0</v>
      </c>
      <c r="AR323" s="10">
        <v>0</v>
      </c>
      <c r="AS323" s="56">
        <f t="shared" si="119"/>
        <v>1</v>
      </c>
      <c r="AU323" s="11">
        <f ca="1">IFERROR(OFFSET(ITEM_RES!$A$1,MATCH(AV323,ITEM_RES!$J:$J,0)-1,0),0)</f>
        <v>211020901</v>
      </c>
      <c r="AV323" s="10" t="s">
        <v>444</v>
      </c>
      <c r="AW323" s="11">
        <v>1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700</v>
      </c>
      <c r="M324" s="9" t="s">
        <v>929</v>
      </c>
      <c r="N324" s="9" t="s">
        <v>947</v>
      </c>
      <c r="O324" s="9">
        <v>0</v>
      </c>
      <c r="P324" s="9">
        <v>15</v>
      </c>
      <c r="Q324" s="141"/>
      <c r="U324" s="9" t="s">
        <v>699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521</v>
      </c>
      <c r="AD324" s="9">
        <v>20</v>
      </c>
      <c r="AF324" s="11">
        <f ca="1">IFERROR(OFFSET(MANOR_LEVEL!$B$1,MATCH(AG324-1,MANOR_LEVEL!$A:$A,0)-1,0),0)</f>
        <v>4232000</v>
      </c>
      <c r="AG324" s="56">
        <v>16</v>
      </c>
      <c r="AI324" s="56">
        <f t="shared" ca="1" si="106"/>
        <v>1500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1500.2</v>
      </c>
      <c r="AK324" s="182">
        <f t="shared" ca="1" si="117"/>
        <v>2750</v>
      </c>
      <c r="AM324" s="11">
        <f t="shared" si="118"/>
        <v>100</v>
      </c>
      <c r="AN324" s="10">
        <v>100</v>
      </c>
      <c r="AO324" s="11">
        <f t="shared" si="104"/>
        <v>1500</v>
      </c>
      <c r="AP324" s="10">
        <v>1500</v>
      </c>
      <c r="AQ324" s="11">
        <f t="shared" si="104"/>
        <v>0</v>
      </c>
      <c r="AR324" s="10">
        <v>0</v>
      </c>
      <c r="AS324" s="56">
        <f t="shared" si="119"/>
        <v>1</v>
      </c>
      <c r="AU324" s="11">
        <f ca="1">IFERROR(OFFSET(ITEM_RES!$A$1,MATCH(AV324,ITEM_RES!$J:$J,0)-1,0),0)</f>
        <v>211020901</v>
      </c>
      <c r="AV324" s="10" t="s">
        <v>444</v>
      </c>
      <c r="AW324" s="11">
        <v>1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997</v>
      </c>
      <c r="L325" s="16">
        <v>6</v>
      </c>
      <c r="M325" s="16" t="s">
        <v>998</v>
      </c>
      <c r="N325" s="16" t="s">
        <v>999</v>
      </c>
      <c r="O325" s="16">
        <v>1</v>
      </c>
      <c r="P325" s="16">
        <v>15</v>
      </c>
      <c r="Q325" s="16" t="s">
        <v>1246</v>
      </c>
      <c r="R325" s="17"/>
      <c r="S325" s="17"/>
      <c r="T325" s="18"/>
      <c r="U325" s="16" t="s">
        <v>701</v>
      </c>
      <c r="V325" s="78"/>
      <c r="W325" s="86"/>
      <c r="X325" s="16">
        <f ca="1">IFERROR(OFFSET(ITEM_RES!$A$5,MATCH(BUILDING!W325,ITEM_RES!$J$5:$J$226,0)-1,0),0)</f>
        <v>0</v>
      </c>
      <c r="Y325" s="18"/>
      <c r="Z325" s="86"/>
      <c r="AA325" s="16">
        <f ca="1">IFERROR(OFFSET(ITEM_RES!$A$5,MATCH(BUILDING!Z325,ITEM_RES!$J$5:$J$226,0)-1,0),0)</f>
        <v>0</v>
      </c>
      <c r="AB325" s="78"/>
      <c r="AC325" s="16" t="s">
        <v>522</v>
      </c>
      <c r="AD325" s="16">
        <v>1</v>
      </c>
      <c r="AE325" s="78"/>
      <c r="AF325" s="18">
        <f ca="1">IFERROR(OFFSET(MANOR_LEVEL!$B$1,MATCH(AG325-1,MANOR_LEVEL!$A:$A,0)-1,0),0)</f>
        <v>32640</v>
      </c>
      <c r="AG325" s="57">
        <v>7</v>
      </c>
      <c r="AH325" s="78"/>
      <c r="AI325" s="57">
        <f t="shared" ca="1" si="106"/>
        <v>105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105.1</v>
      </c>
      <c r="AK325" s="184">
        <f ca="1">AI325</f>
        <v>105</v>
      </c>
      <c r="AL325" s="78"/>
      <c r="AM325" s="18">
        <f t="shared" si="118"/>
        <v>5</v>
      </c>
      <c r="AN325" s="17">
        <v>5</v>
      </c>
      <c r="AO325" s="18">
        <f t="shared" si="104"/>
        <v>5</v>
      </c>
      <c r="AP325" s="17">
        <v>5</v>
      </c>
      <c r="AQ325" s="18">
        <f t="shared" si="104"/>
        <v>0</v>
      </c>
      <c r="AR325" s="17">
        <v>0</v>
      </c>
      <c r="AS325" s="57">
        <f t="shared" si="119"/>
        <v>2</v>
      </c>
      <c r="AT325" s="18"/>
      <c r="AU325" s="18">
        <f ca="1">IFERROR(OFFSET(ITEM_RES!$A$1,MATCH(AV325,ITEM_RES!$J:$J,0)-1,0),0)</f>
        <v>211020801</v>
      </c>
      <c r="AV325" s="17" t="s">
        <v>435</v>
      </c>
      <c r="AW325" s="18">
        <v>1</v>
      </c>
      <c r="AX325" s="17"/>
      <c r="AY325" s="18"/>
      <c r="AZ325" s="18">
        <f ca="1">IFERROR(OFFSET(ITEM_RES!$A$1,MATCH(BA325,ITEM_RES!$J:$J,0)-1,0),0)</f>
        <v>0</v>
      </c>
      <c r="BA325" s="17"/>
      <c r="BB325" s="18"/>
      <c r="BC325" s="17"/>
      <c r="BD325" s="18"/>
      <c r="BE325" s="18">
        <f ca="1">IFERROR(OFFSET(ITEM_RES!$A$1,MATCH(BF325,ITEM_RES!$J:$J,0)-1,0),0)</f>
        <v>213010101</v>
      </c>
      <c r="BF325" s="17" t="s">
        <v>452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997</v>
      </c>
      <c r="M326" s="9" t="s">
        <v>998</v>
      </c>
      <c r="N326" s="9" t="s">
        <v>999</v>
      </c>
      <c r="O326" s="9">
        <v>1</v>
      </c>
      <c r="P326" s="9">
        <v>15</v>
      </c>
      <c r="Q326" s="9" t="s">
        <v>1247</v>
      </c>
      <c r="U326" s="9" t="s">
        <v>701</v>
      </c>
      <c r="X326" s="9">
        <f ca="1">IFERROR(OFFSET(ITEM_RES!$A$5,MATCH(BUILDING!W326,ITEM_RES!$J$5:$J$226,0)-1,0),0)</f>
        <v>0</v>
      </c>
      <c r="AA326" s="9">
        <f ca="1">IFERROR(OFFSET(ITEM_RES!$A$5,MATCH(BUILDING!Z326,ITEM_RES!$J$5:$J$226,0)-1,0),0)</f>
        <v>0</v>
      </c>
      <c r="AC326" s="9" t="s">
        <v>522</v>
      </c>
      <c r="AD326" s="9">
        <v>2</v>
      </c>
      <c r="AF326" s="11">
        <f ca="1">IFERROR(OFFSET(MANOR_LEVEL!$B$1,MATCH(AG326-1,MANOR_LEVEL!$A:$A,0)-1,0),0)</f>
        <v>94800</v>
      </c>
      <c r="AG326" s="56">
        <v>8</v>
      </c>
      <c r="AI326" s="56">
        <f t="shared" ca="1" si="106"/>
        <v>10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10.1</v>
      </c>
      <c r="AK326" s="182">
        <f ca="1">AI325+AI326</f>
        <v>115</v>
      </c>
      <c r="AM326" s="11">
        <f t="shared" si="118"/>
        <v>10</v>
      </c>
      <c r="AN326" s="10">
        <v>10</v>
      </c>
      <c r="AO326" s="11">
        <f t="shared" si="104"/>
        <v>10</v>
      </c>
      <c r="AP326" s="10">
        <v>10</v>
      </c>
      <c r="AQ326" s="11">
        <f t="shared" si="104"/>
        <v>0</v>
      </c>
      <c r="AR326" s="10">
        <v>0</v>
      </c>
      <c r="AS326" s="56">
        <f t="shared" si="119"/>
        <v>1</v>
      </c>
      <c r="AU326" s="11">
        <f ca="1">IFERROR(OFFSET(ITEM_RES!$A$1,MATCH(AV326,ITEM_RES!$J:$J,0)-1,0),0)</f>
        <v>211020801</v>
      </c>
      <c r="AV326" s="10" t="s">
        <v>435</v>
      </c>
      <c r="AW326" s="11">
        <v>1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997</v>
      </c>
      <c r="M327" s="9" t="s">
        <v>998</v>
      </c>
      <c r="N327" s="9" t="s">
        <v>999</v>
      </c>
      <c r="O327" s="9">
        <v>1</v>
      </c>
      <c r="P327" s="9">
        <v>15</v>
      </c>
      <c r="Q327" s="9" t="s">
        <v>1248</v>
      </c>
      <c r="U327" s="9" t="s">
        <v>701</v>
      </c>
      <c r="X327" s="9">
        <f ca="1">IFERROR(OFFSET(ITEM_RES!$A$5,MATCH(BUILDING!W327,ITEM_RES!$J$5:$J$226,0)-1,0),0)</f>
        <v>0</v>
      </c>
      <c r="AA327" s="9">
        <f ca="1">IFERROR(OFFSET(ITEM_RES!$A$5,MATCH(BUILDING!Z327,ITEM_RES!$J$5:$J$226,0)-1,0),0)</f>
        <v>0</v>
      </c>
      <c r="AC327" s="9" t="s">
        <v>522</v>
      </c>
      <c r="AD327" s="9">
        <v>3</v>
      </c>
      <c r="AF327" s="11">
        <f ca="1">IFERROR(OFFSET(MANOR_LEVEL!$B$1,MATCH(AG327-1,MANOR_LEVEL!$A:$A,0)-1,0),0)</f>
        <v>186400</v>
      </c>
      <c r="AG327" s="56">
        <v>9</v>
      </c>
      <c r="AI327" s="56">
        <f t="shared" ca="1" si="106"/>
        <v>15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15.1</v>
      </c>
      <c r="AK327" s="182">
        <f t="shared" ref="AK327:AK344" ca="1" si="120">AI326+AI327</f>
        <v>25</v>
      </c>
      <c r="AM327" s="11">
        <f t="shared" si="118"/>
        <v>15</v>
      </c>
      <c r="AN327" s="10">
        <v>15</v>
      </c>
      <c r="AO327" s="11">
        <f t="shared" si="104"/>
        <v>15</v>
      </c>
      <c r="AP327" s="10">
        <v>15</v>
      </c>
      <c r="AQ327" s="11">
        <f t="shared" si="104"/>
        <v>0</v>
      </c>
      <c r="AR327" s="10">
        <v>0</v>
      </c>
      <c r="AS327" s="56">
        <f t="shared" si="119"/>
        <v>1</v>
      </c>
      <c r="AU327" s="11">
        <f ca="1">IFERROR(OFFSET(ITEM_RES!$A$1,MATCH(AV327,ITEM_RES!$J:$J,0)-1,0),0)</f>
        <v>211020801</v>
      </c>
      <c r="AV327" s="10" t="s">
        <v>435</v>
      </c>
      <c r="AW327" s="11">
        <v>1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997</v>
      </c>
      <c r="M328" s="9" t="s">
        <v>998</v>
      </c>
      <c r="N328" s="9" t="s">
        <v>999</v>
      </c>
      <c r="O328" s="9">
        <v>1</v>
      </c>
      <c r="P328" s="9">
        <v>15</v>
      </c>
      <c r="Q328" s="9" t="s">
        <v>1249</v>
      </c>
      <c r="U328" s="9" t="s">
        <v>701</v>
      </c>
      <c r="X328" s="9">
        <f ca="1">IFERROR(OFFSET(ITEM_RES!$A$5,MATCH(BUILDING!W328,ITEM_RES!$J$5:$J$226,0)-1,0),0)</f>
        <v>0</v>
      </c>
      <c r="AA328" s="9">
        <f ca="1">IFERROR(OFFSET(ITEM_RES!$A$5,MATCH(BUILDING!Z328,ITEM_RES!$J$5:$J$226,0)-1,0),0)</f>
        <v>0</v>
      </c>
      <c r="AC328" s="9" t="s">
        <v>522</v>
      </c>
      <c r="AD328" s="9">
        <v>4</v>
      </c>
      <c r="AF328" s="11">
        <f ca="1">IFERROR(OFFSET(MANOR_LEVEL!$B$1,MATCH(AG328-1,MANOR_LEVEL!$A:$A,0)-1,0),0)</f>
        <v>186400</v>
      </c>
      <c r="AG328" s="56">
        <v>9</v>
      </c>
      <c r="AI328" s="56">
        <f t="shared" ca="1" si="106"/>
        <v>25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25.1</v>
      </c>
      <c r="AK328" s="182">
        <f t="shared" ca="1" si="120"/>
        <v>40</v>
      </c>
      <c r="AM328" s="11">
        <f t="shared" si="118"/>
        <v>20</v>
      </c>
      <c r="AN328" s="10">
        <v>20</v>
      </c>
      <c r="AO328" s="11">
        <f t="shared" si="104"/>
        <v>25</v>
      </c>
      <c r="AP328" s="10">
        <v>25</v>
      </c>
      <c r="AQ328" s="11">
        <f t="shared" si="104"/>
        <v>0</v>
      </c>
      <c r="AR328" s="10">
        <v>0</v>
      </c>
      <c r="AS328" s="56">
        <f t="shared" si="119"/>
        <v>1</v>
      </c>
      <c r="AU328" s="11">
        <f ca="1">IFERROR(OFFSET(ITEM_RES!$A$1,MATCH(AV328,ITEM_RES!$J:$J,0)-1,0),0)</f>
        <v>211020801</v>
      </c>
      <c r="AV328" s="10" t="s">
        <v>435</v>
      </c>
      <c r="AW328" s="11">
        <v>1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997</v>
      </c>
      <c r="M329" s="9" t="s">
        <v>998</v>
      </c>
      <c r="N329" s="9" t="s">
        <v>999</v>
      </c>
      <c r="O329" s="9">
        <v>1</v>
      </c>
      <c r="P329" s="9">
        <v>15</v>
      </c>
      <c r="Q329" s="9" t="s">
        <v>1250</v>
      </c>
      <c r="U329" s="9" t="s">
        <v>701</v>
      </c>
      <c r="X329" s="9">
        <f ca="1">IFERROR(OFFSET(ITEM_RES!$A$5,MATCH(BUILDING!W329,ITEM_RES!$J$5:$J$226,0)-1,0),0)</f>
        <v>0</v>
      </c>
      <c r="AA329" s="9">
        <f ca="1">IFERROR(OFFSET(ITEM_RES!$A$5,MATCH(BUILDING!Z329,ITEM_RES!$J$5:$J$226,0)-1,0),0)</f>
        <v>0</v>
      </c>
      <c r="AC329" s="9" t="s">
        <v>522</v>
      </c>
      <c r="AD329" s="9">
        <v>5</v>
      </c>
      <c r="AF329" s="11">
        <f ca="1">IFERROR(OFFSET(MANOR_LEVEL!$B$1,MATCH(AG329-1,MANOR_LEVEL!$A:$A,0)-1,0),0)</f>
        <v>311600</v>
      </c>
      <c r="AG329" s="56">
        <v>10</v>
      </c>
      <c r="AI329" s="56">
        <f t="shared" ca="1" si="106"/>
        <v>40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40.1</v>
      </c>
      <c r="AK329" s="182">
        <f t="shared" ca="1" si="120"/>
        <v>65</v>
      </c>
      <c r="AM329" s="11">
        <f t="shared" si="118"/>
        <v>25</v>
      </c>
      <c r="AN329" s="10">
        <v>25</v>
      </c>
      <c r="AO329" s="11">
        <f t="shared" si="104"/>
        <v>40</v>
      </c>
      <c r="AP329" s="10">
        <v>40</v>
      </c>
      <c r="AQ329" s="11">
        <f t="shared" si="104"/>
        <v>0</v>
      </c>
      <c r="AR329" s="10">
        <v>0</v>
      </c>
      <c r="AS329" s="56">
        <f t="shared" si="119"/>
        <v>1</v>
      </c>
      <c r="AU329" s="11">
        <f ca="1">IFERROR(OFFSET(ITEM_RES!$A$1,MATCH(AV329,ITEM_RES!$J:$J,0)-1,0),0)</f>
        <v>211020801</v>
      </c>
      <c r="AV329" s="10" t="s">
        <v>435</v>
      </c>
      <c r="AW329" s="11">
        <v>1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997</v>
      </c>
      <c r="M330" s="9" t="s">
        <v>998</v>
      </c>
      <c r="N330" s="9" t="s">
        <v>999</v>
      </c>
      <c r="O330" s="9">
        <v>1</v>
      </c>
      <c r="P330" s="9">
        <v>15</v>
      </c>
      <c r="Q330" s="9" t="s">
        <v>1251</v>
      </c>
      <c r="U330" s="9" t="s">
        <v>701</v>
      </c>
      <c r="X330" s="9">
        <f ca="1">IFERROR(OFFSET(ITEM_RES!$A$5,MATCH(BUILDING!W330,ITEM_RES!$J$5:$J$226,0)-1,0),0)</f>
        <v>0</v>
      </c>
      <c r="AA330" s="9">
        <f ca="1">IFERROR(OFFSET(ITEM_RES!$A$5,MATCH(BUILDING!Z330,ITEM_RES!$J$5:$J$226,0)-1,0),0)</f>
        <v>0</v>
      </c>
      <c r="AC330" s="9" t="s">
        <v>522</v>
      </c>
      <c r="AD330" s="9">
        <v>6</v>
      </c>
      <c r="AF330" s="11">
        <f ca="1">IFERROR(OFFSET(MANOR_LEVEL!$B$1,MATCH(AG330-1,MANOR_LEVEL!$A:$A,0)-1,0),0)</f>
        <v>311600</v>
      </c>
      <c r="AG330" s="56">
        <v>10</v>
      </c>
      <c r="AI330" s="56">
        <f t="shared" ca="1" si="106"/>
        <v>50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50.1</v>
      </c>
      <c r="AK330" s="182">
        <f t="shared" ca="1" si="120"/>
        <v>90</v>
      </c>
      <c r="AM330" s="11">
        <f t="shared" si="118"/>
        <v>30</v>
      </c>
      <c r="AN330" s="10">
        <v>30</v>
      </c>
      <c r="AO330" s="11">
        <f t="shared" si="104"/>
        <v>50</v>
      </c>
      <c r="AP330" s="10">
        <v>50</v>
      </c>
      <c r="AQ330" s="11">
        <f t="shared" si="104"/>
        <v>0</v>
      </c>
      <c r="AR330" s="10">
        <v>0</v>
      </c>
      <c r="AS330" s="56">
        <f t="shared" si="119"/>
        <v>1</v>
      </c>
      <c r="AU330" s="11">
        <f ca="1">IFERROR(OFFSET(ITEM_RES!$A$1,MATCH(AV330,ITEM_RES!$J:$J,0)-1,0),0)</f>
        <v>211020801</v>
      </c>
      <c r="AV330" s="10" t="s">
        <v>435</v>
      </c>
      <c r="AW330" s="11">
        <v>1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997</v>
      </c>
      <c r="M331" s="9" t="s">
        <v>998</v>
      </c>
      <c r="N331" s="9" t="s">
        <v>999</v>
      </c>
      <c r="O331" s="9">
        <v>1</v>
      </c>
      <c r="P331" s="9">
        <v>15</v>
      </c>
      <c r="Q331" s="9" t="s">
        <v>1252</v>
      </c>
      <c r="U331" s="9" t="s">
        <v>701</v>
      </c>
      <c r="X331" s="9">
        <f ca="1">IFERROR(OFFSET(ITEM_RES!$A$5,MATCH(BUILDING!W331,ITEM_RES!$J$5:$J$226,0)-1,0),0)</f>
        <v>0</v>
      </c>
      <c r="AA331" s="9">
        <f ca="1">IFERROR(OFFSET(ITEM_RES!$A$5,MATCH(BUILDING!Z331,ITEM_RES!$J$5:$J$226,0)-1,0),0)</f>
        <v>0</v>
      </c>
      <c r="AC331" s="9" t="s">
        <v>522</v>
      </c>
      <c r="AD331" s="9">
        <v>7</v>
      </c>
      <c r="AF331" s="11">
        <f ca="1">IFERROR(OFFSET(MANOR_LEVEL!$B$1,MATCH(AG331-1,MANOR_LEVEL!$A:$A,0)-1,0),0)</f>
        <v>456800</v>
      </c>
      <c r="AG331" s="56">
        <v>11</v>
      </c>
      <c r="AI331" s="56">
        <f t="shared" ca="1" si="106"/>
        <v>100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100.1</v>
      </c>
      <c r="AK331" s="182">
        <f t="shared" ca="1" si="120"/>
        <v>150</v>
      </c>
      <c r="AM331" s="11">
        <f t="shared" si="118"/>
        <v>35</v>
      </c>
      <c r="AN331" s="10">
        <v>35</v>
      </c>
      <c r="AO331" s="11">
        <f t="shared" si="104"/>
        <v>100</v>
      </c>
      <c r="AP331" s="10">
        <v>100</v>
      </c>
      <c r="AQ331" s="11">
        <f t="shared" si="104"/>
        <v>0</v>
      </c>
      <c r="AR331" s="10">
        <v>0</v>
      </c>
      <c r="AS331" s="56">
        <f t="shared" si="119"/>
        <v>1</v>
      </c>
      <c r="AU331" s="11">
        <f ca="1">IFERROR(OFFSET(ITEM_RES!$A$1,MATCH(AV331,ITEM_RES!$J:$J,0)-1,0),0)</f>
        <v>211020801</v>
      </c>
      <c r="AV331" s="10" t="s">
        <v>435</v>
      </c>
      <c r="AW331" s="11">
        <v>1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997</v>
      </c>
      <c r="M332" s="9" t="s">
        <v>998</v>
      </c>
      <c r="N332" s="9" t="s">
        <v>999</v>
      </c>
      <c r="O332" s="9">
        <v>1</v>
      </c>
      <c r="P332" s="9">
        <v>15</v>
      </c>
      <c r="Q332" s="9" t="s">
        <v>1252</v>
      </c>
      <c r="U332" s="9" t="s">
        <v>701</v>
      </c>
      <c r="X332" s="9">
        <f ca="1">IFERROR(OFFSET(ITEM_RES!$A$5,MATCH(BUILDING!W332,ITEM_RES!$J$5:$J$226,0)-1,0),0)</f>
        <v>0</v>
      </c>
      <c r="AA332" s="9">
        <f ca="1">IFERROR(OFFSET(ITEM_RES!$A$5,MATCH(BUILDING!Z332,ITEM_RES!$J$5:$J$226,0)-1,0),0)</f>
        <v>0</v>
      </c>
      <c r="AC332" s="9" t="s">
        <v>522</v>
      </c>
      <c r="AD332" s="9">
        <v>8</v>
      </c>
      <c r="AF332" s="11">
        <f ca="1">IFERROR(OFFSET(MANOR_LEVEL!$B$1,MATCH(AG332-1,MANOR_LEVEL!$A:$A,0)-1,0),0)</f>
        <v>796000</v>
      </c>
      <c r="AG332" s="56">
        <v>12</v>
      </c>
      <c r="AI332" s="56">
        <f t="shared" ca="1" si="106"/>
        <v>100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100.1</v>
      </c>
      <c r="AK332" s="182">
        <f t="shared" ca="1" si="120"/>
        <v>200</v>
      </c>
      <c r="AM332" s="11">
        <f t="shared" si="118"/>
        <v>40</v>
      </c>
      <c r="AN332" s="10">
        <v>40</v>
      </c>
      <c r="AO332" s="11">
        <f t="shared" si="104"/>
        <v>100</v>
      </c>
      <c r="AP332" s="10">
        <v>100</v>
      </c>
      <c r="AQ332" s="11">
        <f t="shared" si="104"/>
        <v>0</v>
      </c>
      <c r="AR332" s="10">
        <v>0</v>
      </c>
      <c r="AS332" s="56">
        <f t="shared" si="119"/>
        <v>1</v>
      </c>
      <c r="AU332" s="11">
        <f ca="1">IFERROR(OFFSET(ITEM_RES!$A$1,MATCH(AV332,ITEM_RES!$J:$J,0)-1,0),0)</f>
        <v>211020801</v>
      </c>
      <c r="AV332" s="10" t="s">
        <v>435</v>
      </c>
      <c r="AW332" s="11">
        <v>1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  <c r="BO332" s="11">
        <f ca="1">IFERROR(OFFSET(ITEM_RES!$A$1,MATCH(BP332,ITEM_RES!$J:$J,0)-1,0),0)</f>
        <v>0</v>
      </c>
    </row>
    <row r="333" spans="1:70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997</v>
      </c>
      <c r="M333" s="9" t="s">
        <v>998</v>
      </c>
      <c r="N333" s="9" t="s">
        <v>999</v>
      </c>
      <c r="O333" s="9">
        <v>1</v>
      </c>
      <c r="P333" s="9">
        <v>15</v>
      </c>
      <c r="Q333" s="9" t="s">
        <v>1252</v>
      </c>
      <c r="U333" s="9" t="s">
        <v>701</v>
      </c>
      <c r="X333" s="9">
        <f ca="1">IFERROR(OFFSET(ITEM_RES!$A$5,MATCH(BUILDING!W333,ITEM_RES!$J$5:$J$226,0)-1,0),0)</f>
        <v>0</v>
      </c>
      <c r="AA333" s="9">
        <f ca="1">IFERROR(OFFSET(ITEM_RES!$A$5,MATCH(BUILDING!Z333,ITEM_RES!$J$5:$J$226,0)-1,0),0)</f>
        <v>0</v>
      </c>
      <c r="AC333" s="9" t="s">
        <v>522</v>
      </c>
      <c r="AD333" s="9">
        <v>9</v>
      </c>
      <c r="AF333" s="11">
        <f ca="1">IFERROR(OFFSET(MANOR_LEVEL!$B$1,MATCH(AG333-1,MANOR_LEVEL!$A:$A,0)-1,0),0)</f>
        <v>1156400</v>
      </c>
      <c r="AG333" s="56">
        <v>13</v>
      </c>
      <c r="AI333" s="56">
        <f t="shared" ca="1" si="106"/>
        <v>150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150.1</v>
      </c>
      <c r="AK333" s="182">
        <f t="shared" ca="1" si="120"/>
        <v>250</v>
      </c>
      <c r="AM333" s="11">
        <f t="shared" si="118"/>
        <v>45</v>
      </c>
      <c r="AN333" s="10">
        <v>45</v>
      </c>
      <c r="AO333" s="11">
        <f t="shared" si="104"/>
        <v>150</v>
      </c>
      <c r="AP333" s="10">
        <v>150</v>
      </c>
      <c r="AQ333" s="11">
        <f t="shared" si="104"/>
        <v>0</v>
      </c>
      <c r="AR333" s="10">
        <v>0</v>
      </c>
      <c r="AS333" s="56">
        <f t="shared" si="119"/>
        <v>1</v>
      </c>
      <c r="AU333" s="11">
        <f ca="1">IFERROR(OFFSET(ITEM_RES!$A$1,MATCH(AV333,ITEM_RES!$J:$J,0)-1,0),0)</f>
        <v>211020801</v>
      </c>
      <c r="AV333" s="10" t="s">
        <v>435</v>
      </c>
      <c r="AW333" s="11">
        <v>1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997</v>
      </c>
      <c r="M334" s="9" t="s">
        <v>998</v>
      </c>
      <c r="N334" s="9" t="s">
        <v>999</v>
      </c>
      <c r="O334" s="9">
        <v>1</v>
      </c>
      <c r="P334" s="9">
        <v>15</v>
      </c>
      <c r="Q334" s="9" t="s">
        <v>1252</v>
      </c>
      <c r="U334" s="9" t="s">
        <v>701</v>
      </c>
      <c r="X334" s="9">
        <f ca="1">IFERROR(OFFSET(ITEM_RES!$A$5,MATCH(BUILDING!W334,ITEM_RES!$J$5:$J$226,0)-1,0),0)</f>
        <v>0</v>
      </c>
      <c r="AA334" s="9">
        <f ca="1">IFERROR(OFFSET(ITEM_RES!$A$5,MATCH(BUILDING!Z334,ITEM_RES!$J$5:$J$226,0)-1,0),0)</f>
        <v>0</v>
      </c>
      <c r="AC334" s="9" t="s">
        <v>522</v>
      </c>
      <c r="AD334" s="9">
        <v>10</v>
      </c>
      <c r="AF334" s="11">
        <f ca="1">IFERROR(OFFSET(MANOR_LEVEL!$B$1,MATCH(AG334-1,MANOR_LEVEL!$A:$A,0)-1,0),0)</f>
        <v>1156400</v>
      </c>
      <c r="AG334" s="56">
        <v>13</v>
      </c>
      <c r="AI334" s="56">
        <f t="shared" ca="1" si="106"/>
        <v>200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200.1</v>
      </c>
      <c r="AK334" s="182">
        <f t="shared" ca="1" si="120"/>
        <v>350</v>
      </c>
      <c r="AM334" s="11">
        <f t="shared" si="118"/>
        <v>50</v>
      </c>
      <c r="AN334" s="10">
        <v>50</v>
      </c>
      <c r="AO334" s="11">
        <f t="shared" si="104"/>
        <v>200</v>
      </c>
      <c r="AP334" s="10">
        <v>200</v>
      </c>
      <c r="AQ334" s="11">
        <f t="shared" si="104"/>
        <v>0</v>
      </c>
      <c r="AR334" s="10">
        <v>0</v>
      </c>
      <c r="AS334" s="56">
        <f t="shared" si="119"/>
        <v>1</v>
      </c>
      <c r="AU334" s="11">
        <f ca="1">IFERROR(OFFSET(ITEM_RES!$A$1,MATCH(AV334,ITEM_RES!$J:$J,0)-1,0),0)</f>
        <v>211020801</v>
      </c>
      <c r="AV334" s="10" t="s">
        <v>435</v>
      </c>
      <c r="AW334" s="11">
        <v>1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997</v>
      </c>
      <c r="M335" s="9" t="s">
        <v>998</v>
      </c>
      <c r="N335" s="9" t="s">
        <v>999</v>
      </c>
      <c r="O335" s="9">
        <v>1</v>
      </c>
      <c r="P335" s="9">
        <v>15</v>
      </c>
      <c r="Q335" s="9" t="s">
        <v>1252</v>
      </c>
      <c r="U335" s="9" t="s">
        <v>701</v>
      </c>
      <c r="X335" s="9">
        <f ca="1">IFERROR(OFFSET(ITEM_RES!$A$5,MATCH(BUILDING!W335,ITEM_RES!$J$5:$J$226,0)-1,0),0)</f>
        <v>0</v>
      </c>
      <c r="AA335" s="9">
        <f ca="1">IFERROR(OFFSET(ITEM_RES!$A$5,MATCH(BUILDING!Z335,ITEM_RES!$J$5:$J$226,0)-1,0),0)</f>
        <v>0</v>
      </c>
      <c r="AC335" s="9" t="s">
        <v>522</v>
      </c>
      <c r="AD335" s="9">
        <v>11</v>
      </c>
      <c r="AF335" s="11">
        <f ca="1">IFERROR(OFFSET(MANOR_LEVEL!$B$1,MATCH(AG335-1,MANOR_LEVEL!$A:$A,0)-1,0),0)</f>
        <v>1661200</v>
      </c>
      <c r="AG335" s="56">
        <v>14</v>
      </c>
      <c r="AI335" s="56">
        <f t="shared" ca="1" si="106"/>
        <v>250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250.1</v>
      </c>
      <c r="AK335" s="182">
        <f t="shared" ca="1" si="120"/>
        <v>450</v>
      </c>
      <c r="AM335" s="11">
        <f t="shared" si="118"/>
        <v>55</v>
      </c>
      <c r="AN335" s="10">
        <v>55</v>
      </c>
      <c r="AO335" s="11">
        <f t="shared" si="104"/>
        <v>250</v>
      </c>
      <c r="AP335" s="10">
        <v>250</v>
      </c>
      <c r="AQ335" s="11">
        <f t="shared" si="104"/>
        <v>0</v>
      </c>
      <c r="AR335" s="10">
        <v>0</v>
      </c>
      <c r="AS335" s="56">
        <f t="shared" si="119"/>
        <v>1</v>
      </c>
      <c r="AU335" s="11">
        <f ca="1">IFERROR(OFFSET(ITEM_RES!$A$1,MATCH(AV335,ITEM_RES!$J:$J,0)-1,0),0)</f>
        <v>211020801</v>
      </c>
      <c r="AV335" s="10" t="s">
        <v>435</v>
      </c>
      <c r="AW335" s="11">
        <v>1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997</v>
      </c>
      <c r="M336" s="9" t="s">
        <v>998</v>
      </c>
      <c r="N336" s="9" t="s">
        <v>999</v>
      </c>
      <c r="O336" s="9">
        <v>1</v>
      </c>
      <c r="P336" s="9">
        <v>15</v>
      </c>
      <c r="Q336" s="9" t="s">
        <v>1252</v>
      </c>
      <c r="U336" s="9" t="s">
        <v>701</v>
      </c>
      <c r="X336" s="9">
        <f ca="1">IFERROR(OFFSET(ITEM_RES!$A$5,MATCH(BUILDING!W336,ITEM_RES!$J$5:$J$226,0)-1,0),0)</f>
        <v>0</v>
      </c>
      <c r="AA336" s="9">
        <f ca="1">IFERROR(OFFSET(ITEM_RES!$A$5,MATCH(BUILDING!Z336,ITEM_RES!$J$5:$J$226,0)-1,0),0)</f>
        <v>0</v>
      </c>
      <c r="AC336" s="9" t="s">
        <v>522</v>
      </c>
      <c r="AD336" s="9">
        <v>12</v>
      </c>
      <c r="AF336" s="11">
        <f ca="1">IFERROR(OFFSET(MANOR_LEVEL!$B$1,MATCH(AG336-1,MANOR_LEVEL!$A:$A,0)-1,0),0)</f>
        <v>2622400</v>
      </c>
      <c r="AG336" s="56">
        <v>15</v>
      </c>
      <c r="AI336" s="56">
        <f t="shared" ca="1" si="106"/>
        <v>300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300.10000000000002</v>
      </c>
      <c r="AK336" s="182">
        <f t="shared" ca="1" si="120"/>
        <v>550</v>
      </c>
      <c r="AM336" s="11">
        <f t="shared" si="118"/>
        <v>60</v>
      </c>
      <c r="AN336" s="10">
        <v>60</v>
      </c>
      <c r="AO336" s="11">
        <f t="shared" si="104"/>
        <v>300</v>
      </c>
      <c r="AP336" s="10">
        <v>300</v>
      </c>
      <c r="AQ336" s="11">
        <f t="shared" si="104"/>
        <v>0</v>
      </c>
      <c r="AR336" s="10">
        <v>0</v>
      </c>
      <c r="AS336" s="56">
        <f t="shared" si="119"/>
        <v>1</v>
      </c>
      <c r="AU336" s="11">
        <f ca="1">IFERROR(OFFSET(ITEM_RES!$A$1,MATCH(AV336,ITEM_RES!$J:$J,0)-1,0),0)</f>
        <v>211020801</v>
      </c>
      <c r="AV336" s="10" t="s">
        <v>435</v>
      </c>
      <c r="AW336" s="11">
        <v>1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997</v>
      </c>
      <c r="M337" s="9" t="s">
        <v>998</v>
      </c>
      <c r="N337" s="9" t="s">
        <v>999</v>
      </c>
      <c r="O337" s="9">
        <v>1</v>
      </c>
      <c r="P337" s="9">
        <v>15</v>
      </c>
      <c r="Q337" s="9" t="s">
        <v>1252</v>
      </c>
      <c r="U337" s="9" t="s">
        <v>701</v>
      </c>
      <c r="X337" s="9">
        <f ca="1">IFERROR(OFFSET(ITEM_RES!$A$5,MATCH(BUILDING!W337,ITEM_RES!$J$5:$J$226,0)-1,0),0)</f>
        <v>0</v>
      </c>
      <c r="AA337" s="9">
        <f ca="1">IFERROR(OFFSET(ITEM_RES!$A$5,MATCH(BUILDING!Z337,ITEM_RES!$J$5:$J$226,0)-1,0),0)</f>
        <v>0</v>
      </c>
      <c r="AC337" s="9" t="s">
        <v>522</v>
      </c>
      <c r="AD337" s="9">
        <v>13</v>
      </c>
      <c r="AF337" s="11">
        <f ca="1">IFERROR(OFFSET(MANOR_LEVEL!$B$1,MATCH(AG337-1,MANOR_LEVEL!$A:$A,0)-1,0),0)</f>
        <v>4232000</v>
      </c>
      <c r="AG337" s="56">
        <v>16</v>
      </c>
      <c r="AI337" s="56">
        <f t="shared" ca="1" si="106"/>
        <v>350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350.1</v>
      </c>
      <c r="AK337" s="182">
        <f t="shared" ca="1" si="120"/>
        <v>650</v>
      </c>
      <c r="AM337" s="11">
        <f t="shared" si="118"/>
        <v>65</v>
      </c>
      <c r="AN337" s="10">
        <v>65</v>
      </c>
      <c r="AO337" s="11">
        <f t="shared" si="104"/>
        <v>350</v>
      </c>
      <c r="AP337" s="10">
        <v>350</v>
      </c>
      <c r="AQ337" s="11">
        <f t="shared" si="104"/>
        <v>0</v>
      </c>
      <c r="AR337" s="10">
        <v>0</v>
      </c>
      <c r="AS337" s="56">
        <f t="shared" si="119"/>
        <v>1</v>
      </c>
      <c r="AU337" s="11">
        <f ca="1">IFERROR(OFFSET(ITEM_RES!$A$1,MATCH(AV337,ITEM_RES!$J:$J,0)-1,0),0)</f>
        <v>211020801</v>
      </c>
      <c r="AV337" s="10" t="s">
        <v>435</v>
      </c>
      <c r="AW337" s="11">
        <v>1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997</v>
      </c>
      <c r="M338" s="9" t="s">
        <v>998</v>
      </c>
      <c r="N338" s="9" t="s">
        <v>999</v>
      </c>
      <c r="O338" s="9">
        <v>1</v>
      </c>
      <c r="P338" s="9">
        <v>15</v>
      </c>
      <c r="Q338" s="9" t="s">
        <v>1252</v>
      </c>
      <c r="U338" s="9" t="s">
        <v>701</v>
      </c>
      <c r="X338" s="9">
        <f ca="1">IFERROR(OFFSET(ITEM_RES!$A$5,MATCH(BUILDING!W338,ITEM_RES!$J$5:$J$226,0)-1,0),0)</f>
        <v>0</v>
      </c>
      <c r="AA338" s="9">
        <f ca="1">IFERROR(OFFSET(ITEM_RES!$A$5,MATCH(BUILDING!Z338,ITEM_RES!$J$5:$J$226,0)-1,0),0)</f>
        <v>0</v>
      </c>
      <c r="AC338" s="9" t="s">
        <v>522</v>
      </c>
      <c r="AD338" s="9">
        <v>14</v>
      </c>
      <c r="AF338" s="11">
        <f ca="1">IFERROR(OFFSET(MANOR_LEVEL!$B$1,MATCH(AG338-1,MANOR_LEVEL!$A:$A,0)-1,0),0)</f>
        <v>7450000</v>
      </c>
      <c r="AG338" s="56">
        <v>17</v>
      </c>
      <c r="AI338" s="56">
        <f t="shared" ca="1" si="106"/>
        <v>550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550.1</v>
      </c>
      <c r="AK338" s="182">
        <f t="shared" ca="1" si="120"/>
        <v>900</v>
      </c>
      <c r="AM338" s="11">
        <f t="shared" si="118"/>
        <v>70</v>
      </c>
      <c r="AN338" s="10">
        <v>70</v>
      </c>
      <c r="AO338" s="11">
        <f t="shared" si="104"/>
        <v>450</v>
      </c>
      <c r="AP338" s="10">
        <v>450</v>
      </c>
      <c r="AQ338" s="11">
        <f t="shared" si="104"/>
        <v>0</v>
      </c>
      <c r="AR338" s="10">
        <v>0</v>
      </c>
      <c r="AS338" s="56">
        <f t="shared" si="119"/>
        <v>2</v>
      </c>
      <c r="AU338" s="11">
        <f ca="1">IFERROR(OFFSET(ITEM_RES!$A$1,MATCH(AV338,ITEM_RES!$J:$J,0)-1,0),0)</f>
        <v>211020801</v>
      </c>
      <c r="AV338" s="10" t="s">
        <v>435</v>
      </c>
      <c r="AW338" s="11">
        <v>1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213010901</v>
      </c>
      <c r="BK338" s="10" t="s">
        <v>464</v>
      </c>
      <c r="BL338" s="11">
        <v>1</v>
      </c>
      <c r="BO338" s="11">
        <f ca="1">IFERROR(OFFSET(ITEM_RES!$A$1,MATCH(BP338,ITEM_RES!$J:$J,0)-1,0),0)</f>
        <v>0</v>
      </c>
    </row>
    <row r="339" spans="1:70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997</v>
      </c>
      <c r="M339" s="9" t="s">
        <v>998</v>
      </c>
      <c r="N339" s="9" t="s">
        <v>999</v>
      </c>
      <c r="O339" s="9">
        <v>1</v>
      </c>
      <c r="P339" s="9">
        <v>15</v>
      </c>
      <c r="Q339" s="9" t="s">
        <v>1252</v>
      </c>
      <c r="U339" s="9" t="s">
        <v>701</v>
      </c>
      <c r="X339" s="9">
        <f ca="1">IFERROR(OFFSET(ITEM_RES!$A$5,MATCH(BUILDING!W339,ITEM_RES!$J$5:$J$226,0)-1,0),0)</f>
        <v>0</v>
      </c>
      <c r="AA339" s="9">
        <f ca="1">IFERROR(OFFSET(ITEM_RES!$A$5,MATCH(BUILDING!Z339,ITEM_RES!$J$5:$J$226,0)-1,0),0)</f>
        <v>0</v>
      </c>
      <c r="AC339" s="9" t="s">
        <v>522</v>
      </c>
      <c r="AD339" s="9">
        <v>15</v>
      </c>
      <c r="AF339" s="11">
        <f ca="1">IFERROR(OFFSET(MANOR_LEVEL!$B$1,MATCH(AG339-1,MANOR_LEVEL!$A:$A,0)-1,0),0)</f>
        <v>12172400</v>
      </c>
      <c r="AG339" s="56">
        <v>18</v>
      </c>
      <c r="AI339" s="56">
        <f t="shared" ca="1" si="106"/>
        <v>550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550.1</v>
      </c>
      <c r="AK339" s="182">
        <f t="shared" ca="1" si="120"/>
        <v>1100</v>
      </c>
      <c r="AM339" s="11">
        <f t="shared" si="118"/>
        <v>75</v>
      </c>
      <c r="AN339" s="10">
        <v>75</v>
      </c>
      <c r="AO339" s="11">
        <f t="shared" si="104"/>
        <v>550</v>
      </c>
      <c r="AP339" s="10">
        <v>550</v>
      </c>
      <c r="AQ339" s="11">
        <f t="shared" si="104"/>
        <v>0</v>
      </c>
      <c r="AR339" s="10">
        <v>0</v>
      </c>
      <c r="AS339" s="56">
        <f t="shared" si="119"/>
        <v>1</v>
      </c>
      <c r="AU339" s="11">
        <f ca="1">IFERROR(OFFSET(ITEM_RES!$A$1,MATCH(AV339,ITEM_RES!$J:$J,0)-1,0),0)</f>
        <v>211020801</v>
      </c>
      <c r="AV339" s="10" t="s">
        <v>435</v>
      </c>
      <c r="AW339" s="11">
        <v>1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997</v>
      </c>
      <c r="M340" s="9" t="s">
        <v>998</v>
      </c>
      <c r="N340" s="9" t="s">
        <v>999</v>
      </c>
      <c r="O340" s="9">
        <v>0</v>
      </c>
      <c r="P340" s="9">
        <v>15</v>
      </c>
      <c r="Q340" s="9" t="s">
        <v>1252</v>
      </c>
      <c r="U340" s="9" t="s">
        <v>701</v>
      </c>
      <c r="X340" s="9">
        <f ca="1">IFERROR(OFFSET(ITEM_RES!$A$5,MATCH(BUILDING!W340,ITEM_RES!$J$5:$J$226,0)-1,0),0)</f>
        <v>0</v>
      </c>
      <c r="AA340" s="9">
        <f ca="1">IFERROR(OFFSET(ITEM_RES!$A$5,MATCH(BUILDING!Z340,ITEM_RES!$J$5:$J$226,0)-1,0),0)</f>
        <v>0</v>
      </c>
      <c r="AC340" s="9" t="s">
        <v>522</v>
      </c>
      <c r="AD340" s="9">
        <v>16</v>
      </c>
      <c r="AF340" s="11">
        <f ca="1">IFERROR(OFFSET(MANOR_LEVEL!$B$1,MATCH(AG340-1,MANOR_LEVEL!$A:$A,0)-1,0),0)</f>
        <v>12172400</v>
      </c>
      <c r="AG340" s="56">
        <v>18</v>
      </c>
      <c r="AI340" s="56">
        <f t="shared" ca="1" si="106"/>
        <v>700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700.1</v>
      </c>
      <c r="AK340" s="182">
        <f t="shared" ca="1" si="120"/>
        <v>1250</v>
      </c>
      <c r="AM340" s="11">
        <f t="shared" si="118"/>
        <v>80</v>
      </c>
      <c r="AN340" s="10">
        <v>80</v>
      </c>
      <c r="AO340" s="11">
        <f t="shared" si="104"/>
        <v>700</v>
      </c>
      <c r="AP340" s="10">
        <v>700</v>
      </c>
      <c r="AQ340" s="11">
        <f t="shared" si="104"/>
        <v>0</v>
      </c>
      <c r="AR340" s="10">
        <v>0</v>
      </c>
      <c r="AS340" s="56">
        <f t="shared" si="119"/>
        <v>1</v>
      </c>
      <c r="AU340" s="11">
        <f ca="1">IFERROR(OFFSET(ITEM_RES!$A$1,MATCH(AV340,ITEM_RES!$J:$J,0)-1,0),0)</f>
        <v>211020801</v>
      </c>
      <c r="AV340" s="10" t="s">
        <v>435</v>
      </c>
      <c r="AW340" s="11">
        <v>1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997</v>
      </c>
      <c r="M341" s="9" t="s">
        <v>998</v>
      </c>
      <c r="N341" s="9" t="s">
        <v>999</v>
      </c>
      <c r="O341" s="9">
        <v>0</v>
      </c>
      <c r="P341" s="9">
        <v>15</v>
      </c>
      <c r="Q341" s="9" t="s">
        <v>1252</v>
      </c>
      <c r="U341" s="9" t="s">
        <v>701</v>
      </c>
      <c r="X341" s="9">
        <f ca="1">IFERROR(OFFSET(ITEM_RES!$A$5,MATCH(BUILDING!W341,ITEM_RES!$J$5:$J$226,0)-1,0),0)</f>
        <v>0</v>
      </c>
      <c r="AA341" s="9">
        <f ca="1">IFERROR(OFFSET(ITEM_RES!$A$5,MATCH(BUILDING!Z341,ITEM_RES!$J$5:$J$226,0)-1,0),0)</f>
        <v>0</v>
      </c>
      <c r="AC341" s="9" t="s">
        <v>522</v>
      </c>
      <c r="AD341" s="9">
        <v>17</v>
      </c>
      <c r="AF341" s="11">
        <f ca="1">IFERROR(OFFSET(MANOR_LEVEL!$B$1,MATCH(AG341-1,MANOR_LEVEL!$A:$A,0)-1,0),0)</f>
        <v>12172400</v>
      </c>
      <c r="AG341" s="56">
        <v>18</v>
      </c>
      <c r="AI341" s="56">
        <f t="shared" ca="1" si="106"/>
        <v>850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850.1</v>
      </c>
      <c r="AK341" s="182">
        <f t="shared" ca="1" si="120"/>
        <v>1550</v>
      </c>
      <c r="AM341" s="11">
        <f t="shared" si="118"/>
        <v>85</v>
      </c>
      <c r="AN341" s="10">
        <v>85</v>
      </c>
      <c r="AO341" s="11">
        <f t="shared" si="104"/>
        <v>850</v>
      </c>
      <c r="AP341" s="10">
        <v>850</v>
      </c>
      <c r="AQ341" s="11">
        <f t="shared" si="104"/>
        <v>0</v>
      </c>
      <c r="AR341" s="10">
        <v>0</v>
      </c>
      <c r="AS341" s="56">
        <f t="shared" si="119"/>
        <v>1</v>
      </c>
      <c r="AU341" s="11">
        <f ca="1">IFERROR(OFFSET(ITEM_RES!$A$1,MATCH(AV341,ITEM_RES!$J:$J,0)-1,0),0)</f>
        <v>211020801</v>
      </c>
      <c r="AV341" s="10" t="s">
        <v>435</v>
      </c>
      <c r="AW341" s="11">
        <v>1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997</v>
      </c>
      <c r="M342" s="9" t="s">
        <v>998</v>
      </c>
      <c r="N342" s="9" t="s">
        <v>999</v>
      </c>
      <c r="O342" s="9">
        <v>0</v>
      </c>
      <c r="P342" s="9">
        <v>15</v>
      </c>
      <c r="Q342" s="9" t="s">
        <v>1252</v>
      </c>
      <c r="U342" s="9" t="s">
        <v>701</v>
      </c>
      <c r="X342" s="9">
        <f ca="1">IFERROR(OFFSET(ITEM_RES!$A$5,MATCH(BUILDING!W342,ITEM_RES!$J$5:$J$226,0)-1,0),0)</f>
        <v>0</v>
      </c>
      <c r="AA342" s="9">
        <f ca="1">IFERROR(OFFSET(ITEM_RES!$A$5,MATCH(BUILDING!Z342,ITEM_RES!$J$5:$J$226,0)-1,0),0)</f>
        <v>0</v>
      </c>
      <c r="AC342" s="9" t="s">
        <v>522</v>
      </c>
      <c r="AD342" s="9">
        <v>18</v>
      </c>
      <c r="AF342" s="11">
        <f ca="1">IFERROR(OFFSET(MANOR_LEVEL!$B$1,MATCH(AG342-1,MANOR_LEVEL!$A:$A,0)-1,0),0)</f>
        <v>12172400</v>
      </c>
      <c r="AG342" s="56">
        <v>18</v>
      </c>
      <c r="AI342" s="56">
        <f t="shared" ca="1" si="106"/>
        <v>1050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1050.0999999999999</v>
      </c>
      <c r="AK342" s="182">
        <f t="shared" ca="1" si="120"/>
        <v>1900</v>
      </c>
      <c r="AM342" s="11">
        <f t="shared" si="118"/>
        <v>90</v>
      </c>
      <c r="AN342" s="10">
        <v>90</v>
      </c>
      <c r="AO342" s="11">
        <f t="shared" ref="AO342:AQ404" si="124">ROUND(AP342,0)</f>
        <v>1050</v>
      </c>
      <c r="AP342" s="10">
        <v>1050</v>
      </c>
      <c r="AQ342" s="11">
        <f t="shared" si="124"/>
        <v>0</v>
      </c>
      <c r="AR342" s="10">
        <v>0</v>
      </c>
      <c r="AS342" s="56">
        <f t="shared" si="119"/>
        <v>1</v>
      </c>
      <c r="AU342" s="11">
        <f ca="1">IFERROR(OFFSET(ITEM_RES!$A$1,MATCH(AV342,ITEM_RES!$J:$J,0)-1,0),0)</f>
        <v>211020801</v>
      </c>
      <c r="AV342" s="10" t="s">
        <v>435</v>
      </c>
      <c r="AW342" s="11">
        <v>1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997</v>
      </c>
      <c r="M343" s="9" t="s">
        <v>998</v>
      </c>
      <c r="N343" s="9" t="s">
        <v>999</v>
      </c>
      <c r="O343" s="9">
        <v>0</v>
      </c>
      <c r="P343" s="9">
        <v>15</v>
      </c>
      <c r="Q343" s="9" t="s">
        <v>1252</v>
      </c>
      <c r="U343" s="9" t="s">
        <v>701</v>
      </c>
      <c r="X343" s="9">
        <f ca="1">IFERROR(OFFSET(ITEM_RES!$A$5,MATCH(BUILDING!W343,ITEM_RES!$J$5:$J$226,0)-1,0),0)</f>
        <v>0</v>
      </c>
      <c r="AA343" s="9">
        <f ca="1">IFERROR(OFFSET(ITEM_RES!$A$5,MATCH(BUILDING!Z343,ITEM_RES!$J$5:$J$226,0)-1,0),0)</f>
        <v>0</v>
      </c>
      <c r="AC343" s="9" t="s">
        <v>522</v>
      </c>
      <c r="AD343" s="9">
        <v>19</v>
      </c>
      <c r="AF343" s="11">
        <f ca="1">IFERROR(OFFSET(MANOR_LEVEL!$B$1,MATCH(AG343-1,MANOR_LEVEL!$A:$A,0)-1,0),0)</f>
        <v>12172400</v>
      </c>
      <c r="AG343" s="56">
        <v>18</v>
      </c>
      <c r="AI343" s="56">
        <f t="shared" ca="1" si="106"/>
        <v>1250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1250.2</v>
      </c>
      <c r="AK343" s="182">
        <f t="shared" ca="1" si="120"/>
        <v>2300</v>
      </c>
      <c r="AM343" s="11">
        <f t="shared" si="118"/>
        <v>95</v>
      </c>
      <c r="AN343" s="10">
        <v>95</v>
      </c>
      <c r="AO343" s="11">
        <f t="shared" si="124"/>
        <v>1250</v>
      </c>
      <c r="AP343" s="10">
        <v>1250</v>
      </c>
      <c r="AQ343" s="11">
        <f t="shared" si="124"/>
        <v>0</v>
      </c>
      <c r="AR343" s="10">
        <v>0</v>
      </c>
      <c r="AS343" s="56">
        <f t="shared" si="119"/>
        <v>1</v>
      </c>
      <c r="AU343" s="11">
        <f ca="1">IFERROR(OFFSET(ITEM_RES!$A$1,MATCH(AV343,ITEM_RES!$J:$J,0)-1,0),0)</f>
        <v>211020901</v>
      </c>
      <c r="AV343" s="10" t="s">
        <v>444</v>
      </c>
      <c r="AW343" s="11">
        <v>1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997</v>
      </c>
      <c r="M344" s="9" t="s">
        <v>998</v>
      </c>
      <c r="N344" s="9" t="s">
        <v>999</v>
      </c>
      <c r="O344" s="9">
        <v>0</v>
      </c>
      <c r="P344" s="9">
        <v>15</v>
      </c>
      <c r="Q344" s="9" t="s">
        <v>1252</v>
      </c>
      <c r="U344" s="9" t="s">
        <v>701</v>
      </c>
      <c r="X344" s="9">
        <f ca="1">IFERROR(OFFSET(ITEM_RES!$A$5,MATCH(BUILDING!W344,ITEM_RES!$J$5:$J$226,0)-1,0),0)</f>
        <v>0</v>
      </c>
      <c r="AA344" s="9">
        <f ca="1">IFERROR(OFFSET(ITEM_RES!$A$5,MATCH(BUILDING!Z344,ITEM_RES!$J$5:$J$226,0)-1,0),0)</f>
        <v>0</v>
      </c>
      <c r="AC344" s="9" t="s">
        <v>522</v>
      </c>
      <c r="AD344" s="9">
        <v>20</v>
      </c>
      <c r="AF344" s="11">
        <f ca="1">IFERROR(OFFSET(MANOR_LEVEL!$B$1,MATCH(AG344-1,MANOR_LEVEL!$A:$A,0)-1,0),0)</f>
        <v>12172400</v>
      </c>
      <c r="AG344" s="56">
        <v>18</v>
      </c>
      <c r="AI344" s="56">
        <f t="shared" ca="1" si="106"/>
        <v>1500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1500.2</v>
      </c>
      <c r="AK344" s="182">
        <f t="shared" ca="1" si="120"/>
        <v>2750</v>
      </c>
      <c r="AM344" s="11">
        <f t="shared" si="118"/>
        <v>100</v>
      </c>
      <c r="AN344" s="10">
        <v>100</v>
      </c>
      <c r="AO344" s="11">
        <f t="shared" si="124"/>
        <v>1500</v>
      </c>
      <c r="AP344" s="10">
        <v>1500</v>
      </c>
      <c r="AQ344" s="11">
        <f t="shared" si="124"/>
        <v>0</v>
      </c>
      <c r="AR344" s="10">
        <v>0</v>
      </c>
      <c r="AS344" s="56">
        <f t="shared" si="119"/>
        <v>1</v>
      </c>
      <c r="AU344" s="11">
        <f ca="1">IFERROR(OFFSET(ITEM_RES!$A$1,MATCH(AV344,ITEM_RES!$J:$J,0)-1,0),0)</f>
        <v>211020901</v>
      </c>
      <c r="AV344" s="10" t="s">
        <v>444</v>
      </c>
      <c r="AW344" s="11">
        <v>1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 t="s">
        <v>930</v>
      </c>
      <c r="N345" s="16" t="s">
        <v>948</v>
      </c>
      <c r="O345" s="16">
        <v>1</v>
      </c>
      <c r="P345" s="16">
        <v>15</v>
      </c>
      <c r="Q345" s="16" t="s">
        <v>761</v>
      </c>
      <c r="R345" s="17"/>
      <c r="S345" s="17"/>
      <c r="T345" s="18"/>
      <c r="U345" s="16" t="s">
        <v>702</v>
      </c>
      <c r="V345" s="78"/>
      <c r="W345" s="86" t="s">
        <v>551</v>
      </c>
      <c r="X345" s="16">
        <f ca="1">IFERROR(OFFSET(ITEM_RES!$A$5,MATCH(BUILDING!W345,ITEM_RES!$J$5:$J$226,0)-1,0),0)</f>
        <v>211020601</v>
      </c>
      <c r="Y345" s="18">
        <v>2</v>
      </c>
      <c r="Z345" s="86" t="s">
        <v>546</v>
      </c>
      <c r="AA345" s="16">
        <f ca="1">IFERROR(OFFSET(ITEM_RES!$A$5,MATCH(BUILDING!Z345,ITEM_RES!$J$5:$J$226,0)-1,0),0)</f>
        <v>211020701</v>
      </c>
      <c r="AB345" s="78"/>
      <c r="AC345" s="16" t="s">
        <v>523</v>
      </c>
      <c r="AD345" s="16">
        <v>1</v>
      </c>
      <c r="AE345" s="78"/>
      <c r="AF345" s="18">
        <f ca="1">IFERROR(OFFSET(MANOR_LEVEL!$B$1,MATCH(AG345-1,MANOR_LEVEL!$A:$A,0)-1,0),0)</f>
        <v>456800</v>
      </c>
      <c r="AG345" s="57">
        <v>11</v>
      </c>
      <c r="AH345" s="78"/>
      <c r="AI345" s="57">
        <f t="shared" ca="1" si="106"/>
        <v>105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105.11</v>
      </c>
      <c r="AK345" s="184">
        <f ca="1">AI345</f>
        <v>105</v>
      </c>
      <c r="AL345" s="78"/>
      <c r="AM345" s="18">
        <f t="shared" si="118"/>
        <v>5</v>
      </c>
      <c r="AN345" s="17">
        <v>5</v>
      </c>
      <c r="AO345" s="18">
        <f t="shared" si="124"/>
        <v>5</v>
      </c>
      <c r="AP345" s="17">
        <v>5</v>
      </c>
      <c r="AQ345" s="18">
        <f t="shared" si="124"/>
        <v>0</v>
      </c>
      <c r="AR345" s="17">
        <v>0</v>
      </c>
      <c r="AS345" s="57">
        <f t="shared" si="11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1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1</v>
      </c>
      <c r="BC345" s="17"/>
      <c r="BD345" s="18"/>
      <c r="BE345" s="18">
        <f ca="1">IFERROR(OFFSET(ITEM_RES!$A$1,MATCH(BF345,ITEM_RES!$J:$J,0)-1,0),0)</f>
        <v>213010101</v>
      </c>
      <c r="BF345" s="17" t="s">
        <v>452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 t="s">
        <v>930</v>
      </c>
      <c r="N346" s="9" t="s">
        <v>948</v>
      </c>
      <c r="O346" s="9">
        <v>1</v>
      </c>
      <c r="P346" s="9">
        <v>15</v>
      </c>
      <c r="Q346" s="9" t="s">
        <v>761</v>
      </c>
      <c r="U346" s="9" t="s">
        <v>702</v>
      </c>
      <c r="W346" s="84" t="s">
        <v>551</v>
      </c>
      <c r="X346" s="9">
        <f ca="1">IFERROR(OFFSET(ITEM_RES!$A$5,MATCH(BUILDING!W346,ITEM_RES!$J$5:$J$226,0)-1,0),0)</f>
        <v>211020601</v>
      </c>
      <c r="Y346" s="11">
        <v>2</v>
      </c>
      <c r="Z346" s="84" t="s">
        <v>546</v>
      </c>
      <c r="AA346" s="9">
        <f ca="1">IFERROR(OFFSET(ITEM_RES!$A$5,MATCH(BUILDING!Z346,ITEM_RES!$J$5:$J$226,0)-1,0),0)</f>
        <v>211020701</v>
      </c>
      <c r="AC346" s="9" t="s">
        <v>523</v>
      </c>
      <c r="AD346" s="9">
        <v>2</v>
      </c>
      <c r="AF346" s="11">
        <f ca="1">IFERROR(OFFSET(MANOR_LEVEL!$B$1,MATCH(AG346-1,MANOR_LEVEL!$A:$A,0)-1,0),0)</f>
        <v>456800</v>
      </c>
      <c r="AG346" s="56">
        <v>11</v>
      </c>
      <c r="AI346" s="56">
        <f t="shared" ca="1" si="106"/>
        <v>10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10.11</v>
      </c>
      <c r="AK346" s="182">
        <f ca="1">AI345+AI346</f>
        <v>115</v>
      </c>
      <c r="AM346" s="11">
        <f t="shared" si="118"/>
        <v>10</v>
      </c>
      <c r="AN346" s="10">
        <v>10</v>
      </c>
      <c r="AO346" s="11">
        <f t="shared" si="124"/>
        <v>10</v>
      </c>
      <c r="AP346" s="10">
        <v>10</v>
      </c>
      <c r="AQ346" s="11">
        <f t="shared" si="124"/>
        <v>0</v>
      </c>
      <c r="AR346" s="10">
        <v>0</v>
      </c>
      <c r="AS346" s="56">
        <f t="shared" si="11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1</v>
      </c>
      <c r="AZ346" s="11">
        <f ca="1">IFERROR(OFFSET(ITEM_RES!$A$1,MATCH(BA346,ITEM_RES!$J:$J,0)-1,0),0)</f>
        <v>211020801</v>
      </c>
      <c r="BA346" s="10" t="s">
        <v>435</v>
      </c>
      <c r="BB346" s="11">
        <v>1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 t="s">
        <v>930</v>
      </c>
      <c r="N347" s="9" t="s">
        <v>948</v>
      </c>
      <c r="O347" s="9">
        <v>1</v>
      </c>
      <c r="P347" s="9">
        <v>15</v>
      </c>
      <c r="Q347" s="9" t="s">
        <v>761</v>
      </c>
      <c r="U347" s="9" t="s">
        <v>702</v>
      </c>
      <c r="W347" s="84" t="s">
        <v>551</v>
      </c>
      <c r="X347" s="9">
        <f ca="1">IFERROR(OFFSET(ITEM_RES!$A$5,MATCH(BUILDING!W347,ITEM_RES!$J$5:$J$226,0)-1,0),0)</f>
        <v>211020601</v>
      </c>
      <c r="Y347" s="11">
        <v>2</v>
      </c>
      <c r="Z347" s="84" t="s">
        <v>546</v>
      </c>
      <c r="AA347" s="9">
        <f ca="1">IFERROR(OFFSET(ITEM_RES!$A$5,MATCH(BUILDING!Z347,ITEM_RES!$J$5:$J$226,0)-1,0),0)</f>
        <v>211020701</v>
      </c>
      <c r="AC347" s="9" t="s">
        <v>523</v>
      </c>
      <c r="AD347" s="9">
        <v>3</v>
      </c>
      <c r="AF347" s="11">
        <f ca="1">IFERROR(OFFSET(MANOR_LEVEL!$B$1,MATCH(AG347-1,MANOR_LEVEL!$A:$A,0)-1,0),0)</f>
        <v>796000</v>
      </c>
      <c r="AG347" s="56">
        <v>12</v>
      </c>
      <c r="AI347" s="56">
        <f t="shared" ca="1" si="106"/>
        <v>15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15.11</v>
      </c>
      <c r="AK347" s="182">
        <f t="shared" ref="AK347:AK364" ca="1" si="125">AI346+AI347</f>
        <v>25</v>
      </c>
      <c r="AM347" s="11">
        <f t="shared" si="118"/>
        <v>15</v>
      </c>
      <c r="AN347" s="10">
        <v>15</v>
      </c>
      <c r="AO347" s="11">
        <f t="shared" si="124"/>
        <v>15</v>
      </c>
      <c r="AP347" s="10">
        <v>15</v>
      </c>
      <c r="AQ347" s="11">
        <f t="shared" si="124"/>
        <v>0</v>
      </c>
      <c r="AR347" s="10">
        <v>0</v>
      </c>
      <c r="AS347" s="56">
        <f t="shared" si="11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1</v>
      </c>
      <c r="AZ347" s="11">
        <f ca="1">IFERROR(OFFSET(ITEM_RES!$A$1,MATCH(BA347,ITEM_RES!$J:$J,0)-1,0),0)</f>
        <v>211020801</v>
      </c>
      <c r="BA347" s="10" t="s">
        <v>435</v>
      </c>
      <c r="BB347" s="11">
        <v>1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 t="s">
        <v>930</v>
      </c>
      <c r="N348" s="9" t="s">
        <v>948</v>
      </c>
      <c r="O348" s="9">
        <v>1</v>
      </c>
      <c r="P348" s="9">
        <v>15</v>
      </c>
      <c r="Q348" s="9" t="s">
        <v>761</v>
      </c>
      <c r="U348" s="9" t="s">
        <v>702</v>
      </c>
      <c r="W348" s="84" t="s">
        <v>551</v>
      </c>
      <c r="X348" s="9">
        <f ca="1">IFERROR(OFFSET(ITEM_RES!$A$5,MATCH(BUILDING!W348,ITEM_RES!$J$5:$J$226,0)-1,0),0)</f>
        <v>211020601</v>
      </c>
      <c r="Y348" s="11">
        <v>2</v>
      </c>
      <c r="Z348" s="84" t="s">
        <v>546</v>
      </c>
      <c r="AA348" s="9">
        <f ca="1">IFERROR(OFFSET(ITEM_RES!$A$5,MATCH(BUILDING!Z348,ITEM_RES!$J$5:$J$226,0)-1,0),0)</f>
        <v>211020701</v>
      </c>
      <c r="AC348" s="9" t="s">
        <v>523</v>
      </c>
      <c r="AD348" s="9">
        <v>4</v>
      </c>
      <c r="AF348" s="11">
        <f ca="1">IFERROR(OFFSET(MANOR_LEVEL!$B$1,MATCH(AG348-1,MANOR_LEVEL!$A:$A,0)-1,0),0)</f>
        <v>1156400</v>
      </c>
      <c r="AG348" s="56">
        <v>13</v>
      </c>
      <c r="AI348" s="56">
        <f t="shared" ca="1" si="106"/>
        <v>25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25.11</v>
      </c>
      <c r="AK348" s="182">
        <f t="shared" ca="1" si="125"/>
        <v>40</v>
      </c>
      <c r="AM348" s="11">
        <f t="shared" si="118"/>
        <v>20</v>
      </c>
      <c r="AN348" s="10">
        <v>20</v>
      </c>
      <c r="AO348" s="11">
        <f t="shared" si="124"/>
        <v>25</v>
      </c>
      <c r="AP348" s="10">
        <v>25</v>
      </c>
      <c r="AQ348" s="11">
        <f t="shared" si="124"/>
        <v>0</v>
      </c>
      <c r="AR348" s="10">
        <v>0</v>
      </c>
      <c r="AS348" s="56">
        <f t="shared" si="11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</v>
      </c>
      <c r="AZ348" s="11">
        <f ca="1">IFERROR(OFFSET(ITEM_RES!$A$1,MATCH(BA348,ITEM_RES!$J:$J,0)-1,0),0)</f>
        <v>211020801</v>
      </c>
      <c r="BA348" s="10" t="s">
        <v>435</v>
      </c>
      <c r="BB348" s="11">
        <v>1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 t="s">
        <v>930</v>
      </c>
      <c r="N349" s="9" t="s">
        <v>948</v>
      </c>
      <c r="O349" s="9">
        <v>1</v>
      </c>
      <c r="P349" s="9">
        <v>15</v>
      </c>
      <c r="Q349" s="9" t="s">
        <v>761</v>
      </c>
      <c r="U349" s="9" t="s">
        <v>702</v>
      </c>
      <c r="W349" s="84" t="s">
        <v>551</v>
      </c>
      <c r="X349" s="9">
        <f ca="1">IFERROR(OFFSET(ITEM_RES!$A$5,MATCH(BUILDING!W349,ITEM_RES!$J$5:$J$226,0)-1,0),0)</f>
        <v>211020601</v>
      </c>
      <c r="Y349" s="11">
        <v>2</v>
      </c>
      <c r="Z349" s="84" t="s">
        <v>546</v>
      </c>
      <c r="AA349" s="9">
        <f ca="1">IFERROR(OFFSET(ITEM_RES!$A$5,MATCH(BUILDING!Z349,ITEM_RES!$J$5:$J$226,0)-1,0),0)</f>
        <v>211020701</v>
      </c>
      <c r="AC349" s="9" t="s">
        <v>523</v>
      </c>
      <c r="AD349" s="9">
        <v>5</v>
      </c>
      <c r="AF349" s="11">
        <f ca="1">IFERROR(OFFSET(MANOR_LEVEL!$B$1,MATCH(AG349-1,MANOR_LEVEL!$A:$A,0)-1,0),0)</f>
        <v>1156400</v>
      </c>
      <c r="AG349" s="56">
        <v>13</v>
      </c>
      <c r="AI349" s="56">
        <f t="shared" ca="1" si="106"/>
        <v>40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40.11</v>
      </c>
      <c r="AK349" s="182">
        <f t="shared" ca="1" si="125"/>
        <v>65</v>
      </c>
      <c r="AM349" s="11">
        <f t="shared" si="118"/>
        <v>25</v>
      </c>
      <c r="AN349" s="10">
        <v>25</v>
      </c>
      <c r="AO349" s="11">
        <f t="shared" si="124"/>
        <v>40</v>
      </c>
      <c r="AP349" s="10">
        <v>40</v>
      </c>
      <c r="AQ349" s="11">
        <f t="shared" si="124"/>
        <v>0</v>
      </c>
      <c r="AR349" s="10">
        <v>0</v>
      </c>
      <c r="AS349" s="56">
        <f t="shared" si="11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1</v>
      </c>
      <c r="AZ349" s="11">
        <f ca="1">IFERROR(OFFSET(ITEM_RES!$A$1,MATCH(BA349,ITEM_RES!$J:$J,0)-1,0),0)</f>
        <v>211020801</v>
      </c>
      <c r="BA349" s="10" t="s">
        <v>435</v>
      </c>
      <c r="BB349" s="11">
        <v>1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 t="s">
        <v>930</v>
      </c>
      <c r="N350" s="9" t="s">
        <v>948</v>
      </c>
      <c r="O350" s="9">
        <v>1</v>
      </c>
      <c r="P350" s="9">
        <v>15</v>
      </c>
      <c r="Q350" s="9" t="s">
        <v>761</v>
      </c>
      <c r="U350" s="9" t="s">
        <v>702</v>
      </c>
      <c r="W350" s="84" t="s">
        <v>551</v>
      </c>
      <c r="X350" s="9">
        <f ca="1">IFERROR(OFFSET(ITEM_RES!$A$5,MATCH(BUILDING!W350,ITEM_RES!$J$5:$J$226,0)-1,0),0)</f>
        <v>211020601</v>
      </c>
      <c r="Y350" s="11">
        <v>2</v>
      </c>
      <c r="Z350" s="84" t="s">
        <v>546</v>
      </c>
      <c r="AA350" s="9">
        <f ca="1">IFERROR(OFFSET(ITEM_RES!$A$5,MATCH(BUILDING!Z350,ITEM_RES!$J$5:$J$226,0)-1,0),0)</f>
        <v>211020701</v>
      </c>
      <c r="AC350" s="9" t="s">
        <v>523</v>
      </c>
      <c r="AD350" s="9">
        <v>6</v>
      </c>
      <c r="AF350" s="11">
        <f ca="1">IFERROR(OFFSET(MANOR_LEVEL!$B$1,MATCH(AG350-1,MANOR_LEVEL!$A:$A,0)-1,0),0)</f>
        <v>4232000</v>
      </c>
      <c r="AG350" s="56">
        <v>16</v>
      </c>
      <c r="AI350" s="56">
        <f t="shared" ca="1" si="106"/>
        <v>50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50.11</v>
      </c>
      <c r="AK350" s="182">
        <f t="shared" ca="1" si="125"/>
        <v>90</v>
      </c>
      <c r="AM350" s="11">
        <f t="shared" si="118"/>
        <v>30</v>
      </c>
      <c r="AN350" s="10">
        <v>30</v>
      </c>
      <c r="AO350" s="11">
        <f t="shared" si="124"/>
        <v>50</v>
      </c>
      <c r="AP350" s="10">
        <v>50</v>
      </c>
      <c r="AQ350" s="11">
        <f t="shared" si="124"/>
        <v>0</v>
      </c>
      <c r="AR350" s="10">
        <v>0</v>
      </c>
      <c r="AS350" s="56">
        <f t="shared" si="11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1</v>
      </c>
      <c r="AZ350" s="11">
        <f ca="1">IFERROR(OFFSET(ITEM_RES!$A$1,MATCH(BA350,ITEM_RES!$J:$J,0)-1,0),0)</f>
        <v>211020801</v>
      </c>
      <c r="BA350" s="10" t="s">
        <v>435</v>
      </c>
      <c r="BB350" s="11">
        <v>1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 t="s">
        <v>930</v>
      </c>
      <c r="N351" s="9" t="s">
        <v>948</v>
      </c>
      <c r="O351" s="9">
        <v>1</v>
      </c>
      <c r="P351" s="9">
        <v>15</v>
      </c>
      <c r="Q351" s="9" t="s">
        <v>761</v>
      </c>
      <c r="U351" s="9" t="s">
        <v>702</v>
      </c>
      <c r="W351" s="84" t="s">
        <v>551</v>
      </c>
      <c r="X351" s="9">
        <f ca="1">IFERROR(OFFSET(ITEM_RES!$A$5,MATCH(BUILDING!W351,ITEM_RES!$J$5:$J$226,0)-1,0),0)</f>
        <v>211020601</v>
      </c>
      <c r="Y351" s="11">
        <v>2</v>
      </c>
      <c r="Z351" s="84" t="s">
        <v>546</v>
      </c>
      <c r="AA351" s="9">
        <f ca="1">IFERROR(OFFSET(ITEM_RES!$A$5,MATCH(BUILDING!Z351,ITEM_RES!$J$5:$J$226,0)-1,0),0)</f>
        <v>211020701</v>
      </c>
      <c r="AC351" s="9" t="s">
        <v>523</v>
      </c>
      <c r="AD351" s="9">
        <v>7</v>
      </c>
      <c r="AF351" s="11">
        <f ca="1">IFERROR(OFFSET(MANOR_LEVEL!$B$1,MATCH(AG351-1,MANOR_LEVEL!$A:$A,0)-1,0),0)</f>
        <v>4232000</v>
      </c>
      <c r="AG351" s="56">
        <v>16</v>
      </c>
      <c r="AI351" s="56">
        <f t="shared" ca="1" si="106"/>
        <v>100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100.11</v>
      </c>
      <c r="AK351" s="182">
        <f t="shared" ca="1" si="125"/>
        <v>150</v>
      </c>
      <c r="AM351" s="11">
        <f t="shared" si="118"/>
        <v>35</v>
      </c>
      <c r="AN351" s="10">
        <v>35</v>
      </c>
      <c r="AO351" s="11">
        <f t="shared" si="124"/>
        <v>100</v>
      </c>
      <c r="AP351" s="10">
        <v>100</v>
      </c>
      <c r="AQ351" s="11">
        <f t="shared" si="124"/>
        <v>0</v>
      </c>
      <c r="AR351" s="10">
        <v>0</v>
      </c>
      <c r="AS351" s="56">
        <f t="shared" si="119"/>
        <v>2</v>
      </c>
      <c r="AU351" s="11">
        <f ca="1">IFERROR(OFFSET(ITEM_RES!$A$1,MATCH(AV351,ITEM_RES!$J:$J,0)-1,0),0)</f>
        <v>211020401</v>
      </c>
      <c r="AV351" s="10" t="s">
        <v>436</v>
      </c>
      <c r="AW351" s="11">
        <v>1</v>
      </c>
      <c r="AZ351" s="11">
        <f ca="1">IFERROR(OFFSET(ITEM_RES!$A$1,MATCH(BA351,ITEM_RES!$J:$J,0)-1,0),0)</f>
        <v>211020801</v>
      </c>
      <c r="BA351" s="10" t="s">
        <v>435</v>
      </c>
      <c r="BB351" s="11">
        <v>1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  <c r="BO351" s="11">
        <f ca="1">IFERROR(OFFSET(ITEM_RES!$A$1,MATCH(BP351,ITEM_RES!$J:$J,0)-1,0),0)</f>
        <v>0</v>
      </c>
    </row>
    <row r="352" spans="1:70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 t="s">
        <v>930</v>
      </c>
      <c r="N352" s="9" t="s">
        <v>948</v>
      </c>
      <c r="O352" s="9">
        <v>1</v>
      </c>
      <c r="P352" s="9">
        <v>15</v>
      </c>
      <c r="Q352" s="9" t="s">
        <v>761</v>
      </c>
      <c r="U352" s="9" t="s">
        <v>702</v>
      </c>
      <c r="W352" s="84" t="s">
        <v>551</v>
      </c>
      <c r="X352" s="9">
        <f ca="1">IFERROR(OFFSET(ITEM_RES!$A$5,MATCH(BUILDING!W352,ITEM_RES!$J$5:$J$226,0)-1,0),0)</f>
        <v>211020601</v>
      </c>
      <c r="Y352" s="11">
        <v>2</v>
      </c>
      <c r="Z352" s="84" t="s">
        <v>546</v>
      </c>
      <c r="AA352" s="9">
        <f ca="1">IFERROR(OFFSET(ITEM_RES!$A$5,MATCH(BUILDING!Z352,ITEM_RES!$J$5:$J$226,0)-1,0),0)</f>
        <v>211020701</v>
      </c>
      <c r="AC352" s="9" t="s">
        <v>523</v>
      </c>
      <c r="AD352" s="9">
        <v>8</v>
      </c>
      <c r="AF352" s="11">
        <f ca="1">IFERROR(OFFSET(MANOR_LEVEL!$B$1,MATCH(AG352-1,MANOR_LEVEL!$A:$A,0)-1,0),0)</f>
        <v>4232000</v>
      </c>
      <c r="AG352" s="56">
        <v>16</v>
      </c>
      <c r="AI352" s="56">
        <f t="shared" ca="1" si="106"/>
        <v>600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600.11</v>
      </c>
      <c r="AK352" s="182">
        <f t="shared" ca="1" si="125"/>
        <v>700</v>
      </c>
      <c r="AM352" s="11">
        <f t="shared" si="118"/>
        <v>40</v>
      </c>
      <c r="AN352" s="10">
        <v>40</v>
      </c>
      <c r="AO352" s="11">
        <f t="shared" si="124"/>
        <v>100</v>
      </c>
      <c r="AP352" s="10">
        <v>100</v>
      </c>
      <c r="AQ352" s="11">
        <f t="shared" si="124"/>
        <v>0</v>
      </c>
      <c r="AR352" s="10">
        <v>0</v>
      </c>
      <c r="AS352" s="56">
        <f t="shared" si="119"/>
        <v>3</v>
      </c>
      <c r="AU352" s="11">
        <f ca="1">IFERROR(OFFSET(ITEM_RES!$A$1,MATCH(AV352,ITEM_RES!$J:$J,0)-1,0),0)</f>
        <v>211020401</v>
      </c>
      <c r="AV352" s="10" t="s">
        <v>436</v>
      </c>
      <c r="AW352" s="11">
        <v>1</v>
      </c>
      <c r="AZ352" s="11">
        <f ca="1">IFERROR(OFFSET(ITEM_RES!$A$1,MATCH(BA352,ITEM_RES!$J:$J,0)-1,0),0)</f>
        <v>211020801</v>
      </c>
      <c r="BA352" s="10" t="s">
        <v>435</v>
      </c>
      <c r="BB352" s="11">
        <v>1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213011001</v>
      </c>
      <c r="BK352" s="10" t="s">
        <v>465</v>
      </c>
      <c r="BL352" s="11">
        <v>1</v>
      </c>
      <c r="BO352" s="11">
        <f ca="1">IFERROR(OFFSET(ITEM_RES!$A$1,MATCH(BP352,ITEM_RES!$J:$J,0)-1,0),0)</f>
        <v>0</v>
      </c>
    </row>
    <row r="353" spans="1:70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 t="s">
        <v>930</v>
      </c>
      <c r="N353" s="9" t="s">
        <v>948</v>
      </c>
      <c r="O353" s="9">
        <v>1</v>
      </c>
      <c r="P353" s="9">
        <v>15</v>
      </c>
      <c r="Q353" s="9" t="s">
        <v>761</v>
      </c>
      <c r="U353" s="9" t="s">
        <v>702</v>
      </c>
      <c r="W353" s="84" t="s">
        <v>551</v>
      </c>
      <c r="X353" s="9">
        <f ca="1">IFERROR(OFFSET(ITEM_RES!$A$5,MATCH(BUILDING!W353,ITEM_RES!$J$5:$J$226,0)-1,0),0)</f>
        <v>211020601</v>
      </c>
      <c r="Y353" s="11">
        <v>2</v>
      </c>
      <c r="Z353" s="84" t="s">
        <v>546</v>
      </c>
      <c r="AA353" s="9">
        <f ca="1">IFERROR(OFFSET(ITEM_RES!$A$5,MATCH(BUILDING!Z353,ITEM_RES!$J$5:$J$226,0)-1,0),0)</f>
        <v>211020701</v>
      </c>
      <c r="AC353" s="9" t="s">
        <v>523</v>
      </c>
      <c r="AD353" s="9">
        <v>9</v>
      </c>
      <c r="AF353" s="11">
        <f ca="1">IFERROR(OFFSET(MANOR_LEVEL!$B$1,MATCH(AG353-1,MANOR_LEVEL!$A:$A,0)-1,0),0)</f>
        <v>4232000</v>
      </c>
      <c r="AG353" s="56">
        <v>16</v>
      </c>
      <c r="AI353" s="56">
        <f t="shared" ca="1" si="106"/>
        <v>150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150.30000000000001</v>
      </c>
      <c r="AK353" s="182">
        <f t="shared" ca="1" si="125"/>
        <v>750</v>
      </c>
      <c r="AM353" s="11">
        <f t="shared" si="118"/>
        <v>45</v>
      </c>
      <c r="AN353" s="10">
        <v>45</v>
      </c>
      <c r="AO353" s="11">
        <f t="shared" si="124"/>
        <v>150</v>
      </c>
      <c r="AP353" s="10">
        <v>150</v>
      </c>
      <c r="AQ353" s="11">
        <f t="shared" si="124"/>
        <v>0</v>
      </c>
      <c r="AR353" s="10">
        <v>0</v>
      </c>
      <c r="AS353" s="56">
        <f t="shared" si="119"/>
        <v>2</v>
      </c>
      <c r="AU353" s="11">
        <f ca="1">IFERROR(OFFSET(ITEM_RES!$A$1,MATCH(AV353,ITEM_RES!$J:$J,0)-1,0),0)</f>
        <v>211020501</v>
      </c>
      <c r="AV353" s="10" t="s">
        <v>433</v>
      </c>
      <c r="AW353" s="11">
        <v>1</v>
      </c>
      <c r="AZ353" s="11">
        <f ca="1">IFERROR(OFFSET(ITEM_RES!$A$1,MATCH(BA353,ITEM_RES!$J:$J,0)-1,0),0)</f>
        <v>211020801</v>
      </c>
      <c r="BA353" s="10" t="s">
        <v>435</v>
      </c>
      <c r="BB353" s="11">
        <v>1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 t="s">
        <v>930</v>
      </c>
      <c r="N354" s="9" t="s">
        <v>948</v>
      </c>
      <c r="O354" s="9">
        <v>1</v>
      </c>
      <c r="P354" s="9">
        <v>15</v>
      </c>
      <c r="Q354" s="9" t="s">
        <v>761</v>
      </c>
      <c r="U354" s="9" t="s">
        <v>702</v>
      </c>
      <c r="W354" s="84" t="s">
        <v>551</v>
      </c>
      <c r="X354" s="9">
        <f ca="1">IFERROR(OFFSET(ITEM_RES!$A$5,MATCH(BUILDING!W354,ITEM_RES!$J$5:$J$226,0)-1,0),0)</f>
        <v>211020601</v>
      </c>
      <c r="Y354" s="11">
        <v>2</v>
      </c>
      <c r="Z354" s="84" t="s">
        <v>546</v>
      </c>
      <c r="AA354" s="9">
        <f ca="1">IFERROR(OFFSET(ITEM_RES!$A$5,MATCH(BUILDING!Z354,ITEM_RES!$J$5:$J$226,0)-1,0),0)</f>
        <v>211020701</v>
      </c>
      <c r="AC354" s="9" t="s">
        <v>523</v>
      </c>
      <c r="AD354" s="9">
        <v>10</v>
      </c>
      <c r="AF354" s="11">
        <f ca="1">IFERROR(OFFSET(MANOR_LEVEL!$B$1,MATCH(AG354-1,MANOR_LEVEL!$A:$A,0)-1,0),0)</f>
        <v>4232000</v>
      </c>
      <c r="AG354" s="56">
        <v>16</v>
      </c>
      <c r="AI354" s="56">
        <f t="shared" ca="1" si="106"/>
        <v>200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200.3</v>
      </c>
      <c r="AK354" s="182">
        <f t="shared" ca="1" si="125"/>
        <v>350</v>
      </c>
      <c r="AM354" s="11">
        <f t="shared" si="118"/>
        <v>50</v>
      </c>
      <c r="AN354" s="10">
        <v>50</v>
      </c>
      <c r="AO354" s="11">
        <f t="shared" si="124"/>
        <v>200</v>
      </c>
      <c r="AP354" s="10">
        <v>200</v>
      </c>
      <c r="AQ354" s="11">
        <f t="shared" si="124"/>
        <v>0</v>
      </c>
      <c r="AR354" s="10">
        <v>0</v>
      </c>
      <c r="AS354" s="56">
        <f t="shared" si="119"/>
        <v>2</v>
      </c>
      <c r="AU354" s="11">
        <f ca="1">IFERROR(OFFSET(ITEM_RES!$A$1,MATCH(AV354,ITEM_RES!$J:$J,0)-1,0),0)</f>
        <v>211020501</v>
      </c>
      <c r="AV354" s="10" t="s">
        <v>433</v>
      </c>
      <c r="AW354" s="11">
        <v>1</v>
      </c>
      <c r="AZ354" s="11">
        <f ca="1">IFERROR(OFFSET(ITEM_RES!$A$1,MATCH(BA354,ITEM_RES!$J:$J,0)-1,0),0)</f>
        <v>211020801</v>
      </c>
      <c r="BA354" s="10" t="s">
        <v>435</v>
      </c>
      <c r="BB354" s="11">
        <v>1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 t="s">
        <v>930</v>
      </c>
      <c r="N355" s="9" t="s">
        <v>948</v>
      </c>
      <c r="O355" s="9">
        <v>1</v>
      </c>
      <c r="P355" s="9">
        <v>15</v>
      </c>
      <c r="Q355" s="9" t="s">
        <v>761</v>
      </c>
      <c r="U355" s="9" t="s">
        <v>702</v>
      </c>
      <c r="W355" s="84" t="s">
        <v>551</v>
      </c>
      <c r="X355" s="9">
        <f ca="1">IFERROR(OFFSET(ITEM_RES!$A$5,MATCH(BUILDING!W355,ITEM_RES!$J$5:$J$226,0)-1,0),0)</f>
        <v>211020601</v>
      </c>
      <c r="Y355" s="11">
        <v>2</v>
      </c>
      <c r="Z355" s="84" t="s">
        <v>546</v>
      </c>
      <c r="AA355" s="9">
        <f ca="1">IFERROR(OFFSET(ITEM_RES!$A$5,MATCH(BUILDING!Z355,ITEM_RES!$J$5:$J$226,0)-1,0),0)</f>
        <v>211020701</v>
      </c>
      <c r="AC355" s="9" t="s">
        <v>523</v>
      </c>
      <c r="AD355" s="9">
        <v>11</v>
      </c>
      <c r="AF355" s="11">
        <f ca="1">IFERROR(OFFSET(MANOR_LEVEL!$B$1,MATCH(AG355-1,MANOR_LEVEL!$A:$A,0)-1,0),0)</f>
        <v>4232000</v>
      </c>
      <c r="AG355" s="56">
        <v>16</v>
      </c>
      <c r="AI355" s="56">
        <f t="shared" ca="1" si="106"/>
        <v>250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250.3</v>
      </c>
      <c r="AK355" s="182">
        <f t="shared" ca="1" si="125"/>
        <v>450</v>
      </c>
      <c r="AM355" s="11">
        <f t="shared" si="118"/>
        <v>55</v>
      </c>
      <c r="AN355" s="10">
        <v>55</v>
      </c>
      <c r="AO355" s="11">
        <f t="shared" si="124"/>
        <v>250</v>
      </c>
      <c r="AP355" s="10">
        <v>250</v>
      </c>
      <c r="AQ355" s="11">
        <f t="shared" si="124"/>
        <v>0</v>
      </c>
      <c r="AR355" s="10">
        <v>0</v>
      </c>
      <c r="AS355" s="56">
        <f t="shared" si="119"/>
        <v>2</v>
      </c>
      <c r="AU355" s="11">
        <f ca="1">IFERROR(OFFSET(ITEM_RES!$A$1,MATCH(AV355,ITEM_RES!$J:$J,0)-1,0),0)</f>
        <v>211020501</v>
      </c>
      <c r="AV355" s="10" t="s">
        <v>433</v>
      </c>
      <c r="AW355" s="11">
        <v>1</v>
      </c>
      <c r="AZ355" s="11">
        <f ca="1">IFERROR(OFFSET(ITEM_RES!$A$1,MATCH(BA355,ITEM_RES!$J:$J,0)-1,0),0)</f>
        <v>211020801</v>
      </c>
      <c r="BA355" s="10" t="s">
        <v>435</v>
      </c>
      <c r="BB355" s="11">
        <v>1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 t="s">
        <v>930</v>
      </c>
      <c r="N356" s="9" t="s">
        <v>948</v>
      </c>
      <c r="O356" s="9">
        <v>1</v>
      </c>
      <c r="P356" s="9">
        <v>15</v>
      </c>
      <c r="Q356" s="9" t="s">
        <v>761</v>
      </c>
      <c r="U356" s="9" t="s">
        <v>702</v>
      </c>
      <c r="W356" s="84" t="s">
        <v>551</v>
      </c>
      <c r="X356" s="9">
        <f ca="1">IFERROR(OFFSET(ITEM_RES!$A$5,MATCH(BUILDING!W356,ITEM_RES!$J$5:$J$226,0)-1,0),0)</f>
        <v>211020601</v>
      </c>
      <c r="Y356" s="11">
        <v>2</v>
      </c>
      <c r="Z356" s="84" t="s">
        <v>546</v>
      </c>
      <c r="AA356" s="9">
        <f ca="1">IFERROR(OFFSET(ITEM_RES!$A$5,MATCH(BUILDING!Z356,ITEM_RES!$J$5:$J$226,0)-1,0),0)</f>
        <v>211020701</v>
      </c>
      <c r="AC356" s="9" t="s">
        <v>523</v>
      </c>
      <c r="AD356" s="9">
        <v>12</v>
      </c>
      <c r="AF356" s="11">
        <f ca="1">IFERROR(OFFSET(MANOR_LEVEL!$B$1,MATCH(AG356-1,MANOR_LEVEL!$A:$A,0)-1,0),0)</f>
        <v>4232000</v>
      </c>
      <c r="AG356" s="56">
        <v>16</v>
      </c>
      <c r="AI356" s="56">
        <f t="shared" ca="1" si="106"/>
        <v>300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300.3</v>
      </c>
      <c r="AK356" s="182">
        <f t="shared" ca="1" si="125"/>
        <v>550</v>
      </c>
      <c r="AM356" s="11">
        <f t="shared" si="118"/>
        <v>60</v>
      </c>
      <c r="AN356" s="10">
        <v>60</v>
      </c>
      <c r="AO356" s="11">
        <f t="shared" si="124"/>
        <v>300</v>
      </c>
      <c r="AP356" s="10">
        <v>300</v>
      </c>
      <c r="AQ356" s="11">
        <f t="shared" si="124"/>
        <v>0</v>
      </c>
      <c r="AR356" s="10">
        <v>0</v>
      </c>
      <c r="AS356" s="56">
        <f t="shared" si="11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</v>
      </c>
      <c r="AZ356" s="11">
        <f ca="1">IFERROR(OFFSET(ITEM_RES!$A$1,MATCH(BA356,ITEM_RES!$J:$J,0)-1,0),0)</f>
        <v>211020801</v>
      </c>
      <c r="BA356" s="10" t="s">
        <v>435</v>
      </c>
      <c r="BB356" s="11">
        <v>1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 t="s">
        <v>930</v>
      </c>
      <c r="N357" s="9" t="s">
        <v>948</v>
      </c>
      <c r="O357" s="9">
        <v>1</v>
      </c>
      <c r="P357" s="9">
        <v>15</v>
      </c>
      <c r="Q357" s="9" t="s">
        <v>761</v>
      </c>
      <c r="U357" s="9" t="s">
        <v>702</v>
      </c>
      <c r="W357" s="84" t="s">
        <v>551</v>
      </c>
      <c r="X357" s="9">
        <f ca="1">IFERROR(OFFSET(ITEM_RES!$A$5,MATCH(BUILDING!W357,ITEM_RES!$J$5:$J$226,0)-1,0),0)</f>
        <v>211020601</v>
      </c>
      <c r="Y357" s="11">
        <v>2</v>
      </c>
      <c r="Z357" s="84" t="s">
        <v>546</v>
      </c>
      <c r="AA357" s="9">
        <f ca="1">IFERROR(OFFSET(ITEM_RES!$A$5,MATCH(BUILDING!Z357,ITEM_RES!$J$5:$J$226,0)-1,0),0)</f>
        <v>211020701</v>
      </c>
      <c r="AC357" s="9" t="s">
        <v>523</v>
      </c>
      <c r="AD357" s="9">
        <v>13</v>
      </c>
      <c r="AF357" s="11">
        <f ca="1">IFERROR(OFFSET(MANOR_LEVEL!$B$1,MATCH(AG357-1,MANOR_LEVEL!$A:$A,0)-1,0),0)</f>
        <v>4232000</v>
      </c>
      <c r="AG357" s="56">
        <v>16</v>
      </c>
      <c r="AI357" s="56">
        <f t="shared" ca="1" si="106"/>
        <v>350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350.3</v>
      </c>
      <c r="AK357" s="182">
        <f t="shared" ca="1" si="125"/>
        <v>650</v>
      </c>
      <c r="AM357" s="11">
        <f t="shared" si="118"/>
        <v>65</v>
      </c>
      <c r="AN357" s="10">
        <v>65</v>
      </c>
      <c r="AO357" s="11">
        <f t="shared" si="124"/>
        <v>350</v>
      </c>
      <c r="AP357" s="10">
        <v>350</v>
      </c>
      <c r="AQ357" s="11">
        <f t="shared" si="124"/>
        <v>0</v>
      </c>
      <c r="AR357" s="10">
        <v>0</v>
      </c>
      <c r="AS357" s="56">
        <f t="shared" si="11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</v>
      </c>
      <c r="AZ357" s="11">
        <f ca="1">IFERROR(OFFSET(ITEM_RES!$A$1,MATCH(BA357,ITEM_RES!$J:$J,0)-1,0),0)</f>
        <v>211020801</v>
      </c>
      <c r="BA357" s="10" t="s">
        <v>435</v>
      </c>
      <c r="BB357" s="11">
        <v>1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 t="s">
        <v>930</v>
      </c>
      <c r="N358" s="9" t="s">
        <v>948</v>
      </c>
      <c r="O358" s="9">
        <v>1</v>
      </c>
      <c r="P358" s="9">
        <v>15</v>
      </c>
      <c r="Q358" s="9" t="s">
        <v>761</v>
      </c>
      <c r="U358" s="9" t="s">
        <v>702</v>
      </c>
      <c r="W358" s="84" t="s">
        <v>551</v>
      </c>
      <c r="X358" s="9">
        <f ca="1">IFERROR(OFFSET(ITEM_RES!$A$5,MATCH(BUILDING!W358,ITEM_RES!$J$5:$J$226,0)-1,0),0)</f>
        <v>211020601</v>
      </c>
      <c r="Y358" s="11">
        <v>2</v>
      </c>
      <c r="Z358" s="84" t="s">
        <v>546</v>
      </c>
      <c r="AA358" s="9">
        <f ca="1">IFERROR(OFFSET(ITEM_RES!$A$5,MATCH(BUILDING!Z358,ITEM_RES!$J$5:$J$226,0)-1,0),0)</f>
        <v>211020701</v>
      </c>
      <c r="AC358" s="9" t="s">
        <v>523</v>
      </c>
      <c r="AD358" s="9">
        <v>14</v>
      </c>
      <c r="AF358" s="11">
        <f ca="1">IFERROR(OFFSET(MANOR_LEVEL!$B$1,MATCH(AG358-1,MANOR_LEVEL!$A:$A,0)-1,0),0)</f>
        <v>4232000</v>
      </c>
      <c r="AG358" s="56">
        <v>16</v>
      </c>
      <c r="AI358" s="56">
        <f t="shared" ca="1" si="106"/>
        <v>450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450.3</v>
      </c>
      <c r="AK358" s="182">
        <f t="shared" ca="1" si="125"/>
        <v>800</v>
      </c>
      <c r="AM358" s="11">
        <f t="shared" si="118"/>
        <v>70</v>
      </c>
      <c r="AN358" s="10">
        <v>70</v>
      </c>
      <c r="AO358" s="11">
        <f t="shared" si="124"/>
        <v>450</v>
      </c>
      <c r="AP358" s="10">
        <v>450</v>
      </c>
      <c r="AQ358" s="11">
        <f t="shared" si="124"/>
        <v>0</v>
      </c>
      <c r="AR358" s="10">
        <v>0</v>
      </c>
      <c r="AS358" s="56">
        <f t="shared" si="11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1</v>
      </c>
      <c r="AZ358" s="11">
        <f ca="1">IFERROR(OFFSET(ITEM_RES!$A$1,MATCH(BA358,ITEM_RES!$J:$J,0)-1,0),0)</f>
        <v>211020801</v>
      </c>
      <c r="BA358" s="10" t="s">
        <v>435</v>
      </c>
      <c r="BB358" s="11">
        <v>1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 t="s">
        <v>930</v>
      </c>
      <c r="N359" s="9" t="s">
        <v>948</v>
      </c>
      <c r="O359" s="9">
        <v>1</v>
      </c>
      <c r="P359" s="9">
        <v>15</v>
      </c>
      <c r="Q359" s="9" t="s">
        <v>761</v>
      </c>
      <c r="U359" s="9" t="s">
        <v>702</v>
      </c>
      <c r="W359" s="84" t="s">
        <v>551</v>
      </c>
      <c r="X359" s="9">
        <f ca="1">IFERROR(OFFSET(ITEM_RES!$A$5,MATCH(BUILDING!W359,ITEM_RES!$J$5:$J$226,0)-1,0),0)</f>
        <v>211020601</v>
      </c>
      <c r="Y359" s="11">
        <v>2</v>
      </c>
      <c r="Z359" s="84" t="s">
        <v>546</v>
      </c>
      <c r="AA359" s="9">
        <f ca="1">IFERROR(OFFSET(ITEM_RES!$A$5,MATCH(BUILDING!Z359,ITEM_RES!$J$5:$J$226,0)-1,0),0)</f>
        <v>211020701</v>
      </c>
      <c r="AC359" s="9" t="s">
        <v>523</v>
      </c>
      <c r="AD359" s="9">
        <v>15</v>
      </c>
      <c r="AF359" s="11">
        <f ca="1">IFERROR(OFFSET(MANOR_LEVEL!$B$1,MATCH(AG359-1,MANOR_LEVEL!$A:$A,0)-1,0),0)</f>
        <v>4232000</v>
      </c>
      <c r="AG359" s="56">
        <v>16</v>
      </c>
      <c r="AI359" s="56">
        <f t="shared" ca="1" si="106"/>
        <v>550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550.29999999999995</v>
      </c>
      <c r="AK359" s="182">
        <f t="shared" ca="1" si="125"/>
        <v>1000</v>
      </c>
      <c r="AM359" s="11">
        <f t="shared" si="118"/>
        <v>75</v>
      </c>
      <c r="AN359" s="10">
        <v>75</v>
      </c>
      <c r="AO359" s="11">
        <f t="shared" si="124"/>
        <v>550</v>
      </c>
      <c r="AP359" s="10">
        <v>550</v>
      </c>
      <c r="AQ359" s="11">
        <f t="shared" si="124"/>
        <v>0</v>
      </c>
      <c r="AR359" s="10">
        <v>0</v>
      </c>
      <c r="AS359" s="56">
        <f t="shared" si="11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1</v>
      </c>
      <c r="AZ359" s="11">
        <f ca="1">IFERROR(OFFSET(ITEM_RES!$A$1,MATCH(BA359,ITEM_RES!$J:$J,0)-1,0),0)</f>
        <v>211020801</v>
      </c>
      <c r="BA359" s="10" t="s">
        <v>435</v>
      </c>
      <c r="BB359" s="11">
        <v>1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 t="s">
        <v>930</v>
      </c>
      <c r="N360" s="9" t="s">
        <v>948</v>
      </c>
      <c r="O360" s="9">
        <v>0</v>
      </c>
      <c r="P360" s="9">
        <v>15</v>
      </c>
      <c r="Q360" s="9" t="s">
        <v>761</v>
      </c>
      <c r="U360" s="9" t="s">
        <v>702</v>
      </c>
      <c r="W360" s="84" t="s">
        <v>551</v>
      </c>
      <c r="X360" s="9">
        <f ca="1">IFERROR(OFFSET(ITEM_RES!$A$5,MATCH(BUILDING!W360,ITEM_RES!$J$5:$J$226,0)-1,0),0)</f>
        <v>211020601</v>
      </c>
      <c r="Y360" s="11">
        <v>2</v>
      </c>
      <c r="Z360" s="84" t="s">
        <v>546</v>
      </c>
      <c r="AA360" s="9">
        <f ca="1">IFERROR(OFFSET(ITEM_RES!$A$5,MATCH(BUILDING!Z360,ITEM_RES!$J$5:$J$226,0)-1,0),0)</f>
        <v>211020701</v>
      </c>
      <c r="AC360" s="9" t="s">
        <v>523</v>
      </c>
      <c r="AD360" s="9">
        <v>16</v>
      </c>
      <c r="AF360" s="11">
        <f ca="1">IFERROR(OFFSET(MANOR_LEVEL!$B$1,MATCH(AG360-1,MANOR_LEVEL!$A:$A,0)-1,0),0)</f>
        <v>4232000</v>
      </c>
      <c r="AG360" s="56">
        <v>16</v>
      </c>
      <c r="AI360" s="56">
        <f t="shared" ca="1" si="106"/>
        <v>700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700.3</v>
      </c>
      <c r="AK360" s="182">
        <f t="shared" ca="1" si="125"/>
        <v>1250</v>
      </c>
      <c r="AM360" s="11">
        <f t="shared" si="118"/>
        <v>80</v>
      </c>
      <c r="AN360" s="10">
        <v>80</v>
      </c>
      <c r="AO360" s="11">
        <f t="shared" si="124"/>
        <v>700</v>
      </c>
      <c r="AP360" s="10">
        <v>700</v>
      </c>
      <c r="AQ360" s="11">
        <f t="shared" si="124"/>
        <v>0</v>
      </c>
      <c r="AR360" s="10">
        <v>0</v>
      </c>
      <c r="AS360" s="56">
        <f t="shared" si="11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1</v>
      </c>
      <c r="AZ360" s="11">
        <f ca="1">IFERROR(OFFSET(ITEM_RES!$A$1,MATCH(BA360,ITEM_RES!$J:$J,0)-1,0),0)</f>
        <v>211020801</v>
      </c>
      <c r="BA360" s="10" t="s">
        <v>435</v>
      </c>
      <c r="BB360" s="11">
        <v>1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 t="s">
        <v>930</v>
      </c>
      <c r="N361" s="9" t="s">
        <v>948</v>
      </c>
      <c r="O361" s="9">
        <v>0</v>
      </c>
      <c r="P361" s="9">
        <v>15</v>
      </c>
      <c r="Q361" s="9" t="s">
        <v>761</v>
      </c>
      <c r="U361" s="9" t="s">
        <v>702</v>
      </c>
      <c r="W361" s="84" t="s">
        <v>551</v>
      </c>
      <c r="X361" s="9">
        <f ca="1">IFERROR(OFFSET(ITEM_RES!$A$5,MATCH(BUILDING!W361,ITEM_RES!$J$5:$J$226,0)-1,0),0)</f>
        <v>211020601</v>
      </c>
      <c r="Y361" s="11">
        <v>2</v>
      </c>
      <c r="Z361" s="84" t="s">
        <v>546</v>
      </c>
      <c r="AA361" s="9">
        <f ca="1">IFERROR(OFFSET(ITEM_RES!$A$5,MATCH(BUILDING!Z361,ITEM_RES!$J$5:$J$226,0)-1,0),0)</f>
        <v>211020701</v>
      </c>
      <c r="AC361" s="9" t="s">
        <v>523</v>
      </c>
      <c r="AD361" s="9">
        <v>17</v>
      </c>
      <c r="AF361" s="11">
        <f ca="1">IFERROR(OFFSET(MANOR_LEVEL!$B$1,MATCH(AG361-1,MANOR_LEVEL!$A:$A,0)-1,0),0)</f>
        <v>4232000</v>
      </c>
      <c r="AG361" s="56">
        <v>16</v>
      </c>
      <c r="AI361" s="56">
        <f t="shared" ca="1" si="106"/>
        <v>850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850.3</v>
      </c>
      <c r="AK361" s="182">
        <f t="shared" ca="1" si="125"/>
        <v>1550</v>
      </c>
      <c r="AM361" s="11">
        <f t="shared" si="118"/>
        <v>85</v>
      </c>
      <c r="AN361" s="10">
        <v>85</v>
      </c>
      <c r="AO361" s="11">
        <f t="shared" si="124"/>
        <v>850</v>
      </c>
      <c r="AP361" s="10">
        <v>850</v>
      </c>
      <c r="AQ361" s="11">
        <f t="shared" si="124"/>
        <v>0</v>
      </c>
      <c r="AR361" s="10">
        <v>0</v>
      </c>
      <c r="AS361" s="56">
        <f t="shared" si="11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1</v>
      </c>
      <c r="AZ361" s="11">
        <f ca="1">IFERROR(OFFSET(ITEM_RES!$A$1,MATCH(BA361,ITEM_RES!$J:$J,0)-1,0),0)</f>
        <v>211020801</v>
      </c>
      <c r="BA361" s="10" t="s">
        <v>435</v>
      </c>
      <c r="BB361" s="11">
        <v>1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 t="s">
        <v>930</v>
      </c>
      <c r="N362" s="9" t="s">
        <v>948</v>
      </c>
      <c r="O362" s="9">
        <v>0</v>
      </c>
      <c r="P362" s="9">
        <v>15</v>
      </c>
      <c r="Q362" s="9" t="s">
        <v>761</v>
      </c>
      <c r="U362" s="9" t="s">
        <v>702</v>
      </c>
      <c r="W362" s="84" t="s">
        <v>551</v>
      </c>
      <c r="X362" s="9">
        <f ca="1">IFERROR(OFFSET(ITEM_RES!$A$5,MATCH(BUILDING!W362,ITEM_RES!$J$5:$J$226,0)-1,0),0)</f>
        <v>211020601</v>
      </c>
      <c r="Y362" s="11">
        <v>2</v>
      </c>
      <c r="Z362" s="84" t="s">
        <v>546</v>
      </c>
      <c r="AA362" s="9">
        <f ca="1">IFERROR(OFFSET(ITEM_RES!$A$5,MATCH(BUILDING!Z362,ITEM_RES!$J$5:$J$226,0)-1,0),0)</f>
        <v>211020701</v>
      </c>
      <c r="AC362" s="9" t="s">
        <v>523</v>
      </c>
      <c r="AD362" s="9">
        <v>18</v>
      </c>
      <c r="AF362" s="11">
        <f ca="1">IFERROR(OFFSET(MANOR_LEVEL!$B$1,MATCH(AG362-1,MANOR_LEVEL!$A:$A,0)-1,0),0)</f>
        <v>4232000</v>
      </c>
      <c r="AG362" s="56">
        <v>16</v>
      </c>
      <c r="AI362" s="56">
        <f t="shared" ca="1" si="106"/>
        <v>1050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1050.3</v>
      </c>
      <c r="AK362" s="182">
        <f t="shared" ca="1" si="125"/>
        <v>1900</v>
      </c>
      <c r="AM362" s="11">
        <f t="shared" si="118"/>
        <v>90</v>
      </c>
      <c r="AN362" s="10">
        <v>90</v>
      </c>
      <c r="AO362" s="11">
        <f t="shared" si="124"/>
        <v>1050</v>
      </c>
      <c r="AP362" s="10">
        <v>1050</v>
      </c>
      <c r="AQ362" s="11">
        <f t="shared" si="124"/>
        <v>0</v>
      </c>
      <c r="AR362" s="10">
        <v>0</v>
      </c>
      <c r="AS362" s="56">
        <f t="shared" si="11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1</v>
      </c>
      <c r="AZ362" s="11">
        <f ca="1">IFERROR(OFFSET(ITEM_RES!$A$1,MATCH(BA362,ITEM_RES!$J:$J,0)-1,0),0)</f>
        <v>211020801</v>
      </c>
      <c r="BA362" s="10" t="s">
        <v>435</v>
      </c>
      <c r="BB362" s="11">
        <v>1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 t="s">
        <v>930</v>
      </c>
      <c r="N363" s="9" t="s">
        <v>948</v>
      </c>
      <c r="O363" s="9">
        <v>0</v>
      </c>
      <c r="P363" s="9">
        <v>15</v>
      </c>
      <c r="Q363" s="9" t="s">
        <v>761</v>
      </c>
      <c r="U363" s="9" t="s">
        <v>702</v>
      </c>
      <c r="W363" s="84" t="s">
        <v>551</v>
      </c>
      <c r="X363" s="9">
        <f ca="1">IFERROR(OFFSET(ITEM_RES!$A$5,MATCH(BUILDING!W363,ITEM_RES!$J$5:$J$226,0)-1,0),0)</f>
        <v>211020601</v>
      </c>
      <c r="Y363" s="11">
        <v>2</v>
      </c>
      <c r="Z363" s="84" t="s">
        <v>546</v>
      </c>
      <c r="AA363" s="9">
        <f ca="1">IFERROR(OFFSET(ITEM_RES!$A$5,MATCH(BUILDING!Z363,ITEM_RES!$J$5:$J$226,0)-1,0),0)</f>
        <v>211020701</v>
      </c>
      <c r="AC363" s="9" t="s">
        <v>523</v>
      </c>
      <c r="AD363" s="9">
        <v>19</v>
      </c>
      <c r="AF363" s="11">
        <f ca="1">IFERROR(OFFSET(MANOR_LEVEL!$B$1,MATCH(AG363-1,MANOR_LEVEL!$A:$A,0)-1,0),0)</f>
        <v>4232000</v>
      </c>
      <c r="AG363" s="56">
        <v>16</v>
      </c>
      <c r="AI363" s="56">
        <f t="shared" ca="1" si="106"/>
        <v>1250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1250.3</v>
      </c>
      <c r="AK363" s="182">
        <f t="shared" ca="1" si="125"/>
        <v>2300</v>
      </c>
      <c r="AM363" s="11">
        <f t="shared" si="118"/>
        <v>95</v>
      </c>
      <c r="AN363" s="10">
        <v>95</v>
      </c>
      <c r="AO363" s="11">
        <f t="shared" si="124"/>
        <v>1250</v>
      </c>
      <c r="AP363" s="10">
        <v>1250</v>
      </c>
      <c r="AQ363" s="11">
        <f t="shared" si="124"/>
        <v>0</v>
      </c>
      <c r="AR363" s="10">
        <v>0</v>
      </c>
      <c r="AS363" s="56">
        <f t="shared" si="11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1</v>
      </c>
      <c r="AZ363" s="11">
        <f ca="1">IFERROR(OFFSET(ITEM_RES!$A$1,MATCH(BA363,ITEM_RES!$J:$J,0)-1,0),0)</f>
        <v>211020801</v>
      </c>
      <c r="BA363" s="10" t="s">
        <v>435</v>
      </c>
      <c r="BB363" s="11">
        <v>1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 t="s">
        <v>930</v>
      </c>
      <c r="N364" s="9" t="s">
        <v>948</v>
      </c>
      <c r="O364" s="9">
        <v>0</v>
      </c>
      <c r="P364" s="9">
        <v>15</v>
      </c>
      <c r="Q364" s="9" t="s">
        <v>761</v>
      </c>
      <c r="U364" s="9" t="s">
        <v>702</v>
      </c>
      <c r="W364" s="84" t="s">
        <v>551</v>
      </c>
      <c r="X364" s="9">
        <f ca="1">IFERROR(OFFSET(ITEM_RES!$A$5,MATCH(BUILDING!W364,ITEM_RES!$J$5:$J$226,0)-1,0),0)</f>
        <v>211020601</v>
      </c>
      <c r="Y364" s="11">
        <v>2</v>
      </c>
      <c r="Z364" s="84" t="s">
        <v>546</v>
      </c>
      <c r="AA364" s="9">
        <f ca="1">IFERROR(OFFSET(ITEM_RES!$A$5,MATCH(BUILDING!Z364,ITEM_RES!$J$5:$J$226,0)-1,0),0)</f>
        <v>211020701</v>
      </c>
      <c r="AC364" s="9" t="s">
        <v>523</v>
      </c>
      <c r="AD364" s="9">
        <v>20</v>
      </c>
      <c r="AF364" s="11">
        <f ca="1">IFERROR(OFFSET(MANOR_LEVEL!$B$1,MATCH(AG364-1,MANOR_LEVEL!$A:$A,0)-1,0),0)</f>
        <v>4232000</v>
      </c>
      <c r="AG364" s="56">
        <v>16</v>
      </c>
      <c r="AI364" s="56">
        <f t="shared" ca="1" si="106"/>
        <v>1500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1500.3</v>
      </c>
      <c r="AK364" s="182">
        <f t="shared" ca="1" si="125"/>
        <v>2750</v>
      </c>
      <c r="AM364" s="11">
        <f t="shared" si="118"/>
        <v>100</v>
      </c>
      <c r="AN364" s="10">
        <v>100</v>
      </c>
      <c r="AO364" s="11">
        <f t="shared" si="124"/>
        <v>1500</v>
      </c>
      <c r="AP364" s="10">
        <v>1500</v>
      </c>
      <c r="AQ364" s="11">
        <f t="shared" si="124"/>
        <v>0</v>
      </c>
      <c r="AR364" s="10">
        <v>0</v>
      </c>
      <c r="AS364" s="56">
        <f t="shared" si="11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1</v>
      </c>
      <c r="AZ364" s="11">
        <f ca="1">IFERROR(OFFSET(ITEM_RES!$A$1,MATCH(BA364,ITEM_RES!$J:$J,0)-1,0),0)</f>
        <v>211020801</v>
      </c>
      <c r="BA364" s="10" t="s">
        <v>435</v>
      </c>
      <c r="BB364" s="11">
        <v>1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 t="s">
        <v>931</v>
      </c>
      <c r="N365" s="16" t="s">
        <v>949</v>
      </c>
      <c r="O365" s="16">
        <v>1</v>
      </c>
      <c r="P365" s="16">
        <v>15</v>
      </c>
      <c r="Q365" s="16" t="s">
        <v>762</v>
      </c>
      <c r="R365" s="17"/>
      <c r="S365" s="17"/>
      <c r="T365" s="18"/>
      <c r="U365" s="16" t="s">
        <v>703</v>
      </c>
      <c r="V365" s="78"/>
      <c r="W365" s="86" t="s">
        <v>552</v>
      </c>
      <c r="X365" s="16">
        <f ca="1">IFERROR(OFFSET(ITEM_RES!$A$5,MATCH(BUILDING!W365,ITEM_RES!$J$5:$J$226,0)-1,0),0)</f>
        <v>211020801</v>
      </c>
      <c r="Y365" s="18">
        <v>1</v>
      </c>
      <c r="Z365" s="86" t="s">
        <v>393</v>
      </c>
      <c r="AA365" s="16">
        <f ca="1">IFERROR(OFFSET(ITEM_RES!$A$5,MATCH(BUILDING!Z365,ITEM_RES!$J$5:$J$226,0)-1,0),0)</f>
        <v>211020901</v>
      </c>
      <c r="AB365" s="78"/>
      <c r="AC365" s="16" t="s">
        <v>524</v>
      </c>
      <c r="AD365" s="16">
        <v>1</v>
      </c>
      <c r="AE365" s="78"/>
      <c r="AF365" s="18">
        <f ca="1">IFERROR(OFFSET(MANOR_LEVEL!$B$1,MATCH(AG365-1,MANOR_LEVEL!$A:$A,0)-1,0),0)</f>
        <v>456800</v>
      </c>
      <c r="AG365" s="57">
        <v>11</v>
      </c>
      <c r="AH365" s="78"/>
      <c r="AI365" s="57">
        <f t="shared" ca="1" si="106"/>
        <v>105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105.11</v>
      </c>
      <c r="AK365" s="184">
        <f ca="1">AI365</f>
        <v>105</v>
      </c>
      <c r="AL365" s="78"/>
      <c r="AM365" s="18">
        <f t="shared" si="118"/>
        <v>5</v>
      </c>
      <c r="AN365" s="17">
        <v>5</v>
      </c>
      <c r="AO365" s="18">
        <f t="shared" si="124"/>
        <v>5</v>
      </c>
      <c r="AP365" s="17">
        <v>5</v>
      </c>
      <c r="AQ365" s="18">
        <f t="shared" si="124"/>
        <v>0</v>
      </c>
      <c r="AR365" s="17">
        <v>0</v>
      </c>
      <c r="AS365" s="57">
        <f t="shared" si="119"/>
        <v>3</v>
      </c>
      <c r="AT365" s="18"/>
      <c r="AU365" s="18">
        <f ca="1">IFERROR(OFFSET(ITEM_RES!$A$1,MATCH(AV365,ITEM_RES!$J:$J,0)-1,0),0)</f>
        <v>211020401</v>
      </c>
      <c r="AV365" s="17" t="s">
        <v>436</v>
      </c>
      <c r="AW365" s="18">
        <v>1</v>
      </c>
      <c r="AX365" s="17"/>
      <c r="AY365" s="18"/>
      <c r="AZ365" s="18">
        <f ca="1">IFERROR(OFFSET(ITEM_RES!$A$1,MATCH(BA365,ITEM_RES!$J:$J,0)-1,0),0)</f>
        <v>211020801</v>
      </c>
      <c r="BA365" s="17" t="s">
        <v>435</v>
      </c>
      <c r="BB365" s="18">
        <v>1</v>
      </c>
      <c r="BC365" s="17"/>
      <c r="BD365" s="18"/>
      <c r="BE365" s="18">
        <f ca="1">IFERROR(OFFSET(ITEM_RES!$A$1,MATCH(BF365,ITEM_RES!$J:$J,0)-1,0),0)</f>
        <v>213010101</v>
      </c>
      <c r="BF365" s="17" t="s">
        <v>452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 t="s">
        <v>931</v>
      </c>
      <c r="N366" s="9" t="s">
        <v>949</v>
      </c>
      <c r="O366" s="9">
        <v>1</v>
      </c>
      <c r="P366" s="9">
        <v>15</v>
      </c>
      <c r="Q366" s="9" t="s">
        <v>762</v>
      </c>
      <c r="U366" s="9" t="s">
        <v>703</v>
      </c>
      <c r="W366" s="84" t="s">
        <v>552</v>
      </c>
      <c r="X366" s="9">
        <f ca="1">IFERROR(OFFSET(ITEM_RES!$A$5,MATCH(BUILDING!W366,ITEM_RES!$J$5:$J$226,0)-1,0),0)</f>
        <v>211020801</v>
      </c>
      <c r="Y366" s="11">
        <v>1</v>
      </c>
      <c r="Z366" s="84" t="s">
        <v>393</v>
      </c>
      <c r="AA366" s="9">
        <f ca="1">IFERROR(OFFSET(ITEM_RES!$A$5,MATCH(BUILDING!Z366,ITEM_RES!$J$5:$J$226,0)-1,0),0)</f>
        <v>211020901</v>
      </c>
      <c r="AC366" s="9" t="s">
        <v>524</v>
      </c>
      <c r="AD366" s="9">
        <v>2</v>
      </c>
      <c r="AF366" s="11">
        <f ca="1">IFERROR(OFFSET(MANOR_LEVEL!$B$1,MATCH(AG366-1,MANOR_LEVEL!$A:$A,0)-1,0),0)</f>
        <v>456800</v>
      </c>
      <c r="AG366" s="56">
        <v>11</v>
      </c>
      <c r="AI366" s="56">
        <f t="shared" ref="AI366:AI429" ca="1" si="126">ROUND(AJ366,0)</f>
        <v>10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10.11</v>
      </c>
      <c r="AK366" s="182">
        <f ca="1">AI365+AI366</f>
        <v>115</v>
      </c>
      <c r="AM366" s="11">
        <f t="shared" si="118"/>
        <v>10</v>
      </c>
      <c r="AN366" s="10">
        <v>10</v>
      </c>
      <c r="AO366" s="11">
        <f t="shared" si="124"/>
        <v>10</v>
      </c>
      <c r="AP366" s="10">
        <v>10</v>
      </c>
      <c r="AQ366" s="11">
        <f t="shared" si="124"/>
        <v>0</v>
      </c>
      <c r="AR366" s="10">
        <v>0</v>
      </c>
      <c r="AS366" s="56">
        <f t="shared" si="119"/>
        <v>2</v>
      </c>
      <c r="AU366" s="11">
        <f ca="1">IFERROR(OFFSET(ITEM_RES!$A$1,MATCH(AV366,ITEM_RES!$J:$J,0)-1,0),0)</f>
        <v>211020401</v>
      </c>
      <c r="AV366" s="10" t="s">
        <v>436</v>
      </c>
      <c r="AW366" s="11">
        <v>1</v>
      </c>
      <c r="AZ366" s="11">
        <f ca="1">IFERROR(OFFSET(ITEM_RES!$A$1,MATCH(BA366,ITEM_RES!$J:$J,0)-1,0),0)</f>
        <v>211020801</v>
      </c>
      <c r="BA366" s="10" t="s">
        <v>435</v>
      </c>
      <c r="BB366" s="11">
        <v>1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 t="s">
        <v>931</v>
      </c>
      <c r="N367" s="9" t="s">
        <v>949</v>
      </c>
      <c r="O367" s="9">
        <v>1</v>
      </c>
      <c r="P367" s="9">
        <v>15</v>
      </c>
      <c r="Q367" s="9" t="s">
        <v>762</v>
      </c>
      <c r="U367" s="9" t="s">
        <v>703</v>
      </c>
      <c r="W367" s="84" t="s">
        <v>552</v>
      </c>
      <c r="X367" s="9">
        <f ca="1">IFERROR(OFFSET(ITEM_RES!$A$5,MATCH(BUILDING!W367,ITEM_RES!$J$5:$J$226,0)-1,0),0)</f>
        <v>211020801</v>
      </c>
      <c r="Y367" s="11">
        <v>1</v>
      </c>
      <c r="Z367" s="84" t="s">
        <v>393</v>
      </c>
      <c r="AA367" s="9">
        <f ca="1">IFERROR(OFFSET(ITEM_RES!$A$5,MATCH(BUILDING!Z367,ITEM_RES!$J$5:$J$226,0)-1,0),0)</f>
        <v>211020901</v>
      </c>
      <c r="AC367" s="9" t="s">
        <v>524</v>
      </c>
      <c r="AD367" s="9">
        <v>3</v>
      </c>
      <c r="AF367" s="11">
        <f ca="1">IFERROR(OFFSET(MANOR_LEVEL!$B$1,MATCH(AG367-1,MANOR_LEVEL!$A:$A,0)-1,0),0)</f>
        <v>796000</v>
      </c>
      <c r="AG367" s="56">
        <v>12</v>
      </c>
      <c r="AI367" s="56">
        <f t="shared" ca="1" si="126"/>
        <v>15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15.11</v>
      </c>
      <c r="AK367" s="182">
        <f t="shared" ref="AK367:AK384" ca="1" si="127">AI366+AI367</f>
        <v>25</v>
      </c>
      <c r="AM367" s="11">
        <f t="shared" si="118"/>
        <v>15</v>
      </c>
      <c r="AN367" s="10">
        <v>15</v>
      </c>
      <c r="AO367" s="11">
        <f t="shared" si="124"/>
        <v>15</v>
      </c>
      <c r="AP367" s="10">
        <v>15</v>
      </c>
      <c r="AQ367" s="11">
        <f t="shared" si="124"/>
        <v>0</v>
      </c>
      <c r="AR367" s="10">
        <v>0</v>
      </c>
      <c r="AS367" s="56">
        <f t="shared" si="119"/>
        <v>2</v>
      </c>
      <c r="AU367" s="11">
        <f ca="1">IFERROR(OFFSET(ITEM_RES!$A$1,MATCH(AV367,ITEM_RES!$J:$J,0)-1,0),0)</f>
        <v>211020401</v>
      </c>
      <c r="AV367" s="10" t="s">
        <v>436</v>
      </c>
      <c r="AW367" s="11">
        <v>1</v>
      </c>
      <c r="AZ367" s="11">
        <f ca="1">IFERROR(OFFSET(ITEM_RES!$A$1,MATCH(BA367,ITEM_RES!$J:$J,0)-1,0),0)</f>
        <v>211020801</v>
      </c>
      <c r="BA367" s="10" t="s">
        <v>435</v>
      </c>
      <c r="BB367" s="11">
        <v>1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 t="s">
        <v>931</v>
      </c>
      <c r="N368" s="9" t="s">
        <v>949</v>
      </c>
      <c r="O368" s="9">
        <v>1</v>
      </c>
      <c r="P368" s="9">
        <v>15</v>
      </c>
      <c r="Q368" s="9" t="s">
        <v>762</v>
      </c>
      <c r="U368" s="9" t="s">
        <v>703</v>
      </c>
      <c r="W368" s="84" t="s">
        <v>552</v>
      </c>
      <c r="X368" s="9">
        <f ca="1">IFERROR(OFFSET(ITEM_RES!$A$5,MATCH(BUILDING!W368,ITEM_RES!$J$5:$J$226,0)-1,0),0)</f>
        <v>211020801</v>
      </c>
      <c r="Y368" s="11">
        <v>1</v>
      </c>
      <c r="Z368" s="84" t="s">
        <v>393</v>
      </c>
      <c r="AA368" s="9">
        <f ca="1">IFERROR(OFFSET(ITEM_RES!$A$5,MATCH(BUILDING!Z368,ITEM_RES!$J$5:$J$226,0)-1,0),0)</f>
        <v>211020901</v>
      </c>
      <c r="AC368" s="9" t="s">
        <v>524</v>
      </c>
      <c r="AD368" s="9">
        <v>4</v>
      </c>
      <c r="AF368" s="11">
        <f ca="1">IFERROR(OFFSET(MANOR_LEVEL!$B$1,MATCH(AG368-1,MANOR_LEVEL!$A:$A,0)-1,0),0)</f>
        <v>1156400</v>
      </c>
      <c r="AG368" s="56">
        <v>13</v>
      </c>
      <c r="AI368" s="56">
        <f t="shared" ca="1" si="126"/>
        <v>25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25.11</v>
      </c>
      <c r="AK368" s="182">
        <f t="shared" ca="1" si="127"/>
        <v>40</v>
      </c>
      <c r="AM368" s="11">
        <f t="shared" si="118"/>
        <v>20</v>
      </c>
      <c r="AN368" s="10">
        <v>20</v>
      </c>
      <c r="AO368" s="11">
        <f t="shared" si="124"/>
        <v>25</v>
      </c>
      <c r="AP368" s="10">
        <v>25</v>
      </c>
      <c r="AQ368" s="11">
        <f t="shared" si="124"/>
        <v>0</v>
      </c>
      <c r="AR368" s="10">
        <v>0</v>
      </c>
      <c r="AS368" s="56">
        <f t="shared" si="119"/>
        <v>2</v>
      </c>
      <c r="AU368" s="11">
        <f ca="1">IFERROR(OFFSET(ITEM_RES!$A$1,MATCH(AV368,ITEM_RES!$J:$J,0)-1,0),0)</f>
        <v>211020401</v>
      </c>
      <c r="AV368" s="10" t="s">
        <v>436</v>
      </c>
      <c r="AW368" s="11">
        <v>1</v>
      </c>
      <c r="AZ368" s="11">
        <f ca="1">IFERROR(OFFSET(ITEM_RES!$A$1,MATCH(BA368,ITEM_RES!$J:$J,0)-1,0),0)</f>
        <v>211020801</v>
      </c>
      <c r="BA368" s="10" t="s">
        <v>435</v>
      </c>
      <c r="BB368" s="11">
        <v>1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 t="s">
        <v>931</v>
      </c>
      <c r="N369" s="9" t="s">
        <v>949</v>
      </c>
      <c r="O369" s="9">
        <v>1</v>
      </c>
      <c r="P369" s="9">
        <v>15</v>
      </c>
      <c r="Q369" s="9" t="s">
        <v>762</v>
      </c>
      <c r="U369" s="9" t="s">
        <v>703</v>
      </c>
      <c r="W369" s="84" t="s">
        <v>552</v>
      </c>
      <c r="X369" s="9">
        <f ca="1">IFERROR(OFFSET(ITEM_RES!$A$5,MATCH(BUILDING!W369,ITEM_RES!$J$5:$J$226,0)-1,0),0)</f>
        <v>211020801</v>
      </c>
      <c r="Y369" s="11">
        <v>1</v>
      </c>
      <c r="Z369" s="84" t="s">
        <v>393</v>
      </c>
      <c r="AA369" s="9">
        <f ca="1">IFERROR(OFFSET(ITEM_RES!$A$5,MATCH(BUILDING!Z369,ITEM_RES!$J$5:$J$226,0)-1,0),0)</f>
        <v>211020901</v>
      </c>
      <c r="AC369" s="9" t="s">
        <v>524</v>
      </c>
      <c r="AD369" s="9">
        <v>5</v>
      </c>
      <c r="AF369" s="11">
        <f ca="1">IFERROR(OFFSET(MANOR_LEVEL!$B$1,MATCH(AG369-1,MANOR_LEVEL!$A:$A,0)-1,0),0)</f>
        <v>1156400</v>
      </c>
      <c r="AG369" s="56">
        <v>13</v>
      </c>
      <c r="AI369" s="56">
        <f t="shared" ca="1" si="126"/>
        <v>40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40.11</v>
      </c>
      <c r="AK369" s="182">
        <f t="shared" ca="1" si="127"/>
        <v>65</v>
      </c>
      <c r="AM369" s="11">
        <f t="shared" si="118"/>
        <v>25</v>
      </c>
      <c r="AN369" s="10">
        <v>25</v>
      </c>
      <c r="AO369" s="11">
        <f t="shared" si="124"/>
        <v>40</v>
      </c>
      <c r="AP369" s="10">
        <v>40</v>
      </c>
      <c r="AQ369" s="11">
        <f t="shared" si="124"/>
        <v>0</v>
      </c>
      <c r="AR369" s="10">
        <v>0</v>
      </c>
      <c r="AS369" s="56">
        <f t="shared" si="119"/>
        <v>2</v>
      </c>
      <c r="AU369" s="11">
        <f ca="1">IFERROR(OFFSET(ITEM_RES!$A$1,MATCH(AV369,ITEM_RES!$J:$J,0)-1,0),0)</f>
        <v>211020401</v>
      </c>
      <c r="AV369" s="10" t="s">
        <v>436</v>
      </c>
      <c r="AW369" s="11">
        <v>1</v>
      </c>
      <c r="AZ369" s="11">
        <f ca="1">IFERROR(OFFSET(ITEM_RES!$A$1,MATCH(BA369,ITEM_RES!$J:$J,0)-1,0),0)</f>
        <v>211020801</v>
      </c>
      <c r="BA369" s="10" t="s">
        <v>435</v>
      </c>
      <c r="BB369" s="11">
        <v>1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 t="s">
        <v>931</v>
      </c>
      <c r="N370" s="9" t="s">
        <v>949</v>
      </c>
      <c r="O370" s="9">
        <v>1</v>
      </c>
      <c r="P370" s="9">
        <v>15</v>
      </c>
      <c r="Q370" s="9" t="s">
        <v>762</v>
      </c>
      <c r="U370" s="9" t="s">
        <v>703</v>
      </c>
      <c r="W370" s="84" t="s">
        <v>552</v>
      </c>
      <c r="X370" s="9">
        <f ca="1">IFERROR(OFFSET(ITEM_RES!$A$5,MATCH(BUILDING!W370,ITEM_RES!$J$5:$J$226,0)-1,0),0)</f>
        <v>211020801</v>
      </c>
      <c r="Y370" s="11">
        <v>1</v>
      </c>
      <c r="Z370" s="84" t="s">
        <v>393</v>
      </c>
      <c r="AA370" s="9">
        <f ca="1">IFERROR(OFFSET(ITEM_RES!$A$5,MATCH(BUILDING!Z370,ITEM_RES!$J$5:$J$226,0)-1,0),0)</f>
        <v>211020901</v>
      </c>
      <c r="AC370" s="9" t="s">
        <v>524</v>
      </c>
      <c r="AD370" s="9">
        <v>6</v>
      </c>
      <c r="AF370" s="11">
        <f ca="1">IFERROR(OFFSET(MANOR_LEVEL!$B$1,MATCH(AG370-1,MANOR_LEVEL!$A:$A,0)-1,0),0)</f>
        <v>4232000</v>
      </c>
      <c r="AG370" s="56">
        <v>16</v>
      </c>
      <c r="AI370" s="56">
        <f t="shared" ca="1" si="126"/>
        <v>50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50.11</v>
      </c>
      <c r="AK370" s="182">
        <f t="shared" ca="1" si="127"/>
        <v>90</v>
      </c>
      <c r="AM370" s="11">
        <f t="shared" si="118"/>
        <v>30</v>
      </c>
      <c r="AN370" s="10">
        <v>30</v>
      </c>
      <c r="AO370" s="11">
        <f t="shared" si="124"/>
        <v>50</v>
      </c>
      <c r="AP370" s="10">
        <v>50</v>
      </c>
      <c r="AQ370" s="11">
        <f t="shared" si="124"/>
        <v>0</v>
      </c>
      <c r="AR370" s="10">
        <v>0</v>
      </c>
      <c r="AS370" s="56">
        <f t="shared" si="119"/>
        <v>2</v>
      </c>
      <c r="AU370" s="11">
        <f ca="1">IFERROR(OFFSET(ITEM_RES!$A$1,MATCH(AV370,ITEM_RES!$J:$J,0)-1,0),0)</f>
        <v>211020401</v>
      </c>
      <c r="AV370" s="10" t="s">
        <v>436</v>
      </c>
      <c r="AW370" s="11">
        <v>1</v>
      </c>
      <c r="AZ370" s="11">
        <f ca="1">IFERROR(OFFSET(ITEM_RES!$A$1,MATCH(BA370,ITEM_RES!$J:$J,0)-1,0),0)</f>
        <v>211020801</v>
      </c>
      <c r="BA370" s="10" t="s">
        <v>435</v>
      </c>
      <c r="BB370" s="11">
        <v>1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 t="s">
        <v>931</v>
      </c>
      <c r="N371" s="9" t="s">
        <v>949</v>
      </c>
      <c r="O371" s="9">
        <v>1</v>
      </c>
      <c r="P371" s="9">
        <v>15</v>
      </c>
      <c r="Q371" s="9" t="s">
        <v>762</v>
      </c>
      <c r="U371" s="9" t="s">
        <v>703</v>
      </c>
      <c r="W371" s="84" t="s">
        <v>552</v>
      </c>
      <c r="X371" s="9">
        <f ca="1">IFERROR(OFFSET(ITEM_RES!$A$5,MATCH(BUILDING!W371,ITEM_RES!$J$5:$J$226,0)-1,0),0)</f>
        <v>211020801</v>
      </c>
      <c r="Y371" s="11">
        <v>1</v>
      </c>
      <c r="Z371" s="84" t="s">
        <v>393</v>
      </c>
      <c r="AA371" s="9">
        <f ca="1">IFERROR(OFFSET(ITEM_RES!$A$5,MATCH(BUILDING!Z371,ITEM_RES!$J$5:$J$226,0)-1,0),0)</f>
        <v>211020901</v>
      </c>
      <c r="AC371" s="9" t="s">
        <v>524</v>
      </c>
      <c r="AD371" s="9">
        <v>7</v>
      </c>
      <c r="AF371" s="11">
        <f ca="1">IFERROR(OFFSET(MANOR_LEVEL!$B$1,MATCH(AG371-1,MANOR_LEVEL!$A:$A,0)-1,0),0)</f>
        <v>4232000</v>
      </c>
      <c r="AG371" s="56">
        <v>16</v>
      </c>
      <c r="AI371" s="56">
        <f t="shared" ca="1" si="126"/>
        <v>1100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1100.1100000000001</v>
      </c>
      <c r="AK371" s="182">
        <f t="shared" ca="1" si="127"/>
        <v>1150</v>
      </c>
      <c r="AM371" s="11">
        <f t="shared" si="118"/>
        <v>35</v>
      </c>
      <c r="AN371" s="10">
        <v>35</v>
      </c>
      <c r="AO371" s="11">
        <f t="shared" si="124"/>
        <v>100</v>
      </c>
      <c r="AP371" s="10">
        <v>100</v>
      </c>
      <c r="AQ371" s="11">
        <f t="shared" si="124"/>
        <v>0</v>
      </c>
      <c r="AR371" s="10">
        <v>0</v>
      </c>
      <c r="AS371" s="56">
        <f t="shared" si="119"/>
        <v>3</v>
      </c>
      <c r="AU371" s="11">
        <f ca="1">IFERROR(OFFSET(ITEM_RES!$A$1,MATCH(AV371,ITEM_RES!$J:$J,0)-1,0),0)</f>
        <v>211020401</v>
      </c>
      <c r="AV371" s="10" t="s">
        <v>436</v>
      </c>
      <c r="AW371" s="11">
        <v>1</v>
      </c>
      <c r="AZ371" s="11">
        <f ca="1">IFERROR(OFFSET(ITEM_RES!$A$1,MATCH(BA371,ITEM_RES!$J:$J,0)-1,0),0)</f>
        <v>211020801</v>
      </c>
      <c r="BA371" s="10" t="s">
        <v>435</v>
      </c>
      <c r="BB371" s="11">
        <v>1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213011101</v>
      </c>
      <c r="BK371" s="10" t="s">
        <v>466</v>
      </c>
      <c r="BL371" s="11">
        <v>1</v>
      </c>
      <c r="BO371" s="11">
        <f ca="1">IFERROR(OFFSET(ITEM_RES!$A$1,MATCH(BP371,ITEM_RES!$J:$J,0)-1,0),0)</f>
        <v>0</v>
      </c>
    </row>
    <row r="372" spans="1:67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 t="s">
        <v>931</v>
      </c>
      <c r="N372" s="9" t="s">
        <v>949</v>
      </c>
      <c r="O372" s="9">
        <v>1</v>
      </c>
      <c r="P372" s="9">
        <v>15</v>
      </c>
      <c r="Q372" s="9" t="s">
        <v>762</v>
      </c>
      <c r="U372" s="9" t="s">
        <v>703</v>
      </c>
      <c r="W372" s="84" t="s">
        <v>552</v>
      </c>
      <c r="X372" s="9">
        <f ca="1">IFERROR(OFFSET(ITEM_RES!$A$5,MATCH(BUILDING!W372,ITEM_RES!$J$5:$J$226,0)-1,0),0)</f>
        <v>211020801</v>
      </c>
      <c r="Y372" s="11">
        <v>1</v>
      </c>
      <c r="Z372" s="84" t="s">
        <v>393</v>
      </c>
      <c r="AA372" s="9">
        <f ca="1">IFERROR(OFFSET(ITEM_RES!$A$5,MATCH(BUILDING!Z372,ITEM_RES!$J$5:$J$226,0)-1,0),0)</f>
        <v>211020901</v>
      </c>
      <c r="AC372" s="9" t="s">
        <v>524</v>
      </c>
      <c r="AD372" s="9">
        <v>8</v>
      </c>
      <c r="AF372" s="11">
        <f ca="1">IFERROR(OFFSET(MANOR_LEVEL!$B$1,MATCH(AG372-1,MANOR_LEVEL!$A:$A,0)-1,0),0)</f>
        <v>4232000</v>
      </c>
      <c r="AG372" s="56">
        <v>16</v>
      </c>
      <c r="AI372" s="56">
        <f t="shared" ca="1" si="126"/>
        <v>100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100.11</v>
      </c>
      <c r="AK372" s="182">
        <f t="shared" ca="1" si="127"/>
        <v>1200</v>
      </c>
      <c r="AM372" s="11">
        <f t="shared" si="118"/>
        <v>40</v>
      </c>
      <c r="AN372" s="10">
        <v>40</v>
      </c>
      <c r="AO372" s="11">
        <f t="shared" si="124"/>
        <v>100</v>
      </c>
      <c r="AP372" s="10">
        <v>100</v>
      </c>
      <c r="AQ372" s="11">
        <f t="shared" si="124"/>
        <v>0</v>
      </c>
      <c r="AR372" s="10">
        <v>0</v>
      </c>
      <c r="AS372" s="56">
        <f t="shared" si="119"/>
        <v>2</v>
      </c>
      <c r="AU372" s="11">
        <f ca="1">IFERROR(OFFSET(ITEM_RES!$A$1,MATCH(AV372,ITEM_RES!$J:$J,0)-1,0),0)</f>
        <v>211020401</v>
      </c>
      <c r="AV372" s="10" t="s">
        <v>436</v>
      </c>
      <c r="AW372" s="11">
        <v>1</v>
      </c>
      <c r="AZ372" s="11">
        <f ca="1">IFERROR(OFFSET(ITEM_RES!$A$1,MATCH(BA372,ITEM_RES!$J:$J,0)-1,0),0)</f>
        <v>211020801</v>
      </c>
      <c r="BA372" s="10" t="s">
        <v>435</v>
      </c>
      <c r="BB372" s="11">
        <v>1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 t="s">
        <v>931</v>
      </c>
      <c r="N373" s="9" t="s">
        <v>949</v>
      </c>
      <c r="O373" s="9">
        <v>1</v>
      </c>
      <c r="P373" s="9">
        <v>15</v>
      </c>
      <c r="Q373" s="9" t="s">
        <v>762</v>
      </c>
      <c r="U373" s="9" t="s">
        <v>703</v>
      </c>
      <c r="W373" s="84" t="s">
        <v>552</v>
      </c>
      <c r="X373" s="9">
        <f ca="1">IFERROR(OFFSET(ITEM_RES!$A$5,MATCH(BUILDING!W373,ITEM_RES!$J$5:$J$226,0)-1,0),0)</f>
        <v>211020801</v>
      </c>
      <c r="Y373" s="11">
        <v>1</v>
      </c>
      <c r="Z373" s="84" t="s">
        <v>393</v>
      </c>
      <c r="AA373" s="9">
        <f ca="1">IFERROR(OFFSET(ITEM_RES!$A$5,MATCH(BUILDING!Z373,ITEM_RES!$J$5:$J$226,0)-1,0),0)</f>
        <v>211020901</v>
      </c>
      <c r="AC373" s="9" t="s">
        <v>524</v>
      </c>
      <c r="AD373" s="9">
        <v>9</v>
      </c>
      <c r="AF373" s="11">
        <f ca="1">IFERROR(OFFSET(MANOR_LEVEL!$B$1,MATCH(AG373-1,MANOR_LEVEL!$A:$A,0)-1,0),0)</f>
        <v>4232000</v>
      </c>
      <c r="AG373" s="56">
        <v>16</v>
      </c>
      <c r="AI373" s="56">
        <f t="shared" ca="1" si="126"/>
        <v>150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150.11000000000001</v>
      </c>
      <c r="AK373" s="182">
        <f t="shared" ca="1" si="127"/>
        <v>250</v>
      </c>
      <c r="AM373" s="11">
        <f t="shared" si="118"/>
        <v>45</v>
      </c>
      <c r="AN373" s="10">
        <v>45</v>
      </c>
      <c r="AO373" s="11">
        <f t="shared" si="124"/>
        <v>150</v>
      </c>
      <c r="AP373" s="10">
        <v>150</v>
      </c>
      <c r="AQ373" s="11">
        <f t="shared" si="124"/>
        <v>0</v>
      </c>
      <c r="AR373" s="10">
        <v>0</v>
      </c>
      <c r="AS373" s="56">
        <f t="shared" si="119"/>
        <v>2</v>
      </c>
      <c r="AU373" s="11">
        <f ca="1">IFERROR(OFFSET(ITEM_RES!$A$1,MATCH(AV373,ITEM_RES!$J:$J,0)-1,0),0)</f>
        <v>211020401</v>
      </c>
      <c r="AV373" s="10" t="s">
        <v>436</v>
      </c>
      <c r="AW373" s="11">
        <v>1</v>
      </c>
      <c r="AZ373" s="11">
        <f ca="1">IFERROR(OFFSET(ITEM_RES!$A$1,MATCH(BA373,ITEM_RES!$J:$J,0)-1,0),0)</f>
        <v>211020801</v>
      </c>
      <c r="BA373" s="10" t="s">
        <v>435</v>
      </c>
      <c r="BB373" s="11">
        <v>1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 t="s">
        <v>931</v>
      </c>
      <c r="N374" s="9" t="s">
        <v>949</v>
      </c>
      <c r="O374" s="9">
        <v>1</v>
      </c>
      <c r="P374" s="9">
        <v>15</v>
      </c>
      <c r="Q374" s="9" t="s">
        <v>762</v>
      </c>
      <c r="U374" s="9" t="s">
        <v>703</v>
      </c>
      <c r="W374" s="84" t="s">
        <v>552</v>
      </c>
      <c r="X374" s="9">
        <f ca="1">IFERROR(OFFSET(ITEM_RES!$A$5,MATCH(BUILDING!W374,ITEM_RES!$J$5:$J$226,0)-1,0),0)</f>
        <v>211020801</v>
      </c>
      <c r="Y374" s="11">
        <v>1</v>
      </c>
      <c r="Z374" s="84" t="s">
        <v>393</v>
      </c>
      <c r="AA374" s="9">
        <f ca="1">IFERROR(OFFSET(ITEM_RES!$A$5,MATCH(BUILDING!Z374,ITEM_RES!$J$5:$J$226,0)-1,0),0)</f>
        <v>211020901</v>
      </c>
      <c r="AC374" s="9" t="s">
        <v>524</v>
      </c>
      <c r="AD374" s="9">
        <v>10</v>
      </c>
      <c r="AF374" s="11">
        <f ca="1">IFERROR(OFFSET(MANOR_LEVEL!$B$1,MATCH(AG374-1,MANOR_LEVEL!$A:$A,0)-1,0),0)</f>
        <v>4232000</v>
      </c>
      <c r="AG374" s="56">
        <v>16</v>
      </c>
      <c r="AI374" s="56">
        <f t="shared" ca="1" si="126"/>
        <v>200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200.11</v>
      </c>
      <c r="AK374" s="182">
        <f t="shared" ca="1" si="127"/>
        <v>350</v>
      </c>
      <c r="AM374" s="11">
        <f t="shared" si="118"/>
        <v>50</v>
      </c>
      <c r="AN374" s="10">
        <v>50</v>
      </c>
      <c r="AO374" s="11">
        <f t="shared" si="124"/>
        <v>200</v>
      </c>
      <c r="AP374" s="10">
        <v>200</v>
      </c>
      <c r="AQ374" s="11">
        <f t="shared" si="124"/>
        <v>0</v>
      </c>
      <c r="AR374" s="10">
        <v>0</v>
      </c>
      <c r="AS374" s="56">
        <f t="shared" si="119"/>
        <v>2</v>
      </c>
      <c r="AU374" s="11">
        <f ca="1">IFERROR(OFFSET(ITEM_RES!$A$1,MATCH(AV374,ITEM_RES!$J:$J,0)-1,0),0)</f>
        <v>211020401</v>
      </c>
      <c r="AV374" s="10" t="s">
        <v>436</v>
      </c>
      <c r="AW374" s="11">
        <v>1</v>
      </c>
      <c r="AZ374" s="11">
        <f ca="1">IFERROR(OFFSET(ITEM_RES!$A$1,MATCH(BA374,ITEM_RES!$J:$J,0)-1,0),0)</f>
        <v>211020801</v>
      </c>
      <c r="BA374" s="10" t="s">
        <v>435</v>
      </c>
      <c r="BB374" s="11">
        <v>1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 t="s">
        <v>931</v>
      </c>
      <c r="N375" s="9" t="s">
        <v>949</v>
      </c>
      <c r="O375" s="9">
        <v>1</v>
      </c>
      <c r="P375" s="9">
        <v>15</v>
      </c>
      <c r="Q375" s="9" t="s">
        <v>762</v>
      </c>
      <c r="U375" s="9" t="s">
        <v>703</v>
      </c>
      <c r="W375" s="84" t="s">
        <v>552</v>
      </c>
      <c r="X375" s="9">
        <f ca="1">IFERROR(OFFSET(ITEM_RES!$A$5,MATCH(BUILDING!W375,ITEM_RES!$J$5:$J$226,0)-1,0),0)</f>
        <v>211020801</v>
      </c>
      <c r="Y375" s="11">
        <v>1</v>
      </c>
      <c r="Z375" s="84" t="s">
        <v>393</v>
      </c>
      <c r="AA375" s="9">
        <f ca="1">IFERROR(OFFSET(ITEM_RES!$A$5,MATCH(BUILDING!Z375,ITEM_RES!$J$5:$J$226,0)-1,0),0)</f>
        <v>211020901</v>
      </c>
      <c r="AC375" s="9" t="s">
        <v>524</v>
      </c>
      <c r="AD375" s="9">
        <v>11</v>
      </c>
      <c r="AF375" s="11">
        <f ca="1">IFERROR(OFFSET(MANOR_LEVEL!$B$1,MATCH(AG375-1,MANOR_LEVEL!$A:$A,0)-1,0),0)</f>
        <v>4232000</v>
      </c>
      <c r="AG375" s="56">
        <v>16</v>
      </c>
      <c r="AI375" s="56">
        <f t="shared" ca="1" si="126"/>
        <v>250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250.11</v>
      </c>
      <c r="AK375" s="182">
        <f t="shared" ca="1" si="127"/>
        <v>450</v>
      </c>
      <c r="AM375" s="11">
        <f t="shared" si="118"/>
        <v>55</v>
      </c>
      <c r="AN375" s="10">
        <v>55</v>
      </c>
      <c r="AO375" s="11">
        <f t="shared" si="124"/>
        <v>250</v>
      </c>
      <c r="AP375" s="10">
        <v>250</v>
      </c>
      <c r="AQ375" s="11">
        <f t="shared" si="124"/>
        <v>0</v>
      </c>
      <c r="AR375" s="10">
        <v>0</v>
      </c>
      <c r="AS375" s="56">
        <f t="shared" si="119"/>
        <v>2</v>
      </c>
      <c r="AU375" s="11">
        <f ca="1">IFERROR(OFFSET(ITEM_RES!$A$1,MATCH(AV375,ITEM_RES!$J:$J,0)-1,0),0)</f>
        <v>211020401</v>
      </c>
      <c r="AV375" s="10" t="s">
        <v>436</v>
      </c>
      <c r="AW375" s="11">
        <v>1</v>
      </c>
      <c r="AZ375" s="11">
        <f ca="1">IFERROR(OFFSET(ITEM_RES!$A$1,MATCH(BA375,ITEM_RES!$J:$J,0)-1,0),0)</f>
        <v>211020801</v>
      </c>
      <c r="BA375" s="10" t="s">
        <v>435</v>
      </c>
      <c r="BB375" s="11">
        <v>1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 t="s">
        <v>931</v>
      </c>
      <c r="N376" s="9" t="s">
        <v>949</v>
      </c>
      <c r="O376" s="9">
        <v>1</v>
      </c>
      <c r="P376" s="9">
        <v>15</v>
      </c>
      <c r="Q376" s="9" t="s">
        <v>762</v>
      </c>
      <c r="U376" s="9" t="s">
        <v>703</v>
      </c>
      <c r="W376" s="84" t="s">
        <v>552</v>
      </c>
      <c r="X376" s="9">
        <f ca="1">IFERROR(OFFSET(ITEM_RES!$A$5,MATCH(BUILDING!W376,ITEM_RES!$J$5:$J$226,0)-1,0),0)</f>
        <v>211020801</v>
      </c>
      <c r="Y376" s="11">
        <v>1</v>
      </c>
      <c r="Z376" s="84" t="s">
        <v>393</v>
      </c>
      <c r="AA376" s="9">
        <f ca="1">IFERROR(OFFSET(ITEM_RES!$A$5,MATCH(BUILDING!Z376,ITEM_RES!$J$5:$J$226,0)-1,0),0)</f>
        <v>211020901</v>
      </c>
      <c r="AC376" s="9" t="s">
        <v>524</v>
      </c>
      <c r="AD376" s="9">
        <v>12</v>
      </c>
      <c r="AF376" s="11">
        <f ca="1">IFERROR(OFFSET(MANOR_LEVEL!$B$1,MATCH(AG376-1,MANOR_LEVEL!$A:$A,0)-1,0),0)</f>
        <v>4232000</v>
      </c>
      <c r="AG376" s="56">
        <v>16</v>
      </c>
      <c r="AI376" s="56">
        <f t="shared" ca="1" si="126"/>
        <v>300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300.3</v>
      </c>
      <c r="AK376" s="182">
        <f t="shared" ca="1" si="127"/>
        <v>550</v>
      </c>
      <c r="AM376" s="11">
        <f t="shared" si="118"/>
        <v>60</v>
      </c>
      <c r="AN376" s="10">
        <v>60</v>
      </c>
      <c r="AO376" s="11">
        <f t="shared" si="124"/>
        <v>300</v>
      </c>
      <c r="AP376" s="10">
        <v>300</v>
      </c>
      <c r="AQ376" s="11">
        <f t="shared" si="124"/>
        <v>0</v>
      </c>
      <c r="AR376" s="10">
        <v>0</v>
      </c>
      <c r="AS376" s="56">
        <f t="shared" si="119"/>
        <v>2</v>
      </c>
      <c r="AU376" s="11">
        <f ca="1">IFERROR(OFFSET(ITEM_RES!$A$1,MATCH(AV376,ITEM_RES!$J:$J,0)-1,0),0)</f>
        <v>211020501</v>
      </c>
      <c r="AV376" s="10" t="s">
        <v>433</v>
      </c>
      <c r="AW376" s="11">
        <v>1</v>
      </c>
      <c r="AZ376" s="11">
        <f ca="1">IFERROR(OFFSET(ITEM_RES!$A$1,MATCH(BA376,ITEM_RES!$J:$J,0)-1,0),0)</f>
        <v>211020801</v>
      </c>
      <c r="BA376" s="10" t="s">
        <v>435</v>
      </c>
      <c r="BB376" s="11">
        <v>1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 t="s">
        <v>931</v>
      </c>
      <c r="N377" s="9" t="s">
        <v>949</v>
      </c>
      <c r="O377" s="9">
        <v>1</v>
      </c>
      <c r="P377" s="9">
        <v>15</v>
      </c>
      <c r="Q377" s="9" t="s">
        <v>762</v>
      </c>
      <c r="U377" s="9" t="s">
        <v>703</v>
      </c>
      <c r="W377" s="84" t="s">
        <v>552</v>
      </c>
      <c r="X377" s="9">
        <f ca="1">IFERROR(OFFSET(ITEM_RES!$A$5,MATCH(BUILDING!W377,ITEM_RES!$J$5:$J$226,0)-1,0),0)</f>
        <v>211020801</v>
      </c>
      <c r="Y377" s="11">
        <v>1</v>
      </c>
      <c r="Z377" s="84" t="s">
        <v>393</v>
      </c>
      <c r="AA377" s="9">
        <f ca="1">IFERROR(OFFSET(ITEM_RES!$A$5,MATCH(BUILDING!Z377,ITEM_RES!$J$5:$J$226,0)-1,0),0)</f>
        <v>211020901</v>
      </c>
      <c r="AC377" s="9" t="s">
        <v>524</v>
      </c>
      <c r="AD377" s="9">
        <v>13</v>
      </c>
      <c r="AF377" s="11">
        <f ca="1">IFERROR(OFFSET(MANOR_LEVEL!$B$1,MATCH(AG377-1,MANOR_LEVEL!$A:$A,0)-1,0),0)</f>
        <v>4232000</v>
      </c>
      <c r="AG377" s="56">
        <v>16</v>
      </c>
      <c r="AI377" s="56">
        <f t="shared" ca="1" si="126"/>
        <v>350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350.3</v>
      </c>
      <c r="AK377" s="182">
        <f t="shared" ca="1" si="127"/>
        <v>650</v>
      </c>
      <c r="AM377" s="11">
        <f t="shared" si="118"/>
        <v>65</v>
      </c>
      <c r="AN377" s="10">
        <v>65</v>
      </c>
      <c r="AO377" s="11">
        <f t="shared" si="124"/>
        <v>350</v>
      </c>
      <c r="AP377" s="10">
        <v>350</v>
      </c>
      <c r="AQ377" s="11">
        <f t="shared" si="124"/>
        <v>0</v>
      </c>
      <c r="AR377" s="10">
        <v>0</v>
      </c>
      <c r="AS377" s="56">
        <f t="shared" si="119"/>
        <v>2</v>
      </c>
      <c r="AU377" s="11">
        <f ca="1">IFERROR(OFFSET(ITEM_RES!$A$1,MATCH(AV377,ITEM_RES!$J:$J,0)-1,0),0)</f>
        <v>211020501</v>
      </c>
      <c r="AV377" s="10" t="s">
        <v>433</v>
      </c>
      <c r="AW377" s="11">
        <v>1</v>
      </c>
      <c r="AZ377" s="11">
        <f ca="1">IFERROR(OFFSET(ITEM_RES!$A$1,MATCH(BA377,ITEM_RES!$J:$J,0)-1,0),0)</f>
        <v>211020801</v>
      </c>
      <c r="BA377" s="10" t="s">
        <v>435</v>
      </c>
      <c r="BB377" s="11">
        <v>1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 t="s">
        <v>931</v>
      </c>
      <c r="N378" s="9" t="s">
        <v>949</v>
      </c>
      <c r="O378" s="9">
        <v>1</v>
      </c>
      <c r="P378" s="9">
        <v>15</v>
      </c>
      <c r="Q378" s="9" t="s">
        <v>762</v>
      </c>
      <c r="U378" s="9" t="s">
        <v>703</v>
      </c>
      <c r="W378" s="84" t="s">
        <v>552</v>
      </c>
      <c r="X378" s="9">
        <f ca="1">IFERROR(OFFSET(ITEM_RES!$A$5,MATCH(BUILDING!W378,ITEM_RES!$J$5:$J$226,0)-1,0),0)</f>
        <v>211020801</v>
      </c>
      <c r="Y378" s="11">
        <v>1</v>
      </c>
      <c r="Z378" s="84" t="s">
        <v>393</v>
      </c>
      <c r="AA378" s="9">
        <f ca="1">IFERROR(OFFSET(ITEM_RES!$A$5,MATCH(BUILDING!Z378,ITEM_RES!$J$5:$J$226,0)-1,0),0)</f>
        <v>211020901</v>
      </c>
      <c r="AC378" s="9" t="s">
        <v>524</v>
      </c>
      <c r="AD378" s="9">
        <v>14</v>
      </c>
      <c r="AF378" s="11">
        <f ca="1">IFERROR(OFFSET(MANOR_LEVEL!$B$1,MATCH(AG378-1,MANOR_LEVEL!$A:$A,0)-1,0),0)</f>
        <v>4232000</v>
      </c>
      <c r="AG378" s="56">
        <v>16</v>
      </c>
      <c r="AI378" s="56">
        <f t="shared" ca="1" si="126"/>
        <v>450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450.3</v>
      </c>
      <c r="AK378" s="182">
        <f t="shared" ca="1" si="127"/>
        <v>800</v>
      </c>
      <c r="AM378" s="11">
        <f t="shared" si="118"/>
        <v>70</v>
      </c>
      <c r="AN378" s="10">
        <v>70</v>
      </c>
      <c r="AO378" s="11">
        <f t="shared" si="124"/>
        <v>450</v>
      </c>
      <c r="AP378" s="10">
        <v>450</v>
      </c>
      <c r="AQ378" s="11">
        <f t="shared" si="124"/>
        <v>0</v>
      </c>
      <c r="AR378" s="10">
        <v>0</v>
      </c>
      <c r="AS378" s="56">
        <f t="shared" si="119"/>
        <v>2</v>
      </c>
      <c r="AU378" s="11">
        <f ca="1">IFERROR(OFFSET(ITEM_RES!$A$1,MATCH(AV378,ITEM_RES!$J:$J,0)-1,0),0)</f>
        <v>211020501</v>
      </c>
      <c r="AV378" s="10" t="s">
        <v>433</v>
      </c>
      <c r="AW378" s="11">
        <v>1</v>
      </c>
      <c r="AZ378" s="11">
        <f ca="1">IFERROR(OFFSET(ITEM_RES!$A$1,MATCH(BA378,ITEM_RES!$J:$J,0)-1,0),0)</f>
        <v>211020801</v>
      </c>
      <c r="BA378" s="10" t="s">
        <v>435</v>
      </c>
      <c r="BB378" s="11">
        <v>1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 t="s">
        <v>931</v>
      </c>
      <c r="N379" s="9" t="s">
        <v>949</v>
      </c>
      <c r="O379" s="9">
        <v>1</v>
      </c>
      <c r="P379" s="9">
        <v>15</v>
      </c>
      <c r="Q379" s="9" t="s">
        <v>762</v>
      </c>
      <c r="U379" s="9" t="s">
        <v>703</v>
      </c>
      <c r="W379" s="84" t="s">
        <v>552</v>
      </c>
      <c r="X379" s="9">
        <f ca="1">IFERROR(OFFSET(ITEM_RES!$A$5,MATCH(BUILDING!W379,ITEM_RES!$J$5:$J$226,0)-1,0),0)</f>
        <v>211020801</v>
      </c>
      <c r="Y379" s="11">
        <v>1</v>
      </c>
      <c r="Z379" s="84" t="s">
        <v>393</v>
      </c>
      <c r="AA379" s="9">
        <f ca="1">IFERROR(OFFSET(ITEM_RES!$A$5,MATCH(BUILDING!Z379,ITEM_RES!$J$5:$J$226,0)-1,0),0)</f>
        <v>211020901</v>
      </c>
      <c r="AC379" s="9" t="s">
        <v>524</v>
      </c>
      <c r="AD379" s="9">
        <v>15</v>
      </c>
      <c r="AF379" s="11">
        <f ca="1">IFERROR(OFFSET(MANOR_LEVEL!$B$1,MATCH(AG379-1,MANOR_LEVEL!$A:$A,0)-1,0),0)</f>
        <v>4232000</v>
      </c>
      <c r="AG379" s="56">
        <v>16</v>
      </c>
      <c r="AI379" s="56">
        <f t="shared" ca="1" si="126"/>
        <v>550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550.29999999999995</v>
      </c>
      <c r="AK379" s="182">
        <f t="shared" ca="1" si="127"/>
        <v>1000</v>
      </c>
      <c r="AM379" s="11">
        <f t="shared" si="118"/>
        <v>75</v>
      </c>
      <c r="AN379" s="10">
        <v>75</v>
      </c>
      <c r="AO379" s="11">
        <f t="shared" si="124"/>
        <v>550</v>
      </c>
      <c r="AP379" s="10">
        <v>550</v>
      </c>
      <c r="AQ379" s="11">
        <f t="shared" si="124"/>
        <v>0</v>
      </c>
      <c r="AR379" s="10">
        <v>0</v>
      </c>
      <c r="AS379" s="56">
        <f t="shared" si="119"/>
        <v>2</v>
      </c>
      <c r="AU379" s="11">
        <f ca="1">IFERROR(OFFSET(ITEM_RES!$A$1,MATCH(AV379,ITEM_RES!$J:$J,0)-1,0),0)</f>
        <v>211020501</v>
      </c>
      <c r="AV379" s="10" t="s">
        <v>433</v>
      </c>
      <c r="AW379" s="11">
        <v>1</v>
      </c>
      <c r="AZ379" s="11">
        <f ca="1">IFERROR(OFFSET(ITEM_RES!$A$1,MATCH(BA379,ITEM_RES!$J:$J,0)-1,0),0)</f>
        <v>211020801</v>
      </c>
      <c r="BA379" s="10" t="s">
        <v>435</v>
      </c>
      <c r="BB379" s="11">
        <v>1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 t="s">
        <v>931</v>
      </c>
      <c r="N380" s="9" t="s">
        <v>949</v>
      </c>
      <c r="O380" s="9">
        <v>0</v>
      </c>
      <c r="P380" s="9">
        <v>15</v>
      </c>
      <c r="Q380" s="9" t="s">
        <v>762</v>
      </c>
      <c r="U380" s="9" t="s">
        <v>703</v>
      </c>
      <c r="W380" s="84" t="s">
        <v>552</v>
      </c>
      <c r="X380" s="9">
        <f ca="1">IFERROR(OFFSET(ITEM_RES!$A$5,MATCH(BUILDING!W380,ITEM_RES!$J$5:$J$226,0)-1,0),0)</f>
        <v>211020801</v>
      </c>
      <c r="Y380" s="11">
        <v>1</v>
      </c>
      <c r="Z380" s="84" t="s">
        <v>393</v>
      </c>
      <c r="AA380" s="9">
        <f ca="1">IFERROR(OFFSET(ITEM_RES!$A$5,MATCH(BUILDING!Z380,ITEM_RES!$J$5:$J$226,0)-1,0),0)</f>
        <v>211020901</v>
      </c>
      <c r="AC380" s="9" t="s">
        <v>524</v>
      </c>
      <c r="AD380" s="9">
        <v>16</v>
      </c>
      <c r="AF380" s="11">
        <f ca="1">IFERROR(OFFSET(MANOR_LEVEL!$B$1,MATCH(AG380-1,MANOR_LEVEL!$A:$A,0)-1,0),0)</f>
        <v>4232000</v>
      </c>
      <c r="AG380" s="56">
        <v>16</v>
      </c>
      <c r="AI380" s="56">
        <f t="shared" ca="1" si="126"/>
        <v>700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700.3</v>
      </c>
      <c r="AK380" s="182">
        <f t="shared" ca="1" si="127"/>
        <v>1250</v>
      </c>
      <c r="AM380" s="11">
        <f t="shared" si="118"/>
        <v>80</v>
      </c>
      <c r="AN380" s="10">
        <v>80</v>
      </c>
      <c r="AO380" s="11">
        <f t="shared" si="124"/>
        <v>700</v>
      </c>
      <c r="AP380" s="10">
        <v>700</v>
      </c>
      <c r="AQ380" s="11">
        <f t="shared" si="124"/>
        <v>0</v>
      </c>
      <c r="AR380" s="10">
        <v>0</v>
      </c>
      <c r="AS380" s="56">
        <f t="shared" si="119"/>
        <v>2</v>
      </c>
      <c r="AU380" s="11">
        <f ca="1">IFERROR(OFFSET(ITEM_RES!$A$1,MATCH(AV380,ITEM_RES!$J:$J,0)-1,0),0)</f>
        <v>211020501</v>
      </c>
      <c r="AV380" s="10" t="s">
        <v>433</v>
      </c>
      <c r="AW380" s="11">
        <v>1</v>
      </c>
      <c r="AZ380" s="11">
        <f ca="1">IFERROR(OFFSET(ITEM_RES!$A$1,MATCH(BA380,ITEM_RES!$J:$J,0)-1,0),0)</f>
        <v>211020801</v>
      </c>
      <c r="BA380" s="10" t="s">
        <v>435</v>
      </c>
      <c r="BB380" s="11">
        <v>1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 t="s">
        <v>931</v>
      </c>
      <c r="N381" s="9" t="s">
        <v>949</v>
      </c>
      <c r="O381" s="9">
        <v>0</v>
      </c>
      <c r="P381" s="9">
        <v>15</v>
      </c>
      <c r="Q381" s="9" t="s">
        <v>762</v>
      </c>
      <c r="U381" s="9" t="s">
        <v>703</v>
      </c>
      <c r="W381" s="84" t="s">
        <v>552</v>
      </c>
      <c r="X381" s="9">
        <f ca="1">IFERROR(OFFSET(ITEM_RES!$A$5,MATCH(BUILDING!W381,ITEM_RES!$J$5:$J$226,0)-1,0),0)</f>
        <v>211020801</v>
      </c>
      <c r="Y381" s="11">
        <v>1</v>
      </c>
      <c r="Z381" s="84" t="s">
        <v>393</v>
      </c>
      <c r="AA381" s="9">
        <f ca="1">IFERROR(OFFSET(ITEM_RES!$A$5,MATCH(BUILDING!Z381,ITEM_RES!$J$5:$J$226,0)-1,0),0)</f>
        <v>211020901</v>
      </c>
      <c r="AC381" s="9" t="s">
        <v>524</v>
      </c>
      <c r="AD381" s="9">
        <v>17</v>
      </c>
      <c r="AF381" s="11">
        <f ca="1">IFERROR(OFFSET(MANOR_LEVEL!$B$1,MATCH(AG381-1,MANOR_LEVEL!$A:$A,0)-1,0),0)</f>
        <v>4232000</v>
      </c>
      <c r="AG381" s="56">
        <v>16</v>
      </c>
      <c r="AI381" s="56">
        <f t="shared" ca="1" si="126"/>
        <v>850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850.3</v>
      </c>
      <c r="AK381" s="182">
        <f t="shared" ca="1" si="127"/>
        <v>1550</v>
      </c>
      <c r="AM381" s="11">
        <f t="shared" si="118"/>
        <v>85</v>
      </c>
      <c r="AN381" s="10">
        <v>85</v>
      </c>
      <c r="AO381" s="11">
        <f t="shared" si="124"/>
        <v>850</v>
      </c>
      <c r="AP381" s="10">
        <v>850</v>
      </c>
      <c r="AQ381" s="11">
        <f t="shared" si="124"/>
        <v>0</v>
      </c>
      <c r="AR381" s="10">
        <v>0</v>
      </c>
      <c r="AS381" s="56">
        <f t="shared" si="119"/>
        <v>2</v>
      </c>
      <c r="AU381" s="11">
        <f ca="1">IFERROR(OFFSET(ITEM_RES!$A$1,MATCH(AV381,ITEM_RES!$J:$J,0)-1,0),0)</f>
        <v>211020501</v>
      </c>
      <c r="AV381" s="10" t="s">
        <v>433</v>
      </c>
      <c r="AW381" s="11">
        <v>1</v>
      </c>
      <c r="AZ381" s="11">
        <f ca="1">IFERROR(OFFSET(ITEM_RES!$A$1,MATCH(BA381,ITEM_RES!$J:$J,0)-1,0),0)</f>
        <v>211020801</v>
      </c>
      <c r="BA381" s="10" t="s">
        <v>435</v>
      </c>
      <c r="BB381" s="11">
        <v>1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 t="s">
        <v>931</v>
      </c>
      <c r="N382" s="9" t="s">
        <v>949</v>
      </c>
      <c r="O382" s="9">
        <v>0</v>
      </c>
      <c r="P382" s="9">
        <v>15</v>
      </c>
      <c r="Q382" s="9" t="s">
        <v>762</v>
      </c>
      <c r="U382" s="9" t="s">
        <v>703</v>
      </c>
      <c r="W382" s="84" t="s">
        <v>552</v>
      </c>
      <c r="X382" s="9">
        <f ca="1">IFERROR(OFFSET(ITEM_RES!$A$5,MATCH(BUILDING!W382,ITEM_RES!$J$5:$J$226,0)-1,0),0)</f>
        <v>211020801</v>
      </c>
      <c r="Y382" s="11">
        <v>1</v>
      </c>
      <c r="Z382" s="84" t="s">
        <v>393</v>
      </c>
      <c r="AA382" s="9">
        <f ca="1">IFERROR(OFFSET(ITEM_RES!$A$5,MATCH(BUILDING!Z382,ITEM_RES!$J$5:$J$226,0)-1,0),0)</f>
        <v>211020901</v>
      </c>
      <c r="AC382" s="9" t="s">
        <v>524</v>
      </c>
      <c r="AD382" s="9">
        <v>18</v>
      </c>
      <c r="AF382" s="11">
        <f ca="1">IFERROR(OFFSET(MANOR_LEVEL!$B$1,MATCH(AG382-1,MANOR_LEVEL!$A:$A,0)-1,0),0)</f>
        <v>4232000</v>
      </c>
      <c r="AG382" s="56">
        <v>16</v>
      </c>
      <c r="AI382" s="56">
        <f t="shared" ca="1" si="126"/>
        <v>1050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1050.3</v>
      </c>
      <c r="AK382" s="182">
        <f t="shared" ca="1" si="127"/>
        <v>1900</v>
      </c>
      <c r="AM382" s="11">
        <f t="shared" si="118"/>
        <v>90</v>
      </c>
      <c r="AN382" s="10">
        <v>90</v>
      </c>
      <c r="AO382" s="11">
        <f t="shared" si="124"/>
        <v>1050</v>
      </c>
      <c r="AP382" s="10">
        <v>1050</v>
      </c>
      <c r="AQ382" s="11">
        <f t="shared" si="124"/>
        <v>0</v>
      </c>
      <c r="AR382" s="10">
        <v>0</v>
      </c>
      <c r="AS382" s="56">
        <f t="shared" si="119"/>
        <v>2</v>
      </c>
      <c r="AU382" s="11">
        <f ca="1">IFERROR(OFFSET(ITEM_RES!$A$1,MATCH(AV382,ITEM_RES!$J:$J,0)-1,0),0)</f>
        <v>211020501</v>
      </c>
      <c r="AV382" s="10" t="s">
        <v>433</v>
      </c>
      <c r="AW382" s="11">
        <v>1</v>
      </c>
      <c r="AZ382" s="11">
        <f ca="1">IFERROR(OFFSET(ITEM_RES!$A$1,MATCH(BA382,ITEM_RES!$J:$J,0)-1,0),0)</f>
        <v>211020801</v>
      </c>
      <c r="BA382" s="10" t="s">
        <v>435</v>
      </c>
      <c r="BB382" s="11">
        <v>1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 t="s">
        <v>931</v>
      </c>
      <c r="N383" s="9" t="s">
        <v>949</v>
      </c>
      <c r="O383" s="9">
        <v>0</v>
      </c>
      <c r="P383" s="9">
        <v>15</v>
      </c>
      <c r="Q383" s="9" t="s">
        <v>762</v>
      </c>
      <c r="U383" s="9" t="s">
        <v>703</v>
      </c>
      <c r="W383" s="84" t="s">
        <v>552</v>
      </c>
      <c r="X383" s="9">
        <f ca="1">IFERROR(OFFSET(ITEM_RES!$A$5,MATCH(BUILDING!W383,ITEM_RES!$J$5:$J$226,0)-1,0),0)</f>
        <v>211020801</v>
      </c>
      <c r="Y383" s="11">
        <v>1</v>
      </c>
      <c r="Z383" s="84" t="s">
        <v>393</v>
      </c>
      <c r="AA383" s="9">
        <f ca="1">IFERROR(OFFSET(ITEM_RES!$A$5,MATCH(BUILDING!Z383,ITEM_RES!$J$5:$J$226,0)-1,0),0)</f>
        <v>211020901</v>
      </c>
      <c r="AC383" s="9" t="s">
        <v>524</v>
      </c>
      <c r="AD383" s="9">
        <v>19</v>
      </c>
      <c r="AF383" s="11">
        <f ca="1">IFERROR(OFFSET(MANOR_LEVEL!$B$1,MATCH(AG383-1,MANOR_LEVEL!$A:$A,0)-1,0),0)</f>
        <v>4232000</v>
      </c>
      <c r="AG383" s="56">
        <v>16</v>
      </c>
      <c r="AI383" s="56">
        <f t="shared" ca="1" si="126"/>
        <v>1250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1250.3</v>
      </c>
      <c r="AK383" s="182">
        <f t="shared" ca="1" si="127"/>
        <v>2300</v>
      </c>
      <c r="AM383" s="11">
        <f t="shared" si="118"/>
        <v>95</v>
      </c>
      <c r="AN383" s="10">
        <v>95</v>
      </c>
      <c r="AO383" s="11">
        <f t="shared" si="124"/>
        <v>1250</v>
      </c>
      <c r="AP383" s="10">
        <v>1250</v>
      </c>
      <c r="AQ383" s="11">
        <f t="shared" si="124"/>
        <v>0</v>
      </c>
      <c r="AR383" s="10">
        <v>0</v>
      </c>
      <c r="AS383" s="56">
        <f t="shared" si="119"/>
        <v>2</v>
      </c>
      <c r="AU383" s="11">
        <f ca="1">IFERROR(OFFSET(ITEM_RES!$A$1,MATCH(AV383,ITEM_RES!$J:$J,0)-1,0),0)</f>
        <v>211020501</v>
      </c>
      <c r="AV383" s="10" t="s">
        <v>433</v>
      </c>
      <c r="AW383" s="11">
        <v>1</v>
      </c>
      <c r="AZ383" s="11">
        <f ca="1">IFERROR(OFFSET(ITEM_RES!$A$1,MATCH(BA383,ITEM_RES!$J:$J,0)-1,0),0)</f>
        <v>211020801</v>
      </c>
      <c r="BA383" s="10" t="s">
        <v>435</v>
      </c>
      <c r="BB383" s="11">
        <v>1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 t="s">
        <v>931</v>
      </c>
      <c r="N384" s="9" t="s">
        <v>949</v>
      </c>
      <c r="O384" s="9">
        <v>0</v>
      </c>
      <c r="P384" s="9">
        <v>15</v>
      </c>
      <c r="Q384" s="9" t="s">
        <v>762</v>
      </c>
      <c r="U384" s="9" t="s">
        <v>703</v>
      </c>
      <c r="W384" s="84" t="s">
        <v>552</v>
      </c>
      <c r="X384" s="9">
        <f ca="1">IFERROR(OFFSET(ITEM_RES!$A$5,MATCH(BUILDING!W384,ITEM_RES!$J$5:$J$226,0)-1,0),0)</f>
        <v>211020801</v>
      </c>
      <c r="Y384" s="11">
        <v>1</v>
      </c>
      <c r="Z384" s="84" t="s">
        <v>393</v>
      </c>
      <c r="AA384" s="9">
        <f ca="1">IFERROR(OFFSET(ITEM_RES!$A$5,MATCH(BUILDING!Z384,ITEM_RES!$J$5:$J$226,0)-1,0),0)</f>
        <v>211020901</v>
      </c>
      <c r="AC384" s="9" t="s">
        <v>524</v>
      </c>
      <c r="AD384" s="9">
        <v>20</v>
      </c>
      <c r="AF384" s="11">
        <f ca="1">IFERROR(OFFSET(MANOR_LEVEL!$B$1,MATCH(AG384-1,MANOR_LEVEL!$A:$A,0)-1,0),0)</f>
        <v>4232000</v>
      </c>
      <c r="AG384" s="56">
        <v>16</v>
      </c>
      <c r="AI384" s="56">
        <f t="shared" ca="1" si="126"/>
        <v>1500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1500.3</v>
      </c>
      <c r="AK384" s="182">
        <f t="shared" ca="1" si="127"/>
        <v>2750</v>
      </c>
      <c r="AM384" s="11">
        <f t="shared" si="118"/>
        <v>100</v>
      </c>
      <c r="AN384" s="10">
        <v>100</v>
      </c>
      <c r="AO384" s="11">
        <f t="shared" si="124"/>
        <v>1500</v>
      </c>
      <c r="AP384" s="10">
        <v>1500</v>
      </c>
      <c r="AQ384" s="11">
        <f t="shared" si="124"/>
        <v>0</v>
      </c>
      <c r="AR384" s="10">
        <v>0</v>
      </c>
      <c r="AS384" s="56">
        <f t="shared" si="119"/>
        <v>2</v>
      </c>
      <c r="AU384" s="11">
        <f ca="1">IFERROR(OFFSET(ITEM_RES!$A$1,MATCH(AV384,ITEM_RES!$J:$J,0)-1,0),0)</f>
        <v>211020501</v>
      </c>
      <c r="AV384" s="10" t="s">
        <v>433</v>
      </c>
      <c r="AW384" s="11">
        <v>1</v>
      </c>
      <c r="AZ384" s="11">
        <f ca="1">IFERROR(OFFSET(ITEM_RES!$A$1,MATCH(BA384,ITEM_RES!$J:$J,0)-1,0),0)</f>
        <v>211020801</v>
      </c>
      <c r="BA384" s="10" t="s">
        <v>435</v>
      </c>
      <c r="BB384" s="11">
        <v>1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 t="s">
        <v>932</v>
      </c>
      <c r="N385" s="16" t="s">
        <v>950</v>
      </c>
      <c r="O385" s="16">
        <v>1</v>
      </c>
      <c r="P385" s="16">
        <v>15</v>
      </c>
      <c r="Q385" s="16" t="s">
        <v>1253</v>
      </c>
      <c r="R385" s="17"/>
      <c r="S385" s="17"/>
      <c r="T385" s="18"/>
      <c r="U385" s="16" t="s">
        <v>709</v>
      </c>
      <c r="V385" s="78"/>
      <c r="W385" s="86"/>
      <c r="X385" s="16">
        <f ca="1">IFERROR(OFFSET(ITEM_RES!$A$5,MATCH(BUILDING!W385,ITEM_RES!$J$5:$J$226,0)-1,0),0)</f>
        <v>0</v>
      </c>
      <c r="Y385" s="18"/>
      <c r="Z385" s="86" t="s">
        <v>547</v>
      </c>
      <c r="AA385" s="16">
        <f ca="1">IFERROR(OFFSET(ITEM_RES!$A$5,MATCH(BUILDING!Z385,ITEM_RES!$J$5:$J$226,0)-1,0),0)</f>
        <v>211020201</v>
      </c>
      <c r="AB385" s="78"/>
      <c r="AC385" s="16" t="s">
        <v>525</v>
      </c>
      <c r="AD385" s="16">
        <v>1</v>
      </c>
      <c r="AE385" s="78"/>
      <c r="AF385" s="18">
        <f ca="1">IFERROR(OFFSET(MANOR_LEVEL!$B$1,MATCH(AG385-1,MANOR_LEVEL!$A:$A,0)-1,0),0)</f>
        <v>0</v>
      </c>
      <c r="AG385" s="57">
        <v>1</v>
      </c>
      <c r="AH385" s="78"/>
      <c r="AI385" s="57">
        <f t="shared" ca="1" si="126"/>
        <v>106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105.6</v>
      </c>
      <c r="AK385" s="184">
        <f ca="1">AI385</f>
        <v>106</v>
      </c>
      <c r="AL385" s="78"/>
      <c r="AM385" s="18">
        <f t="shared" ref="AM385:AM428" si="128">ROUND(AN385,0)</f>
        <v>5</v>
      </c>
      <c r="AN385" s="17">
        <v>5</v>
      </c>
      <c r="AO385" s="18">
        <f t="shared" si="124"/>
        <v>5</v>
      </c>
      <c r="AP385" s="17">
        <v>5</v>
      </c>
      <c r="AQ385" s="18">
        <f t="shared" si="124"/>
        <v>0</v>
      </c>
      <c r="AR385" s="17">
        <v>0</v>
      </c>
      <c r="AS385" s="57">
        <f t="shared" si="119"/>
        <v>3</v>
      </c>
      <c r="AT385" s="18"/>
      <c r="AU385" s="18">
        <f ca="1">IFERROR(OFFSET(ITEM_RES!$A$1,MATCH(AV385,ITEM_RES!$J:$J,0)-1,0),0)</f>
        <v>211010501</v>
      </c>
      <c r="AV385" s="17" t="s">
        <v>427</v>
      </c>
      <c r="AW385" s="18">
        <v>20</v>
      </c>
      <c r="AX385" s="17"/>
      <c r="AY385" s="18"/>
      <c r="AZ385" s="18">
        <f ca="1">IFERROR(OFFSET(ITEM_RES!$A$1,MATCH(BA385,ITEM_RES!$J:$J,0)-1,0),0)</f>
        <v>211020101</v>
      </c>
      <c r="BA385" s="17" t="s">
        <v>448</v>
      </c>
      <c r="BB385" s="18">
        <v>20</v>
      </c>
      <c r="BC385" s="17"/>
      <c r="BD385" s="18"/>
      <c r="BE385" s="18">
        <f ca="1">IFERROR(OFFSET(ITEM_RES!$A$1,MATCH(BF385,ITEM_RES!$J:$J,0)-1,0),0)</f>
        <v>213010101</v>
      </c>
      <c r="BF385" s="17" t="s">
        <v>452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 t="s">
        <v>932</v>
      </c>
      <c r="N386" s="9" t="s">
        <v>950</v>
      </c>
      <c r="O386" s="9">
        <v>1</v>
      </c>
      <c r="P386" s="9">
        <v>15</v>
      </c>
      <c r="Q386" s="9" t="s">
        <v>1254</v>
      </c>
      <c r="U386" s="9" t="s">
        <v>709</v>
      </c>
      <c r="X386" s="9">
        <f ca="1">IFERROR(OFFSET(ITEM_RES!$A$5,MATCH(BUILDING!W386,ITEM_RES!$J$5:$J$226,0)-1,0),0)</f>
        <v>0</v>
      </c>
      <c r="Z386" s="84" t="s">
        <v>547</v>
      </c>
      <c r="AA386" s="9">
        <f ca="1">IFERROR(OFFSET(ITEM_RES!$A$5,MATCH(BUILDING!Z386,ITEM_RES!$J$5:$J$226,0)-1,0),0)</f>
        <v>211020201</v>
      </c>
      <c r="AC386" s="9" t="s">
        <v>525</v>
      </c>
      <c r="AD386" s="9">
        <v>2</v>
      </c>
      <c r="AF386" s="11">
        <f ca="1">IFERROR(OFFSET(MANOR_LEVEL!$B$1,MATCH(AG386-1,MANOR_LEVEL!$A:$A,0)-1,0),0)</f>
        <v>0</v>
      </c>
      <c r="AG386" s="56">
        <v>1</v>
      </c>
      <c r="AI386" s="56">
        <f t="shared" ca="1" si="126"/>
        <v>11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10.6</v>
      </c>
      <c r="AK386" s="182">
        <f ca="1">AI385+AI386</f>
        <v>117</v>
      </c>
      <c r="AM386" s="11">
        <f t="shared" si="12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0</v>
      </c>
      <c r="AR386" s="10">
        <v>0</v>
      </c>
      <c r="AS386" s="56">
        <f t="shared" ref="AS386:AS429" si="129">(AW386&gt;0)*1+(BB386&gt;0)*1+(BG386&gt;0)*1+(BL386&gt;0)*1+(BQ386&gt;0)*1</f>
        <v>2</v>
      </c>
      <c r="AU386" s="11">
        <f ca="1">IFERROR(OFFSET(ITEM_RES!$A$1,MATCH(AV386,ITEM_RES!$J:$J,0)-1,0),0)</f>
        <v>211010501</v>
      </c>
      <c r="AV386" s="10" t="s">
        <v>427</v>
      </c>
      <c r="AW386" s="11">
        <v>20</v>
      </c>
      <c r="AZ386" s="11">
        <f ca="1">IFERROR(OFFSET(ITEM_RES!$A$1,MATCH(BA386,ITEM_RES!$J:$J,0)-1,0),0)</f>
        <v>211020101</v>
      </c>
      <c r="BA386" s="10" t="s">
        <v>448</v>
      </c>
      <c r="BB386" s="11">
        <v>20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 t="s">
        <v>932</v>
      </c>
      <c r="N387" s="9" t="s">
        <v>950</v>
      </c>
      <c r="O387" s="9">
        <v>1</v>
      </c>
      <c r="P387" s="9">
        <v>15</v>
      </c>
      <c r="Q387" s="9" t="s">
        <v>1255</v>
      </c>
      <c r="U387" s="9" t="s">
        <v>709</v>
      </c>
      <c r="X387" s="9">
        <f ca="1">IFERROR(OFFSET(ITEM_RES!$A$5,MATCH(BUILDING!W387,ITEM_RES!$J$5:$J$226,0)-1,0),0)</f>
        <v>0</v>
      </c>
      <c r="Z387" s="84" t="s">
        <v>547</v>
      </c>
      <c r="AA387" s="9">
        <f ca="1">IFERROR(OFFSET(ITEM_RES!$A$5,MATCH(BUILDING!Z387,ITEM_RES!$J$5:$J$226,0)-1,0),0)</f>
        <v>211020201</v>
      </c>
      <c r="AC387" s="9" t="s">
        <v>525</v>
      </c>
      <c r="AD387" s="9">
        <v>3</v>
      </c>
      <c r="AF387" s="11">
        <f ca="1">IFERROR(OFFSET(MANOR_LEVEL!$B$1,MATCH(AG387-1,MANOR_LEVEL!$A:$A,0)-1,0),0)</f>
        <v>0</v>
      </c>
      <c r="AG387" s="56">
        <v>1</v>
      </c>
      <c r="AI387" s="56">
        <f t="shared" ca="1" si="126"/>
        <v>20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19.8</v>
      </c>
      <c r="AK387" s="182">
        <f t="shared" ref="AK387:AK404" ca="1" si="130">AI386+AI387</f>
        <v>31</v>
      </c>
      <c r="AM387" s="11">
        <f t="shared" si="12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0</v>
      </c>
      <c r="AR387" s="10">
        <v>0</v>
      </c>
      <c r="AS387" s="56">
        <f t="shared" si="129"/>
        <v>2</v>
      </c>
      <c r="AU387" s="11">
        <f ca="1">IFERROR(OFFSET(ITEM_RES!$A$1,MATCH(AV387,ITEM_RES!$J:$J,0)-1,0),0)</f>
        <v>211010501</v>
      </c>
      <c r="AV387" s="10" t="s">
        <v>427</v>
      </c>
      <c r="AW387" s="11">
        <v>160</v>
      </c>
      <c r="AZ387" s="11">
        <f ca="1">IFERROR(OFFSET(ITEM_RES!$A$1,MATCH(BA387,ITEM_RES!$J:$J,0)-1,0),0)</f>
        <v>211020101</v>
      </c>
      <c r="BA387" s="10" t="s">
        <v>448</v>
      </c>
      <c r="BB387" s="11">
        <v>160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 t="s">
        <v>932</v>
      </c>
      <c r="N388" s="9" t="s">
        <v>950</v>
      </c>
      <c r="O388" s="9">
        <v>1</v>
      </c>
      <c r="P388" s="9">
        <v>15</v>
      </c>
      <c r="Q388" s="9" t="s">
        <v>1256</v>
      </c>
      <c r="U388" s="9" t="s">
        <v>709</v>
      </c>
      <c r="X388" s="9">
        <f ca="1">IFERROR(OFFSET(ITEM_RES!$A$5,MATCH(BUILDING!W388,ITEM_RES!$J$5:$J$226,0)-1,0),0)</f>
        <v>0</v>
      </c>
      <c r="Z388" s="84" t="s">
        <v>547</v>
      </c>
      <c r="AA388" s="9">
        <f ca="1">IFERROR(OFFSET(ITEM_RES!$A$5,MATCH(BUILDING!Z388,ITEM_RES!$J$5:$J$226,0)-1,0),0)</f>
        <v>211020201</v>
      </c>
      <c r="AC388" s="9" t="s">
        <v>525</v>
      </c>
      <c r="AD388" s="9">
        <v>4</v>
      </c>
      <c r="AF388" s="11">
        <f ca="1">IFERROR(OFFSET(MANOR_LEVEL!$B$1,MATCH(AG388-1,MANOR_LEVEL!$A:$A,0)-1,0),0)</f>
        <v>0</v>
      </c>
      <c r="AG388" s="56">
        <v>1</v>
      </c>
      <c r="AI388" s="56">
        <f t="shared" ca="1" si="126"/>
        <v>83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82.6</v>
      </c>
      <c r="AK388" s="182">
        <f t="shared" ca="1" si="130"/>
        <v>103</v>
      </c>
      <c r="AM388" s="11">
        <f t="shared" si="12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0</v>
      </c>
      <c r="AR388" s="10">
        <v>0</v>
      </c>
      <c r="AS388" s="56">
        <f t="shared" si="129"/>
        <v>2</v>
      </c>
      <c r="AU388" s="11">
        <f ca="1">IFERROR(OFFSET(ITEM_RES!$A$1,MATCH(AV388,ITEM_RES!$J:$J,0)-1,0),0)</f>
        <v>211010501</v>
      </c>
      <c r="AV388" s="10" t="s">
        <v>427</v>
      </c>
      <c r="AW388" s="11">
        <v>1920</v>
      </c>
      <c r="AZ388" s="11">
        <f ca="1">IFERROR(OFFSET(ITEM_RES!$A$1,MATCH(BA388,ITEM_RES!$J:$J,0)-1,0),0)</f>
        <v>211020101</v>
      </c>
      <c r="BA388" s="10" t="s">
        <v>448</v>
      </c>
      <c r="BB388" s="11">
        <v>1920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 t="s">
        <v>932</v>
      </c>
      <c r="N389" s="9" t="s">
        <v>950</v>
      </c>
      <c r="O389" s="9">
        <v>1</v>
      </c>
      <c r="P389" s="9">
        <v>15</v>
      </c>
      <c r="Q389" s="9" t="s">
        <v>1257</v>
      </c>
      <c r="U389" s="9" t="s">
        <v>709</v>
      </c>
      <c r="X389" s="9">
        <f ca="1">IFERROR(OFFSET(ITEM_RES!$A$5,MATCH(BUILDING!W389,ITEM_RES!$J$5:$J$226,0)-1,0),0)</f>
        <v>0</v>
      </c>
      <c r="Z389" s="84" t="s">
        <v>547</v>
      </c>
      <c r="AA389" s="9">
        <f ca="1">IFERROR(OFFSET(ITEM_RES!$A$5,MATCH(BUILDING!Z389,ITEM_RES!$J$5:$J$226,0)-1,0),0)</f>
        <v>211020201</v>
      </c>
      <c r="AC389" s="9" t="s">
        <v>525</v>
      </c>
      <c r="AD389" s="9">
        <v>5</v>
      </c>
      <c r="AF389" s="11">
        <f ca="1">IFERROR(OFFSET(MANOR_LEVEL!$B$1,MATCH(AG389-1,MANOR_LEVEL!$A:$A,0)-1,0),0)</f>
        <v>0</v>
      </c>
      <c r="AG389" s="56">
        <v>1</v>
      </c>
      <c r="AI389" s="56">
        <f t="shared" ca="1" si="126"/>
        <v>820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820</v>
      </c>
      <c r="AK389" s="182">
        <f t="shared" ca="1" si="130"/>
        <v>903</v>
      </c>
      <c r="AM389" s="11">
        <f t="shared" si="12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0</v>
      </c>
      <c r="AR389" s="10">
        <v>0</v>
      </c>
      <c r="AS389" s="56">
        <f t="shared" si="129"/>
        <v>2</v>
      </c>
      <c r="AU389" s="11">
        <f ca="1">IFERROR(OFFSET(ITEM_RES!$A$1,MATCH(AV389,ITEM_RES!$J:$J,0)-1,0),0)</f>
        <v>211010501</v>
      </c>
      <c r="AV389" s="10" t="s">
        <v>427</v>
      </c>
      <c r="AW389" s="11">
        <v>26000</v>
      </c>
      <c r="AZ389" s="11">
        <f ca="1">IFERROR(OFFSET(ITEM_RES!$A$1,MATCH(BA389,ITEM_RES!$J:$J,0)-1,0),0)</f>
        <v>211020101</v>
      </c>
      <c r="BA389" s="10" t="s">
        <v>448</v>
      </c>
      <c r="BB389" s="11">
        <v>26000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 t="s">
        <v>932</v>
      </c>
      <c r="N390" s="9" t="s">
        <v>950</v>
      </c>
      <c r="O390" s="9">
        <v>1</v>
      </c>
      <c r="P390" s="9">
        <v>15</v>
      </c>
      <c r="Q390" s="9" t="s">
        <v>1258</v>
      </c>
      <c r="U390" s="9" t="s">
        <v>709</v>
      </c>
      <c r="X390" s="9">
        <f ca="1">IFERROR(OFFSET(ITEM_RES!$A$5,MATCH(BUILDING!W390,ITEM_RES!$J$5:$J$226,0)-1,0),0)</f>
        <v>0</v>
      </c>
      <c r="Z390" s="84" t="s">
        <v>547</v>
      </c>
      <c r="AA390" s="9">
        <f ca="1">IFERROR(OFFSET(ITEM_RES!$A$5,MATCH(BUILDING!Z390,ITEM_RES!$J$5:$J$226,0)-1,0),0)</f>
        <v>211020201</v>
      </c>
      <c r="AC390" s="9" t="s">
        <v>525</v>
      </c>
      <c r="AD390" s="9">
        <v>6</v>
      </c>
      <c r="AF390" s="11">
        <f ca="1">IFERROR(OFFSET(MANOR_LEVEL!$B$1,MATCH(AG390-1,MANOR_LEVEL!$A:$A,0)-1,0),0)</f>
        <v>528</v>
      </c>
      <c r="AG390" s="56">
        <v>3</v>
      </c>
      <c r="AI390" s="56">
        <f t="shared" ca="1" si="126"/>
        <v>7250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7250</v>
      </c>
      <c r="AK390" s="182">
        <f t="shared" ca="1" si="130"/>
        <v>8070</v>
      </c>
      <c r="AM390" s="11">
        <f t="shared" si="12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0</v>
      </c>
      <c r="AR390" s="10">
        <v>0</v>
      </c>
      <c r="AS390" s="56">
        <f t="shared" si="129"/>
        <v>2</v>
      </c>
      <c r="AU390" s="11">
        <f ca="1">IFERROR(OFFSET(ITEM_RES!$A$1,MATCH(AV390,ITEM_RES!$J:$J,0)-1,0),0)</f>
        <v>211010501</v>
      </c>
      <c r="AV390" s="10" t="s">
        <v>427</v>
      </c>
      <c r="AW390" s="11">
        <v>240000</v>
      </c>
      <c r="AZ390" s="11">
        <f ca="1">IFERROR(OFFSET(ITEM_RES!$A$1,MATCH(BA390,ITEM_RES!$J:$J,0)-1,0),0)</f>
        <v>211020101</v>
      </c>
      <c r="BA390" s="10" t="s">
        <v>448</v>
      </c>
      <c r="BB390" s="11">
        <v>240000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 t="s">
        <v>932</v>
      </c>
      <c r="N391" s="9" t="s">
        <v>950</v>
      </c>
      <c r="O391" s="9">
        <v>1</v>
      </c>
      <c r="P391" s="9">
        <v>15</v>
      </c>
      <c r="Q391" s="9" t="s">
        <v>1259</v>
      </c>
      <c r="U391" s="9" t="s">
        <v>709</v>
      </c>
      <c r="X391" s="9">
        <f ca="1">IFERROR(OFFSET(ITEM_RES!$A$5,MATCH(BUILDING!W391,ITEM_RES!$J$5:$J$226,0)-1,0),0)</f>
        <v>0</v>
      </c>
      <c r="Z391" s="84" t="s">
        <v>547</v>
      </c>
      <c r="AA391" s="9">
        <f ca="1">IFERROR(OFFSET(ITEM_RES!$A$5,MATCH(BUILDING!Z391,ITEM_RES!$J$5:$J$226,0)-1,0),0)</f>
        <v>211020201</v>
      </c>
      <c r="AC391" s="9" t="s">
        <v>525</v>
      </c>
      <c r="AD391" s="9">
        <v>7</v>
      </c>
      <c r="AF391" s="11">
        <f ca="1">IFERROR(OFFSET(MANOR_LEVEL!$B$1,MATCH(AG391-1,MANOR_LEVEL!$A:$A,0)-1,0),0)</f>
        <v>800</v>
      </c>
      <c r="AG391" s="56">
        <v>4</v>
      </c>
      <c r="AI391" s="56">
        <f t="shared" ca="1" si="126"/>
        <v>16300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16300</v>
      </c>
      <c r="AK391" s="182">
        <f t="shared" ca="1" si="130"/>
        <v>23550</v>
      </c>
      <c r="AM391" s="11">
        <f t="shared" si="12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0</v>
      </c>
      <c r="AR391" s="10">
        <v>0</v>
      </c>
      <c r="AS391" s="56">
        <f t="shared" si="129"/>
        <v>2</v>
      </c>
      <c r="AU391" s="11">
        <f ca="1">IFERROR(OFFSET(ITEM_RES!$A$1,MATCH(AV391,ITEM_RES!$J:$J,0)-1,0),0)</f>
        <v>211010501</v>
      </c>
      <c r="AV391" s="10" t="s">
        <v>427</v>
      </c>
      <c r="AW391" s="11">
        <v>540000</v>
      </c>
      <c r="AZ391" s="11">
        <f ca="1">IFERROR(OFFSET(ITEM_RES!$A$1,MATCH(BA391,ITEM_RES!$J:$J,0)-1,0),0)</f>
        <v>211020101</v>
      </c>
      <c r="BA391" s="10" t="s">
        <v>448</v>
      </c>
      <c r="BB391" s="11">
        <v>540000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 t="s">
        <v>932</v>
      </c>
      <c r="N392" s="9" t="s">
        <v>950</v>
      </c>
      <c r="O392" s="9">
        <v>1</v>
      </c>
      <c r="P392" s="9">
        <v>15</v>
      </c>
      <c r="Q392" s="9" t="s">
        <v>1259</v>
      </c>
      <c r="U392" s="9" t="s">
        <v>709</v>
      </c>
      <c r="X392" s="9">
        <f ca="1">IFERROR(OFFSET(ITEM_RES!$A$5,MATCH(BUILDING!W392,ITEM_RES!$J$5:$J$226,0)-1,0),0)</f>
        <v>0</v>
      </c>
      <c r="Z392" s="84" t="s">
        <v>547</v>
      </c>
      <c r="AA392" s="9">
        <f ca="1">IFERROR(OFFSET(ITEM_RES!$A$5,MATCH(BUILDING!Z392,ITEM_RES!$J$5:$J$226,0)-1,0),0)</f>
        <v>211020201</v>
      </c>
      <c r="AC392" s="9" t="s">
        <v>525</v>
      </c>
      <c r="AD392" s="9">
        <v>8</v>
      </c>
      <c r="AF392" s="11">
        <f ca="1">IFERROR(OFFSET(MANOR_LEVEL!$B$1,MATCH(AG392-1,MANOR_LEVEL!$A:$A,0)-1,0),0)</f>
        <v>1500</v>
      </c>
      <c r="AG392" s="56">
        <v>5</v>
      </c>
      <c r="AI392" s="56">
        <f t="shared" ca="1" si="126"/>
        <v>30100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30100</v>
      </c>
      <c r="AK392" s="182">
        <f t="shared" ca="1" si="130"/>
        <v>46400</v>
      </c>
      <c r="AM392" s="11">
        <f t="shared" si="12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0</v>
      </c>
      <c r="AR392" s="10">
        <v>0</v>
      </c>
      <c r="AS392" s="56">
        <f t="shared" si="129"/>
        <v>2</v>
      </c>
      <c r="AU392" s="11">
        <f ca="1">IFERROR(OFFSET(ITEM_RES!$A$1,MATCH(AV392,ITEM_RES!$J:$J,0)-1,0),0)</f>
        <v>211010501</v>
      </c>
      <c r="AV392" s="10" t="s">
        <v>427</v>
      </c>
      <c r="AW392" s="11">
        <v>1000000</v>
      </c>
      <c r="AZ392" s="11">
        <f ca="1">IFERROR(OFFSET(ITEM_RES!$A$1,MATCH(BA392,ITEM_RES!$J:$J,0)-1,0),0)</f>
        <v>211020101</v>
      </c>
      <c r="BA392" s="10" t="s">
        <v>448</v>
      </c>
      <c r="BB392" s="11">
        <v>1000000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 t="s">
        <v>932</v>
      </c>
      <c r="N393" s="9" t="s">
        <v>950</v>
      </c>
      <c r="O393" s="9">
        <v>1</v>
      </c>
      <c r="P393" s="9">
        <v>15</v>
      </c>
      <c r="Q393" s="9" t="s">
        <v>1259</v>
      </c>
      <c r="U393" s="9" t="s">
        <v>709</v>
      </c>
      <c r="X393" s="9">
        <f ca="1">IFERROR(OFFSET(ITEM_RES!$A$5,MATCH(BUILDING!W393,ITEM_RES!$J$5:$J$226,0)-1,0),0)</f>
        <v>0</v>
      </c>
      <c r="Z393" s="84" t="s">
        <v>547</v>
      </c>
      <c r="AA393" s="9">
        <f ca="1">IFERROR(OFFSET(ITEM_RES!$A$5,MATCH(BUILDING!Z393,ITEM_RES!$J$5:$J$226,0)-1,0),0)</f>
        <v>211020201</v>
      </c>
      <c r="AC393" s="9" t="s">
        <v>525</v>
      </c>
      <c r="AD393" s="9">
        <v>9</v>
      </c>
      <c r="AF393" s="11">
        <f ca="1">IFERROR(OFFSET(MANOR_LEVEL!$B$1,MATCH(AG393-1,MANOR_LEVEL!$A:$A,0)-1,0),0)</f>
        <v>3872</v>
      </c>
      <c r="AG393" s="56">
        <v>6</v>
      </c>
      <c r="AI393" s="56">
        <f t="shared" ca="1" si="126"/>
        <v>47550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47550</v>
      </c>
      <c r="AK393" s="182">
        <f t="shared" ca="1" si="130"/>
        <v>77650</v>
      </c>
      <c r="AM393" s="11">
        <f t="shared" si="12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0</v>
      </c>
      <c r="AR393" s="10">
        <v>0</v>
      </c>
      <c r="AS393" s="56">
        <f t="shared" si="129"/>
        <v>2</v>
      </c>
      <c r="AU393" s="11">
        <f ca="1">IFERROR(OFFSET(ITEM_RES!$A$1,MATCH(AV393,ITEM_RES!$J:$J,0)-1,0),0)</f>
        <v>211010501</v>
      </c>
      <c r="AV393" s="10" t="s">
        <v>427</v>
      </c>
      <c r="AW393" s="11">
        <v>1580000</v>
      </c>
      <c r="AZ393" s="11">
        <f ca="1">IFERROR(OFFSET(ITEM_RES!$A$1,MATCH(BA393,ITEM_RES!$J:$J,0)-1,0),0)</f>
        <v>211020101</v>
      </c>
      <c r="BA393" s="10" t="s">
        <v>448</v>
      </c>
      <c r="BB393" s="11">
        <v>1580000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 t="s">
        <v>932</v>
      </c>
      <c r="N394" s="9" t="s">
        <v>950</v>
      </c>
      <c r="O394" s="9">
        <v>1</v>
      </c>
      <c r="P394" s="9">
        <v>15</v>
      </c>
      <c r="Q394" s="9" t="s">
        <v>1259</v>
      </c>
      <c r="U394" s="9" t="s">
        <v>709</v>
      </c>
      <c r="X394" s="9">
        <f ca="1">IFERROR(OFFSET(ITEM_RES!$A$5,MATCH(BUILDING!W394,ITEM_RES!$J$5:$J$226,0)-1,0),0)</f>
        <v>0</v>
      </c>
      <c r="Z394" s="84" t="s">
        <v>547</v>
      </c>
      <c r="AA394" s="9">
        <f ca="1">IFERROR(OFFSET(ITEM_RES!$A$5,MATCH(BUILDING!Z394,ITEM_RES!$J$5:$J$226,0)-1,0),0)</f>
        <v>211020201</v>
      </c>
      <c r="AC394" s="9" t="s">
        <v>525</v>
      </c>
      <c r="AD394" s="9">
        <v>10</v>
      </c>
      <c r="AF394" s="11">
        <f ca="1">IFERROR(OFFSET(MANOR_LEVEL!$B$1,MATCH(AG394-1,MANOR_LEVEL!$A:$A,0)-1,0),0)</f>
        <v>32640</v>
      </c>
      <c r="AG394" s="56">
        <v>7</v>
      </c>
      <c r="AI394" s="56">
        <f t="shared" ca="1" si="126"/>
        <v>66200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66200</v>
      </c>
      <c r="AK394" s="182">
        <f t="shared" ca="1" si="130"/>
        <v>113750</v>
      </c>
      <c r="AM394" s="11">
        <f t="shared" si="12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0</v>
      </c>
      <c r="AR394" s="10">
        <v>0</v>
      </c>
      <c r="AS394" s="56">
        <f t="shared" si="129"/>
        <v>2</v>
      </c>
      <c r="AU394" s="11">
        <f ca="1">IFERROR(OFFSET(ITEM_RES!$A$1,MATCH(AV394,ITEM_RES!$J:$J,0)-1,0),0)</f>
        <v>211010501</v>
      </c>
      <c r="AV394" s="10" t="s">
        <v>427</v>
      </c>
      <c r="AW394" s="11">
        <v>2200000</v>
      </c>
      <c r="AZ394" s="11">
        <f ca="1">IFERROR(OFFSET(ITEM_RES!$A$1,MATCH(BA394,ITEM_RES!$J:$J,0)-1,0),0)</f>
        <v>211020101</v>
      </c>
      <c r="BA394" s="10" t="s">
        <v>448</v>
      </c>
      <c r="BB394" s="11">
        <v>2200000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 t="s">
        <v>932</v>
      </c>
      <c r="N395" s="9" t="s">
        <v>950</v>
      </c>
      <c r="O395" s="9">
        <v>1</v>
      </c>
      <c r="P395" s="9">
        <v>15</v>
      </c>
      <c r="Q395" s="9" t="s">
        <v>1259</v>
      </c>
      <c r="U395" s="9" t="s">
        <v>709</v>
      </c>
      <c r="X395" s="9">
        <f ca="1">IFERROR(OFFSET(ITEM_RES!$A$5,MATCH(BUILDING!W395,ITEM_RES!$J$5:$J$226,0)-1,0),0)</f>
        <v>0</v>
      </c>
      <c r="Z395" s="84" t="s">
        <v>547</v>
      </c>
      <c r="AA395" s="9">
        <f ca="1">IFERROR(OFFSET(ITEM_RES!$A$5,MATCH(BUILDING!Z395,ITEM_RES!$J$5:$J$226,0)-1,0),0)</f>
        <v>211020201</v>
      </c>
      <c r="AC395" s="9" t="s">
        <v>525</v>
      </c>
      <c r="AD395" s="9">
        <v>11</v>
      </c>
      <c r="AF395" s="11">
        <f ca="1">IFERROR(OFFSET(MANOR_LEVEL!$B$1,MATCH(AG395-1,MANOR_LEVEL!$A:$A,0)-1,0),0)</f>
        <v>94800</v>
      </c>
      <c r="AG395" s="56">
        <v>8</v>
      </c>
      <c r="AI395" s="56">
        <f t="shared" ca="1" si="126"/>
        <v>132250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132250</v>
      </c>
      <c r="AK395" s="182">
        <f t="shared" ca="1" si="130"/>
        <v>198450</v>
      </c>
      <c r="AM395" s="11">
        <f t="shared" si="12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0</v>
      </c>
      <c r="AR395" s="10">
        <v>0</v>
      </c>
      <c r="AS395" s="56">
        <f t="shared" si="129"/>
        <v>2</v>
      </c>
      <c r="AU395" s="11">
        <f ca="1">IFERROR(OFFSET(ITEM_RES!$A$1,MATCH(AV395,ITEM_RES!$J:$J,0)-1,0),0)</f>
        <v>211010501</v>
      </c>
      <c r="AV395" s="10" t="s">
        <v>427</v>
      </c>
      <c r="AW395" s="11">
        <v>4400000</v>
      </c>
      <c r="AZ395" s="11">
        <f ca="1">IFERROR(OFFSET(ITEM_RES!$A$1,MATCH(BA395,ITEM_RES!$J:$J,0)-1,0),0)</f>
        <v>211020101</v>
      </c>
      <c r="BA395" s="10" t="s">
        <v>448</v>
      </c>
      <c r="BB395" s="11">
        <v>4400000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 t="s">
        <v>932</v>
      </c>
      <c r="N396" s="9" t="s">
        <v>950</v>
      </c>
      <c r="O396" s="9">
        <v>1</v>
      </c>
      <c r="P396" s="9">
        <v>15</v>
      </c>
      <c r="Q396" s="9" t="s">
        <v>1259</v>
      </c>
      <c r="U396" s="9" t="s">
        <v>709</v>
      </c>
      <c r="X396" s="9">
        <f ca="1">IFERROR(OFFSET(ITEM_RES!$A$5,MATCH(BUILDING!W396,ITEM_RES!$J$5:$J$226,0)-1,0),0)</f>
        <v>0</v>
      </c>
      <c r="Z396" s="84" t="s">
        <v>547</v>
      </c>
      <c r="AA396" s="9">
        <f ca="1">IFERROR(OFFSET(ITEM_RES!$A$5,MATCH(BUILDING!Z396,ITEM_RES!$J$5:$J$226,0)-1,0),0)</f>
        <v>211020201</v>
      </c>
      <c r="AC396" s="9" t="s">
        <v>525</v>
      </c>
      <c r="AD396" s="9">
        <v>12</v>
      </c>
      <c r="AF396" s="11">
        <f ca="1">IFERROR(OFFSET(MANOR_LEVEL!$B$1,MATCH(AG396-1,MANOR_LEVEL!$A:$A,0)-1,0),0)</f>
        <v>186400</v>
      </c>
      <c r="AG396" s="56">
        <v>9</v>
      </c>
      <c r="AI396" s="56">
        <f t="shared" ca="1" si="126"/>
        <v>156300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156300</v>
      </c>
      <c r="AK396" s="182">
        <f t="shared" ca="1" si="130"/>
        <v>288550</v>
      </c>
      <c r="AM396" s="11">
        <f t="shared" si="12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0</v>
      </c>
      <c r="AR396" s="10">
        <v>0</v>
      </c>
      <c r="AS396" s="56">
        <f t="shared" si="129"/>
        <v>2</v>
      </c>
      <c r="AU396" s="11">
        <f ca="1">IFERROR(OFFSET(ITEM_RES!$A$1,MATCH(AV396,ITEM_RES!$J:$J,0)-1,0),0)</f>
        <v>211010501</v>
      </c>
      <c r="AV396" s="10" t="s">
        <v>427</v>
      </c>
      <c r="AW396" s="11">
        <v>5200000</v>
      </c>
      <c r="AZ396" s="11">
        <f ca="1">IFERROR(OFFSET(ITEM_RES!$A$1,MATCH(BA396,ITEM_RES!$J:$J,0)-1,0),0)</f>
        <v>211020101</v>
      </c>
      <c r="BA396" s="10" t="s">
        <v>448</v>
      </c>
      <c r="BB396" s="11">
        <v>5200000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 t="s">
        <v>932</v>
      </c>
      <c r="N397" s="9" t="s">
        <v>950</v>
      </c>
      <c r="O397" s="9">
        <v>1</v>
      </c>
      <c r="P397" s="9">
        <v>15</v>
      </c>
      <c r="Q397" s="9" t="s">
        <v>1259</v>
      </c>
      <c r="U397" s="9" t="s">
        <v>709</v>
      </c>
      <c r="X397" s="9">
        <f ca="1">IFERROR(OFFSET(ITEM_RES!$A$5,MATCH(BUILDING!W397,ITEM_RES!$J$5:$J$226,0)-1,0),0)</f>
        <v>0</v>
      </c>
      <c r="Z397" s="84" t="s">
        <v>547</v>
      </c>
      <c r="AA397" s="9">
        <f ca="1">IFERROR(OFFSET(ITEM_RES!$A$5,MATCH(BUILDING!Z397,ITEM_RES!$J$5:$J$226,0)-1,0),0)</f>
        <v>211020201</v>
      </c>
      <c r="AC397" s="9" t="s">
        <v>525</v>
      </c>
      <c r="AD397" s="9">
        <v>13</v>
      </c>
      <c r="AF397" s="11">
        <f ca="1">IFERROR(OFFSET(MANOR_LEVEL!$B$1,MATCH(AG397-1,MANOR_LEVEL!$A:$A,0)-1,0),0)</f>
        <v>311600</v>
      </c>
      <c r="AG397" s="56">
        <v>10</v>
      </c>
      <c r="AI397" s="56">
        <f t="shared" ca="1" si="126"/>
        <v>258350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258350</v>
      </c>
      <c r="AK397" s="182">
        <f t="shared" ca="1" si="130"/>
        <v>414650</v>
      </c>
      <c r="AM397" s="11">
        <f t="shared" si="12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0</v>
      </c>
      <c r="AR397" s="10">
        <v>0</v>
      </c>
      <c r="AS397" s="56">
        <f t="shared" si="129"/>
        <v>2</v>
      </c>
      <c r="AU397" s="11">
        <f ca="1">IFERROR(OFFSET(ITEM_RES!$A$1,MATCH(AV397,ITEM_RES!$J:$J,0)-1,0),0)</f>
        <v>211010501</v>
      </c>
      <c r="AV397" s="10" t="s">
        <v>427</v>
      </c>
      <c r="AW397" s="11">
        <v>8600000</v>
      </c>
      <c r="AZ397" s="11">
        <f ca="1">IFERROR(OFFSET(ITEM_RES!$A$1,MATCH(BA397,ITEM_RES!$J:$J,0)-1,0),0)</f>
        <v>211020101</v>
      </c>
      <c r="BA397" s="10" t="s">
        <v>448</v>
      </c>
      <c r="BB397" s="11">
        <v>8600000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 t="s">
        <v>932</v>
      </c>
      <c r="N398" s="9" t="s">
        <v>950</v>
      </c>
      <c r="O398" s="9">
        <v>1</v>
      </c>
      <c r="P398" s="9">
        <v>15</v>
      </c>
      <c r="Q398" s="9" t="s">
        <v>1259</v>
      </c>
      <c r="U398" s="9" t="s">
        <v>709</v>
      </c>
      <c r="X398" s="9">
        <f ca="1">IFERROR(OFFSET(ITEM_RES!$A$5,MATCH(BUILDING!W398,ITEM_RES!$J$5:$J$226,0)-1,0),0)</f>
        <v>0</v>
      </c>
      <c r="Z398" s="84" t="s">
        <v>547</v>
      </c>
      <c r="AA398" s="9">
        <f ca="1">IFERROR(OFFSET(ITEM_RES!$A$5,MATCH(BUILDING!Z398,ITEM_RES!$J$5:$J$226,0)-1,0),0)</f>
        <v>211020201</v>
      </c>
      <c r="AC398" s="9" t="s">
        <v>525</v>
      </c>
      <c r="AD398" s="9">
        <v>14</v>
      </c>
      <c r="AF398" s="11">
        <f ca="1">IFERROR(OFFSET(MANOR_LEVEL!$B$1,MATCH(AG398-1,MANOR_LEVEL!$A:$A,0)-1,0),0)</f>
        <v>456800</v>
      </c>
      <c r="AG398" s="56">
        <v>11</v>
      </c>
      <c r="AI398" s="56">
        <f t="shared" ca="1" si="126"/>
        <v>396450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396450</v>
      </c>
      <c r="AK398" s="182">
        <f t="shared" ca="1" si="130"/>
        <v>654800</v>
      </c>
      <c r="AM398" s="11">
        <f t="shared" si="12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0</v>
      </c>
      <c r="AR398" s="10">
        <v>0</v>
      </c>
      <c r="AS398" s="56">
        <f t="shared" si="129"/>
        <v>2</v>
      </c>
      <c r="AU398" s="11">
        <f ca="1">IFERROR(OFFSET(ITEM_RES!$A$1,MATCH(AV398,ITEM_RES!$J:$J,0)-1,0),0)</f>
        <v>211010501</v>
      </c>
      <c r="AV398" s="10" t="s">
        <v>427</v>
      </c>
      <c r="AW398" s="11">
        <v>13200000</v>
      </c>
      <c r="AZ398" s="11">
        <f ca="1">IFERROR(OFFSET(ITEM_RES!$A$1,MATCH(BA398,ITEM_RES!$J:$J,0)-1,0),0)</f>
        <v>211020101</v>
      </c>
      <c r="BA398" s="10" t="s">
        <v>448</v>
      </c>
      <c r="BB398" s="11">
        <v>13200000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 t="s">
        <v>932</v>
      </c>
      <c r="N399" s="9" t="s">
        <v>950</v>
      </c>
      <c r="O399" s="9">
        <v>1</v>
      </c>
      <c r="P399" s="9">
        <v>15</v>
      </c>
      <c r="Q399" s="9" t="s">
        <v>1259</v>
      </c>
      <c r="U399" s="9" t="s">
        <v>709</v>
      </c>
      <c r="X399" s="9">
        <f ca="1">IFERROR(OFFSET(ITEM_RES!$A$5,MATCH(BUILDING!W399,ITEM_RES!$J$5:$J$226,0)-1,0),0)</f>
        <v>0</v>
      </c>
      <c r="Z399" s="84" t="s">
        <v>547</v>
      </c>
      <c r="AA399" s="9">
        <f ca="1">IFERROR(OFFSET(ITEM_RES!$A$5,MATCH(BUILDING!Z399,ITEM_RES!$J$5:$J$226,0)-1,0),0)</f>
        <v>211020201</v>
      </c>
      <c r="AC399" s="9" t="s">
        <v>525</v>
      </c>
      <c r="AD399" s="9">
        <v>15</v>
      </c>
      <c r="AF399" s="11">
        <f ca="1">IFERROR(OFFSET(MANOR_LEVEL!$B$1,MATCH(AG399-1,MANOR_LEVEL!$A:$A,0)-1,0),0)</f>
        <v>796000</v>
      </c>
      <c r="AG399" s="56">
        <v>12</v>
      </c>
      <c r="AI399" s="56">
        <f t="shared" ca="1" si="126"/>
        <v>880550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880550</v>
      </c>
      <c r="AK399" s="182">
        <f t="shared" ca="1" si="130"/>
        <v>1277000</v>
      </c>
      <c r="AM399" s="11">
        <f t="shared" si="12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0</v>
      </c>
      <c r="AR399" s="10">
        <v>0</v>
      </c>
      <c r="AS399" s="56">
        <f t="shared" si="129"/>
        <v>2</v>
      </c>
      <c r="AU399" s="11">
        <f ca="1">IFERROR(OFFSET(ITEM_RES!$A$1,MATCH(AV399,ITEM_RES!$J:$J,0)-1,0),0)</f>
        <v>211010601</v>
      </c>
      <c r="AV399" s="10" t="s">
        <v>443</v>
      </c>
      <c r="AW399" s="11">
        <v>22000000</v>
      </c>
      <c r="AZ399" s="11">
        <f ca="1">IFERROR(OFFSET(ITEM_RES!$A$1,MATCH(BA399,ITEM_RES!$J:$J,0)-1,0),0)</f>
        <v>211020101</v>
      </c>
      <c r="BA399" s="10" t="s">
        <v>448</v>
      </c>
      <c r="BB399" s="11">
        <v>22000000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 t="s">
        <v>932</v>
      </c>
      <c r="N400" s="9" t="s">
        <v>950</v>
      </c>
      <c r="O400" s="9">
        <v>0</v>
      </c>
      <c r="P400" s="9">
        <v>15</v>
      </c>
      <c r="Q400" s="9" t="s">
        <v>1259</v>
      </c>
      <c r="U400" s="9" t="s">
        <v>709</v>
      </c>
      <c r="X400" s="9">
        <f ca="1">IFERROR(OFFSET(ITEM_RES!$A$5,MATCH(BUILDING!W400,ITEM_RES!$J$5:$J$226,0)-1,0),0)</f>
        <v>0</v>
      </c>
      <c r="Z400" s="84" t="s">
        <v>547</v>
      </c>
      <c r="AA400" s="9">
        <f ca="1">IFERROR(OFFSET(ITEM_RES!$A$5,MATCH(BUILDING!Z400,ITEM_RES!$J$5:$J$226,0)-1,0),0)</f>
        <v>211020201</v>
      </c>
      <c r="AC400" s="9" t="s">
        <v>525</v>
      </c>
      <c r="AD400" s="9">
        <v>16</v>
      </c>
      <c r="AF400" s="11">
        <f ca="1">IFERROR(OFFSET(MANOR_LEVEL!$B$1,MATCH(AG400-1,MANOR_LEVEL!$A:$A,0)-1,0),0)</f>
        <v>1156400</v>
      </c>
      <c r="AG400" s="56">
        <v>13</v>
      </c>
      <c r="AI400" s="56">
        <f t="shared" ca="1" si="126"/>
        <v>1200700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1200700</v>
      </c>
      <c r="AK400" s="182">
        <f t="shared" ca="1" si="130"/>
        <v>2081250</v>
      </c>
      <c r="AM400" s="11">
        <f t="shared" si="12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0</v>
      </c>
      <c r="AR400" s="10">
        <v>0</v>
      </c>
      <c r="AS400" s="56">
        <f t="shared" si="129"/>
        <v>2</v>
      </c>
      <c r="AU400" s="11">
        <f ca="1">IFERROR(OFFSET(ITEM_RES!$A$1,MATCH(AV400,ITEM_RES!$J:$J,0)-1,0),0)</f>
        <v>211010601</v>
      </c>
      <c r="AV400" s="10" t="s">
        <v>443</v>
      </c>
      <c r="AW400" s="11">
        <v>30000000</v>
      </c>
      <c r="AZ400" s="11">
        <f ca="1">IFERROR(OFFSET(ITEM_RES!$A$1,MATCH(BA400,ITEM_RES!$J:$J,0)-1,0),0)</f>
        <v>211020101</v>
      </c>
      <c r="BA400" s="10" t="s">
        <v>448</v>
      </c>
      <c r="BB400" s="11">
        <v>30000000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 t="s">
        <v>932</v>
      </c>
      <c r="N401" s="9" t="s">
        <v>950</v>
      </c>
      <c r="O401" s="9">
        <v>0</v>
      </c>
      <c r="P401" s="9">
        <v>15</v>
      </c>
      <c r="Q401" s="9" t="s">
        <v>1259</v>
      </c>
      <c r="U401" s="9" t="s">
        <v>709</v>
      </c>
      <c r="X401" s="9">
        <f ca="1">IFERROR(OFFSET(ITEM_RES!$A$5,MATCH(BUILDING!W401,ITEM_RES!$J$5:$J$226,0)-1,0),0)</f>
        <v>0</v>
      </c>
      <c r="Z401" s="84" t="s">
        <v>547</v>
      </c>
      <c r="AA401" s="9">
        <f ca="1">IFERROR(OFFSET(ITEM_RES!$A$5,MATCH(BUILDING!Z401,ITEM_RES!$J$5:$J$226,0)-1,0),0)</f>
        <v>211020201</v>
      </c>
      <c r="AC401" s="9" t="s">
        <v>525</v>
      </c>
      <c r="AD401" s="9">
        <v>17</v>
      </c>
      <c r="AF401" s="11">
        <f ca="1">IFERROR(OFFSET(MANOR_LEVEL!$B$1,MATCH(AG401-1,MANOR_LEVEL!$A:$A,0)-1,0),0)</f>
        <v>1661200</v>
      </c>
      <c r="AG401" s="56">
        <v>14</v>
      </c>
      <c r="AI401" s="56">
        <f t="shared" ca="1" si="126"/>
        <v>1840850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1840850</v>
      </c>
      <c r="AK401" s="182">
        <f t="shared" ca="1" si="130"/>
        <v>3041550</v>
      </c>
      <c r="AM401" s="11">
        <f t="shared" si="12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0</v>
      </c>
      <c r="AR401" s="10">
        <v>0</v>
      </c>
      <c r="AS401" s="56">
        <f t="shared" si="129"/>
        <v>2</v>
      </c>
      <c r="AU401" s="11">
        <f ca="1">IFERROR(OFFSET(ITEM_RES!$A$1,MATCH(AV401,ITEM_RES!$J:$J,0)-1,0),0)</f>
        <v>211010601</v>
      </c>
      <c r="AV401" s="10" t="s">
        <v>443</v>
      </c>
      <c r="AW401" s="11">
        <v>46000000</v>
      </c>
      <c r="AZ401" s="11">
        <f ca="1">IFERROR(OFFSET(ITEM_RES!$A$1,MATCH(BA401,ITEM_RES!$J:$J,0)-1,0),0)</f>
        <v>211020101</v>
      </c>
      <c r="BA401" s="10" t="s">
        <v>448</v>
      </c>
      <c r="BB401" s="11">
        <v>46000000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 t="s">
        <v>932</v>
      </c>
      <c r="N402" s="9" t="s">
        <v>950</v>
      </c>
      <c r="O402" s="9">
        <v>0</v>
      </c>
      <c r="P402" s="9">
        <v>15</v>
      </c>
      <c r="Q402" s="9" t="s">
        <v>1259</v>
      </c>
      <c r="U402" s="9" t="s">
        <v>709</v>
      </c>
      <c r="X402" s="9">
        <f ca="1">IFERROR(OFFSET(ITEM_RES!$A$5,MATCH(BUILDING!W402,ITEM_RES!$J$5:$J$226,0)-1,0),0)</f>
        <v>0</v>
      </c>
      <c r="Z402" s="84" t="s">
        <v>547</v>
      </c>
      <c r="AA402" s="9">
        <f ca="1">IFERROR(OFFSET(ITEM_RES!$A$5,MATCH(BUILDING!Z402,ITEM_RES!$J$5:$J$226,0)-1,0),0)</f>
        <v>211020201</v>
      </c>
      <c r="AC402" s="9" t="s">
        <v>525</v>
      </c>
      <c r="AD402" s="9">
        <v>18</v>
      </c>
      <c r="AF402" s="11">
        <f ca="1">IFERROR(OFFSET(MANOR_LEVEL!$B$1,MATCH(AG402-1,MANOR_LEVEL!$A:$A,0)-1,0),0)</f>
        <v>2622400</v>
      </c>
      <c r="AG402" s="56">
        <v>15</v>
      </c>
      <c r="AI402" s="56">
        <f t="shared" ca="1" si="126"/>
        <v>2801050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2801050</v>
      </c>
      <c r="AK402" s="182">
        <f t="shared" ca="1" si="130"/>
        <v>4641900</v>
      </c>
      <c r="AM402" s="11">
        <f t="shared" si="12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0</v>
      </c>
      <c r="AR402" s="10">
        <v>0</v>
      </c>
      <c r="AS402" s="56">
        <f t="shared" si="129"/>
        <v>2</v>
      </c>
      <c r="AU402" s="11">
        <f ca="1">IFERROR(OFFSET(ITEM_RES!$A$1,MATCH(AV402,ITEM_RES!$J:$J,0)-1,0),0)</f>
        <v>211010601</v>
      </c>
      <c r="AV402" s="10" t="s">
        <v>443</v>
      </c>
      <c r="AW402" s="11">
        <v>70000000</v>
      </c>
      <c r="AZ402" s="11">
        <f ca="1">IFERROR(OFFSET(ITEM_RES!$A$1,MATCH(BA402,ITEM_RES!$J:$J,0)-1,0),0)</f>
        <v>211020101</v>
      </c>
      <c r="BA402" s="10" t="s">
        <v>448</v>
      </c>
      <c r="BB402" s="11">
        <v>70000000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 t="s">
        <v>932</v>
      </c>
      <c r="N403" s="9" t="s">
        <v>950</v>
      </c>
      <c r="O403" s="9">
        <v>0</v>
      </c>
      <c r="P403" s="9">
        <v>15</v>
      </c>
      <c r="Q403" s="9" t="s">
        <v>1259</v>
      </c>
      <c r="U403" s="9" t="s">
        <v>709</v>
      </c>
      <c r="X403" s="9">
        <f ca="1">IFERROR(OFFSET(ITEM_RES!$A$5,MATCH(BUILDING!W403,ITEM_RES!$J$5:$J$226,0)-1,0),0)</f>
        <v>0</v>
      </c>
      <c r="Z403" s="84" t="s">
        <v>547</v>
      </c>
      <c r="AA403" s="9">
        <f ca="1">IFERROR(OFFSET(ITEM_RES!$A$5,MATCH(BUILDING!Z403,ITEM_RES!$J$5:$J$226,0)-1,0),0)</f>
        <v>211020201</v>
      </c>
      <c r="AC403" s="9" t="s">
        <v>525</v>
      </c>
      <c r="AD403" s="9">
        <v>19</v>
      </c>
      <c r="AF403" s="11">
        <f ca="1">IFERROR(OFFSET(MANOR_LEVEL!$B$1,MATCH(AG403-1,MANOR_LEVEL!$A:$A,0)-1,0),0)</f>
        <v>4232000</v>
      </c>
      <c r="AG403" s="56">
        <v>16</v>
      </c>
      <c r="AI403" s="56">
        <f t="shared" ca="1" si="126"/>
        <v>3841250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3841250</v>
      </c>
      <c r="AK403" s="182">
        <f t="shared" ca="1" si="130"/>
        <v>6642300</v>
      </c>
      <c r="AM403" s="11">
        <f t="shared" si="12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0</v>
      </c>
      <c r="AR403" s="10">
        <v>0</v>
      </c>
      <c r="AS403" s="56">
        <f t="shared" si="129"/>
        <v>2</v>
      </c>
      <c r="AU403" s="11">
        <f ca="1">IFERROR(OFFSET(ITEM_RES!$A$1,MATCH(AV403,ITEM_RES!$J:$J,0)-1,0),0)</f>
        <v>211010601</v>
      </c>
      <c r="AV403" s="10" t="s">
        <v>443</v>
      </c>
      <c r="AW403" s="11">
        <v>96000000</v>
      </c>
      <c r="AZ403" s="11">
        <f ca="1">IFERROR(OFFSET(ITEM_RES!$A$1,MATCH(BA403,ITEM_RES!$J:$J,0)-1,0),0)</f>
        <v>211020101</v>
      </c>
      <c r="BA403" s="10" t="s">
        <v>448</v>
      </c>
      <c r="BB403" s="11">
        <v>96000000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 t="s">
        <v>932</v>
      </c>
      <c r="N404" s="9" t="s">
        <v>950</v>
      </c>
      <c r="O404" s="9">
        <v>0</v>
      </c>
      <c r="P404" s="9">
        <v>15</v>
      </c>
      <c r="Q404" s="9" t="s">
        <v>1259</v>
      </c>
      <c r="U404" s="9" t="s">
        <v>709</v>
      </c>
      <c r="X404" s="9">
        <f ca="1">IFERROR(OFFSET(ITEM_RES!$A$5,MATCH(BUILDING!W404,ITEM_RES!$J$5:$J$226,0)-1,0),0)</f>
        <v>0</v>
      </c>
      <c r="Z404" s="84" t="s">
        <v>547</v>
      </c>
      <c r="AA404" s="9">
        <f ca="1">IFERROR(OFFSET(ITEM_RES!$A$5,MATCH(BUILDING!Z404,ITEM_RES!$J$5:$J$226,0)-1,0),0)</f>
        <v>211020201</v>
      </c>
      <c r="AC404" s="9" t="s">
        <v>525</v>
      </c>
      <c r="AD404" s="9">
        <v>20</v>
      </c>
      <c r="AF404" s="11">
        <f ca="1">IFERROR(OFFSET(MANOR_LEVEL!$B$1,MATCH(AG404-1,MANOR_LEVEL!$A:$A,0)-1,0),0)</f>
        <v>7450000</v>
      </c>
      <c r="AG404" s="56">
        <v>17</v>
      </c>
      <c r="AI404" s="56">
        <f t="shared" ca="1" si="126"/>
        <v>6081500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6081500</v>
      </c>
      <c r="AK404" s="182">
        <f t="shared" ca="1" si="130"/>
        <v>9922750</v>
      </c>
      <c r="AM404" s="11">
        <f t="shared" si="12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0</v>
      </c>
      <c r="AR404" s="10">
        <v>0</v>
      </c>
      <c r="AS404" s="56">
        <f t="shared" si="129"/>
        <v>2</v>
      </c>
      <c r="AU404" s="11">
        <f ca="1">IFERROR(OFFSET(ITEM_RES!$A$1,MATCH(AV404,ITEM_RES!$J:$J,0)-1,0),0)</f>
        <v>211010601</v>
      </c>
      <c r="AV404" s="10" t="s">
        <v>443</v>
      </c>
      <c r="AW404" s="11">
        <v>152000000</v>
      </c>
      <c r="AZ404" s="11">
        <f ca="1">IFERROR(OFFSET(ITEM_RES!$A$1,MATCH(BA404,ITEM_RES!$J:$J,0)-1,0),0)</f>
        <v>211020101</v>
      </c>
      <c r="BA404" s="10" t="s">
        <v>448</v>
      </c>
      <c r="BB404" s="11">
        <v>152000000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 t="s">
        <v>933</v>
      </c>
      <c r="N405" s="16" t="s">
        <v>951</v>
      </c>
      <c r="O405" s="16">
        <v>1</v>
      </c>
      <c r="P405" s="16">
        <v>15</v>
      </c>
      <c r="Q405" s="16" t="s">
        <v>1137</v>
      </c>
      <c r="R405" s="17"/>
      <c r="S405" s="17"/>
      <c r="T405" s="18"/>
      <c r="U405" s="16" t="s">
        <v>708</v>
      </c>
      <c r="V405" s="78"/>
      <c r="W405" s="86" t="s">
        <v>553</v>
      </c>
      <c r="X405" s="16">
        <f ca="1">IFERROR(OFFSET(ITEM_RES!$A$5,MATCH(BUILDING!W405,ITEM_RES!$J$5:$J$226,0)-1,0),0)</f>
        <v>211020401</v>
      </c>
      <c r="Y405" s="18">
        <v>1</v>
      </c>
      <c r="Z405" s="86" t="s">
        <v>548</v>
      </c>
      <c r="AA405" s="16">
        <f ca="1">IFERROR(OFFSET(ITEM_RES!$A$5,MATCH(BUILDING!Z405,ITEM_RES!$J$5:$J$226,0)-1,0),0)</f>
        <v>211020501</v>
      </c>
      <c r="AB405" s="78"/>
      <c r="AC405" s="16" t="s">
        <v>526</v>
      </c>
      <c r="AD405" s="16">
        <v>1</v>
      </c>
      <c r="AE405" s="78"/>
      <c r="AF405" s="18">
        <f ca="1">IFERROR(OFFSET(MANOR_LEVEL!$B$1,MATCH(AG405-1,MANOR_LEVEL!$A:$A,0)-1,0),0)</f>
        <v>311600</v>
      </c>
      <c r="AG405" s="57">
        <v>10</v>
      </c>
      <c r="AH405" s="78"/>
      <c r="AI405" s="57">
        <f t="shared" ca="1" si="126"/>
        <v>105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105.11</v>
      </c>
      <c r="AK405" s="184">
        <f ca="1">AI405</f>
        <v>105</v>
      </c>
      <c r="AL405" s="78"/>
      <c r="AM405" s="18">
        <f t="shared" si="128"/>
        <v>5</v>
      </c>
      <c r="AN405" s="17">
        <v>5</v>
      </c>
      <c r="AO405" s="18">
        <f t="shared" ref="AO405:AQ449" si="134">ROUND(AP405,0)</f>
        <v>5</v>
      </c>
      <c r="AP405" s="17">
        <v>5</v>
      </c>
      <c r="AQ405" s="18">
        <f t="shared" si="134"/>
        <v>0</v>
      </c>
      <c r="AR405" s="17">
        <v>0</v>
      </c>
      <c r="AS405" s="57">
        <f t="shared" si="129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1</v>
      </c>
      <c r="AX405" s="17"/>
      <c r="AY405" s="18"/>
      <c r="AZ405" s="18">
        <f ca="1">IFERROR(OFFSET(ITEM_RES!$A$1,MATCH(BA405,ITEM_RES!$J:$J,0)-1,0),0)</f>
        <v>211020801</v>
      </c>
      <c r="BA405" s="17" t="s">
        <v>437</v>
      </c>
      <c r="BB405" s="18">
        <v>1</v>
      </c>
      <c r="BC405" s="17"/>
      <c r="BD405" s="18"/>
      <c r="BE405" s="18">
        <f ca="1">IFERROR(OFFSET(ITEM_RES!$A$1,MATCH(BF405,ITEM_RES!$J:$J,0)-1,0),0)</f>
        <v>213010101</v>
      </c>
      <c r="BF405" s="17" t="s">
        <v>452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 t="s">
        <v>933</v>
      </c>
      <c r="N406" s="9" t="s">
        <v>951</v>
      </c>
      <c r="O406" s="9">
        <v>1</v>
      </c>
      <c r="P406" s="9">
        <v>15</v>
      </c>
      <c r="Q406" s="9" t="s">
        <v>1137</v>
      </c>
      <c r="U406" s="9" t="s">
        <v>708</v>
      </c>
      <c r="W406" s="84" t="s">
        <v>553</v>
      </c>
      <c r="X406" s="9">
        <f ca="1">IFERROR(OFFSET(ITEM_RES!$A$5,MATCH(BUILDING!W406,ITEM_RES!$J$5:$J$226,0)-1,0),0)</f>
        <v>211020401</v>
      </c>
      <c r="Y406" s="11">
        <v>1</v>
      </c>
      <c r="Z406" s="84" t="s">
        <v>548</v>
      </c>
      <c r="AA406" s="9">
        <f ca="1">IFERROR(OFFSET(ITEM_RES!$A$5,MATCH(BUILDING!Z406,ITEM_RES!$J$5:$J$226,0)-1,0),0)</f>
        <v>211020501</v>
      </c>
      <c r="AC406" s="9" t="s">
        <v>526</v>
      </c>
      <c r="AD406" s="9">
        <v>2</v>
      </c>
      <c r="AF406" s="11">
        <f ca="1">IFERROR(OFFSET(MANOR_LEVEL!$B$1,MATCH(AG406-1,MANOR_LEVEL!$A:$A,0)-1,0),0)</f>
        <v>311600</v>
      </c>
      <c r="AG406" s="56">
        <v>10</v>
      </c>
      <c r="AI406" s="56">
        <f t="shared" ca="1" si="126"/>
        <v>10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10.11</v>
      </c>
      <c r="AK406" s="182">
        <f ca="1">AI405+AI406</f>
        <v>115</v>
      </c>
      <c r="AM406" s="11">
        <f t="shared" si="128"/>
        <v>10</v>
      </c>
      <c r="AN406" s="10">
        <v>10</v>
      </c>
      <c r="AO406" s="11">
        <f t="shared" si="134"/>
        <v>10</v>
      </c>
      <c r="AP406" s="10">
        <v>10</v>
      </c>
      <c r="AQ406" s="11">
        <f t="shared" si="134"/>
        <v>0</v>
      </c>
      <c r="AR406" s="10">
        <v>0</v>
      </c>
      <c r="AS406" s="56">
        <f t="shared" si="129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1</v>
      </c>
      <c r="AZ406" s="11">
        <f ca="1">IFERROR(OFFSET(ITEM_RES!$A$1,MATCH(BA406,ITEM_RES!$J:$J,0)-1,0),0)</f>
        <v>211020801</v>
      </c>
      <c r="BA406" s="10" t="s">
        <v>437</v>
      </c>
      <c r="BB406" s="11">
        <v>1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 t="s">
        <v>933</v>
      </c>
      <c r="N407" s="9" t="s">
        <v>951</v>
      </c>
      <c r="O407" s="9">
        <v>1</v>
      </c>
      <c r="P407" s="9">
        <v>15</v>
      </c>
      <c r="Q407" s="9" t="s">
        <v>1137</v>
      </c>
      <c r="U407" s="9" t="s">
        <v>708</v>
      </c>
      <c r="W407" s="84" t="s">
        <v>553</v>
      </c>
      <c r="X407" s="9">
        <f ca="1">IFERROR(OFFSET(ITEM_RES!$A$5,MATCH(BUILDING!W407,ITEM_RES!$J$5:$J$226,0)-1,0),0)</f>
        <v>211020401</v>
      </c>
      <c r="Y407" s="11">
        <v>1</v>
      </c>
      <c r="Z407" s="84" t="s">
        <v>548</v>
      </c>
      <c r="AA407" s="9">
        <f ca="1">IFERROR(OFFSET(ITEM_RES!$A$5,MATCH(BUILDING!Z407,ITEM_RES!$J$5:$J$226,0)-1,0),0)</f>
        <v>211020501</v>
      </c>
      <c r="AC407" s="9" t="s">
        <v>526</v>
      </c>
      <c r="AD407" s="9">
        <v>3</v>
      </c>
      <c r="AF407" s="11">
        <f ca="1">IFERROR(OFFSET(MANOR_LEVEL!$B$1,MATCH(AG407-1,MANOR_LEVEL!$A:$A,0)-1,0),0)</f>
        <v>311600</v>
      </c>
      <c r="AG407" s="56">
        <v>10</v>
      </c>
      <c r="AI407" s="56">
        <f t="shared" ca="1" si="126"/>
        <v>15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15.11</v>
      </c>
      <c r="AK407" s="182">
        <f t="shared" ref="AK407:AK424" ca="1" si="135">AI406+AI407</f>
        <v>25</v>
      </c>
      <c r="AM407" s="11">
        <f t="shared" si="128"/>
        <v>15</v>
      </c>
      <c r="AN407" s="10">
        <v>15</v>
      </c>
      <c r="AO407" s="11">
        <f t="shared" si="134"/>
        <v>15</v>
      </c>
      <c r="AP407" s="10">
        <v>15</v>
      </c>
      <c r="AQ407" s="11">
        <f t="shared" si="134"/>
        <v>0</v>
      </c>
      <c r="AR407" s="10">
        <v>0</v>
      </c>
      <c r="AS407" s="56">
        <f t="shared" si="129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1</v>
      </c>
      <c r="AZ407" s="11">
        <f ca="1">IFERROR(OFFSET(ITEM_RES!$A$1,MATCH(BA407,ITEM_RES!$J:$J,0)-1,0),0)</f>
        <v>211020801</v>
      </c>
      <c r="BA407" s="10" t="s">
        <v>437</v>
      </c>
      <c r="BB407" s="11">
        <v>1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 t="s">
        <v>933</v>
      </c>
      <c r="N408" s="9" t="s">
        <v>951</v>
      </c>
      <c r="O408" s="9">
        <v>1</v>
      </c>
      <c r="P408" s="9">
        <v>15</v>
      </c>
      <c r="Q408" s="9" t="s">
        <v>1137</v>
      </c>
      <c r="U408" s="9" t="s">
        <v>708</v>
      </c>
      <c r="W408" s="84" t="s">
        <v>553</v>
      </c>
      <c r="X408" s="9">
        <f ca="1">IFERROR(OFFSET(ITEM_RES!$A$5,MATCH(BUILDING!W408,ITEM_RES!$J$5:$J$226,0)-1,0),0)</f>
        <v>211020401</v>
      </c>
      <c r="Y408" s="11">
        <v>1</v>
      </c>
      <c r="Z408" s="84" t="s">
        <v>548</v>
      </c>
      <c r="AA408" s="9">
        <f ca="1">IFERROR(OFFSET(ITEM_RES!$A$5,MATCH(BUILDING!Z408,ITEM_RES!$J$5:$J$226,0)-1,0),0)</f>
        <v>211020501</v>
      </c>
      <c r="AC408" s="9" t="s">
        <v>526</v>
      </c>
      <c r="AD408" s="9">
        <v>4</v>
      </c>
      <c r="AF408" s="11">
        <f ca="1">IFERROR(OFFSET(MANOR_LEVEL!$B$1,MATCH(AG408-1,MANOR_LEVEL!$A:$A,0)-1,0),0)</f>
        <v>311600</v>
      </c>
      <c r="AG408" s="56">
        <v>10</v>
      </c>
      <c r="AI408" s="56">
        <f t="shared" ca="1" si="126"/>
        <v>25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25.11</v>
      </c>
      <c r="AK408" s="182">
        <f t="shared" ca="1" si="135"/>
        <v>40</v>
      </c>
      <c r="AM408" s="11">
        <f t="shared" si="128"/>
        <v>20</v>
      </c>
      <c r="AN408" s="10">
        <v>20</v>
      </c>
      <c r="AO408" s="11">
        <f t="shared" si="134"/>
        <v>25</v>
      </c>
      <c r="AP408" s="10">
        <v>25</v>
      </c>
      <c r="AQ408" s="11">
        <f t="shared" si="134"/>
        <v>0</v>
      </c>
      <c r="AR408" s="10">
        <v>0</v>
      </c>
      <c r="AS408" s="56">
        <f t="shared" si="129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</v>
      </c>
      <c r="AZ408" s="11">
        <f ca="1">IFERROR(OFFSET(ITEM_RES!$A$1,MATCH(BA408,ITEM_RES!$J:$J,0)-1,0),0)</f>
        <v>211020801</v>
      </c>
      <c r="BA408" s="10" t="s">
        <v>437</v>
      </c>
      <c r="BB408" s="11">
        <v>1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 t="s">
        <v>933</v>
      </c>
      <c r="N409" s="9" t="s">
        <v>951</v>
      </c>
      <c r="O409" s="9">
        <v>1</v>
      </c>
      <c r="P409" s="9">
        <v>15</v>
      </c>
      <c r="Q409" s="9" t="s">
        <v>1137</v>
      </c>
      <c r="U409" s="9" t="s">
        <v>708</v>
      </c>
      <c r="W409" s="84" t="s">
        <v>553</v>
      </c>
      <c r="X409" s="9">
        <f ca="1">IFERROR(OFFSET(ITEM_RES!$A$5,MATCH(BUILDING!W409,ITEM_RES!$J$5:$J$226,0)-1,0),0)</f>
        <v>211020401</v>
      </c>
      <c r="Y409" s="11">
        <v>1</v>
      </c>
      <c r="Z409" s="84" t="s">
        <v>548</v>
      </c>
      <c r="AA409" s="9">
        <f ca="1">IFERROR(OFFSET(ITEM_RES!$A$5,MATCH(BUILDING!Z409,ITEM_RES!$J$5:$J$226,0)-1,0),0)</f>
        <v>211020501</v>
      </c>
      <c r="AC409" s="9" t="s">
        <v>526</v>
      </c>
      <c r="AD409" s="9">
        <v>5</v>
      </c>
      <c r="AF409" s="11">
        <f ca="1">IFERROR(OFFSET(MANOR_LEVEL!$B$1,MATCH(AG409-1,MANOR_LEVEL!$A:$A,0)-1,0),0)</f>
        <v>311600</v>
      </c>
      <c r="AG409" s="56">
        <v>10</v>
      </c>
      <c r="AI409" s="56">
        <f t="shared" ca="1" si="126"/>
        <v>40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40.11</v>
      </c>
      <c r="AK409" s="182">
        <f t="shared" ca="1" si="135"/>
        <v>65</v>
      </c>
      <c r="AM409" s="11">
        <f t="shared" si="128"/>
        <v>25</v>
      </c>
      <c r="AN409" s="10">
        <v>25</v>
      </c>
      <c r="AO409" s="11">
        <f t="shared" si="134"/>
        <v>40</v>
      </c>
      <c r="AP409" s="10">
        <v>40</v>
      </c>
      <c r="AQ409" s="11">
        <f t="shared" si="134"/>
        <v>0</v>
      </c>
      <c r="AR409" s="10">
        <v>0</v>
      </c>
      <c r="AS409" s="56">
        <f t="shared" si="129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1</v>
      </c>
      <c r="AZ409" s="11">
        <f ca="1">IFERROR(OFFSET(ITEM_RES!$A$1,MATCH(BA409,ITEM_RES!$J:$J,0)-1,0),0)</f>
        <v>211020801</v>
      </c>
      <c r="BA409" s="10" t="s">
        <v>437</v>
      </c>
      <c r="BB409" s="11">
        <v>1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 t="s">
        <v>933</v>
      </c>
      <c r="N410" s="9" t="s">
        <v>951</v>
      </c>
      <c r="O410" s="9">
        <v>1</v>
      </c>
      <c r="P410" s="9">
        <v>15</v>
      </c>
      <c r="Q410" s="9" t="s">
        <v>1137</v>
      </c>
      <c r="U410" s="9" t="s">
        <v>708</v>
      </c>
      <c r="W410" s="84" t="s">
        <v>553</v>
      </c>
      <c r="X410" s="9">
        <f ca="1">IFERROR(OFFSET(ITEM_RES!$A$5,MATCH(BUILDING!W410,ITEM_RES!$J$5:$J$226,0)-1,0),0)</f>
        <v>211020401</v>
      </c>
      <c r="Y410" s="11">
        <v>1</v>
      </c>
      <c r="Z410" s="84" t="s">
        <v>548</v>
      </c>
      <c r="AA410" s="9">
        <f ca="1">IFERROR(OFFSET(ITEM_RES!$A$5,MATCH(BUILDING!Z410,ITEM_RES!$J$5:$J$226,0)-1,0),0)</f>
        <v>211020501</v>
      </c>
      <c r="AC410" s="9" t="s">
        <v>526</v>
      </c>
      <c r="AD410" s="9">
        <v>6</v>
      </c>
      <c r="AF410" s="11">
        <f ca="1">IFERROR(OFFSET(MANOR_LEVEL!$B$1,MATCH(AG410-1,MANOR_LEVEL!$A:$A,0)-1,0),0)</f>
        <v>311600</v>
      </c>
      <c r="AG410" s="56">
        <v>10</v>
      </c>
      <c r="AI410" s="56">
        <f t="shared" ca="1" si="126"/>
        <v>550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550.11</v>
      </c>
      <c r="AK410" s="182">
        <f t="shared" ca="1" si="135"/>
        <v>590</v>
      </c>
      <c r="AM410" s="11">
        <f t="shared" si="128"/>
        <v>30</v>
      </c>
      <c r="AN410" s="10">
        <v>30</v>
      </c>
      <c r="AO410" s="11">
        <f t="shared" si="134"/>
        <v>50</v>
      </c>
      <c r="AP410" s="10">
        <v>50</v>
      </c>
      <c r="AQ410" s="11">
        <f t="shared" si="134"/>
        <v>0</v>
      </c>
      <c r="AR410" s="10">
        <v>0</v>
      </c>
      <c r="AS410" s="56">
        <f t="shared" si="129"/>
        <v>3</v>
      </c>
      <c r="AU410" s="11">
        <f ca="1">IFERROR(OFFSET(ITEM_RES!$A$1,MATCH(AV410,ITEM_RES!$J:$J,0)-1,0),0)</f>
        <v>211020401</v>
      </c>
      <c r="AV410" s="10" t="s">
        <v>436</v>
      </c>
      <c r="AW410" s="11">
        <v>1</v>
      </c>
      <c r="AZ410" s="11">
        <f ca="1">IFERROR(OFFSET(ITEM_RES!$A$1,MATCH(BA410,ITEM_RES!$J:$J,0)-1,0),0)</f>
        <v>211020801</v>
      </c>
      <c r="BA410" s="10" t="s">
        <v>437</v>
      </c>
      <c r="BB410" s="11">
        <v>1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213011301</v>
      </c>
      <c r="BK410" s="10" t="s">
        <v>469</v>
      </c>
      <c r="BL410" s="11">
        <v>1</v>
      </c>
      <c r="BO410" s="11">
        <f ca="1">IFERROR(OFFSET(ITEM_RES!$A$1,MATCH(BP410,ITEM_RES!$J:$J,0)-1,0),0)</f>
        <v>0</v>
      </c>
    </row>
    <row r="411" spans="1:70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 t="s">
        <v>933</v>
      </c>
      <c r="N411" s="9" t="s">
        <v>951</v>
      </c>
      <c r="O411" s="9">
        <v>1</v>
      </c>
      <c r="P411" s="9">
        <v>15</v>
      </c>
      <c r="Q411" s="9" t="s">
        <v>1137</v>
      </c>
      <c r="U411" s="9" t="s">
        <v>708</v>
      </c>
      <c r="W411" s="84" t="s">
        <v>553</v>
      </c>
      <c r="X411" s="9">
        <f ca="1">IFERROR(OFFSET(ITEM_RES!$A$5,MATCH(BUILDING!W411,ITEM_RES!$J$5:$J$226,0)-1,0),0)</f>
        <v>211020401</v>
      </c>
      <c r="Y411" s="11">
        <v>1</v>
      </c>
      <c r="Z411" s="84" t="s">
        <v>548</v>
      </c>
      <c r="AA411" s="9">
        <f ca="1">IFERROR(OFFSET(ITEM_RES!$A$5,MATCH(BUILDING!Z411,ITEM_RES!$J$5:$J$226,0)-1,0),0)</f>
        <v>211020501</v>
      </c>
      <c r="AC411" s="9" t="s">
        <v>526</v>
      </c>
      <c r="AD411" s="9">
        <v>7</v>
      </c>
      <c r="AF411" s="11">
        <f ca="1">IFERROR(OFFSET(MANOR_LEVEL!$B$1,MATCH(AG411-1,MANOR_LEVEL!$A:$A,0)-1,0),0)</f>
        <v>456800</v>
      </c>
      <c r="AG411" s="56">
        <v>11</v>
      </c>
      <c r="AI411" s="56">
        <f t="shared" ca="1" si="126"/>
        <v>100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100.11</v>
      </c>
      <c r="AK411" s="182">
        <f t="shared" ca="1" si="135"/>
        <v>650</v>
      </c>
      <c r="AM411" s="11">
        <f t="shared" si="128"/>
        <v>35</v>
      </c>
      <c r="AN411" s="10">
        <v>35</v>
      </c>
      <c r="AO411" s="11">
        <f t="shared" si="134"/>
        <v>100</v>
      </c>
      <c r="AP411" s="10">
        <v>100</v>
      </c>
      <c r="AQ411" s="11">
        <f t="shared" si="134"/>
        <v>0</v>
      </c>
      <c r="AR411" s="10">
        <v>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1</v>
      </c>
      <c r="AZ411" s="11">
        <f ca="1">IFERROR(OFFSET(ITEM_RES!$A$1,MATCH(BA411,ITEM_RES!$J:$J,0)-1,0),0)</f>
        <v>211020801</v>
      </c>
      <c r="BA411" s="10" t="s">
        <v>437</v>
      </c>
      <c r="BB411" s="11">
        <v>1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 t="s">
        <v>933</v>
      </c>
      <c r="N412" s="9" t="s">
        <v>951</v>
      </c>
      <c r="O412" s="9">
        <v>1</v>
      </c>
      <c r="P412" s="9">
        <v>15</v>
      </c>
      <c r="Q412" s="9" t="s">
        <v>1137</v>
      </c>
      <c r="U412" s="9" t="s">
        <v>708</v>
      </c>
      <c r="W412" s="84" t="s">
        <v>553</v>
      </c>
      <c r="X412" s="9">
        <f ca="1">IFERROR(OFFSET(ITEM_RES!$A$5,MATCH(BUILDING!W412,ITEM_RES!$J$5:$J$226,0)-1,0),0)</f>
        <v>211020401</v>
      </c>
      <c r="Y412" s="11">
        <v>1</v>
      </c>
      <c r="Z412" s="84" t="s">
        <v>548</v>
      </c>
      <c r="AA412" s="9">
        <f ca="1">IFERROR(OFFSET(ITEM_RES!$A$5,MATCH(BUILDING!Z412,ITEM_RES!$J$5:$J$226,0)-1,0),0)</f>
        <v>211020501</v>
      </c>
      <c r="AC412" s="9" t="s">
        <v>526</v>
      </c>
      <c r="AD412" s="9">
        <v>8</v>
      </c>
      <c r="AF412" s="11">
        <f ca="1">IFERROR(OFFSET(MANOR_LEVEL!$B$1,MATCH(AG412-1,MANOR_LEVEL!$A:$A,0)-1,0),0)</f>
        <v>796000</v>
      </c>
      <c r="AG412" s="56">
        <v>12</v>
      </c>
      <c r="AI412" s="56">
        <f t="shared" ca="1" si="126"/>
        <v>100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100.11</v>
      </c>
      <c r="AK412" s="182">
        <f t="shared" ca="1" si="135"/>
        <v>200</v>
      </c>
      <c r="AM412" s="11">
        <f t="shared" si="128"/>
        <v>40</v>
      </c>
      <c r="AN412" s="10">
        <v>40</v>
      </c>
      <c r="AO412" s="11">
        <f t="shared" si="134"/>
        <v>100</v>
      </c>
      <c r="AP412" s="10">
        <v>100</v>
      </c>
      <c r="AQ412" s="11">
        <f t="shared" si="134"/>
        <v>0</v>
      </c>
      <c r="AR412" s="10">
        <v>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1</v>
      </c>
      <c r="AZ412" s="11">
        <f ca="1">IFERROR(OFFSET(ITEM_RES!$A$1,MATCH(BA412,ITEM_RES!$J:$J,0)-1,0),0)</f>
        <v>211020801</v>
      </c>
      <c r="BA412" s="10" t="s">
        <v>437</v>
      </c>
      <c r="BB412" s="11">
        <v>1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 t="s">
        <v>933</v>
      </c>
      <c r="N413" s="9" t="s">
        <v>951</v>
      </c>
      <c r="O413" s="9">
        <v>1</v>
      </c>
      <c r="P413" s="9">
        <v>15</v>
      </c>
      <c r="Q413" s="9" t="s">
        <v>1137</v>
      </c>
      <c r="U413" s="9" t="s">
        <v>708</v>
      </c>
      <c r="W413" s="84" t="s">
        <v>553</v>
      </c>
      <c r="X413" s="9">
        <f ca="1">IFERROR(OFFSET(ITEM_RES!$A$5,MATCH(BUILDING!W413,ITEM_RES!$J$5:$J$226,0)-1,0),0)</f>
        <v>211020401</v>
      </c>
      <c r="Y413" s="11">
        <v>1</v>
      </c>
      <c r="Z413" s="84" t="s">
        <v>548</v>
      </c>
      <c r="AA413" s="9">
        <f ca="1">IFERROR(OFFSET(ITEM_RES!$A$5,MATCH(BUILDING!Z413,ITEM_RES!$J$5:$J$226,0)-1,0),0)</f>
        <v>211020501</v>
      </c>
      <c r="AC413" s="9" t="s">
        <v>526</v>
      </c>
      <c r="AD413" s="9">
        <v>9</v>
      </c>
      <c r="AF413" s="11">
        <f ca="1">IFERROR(OFFSET(MANOR_LEVEL!$B$1,MATCH(AG413-1,MANOR_LEVEL!$A:$A,0)-1,0),0)</f>
        <v>1156400</v>
      </c>
      <c r="AG413" s="56">
        <v>13</v>
      </c>
      <c r="AI413" s="56">
        <f t="shared" ca="1" si="126"/>
        <v>150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150.11000000000001</v>
      </c>
      <c r="AK413" s="182">
        <f t="shared" ca="1" si="135"/>
        <v>250</v>
      </c>
      <c r="AM413" s="11">
        <f t="shared" si="128"/>
        <v>45</v>
      </c>
      <c r="AN413" s="10">
        <v>45</v>
      </c>
      <c r="AO413" s="11">
        <f t="shared" si="134"/>
        <v>150</v>
      </c>
      <c r="AP413" s="10">
        <v>150</v>
      </c>
      <c r="AQ413" s="11">
        <f t="shared" si="134"/>
        <v>0</v>
      </c>
      <c r="AR413" s="10">
        <v>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1</v>
      </c>
      <c r="AZ413" s="11">
        <f ca="1">IFERROR(OFFSET(ITEM_RES!$A$1,MATCH(BA413,ITEM_RES!$J:$J,0)-1,0),0)</f>
        <v>211020801</v>
      </c>
      <c r="BA413" s="10" t="s">
        <v>437</v>
      </c>
      <c r="BB413" s="11">
        <v>1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 t="s">
        <v>933</v>
      </c>
      <c r="N414" s="9" t="s">
        <v>951</v>
      </c>
      <c r="O414" s="9">
        <v>1</v>
      </c>
      <c r="P414" s="9">
        <v>15</v>
      </c>
      <c r="Q414" s="9" t="s">
        <v>1137</v>
      </c>
      <c r="U414" s="9" t="s">
        <v>708</v>
      </c>
      <c r="W414" s="84" t="s">
        <v>553</v>
      </c>
      <c r="X414" s="9">
        <f ca="1">IFERROR(OFFSET(ITEM_RES!$A$5,MATCH(BUILDING!W414,ITEM_RES!$J$5:$J$226,0)-1,0),0)</f>
        <v>211020401</v>
      </c>
      <c r="Y414" s="11">
        <v>1</v>
      </c>
      <c r="Z414" s="84" t="s">
        <v>548</v>
      </c>
      <c r="AA414" s="9">
        <f ca="1">IFERROR(OFFSET(ITEM_RES!$A$5,MATCH(BUILDING!Z414,ITEM_RES!$J$5:$J$226,0)-1,0),0)</f>
        <v>211020501</v>
      </c>
      <c r="AC414" s="9" t="s">
        <v>526</v>
      </c>
      <c r="AD414" s="9">
        <v>10</v>
      </c>
      <c r="AF414" s="11">
        <f ca="1">IFERROR(OFFSET(MANOR_LEVEL!$B$1,MATCH(AG414-1,MANOR_LEVEL!$A:$A,0)-1,0),0)</f>
        <v>1156400</v>
      </c>
      <c r="AG414" s="56">
        <v>13</v>
      </c>
      <c r="AI414" s="56">
        <f t="shared" ca="1" si="126"/>
        <v>200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200.11</v>
      </c>
      <c r="AK414" s="182">
        <f t="shared" ca="1" si="135"/>
        <v>350</v>
      </c>
      <c r="AM414" s="11">
        <f t="shared" si="128"/>
        <v>50</v>
      </c>
      <c r="AN414" s="10">
        <v>50</v>
      </c>
      <c r="AO414" s="11">
        <f t="shared" si="134"/>
        <v>200</v>
      </c>
      <c r="AP414" s="10">
        <v>200</v>
      </c>
      <c r="AQ414" s="11">
        <f t="shared" si="134"/>
        <v>0</v>
      </c>
      <c r="AR414" s="10">
        <v>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</v>
      </c>
      <c r="AZ414" s="11">
        <f ca="1">IFERROR(OFFSET(ITEM_RES!$A$1,MATCH(BA414,ITEM_RES!$J:$J,0)-1,0),0)</f>
        <v>211020801</v>
      </c>
      <c r="BA414" s="10" t="s">
        <v>437</v>
      </c>
      <c r="BB414" s="11">
        <v>1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 t="s">
        <v>933</v>
      </c>
      <c r="N415" s="9" t="s">
        <v>951</v>
      </c>
      <c r="O415" s="9">
        <v>1</v>
      </c>
      <c r="P415" s="9">
        <v>15</v>
      </c>
      <c r="Q415" s="9" t="s">
        <v>1137</v>
      </c>
      <c r="U415" s="9" t="s">
        <v>708</v>
      </c>
      <c r="W415" s="84" t="s">
        <v>553</v>
      </c>
      <c r="X415" s="9">
        <f ca="1">IFERROR(OFFSET(ITEM_RES!$A$5,MATCH(BUILDING!W415,ITEM_RES!$J$5:$J$226,0)-1,0),0)</f>
        <v>211020401</v>
      </c>
      <c r="Y415" s="11">
        <v>1</v>
      </c>
      <c r="Z415" s="84" t="s">
        <v>548</v>
      </c>
      <c r="AA415" s="9">
        <f ca="1">IFERROR(OFFSET(ITEM_RES!$A$5,MATCH(BUILDING!Z415,ITEM_RES!$J$5:$J$226,0)-1,0),0)</f>
        <v>211020501</v>
      </c>
      <c r="AC415" s="9" t="s">
        <v>526</v>
      </c>
      <c r="AD415" s="9">
        <v>11</v>
      </c>
      <c r="AF415" s="11">
        <f ca="1">IFERROR(OFFSET(MANOR_LEVEL!$B$1,MATCH(AG415-1,MANOR_LEVEL!$A:$A,0)-1,0),0)</f>
        <v>1661200</v>
      </c>
      <c r="AG415" s="56">
        <v>14</v>
      </c>
      <c r="AI415" s="56">
        <f t="shared" ca="1" si="126"/>
        <v>250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250.11</v>
      </c>
      <c r="AK415" s="182">
        <f t="shared" ca="1" si="135"/>
        <v>450</v>
      </c>
      <c r="AM415" s="11">
        <f t="shared" si="128"/>
        <v>55</v>
      </c>
      <c r="AN415" s="10">
        <v>55</v>
      </c>
      <c r="AO415" s="11">
        <f t="shared" si="134"/>
        <v>250</v>
      </c>
      <c r="AP415" s="10">
        <v>250</v>
      </c>
      <c r="AQ415" s="11">
        <f t="shared" si="134"/>
        <v>0</v>
      </c>
      <c r="AR415" s="10">
        <v>0</v>
      </c>
      <c r="AS415" s="56">
        <f t="shared" si="129"/>
        <v>2</v>
      </c>
      <c r="AU415" s="11">
        <f ca="1">IFERROR(OFFSET(ITEM_RES!$A$1,MATCH(AV415,ITEM_RES!$J:$J,0)-1,0),0)</f>
        <v>211020401</v>
      </c>
      <c r="AV415" s="10" t="s">
        <v>436</v>
      </c>
      <c r="AW415" s="11">
        <v>1</v>
      </c>
      <c r="AZ415" s="11">
        <f ca="1">IFERROR(OFFSET(ITEM_RES!$A$1,MATCH(BA415,ITEM_RES!$J:$J,0)-1,0),0)</f>
        <v>211020801</v>
      </c>
      <c r="BA415" s="10" t="s">
        <v>437</v>
      </c>
      <c r="BB415" s="11">
        <v>1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  <c r="BO415" s="11">
        <f ca="1">IFERROR(OFFSET(ITEM_RES!$A$1,MATCH(BP415,ITEM_RES!$J:$J,0)-1,0),0)</f>
        <v>0</v>
      </c>
    </row>
    <row r="416" spans="1:70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 t="s">
        <v>933</v>
      </c>
      <c r="N416" s="9" t="s">
        <v>951</v>
      </c>
      <c r="O416" s="9">
        <v>1</v>
      </c>
      <c r="P416" s="9">
        <v>15</v>
      </c>
      <c r="Q416" s="9" t="s">
        <v>1137</v>
      </c>
      <c r="U416" s="9" t="s">
        <v>708</v>
      </c>
      <c r="W416" s="84" t="s">
        <v>553</v>
      </c>
      <c r="X416" s="9">
        <f ca="1">IFERROR(OFFSET(ITEM_RES!$A$5,MATCH(BUILDING!W416,ITEM_RES!$J$5:$J$226,0)-1,0),0)</f>
        <v>211020401</v>
      </c>
      <c r="Y416" s="11">
        <v>1</v>
      </c>
      <c r="Z416" s="84" t="s">
        <v>548</v>
      </c>
      <c r="AA416" s="9">
        <f ca="1">IFERROR(OFFSET(ITEM_RES!$A$5,MATCH(BUILDING!Z416,ITEM_RES!$J$5:$J$226,0)-1,0),0)</f>
        <v>211020501</v>
      </c>
      <c r="AC416" s="9" t="s">
        <v>526</v>
      </c>
      <c r="AD416" s="9">
        <v>12</v>
      </c>
      <c r="AF416" s="11">
        <f ca="1">IFERROR(OFFSET(MANOR_LEVEL!$B$1,MATCH(AG416-1,MANOR_LEVEL!$A:$A,0)-1,0),0)</f>
        <v>2622400</v>
      </c>
      <c r="AG416" s="56">
        <v>15</v>
      </c>
      <c r="AI416" s="56">
        <f t="shared" ca="1" si="126"/>
        <v>300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300.11</v>
      </c>
      <c r="AK416" s="182">
        <f t="shared" ca="1" si="135"/>
        <v>550</v>
      </c>
      <c r="AM416" s="11">
        <f t="shared" si="128"/>
        <v>60</v>
      </c>
      <c r="AN416" s="10">
        <v>60</v>
      </c>
      <c r="AO416" s="11">
        <f t="shared" si="134"/>
        <v>300</v>
      </c>
      <c r="AP416" s="10">
        <v>300</v>
      </c>
      <c r="AQ416" s="11">
        <f t="shared" si="134"/>
        <v>0</v>
      </c>
      <c r="AR416" s="10">
        <v>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</v>
      </c>
      <c r="AZ416" s="11">
        <f ca="1">IFERROR(OFFSET(ITEM_RES!$A$1,MATCH(BA416,ITEM_RES!$J:$J,0)-1,0),0)</f>
        <v>211020801</v>
      </c>
      <c r="BA416" s="10" t="s">
        <v>437</v>
      </c>
      <c r="BB416" s="11">
        <v>1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 t="s">
        <v>933</v>
      </c>
      <c r="N417" s="9" t="s">
        <v>951</v>
      </c>
      <c r="O417" s="9">
        <v>1</v>
      </c>
      <c r="P417" s="9">
        <v>15</v>
      </c>
      <c r="Q417" s="9" t="s">
        <v>1137</v>
      </c>
      <c r="U417" s="9" t="s">
        <v>708</v>
      </c>
      <c r="W417" s="84" t="s">
        <v>553</v>
      </c>
      <c r="X417" s="9">
        <f ca="1">IFERROR(OFFSET(ITEM_RES!$A$5,MATCH(BUILDING!W417,ITEM_RES!$J$5:$J$226,0)-1,0),0)</f>
        <v>211020401</v>
      </c>
      <c r="Y417" s="11">
        <v>1</v>
      </c>
      <c r="Z417" s="84" t="s">
        <v>548</v>
      </c>
      <c r="AA417" s="9">
        <f ca="1">IFERROR(OFFSET(ITEM_RES!$A$5,MATCH(BUILDING!Z417,ITEM_RES!$J$5:$J$226,0)-1,0),0)</f>
        <v>211020501</v>
      </c>
      <c r="AC417" s="9" t="s">
        <v>526</v>
      </c>
      <c r="AD417" s="9">
        <v>13</v>
      </c>
      <c r="AF417" s="11">
        <f ca="1">IFERROR(OFFSET(MANOR_LEVEL!$B$1,MATCH(AG417-1,MANOR_LEVEL!$A:$A,0)-1,0),0)</f>
        <v>4232000</v>
      </c>
      <c r="AG417" s="56">
        <v>16</v>
      </c>
      <c r="AI417" s="56">
        <f t="shared" ca="1" si="126"/>
        <v>350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350.11</v>
      </c>
      <c r="AK417" s="182">
        <f t="shared" ca="1" si="135"/>
        <v>650</v>
      </c>
      <c r="AM417" s="11">
        <f t="shared" si="128"/>
        <v>65</v>
      </c>
      <c r="AN417" s="10">
        <v>65</v>
      </c>
      <c r="AO417" s="11">
        <f t="shared" si="134"/>
        <v>350</v>
      </c>
      <c r="AP417" s="10">
        <v>350</v>
      </c>
      <c r="AQ417" s="11">
        <f t="shared" si="134"/>
        <v>0</v>
      </c>
      <c r="AR417" s="10">
        <v>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</v>
      </c>
      <c r="AZ417" s="11">
        <f ca="1">IFERROR(OFFSET(ITEM_RES!$A$1,MATCH(BA417,ITEM_RES!$J:$J,0)-1,0),0)</f>
        <v>211020801</v>
      </c>
      <c r="BA417" s="10" t="s">
        <v>437</v>
      </c>
      <c r="BB417" s="11">
        <v>1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 t="s">
        <v>933</v>
      </c>
      <c r="N418" s="9" t="s">
        <v>951</v>
      </c>
      <c r="O418" s="9">
        <v>1</v>
      </c>
      <c r="P418" s="9">
        <v>15</v>
      </c>
      <c r="Q418" s="9" t="s">
        <v>1137</v>
      </c>
      <c r="U418" s="9" t="s">
        <v>708</v>
      </c>
      <c r="W418" s="84" t="s">
        <v>553</v>
      </c>
      <c r="X418" s="9">
        <f ca="1">IFERROR(OFFSET(ITEM_RES!$A$5,MATCH(BUILDING!W418,ITEM_RES!$J$5:$J$226,0)-1,0),0)</f>
        <v>211020401</v>
      </c>
      <c r="Y418" s="11">
        <v>1</v>
      </c>
      <c r="Z418" s="84" t="s">
        <v>548</v>
      </c>
      <c r="AA418" s="9">
        <f ca="1">IFERROR(OFFSET(ITEM_RES!$A$5,MATCH(BUILDING!Z418,ITEM_RES!$J$5:$J$226,0)-1,0),0)</f>
        <v>211020501</v>
      </c>
      <c r="AC418" s="9" t="s">
        <v>526</v>
      </c>
      <c r="AD418" s="9">
        <v>14</v>
      </c>
      <c r="AF418" s="11">
        <f ca="1">IFERROR(OFFSET(MANOR_LEVEL!$B$1,MATCH(AG418-1,MANOR_LEVEL!$A:$A,0)-1,0),0)</f>
        <v>7450000</v>
      </c>
      <c r="AG418" s="56">
        <v>17</v>
      </c>
      <c r="AI418" s="56">
        <f t="shared" ca="1" si="126"/>
        <v>450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450.11</v>
      </c>
      <c r="AK418" s="182">
        <f t="shared" ca="1" si="135"/>
        <v>800</v>
      </c>
      <c r="AM418" s="11">
        <f t="shared" si="128"/>
        <v>70</v>
      </c>
      <c r="AN418" s="10">
        <v>70</v>
      </c>
      <c r="AO418" s="11">
        <f t="shared" si="134"/>
        <v>450</v>
      </c>
      <c r="AP418" s="10">
        <v>450</v>
      </c>
      <c r="AQ418" s="11">
        <f t="shared" si="134"/>
        <v>0</v>
      </c>
      <c r="AR418" s="10">
        <v>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1</v>
      </c>
      <c r="AZ418" s="11">
        <f ca="1">IFERROR(OFFSET(ITEM_RES!$A$1,MATCH(BA418,ITEM_RES!$J:$J,0)-1,0),0)</f>
        <v>211020801</v>
      </c>
      <c r="BA418" s="10" t="s">
        <v>437</v>
      </c>
      <c r="BB418" s="11">
        <v>1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 t="s">
        <v>933</v>
      </c>
      <c r="N419" s="9" t="s">
        <v>951</v>
      </c>
      <c r="O419" s="9">
        <v>1</v>
      </c>
      <c r="P419" s="9">
        <v>15</v>
      </c>
      <c r="Q419" s="9" t="s">
        <v>1137</v>
      </c>
      <c r="U419" s="9" t="s">
        <v>708</v>
      </c>
      <c r="W419" s="84" t="s">
        <v>553</v>
      </c>
      <c r="X419" s="9">
        <f ca="1">IFERROR(OFFSET(ITEM_RES!$A$5,MATCH(BUILDING!W419,ITEM_RES!$J$5:$J$226,0)-1,0),0)</f>
        <v>211020401</v>
      </c>
      <c r="Y419" s="11">
        <v>1</v>
      </c>
      <c r="Z419" s="84" t="s">
        <v>548</v>
      </c>
      <c r="AA419" s="9">
        <f ca="1">IFERROR(OFFSET(ITEM_RES!$A$5,MATCH(BUILDING!Z419,ITEM_RES!$J$5:$J$226,0)-1,0),0)</f>
        <v>211020501</v>
      </c>
      <c r="AC419" s="9" t="s">
        <v>526</v>
      </c>
      <c r="AD419" s="9">
        <v>15</v>
      </c>
      <c r="AF419" s="11">
        <f ca="1">IFERROR(OFFSET(MANOR_LEVEL!$B$1,MATCH(AG419-1,MANOR_LEVEL!$A:$A,0)-1,0),0)</f>
        <v>12172400</v>
      </c>
      <c r="AG419" s="56">
        <v>18</v>
      </c>
      <c r="AI419" s="56">
        <f t="shared" ca="1" si="126"/>
        <v>550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550.29999999999995</v>
      </c>
      <c r="AK419" s="182">
        <f t="shared" ca="1" si="135"/>
        <v>1000</v>
      </c>
      <c r="AM419" s="11">
        <f t="shared" si="128"/>
        <v>75</v>
      </c>
      <c r="AN419" s="10">
        <v>75</v>
      </c>
      <c r="AO419" s="11">
        <f t="shared" si="134"/>
        <v>550</v>
      </c>
      <c r="AP419" s="10">
        <v>550</v>
      </c>
      <c r="AQ419" s="11">
        <f t="shared" si="134"/>
        <v>0</v>
      </c>
      <c r="AR419" s="10">
        <v>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1</v>
      </c>
      <c r="AZ419" s="11">
        <f ca="1">IFERROR(OFFSET(ITEM_RES!$A$1,MATCH(BA419,ITEM_RES!$J:$J,0)-1,0),0)</f>
        <v>211020801</v>
      </c>
      <c r="BA419" s="10" t="s">
        <v>437</v>
      </c>
      <c r="BB419" s="11">
        <v>1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 t="s">
        <v>933</v>
      </c>
      <c r="N420" s="9" t="s">
        <v>951</v>
      </c>
      <c r="O420" s="9">
        <v>0</v>
      </c>
      <c r="P420" s="9">
        <v>15</v>
      </c>
      <c r="Q420" s="9" t="s">
        <v>1137</v>
      </c>
      <c r="U420" s="9" t="s">
        <v>708</v>
      </c>
      <c r="W420" s="84" t="s">
        <v>553</v>
      </c>
      <c r="X420" s="9">
        <f ca="1">IFERROR(OFFSET(ITEM_RES!$A$5,MATCH(BUILDING!W420,ITEM_RES!$J$5:$J$226,0)-1,0),0)</f>
        <v>211020401</v>
      </c>
      <c r="Y420" s="11">
        <v>1</v>
      </c>
      <c r="Z420" s="84" t="s">
        <v>548</v>
      </c>
      <c r="AA420" s="9">
        <f ca="1">IFERROR(OFFSET(ITEM_RES!$A$5,MATCH(BUILDING!Z420,ITEM_RES!$J$5:$J$226,0)-1,0),0)</f>
        <v>211020501</v>
      </c>
      <c r="AC420" s="9" t="s">
        <v>526</v>
      </c>
      <c r="AD420" s="9">
        <v>16</v>
      </c>
      <c r="AF420" s="11">
        <f ca="1">IFERROR(OFFSET(MANOR_LEVEL!$B$1,MATCH(AG420-1,MANOR_LEVEL!$A:$A,0)-1,0),0)</f>
        <v>12172400</v>
      </c>
      <c r="AG420" s="56">
        <v>18</v>
      </c>
      <c r="AI420" s="56">
        <f t="shared" ca="1" si="126"/>
        <v>700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700.3</v>
      </c>
      <c r="AK420" s="182">
        <f t="shared" ca="1" si="135"/>
        <v>1250</v>
      </c>
      <c r="AM420" s="11">
        <f t="shared" si="128"/>
        <v>80</v>
      </c>
      <c r="AN420" s="10">
        <v>80</v>
      </c>
      <c r="AO420" s="11">
        <f t="shared" si="134"/>
        <v>700</v>
      </c>
      <c r="AP420" s="10">
        <v>700</v>
      </c>
      <c r="AQ420" s="11">
        <f t="shared" si="134"/>
        <v>0</v>
      </c>
      <c r="AR420" s="10">
        <v>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1</v>
      </c>
      <c r="AZ420" s="11">
        <f ca="1">IFERROR(OFFSET(ITEM_RES!$A$1,MATCH(BA420,ITEM_RES!$J:$J,0)-1,0),0)</f>
        <v>211020801</v>
      </c>
      <c r="BA420" s="10" t="s">
        <v>437</v>
      </c>
      <c r="BB420" s="11">
        <v>1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 t="s">
        <v>933</v>
      </c>
      <c r="N421" s="9" t="s">
        <v>951</v>
      </c>
      <c r="O421" s="9">
        <v>0</v>
      </c>
      <c r="P421" s="9">
        <v>15</v>
      </c>
      <c r="Q421" s="9" t="s">
        <v>1137</v>
      </c>
      <c r="U421" s="9" t="s">
        <v>708</v>
      </c>
      <c r="W421" s="84" t="s">
        <v>553</v>
      </c>
      <c r="X421" s="9">
        <f ca="1">IFERROR(OFFSET(ITEM_RES!$A$5,MATCH(BUILDING!W421,ITEM_RES!$J$5:$J$226,0)-1,0),0)</f>
        <v>211020401</v>
      </c>
      <c r="Y421" s="11">
        <v>1</v>
      </c>
      <c r="Z421" s="84" t="s">
        <v>548</v>
      </c>
      <c r="AA421" s="9">
        <f ca="1">IFERROR(OFFSET(ITEM_RES!$A$5,MATCH(BUILDING!Z421,ITEM_RES!$J$5:$J$226,0)-1,0),0)</f>
        <v>211020501</v>
      </c>
      <c r="AC421" s="9" t="s">
        <v>526</v>
      </c>
      <c r="AD421" s="9">
        <v>17</v>
      </c>
      <c r="AF421" s="11">
        <f ca="1">IFERROR(OFFSET(MANOR_LEVEL!$B$1,MATCH(AG421-1,MANOR_LEVEL!$A:$A,0)-1,0),0)</f>
        <v>12172400</v>
      </c>
      <c r="AG421" s="56">
        <v>18</v>
      </c>
      <c r="AI421" s="56">
        <f t="shared" ca="1" si="126"/>
        <v>850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850.3</v>
      </c>
      <c r="AK421" s="182">
        <f t="shared" ca="1" si="135"/>
        <v>1550</v>
      </c>
      <c r="AM421" s="11">
        <f t="shared" si="128"/>
        <v>85</v>
      </c>
      <c r="AN421" s="10">
        <v>85</v>
      </c>
      <c r="AO421" s="11">
        <f t="shared" si="134"/>
        <v>850</v>
      </c>
      <c r="AP421" s="10">
        <v>850</v>
      </c>
      <c r="AQ421" s="11">
        <f t="shared" si="134"/>
        <v>0</v>
      </c>
      <c r="AR421" s="10">
        <v>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1</v>
      </c>
      <c r="AZ421" s="11">
        <f ca="1">IFERROR(OFFSET(ITEM_RES!$A$1,MATCH(BA421,ITEM_RES!$J:$J,0)-1,0),0)</f>
        <v>211020801</v>
      </c>
      <c r="BA421" s="10" t="s">
        <v>437</v>
      </c>
      <c r="BB421" s="11">
        <v>1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 t="s">
        <v>933</v>
      </c>
      <c r="N422" s="9" t="s">
        <v>951</v>
      </c>
      <c r="O422" s="9">
        <v>0</v>
      </c>
      <c r="P422" s="9">
        <v>15</v>
      </c>
      <c r="Q422" s="9" t="s">
        <v>1137</v>
      </c>
      <c r="U422" s="9" t="s">
        <v>708</v>
      </c>
      <c r="W422" s="84" t="s">
        <v>553</v>
      </c>
      <c r="X422" s="9">
        <f ca="1">IFERROR(OFFSET(ITEM_RES!$A$5,MATCH(BUILDING!W422,ITEM_RES!$J$5:$J$226,0)-1,0),0)</f>
        <v>211020401</v>
      </c>
      <c r="Y422" s="11">
        <v>1</v>
      </c>
      <c r="Z422" s="84" t="s">
        <v>548</v>
      </c>
      <c r="AA422" s="9">
        <f ca="1">IFERROR(OFFSET(ITEM_RES!$A$5,MATCH(BUILDING!Z422,ITEM_RES!$J$5:$J$226,0)-1,0),0)</f>
        <v>211020501</v>
      </c>
      <c r="AC422" s="9" t="s">
        <v>526</v>
      </c>
      <c r="AD422" s="9">
        <v>18</v>
      </c>
      <c r="AF422" s="11">
        <f ca="1">IFERROR(OFFSET(MANOR_LEVEL!$B$1,MATCH(AG422-1,MANOR_LEVEL!$A:$A,0)-1,0),0)</f>
        <v>12172400</v>
      </c>
      <c r="AG422" s="56">
        <v>18</v>
      </c>
      <c r="AI422" s="56">
        <f t="shared" ca="1" si="126"/>
        <v>1050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1050.3</v>
      </c>
      <c r="AK422" s="182">
        <f t="shared" ca="1" si="135"/>
        <v>1900</v>
      </c>
      <c r="AM422" s="11">
        <f t="shared" si="128"/>
        <v>90</v>
      </c>
      <c r="AN422" s="10">
        <v>90</v>
      </c>
      <c r="AO422" s="11">
        <f t="shared" si="134"/>
        <v>1050</v>
      </c>
      <c r="AP422" s="10">
        <v>1050</v>
      </c>
      <c r="AQ422" s="11">
        <f t="shared" si="134"/>
        <v>0</v>
      </c>
      <c r="AR422" s="10">
        <v>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1</v>
      </c>
      <c r="AZ422" s="11">
        <f ca="1">IFERROR(OFFSET(ITEM_RES!$A$1,MATCH(BA422,ITEM_RES!$J:$J,0)-1,0),0)</f>
        <v>211020801</v>
      </c>
      <c r="BA422" s="10" t="s">
        <v>437</v>
      </c>
      <c r="BB422" s="11">
        <v>1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 t="s">
        <v>933</v>
      </c>
      <c r="N423" s="9" t="s">
        <v>951</v>
      </c>
      <c r="O423" s="9">
        <v>0</v>
      </c>
      <c r="P423" s="9">
        <v>15</v>
      </c>
      <c r="Q423" s="9" t="s">
        <v>1137</v>
      </c>
      <c r="U423" s="9" t="s">
        <v>708</v>
      </c>
      <c r="W423" s="84" t="s">
        <v>553</v>
      </c>
      <c r="X423" s="9">
        <f ca="1">IFERROR(OFFSET(ITEM_RES!$A$5,MATCH(BUILDING!W423,ITEM_RES!$J$5:$J$226,0)-1,0),0)</f>
        <v>211020401</v>
      </c>
      <c r="Y423" s="11">
        <v>1</v>
      </c>
      <c r="Z423" s="84" t="s">
        <v>548</v>
      </c>
      <c r="AA423" s="9">
        <f ca="1">IFERROR(OFFSET(ITEM_RES!$A$5,MATCH(BUILDING!Z423,ITEM_RES!$J$5:$J$226,0)-1,0),0)</f>
        <v>211020501</v>
      </c>
      <c r="AC423" s="9" t="s">
        <v>526</v>
      </c>
      <c r="AD423" s="9">
        <v>19</v>
      </c>
      <c r="AF423" s="11">
        <f ca="1">IFERROR(OFFSET(MANOR_LEVEL!$B$1,MATCH(AG423-1,MANOR_LEVEL!$A:$A,0)-1,0),0)</f>
        <v>12172400</v>
      </c>
      <c r="AG423" s="56">
        <v>18</v>
      </c>
      <c r="AI423" s="56">
        <f t="shared" ca="1" si="126"/>
        <v>1250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1250.3</v>
      </c>
      <c r="AK423" s="182">
        <f t="shared" ca="1" si="135"/>
        <v>2300</v>
      </c>
      <c r="AM423" s="11">
        <f t="shared" si="128"/>
        <v>95</v>
      </c>
      <c r="AN423" s="10">
        <v>95</v>
      </c>
      <c r="AO423" s="11">
        <f t="shared" si="134"/>
        <v>1250</v>
      </c>
      <c r="AP423" s="10">
        <v>1250</v>
      </c>
      <c r="AQ423" s="11">
        <f t="shared" si="134"/>
        <v>0</v>
      </c>
      <c r="AR423" s="10">
        <v>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1</v>
      </c>
      <c r="AZ423" s="11">
        <f ca="1">IFERROR(OFFSET(ITEM_RES!$A$1,MATCH(BA423,ITEM_RES!$J:$J,0)-1,0),0)</f>
        <v>211020801</v>
      </c>
      <c r="BA423" s="10" t="s">
        <v>437</v>
      </c>
      <c r="BB423" s="11">
        <v>1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 t="s">
        <v>933</v>
      </c>
      <c r="N424" s="9" t="s">
        <v>951</v>
      </c>
      <c r="O424" s="9">
        <v>0</v>
      </c>
      <c r="P424" s="9">
        <v>15</v>
      </c>
      <c r="Q424" s="9" t="s">
        <v>1137</v>
      </c>
      <c r="U424" s="9" t="s">
        <v>708</v>
      </c>
      <c r="W424" s="84" t="s">
        <v>553</v>
      </c>
      <c r="X424" s="9">
        <f ca="1">IFERROR(OFFSET(ITEM_RES!$A$5,MATCH(BUILDING!W424,ITEM_RES!$J$5:$J$226,0)-1,0),0)</f>
        <v>211020401</v>
      </c>
      <c r="Y424" s="11">
        <v>1</v>
      </c>
      <c r="Z424" s="84" t="s">
        <v>548</v>
      </c>
      <c r="AA424" s="9">
        <f ca="1">IFERROR(OFFSET(ITEM_RES!$A$5,MATCH(BUILDING!Z424,ITEM_RES!$J$5:$J$226,0)-1,0),0)</f>
        <v>211020501</v>
      </c>
      <c r="AC424" s="9" t="s">
        <v>526</v>
      </c>
      <c r="AD424" s="9">
        <v>20</v>
      </c>
      <c r="AF424" s="11">
        <f ca="1">IFERROR(OFFSET(MANOR_LEVEL!$B$1,MATCH(AG424-1,MANOR_LEVEL!$A:$A,0)-1,0),0)</f>
        <v>12172400</v>
      </c>
      <c r="AG424" s="56">
        <v>18</v>
      </c>
      <c r="AI424" s="56">
        <f t="shared" ca="1" si="126"/>
        <v>1500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1500.3</v>
      </c>
      <c r="AK424" s="182">
        <f t="shared" ca="1" si="135"/>
        <v>2750</v>
      </c>
      <c r="AM424" s="11">
        <f t="shared" si="128"/>
        <v>100</v>
      </c>
      <c r="AN424" s="10">
        <v>100</v>
      </c>
      <c r="AO424" s="11">
        <f t="shared" si="134"/>
        <v>1500</v>
      </c>
      <c r="AP424" s="10">
        <v>1500</v>
      </c>
      <c r="AQ424" s="11">
        <f t="shared" si="134"/>
        <v>0</v>
      </c>
      <c r="AR424" s="10">
        <v>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1</v>
      </c>
      <c r="AZ424" s="11">
        <f ca="1">IFERROR(OFFSET(ITEM_RES!$A$1,MATCH(BA424,ITEM_RES!$J:$J,0)-1,0),0)</f>
        <v>211020801</v>
      </c>
      <c r="BA424" s="10" t="s">
        <v>437</v>
      </c>
      <c r="BB424" s="11">
        <v>1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 t="s">
        <v>934</v>
      </c>
      <c r="N425" s="16" t="s">
        <v>952</v>
      </c>
      <c r="O425" s="16">
        <v>1</v>
      </c>
      <c r="P425" s="16">
        <v>15</v>
      </c>
      <c r="Q425" s="16" t="s">
        <v>1260</v>
      </c>
      <c r="R425" s="17"/>
      <c r="S425" s="17"/>
      <c r="T425" s="18"/>
      <c r="U425" s="16" t="s">
        <v>704</v>
      </c>
      <c r="V425" s="78"/>
      <c r="W425" s="86" t="s">
        <v>547</v>
      </c>
      <c r="X425" s="16">
        <f ca="1">IFERROR(OFFSET(ITEM_RES!$A$5,MATCH(BUILDING!W425,ITEM_RES!$J$5:$J$226,0)-1,0),0)</f>
        <v>211020201</v>
      </c>
      <c r="Y425" s="18">
        <v>1</v>
      </c>
      <c r="Z425" s="86" t="s">
        <v>549</v>
      </c>
      <c r="AA425" s="16">
        <f ca="1">IFERROR(OFFSET(ITEM_RES!$A$5,MATCH(BUILDING!Z425,ITEM_RES!$J$5:$J$226,0)-1,0),0)</f>
        <v>211020301</v>
      </c>
      <c r="AB425" s="78"/>
      <c r="AC425" s="16" t="s">
        <v>527</v>
      </c>
      <c r="AD425" s="16">
        <v>1</v>
      </c>
      <c r="AE425" s="78"/>
      <c r="AF425" s="18">
        <f ca="1">IFERROR(OFFSET(MANOR_LEVEL!$B$1,MATCH(AG425-1,MANOR_LEVEL!$A:$A,0)-1,0),0)</f>
        <v>32640</v>
      </c>
      <c r="AG425" s="57">
        <v>7</v>
      </c>
      <c r="AH425" s="78"/>
      <c r="AI425" s="57">
        <f t="shared" ca="1" si="126"/>
        <v>105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105.21</v>
      </c>
      <c r="AK425" s="184">
        <f ca="1">AI425</f>
        <v>105</v>
      </c>
      <c r="AL425" s="78"/>
      <c r="AM425" s="18">
        <f t="shared" si="128"/>
        <v>5</v>
      </c>
      <c r="AN425" s="17">
        <v>5</v>
      </c>
      <c r="AO425" s="18">
        <f t="shared" si="134"/>
        <v>5</v>
      </c>
      <c r="AP425" s="17">
        <v>5</v>
      </c>
      <c r="AQ425" s="18">
        <f t="shared" si="134"/>
        <v>0</v>
      </c>
      <c r="AR425" s="17">
        <v>0</v>
      </c>
      <c r="AS425" s="57">
        <f t="shared" si="129"/>
        <v>3</v>
      </c>
      <c r="AT425" s="18"/>
      <c r="AU425" s="18">
        <f ca="1">IFERROR(OFFSET(ITEM_RES!$A$1,MATCH(AV425,ITEM_RES!$J:$J,0)-1,0),0)</f>
        <v>211020201</v>
      </c>
      <c r="AV425" s="17" t="s">
        <v>430</v>
      </c>
      <c r="AW425" s="18">
        <v>20</v>
      </c>
      <c r="AX425" s="17"/>
      <c r="AY425" s="18"/>
      <c r="AZ425" s="18">
        <f ca="1">IFERROR(OFFSET(ITEM_RES!$A$1,MATCH(BA425,ITEM_RES!$J:$J,0)-1,0),0)</f>
        <v>211020401</v>
      </c>
      <c r="BA425" s="17" t="s">
        <v>436</v>
      </c>
      <c r="BB425" s="18">
        <v>1</v>
      </c>
      <c r="BC425" s="17"/>
      <c r="BD425" s="18"/>
      <c r="BE425" s="18">
        <f ca="1">IFERROR(OFFSET(ITEM_RES!$A$1,MATCH(BF425,ITEM_RES!$J:$J,0)-1,0),0)</f>
        <v>213010101</v>
      </c>
      <c r="BF425" s="17" t="s">
        <v>452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 t="s">
        <v>934</v>
      </c>
      <c r="N426" s="9" t="s">
        <v>952</v>
      </c>
      <c r="O426" s="9">
        <v>1</v>
      </c>
      <c r="P426" s="9">
        <v>15</v>
      </c>
      <c r="Q426" s="9" t="s">
        <v>1260</v>
      </c>
      <c r="U426" s="9" t="s">
        <v>704</v>
      </c>
      <c r="W426" s="84" t="s">
        <v>547</v>
      </c>
      <c r="X426" s="9">
        <f ca="1">IFERROR(OFFSET(ITEM_RES!$A$5,MATCH(BUILDING!W426,ITEM_RES!$J$5:$J$226,0)-1,0),0)</f>
        <v>211020201</v>
      </c>
      <c r="Y426" s="11">
        <v>1</v>
      </c>
      <c r="Z426" s="84" t="s">
        <v>549</v>
      </c>
      <c r="AA426" s="9">
        <f ca="1">IFERROR(OFFSET(ITEM_RES!$A$5,MATCH(BUILDING!Z426,ITEM_RES!$J$5:$J$226,0)-1,0),0)</f>
        <v>211020301</v>
      </c>
      <c r="AC426" s="9" t="s">
        <v>527</v>
      </c>
      <c r="AD426" s="9">
        <v>2</v>
      </c>
      <c r="AF426" s="11">
        <f ca="1">IFERROR(OFFSET(MANOR_LEVEL!$B$1,MATCH(AG426-1,MANOR_LEVEL!$A:$A,0)-1,0),0)</f>
        <v>94800</v>
      </c>
      <c r="AG426" s="56">
        <v>8</v>
      </c>
      <c r="AI426" s="56">
        <f t="shared" ca="1" si="126"/>
        <v>10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10.210000000000001</v>
      </c>
      <c r="AK426" s="182">
        <f ca="1">AI425+AI426</f>
        <v>115</v>
      </c>
      <c r="AM426" s="11">
        <f t="shared" si="128"/>
        <v>10</v>
      </c>
      <c r="AN426" s="10">
        <v>10</v>
      </c>
      <c r="AO426" s="11">
        <f t="shared" si="134"/>
        <v>10</v>
      </c>
      <c r="AP426" s="10">
        <v>10</v>
      </c>
      <c r="AQ426" s="11">
        <f t="shared" si="134"/>
        <v>0</v>
      </c>
      <c r="AR426" s="10">
        <v>0</v>
      </c>
      <c r="AS426" s="56">
        <f t="shared" si="129"/>
        <v>2</v>
      </c>
      <c r="AU426" s="11">
        <f ca="1">IFERROR(OFFSET(ITEM_RES!$A$1,MATCH(AV426,ITEM_RES!$J:$J,0)-1,0),0)</f>
        <v>211020201</v>
      </c>
      <c r="AV426" s="10" t="s">
        <v>430</v>
      </c>
      <c r="AW426" s="11">
        <v>20</v>
      </c>
      <c r="AZ426" s="11">
        <f ca="1">IFERROR(OFFSET(ITEM_RES!$A$1,MATCH(BA426,ITEM_RES!$J:$J,0)-1,0),0)</f>
        <v>211020401</v>
      </c>
      <c r="BA426" s="10" t="s">
        <v>436</v>
      </c>
      <c r="BB426" s="11">
        <v>1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 t="s">
        <v>934</v>
      </c>
      <c r="N427" s="9" t="s">
        <v>952</v>
      </c>
      <c r="O427" s="9">
        <v>1</v>
      </c>
      <c r="P427" s="9">
        <v>15</v>
      </c>
      <c r="Q427" s="9" t="s">
        <v>1261</v>
      </c>
      <c r="U427" s="9" t="s">
        <v>704</v>
      </c>
      <c r="W427" s="84" t="s">
        <v>547</v>
      </c>
      <c r="X427" s="9">
        <f ca="1">IFERROR(OFFSET(ITEM_RES!$A$5,MATCH(BUILDING!W427,ITEM_RES!$J$5:$J$226,0)-1,0),0)</f>
        <v>211020201</v>
      </c>
      <c r="Y427" s="11">
        <v>1</v>
      </c>
      <c r="Z427" s="84" t="s">
        <v>549</v>
      </c>
      <c r="AA427" s="9">
        <f ca="1">IFERROR(OFFSET(ITEM_RES!$A$5,MATCH(BUILDING!Z427,ITEM_RES!$J$5:$J$226,0)-1,0),0)</f>
        <v>211020301</v>
      </c>
      <c r="AC427" s="9" t="s">
        <v>527</v>
      </c>
      <c r="AD427" s="9">
        <v>3</v>
      </c>
      <c r="AF427" s="11">
        <f ca="1">IFERROR(OFFSET(MANOR_LEVEL!$B$1,MATCH(AG427-1,MANOR_LEVEL!$A:$A,0)-1,0),0)</f>
        <v>186400</v>
      </c>
      <c r="AG427" s="56">
        <v>9</v>
      </c>
      <c r="AI427" s="56">
        <f t="shared" ca="1" si="126"/>
        <v>17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16.61</v>
      </c>
      <c r="AK427" s="182">
        <f t="shared" ref="AK427:AK444" ca="1" si="136">AI426+AI427</f>
        <v>27</v>
      </c>
      <c r="AM427" s="11">
        <f t="shared" si="128"/>
        <v>15</v>
      </c>
      <c r="AN427" s="10">
        <v>15</v>
      </c>
      <c r="AO427" s="11">
        <f t="shared" si="134"/>
        <v>15</v>
      </c>
      <c r="AP427" s="10">
        <v>15</v>
      </c>
      <c r="AQ427" s="11">
        <f t="shared" si="134"/>
        <v>0</v>
      </c>
      <c r="AR427" s="10">
        <v>0</v>
      </c>
      <c r="AS427" s="56">
        <f t="shared" si="129"/>
        <v>2</v>
      </c>
      <c r="AU427" s="11">
        <f ca="1">IFERROR(OFFSET(ITEM_RES!$A$1,MATCH(AV427,ITEM_RES!$J:$J,0)-1,0),0)</f>
        <v>211020201</v>
      </c>
      <c r="AV427" s="10" t="s">
        <v>430</v>
      </c>
      <c r="AW427" s="11">
        <v>160</v>
      </c>
      <c r="AZ427" s="11">
        <f ca="1">IFERROR(OFFSET(ITEM_RES!$A$1,MATCH(BA427,ITEM_RES!$J:$J,0)-1,0),0)</f>
        <v>211020401</v>
      </c>
      <c r="BA427" s="10" t="s">
        <v>436</v>
      </c>
      <c r="BB427" s="11">
        <v>1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 t="s">
        <v>934</v>
      </c>
      <c r="N428" s="9" t="s">
        <v>952</v>
      </c>
      <c r="O428" s="9">
        <v>1</v>
      </c>
      <c r="P428" s="9">
        <v>15</v>
      </c>
      <c r="Q428" s="9" t="s">
        <v>1262</v>
      </c>
      <c r="U428" s="9" t="s">
        <v>704</v>
      </c>
      <c r="W428" s="84" t="s">
        <v>547</v>
      </c>
      <c r="X428" s="9">
        <f ca="1">IFERROR(OFFSET(ITEM_RES!$A$5,MATCH(BUILDING!W428,ITEM_RES!$J$5:$J$226,0)-1,0),0)</f>
        <v>211020201</v>
      </c>
      <c r="Y428" s="11">
        <v>1</v>
      </c>
      <c r="Z428" s="84" t="s">
        <v>549</v>
      </c>
      <c r="AA428" s="9">
        <f ca="1">IFERROR(OFFSET(ITEM_RES!$A$5,MATCH(BUILDING!Z428,ITEM_RES!$J$5:$J$226,0)-1,0),0)</f>
        <v>211020301</v>
      </c>
      <c r="AC428" s="9" t="s">
        <v>527</v>
      </c>
      <c r="AD428" s="9">
        <v>4</v>
      </c>
      <c r="AF428" s="11">
        <f ca="1">IFERROR(OFFSET(MANOR_LEVEL!$B$1,MATCH(AG428-1,MANOR_LEVEL!$A:$A,0)-1,0),0)</f>
        <v>186400</v>
      </c>
      <c r="AG428" s="56">
        <v>9</v>
      </c>
      <c r="AI428" s="56">
        <f t="shared" ca="1" si="126"/>
        <v>44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44.21</v>
      </c>
      <c r="AK428" s="182">
        <f t="shared" ca="1" si="136"/>
        <v>61</v>
      </c>
      <c r="AM428" s="11">
        <f t="shared" si="128"/>
        <v>20</v>
      </c>
      <c r="AN428" s="10">
        <v>20</v>
      </c>
      <c r="AO428" s="11">
        <f t="shared" si="134"/>
        <v>25</v>
      </c>
      <c r="AP428" s="10">
        <v>25</v>
      </c>
      <c r="AQ428" s="11">
        <f t="shared" si="134"/>
        <v>0</v>
      </c>
      <c r="AR428" s="10">
        <v>0</v>
      </c>
      <c r="AS428" s="56">
        <f t="shared" si="129"/>
        <v>2</v>
      </c>
      <c r="AU428" s="11">
        <f ca="1">IFERROR(OFFSET(ITEM_RES!$A$1,MATCH(AV428,ITEM_RES!$J:$J,0)-1,0),0)</f>
        <v>211020201</v>
      </c>
      <c r="AV428" s="10" t="s">
        <v>430</v>
      </c>
      <c r="AW428" s="11">
        <v>1920</v>
      </c>
      <c r="AZ428" s="11">
        <f ca="1">IFERROR(OFFSET(ITEM_RES!$A$1,MATCH(BA428,ITEM_RES!$J:$J,0)-1,0),0)</f>
        <v>211020401</v>
      </c>
      <c r="BA428" s="10" t="s">
        <v>436</v>
      </c>
      <c r="BB428" s="11">
        <v>1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 t="s">
        <v>934</v>
      </c>
      <c r="N429" s="9" t="s">
        <v>952</v>
      </c>
      <c r="O429" s="9">
        <v>1</v>
      </c>
      <c r="P429" s="9">
        <v>15</v>
      </c>
      <c r="Q429" s="9" t="s">
        <v>1263</v>
      </c>
      <c r="U429" s="9" t="s">
        <v>704</v>
      </c>
      <c r="W429" s="84" t="s">
        <v>547</v>
      </c>
      <c r="X429" s="9">
        <f ca="1">IFERROR(OFFSET(ITEM_RES!$A$5,MATCH(BUILDING!W429,ITEM_RES!$J$5:$J$226,0)-1,0),0)</f>
        <v>211020201</v>
      </c>
      <c r="Y429" s="11">
        <v>1</v>
      </c>
      <c r="Z429" s="84" t="s">
        <v>549</v>
      </c>
      <c r="AA429" s="9">
        <f ca="1">IFERROR(OFFSET(ITEM_RES!$A$5,MATCH(BUILDING!Z429,ITEM_RES!$J$5:$J$226,0)-1,0),0)</f>
        <v>211020301</v>
      </c>
      <c r="AC429" s="9" t="s">
        <v>527</v>
      </c>
      <c r="AD429" s="9">
        <v>5</v>
      </c>
      <c r="AF429" s="11">
        <f ca="1">IFERROR(OFFSET(MANOR_LEVEL!$B$1,MATCH(AG429-1,MANOR_LEVEL!$A:$A,0)-1,0),0)</f>
        <v>311600</v>
      </c>
      <c r="AG429" s="56">
        <v>10</v>
      </c>
      <c r="AI429" s="56">
        <f t="shared" ca="1" si="126"/>
        <v>300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300.01</v>
      </c>
      <c r="AK429" s="182">
        <f t="shared" ca="1" si="136"/>
        <v>344</v>
      </c>
      <c r="AM429" s="11">
        <f t="shared" ref="AM429:AM492" si="137">ROUND(AN429,0)</f>
        <v>25</v>
      </c>
      <c r="AN429" s="10">
        <v>25</v>
      </c>
      <c r="AO429" s="11">
        <f t="shared" si="134"/>
        <v>40</v>
      </c>
      <c r="AP429" s="10">
        <v>40</v>
      </c>
      <c r="AQ429" s="11">
        <f t="shared" si="134"/>
        <v>0</v>
      </c>
      <c r="AR429" s="10">
        <v>0</v>
      </c>
      <c r="AS429" s="56">
        <f t="shared" si="129"/>
        <v>2</v>
      </c>
      <c r="AU429" s="11">
        <f ca="1">IFERROR(OFFSET(ITEM_RES!$A$1,MATCH(AV429,ITEM_RES!$J:$J,0)-1,0),0)</f>
        <v>211020201</v>
      </c>
      <c r="AV429" s="10" t="s">
        <v>430</v>
      </c>
      <c r="AW429" s="11">
        <v>26000</v>
      </c>
      <c r="AZ429" s="11">
        <f ca="1">IFERROR(OFFSET(ITEM_RES!$A$1,MATCH(BA429,ITEM_RES!$J:$J,0)-1,0),0)</f>
        <v>211020401</v>
      </c>
      <c r="BA429" s="10" t="s">
        <v>436</v>
      </c>
      <c r="BB429" s="11">
        <v>1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 t="s">
        <v>934</v>
      </c>
      <c r="N430" s="9" t="s">
        <v>952</v>
      </c>
      <c r="O430" s="9">
        <v>1</v>
      </c>
      <c r="P430" s="9">
        <v>15</v>
      </c>
      <c r="Q430" s="9" t="s">
        <v>1264</v>
      </c>
      <c r="U430" s="9" t="s">
        <v>704</v>
      </c>
      <c r="W430" s="84" t="s">
        <v>547</v>
      </c>
      <c r="X430" s="9">
        <f ca="1">IFERROR(OFFSET(ITEM_RES!$A$5,MATCH(BUILDING!W430,ITEM_RES!$J$5:$J$226,0)-1,0),0)</f>
        <v>211020201</v>
      </c>
      <c r="Y430" s="11">
        <v>1</v>
      </c>
      <c r="Z430" s="84" t="s">
        <v>549</v>
      </c>
      <c r="AA430" s="9">
        <f ca="1">IFERROR(OFFSET(ITEM_RES!$A$5,MATCH(BUILDING!Z430,ITEM_RES!$J$5:$J$226,0)-1,0),0)</f>
        <v>211020301</v>
      </c>
      <c r="AC430" s="9" t="s">
        <v>527</v>
      </c>
      <c r="AD430" s="9">
        <v>6</v>
      </c>
      <c r="AF430" s="11">
        <f ca="1">IFERROR(OFFSET(MANOR_LEVEL!$B$1,MATCH(AG430-1,MANOR_LEVEL!$A:$A,0)-1,0),0)</f>
        <v>311600</v>
      </c>
      <c r="AG430" s="56">
        <v>10</v>
      </c>
      <c r="AI430" s="56">
        <f t="shared" ref="AI430:AI493" ca="1" si="138">ROUND(AJ430,0)</f>
        <v>2450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2450.0100000000002</v>
      </c>
      <c r="AK430" s="182">
        <f t="shared" ca="1" si="136"/>
        <v>2750</v>
      </c>
      <c r="AM430" s="11">
        <f t="shared" si="137"/>
        <v>30</v>
      </c>
      <c r="AN430" s="10">
        <v>30</v>
      </c>
      <c r="AO430" s="11">
        <f t="shared" si="134"/>
        <v>50</v>
      </c>
      <c r="AP430" s="10">
        <v>50</v>
      </c>
      <c r="AQ430" s="11">
        <f t="shared" si="134"/>
        <v>0</v>
      </c>
      <c r="AR430" s="10">
        <v>0</v>
      </c>
      <c r="AS430" s="56">
        <f t="shared" ref="AS430:AS493" si="139">(AW430&gt;0)*1+(BB430&gt;0)*1+(BG430&gt;0)*1+(BL430&gt;0)*1+(BQ430&gt;0)*1</f>
        <v>2</v>
      </c>
      <c r="AU430" s="11">
        <f ca="1">IFERROR(OFFSET(ITEM_RES!$A$1,MATCH(AV430,ITEM_RES!$J:$J,0)-1,0),0)</f>
        <v>211020201</v>
      </c>
      <c r="AV430" s="10" t="s">
        <v>430</v>
      </c>
      <c r="AW430" s="11">
        <v>240000</v>
      </c>
      <c r="AZ430" s="11">
        <f ca="1">IFERROR(OFFSET(ITEM_RES!$A$1,MATCH(BA430,ITEM_RES!$J:$J,0)-1,0),0)</f>
        <v>211020401</v>
      </c>
      <c r="BA430" s="10" t="s">
        <v>436</v>
      </c>
      <c r="BB430" s="11">
        <v>1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 t="s">
        <v>934</v>
      </c>
      <c r="N431" s="9" t="s">
        <v>952</v>
      </c>
      <c r="O431" s="9">
        <v>1</v>
      </c>
      <c r="P431" s="9">
        <v>15</v>
      </c>
      <c r="Q431" s="9" t="s">
        <v>1265</v>
      </c>
      <c r="U431" s="9" t="s">
        <v>704</v>
      </c>
      <c r="W431" s="84" t="s">
        <v>547</v>
      </c>
      <c r="X431" s="9">
        <f ca="1">IFERROR(OFFSET(ITEM_RES!$A$5,MATCH(BUILDING!W431,ITEM_RES!$J$5:$J$226,0)-1,0),0)</f>
        <v>211020201</v>
      </c>
      <c r="Y431" s="11">
        <v>1</v>
      </c>
      <c r="Z431" s="84" t="s">
        <v>549</v>
      </c>
      <c r="AA431" s="9">
        <f ca="1">IFERROR(OFFSET(ITEM_RES!$A$5,MATCH(BUILDING!Z431,ITEM_RES!$J$5:$J$226,0)-1,0),0)</f>
        <v>211020301</v>
      </c>
      <c r="AC431" s="9" t="s">
        <v>527</v>
      </c>
      <c r="AD431" s="9">
        <v>7</v>
      </c>
      <c r="AF431" s="11">
        <f ca="1">IFERROR(OFFSET(MANOR_LEVEL!$B$1,MATCH(AG431-1,MANOR_LEVEL!$A:$A,0)-1,0),0)</f>
        <v>456800</v>
      </c>
      <c r="AG431" s="56">
        <v>11</v>
      </c>
      <c r="AI431" s="56">
        <f t="shared" ca="1" si="138"/>
        <v>5500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5500.01</v>
      </c>
      <c r="AK431" s="182">
        <f t="shared" ca="1" si="136"/>
        <v>7950</v>
      </c>
      <c r="AM431" s="11">
        <f t="shared" si="13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0</v>
      </c>
      <c r="AR431" s="10">
        <v>0</v>
      </c>
      <c r="AS431" s="56">
        <f t="shared" si="139"/>
        <v>2</v>
      </c>
      <c r="AU431" s="11">
        <f ca="1">IFERROR(OFFSET(ITEM_RES!$A$1,MATCH(AV431,ITEM_RES!$J:$J,0)-1,0),0)</f>
        <v>211020201</v>
      </c>
      <c r="AV431" s="10" t="s">
        <v>430</v>
      </c>
      <c r="AW431" s="11">
        <v>540000</v>
      </c>
      <c r="AZ431" s="11">
        <f ca="1">IFERROR(OFFSET(ITEM_RES!$A$1,MATCH(BA431,ITEM_RES!$J:$J,0)-1,0),0)</f>
        <v>211020401</v>
      </c>
      <c r="BA431" s="10" t="s">
        <v>436</v>
      </c>
      <c r="BB431" s="11">
        <v>1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 t="s">
        <v>934</v>
      </c>
      <c r="N432" s="9" t="s">
        <v>952</v>
      </c>
      <c r="O432" s="9">
        <v>1</v>
      </c>
      <c r="P432" s="9">
        <v>15</v>
      </c>
      <c r="Q432" s="9" t="s">
        <v>1265</v>
      </c>
      <c r="U432" s="9" t="s">
        <v>704</v>
      </c>
      <c r="W432" s="84" t="s">
        <v>547</v>
      </c>
      <c r="X432" s="9">
        <f ca="1">IFERROR(OFFSET(ITEM_RES!$A$5,MATCH(BUILDING!W432,ITEM_RES!$J$5:$J$226,0)-1,0),0)</f>
        <v>211020201</v>
      </c>
      <c r="Y432" s="11">
        <v>1</v>
      </c>
      <c r="Z432" s="84" t="s">
        <v>549</v>
      </c>
      <c r="AA432" s="9">
        <f ca="1">IFERROR(OFFSET(ITEM_RES!$A$5,MATCH(BUILDING!Z432,ITEM_RES!$J$5:$J$226,0)-1,0),0)</f>
        <v>211020301</v>
      </c>
      <c r="AC432" s="9" t="s">
        <v>527</v>
      </c>
      <c r="AD432" s="9">
        <v>8</v>
      </c>
      <c r="AF432" s="11">
        <f ca="1">IFERROR(OFFSET(MANOR_LEVEL!$B$1,MATCH(AG432-1,MANOR_LEVEL!$A:$A,0)-1,0),0)</f>
        <v>796000</v>
      </c>
      <c r="AG432" s="56">
        <v>12</v>
      </c>
      <c r="AI432" s="56">
        <f t="shared" ca="1" si="138"/>
        <v>10100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10100.01</v>
      </c>
      <c r="AK432" s="182">
        <f t="shared" ca="1" si="136"/>
        <v>15600</v>
      </c>
      <c r="AM432" s="11">
        <f t="shared" si="13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0</v>
      </c>
      <c r="AR432" s="10">
        <v>0</v>
      </c>
      <c r="AS432" s="56">
        <f t="shared" si="139"/>
        <v>2</v>
      </c>
      <c r="AU432" s="11">
        <f ca="1">IFERROR(OFFSET(ITEM_RES!$A$1,MATCH(AV432,ITEM_RES!$J:$J,0)-1,0),0)</f>
        <v>211020201</v>
      </c>
      <c r="AV432" s="10" t="s">
        <v>430</v>
      </c>
      <c r="AW432" s="11">
        <v>1000000</v>
      </c>
      <c r="AZ432" s="11">
        <f ca="1">IFERROR(OFFSET(ITEM_RES!$A$1,MATCH(BA432,ITEM_RES!$J:$J,0)-1,0),0)</f>
        <v>211020401</v>
      </c>
      <c r="BA432" s="10" t="s">
        <v>436</v>
      </c>
      <c r="BB432" s="11">
        <v>1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 t="s">
        <v>934</v>
      </c>
      <c r="N433" s="9" t="s">
        <v>952</v>
      </c>
      <c r="O433" s="9">
        <v>1</v>
      </c>
      <c r="P433" s="9">
        <v>15</v>
      </c>
      <c r="Q433" s="9" t="s">
        <v>1265</v>
      </c>
      <c r="U433" s="9" t="s">
        <v>704</v>
      </c>
      <c r="W433" s="84" t="s">
        <v>547</v>
      </c>
      <c r="X433" s="9">
        <f ca="1">IFERROR(OFFSET(ITEM_RES!$A$5,MATCH(BUILDING!W433,ITEM_RES!$J$5:$J$226,0)-1,0),0)</f>
        <v>211020201</v>
      </c>
      <c r="Y433" s="11">
        <v>1</v>
      </c>
      <c r="Z433" s="84" t="s">
        <v>549</v>
      </c>
      <c r="AA433" s="9">
        <f ca="1">IFERROR(OFFSET(ITEM_RES!$A$5,MATCH(BUILDING!Z433,ITEM_RES!$J$5:$J$226,0)-1,0),0)</f>
        <v>211020301</v>
      </c>
      <c r="AC433" s="9" t="s">
        <v>527</v>
      </c>
      <c r="AD433" s="9">
        <v>9</v>
      </c>
      <c r="AF433" s="11">
        <f ca="1">IFERROR(OFFSET(MANOR_LEVEL!$B$1,MATCH(AG433-1,MANOR_LEVEL!$A:$A,0)-1,0),0)</f>
        <v>1156400</v>
      </c>
      <c r="AG433" s="56">
        <v>13</v>
      </c>
      <c r="AI433" s="56">
        <f t="shared" ca="1" si="138"/>
        <v>15950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15950.01</v>
      </c>
      <c r="AK433" s="182">
        <f t="shared" ca="1" si="136"/>
        <v>26050</v>
      </c>
      <c r="AM433" s="11">
        <f t="shared" si="13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0</v>
      </c>
      <c r="AR433" s="10">
        <v>0</v>
      </c>
      <c r="AS433" s="56">
        <f t="shared" si="139"/>
        <v>2</v>
      </c>
      <c r="AU433" s="11">
        <f ca="1">IFERROR(OFFSET(ITEM_RES!$A$1,MATCH(AV433,ITEM_RES!$J:$J,0)-1,0),0)</f>
        <v>211020201</v>
      </c>
      <c r="AV433" s="10" t="s">
        <v>430</v>
      </c>
      <c r="AW433" s="11">
        <v>1580000</v>
      </c>
      <c r="AZ433" s="11">
        <f ca="1">IFERROR(OFFSET(ITEM_RES!$A$1,MATCH(BA433,ITEM_RES!$J:$J,0)-1,0),0)</f>
        <v>211020401</v>
      </c>
      <c r="BA433" s="10" t="s">
        <v>436</v>
      </c>
      <c r="BB433" s="11">
        <v>1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 t="s">
        <v>934</v>
      </c>
      <c r="N434" s="9" t="s">
        <v>952</v>
      </c>
      <c r="O434" s="9">
        <v>1</v>
      </c>
      <c r="P434" s="9">
        <v>15</v>
      </c>
      <c r="Q434" s="9" t="s">
        <v>1265</v>
      </c>
      <c r="U434" s="9" t="s">
        <v>704</v>
      </c>
      <c r="W434" s="84" t="s">
        <v>547</v>
      </c>
      <c r="X434" s="9">
        <f ca="1">IFERROR(OFFSET(ITEM_RES!$A$5,MATCH(BUILDING!W434,ITEM_RES!$J$5:$J$226,0)-1,0),0)</f>
        <v>211020201</v>
      </c>
      <c r="Y434" s="11">
        <v>1</v>
      </c>
      <c r="Z434" s="84" t="s">
        <v>549</v>
      </c>
      <c r="AA434" s="9">
        <f ca="1">IFERROR(OFFSET(ITEM_RES!$A$5,MATCH(BUILDING!Z434,ITEM_RES!$J$5:$J$226,0)-1,0),0)</f>
        <v>211020301</v>
      </c>
      <c r="AC434" s="9" t="s">
        <v>527</v>
      </c>
      <c r="AD434" s="9">
        <v>10</v>
      </c>
      <c r="AF434" s="11">
        <f ca="1">IFERROR(OFFSET(MANOR_LEVEL!$B$1,MATCH(AG434-1,MANOR_LEVEL!$A:$A,0)-1,0),0)</f>
        <v>1156400</v>
      </c>
      <c r="AG434" s="56">
        <v>13</v>
      </c>
      <c r="AI434" s="56">
        <f t="shared" ca="1" si="138"/>
        <v>22200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22200.01</v>
      </c>
      <c r="AK434" s="182">
        <f t="shared" ca="1" si="136"/>
        <v>38150</v>
      </c>
      <c r="AM434" s="11">
        <f t="shared" si="13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0</v>
      </c>
      <c r="AR434" s="10">
        <v>0</v>
      </c>
      <c r="AS434" s="56">
        <f t="shared" si="139"/>
        <v>2</v>
      </c>
      <c r="AU434" s="11">
        <f ca="1">IFERROR(OFFSET(ITEM_RES!$A$1,MATCH(AV434,ITEM_RES!$J:$J,0)-1,0),0)</f>
        <v>211020201</v>
      </c>
      <c r="AV434" s="10" t="s">
        <v>430</v>
      </c>
      <c r="AW434" s="11">
        <v>2200000</v>
      </c>
      <c r="AZ434" s="11">
        <f ca="1">IFERROR(OFFSET(ITEM_RES!$A$1,MATCH(BA434,ITEM_RES!$J:$J,0)-1,0),0)</f>
        <v>211020401</v>
      </c>
      <c r="BA434" s="10" t="s">
        <v>436</v>
      </c>
      <c r="BB434" s="11">
        <v>1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 t="s">
        <v>934</v>
      </c>
      <c r="N435" s="9" t="s">
        <v>952</v>
      </c>
      <c r="O435" s="9">
        <v>1</v>
      </c>
      <c r="P435" s="9">
        <v>15</v>
      </c>
      <c r="Q435" s="9" t="s">
        <v>1265</v>
      </c>
      <c r="U435" s="9" t="s">
        <v>704</v>
      </c>
      <c r="W435" s="84" t="s">
        <v>547</v>
      </c>
      <c r="X435" s="9">
        <f ca="1">IFERROR(OFFSET(ITEM_RES!$A$5,MATCH(BUILDING!W435,ITEM_RES!$J$5:$J$226,0)-1,0),0)</f>
        <v>211020201</v>
      </c>
      <c r="Y435" s="11">
        <v>1</v>
      </c>
      <c r="Z435" s="84" t="s">
        <v>549</v>
      </c>
      <c r="AA435" s="9">
        <f ca="1">IFERROR(OFFSET(ITEM_RES!$A$5,MATCH(BUILDING!Z435,ITEM_RES!$J$5:$J$226,0)-1,0),0)</f>
        <v>211020301</v>
      </c>
      <c r="AC435" s="9" t="s">
        <v>527</v>
      </c>
      <c r="AD435" s="9">
        <v>11</v>
      </c>
      <c r="AF435" s="11">
        <f ca="1">IFERROR(OFFSET(MANOR_LEVEL!$B$1,MATCH(AG435-1,MANOR_LEVEL!$A:$A,0)-1,0),0)</f>
        <v>1661200</v>
      </c>
      <c r="AG435" s="56">
        <v>14</v>
      </c>
      <c r="AI435" s="56">
        <f t="shared" ca="1" si="138"/>
        <v>44550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44550.01</v>
      </c>
      <c r="AK435" s="182">
        <f t="shared" ca="1" si="136"/>
        <v>66750</v>
      </c>
      <c r="AM435" s="11">
        <f t="shared" si="13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0</v>
      </c>
      <c r="AR435" s="10">
        <v>0</v>
      </c>
      <c r="AS435" s="56">
        <f t="shared" si="139"/>
        <v>3</v>
      </c>
      <c r="AU435" s="11">
        <f ca="1">IFERROR(OFFSET(ITEM_RES!$A$1,MATCH(AV435,ITEM_RES!$J:$J,0)-1,0),0)</f>
        <v>211020201</v>
      </c>
      <c r="AV435" s="10" t="s">
        <v>430</v>
      </c>
      <c r="AW435" s="11">
        <v>4400000</v>
      </c>
      <c r="AZ435" s="11">
        <f ca="1">IFERROR(OFFSET(ITEM_RES!$A$1,MATCH(BA435,ITEM_RES!$J:$J,0)-1,0),0)</f>
        <v>211020401</v>
      </c>
      <c r="BA435" s="10" t="s">
        <v>436</v>
      </c>
      <c r="BB435" s="11">
        <v>1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213011201</v>
      </c>
      <c r="BK435" s="10" t="s">
        <v>467</v>
      </c>
      <c r="BL435" s="11">
        <v>1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 t="s">
        <v>934</v>
      </c>
      <c r="N436" s="9" t="s">
        <v>952</v>
      </c>
      <c r="O436" s="9">
        <v>1</v>
      </c>
      <c r="P436" s="9">
        <v>15</v>
      </c>
      <c r="Q436" s="9" t="s">
        <v>1265</v>
      </c>
      <c r="U436" s="9" t="s">
        <v>704</v>
      </c>
      <c r="W436" s="84" t="s">
        <v>547</v>
      </c>
      <c r="X436" s="9">
        <f ca="1">IFERROR(OFFSET(ITEM_RES!$A$5,MATCH(BUILDING!W436,ITEM_RES!$J$5:$J$226,0)-1,0),0)</f>
        <v>211020201</v>
      </c>
      <c r="Y436" s="11">
        <v>1</v>
      </c>
      <c r="Z436" s="84" t="s">
        <v>549</v>
      </c>
      <c r="AA436" s="9">
        <f ca="1">IFERROR(OFFSET(ITEM_RES!$A$5,MATCH(BUILDING!Z436,ITEM_RES!$J$5:$J$226,0)-1,0),0)</f>
        <v>211020301</v>
      </c>
      <c r="AC436" s="9" t="s">
        <v>527</v>
      </c>
      <c r="AD436" s="9">
        <v>12</v>
      </c>
      <c r="AF436" s="11">
        <f ca="1">IFERROR(OFFSET(MANOR_LEVEL!$B$1,MATCH(AG436-1,MANOR_LEVEL!$A:$A,0)-1,0),0)</f>
        <v>2622400</v>
      </c>
      <c r="AG436" s="56">
        <v>15</v>
      </c>
      <c r="AI436" s="56">
        <f t="shared" ca="1" si="138"/>
        <v>52300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52300.01</v>
      </c>
      <c r="AK436" s="182">
        <f t="shared" ca="1" si="136"/>
        <v>96850</v>
      </c>
      <c r="AM436" s="11">
        <f t="shared" si="13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0</v>
      </c>
      <c r="AR436" s="10">
        <v>0</v>
      </c>
      <c r="AS436" s="56">
        <f t="shared" si="139"/>
        <v>2</v>
      </c>
      <c r="AU436" s="11">
        <f ca="1">IFERROR(OFFSET(ITEM_RES!$A$1,MATCH(AV436,ITEM_RES!$J:$J,0)-1,0),0)</f>
        <v>211020201</v>
      </c>
      <c r="AV436" s="10" t="s">
        <v>430</v>
      </c>
      <c r="AW436" s="11">
        <v>5200000</v>
      </c>
      <c r="AZ436" s="11">
        <f ca="1">IFERROR(OFFSET(ITEM_RES!$A$1,MATCH(BA436,ITEM_RES!$J:$J,0)-1,0),0)</f>
        <v>211020401</v>
      </c>
      <c r="BA436" s="10" t="s">
        <v>436</v>
      </c>
      <c r="BB436" s="11">
        <v>1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 t="s">
        <v>934</v>
      </c>
      <c r="N437" s="9" t="s">
        <v>952</v>
      </c>
      <c r="O437" s="9">
        <v>1</v>
      </c>
      <c r="P437" s="9">
        <v>15</v>
      </c>
      <c r="Q437" s="9" t="s">
        <v>1265</v>
      </c>
      <c r="U437" s="9" t="s">
        <v>704</v>
      </c>
      <c r="W437" s="84" t="s">
        <v>547</v>
      </c>
      <c r="X437" s="9">
        <f ca="1">IFERROR(OFFSET(ITEM_RES!$A$5,MATCH(BUILDING!W437,ITEM_RES!$J$5:$J$226,0)-1,0),0)</f>
        <v>211020201</v>
      </c>
      <c r="Y437" s="11">
        <v>1</v>
      </c>
      <c r="Z437" s="84" t="s">
        <v>549</v>
      </c>
      <c r="AA437" s="9">
        <f ca="1">IFERROR(OFFSET(ITEM_RES!$A$5,MATCH(BUILDING!Z437,ITEM_RES!$J$5:$J$226,0)-1,0),0)</f>
        <v>211020301</v>
      </c>
      <c r="AC437" s="9" t="s">
        <v>527</v>
      </c>
      <c r="AD437" s="9">
        <v>13</v>
      </c>
      <c r="AF437" s="11">
        <f ca="1">IFERROR(OFFSET(MANOR_LEVEL!$B$1,MATCH(AG437-1,MANOR_LEVEL!$A:$A,0)-1,0),0)</f>
        <v>4232000</v>
      </c>
      <c r="AG437" s="56">
        <v>16</v>
      </c>
      <c r="AI437" s="56">
        <f t="shared" ca="1" si="138"/>
        <v>86350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86350.01</v>
      </c>
      <c r="AK437" s="182">
        <f t="shared" ca="1" si="136"/>
        <v>138650</v>
      </c>
      <c r="AM437" s="11">
        <f t="shared" si="13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0</v>
      </c>
      <c r="AR437" s="10">
        <v>0</v>
      </c>
      <c r="AS437" s="56">
        <f t="shared" si="139"/>
        <v>2</v>
      </c>
      <c r="AU437" s="11">
        <f ca="1">IFERROR(OFFSET(ITEM_RES!$A$1,MATCH(AV437,ITEM_RES!$J:$J,0)-1,0),0)</f>
        <v>211020201</v>
      </c>
      <c r="AV437" s="10" t="s">
        <v>430</v>
      </c>
      <c r="AW437" s="11">
        <v>8600000</v>
      </c>
      <c r="AZ437" s="11">
        <f ca="1">IFERROR(OFFSET(ITEM_RES!$A$1,MATCH(BA437,ITEM_RES!$J:$J,0)-1,0),0)</f>
        <v>211020401</v>
      </c>
      <c r="BA437" s="10" t="s">
        <v>436</v>
      </c>
      <c r="BB437" s="11">
        <v>1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 t="s">
        <v>934</v>
      </c>
      <c r="N438" s="9" t="s">
        <v>952</v>
      </c>
      <c r="O438" s="9">
        <v>1</v>
      </c>
      <c r="P438" s="9">
        <v>15</v>
      </c>
      <c r="Q438" s="9" t="s">
        <v>1265</v>
      </c>
      <c r="U438" s="9" t="s">
        <v>704</v>
      </c>
      <c r="W438" s="84" t="s">
        <v>547</v>
      </c>
      <c r="X438" s="9">
        <f ca="1">IFERROR(OFFSET(ITEM_RES!$A$5,MATCH(BUILDING!W438,ITEM_RES!$J$5:$J$226,0)-1,0),0)</f>
        <v>211020201</v>
      </c>
      <c r="Y438" s="11">
        <v>1</v>
      </c>
      <c r="Z438" s="84" t="s">
        <v>549</v>
      </c>
      <c r="AA438" s="9">
        <f ca="1">IFERROR(OFFSET(ITEM_RES!$A$5,MATCH(BUILDING!Z438,ITEM_RES!$J$5:$J$226,0)-1,0),0)</f>
        <v>211020301</v>
      </c>
      <c r="AC438" s="9" t="s">
        <v>527</v>
      </c>
      <c r="AD438" s="9">
        <v>14</v>
      </c>
      <c r="AF438" s="11">
        <f ca="1">IFERROR(OFFSET(MANOR_LEVEL!$B$1,MATCH(AG438-1,MANOR_LEVEL!$A:$A,0)-1,0),0)</f>
        <v>7450000</v>
      </c>
      <c r="AG438" s="56">
        <v>17</v>
      </c>
      <c r="AI438" s="56">
        <f t="shared" ca="1" si="138"/>
        <v>2640450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2640450.0099999998</v>
      </c>
      <c r="AK438" s="182">
        <f t="shared" ca="1" si="136"/>
        <v>2726800</v>
      </c>
      <c r="AM438" s="11">
        <f t="shared" si="13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0</v>
      </c>
      <c r="AR438" s="10">
        <v>0</v>
      </c>
      <c r="AS438" s="56">
        <f t="shared" si="139"/>
        <v>2</v>
      </c>
      <c r="AU438" s="11">
        <f ca="1">IFERROR(OFFSET(ITEM_RES!$A$1,MATCH(AV438,ITEM_RES!$J:$J,0)-1,0),0)</f>
        <v>211020301</v>
      </c>
      <c r="AV438" s="10" t="s">
        <v>1197</v>
      </c>
      <c r="AW438" s="11">
        <v>13200000</v>
      </c>
      <c r="AZ438" s="11">
        <f ca="1">IFERROR(OFFSET(ITEM_RES!$A$1,MATCH(BA438,ITEM_RES!$J:$J,0)-1,0),0)</f>
        <v>211020401</v>
      </c>
      <c r="BA438" s="10" t="s">
        <v>436</v>
      </c>
      <c r="BB438" s="11">
        <v>1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 t="s">
        <v>934</v>
      </c>
      <c r="N439" s="9" t="s">
        <v>952</v>
      </c>
      <c r="O439" s="9">
        <v>1</v>
      </c>
      <c r="P439" s="9">
        <v>15</v>
      </c>
      <c r="Q439" s="9" t="s">
        <v>1265</v>
      </c>
      <c r="U439" s="9" t="s">
        <v>704</v>
      </c>
      <c r="W439" s="84" t="s">
        <v>547</v>
      </c>
      <c r="X439" s="9">
        <f ca="1">IFERROR(OFFSET(ITEM_RES!$A$5,MATCH(BUILDING!W439,ITEM_RES!$J$5:$J$226,0)-1,0),0)</f>
        <v>211020201</v>
      </c>
      <c r="Y439" s="11">
        <v>1</v>
      </c>
      <c r="Z439" s="84" t="s">
        <v>549</v>
      </c>
      <c r="AA439" s="9">
        <f ca="1">IFERROR(OFFSET(ITEM_RES!$A$5,MATCH(BUILDING!Z439,ITEM_RES!$J$5:$J$226,0)-1,0),0)</f>
        <v>211020301</v>
      </c>
      <c r="AC439" s="9" t="s">
        <v>527</v>
      </c>
      <c r="AD439" s="9">
        <v>15</v>
      </c>
      <c r="AF439" s="11">
        <f ca="1">IFERROR(OFFSET(MANOR_LEVEL!$B$1,MATCH(AG439-1,MANOR_LEVEL!$A:$A,0)-1,0),0)</f>
        <v>12172400</v>
      </c>
      <c r="AG439" s="56">
        <v>18</v>
      </c>
      <c r="AI439" s="56">
        <f t="shared" ca="1" si="138"/>
        <v>4400550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4400550.2</v>
      </c>
      <c r="AK439" s="182">
        <f t="shared" ca="1" si="136"/>
        <v>7041000</v>
      </c>
      <c r="AM439" s="11">
        <f t="shared" si="13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0</v>
      </c>
      <c r="AR439" s="10">
        <v>0</v>
      </c>
      <c r="AS439" s="56">
        <f t="shared" si="139"/>
        <v>2</v>
      </c>
      <c r="AU439" s="11">
        <f ca="1">IFERROR(OFFSET(ITEM_RES!$A$1,MATCH(AV439,ITEM_RES!$J:$J,0)-1,0),0)</f>
        <v>211020301</v>
      </c>
      <c r="AV439" s="10" t="s">
        <v>1197</v>
      </c>
      <c r="AW439" s="11">
        <v>22000000</v>
      </c>
      <c r="AZ439" s="11">
        <f ca="1">IFERROR(OFFSET(ITEM_RES!$A$1,MATCH(BA439,ITEM_RES!$J:$J,0)-1,0),0)</f>
        <v>211020501</v>
      </c>
      <c r="BA439" s="10" t="s">
        <v>425</v>
      </c>
      <c r="BB439" s="11">
        <v>1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 t="s">
        <v>934</v>
      </c>
      <c r="N440" s="9" t="s">
        <v>952</v>
      </c>
      <c r="O440" s="9">
        <v>0</v>
      </c>
      <c r="P440" s="9">
        <v>15</v>
      </c>
      <c r="Q440" s="9" t="s">
        <v>1265</v>
      </c>
      <c r="U440" s="9" t="s">
        <v>704</v>
      </c>
      <c r="W440" s="84" t="s">
        <v>547</v>
      </c>
      <c r="X440" s="9">
        <f ca="1">IFERROR(OFFSET(ITEM_RES!$A$5,MATCH(BUILDING!W440,ITEM_RES!$J$5:$J$226,0)-1,0),0)</f>
        <v>211020201</v>
      </c>
      <c r="Y440" s="11">
        <v>1</v>
      </c>
      <c r="Z440" s="84" t="s">
        <v>549</v>
      </c>
      <c r="AA440" s="9">
        <f ca="1">IFERROR(OFFSET(ITEM_RES!$A$5,MATCH(BUILDING!Z440,ITEM_RES!$J$5:$J$226,0)-1,0),0)</f>
        <v>211020301</v>
      </c>
      <c r="AC440" s="9" t="s">
        <v>527</v>
      </c>
      <c r="AD440" s="9">
        <v>16</v>
      </c>
      <c r="AF440" s="11">
        <f ca="1">IFERROR(OFFSET(MANOR_LEVEL!$B$1,MATCH(AG440-1,MANOR_LEVEL!$A:$A,0)-1,0),0)</f>
        <v>12172400</v>
      </c>
      <c r="AG440" s="56">
        <v>18</v>
      </c>
      <c r="AI440" s="56">
        <f t="shared" ca="1" si="138"/>
        <v>6000700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6000700.2000000002</v>
      </c>
      <c r="AK440" s="182">
        <f t="shared" ca="1" si="136"/>
        <v>10401250</v>
      </c>
      <c r="AM440" s="11">
        <f t="shared" si="13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0</v>
      </c>
      <c r="AR440" s="10">
        <v>0</v>
      </c>
      <c r="AS440" s="56">
        <f t="shared" si="139"/>
        <v>2</v>
      </c>
      <c r="AU440" s="11">
        <f ca="1">IFERROR(OFFSET(ITEM_RES!$A$1,MATCH(AV440,ITEM_RES!$J:$J,0)-1,0),0)</f>
        <v>211020301</v>
      </c>
      <c r="AV440" s="10" t="s">
        <v>1197</v>
      </c>
      <c r="AW440" s="11">
        <v>30000000</v>
      </c>
      <c r="AZ440" s="11">
        <f ca="1">IFERROR(OFFSET(ITEM_RES!$A$1,MATCH(BA440,ITEM_RES!$J:$J,0)-1,0),0)</f>
        <v>211020501</v>
      </c>
      <c r="BA440" s="10" t="s">
        <v>425</v>
      </c>
      <c r="BB440" s="11">
        <v>1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 t="s">
        <v>934</v>
      </c>
      <c r="N441" s="9" t="s">
        <v>952</v>
      </c>
      <c r="O441" s="9">
        <v>0</v>
      </c>
      <c r="P441" s="9">
        <v>15</v>
      </c>
      <c r="Q441" s="9" t="s">
        <v>1265</v>
      </c>
      <c r="U441" s="9" t="s">
        <v>704</v>
      </c>
      <c r="W441" s="84" t="s">
        <v>547</v>
      </c>
      <c r="X441" s="9">
        <f ca="1">IFERROR(OFFSET(ITEM_RES!$A$5,MATCH(BUILDING!W441,ITEM_RES!$J$5:$J$226,0)-1,0),0)</f>
        <v>211020201</v>
      </c>
      <c r="Y441" s="11">
        <v>1</v>
      </c>
      <c r="Z441" s="84" t="s">
        <v>549</v>
      </c>
      <c r="AA441" s="9">
        <f ca="1">IFERROR(OFFSET(ITEM_RES!$A$5,MATCH(BUILDING!Z441,ITEM_RES!$J$5:$J$226,0)-1,0),0)</f>
        <v>211020301</v>
      </c>
      <c r="AC441" s="9" t="s">
        <v>527</v>
      </c>
      <c r="AD441" s="9">
        <v>17</v>
      </c>
      <c r="AF441" s="11">
        <f ca="1">IFERROR(OFFSET(MANOR_LEVEL!$B$1,MATCH(AG441-1,MANOR_LEVEL!$A:$A,0)-1,0),0)</f>
        <v>12172400</v>
      </c>
      <c r="AG441" s="56">
        <v>18</v>
      </c>
      <c r="AI441" s="56">
        <f t="shared" ca="1" si="138"/>
        <v>9200850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9200850.1999999993</v>
      </c>
      <c r="AK441" s="182">
        <f t="shared" ca="1" si="136"/>
        <v>15201550</v>
      </c>
      <c r="AM441" s="11">
        <f t="shared" si="13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0</v>
      </c>
      <c r="AR441" s="10">
        <v>0</v>
      </c>
      <c r="AS441" s="56">
        <f t="shared" si="139"/>
        <v>2</v>
      </c>
      <c r="AU441" s="11">
        <f ca="1">IFERROR(OFFSET(ITEM_RES!$A$1,MATCH(AV441,ITEM_RES!$J:$J,0)-1,0),0)</f>
        <v>211020301</v>
      </c>
      <c r="AV441" s="10" t="s">
        <v>1197</v>
      </c>
      <c r="AW441" s="11">
        <v>46000000</v>
      </c>
      <c r="AZ441" s="11">
        <f ca="1">IFERROR(OFFSET(ITEM_RES!$A$1,MATCH(BA441,ITEM_RES!$J:$J,0)-1,0),0)</f>
        <v>211020501</v>
      </c>
      <c r="BA441" s="10" t="s">
        <v>425</v>
      </c>
      <c r="BB441" s="11">
        <v>1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 t="s">
        <v>934</v>
      </c>
      <c r="N442" s="9" t="s">
        <v>952</v>
      </c>
      <c r="O442" s="9">
        <v>0</v>
      </c>
      <c r="P442" s="9">
        <v>15</v>
      </c>
      <c r="Q442" s="9" t="s">
        <v>1265</v>
      </c>
      <c r="U442" s="9" t="s">
        <v>704</v>
      </c>
      <c r="W442" s="84" t="s">
        <v>547</v>
      </c>
      <c r="X442" s="9">
        <f ca="1">IFERROR(OFFSET(ITEM_RES!$A$5,MATCH(BUILDING!W442,ITEM_RES!$J$5:$J$226,0)-1,0),0)</f>
        <v>211020201</v>
      </c>
      <c r="Y442" s="11">
        <v>1</v>
      </c>
      <c r="Z442" s="84" t="s">
        <v>549</v>
      </c>
      <c r="AA442" s="9">
        <f ca="1">IFERROR(OFFSET(ITEM_RES!$A$5,MATCH(BUILDING!Z442,ITEM_RES!$J$5:$J$226,0)-1,0),0)</f>
        <v>211020301</v>
      </c>
      <c r="AC442" s="9" t="s">
        <v>527</v>
      </c>
      <c r="AD442" s="9">
        <v>18</v>
      </c>
      <c r="AF442" s="11">
        <f ca="1">IFERROR(OFFSET(MANOR_LEVEL!$B$1,MATCH(AG442-1,MANOR_LEVEL!$A:$A,0)-1,0),0)</f>
        <v>12172400</v>
      </c>
      <c r="AG442" s="56">
        <v>18</v>
      </c>
      <c r="AI442" s="56">
        <f t="shared" ca="1" si="138"/>
        <v>14001050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14001050.199999999</v>
      </c>
      <c r="AK442" s="182">
        <f t="shared" ca="1" si="136"/>
        <v>23201900</v>
      </c>
      <c r="AM442" s="11">
        <f t="shared" si="13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0</v>
      </c>
      <c r="AR442" s="10">
        <v>0</v>
      </c>
      <c r="AS442" s="56">
        <f t="shared" si="139"/>
        <v>2</v>
      </c>
      <c r="AU442" s="11">
        <f ca="1">IFERROR(OFFSET(ITEM_RES!$A$1,MATCH(AV442,ITEM_RES!$J:$J,0)-1,0),0)</f>
        <v>211020301</v>
      </c>
      <c r="AV442" s="10" t="s">
        <v>1197</v>
      </c>
      <c r="AW442" s="11">
        <v>70000000</v>
      </c>
      <c r="AZ442" s="11">
        <f ca="1">IFERROR(OFFSET(ITEM_RES!$A$1,MATCH(BA442,ITEM_RES!$J:$J,0)-1,0),0)</f>
        <v>211020501</v>
      </c>
      <c r="BA442" s="10" t="s">
        <v>425</v>
      </c>
      <c r="BB442" s="11">
        <v>1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 t="s">
        <v>934</v>
      </c>
      <c r="N443" s="9" t="s">
        <v>952</v>
      </c>
      <c r="O443" s="9">
        <v>0</v>
      </c>
      <c r="P443" s="9">
        <v>15</v>
      </c>
      <c r="Q443" s="9" t="s">
        <v>1265</v>
      </c>
      <c r="U443" s="9" t="s">
        <v>704</v>
      </c>
      <c r="W443" s="84" t="s">
        <v>547</v>
      </c>
      <c r="X443" s="9">
        <f ca="1">IFERROR(OFFSET(ITEM_RES!$A$5,MATCH(BUILDING!W443,ITEM_RES!$J$5:$J$226,0)-1,0),0)</f>
        <v>211020201</v>
      </c>
      <c r="Y443" s="11">
        <v>1</v>
      </c>
      <c r="Z443" s="84" t="s">
        <v>549</v>
      </c>
      <c r="AA443" s="9">
        <f ca="1">IFERROR(OFFSET(ITEM_RES!$A$5,MATCH(BUILDING!Z443,ITEM_RES!$J$5:$J$226,0)-1,0),0)</f>
        <v>211020301</v>
      </c>
      <c r="AC443" s="9" t="s">
        <v>527</v>
      </c>
      <c r="AD443" s="9">
        <v>19</v>
      </c>
      <c r="AF443" s="11">
        <f ca="1">IFERROR(OFFSET(MANOR_LEVEL!$B$1,MATCH(AG443-1,MANOR_LEVEL!$A:$A,0)-1,0),0)</f>
        <v>12172400</v>
      </c>
      <c r="AG443" s="56">
        <v>18</v>
      </c>
      <c r="AI443" s="56">
        <f t="shared" ca="1" si="138"/>
        <v>19201250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19201250.199999999</v>
      </c>
      <c r="AK443" s="182">
        <f t="shared" ca="1" si="136"/>
        <v>33202300</v>
      </c>
      <c r="AM443" s="11">
        <f t="shared" si="13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0</v>
      </c>
      <c r="AR443" s="10">
        <v>0</v>
      </c>
      <c r="AS443" s="56">
        <f t="shared" si="139"/>
        <v>2</v>
      </c>
      <c r="AU443" s="11">
        <f ca="1">IFERROR(OFFSET(ITEM_RES!$A$1,MATCH(AV443,ITEM_RES!$J:$J,0)-1,0),0)</f>
        <v>211020301</v>
      </c>
      <c r="AV443" s="10" t="s">
        <v>1197</v>
      </c>
      <c r="AW443" s="11">
        <v>96000000</v>
      </c>
      <c r="AZ443" s="11">
        <f ca="1">IFERROR(OFFSET(ITEM_RES!$A$1,MATCH(BA443,ITEM_RES!$J:$J,0)-1,0),0)</f>
        <v>211020501</v>
      </c>
      <c r="BA443" s="10" t="s">
        <v>425</v>
      </c>
      <c r="BB443" s="11">
        <v>1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 t="s">
        <v>934</v>
      </c>
      <c r="N444" s="9" t="s">
        <v>952</v>
      </c>
      <c r="O444" s="9">
        <v>0</v>
      </c>
      <c r="P444" s="9">
        <v>15</v>
      </c>
      <c r="Q444" s="9" t="s">
        <v>1265</v>
      </c>
      <c r="U444" s="9" t="s">
        <v>704</v>
      </c>
      <c r="W444" s="84" t="s">
        <v>547</v>
      </c>
      <c r="X444" s="9">
        <f ca="1">IFERROR(OFFSET(ITEM_RES!$A$5,MATCH(BUILDING!W444,ITEM_RES!$J$5:$J$226,0)-1,0),0)</f>
        <v>211020201</v>
      </c>
      <c r="Y444" s="11">
        <v>1</v>
      </c>
      <c r="Z444" s="84" t="s">
        <v>549</v>
      </c>
      <c r="AA444" s="9">
        <f ca="1">IFERROR(OFFSET(ITEM_RES!$A$5,MATCH(BUILDING!Z444,ITEM_RES!$J$5:$J$226,0)-1,0),0)</f>
        <v>211020301</v>
      </c>
      <c r="AC444" s="9" t="s">
        <v>527</v>
      </c>
      <c r="AD444" s="9">
        <v>20</v>
      </c>
      <c r="AF444" s="11">
        <f ca="1">IFERROR(OFFSET(MANOR_LEVEL!$B$1,MATCH(AG444-1,MANOR_LEVEL!$A:$A,0)-1,0),0)</f>
        <v>12172400</v>
      </c>
      <c r="AG444" s="56">
        <v>18</v>
      </c>
      <c r="AI444" s="56">
        <f t="shared" ca="1" si="138"/>
        <v>30401500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30401500.199999999</v>
      </c>
      <c r="AK444" s="182">
        <f t="shared" ca="1" si="136"/>
        <v>49602750</v>
      </c>
      <c r="AM444" s="11">
        <f t="shared" si="13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0</v>
      </c>
      <c r="AR444" s="10">
        <v>0</v>
      </c>
      <c r="AS444" s="56">
        <f t="shared" si="139"/>
        <v>2</v>
      </c>
      <c r="AU444" s="11">
        <f ca="1">IFERROR(OFFSET(ITEM_RES!$A$1,MATCH(AV444,ITEM_RES!$J:$J,0)-1,0),0)</f>
        <v>211020301</v>
      </c>
      <c r="AV444" s="10" t="s">
        <v>1197</v>
      </c>
      <c r="AW444" s="11">
        <v>152000000</v>
      </c>
      <c r="AZ444" s="11">
        <f ca="1">IFERROR(OFFSET(ITEM_RES!$A$1,MATCH(BA444,ITEM_RES!$J:$J,0)-1,0),0)</f>
        <v>211020501</v>
      </c>
      <c r="BA444" s="10" t="s">
        <v>425</v>
      </c>
      <c r="BB444" s="11">
        <v>1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/>
      <c r="N445" s="16"/>
      <c r="O445" s="16">
        <v>1</v>
      </c>
      <c r="P445" s="16">
        <v>15</v>
      </c>
      <c r="Q445" s="140"/>
      <c r="R445" s="17"/>
      <c r="S445" s="17"/>
      <c r="T445" s="18"/>
      <c r="U445" s="16" t="s">
        <v>705</v>
      </c>
      <c r="V445" s="78"/>
      <c r="W445" s="86"/>
      <c r="X445" s="16">
        <f ca="1">IFERROR(OFFSET(ITEM_RES!$A$5,MATCH(BUILDING!W445,ITEM_RES!$J$5:$J$226,0)-1,0),0)</f>
        <v>0</v>
      </c>
      <c r="Y445" s="18"/>
      <c r="Z445" s="86"/>
      <c r="AA445" s="16">
        <f ca="1">IFERROR(OFFSET(ITEM_RES!$A$5,MATCH(BUILDING!Z445,ITEM_RES!$J$5:$J$226,0)-1,0),0)</f>
        <v>0</v>
      </c>
      <c r="AB445" s="78"/>
      <c r="AC445" s="16" t="s">
        <v>528</v>
      </c>
      <c r="AD445" s="16">
        <v>1</v>
      </c>
      <c r="AE445" s="78"/>
      <c r="AF445" s="18">
        <f ca="1">IFERROR(OFFSET(MANOR_LEVEL!$B$1,MATCH(AG445-1,MANOR_LEVEL!$A:$A,0)-1,0),0)</f>
        <v>0</v>
      </c>
      <c r="AG445" s="57">
        <v>1</v>
      </c>
      <c r="AH445" s="78"/>
      <c r="AI445" s="57">
        <f t="shared" ca="1" si="138"/>
        <v>105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105.01</v>
      </c>
      <c r="AK445" s="184">
        <f ca="1">AI445</f>
        <v>105</v>
      </c>
      <c r="AL445" s="78"/>
      <c r="AM445" s="18">
        <f t="shared" si="13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0</v>
      </c>
      <c r="AR445" s="17">
        <v>0</v>
      </c>
      <c r="AS445" s="57">
        <f t="shared" si="139"/>
        <v>2</v>
      </c>
      <c r="AT445" s="18"/>
      <c r="AU445" s="18">
        <f ca="1">IFERROR(OFFSET(ITEM_RES!$A$1,MATCH(AV445,ITEM_RES!$J:$J,0)-1,0),0)</f>
        <v>211020401</v>
      </c>
      <c r="AV445" s="17" t="s">
        <v>436</v>
      </c>
      <c r="AW445" s="18">
        <v>1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452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O446" s="9">
        <v>1</v>
      </c>
      <c r="P446" s="9">
        <v>15</v>
      </c>
      <c r="Q446" s="141"/>
      <c r="U446" s="9" t="s">
        <v>705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528</v>
      </c>
      <c r="AD446" s="9">
        <v>2</v>
      </c>
      <c r="AF446" s="11">
        <f ca="1">IFERROR(OFFSET(MANOR_LEVEL!$B$1,MATCH(AG446-1,MANOR_LEVEL!$A:$A,0)-1,0),0)</f>
        <v>0</v>
      </c>
      <c r="AG446" s="56">
        <v>1</v>
      </c>
      <c r="AI446" s="56">
        <f t="shared" ca="1" si="138"/>
        <v>10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10.01</v>
      </c>
      <c r="AK446" s="182">
        <f ca="1">AI445+AI446</f>
        <v>115</v>
      </c>
      <c r="AM446" s="11">
        <f t="shared" si="13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0</v>
      </c>
      <c r="AR446" s="10">
        <v>0</v>
      </c>
      <c r="AS446" s="56">
        <f t="shared" si="139"/>
        <v>1</v>
      </c>
      <c r="AU446" s="11">
        <f ca="1">IFERROR(OFFSET(ITEM_RES!$A$1,MATCH(AV446,ITEM_RES!$J:$J,0)-1,0),0)</f>
        <v>211020401</v>
      </c>
      <c r="AV446" s="10" t="s">
        <v>436</v>
      </c>
      <c r="AW446" s="11">
        <v>1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O447" s="9">
        <v>1</v>
      </c>
      <c r="P447" s="9">
        <v>15</v>
      </c>
      <c r="Q447" s="141"/>
      <c r="U447" s="9" t="s">
        <v>705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528</v>
      </c>
      <c r="AD447" s="9">
        <v>3</v>
      </c>
      <c r="AF447" s="11">
        <f ca="1">IFERROR(OFFSET(MANOR_LEVEL!$B$1,MATCH(AG447-1,MANOR_LEVEL!$A:$A,0)-1,0),0)</f>
        <v>0</v>
      </c>
      <c r="AG447" s="56">
        <v>1</v>
      </c>
      <c r="AI447" s="56">
        <f t="shared" ca="1" si="138"/>
        <v>15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15.01</v>
      </c>
      <c r="AK447" s="182">
        <f t="shared" ref="AK447:AK464" ca="1" si="140">AI446+AI447</f>
        <v>25</v>
      </c>
      <c r="AM447" s="11">
        <f t="shared" si="13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0</v>
      </c>
      <c r="AR447" s="10">
        <v>0</v>
      </c>
      <c r="AS447" s="56">
        <f t="shared" si="139"/>
        <v>1</v>
      </c>
      <c r="AU447" s="11">
        <f ca="1">IFERROR(OFFSET(ITEM_RES!$A$1,MATCH(AV447,ITEM_RES!$J:$J,0)-1,0),0)</f>
        <v>211020401</v>
      </c>
      <c r="AV447" s="10" t="s">
        <v>436</v>
      </c>
      <c r="AW447" s="11">
        <v>1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O448" s="9">
        <v>1</v>
      </c>
      <c r="P448" s="9">
        <v>15</v>
      </c>
      <c r="Q448" s="141"/>
      <c r="U448" s="9" t="s">
        <v>705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528</v>
      </c>
      <c r="AD448" s="9">
        <v>4</v>
      </c>
      <c r="AF448" s="11">
        <f ca="1">IFERROR(OFFSET(MANOR_LEVEL!$B$1,MATCH(AG448-1,MANOR_LEVEL!$A:$A,0)-1,0),0)</f>
        <v>444</v>
      </c>
      <c r="AG448" s="56">
        <v>2</v>
      </c>
      <c r="AI448" s="56">
        <f t="shared" ca="1" si="138"/>
        <v>25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25.01</v>
      </c>
      <c r="AK448" s="182">
        <f t="shared" ca="1" si="140"/>
        <v>40</v>
      </c>
      <c r="AM448" s="11">
        <f t="shared" si="13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0</v>
      </c>
      <c r="AR448" s="10">
        <v>0</v>
      </c>
      <c r="AS448" s="56">
        <f t="shared" si="139"/>
        <v>1</v>
      </c>
      <c r="AU448" s="11">
        <f ca="1">IFERROR(OFFSET(ITEM_RES!$A$1,MATCH(AV448,ITEM_RES!$J:$J,0)-1,0),0)</f>
        <v>211020401</v>
      </c>
      <c r="AV448" s="10" t="s">
        <v>436</v>
      </c>
      <c r="AW448" s="11">
        <v>1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O449" s="9">
        <v>1</v>
      </c>
      <c r="P449" s="9">
        <v>15</v>
      </c>
      <c r="Q449" s="141"/>
      <c r="U449" s="9" t="s">
        <v>705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528</v>
      </c>
      <c r="AD449" s="9">
        <v>5</v>
      </c>
      <c r="AF449" s="11">
        <f ca="1">IFERROR(OFFSET(MANOR_LEVEL!$B$1,MATCH(AG449-1,MANOR_LEVEL!$A:$A,0)-1,0),0)</f>
        <v>444</v>
      </c>
      <c r="AG449" s="56">
        <v>2</v>
      </c>
      <c r="AI449" s="56">
        <f t="shared" ca="1" si="138"/>
        <v>40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40.01</v>
      </c>
      <c r="AK449" s="182">
        <f t="shared" ca="1" si="140"/>
        <v>65</v>
      </c>
      <c r="AM449" s="11">
        <f t="shared" si="13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0</v>
      </c>
      <c r="AR449" s="10">
        <v>0</v>
      </c>
      <c r="AS449" s="56">
        <f t="shared" si="139"/>
        <v>1</v>
      </c>
      <c r="AU449" s="11">
        <f ca="1">IFERROR(OFFSET(ITEM_RES!$A$1,MATCH(AV449,ITEM_RES!$J:$J,0)-1,0),0)</f>
        <v>211020401</v>
      </c>
      <c r="AV449" s="10" t="s">
        <v>436</v>
      </c>
      <c r="AW449" s="11">
        <v>1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O450" s="9">
        <v>1</v>
      </c>
      <c r="P450" s="9">
        <v>15</v>
      </c>
      <c r="Q450" s="141"/>
      <c r="U450" s="9" t="s">
        <v>705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528</v>
      </c>
      <c r="AD450" s="9">
        <v>6</v>
      </c>
      <c r="AF450" s="11">
        <f ca="1">IFERROR(OFFSET(MANOR_LEVEL!$B$1,MATCH(AG450-1,MANOR_LEVEL!$A:$A,0)-1,0),0)</f>
        <v>444</v>
      </c>
      <c r="AG450" s="56">
        <v>2</v>
      </c>
      <c r="AI450" s="56">
        <f t="shared" ca="1" si="138"/>
        <v>50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50.01</v>
      </c>
      <c r="AK450" s="182">
        <f t="shared" ca="1" si="140"/>
        <v>90</v>
      </c>
      <c r="AM450" s="11">
        <f t="shared" si="137"/>
        <v>30</v>
      </c>
      <c r="AN450" s="10">
        <v>30</v>
      </c>
      <c r="AO450" s="11">
        <f t="shared" ref="AO450:AQ513" si="144">ROUND(AP450,0)</f>
        <v>50</v>
      </c>
      <c r="AP450" s="10">
        <v>50</v>
      </c>
      <c r="AQ450" s="11">
        <f t="shared" si="144"/>
        <v>0</v>
      </c>
      <c r="AR450" s="10">
        <v>0</v>
      </c>
      <c r="AS450" s="56">
        <f t="shared" si="139"/>
        <v>1</v>
      </c>
      <c r="AU450" s="11">
        <f ca="1">IFERROR(OFFSET(ITEM_RES!$A$1,MATCH(AV450,ITEM_RES!$J:$J,0)-1,0),0)</f>
        <v>211020401</v>
      </c>
      <c r="AV450" s="10" t="s">
        <v>436</v>
      </c>
      <c r="AW450" s="11">
        <v>1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O451" s="9">
        <v>1</v>
      </c>
      <c r="P451" s="9">
        <v>15</v>
      </c>
      <c r="Q451" s="141"/>
      <c r="U451" s="9" t="s">
        <v>705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528</v>
      </c>
      <c r="AD451" s="9">
        <v>7</v>
      </c>
      <c r="AF451" s="11">
        <f ca="1">IFERROR(OFFSET(MANOR_LEVEL!$B$1,MATCH(AG451-1,MANOR_LEVEL!$A:$A,0)-1,0),0)</f>
        <v>444</v>
      </c>
      <c r="AG451" s="56">
        <v>2</v>
      </c>
      <c r="AI451" s="56">
        <f t="shared" ca="1" si="138"/>
        <v>100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100.01</v>
      </c>
      <c r="AK451" s="182">
        <f t="shared" ca="1" si="140"/>
        <v>150</v>
      </c>
      <c r="AM451" s="11">
        <f t="shared" si="137"/>
        <v>35</v>
      </c>
      <c r="AN451" s="10">
        <v>35</v>
      </c>
      <c r="AO451" s="11">
        <f t="shared" si="144"/>
        <v>100</v>
      </c>
      <c r="AP451" s="10">
        <v>100</v>
      </c>
      <c r="AQ451" s="11">
        <f t="shared" si="144"/>
        <v>0</v>
      </c>
      <c r="AR451" s="10">
        <v>0</v>
      </c>
      <c r="AS451" s="56">
        <f t="shared" si="139"/>
        <v>1</v>
      </c>
      <c r="AU451" s="11">
        <f ca="1">IFERROR(OFFSET(ITEM_RES!$A$1,MATCH(AV451,ITEM_RES!$J:$J,0)-1,0),0)</f>
        <v>211020401</v>
      </c>
      <c r="AV451" s="10" t="s">
        <v>436</v>
      </c>
      <c r="AW451" s="11">
        <v>1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O452" s="9">
        <v>1</v>
      </c>
      <c r="P452" s="9">
        <v>15</v>
      </c>
      <c r="Q452" s="141"/>
      <c r="U452" s="9" t="s">
        <v>706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528</v>
      </c>
      <c r="AD452" s="9">
        <v>8</v>
      </c>
      <c r="AF452" s="11">
        <f ca="1">IFERROR(OFFSET(MANOR_LEVEL!$B$1,MATCH(AG452-1,MANOR_LEVEL!$A:$A,0)-1,0),0)</f>
        <v>528</v>
      </c>
      <c r="AG452" s="56">
        <v>3</v>
      </c>
      <c r="AI452" s="56">
        <f t="shared" ca="1" si="138"/>
        <v>100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100.2</v>
      </c>
      <c r="AK452" s="182">
        <f t="shared" ca="1" si="140"/>
        <v>200</v>
      </c>
      <c r="AM452" s="11">
        <f t="shared" si="137"/>
        <v>40</v>
      </c>
      <c r="AN452" s="10">
        <v>40</v>
      </c>
      <c r="AO452" s="11">
        <f t="shared" si="144"/>
        <v>100</v>
      </c>
      <c r="AP452" s="10">
        <v>100</v>
      </c>
      <c r="AQ452" s="11">
        <f t="shared" si="144"/>
        <v>0</v>
      </c>
      <c r="AR452" s="10">
        <v>0</v>
      </c>
      <c r="AS452" s="56">
        <f t="shared" si="139"/>
        <v>1</v>
      </c>
      <c r="AU452" s="11">
        <f ca="1">IFERROR(OFFSET(ITEM_RES!$A$1,MATCH(AV452,ITEM_RES!$J:$J,0)-1,0),0)</f>
        <v>211020501</v>
      </c>
      <c r="AV452" s="10" t="s">
        <v>433</v>
      </c>
      <c r="AW452" s="11">
        <v>1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O453" s="9">
        <v>1</v>
      </c>
      <c r="P453" s="9">
        <v>15</v>
      </c>
      <c r="Q453" s="141"/>
      <c r="U453" s="9" t="s">
        <v>706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528</v>
      </c>
      <c r="AD453" s="9">
        <v>9</v>
      </c>
      <c r="AF453" s="11">
        <f ca="1">IFERROR(OFFSET(MANOR_LEVEL!$B$1,MATCH(AG453-1,MANOR_LEVEL!$A:$A,0)-1,0),0)</f>
        <v>528</v>
      </c>
      <c r="AG453" s="56">
        <v>3</v>
      </c>
      <c r="AI453" s="56">
        <f t="shared" ca="1" si="138"/>
        <v>150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150.19999999999999</v>
      </c>
      <c r="AK453" s="182">
        <f t="shared" ca="1" si="140"/>
        <v>250</v>
      </c>
      <c r="AM453" s="11">
        <f t="shared" si="137"/>
        <v>45</v>
      </c>
      <c r="AN453" s="10">
        <v>45</v>
      </c>
      <c r="AO453" s="11">
        <f t="shared" si="144"/>
        <v>150</v>
      </c>
      <c r="AP453" s="10">
        <v>150</v>
      </c>
      <c r="AQ453" s="11">
        <f t="shared" si="144"/>
        <v>0</v>
      </c>
      <c r="AR453" s="10">
        <v>0</v>
      </c>
      <c r="AS453" s="56">
        <f t="shared" si="139"/>
        <v>1</v>
      </c>
      <c r="AU453" s="11">
        <f ca="1">IFERROR(OFFSET(ITEM_RES!$A$1,MATCH(AV453,ITEM_RES!$J:$J,0)-1,0),0)</f>
        <v>211020501</v>
      </c>
      <c r="AV453" s="10" t="s">
        <v>433</v>
      </c>
      <c r="AW453" s="11">
        <v>1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O454" s="9">
        <v>1</v>
      </c>
      <c r="P454" s="9">
        <v>15</v>
      </c>
      <c r="Q454" s="141"/>
      <c r="U454" s="9" t="s">
        <v>706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528</v>
      </c>
      <c r="AD454" s="9">
        <v>10</v>
      </c>
      <c r="AF454" s="11">
        <f ca="1">IFERROR(OFFSET(MANOR_LEVEL!$B$1,MATCH(AG454-1,MANOR_LEVEL!$A:$A,0)-1,0),0)</f>
        <v>528</v>
      </c>
      <c r="AG454" s="56">
        <v>3</v>
      </c>
      <c r="AI454" s="56">
        <f t="shared" ca="1" si="138"/>
        <v>200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200.2</v>
      </c>
      <c r="AK454" s="182">
        <f t="shared" ca="1" si="140"/>
        <v>350</v>
      </c>
      <c r="AM454" s="11">
        <f t="shared" si="137"/>
        <v>50</v>
      </c>
      <c r="AN454" s="10">
        <v>50</v>
      </c>
      <c r="AO454" s="11">
        <f t="shared" si="144"/>
        <v>200</v>
      </c>
      <c r="AP454" s="10">
        <v>200</v>
      </c>
      <c r="AQ454" s="11">
        <f t="shared" si="144"/>
        <v>0</v>
      </c>
      <c r="AR454" s="10">
        <v>0</v>
      </c>
      <c r="AS454" s="56">
        <f t="shared" si="139"/>
        <v>1</v>
      </c>
      <c r="AU454" s="11">
        <f ca="1">IFERROR(OFFSET(ITEM_RES!$A$1,MATCH(AV454,ITEM_RES!$J:$J,0)-1,0),0)</f>
        <v>211020501</v>
      </c>
      <c r="AV454" s="10" t="s">
        <v>433</v>
      </c>
      <c r="AW454" s="11">
        <v>1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O455" s="9">
        <v>1</v>
      </c>
      <c r="P455" s="9">
        <v>15</v>
      </c>
      <c r="Q455" s="141"/>
      <c r="U455" s="9" t="s">
        <v>706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528</v>
      </c>
      <c r="AD455" s="9">
        <v>11</v>
      </c>
      <c r="AF455" s="11">
        <f ca="1">IFERROR(OFFSET(MANOR_LEVEL!$B$1,MATCH(AG455-1,MANOR_LEVEL!$A:$A,0)-1,0),0)</f>
        <v>528</v>
      </c>
      <c r="AG455" s="56">
        <v>3</v>
      </c>
      <c r="AI455" s="56">
        <f t="shared" ca="1" si="138"/>
        <v>250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250.2</v>
      </c>
      <c r="AK455" s="182">
        <f t="shared" ca="1" si="140"/>
        <v>450</v>
      </c>
      <c r="AM455" s="11">
        <f t="shared" si="137"/>
        <v>55</v>
      </c>
      <c r="AN455" s="10">
        <v>55</v>
      </c>
      <c r="AO455" s="11">
        <f t="shared" si="144"/>
        <v>250</v>
      </c>
      <c r="AP455" s="10">
        <v>250</v>
      </c>
      <c r="AQ455" s="11">
        <f t="shared" si="144"/>
        <v>0</v>
      </c>
      <c r="AR455" s="10">
        <v>0</v>
      </c>
      <c r="AS455" s="56">
        <f t="shared" si="139"/>
        <v>1</v>
      </c>
      <c r="AU455" s="11">
        <f ca="1">IFERROR(OFFSET(ITEM_RES!$A$1,MATCH(AV455,ITEM_RES!$J:$J,0)-1,0),0)</f>
        <v>211020501</v>
      </c>
      <c r="AV455" s="10" t="s">
        <v>433</v>
      </c>
      <c r="AW455" s="11">
        <v>1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O456" s="9">
        <v>1</v>
      </c>
      <c r="P456" s="9">
        <v>15</v>
      </c>
      <c r="Q456" s="141"/>
      <c r="U456" s="9" t="s">
        <v>706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528</v>
      </c>
      <c r="AD456" s="9">
        <v>12</v>
      </c>
      <c r="AF456" s="11">
        <f ca="1">IFERROR(OFFSET(MANOR_LEVEL!$B$1,MATCH(AG456-1,MANOR_LEVEL!$A:$A,0)-1,0),0)</f>
        <v>800</v>
      </c>
      <c r="AG456" s="56">
        <v>4</v>
      </c>
      <c r="AI456" s="56">
        <f t="shared" ca="1" si="138"/>
        <v>300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300.2</v>
      </c>
      <c r="AK456" s="182">
        <f t="shared" ca="1" si="140"/>
        <v>550</v>
      </c>
      <c r="AM456" s="11">
        <f t="shared" si="137"/>
        <v>60</v>
      </c>
      <c r="AN456" s="10">
        <v>60</v>
      </c>
      <c r="AO456" s="11">
        <f t="shared" si="144"/>
        <v>300</v>
      </c>
      <c r="AP456" s="10">
        <v>300</v>
      </c>
      <c r="AQ456" s="11">
        <f t="shared" si="144"/>
        <v>0</v>
      </c>
      <c r="AR456" s="10">
        <v>0</v>
      </c>
      <c r="AS456" s="56">
        <f t="shared" si="139"/>
        <v>1</v>
      </c>
      <c r="AU456" s="11">
        <f ca="1">IFERROR(OFFSET(ITEM_RES!$A$1,MATCH(AV456,ITEM_RES!$J:$J,0)-1,0),0)</f>
        <v>211020501</v>
      </c>
      <c r="AV456" s="10" t="s">
        <v>433</v>
      </c>
      <c r="AW456" s="11">
        <v>1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  <c r="BO456" s="11">
        <f ca="1">IFERROR(OFFSET(ITEM_RES!$A$1,MATCH(BP456,ITEM_RES!$J:$J,0)-1,0),0)</f>
        <v>0</v>
      </c>
    </row>
    <row r="457" spans="1:67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O457" s="9">
        <v>1</v>
      </c>
      <c r="P457" s="9">
        <v>15</v>
      </c>
      <c r="Q457" s="141"/>
      <c r="U457" s="9" t="s">
        <v>706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528</v>
      </c>
      <c r="AD457" s="9">
        <v>13</v>
      </c>
      <c r="AF457" s="11">
        <f ca="1">IFERROR(OFFSET(MANOR_LEVEL!$B$1,MATCH(AG457-1,MANOR_LEVEL!$A:$A,0)-1,0),0)</f>
        <v>800</v>
      </c>
      <c r="AG457" s="56">
        <v>4</v>
      </c>
      <c r="AI457" s="56">
        <f t="shared" ca="1" si="138"/>
        <v>850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850.2</v>
      </c>
      <c r="AK457" s="182">
        <f t="shared" ca="1" si="140"/>
        <v>1150</v>
      </c>
      <c r="AM457" s="11">
        <f t="shared" si="137"/>
        <v>65</v>
      </c>
      <c r="AN457" s="10">
        <v>65</v>
      </c>
      <c r="AO457" s="11">
        <f t="shared" si="144"/>
        <v>350</v>
      </c>
      <c r="AP457" s="10">
        <v>350</v>
      </c>
      <c r="AQ457" s="11">
        <f t="shared" si="144"/>
        <v>0</v>
      </c>
      <c r="AR457" s="10">
        <v>0</v>
      </c>
      <c r="AS457" s="56">
        <f t="shared" si="139"/>
        <v>2</v>
      </c>
      <c r="AU457" s="11">
        <f ca="1">IFERROR(OFFSET(ITEM_RES!$A$1,MATCH(AV457,ITEM_RES!$J:$J,0)-1,0),0)</f>
        <v>211020501</v>
      </c>
      <c r="AV457" s="10" t="s">
        <v>433</v>
      </c>
      <c r="AW457" s="11">
        <v>1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213011301</v>
      </c>
      <c r="BK457" s="10" t="s">
        <v>470</v>
      </c>
      <c r="BL457" s="11">
        <v>1</v>
      </c>
      <c r="BO457" s="11">
        <f ca="1">IFERROR(OFFSET(ITEM_RES!$A$1,MATCH(BP457,ITEM_RES!$J:$J,0)-1,0),0)</f>
        <v>0</v>
      </c>
    </row>
    <row r="458" spans="1:67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O458" s="9">
        <v>1</v>
      </c>
      <c r="P458" s="9">
        <v>15</v>
      </c>
      <c r="Q458" s="141"/>
      <c r="U458" s="9" t="s">
        <v>706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528</v>
      </c>
      <c r="AD458" s="9">
        <v>14</v>
      </c>
      <c r="AF458" s="11">
        <f ca="1">IFERROR(OFFSET(MANOR_LEVEL!$B$1,MATCH(AG458-1,MANOR_LEVEL!$A:$A,0)-1,0),0)</f>
        <v>800</v>
      </c>
      <c r="AG458" s="56">
        <v>4</v>
      </c>
      <c r="AI458" s="56">
        <f t="shared" ca="1" si="138"/>
        <v>450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450.2</v>
      </c>
      <c r="AK458" s="182">
        <f t="shared" ca="1" si="140"/>
        <v>1300</v>
      </c>
      <c r="AM458" s="11">
        <f t="shared" si="137"/>
        <v>70</v>
      </c>
      <c r="AN458" s="10">
        <v>70</v>
      </c>
      <c r="AO458" s="11">
        <f t="shared" si="144"/>
        <v>450</v>
      </c>
      <c r="AP458" s="10">
        <v>450</v>
      </c>
      <c r="AQ458" s="11">
        <f t="shared" si="144"/>
        <v>0</v>
      </c>
      <c r="AR458" s="10">
        <v>0</v>
      </c>
      <c r="AS458" s="56">
        <f t="shared" si="139"/>
        <v>1</v>
      </c>
      <c r="AU458" s="11">
        <f ca="1">IFERROR(OFFSET(ITEM_RES!$A$1,MATCH(AV458,ITEM_RES!$J:$J,0)-1,0),0)</f>
        <v>211020501</v>
      </c>
      <c r="AV458" s="10" t="s">
        <v>433</v>
      </c>
      <c r="AW458" s="11">
        <v>1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O459" s="9">
        <v>1</v>
      </c>
      <c r="P459" s="9">
        <v>15</v>
      </c>
      <c r="Q459" s="141"/>
      <c r="U459" s="9" t="s">
        <v>706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528</v>
      </c>
      <c r="AD459" s="9">
        <v>15</v>
      </c>
      <c r="AF459" s="11">
        <f ca="1">IFERROR(OFFSET(MANOR_LEVEL!$B$1,MATCH(AG459-1,MANOR_LEVEL!$A:$A,0)-1,0),0)</f>
        <v>1500</v>
      </c>
      <c r="AG459" s="56">
        <v>5</v>
      </c>
      <c r="AI459" s="56">
        <f t="shared" ca="1" si="138"/>
        <v>550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550.20000000000005</v>
      </c>
      <c r="AK459" s="182">
        <f t="shared" ca="1" si="140"/>
        <v>1000</v>
      </c>
      <c r="AM459" s="11">
        <f t="shared" si="137"/>
        <v>75</v>
      </c>
      <c r="AN459" s="10">
        <v>75</v>
      </c>
      <c r="AO459" s="11">
        <f t="shared" si="144"/>
        <v>550</v>
      </c>
      <c r="AP459" s="10">
        <v>550</v>
      </c>
      <c r="AQ459" s="11">
        <f t="shared" si="144"/>
        <v>0</v>
      </c>
      <c r="AR459" s="10">
        <v>0</v>
      </c>
      <c r="AS459" s="56">
        <f t="shared" si="139"/>
        <v>1</v>
      </c>
      <c r="AU459" s="11">
        <f ca="1">IFERROR(OFFSET(ITEM_RES!$A$1,MATCH(AV459,ITEM_RES!$J:$J,0)-1,0),0)</f>
        <v>211020501</v>
      </c>
      <c r="AV459" s="10" t="s">
        <v>433</v>
      </c>
      <c r="AW459" s="11">
        <v>1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O460" s="9">
        <v>0</v>
      </c>
      <c r="P460" s="9">
        <v>15</v>
      </c>
      <c r="Q460" s="141"/>
      <c r="U460" s="9" t="s">
        <v>706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528</v>
      </c>
      <c r="AD460" s="9">
        <v>16</v>
      </c>
      <c r="AF460" s="11">
        <f ca="1">IFERROR(OFFSET(MANOR_LEVEL!$B$1,MATCH(AG460-1,MANOR_LEVEL!$A:$A,0)-1,0),0)</f>
        <v>1500</v>
      </c>
      <c r="AG460" s="56">
        <v>5</v>
      </c>
      <c r="AI460" s="56">
        <f t="shared" ca="1" si="138"/>
        <v>700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700.2</v>
      </c>
      <c r="AK460" s="182">
        <f t="shared" ca="1" si="140"/>
        <v>1250</v>
      </c>
      <c r="AM460" s="11">
        <f t="shared" si="137"/>
        <v>80</v>
      </c>
      <c r="AN460" s="10">
        <v>80</v>
      </c>
      <c r="AO460" s="11">
        <f t="shared" si="144"/>
        <v>700</v>
      </c>
      <c r="AP460" s="10">
        <v>700</v>
      </c>
      <c r="AQ460" s="11">
        <f t="shared" si="144"/>
        <v>0</v>
      </c>
      <c r="AR460" s="10">
        <v>0</v>
      </c>
      <c r="AS460" s="56">
        <f t="shared" si="139"/>
        <v>1</v>
      </c>
      <c r="AU460" s="11">
        <f ca="1">IFERROR(OFFSET(ITEM_RES!$A$1,MATCH(AV460,ITEM_RES!$J:$J,0)-1,0),0)</f>
        <v>211020501</v>
      </c>
      <c r="AV460" s="10" t="s">
        <v>433</v>
      </c>
      <c r="AW460" s="11">
        <v>1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O461" s="9">
        <v>0</v>
      </c>
      <c r="P461" s="9">
        <v>15</v>
      </c>
      <c r="Q461" s="141"/>
      <c r="U461" s="9" t="s">
        <v>706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528</v>
      </c>
      <c r="AD461" s="9">
        <v>17</v>
      </c>
      <c r="AF461" s="11">
        <f ca="1">IFERROR(OFFSET(MANOR_LEVEL!$B$1,MATCH(AG461-1,MANOR_LEVEL!$A:$A,0)-1,0),0)</f>
        <v>3872</v>
      </c>
      <c r="AG461" s="56">
        <v>6</v>
      </c>
      <c r="AI461" s="56">
        <f t="shared" ca="1" si="138"/>
        <v>850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850.2</v>
      </c>
      <c r="AK461" s="182">
        <f t="shared" ca="1" si="140"/>
        <v>1550</v>
      </c>
      <c r="AM461" s="11">
        <f t="shared" si="137"/>
        <v>85</v>
      </c>
      <c r="AN461" s="10">
        <v>85</v>
      </c>
      <c r="AO461" s="11">
        <f t="shared" si="144"/>
        <v>850</v>
      </c>
      <c r="AP461" s="10">
        <v>850</v>
      </c>
      <c r="AQ461" s="11">
        <f t="shared" si="144"/>
        <v>0</v>
      </c>
      <c r="AR461" s="10">
        <v>0</v>
      </c>
      <c r="AS461" s="56">
        <f t="shared" si="139"/>
        <v>1</v>
      </c>
      <c r="AU461" s="11">
        <f ca="1">IFERROR(OFFSET(ITEM_RES!$A$1,MATCH(AV461,ITEM_RES!$J:$J,0)-1,0),0)</f>
        <v>211020501</v>
      </c>
      <c r="AV461" s="10" t="s">
        <v>433</v>
      </c>
      <c r="AW461" s="11">
        <v>1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O462" s="9">
        <v>0</v>
      </c>
      <c r="P462" s="9">
        <v>15</v>
      </c>
      <c r="Q462" s="141"/>
      <c r="U462" s="9" t="s">
        <v>706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528</v>
      </c>
      <c r="AD462" s="9">
        <v>18</v>
      </c>
      <c r="AF462" s="11">
        <f ca="1">IFERROR(OFFSET(MANOR_LEVEL!$B$1,MATCH(AG462-1,MANOR_LEVEL!$A:$A,0)-1,0),0)</f>
        <v>32640</v>
      </c>
      <c r="AG462" s="56">
        <v>7</v>
      </c>
      <c r="AI462" s="56">
        <f t="shared" ca="1" si="138"/>
        <v>1050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1050.2</v>
      </c>
      <c r="AK462" s="182">
        <f t="shared" ca="1" si="140"/>
        <v>1900</v>
      </c>
      <c r="AM462" s="11">
        <f t="shared" si="137"/>
        <v>90</v>
      </c>
      <c r="AN462" s="10">
        <v>90</v>
      </c>
      <c r="AO462" s="11">
        <f t="shared" si="144"/>
        <v>1050</v>
      </c>
      <c r="AP462" s="10">
        <v>1050</v>
      </c>
      <c r="AQ462" s="11">
        <f t="shared" si="144"/>
        <v>0</v>
      </c>
      <c r="AR462" s="10">
        <v>0</v>
      </c>
      <c r="AS462" s="56">
        <f t="shared" si="139"/>
        <v>1</v>
      </c>
      <c r="AU462" s="11">
        <f ca="1">IFERROR(OFFSET(ITEM_RES!$A$1,MATCH(AV462,ITEM_RES!$J:$J,0)-1,0),0)</f>
        <v>211020501</v>
      </c>
      <c r="AV462" s="10" t="s">
        <v>433</v>
      </c>
      <c r="AW462" s="11">
        <v>1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O463" s="9">
        <v>0</v>
      </c>
      <c r="P463" s="9">
        <v>15</v>
      </c>
      <c r="Q463" s="141"/>
      <c r="U463" s="9" t="s">
        <v>706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528</v>
      </c>
      <c r="AD463" s="9">
        <v>19</v>
      </c>
      <c r="AF463" s="11">
        <f ca="1">IFERROR(OFFSET(MANOR_LEVEL!$B$1,MATCH(AG463-1,MANOR_LEVEL!$A:$A,0)-1,0),0)</f>
        <v>32640</v>
      </c>
      <c r="AG463" s="56">
        <v>7</v>
      </c>
      <c r="AI463" s="56">
        <f t="shared" ca="1" si="138"/>
        <v>1250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1250.2</v>
      </c>
      <c r="AK463" s="182">
        <f t="shared" ca="1" si="140"/>
        <v>2300</v>
      </c>
      <c r="AM463" s="11">
        <f t="shared" si="137"/>
        <v>95</v>
      </c>
      <c r="AN463" s="10">
        <v>95</v>
      </c>
      <c r="AO463" s="11">
        <f t="shared" si="144"/>
        <v>1250</v>
      </c>
      <c r="AP463" s="10">
        <v>1250</v>
      </c>
      <c r="AQ463" s="11">
        <f t="shared" si="144"/>
        <v>0</v>
      </c>
      <c r="AR463" s="10">
        <v>0</v>
      </c>
      <c r="AS463" s="56">
        <f t="shared" si="139"/>
        <v>1</v>
      </c>
      <c r="AU463" s="11">
        <f ca="1">IFERROR(OFFSET(ITEM_RES!$A$1,MATCH(AV463,ITEM_RES!$J:$J,0)-1,0),0)</f>
        <v>211020501</v>
      </c>
      <c r="AV463" s="10" t="s">
        <v>433</v>
      </c>
      <c r="AW463" s="11">
        <v>1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O464" s="9">
        <v>0</v>
      </c>
      <c r="P464" s="9">
        <v>15</v>
      </c>
      <c r="Q464" s="141"/>
      <c r="U464" s="9" t="s">
        <v>706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528</v>
      </c>
      <c r="AD464" s="9">
        <v>20</v>
      </c>
      <c r="AF464" s="11">
        <f ca="1">IFERROR(OFFSET(MANOR_LEVEL!$B$1,MATCH(AG464-1,MANOR_LEVEL!$A:$A,0)-1,0),0)</f>
        <v>32640</v>
      </c>
      <c r="AG464" s="56">
        <v>7</v>
      </c>
      <c r="AI464" s="56">
        <f t="shared" ca="1" si="138"/>
        <v>1500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1500.2</v>
      </c>
      <c r="AK464" s="182">
        <f t="shared" ca="1" si="140"/>
        <v>2750</v>
      </c>
      <c r="AM464" s="11">
        <f t="shared" si="137"/>
        <v>100</v>
      </c>
      <c r="AN464" s="10">
        <v>100</v>
      </c>
      <c r="AO464" s="11">
        <f t="shared" si="144"/>
        <v>1500</v>
      </c>
      <c r="AP464" s="10">
        <v>1500</v>
      </c>
      <c r="AQ464" s="11">
        <f t="shared" si="144"/>
        <v>0</v>
      </c>
      <c r="AR464" s="10">
        <v>0</v>
      </c>
      <c r="AS464" s="56">
        <f t="shared" si="139"/>
        <v>1</v>
      </c>
      <c r="AU464" s="11">
        <f ca="1">IFERROR(OFFSET(ITEM_RES!$A$1,MATCH(AV464,ITEM_RES!$J:$J,0)-1,0),0)</f>
        <v>211020501</v>
      </c>
      <c r="AV464" s="10" t="s">
        <v>433</v>
      </c>
      <c r="AW464" s="11">
        <v>1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/>
      <c r="N465" s="16"/>
      <c r="O465" s="16">
        <v>1</v>
      </c>
      <c r="P465" s="16">
        <v>15</v>
      </c>
      <c r="Q465" s="16" t="s">
        <v>1268</v>
      </c>
      <c r="R465" s="17"/>
      <c r="S465" s="17"/>
      <c r="T465" s="18"/>
      <c r="U465" s="16" t="s">
        <v>707</v>
      </c>
      <c r="V465" s="78"/>
      <c r="W465" s="86"/>
      <c r="X465" s="16">
        <f ca="1">IFERROR(OFFSET(ITEM_RES!$A$5,MATCH(BUILDING!W465,ITEM_RES!$J$5:$J$226,0)-1,0),0)</f>
        <v>0</v>
      </c>
      <c r="Y465" s="18"/>
      <c r="Z465" s="86"/>
      <c r="AA465" s="16">
        <f ca="1">IFERROR(OFFSET(ITEM_RES!$A$5,MATCH(BUILDING!Z465,ITEM_RES!$J$5:$J$226,0)-1,0),0)</f>
        <v>0</v>
      </c>
      <c r="AB465" s="78"/>
      <c r="AC465" s="16" t="s">
        <v>529</v>
      </c>
      <c r="AD465" s="16">
        <v>1</v>
      </c>
      <c r="AE465" s="78"/>
      <c r="AF465" s="18">
        <f ca="1">IFERROR(OFFSET(MANOR_LEVEL!$B$1,MATCH(AG465-1,MANOR_LEVEL!$A:$A,0)-1,0),0)</f>
        <v>0</v>
      </c>
      <c r="AG465" s="57">
        <v>1</v>
      </c>
      <c r="AH465" s="78"/>
      <c r="AI465" s="57">
        <f t="shared" ca="1" si="138"/>
        <v>105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105.11</v>
      </c>
      <c r="AK465" s="184">
        <f ca="1">AI465</f>
        <v>105</v>
      </c>
      <c r="AL465" s="78"/>
      <c r="AM465" s="18">
        <f t="shared" si="137"/>
        <v>5</v>
      </c>
      <c r="AN465" s="17">
        <v>5</v>
      </c>
      <c r="AO465" s="18">
        <f t="shared" si="144"/>
        <v>5</v>
      </c>
      <c r="AP465" s="17">
        <v>5</v>
      </c>
      <c r="AQ465" s="18">
        <f t="shared" si="144"/>
        <v>0</v>
      </c>
      <c r="AR465" s="17">
        <v>0</v>
      </c>
      <c r="AS465" s="57">
        <f t="shared" si="13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1</v>
      </c>
      <c r="AX465" s="17"/>
      <c r="AY465" s="18"/>
      <c r="AZ465" s="18">
        <f ca="1">IFERROR(OFFSET(ITEM_RES!$A$1,MATCH(BA465,ITEM_RES!$J:$J,0)-1,0),0)</f>
        <v>211020401</v>
      </c>
      <c r="BA465" s="17" t="s">
        <v>1190</v>
      </c>
      <c r="BB465" s="18">
        <v>1</v>
      </c>
      <c r="BC465" s="17"/>
      <c r="BD465" s="18"/>
      <c r="BE465" s="18">
        <f ca="1">IFERROR(OFFSET(ITEM_RES!$A$1,MATCH(BF465,ITEM_RES!$J:$J,0)-1,0),0)</f>
        <v>213010101</v>
      </c>
      <c r="BF465" s="17" t="s">
        <v>452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O466" s="9">
        <v>1</v>
      </c>
      <c r="P466" s="9">
        <v>15</v>
      </c>
      <c r="Q466" s="9" t="s">
        <v>1266</v>
      </c>
      <c r="U466" s="9" t="s">
        <v>707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529</v>
      </c>
      <c r="AD466" s="9">
        <v>2</v>
      </c>
      <c r="AF466" s="11">
        <f ca="1">IFERROR(OFFSET(MANOR_LEVEL!$B$1,MATCH(AG466-1,MANOR_LEVEL!$A:$A,0)-1,0),0)</f>
        <v>0</v>
      </c>
      <c r="AG466" s="56">
        <v>1</v>
      </c>
      <c r="AI466" s="56">
        <f t="shared" ca="1" si="138"/>
        <v>10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10.11</v>
      </c>
      <c r="AK466" s="182">
        <f ca="1">AI465+AI466</f>
        <v>115</v>
      </c>
      <c r="AM466" s="11">
        <f t="shared" si="137"/>
        <v>10</v>
      </c>
      <c r="AN466" s="10">
        <v>10</v>
      </c>
      <c r="AO466" s="11">
        <f t="shared" si="144"/>
        <v>10</v>
      </c>
      <c r="AP466" s="10">
        <v>10</v>
      </c>
      <c r="AQ466" s="11">
        <f t="shared" si="144"/>
        <v>0</v>
      </c>
      <c r="AR466" s="10">
        <v>0</v>
      </c>
      <c r="AS466" s="56">
        <f t="shared" si="139"/>
        <v>2</v>
      </c>
      <c r="AU466" s="11">
        <f ca="1">IFERROR(OFFSET(ITEM_RES!$A$1,MATCH(AV466,ITEM_RES!$J:$J,0)-1,0),0)</f>
        <v>211020801</v>
      </c>
      <c r="AV466" s="10" t="s">
        <v>437</v>
      </c>
      <c r="AW466" s="11">
        <v>1</v>
      </c>
      <c r="AZ466" s="11">
        <f ca="1">IFERROR(OFFSET(ITEM_RES!$A$1,MATCH(BA466,ITEM_RES!$J:$J,0)-1,0),0)</f>
        <v>211020401</v>
      </c>
      <c r="BA466" s="10" t="s">
        <v>1190</v>
      </c>
      <c r="BB466" s="11">
        <v>1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O467" s="9">
        <v>1</v>
      </c>
      <c r="P467" s="9">
        <v>15</v>
      </c>
      <c r="Q467" s="9" t="s">
        <v>1267</v>
      </c>
      <c r="U467" s="9" t="s">
        <v>707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529</v>
      </c>
      <c r="AD467" s="9">
        <v>3</v>
      </c>
      <c r="AF467" s="11">
        <f ca="1">IFERROR(OFFSET(MANOR_LEVEL!$B$1,MATCH(AG467-1,MANOR_LEVEL!$A:$A,0)-1,0),0)</f>
        <v>0</v>
      </c>
      <c r="AG467" s="56">
        <v>1</v>
      </c>
      <c r="AI467" s="56">
        <f t="shared" ca="1" si="138"/>
        <v>15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15.11</v>
      </c>
      <c r="AK467" s="182">
        <f t="shared" ref="AK467:AK484" ca="1" si="145">AI466+AI467</f>
        <v>25</v>
      </c>
      <c r="AM467" s="11">
        <f t="shared" si="137"/>
        <v>15</v>
      </c>
      <c r="AN467" s="10">
        <v>15</v>
      </c>
      <c r="AO467" s="11">
        <f t="shared" si="144"/>
        <v>15</v>
      </c>
      <c r="AP467" s="10">
        <v>15</v>
      </c>
      <c r="AQ467" s="11">
        <f t="shared" si="144"/>
        <v>0</v>
      </c>
      <c r="AR467" s="10">
        <v>0</v>
      </c>
      <c r="AS467" s="56">
        <f t="shared" si="139"/>
        <v>2</v>
      </c>
      <c r="AU467" s="11">
        <f ca="1">IFERROR(OFFSET(ITEM_RES!$A$1,MATCH(AV467,ITEM_RES!$J:$J,0)-1,0),0)</f>
        <v>211020801</v>
      </c>
      <c r="AV467" s="10" t="s">
        <v>437</v>
      </c>
      <c r="AW467" s="11">
        <v>1</v>
      </c>
      <c r="AZ467" s="11">
        <f ca="1">IFERROR(OFFSET(ITEM_RES!$A$1,MATCH(BA467,ITEM_RES!$J:$J,0)-1,0),0)</f>
        <v>211020401</v>
      </c>
      <c r="BA467" s="10" t="s">
        <v>1190</v>
      </c>
      <c r="BB467" s="11">
        <v>1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O468" s="9">
        <v>1</v>
      </c>
      <c r="P468" s="9">
        <v>15</v>
      </c>
      <c r="Q468" s="9" t="s">
        <v>1267</v>
      </c>
      <c r="U468" s="9" t="s">
        <v>707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529</v>
      </c>
      <c r="AD468" s="9">
        <v>4</v>
      </c>
      <c r="AF468" s="11">
        <f ca="1">IFERROR(OFFSET(MANOR_LEVEL!$B$1,MATCH(AG468-1,MANOR_LEVEL!$A:$A,0)-1,0),0)</f>
        <v>0</v>
      </c>
      <c r="AG468" s="56">
        <v>1</v>
      </c>
      <c r="AI468" s="56">
        <f t="shared" ca="1" si="138"/>
        <v>25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25.11</v>
      </c>
      <c r="AK468" s="182">
        <f t="shared" ca="1" si="145"/>
        <v>40</v>
      </c>
      <c r="AM468" s="11">
        <f t="shared" si="137"/>
        <v>20</v>
      </c>
      <c r="AN468" s="10">
        <v>20</v>
      </c>
      <c r="AO468" s="11">
        <f t="shared" si="144"/>
        <v>25</v>
      </c>
      <c r="AP468" s="10">
        <v>25</v>
      </c>
      <c r="AQ468" s="11">
        <f t="shared" si="144"/>
        <v>0</v>
      </c>
      <c r="AR468" s="10">
        <v>0</v>
      </c>
      <c r="AS468" s="56">
        <f t="shared" si="139"/>
        <v>2</v>
      </c>
      <c r="AU468" s="11">
        <f ca="1">IFERROR(OFFSET(ITEM_RES!$A$1,MATCH(AV468,ITEM_RES!$J:$J,0)-1,0),0)</f>
        <v>211020801</v>
      </c>
      <c r="AV468" s="10" t="s">
        <v>437</v>
      </c>
      <c r="AW468" s="11">
        <v>1</v>
      </c>
      <c r="AZ468" s="11">
        <f ca="1">IFERROR(OFFSET(ITEM_RES!$A$1,MATCH(BA468,ITEM_RES!$J:$J,0)-1,0),0)</f>
        <v>211020401</v>
      </c>
      <c r="BA468" s="10" t="s">
        <v>1190</v>
      </c>
      <c r="BB468" s="11">
        <v>1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O469" s="9">
        <v>1</v>
      </c>
      <c r="P469" s="9">
        <v>15</v>
      </c>
      <c r="Q469" s="9" t="s">
        <v>1269</v>
      </c>
      <c r="U469" s="9" t="s">
        <v>707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529</v>
      </c>
      <c r="AD469" s="9">
        <v>5</v>
      </c>
      <c r="AF469" s="11">
        <f ca="1">IFERROR(OFFSET(MANOR_LEVEL!$B$1,MATCH(AG469-1,MANOR_LEVEL!$A:$A,0)-1,0),0)</f>
        <v>0</v>
      </c>
      <c r="AG469" s="56">
        <v>1</v>
      </c>
      <c r="AI469" s="56">
        <f t="shared" ca="1" si="138"/>
        <v>40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40.11</v>
      </c>
      <c r="AK469" s="182">
        <f t="shared" ca="1" si="145"/>
        <v>65</v>
      </c>
      <c r="AM469" s="11">
        <f t="shared" si="137"/>
        <v>25</v>
      </c>
      <c r="AN469" s="10">
        <v>25</v>
      </c>
      <c r="AO469" s="11">
        <f t="shared" si="144"/>
        <v>40</v>
      </c>
      <c r="AP469" s="10">
        <v>40</v>
      </c>
      <c r="AQ469" s="11">
        <f t="shared" si="144"/>
        <v>0</v>
      </c>
      <c r="AR469" s="10">
        <v>0</v>
      </c>
      <c r="AS469" s="56">
        <f t="shared" si="139"/>
        <v>2</v>
      </c>
      <c r="AU469" s="11">
        <f ca="1">IFERROR(OFFSET(ITEM_RES!$A$1,MATCH(AV469,ITEM_RES!$J:$J,0)-1,0),0)</f>
        <v>211020801</v>
      </c>
      <c r="AV469" s="10" t="s">
        <v>437</v>
      </c>
      <c r="AW469" s="11">
        <v>1</v>
      </c>
      <c r="AZ469" s="11">
        <f ca="1">IFERROR(OFFSET(ITEM_RES!$A$1,MATCH(BA469,ITEM_RES!$J:$J,0)-1,0),0)</f>
        <v>211020401</v>
      </c>
      <c r="BA469" s="10" t="s">
        <v>1190</v>
      </c>
      <c r="BB469" s="11">
        <v>1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O470" s="9">
        <v>1</v>
      </c>
      <c r="P470" s="9">
        <v>15</v>
      </c>
      <c r="Q470" s="9" t="s">
        <v>1269</v>
      </c>
      <c r="U470" s="9" t="s">
        <v>707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529</v>
      </c>
      <c r="AD470" s="9">
        <v>6</v>
      </c>
      <c r="AF470" s="11">
        <f ca="1">IFERROR(OFFSET(MANOR_LEVEL!$B$1,MATCH(AG470-1,MANOR_LEVEL!$A:$A,0)-1,0),0)</f>
        <v>528</v>
      </c>
      <c r="AG470" s="56">
        <v>3</v>
      </c>
      <c r="AI470" s="56">
        <f t="shared" ca="1" si="138"/>
        <v>50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50.11</v>
      </c>
      <c r="AK470" s="182">
        <f t="shared" ca="1" si="145"/>
        <v>90</v>
      </c>
      <c r="AM470" s="11">
        <f t="shared" si="137"/>
        <v>30</v>
      </c>
      <c r="AN470" s="10">
        <v>30</v>
      </c>
      <c r="AO470" s="11">
        <f t="shared" si="144"/>
        <v>50</v>
      </c>
      <c r="AP470" s="10">
        <v>50</v>
      </c>
      <c r="AQ470" s="11">
        <f t="shared" si="144"/>
        <v>0</v>
      </c>
      <c r="AR470" s="10">
        <v>0</v>
      </c>
      <c r="AS470" s="56">
        <f t="shared" si="139"/>
        <v>2</v>
      </c>
      <c r="AU470" s="11">
        <f ca="1">IFERROR(OFFSET(ITEM_RES!$A$1,MATCH(AV470,ITEM_RES!$J:$J,0)-1,0),0)</f>
        <v>211020801</v>
      </c>
      <c r="AV470" s="10" t="s">
        <v>446</v>
      </c>
      <c r="AW470" s="11">
        <v>1</v>
      </c>
      <c r="AZ470" s="11">
        <f ca="1">IFERROR(OFFSET(ITEM_RES!$A$1,MATCH(BA470,ITEM_RES!$J:$J,0)-1,0),0)</f>
        <v>211020401</v>
      </c>
      <c r="BA470" s="10" t="s">
        <v>1190</v>
      </c>
      <c r="BB470" s="11">
        <v>1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O471" s="9">
        <v>1</v>
      </c>
      <c r="P471" s="9">
        <v>15</v>
      </c>
      <c r="Q471" s="9" t="s">
        <v>1270</v>
      </c>
      <c r="U471" s="9" t="s">
        <v>707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529</v>
      </c>
      <c r="AD471" s="9">
        <v>7</v>
      </c>
      <c r="AF471" s="11">
        <f ca="1">IFERROR(OFFSET(MANOR_LEVEL!$B$1,MATCH(AG471-1,MANOR_LEVEL!$A:$A,0)-1,0),0)</f>
        <v>800</v>
      </c>
      <c r="AG471" s="56">
        <v>4</v>
      </c>
      <c r="AI471" s="56">
        <f t="shared" ca="1" si="138"/>
        <v>100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100.11</v>
      </c>
      <c r="AK471" s="182">
        <f t="shared" ca="1" si="145"/>
        <v>150</v>
      </c>
      <c r="AM471" s="11">
        <f t="shared" si="137"/>
        <v>35</v>
      </c>
      <c r="AN471" s="10">
        <v>35</v>
      </c>
      <c r="AO471" s="11">
        <f t="shared" si="144"/>
        <v>100</v>
      </c>
      <c r="AP471" s="10">
        <v>100</v>
      </c>
      <c r="AQ471" s="11">
        <f t="shared" si="144"/>
        <v>0</v>
      </c>
      <c r="AR471" s="10">
        <v>0</v>
      </c>
      <c r="AS471" s="56">
        <f t="shared" si="139"/>
        <v>2</v>
      </c>
      <c r="AU471" s="11">
        <f ca="1">IFERROR(OFFSET(ITEM_RES!$A$1,MATCH(AV471,ITEM_RES!$J:$J,0)-1,0),0)</f>
        <v>211020801</v>
      </c>
      <c r="AV471" s="10" t="s">
        <v>437</v>
      </c>
      <c r="AW471" s="11">
        <v>1</v>
      </c>
      <c r="AZ471" s="11">
        <f ca="1">IFERROR(OFFSET(ITEM_RES!$A$1,MATCH(BA471,ITEM_RES!$J:$J,0)-1,0),0)</f>
        <v>211020401</v>
      </c>
      <c r="BA471" s="10" t="s">
        <v>1190</v>
      </c>
      <c r="BB471" s="11">
        <v>1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O472" s="9">
        <v>1</v>
      </c>
      <c r="P472" s="9">
        <v>15</v>
      </c>
      <c r="Q472" s="9" t="s">
        <v>1270</v>
      </c>
      <c r="U472" s="9" t="s">
        <v>707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529</v>
      </c>
      <c r="AD472" s="9">
        <v>8</v>
      </c>
      <c r="AF472" s="11">
        <f ca="1">IFERROR(OFFSET(MANOR_LEVEL!$B$1,MATCH(AG472-1,MANOR_LEVEL!$A:$A,0)-1,0),0)</f>
        <v>1500</v>
      </c>
      <c r="AG472" s="56">
        <v>5</v>
      </c>
      <c r="AI472" s="56">
        <f t="shared" ca="1" si="138"/>
        <v>100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100.11</v>
      </c>
      <c r="AK472" s="182">
        <f t="shared" ca="1" si="145"/>
        <v>200</v>
      </c>
      <c r="AM472" s="11">
        <f t="shared" si="137"/>
        <v>40</v>
      </c>
      <c r="AN472" s="10">
        <v>40</v>
      </c>
      <c r="AO472" s="11">
        <f t="shared" si="144"/>
        <v>100</v>
      </c>
      <c r="AP472" s="10">
        <v>100</v>
      </c>
      <c r="AQ472" s="11">
        <f t="shared" si="144"/>
        <v>0</v>
      </c>
      <c r="AR472" s="10">
        <v>0</v>
      </c>
      <c r="AS472" s="56">
        <f t="shared" si="139"/>
        <v>2</v>
      </c>
      <c r="AU472" s="11">
        <f ca="1">IFERROR(OFFSET(ITEM_RES!$A$1,MATCH(AV472,ITEM_RES!$J:$J,0)-1,0),0)</f>
        <v>211020801</v>
      </c>
      <c r="AV472" s="10" t="s">
        <v>437</v>
      </c>
      <c r="AW472" s="11">
        <v>1</v>
      </c>
      <c r="AZ472" s="11">
        <f ca="1">IFERROR(OFFSET(ITEM_RES!$A$1,MATCH(BA472,ITEM_RES!$J:$J,0)-1,0),0)</f>
        <v>211020401</v>
      </c>
      <c r="BA472" s="10" t="s">
        <v>1190</v>
      </c>
      <c r="BB472" s="11">
        <v>1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O473" s="9">
        <v>1</v>
      </c>
      <c r="P473" s="9">
        <v>15</v>
      </c>
      <c r="Q473" s="9" t="s">
        <v>1270</v>
      </c>
      <c r="U473" s="9" t="s">
        <v>707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529</v>
      </c>
      <c r="AD473" s="9">
        <v>9</v>
      </c>
      <c r="AF473" s="11">
        <f ca="1">IFERROR(OFFSET(MANOR_LEVEL!$B$1,MATCH(AG473-1,MANOR_LEVEL!$A:$A,0)-1,0),0)</f>
        <v>3872</v>
      </c>
      <c r="AG473" s="56">
        <v>6</v>
      </c>
      <c r="AI473" s="56">
        <f t="shared" ca="1" si="138"/>
        <v>150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150.21</v>
      </c>
      <c r="AK473" s="182">
        <f t="shared" ca="1" si="145"/>
        <v>250</v>
      </c>
      <c r="AM473" s="11">
        <f t="shared" si="137"/>
        <v>45</v>
      </c>
      <c r="AN473" s="10">
        <v>45</v>
      </c>
      <c r="AO473" s="11">
        <f t="shared" si="144"/>
        <v>150</v>
      </c>
      <c r="AP473" s="10">
        <v>150</v>
      </c>
      <c r="AQ473" s="11">
        <f t="shared" si="144"/>
        <v>0</v>
      </c>
      <c r="AR473" s="10">
        <v>0</v>
      </c>
      <c r="AS473" s="56">
        <f t="shared" si="139"/>
        <v>2</v>
      </c>
      <c r="AU473" s="11">
        <f ca="1">IFERROR(OFFSET(ITEM_RES!$A$1,MATCH(AV473,ITEM_RES!$J:$J,0)-1,0),0)</f>
        <v>211020901</v>
      </c>
      <c r="AV473" s="10" t="s">
        <v>447</v>
      </c>
      <c r="AW473" s="11">
        <v>1</v>
      </c>
      <c r="AZ473" s="11">
        <f ca="1">IFERROR(OFFSET(ITEM_RES!$A$1,MATCH(BA473,ITEM_RES!$J:$J,0)-1,0),0)</f>
        <v>211020401</v>
      </c>
      <c r="BA473" s="10" t="s">
        <v>1190</v>
      </c>
      <c r="BB473" s="11">
        <v>1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O474" s="9">
        <v>1</v>
      </c>
      <c r="P474" s="9">
        <v>15</v>
      </c>
      <c r="Q474" s="9" t="s">
        <v>1270</v>
      </c>
      <c r="U474" s="9" t="s">
        <v>707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529</v>
      </c>
      <c r="AD474" s="9">
        <v>10</v>
      </c>
      <c r="AF474" s="11">
        <f ca="1">IFERROR(OFFSET(MANOR_LEVEL!$B$1,MATCH(AG474-1,MANOR_LEVEL!$A:$A,0)-1,0),0)</f>
        <v>32640</v>
      </c>
      <c r="AG474" s="56">
        <v>7</v>
      </c>
      <c r="AI474" s="56">
        <f t="shared" ca="1" si="138"/>
        <v>200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200.21</v>
      </c>
      <c r="AK474" s="182">
        <f t="shared" ca="1" si="145"/>
        <v>350</v>
      </c>
      <c r="AM474" s="11">
        <f t="shared" si="137"/>
        <v>50</v>
      </c>
      <c r="AN474" s="10">
        <v>50</v>
      </c>
      <c r="AO474" s="11">
        <f t="shared" si="144"/>
        <v>200</v>
      </c>
      <c r="AP474" s="10">
        <v>200</v>
      </c>
      <c r="AQ474" s="11">
        <f t="shared" si="144"/>
        <v>0</v>
      </c>
      <c r="AR474" s="10">
        <v>0</v>
      </c>
      <c r="AS474" s="56">
        <f t="shared" si="139"/>
        <v>2</v>
      </c>
      <c r="AU474" s="11">
        <f ca="1">IFERROR(OFFSET(ITEM_RES!$A$1,MATCH(AV474,ITEM_RES!$J:$J,0)-1,0),0)</f>
        <v>211020901</v>
      </c>
      <c r="AV474" s="10" t="s">
        <v>447</v>
      </c>
      <c r="AW474" s="11">
        <v>1</v>
      </c>
      <c r="AZ474" s="11">
        <f ca="1">IFERROR(OFFSET(ITEM_RES!$A$1,MATCH(BA474,ITEM_RES!$J:$J,0)-1,0),0)</f>
        <v>211020401</v>
      </c>
      <c r="BA474" s="10" t="s">
        <v>1190</v>
      </c>
      <c r="BB474" s="11">
        <v>1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0</v>
      </c>
      <c r="BO474" s="11">
        <f ca="1">IFERROR(OFFSET(ITEM_RES!$A$1,MATCH(BP474,ITEM_RES!$J:$J,0)-1,0),0)</f>
        <v>0</v>
      </c>
    </row>
    <row r="475" spans="1:70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O475" s="9">
        <v>1</v>
      </c>
      <c r="P475" s="9">
        <v>15</v>
      </c>
      <c r="Q475" s="9" t="s">
        <v>1270</v>
      </c>
      <c r="U475" s="9" t="s">
        <v>707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529</v>
      </c>
      <c r="AD475" s="9">
        <v>11</v>
      </c>
      <c r="AF475" s="11">
        <f ca="1">IFERROR(OFFSET(MANOR_LEVEL!$B$1,MATCH(AG475-1,MANOR_LEVEL!$A:$A,0)-1,0),0)</f>
        <v>94800</v>
      </c>
      <c r="AG475" s="56">
        <v>8</v>
      </c>
      <c r="AI475" s="56">
        <f t="shared" ca="1" si="138"/>
        <v>250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250.21</v>
      </c>
      <c r="AK475" s="182">
        <f t="shared" ca="1" si="145"/>
        <v>450</v>
      </c>
      <c r="AM475" s="11">
        <f t="shared" si="137"/>
        <v>55</v>
      </c>
      <c r="AN475" s="10">
        <v>55</v>
      </c>
      <c r="AO475" s="11">
        <f t="shared" si="144"/>
        <v>250</v>
      </c>
      <c r="AP475" s="10">
        <v>250</v>
      </c>
      <c r="AQ475" s="11">
        <f t="shared" si="144"/>
        <v>0</v>
      </c>
      <c r="AR475" s="10">
        <v>0</v>
      </c>
      <c r="AS475" s="56">
        <f t="shared" si="139"/>
        <v>2</v>
      </c>
      <c r="AU475" s="11">
        <f ca="1">IFERROR(OFFSET(ITEM_RES!$A$1,MATCH(AV475,ITEM_RES!$J:$J,0)-1,0),0)</f>
        <v>211020901</v>
      </c>
      <c r="AV475" s="10" t="s">
        <v>447</v>
      </c>
      <c r="AW475" s="11">
        <v>1</v>
      </c>
      <c r="AZ475" s="11">
        <f ca="1">IFERROR(OFFSET(ITEM_RES!$A$1,MATCH(BA475,ITEM_RES!$J:$J,0)-1,0),0)</f>
        <v>211020401</v>
      </c>
      <c r="BA475" s="10" t="s">
        <v>1190</v>
      </c>
      <c r="BB475" s="11">
        <v>1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O476" s="9">
        <v>1</v>
      </c>
      <c r="P476" s="9">
        <v>15</v>
      </c>
      <c r="Q476" s="9" t="s">
        <v>1270</v>
      </c>
      <c r="U476" s="9" t="s">
        <v>707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529</v>
      </c>
      <c r="AD476" s="9">
        <v>12</v>
      </c>
      <c r="AF476" s="11">
        <f ca="1">IFERROR(OFFSET(MANOR_LEVEL!$B$1,MATCH(AG476-1,MANOR_LEVEL!$A:$A,0)-1,0),0)</f>
        <v>186400</v>
      </c>
      <c r="AG476" s="56">
        <v>9</v>
      </c>
      <c r="AI476" s="56">
        <f t="shared" ca="1" si="138"/>
        <v>400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400.21</v>
      </c>
      <c r="AK476" s="182">
        <f t="shared" ca="1" si="145"/>
        <v>650</v>
      </c>
      <c r="AM476" s="11">
        <f t="shared" si="137"/>
        <v>60</v>
      </c>
      <c r="AN476" s="10">
        <v>60</v>
      </c>
      <c r="AO476" s="11">
        <f t="shared" si="144"/>
        <v>300</v>
      </c>
      <c r="AP476" s="10">
        <v>300</v>
      </c>
      <c r="AQ476" s="11">
        <f t="shared" si="144"/>
        <v>0</v>
      </c>
      <c r="AR476" s="10">
        <v>0</v>
      </c>
      <c r="AS476" s="56">
        <f t="shared" si="139"/>
        <v>3</v>
      </c>
      <c r="AU476" s="11">
        <f ca="1">IFERROR(OFFSET(ITEM_RES!$A$1,MATCH(AV476,ITEM_RES!$J:$J,0)-1,0),0)</f>
        <v>211020901</v>
      </c>
      <c r="AV476" s="10" t="s">
        <v>447</v>
      </c>
      <c r="AW476" s="11">
        <v>1</v>
      </c>
      <c r="AZ476" s="11">
        <f ca="1">IFERROR(OFFSET(ITEM_RES!$A$1,MATCH(BA476,ITEM_RES!$J:$J,0)-1,0),0)</f>
        <v>211020401</v>
      </c>
      <c r="BA476" s="10" t="s">
        <v>1190</v>
      </c>
      <c r="BB476" s="11">
        <v>1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213011401</v>
      </c>
      <c r="BK476" s="10" t="s">
        <v>471</v>
      </c>
      <c r="BL476" s="11">
        <v>1</v>
      </c>
      <c r="BO476" s="11">
        <f ca="1">IFERROR(OFFSET(ITEM_RES!$A$1,MATCH(BP476,ITEM_RES!$J:$J,0)-1,0),0)</f>
        <v>0</v>
      </c>
    </row>
    <row r="477" spans="1:70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O477" s="9">
        <v>1</v>
      </c>
      <c r="P477" s="9">
        <v>15</v>
      </c>
      <c r="Q477" s="9" t="s">
        <v>1270</v>
      </c>
      <c r="U477" s="9" t="s">
        <v>707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529</v>
      </c>
      <c r="AD477" s="9">
        <v>13</v>
      </c>
      <c r="AF477" s="11">
        <f ca="1">IFERROR(OFFSET(MANOR_LEVEL!$B$1,MATCH(AG477-1,MANOR_LEVEL!$A:$A,0)-1,0),0)</f>
        <v>311600</v>
      </c>
      <c r="AG477" s="56">
        <v>10</v>
      </c>
      <c r="AI477" s="56">
        <f t="shared" ca="1" si="138"/>
        <v>350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350.21</v>
      </c>
      <c r="AK477" s="182">
        <f t="shared" ca="1" si="145"/>
        <v>750</v>
      </c>
      <c r="AM477" s="11">
        <f t="shared" si="137"/>
        <v>65</v>
      </c>
      <c r="AN477" s="10">
        <v>65</v>
      </c>
      <c r="AO477" s="11">
        <f t="shared" si="144"/>
        <v>350</v>
      </c>
      <c r="AP477" s="10">
        <v>350</v>
      </c>
      <c r="AQ477" s="11">
        <f t="shared" si="144"/>
        <v>0</v>
      </c>
      <c r="AR477" s="10">
        <v>0</v>
      </c>
      <c r="AS477" s="56">
        <f t="shared" si="139"/>
        <v>2</v>
      </c>
      <c r="AU477" s="11">
        <f ca="1">IFERROR(OFFSET(ITEM_RES!$A$1,MATCH(AV477,ITEM_RES!$J:$J,0)-1,0),0)</f>
        <v>211020901</v>
      </c>
      <c r="AV477" s="10" t="s">
        <v>447</v>
      </c>
      <c r="AW477" s="11">
        <v>1</v>
      </c>
      <c r="AZ477" s="11">
        <f ca="1">IFERROR(OFFSET(ITEM_RES!$A$1,MATCH(BA477,ITEM_RES!$J:$J,0)-1,0),0)</f>
        <v>211020401</v>
      </c>
      <c r="BA477" s="10" t="s">
        <v>1190</v>
      </c>
      <c r="BB477" s="11">
        <v>1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O478" s="9">
        <v>1</v>
      </c>
      <c r="P478" s="9">
        <v>15</v>
      </c>
      <c r="Q478" s="9" t="s">
        <v>1270</v>
      </c>
      <c r="U478" s="9" t="s">
        <v>707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529</v>
      </c>
      <c r="AD478" s="9">
        <v>14</v>
      </c>
      <c r="AF478" s="11">
        <f ca="1">IFERROR(OFFSET(MANOR_LEVEL!$B$1,MATCH(AG478-1,MANOR_LEVEL!$A:$A,0)-1,0),0)</f>
        <v>456800</v>
      </c>
      <c r="AG478" s="56">
        <v>11</v>
      </c>
      <c r="AI478" s="56">
        <f t="shared" ca="1" si="138"/>
        <v>450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450.4</v>
      </c>
      <c r="AK478" s="182">
        <f t="shared" ca="1" si="145"/>
        <v>800</v>
      </c>
      <c r="AM478" s="11">
        <f t="shared" si="137"/>
        <v>70</v>
      </c>
      <c r="AN478" s="10">
        <v>70</v>
      </c>
      <c r="AO478" s="11">
        <f t="shared" si="144"/>
        <v>450</v>
      </c>
      <c r="AP478" s="10">
        <v>450</v>
      </c>
      <c r="AQ478" s="11">
        <f t="shared" si="144"/>
        <v>0</v>
      </c>
      <c r="AR478" s="10">
        <v>0</v>
      </c>
      <c r="AS478" s="56">
        <f t="shared" si="139"/>
        <v>2</v>
      </c>
      <c r="AU478" s="11">
        <f ca="1">IFERROR(OFFSET(ITEM_RES!$A$1,MATCH(AV478,ITEM_RES!$J:$J,0)-1,0),0)</f>
        <v>211020901</v>
      </c>
      <c r="AV478" s="10" t="s">
        <v>447</v>
      </c>
      <c r="AW478" s="11">
        <v>1</v>
      </c>
      <c r="AZ478" s="11">
        <f ca="1">IFERROR(OFFSET(ITEM_RES!$A$1,MATCH(BA478,ITEM_RES!$J:$J,0)-1,0),0)</f>
        <v>211020501</v>
      </c>
      <c r="BA478" s="10" t="s">
        <v>1194</v>
      </c>
      <c r="BB478" s="11">
        <v>1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O479" s="9">
        <v>1</v>
      </c>
      <c r="P479" s="9">
        <v>15</v>
      </c>
      <c r="Q479" s="9" t="s">
        <v>1270</v>
      </c>
      <c r="U479" s="9" t="s">
        <v>707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529</v>
      </c>
      <c r="AD479" s="9">
        <v>15</v>
      </c>
      <c r="AF479" s="11">
        <f ca="1">IFERROR(OFFSET(MANOR_LEVEL!$B$1,MATCH(AG479-1,MANOR_LEVEL!$A:$A,0)-1,0),0)</f>
        <v>796000</v>
      </c>
      <c r="AG479" s="56">
        <v>12</v>
      </c>
      <c r="AI479" s="56">
        <f t="shared" ca="1" si="138"/>
        <v>550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550.4</v>
      </c>
      <c r="AK479" s="182">
        <f t="shared" ca="1" si="145"/>
        <v>1000</v>
      </c>
      <c r="AM479" s="11">
        <f t="shared" si="137"/>
        <v>75</v>
      </c>
      <c r="AN479" s="10">
        <v>75</v>
      </c>
      <c r="AO479" s="11">
        <f t="shared" si="144"/>
        <v>550</v>
      </c>
      <c r="AP479" s="10">
        <v>550</v>
      </c>
      <c r="AQ479" s="11">
        <f t="shared" si="144"/>
        <v>0</v>
      </c>
      <c r="AR479" s="10">
        <v>0</v>
      </c>
      <c r="AS479" s="56">
        <f t="shared" si="139"/>
        <v>2</v>
      </c>
      <c r="AU479" s="11">
        <f ca="1">IFERROR(OFFSET(ITEM_RES!$A$1,MATCH(AV479,ITEM_RES!$J:$J,0)-1,0),0)</f>
        <v>211020901</v>
      </c>
      <c r="AV479" s="10" t="s">
        <v>447</v>
      </c>
      <c r="AW479" s="11">
        <v>1</v>
      </c>
      <c r="AZ479" s="11">
        <f ca="1">IFERROR(OFFSET(ITEM_RES!$A$1,MATCH(BA479,ITEM_RES!$J:$J,0)-1,0),0)</f>
        <v>211020501</v>
      </c>
      <c r="BA479" s="10" t="s">
        <v>1194</v>
      </c>
      <c r="BB479" s="11">
        <v>1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O480" s="9">
        <v>0</v>
      </c>
      <c r="P480" s="9">
        <v>15</v>
      </c>
      <c r="Q480" s="9" t="s">
        <v>1270</v>
      </c>
      <c r="U480" s="9" t="s">
        <v>707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529</v>
      </c>
      <c r="AD480" s="9">
        <v>16</v>
      </c>
      <c r="AF480" s="11">
        <f ca="1">IFERROR(OFFSET(MANOR_LEVEL!$B$1,MATCH(AG480-1,MANOR_LEVEL!$A:$A,0)-1,0),0)</f>
        <v>1156400</v>
      </c>
      <c r="AG480" s="56">
        <v>13</v>
      </c>
      <c r="AI480" s="56">
        <f t="shared" ca="1" si="138"/>
        <v>700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700.4</v>
      </c>
      <c r="AK480" s="182">
        <f t="shared" ca="1" si="145"/>
        <v>1250</v>
      </c>
      <c r="AM480" s="11">
        <f t="shared" si="137"/>
        <v>80</v>
      </c>
      <c r="AN480" s="10">
        <v>80</v>
      </c>
      <c r="AO480" s="11">
        <f t="shared" si="144"/>
        <v>700</v>
      </c>
      <c r="AP480" s="10">
        <v>700</v>
      </c>
      <c r="AQ480" s="11">
        <f t="shared" si="144"/>
        <v>0</v>
      </c>
      <c r="AR480" s="10">
        <v>0</v>
      </c>
      <c r="AS480" s="56">
        <f t="shared" si="139"/>
        <v>2</v>
      </c>
      <c r="AU480" s="11">
        <f ca="1">IFERROR(OFFSET(ITEM_RES!$A$1,MATCH(AV480,ITEM_RES!$J:$J,0)-1,0),0)</f>
        <v>211020901</v>
      </c>
      <c r="AV480" s="10" t="s">
        <v>447</v>
      </c>
      <c r="AW480" s="11">
        <v>1</v>
      </c>
      <c r="AZ480" s="11">
        <f ca="1">IFERROR(OFFSET(ITEM_RES!$A$1,MATCH(BA480,ITEM_RES!$J:$J,0)-1,0),0)</f>
        <v>211020501</v>
      </c>
      <c r="BA480" s="10" t="s">
        <v>1194</v>
      </c>
      <c r="BB480" s="11">
        <v>1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O481" s="9">
        <v>0</v>
      </c>
      <c r="P481" s="9">
        <v>15</v>
      </c>
      <c r="Q481" s="9" t="s">
        <v>1270</v>
      </c>
      <c r="U481" s="9" t="s">
        <v>707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529</v>
      </c>
      <c r="AD481" s="9">
        <v>17</v>
      </c>
      <c r="AF481" s="11">
        <f ca="1">IFERROR(OFFSET(MANOR_LEVEL!$B$1,MATCH(AG481-1,MANOR_LEVEL!$A:$A,0)-1,0),0)</f>
        <v>1661200</v>
      </c>
      <c r="AG481" s="56">
        <v>14</v>
      </c>
      <c r="AI481" s="56">
        <f t="shared" ca="1" si="138"/>
        <v>850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850.4</v>
      </c>
      <c r="AK481" s="182">
        <f t="shared" ca="1" si="145"/>
        <v>1550</v>
      </c>
      <c r="AM481" s="11">
        <f t="shared" si="137"/>
        <v>85</v>
      </c>
      <c r="AN481" s="10">
        <v>85</v>
      </c>
      <c r="AO481" s="11">
        <f t="shared" si="144"/>
        <v>850</v>
      </c>
      <c r="AP481" s="10">
        <v>850</v>
      </c>
      <c r="AQ481" s="11">
        <f t="shared" si="144"/>
        <v>0</v>
      </c>
      <c r="AR481" s="10">
        <v>0</v>
      </c>
      <c r="AS481" s="56">
        <f t="shared" si="139"/>
        <v>2</v>
      </c>
      <c r="AU481" s="11">
        <f ca="1">IFERROR(OFFSET(ITEM_RES!$A$1,MATCH(AV481,ITEM_RES!$J:$J,0)-1,0),0)</f>
        <v>211020901</v>
      </c>
      <c r="AV481" s="10" t="s">
        <v>447</v>
      </c>
      <c r="AW481" s="11">
        <v>1</v>
      </c>
      <c r="AZ481" s="11">
        <f ca="1">IFERROR(OFFSET(ITEM_RES!$A$1,MATCH(BA481,ITEM_RES!$J:$J,0)-1,0),0)</f>
        <v>211020501</v>
      </c>
      <c r="BA481" s="10" t="s">
        <v>1194</v>
      </c>
      <c r="BB481" s="11">
        <v>1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O482" s="9">
        <v>0</v>
      </c>
      <c r="P482" s="9">
        <v>15</v>
      </c>
      <c r="Q482" s="9" t="s">
        <v>1270</v>
      </c>
      <c r="U482" s="9" t="s">
        <v>707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529</v>
      </c>
      <c r="AD482" s="9">
        <v>18</v>
      </c>
      <c r="AF482" s="11">
        <f ca="1">IFERROR(OFFSET(MANOR_LEVEL!$B$1,MATCH(AG482-1,MANOR_LEVEL!$A:$A,0)-1,0),0)</f>
        <v>2622400</v>
      </c>
      <c r="AG482" s="56">
        <v>15</v>
      </c>
      <c r="AI482" s="56">
        <f t="shared" ca="1" si="138"/>
        <v>1050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1050.4000000000001</v>
      </c>
      <c r="AK482" s="182">
        <f t="shared" ca="1" si="145"/>
        <v>1900</v>
      </c>
      <c r="AM482" s="11">
        <f t="shared" si="137"/>
        <v>90</v>
      </c>
      <c r="AN482" s="10">
        <v>90</v>
      </c>
      <c r="AO482" s="11">
        <f t="shared" si="144"/>
        <v>1050</v>
      </c>
      <c r="AP482" s="10">
        <v>1050</v>
      </c>
      <c r="AQ482" s="11">
        <f t="shared" si="144"/>
        <v>0</v>
      </c>
      <c r="AR482" s="10">
        <v>0</v>
      </c>
      <c r="AS482" s="56">
        <f t="shared" si="139"/>
        <v>2</v>
      </c>
      <c r="AU482" s="11">
        <f ca="1">IFERROR(OFFSET(ITEM_RES!$A$1,MATCH(AV482,ITEM_RES!$J:$J,0)-1,0),0)</f>
        <v>211020901</v>
      </c>
      <c r="AV482" s="10" t="s">
        <v>447</v>
      </c>
      <c r="AW482" s="11">
        <v>1</v>
      </c>
      <c r="AZ482" s="11">
        <f ca="1">IFERROR(OFFSET(ITEM_RES!$A$1,MATCH(BA482,ITEM_RES!$J:$J,0)-1,0),0)</f>
        <v>211020501</v>
      </c>
      <c r="BA482" s="10" t="s">
        <v>1194</v>
      </c>
      <c r="BB482" s="11">
        <v>1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O483" s="9">
        <v>0</v>
      </c>
      <c r="P483" s="9">
        <v>15</v>
      </c>
      <c r="Q483" s="9" t="s">
        <v>1270</v>
      </c>
      <c r="U483" s="9" t="s">
        <v>707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529</v>
      </c>
      <c r="AD483" s="9">
        <v>19</v>
      </c>
      <c r="AF483" s="11">
        <f ca="1">IFERROR(OFFSET(MANOR_LEVEL!$B$1,MATCH(AG483-1,MANOR_LEVEL!$A:$A,0)-1,0),0)</f>
        <v>4232000</v>
      </c>
      <c r="AG483" s="56">
        <v>16</v>
      </c>
      <c r="AI483" s="56">
        <f t="shared" ca="1" si="138"/>
        <v>1250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1250.4000000000001</v>
      </c>
      <c r="AK483" s="182">
        <f t="shared" ca="1" si="145"/>
        <v>2300</v>
      </c>
      <c r="AM483" s="11">
        <f t="shared" si="137"/>
        <v>95</v>
      </c>
      <c r="AN483" s="10">
        <v>95</v>
      </c>
      <c r="AO483" s="11">
        <f t="shared" si="144"/>
        <v>1250</v>
      </c>
      <c r="AP483" s="10">
        <v>1250</v>
      </c>
      <c r="AQ483" s="11">
        <f t="shared" si="144"/>
        <v>0</v>
      </c>
      <c r="AR483" s="10">
        <v>0</v>
      </c>
      <c r="AS483" s="56">
        <f t="shared" si="139"/>
        <v>2</v>
      </c>
      <c r="AU483" s="11">
        <f ca="1">IFERROR(OFFSET(ITEM_RES!$A$1,MATCH(AV483,ITEM_RES!$J:$J,0)-1,0),0)</f>
        <v>211020901</v>
      </c>
      <c r="AV483" s="10" t="s">
        <v>447</v>
      </c>
      <c r="AW483" s="11">
        <v>1</v>
      </c>
      <c r="AZ483" s="11">
        <f ca="1">IFERROR(OFFSET(ITEM_RES!$A$1,MATCH(BA483,ITEM_RES!$J:$J,0)-1,0),0)</f>
        <v>211020501</v>
      </c>
      <c r="BA483" s="10" t="s">
        <v>1194</v>
      </c>
      <c r="BB483" s="11">
        <v>1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O484" s="9">
        <v>0</v>
      </c>
      <c r="P484" s="9">
        <v>15</v>
      </c>
      <c r="Q484" s="9" t="s">
        <v>1270</v>
      </c>
      <c r="U484" s="9" t="s">
        <v>707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529</v>
      </c>
      <c r="AD484" s="9">
        <v>20</v>
      </c>
      <c r="AF484" s="11">
        <f ca="1">IFERROR(OFFSET(MANOR_LEVEL!$B$1,MATCH(AG484-1,MANOR_LEVEL!$A:$A,0)-1,0),0)</f>
        <v>7450000</v>
      </c>
      <c r="AG484" s="56">
        <v>17</v>
      </c>
      <c r="AI484" s="56">
        <f t="shared" ca="1" si="138"/>
        <v>1500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1500.4</v>
      </c>
      <c r="AK484" s="182">
        <f t="shared" ca="1" si="145"/>
        <v>2750</v>
      </c>
      <c r="AM484" s="11">
        <f t="shared" si="137"/>
        <v>100</v>
      </c>
      <c r="AN484" s="10">
        <v>100</v>
      </c>
      <c r="AO484" s="11">
        <f t="shared" si="144"/>
        <v>1500</v>
      </c>
      <c r="AP484" s="10">
        <v>1500</v>
      </c>
      <c r="AQ484" s="11">
        <f t="shared" si="144"/>
        <v>0</v>
      </c>
      <c r="AR484" s="10">
        <v>0</v>
      </c>
      <c r="AS484" s="56">
        <f t="shared" si="139"/>
        <v>2</v>
      </c>
      <c r="AU484" s="11">
        <f ca="1">IFERROR(OFFSET(ITEM_RES!$A$1,MATCH(AV484,ITEM_RES!$J:$J,0)-1,0),0)</f>
        <v>211020901</v>
      </c>
      <c r="AV484" s="10" t="s">
        <v>447</v>
      </c>
      <c r="AW484" s="11">
        <v>1</v>
      </c>
      <c r="AZ484" s="11">
        <f ca="1">IFERROR(OFFSET(ITEM_RES!$A$1,MATCH(BA484,ITEM_RES!$J:$J,0)-1,0),0)</f>
        <v>211020501</v>
      </c>
      <c r="BA484" s="10" t="s">
        <v>1194</v>
      </c>
      <c r="BB484" s="11">
        <v>1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1116</v>
      </c>
      <c r="L485" s="16">
        <v>1</v>
      </c>
      <c r="M485" s="16"/>
      <c r="N485" s="16"/>
      <c r="O485" s="16">
        <v>1</v>
      </c>
      <c r="P485" s="16">
        <v>15</v>
      </c>
      <c r="Q485" s="16" t="s">
        <v>1271</v>
      </c>
      <c r="R485" s="17"/>
      <c r="S485" s="17"/>
      <c r="T485" s="18"/>
      <c r="U485" s="16">
        <v>2222</v>
      </c>
      <c r="V485" s="78"/>
      <c r="W485" s="86"/>
      <c r="X485" s="16">
        <f ca="1">IFERROR(OFFSET(ITEM_RES!$A$5,MATCH(BUILDING!W485,ITEM_RES!$J$5:$J$226,0)-1,0),0)</f>
        <v>0</v>
      </c>
      <c r="Y485" s="18"/>
      <c r="Z485" s="86"/>
      <c r="AA485" s="16">
        <f ca="1">IFERROR(OFFSET(ITEM_RES!$A$5,MATCH(BUILDING!Z485,ITEM_RES!$J$5:$J$226,0)-1,0),0)</f>
        <v>0</v>
      </c>
      <c r="AB485" s="78"/>
      <c r="AC485" s="16" t="s">
        <v>530</v>
      </c>
      <c r="AD485" s="16">
        <v>1</v>
      </c>
      <c r="AE485" s="78"/>
      <c r="AF485" s="18">
        <f ca="1">IFERROR(OFFSET(MANOR_LEVEL!$B$1,MATCH(AG485-1,MANOR_LEVEL!$A:$A,0)-1,0),0)</f>
        <v>0</v>
      </c>
      <c r="AG485" s="57">
        <v>1</v>
      </c>
      <c r="AH485" s="78"/>
      <c r="AI485" s="57">
        <f t="shared" ca="1" si="138"/>
        <v>205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205.1</v>
      </c>
      <c r="AK485" s="184">
        <f ca="1">AI485</f>
        <v>205</v>
      </c>
      <c r="AL485" s="78"/>
      <c r="AM485" s="18">
        <f t="shared" si="137"/>
        <v>5</v>
      </c>
      <c r="AN485" s="17">
        <v>5</v>
      </c>
      <c r="AO485" s="18">
        <f t="shared" si="144"/>
        <v>5</v>
      </c>
      <c r="AP485" s="17">
        <v>5</v>
      </c>
      <c r="AQ485" s="18">
        <f t="shared" si="144"/>
        <v>0</v>
      </c>
      <c r="AR485" s="17">
        <v>0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1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452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474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1116</v>
      </c>
      <c r="O486" s="9">
        <v>1</v>
      </c>
      <c r="P486" s="9">
        <v>15</v>
      </c>
      <c r="Q486" s="9" t="s">
        <v>1272</v>
      </c>
      <c r="U486" s="9">
        <v>2222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530</v>
      </c>
      <c r="AD486" s="9">
        <v>2</v>
      </c>
      <c r="AF486" s="11">
        <f ca="1">IFERROR(OFFSET(MANOR_LEVEL!$B$1,MATCH(AG486-1,MANOR_LEVEL!$A:$A,0)-1,0),0)</f>
        <v>0</v>
      </c>
      <c r="AG486" s="56">
        <v>1</v>
      </c>
      <c r="AI486" s="56">
        <f t="shared" ca="1" si="138"/>
        <v>10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10.1</v>
      </c>
      <c r="AK486" s="182">
        <f ca="1">AI485+AI486</f>
        <v>215</v>
      </c>
      <c r="AM486" s="11">
        <f t="shared" si="137"/>
        <v>10</v>
      </c>
      <c r="AN486" s="10">
        <v>10</v>
      </c>
      <c r="AO486" s="11">
        <f t="shared" si="144"/>
        <v>10</v>
      </c>
      <c r="AP486" s="10">
        <v>10</v>
      </c>
      <c r="AQ486" s="11">
        <f t="shared" si="144"/>
        <v>0</v>
      </c>
      <c r="AR486" s="10">
        <v>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1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O487" s="9">
        <v>1</v>
      </c>
      <c r="P487" s="9">
        <v>15</v>
      </c>
      <c r="Q487" s="9" t="s">
        <v>1273</v>
      </c>
      <c r="U487" s="9">
        <v>2222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530</v>
      </c>
      <c r="AD487" s="9">
        <v>3</v>
      </c>
      <c r="AF487" s="11">
        <f ca="1">IFERROR(OFFSET(MANOR_LEVEL!$B$1,MATCH(AG487-1,MANOR_LEVEL!$A:$A,0)-1,0),0)</f>
        <v>0</v>
      </c>
      <c r="AG487" s="56">
        <v>1</v>
      </c>
      <c r="AI487" s="56">
        <f t="shared" ca="1" si="138"/>
        <v>15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15.1</v>
      </c>
      <c r="AK487" s="182">
        <f t="shared" ref="AK487:AK504" ca="1" si="146">AI486+AI487</f>
        <v>25</v>
      </c>
      <c r="AM487" s="11">
        <f t="shared" si="137"/>
        <v>15</v>
      </c>
      <c r="AN487" s="10">
        <v>15</v>
      </c>
      <c r="AO487" s="11">
        <f t="shared" si="144"/>
        <v>15</v>
      </c>
      <c r="AP487" s="10">
        <v>15</v>
      </c>
      <c r="AQ487" s="11">
        <f t="shared" si="144"/>
        <v>0</v>
      </c>
      <c r="AR487" s="10">
        <v>0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1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O488" s="9">
        <v>1</v>
      </c>
      <c r="P488" s="9">
        <v>15</v>
      </c>
      <c r="Q488" s="9" t="s">
        <v>1273</v>
      </c>
      <c r="U488" s="9">
        <v>2222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530</v>
      </c>
      <c r="AD488" s="9">
        <v>4</v>
      </c>
      <c r="AF488" s="11">
        <f ca="1">IFERROR(OFFSET(MANOR_LEVEL!$B$1,MATCH(AG488-1,MANOR_LEVEL!$A:$A,0)-1,0),0)</f>
        <v>0</v>
      </c>
      <c r="AG488" s="56">
        <v>1</v>
      </c>
      <c r="AI488" s="56">
        <f t="shared" ca="1" si="138"/>
        <v>25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25.1</v>
      </c>
      <c r="AK488" s="182">
        <f t="shared" ca="1" si="146"/>
        <v>40</v>
      </c>
      <c r="AM488" s="11">
        <f t="shared" si="137"/>
        <v>20</v>
      </c>
      <c r="AN488" s="10">
        <v>20</v>
      </c>
      <c r="AO488" s="11">
        <f t="shared" si="144"/>
        <v>25</v>
      </c>
      <c r="AP488" s="10">
        <v>25</v>
      </c>
      <c r="AQ488" s="11">
        <f t="shared" si="144"/>
        <v>0</v>
      </c>
      <c r="AR488" s="10">
        <v>0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O489" s="9">
        <v>1</v>
      </c>
      <c r="P489" s="9">
        <v>15</v>
      </c>
      <c r="Q489" s="9" t="s">
        <v>1273</v>
      </c>
      <c r="U489" s="9">
        <v>2222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530</v>
      </c>
      <c r="AD489" s="9">
        <v>5</v>
      </c>
      <c r="AF489" s="11">
        <f ca="1">IFERROR(OFFSET(MANOR_LEVEL!$B$1,MATCH(AG489-1,MANOR_LEVEL!$A:$A,0)-1,0),0)</f>
        <v>0</v>
      </c>
      <c r="AG489" s="56">
        <v>1</v>
      </c>
      <c r="AI489" s="56">
        <f t="shared" ca="1" si="138"/>
        <v>40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40.1</v>
      </c>
      <c r="AK489" s="182">
        <f t="shared" ca="1" si="146"/>
        <v>65</v>
      </c>
      <c r="AM489" s="11">
        <f t="shared" si="137"/>
        <v>25</v>
      </c>
      <c r="AN489" s="10">
        <v>25</v>
      </c>
      <c r="AO489" s="11">
        <f t="shared" si="144"/>
        <v>40</v>
      </c>
      <c r="AP489" s="10">
        <v>40</v>
      </c>
      <c r="AQ489" s="11">
        <f t="shared" si="144"/>
        <v>0</v>
      </c>
      <c r="AR489" s="10">
        <v>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1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O490" s="9">
        <v>1</v>
      </c>
      <c r="P490" s="9">
        <v>15</v>
      </c>
      <c r="Q490" s="9" t="s">
        <v>1273</v>
      </c>
      <c r="U490" s="9">
        <v>2222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530</v>
      </c>
      <c r="AD490" s="9">
        <v>6</v>
      </c>
      <c r="AF490" s="11">
        <f ca="1">IFERROR(OFFSET(MANOR_LEVEL!$B$1,MATCH(AG490-1,MANOR_LEVEL!$A:$A,0)-1,0),0)</f>
        <v>528</v>
      </c>
      <c r="AG490" s="56">
        <v>3</v>
      </c>
      <c r="AI490" s="56">
        <f t="shared" ca="1" si="138"/>
        <v>50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50.1</v>
      </c>
      <c r="AK490" s="182">
        <f t="shared" ca="1" si="146"/>
        <v>90</v>
      </c>
      <c r="AM490" s="11">
        <f t="shared" si="137"/>
        <v>30</v>
      </c>
      <c r="AN490" s="10">
        <v>30</v>
      </c>
      <c r="AO490" s="11">
        <f t="shared" si="144"/>
        <v>50</v>
      </c>
      <c r="AP490" s="10">
        <v>50</v>
      </c>
      <c r="AQ490" s="11">
        <f t="shared" si="144"/>
        <v>0</v>
      </c>
      <c r="AR490" s="10">
        <v>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1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O491" s="9">
        <v>1</v>
      </c>
      <c r="P491" s="9">
        <v>15</v>
      </c>
      <c r="Q491" s="9" t="s">
        <v>1273</v>
      </c>
      <c r="U491" s="9">
        <v>2222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530</v>
      </c>
      <c r="AD491" s="9">
        <v>7</v>
      </c>
      <c r="AF491" s="11">
        <f ca="1">IFERROR(OFFSET(MANOR_LEVEL!$B$1,MATCH(AG491-1,MANOR_LEVEL!$A:$A,0)-1,0),0)</f>
        <v>800</v>
      </c>
      <c r="AG491" s="56">
        <v>4</v>
      </c>
      <c r="AI491" s="56">
        <f t="shared" ca="1" si="138"/>
        <v>100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100.1</v>
      </c>
      <c r="AK491" s="182">
        <f t="shared" ca="1" si="146"/>
        <v>150</v>
      </c>
      <c r="AM491" s="11">
        <f t="shared" si="137"/>
        <v>35</v>
      </c>
      <c r="AN491" s="10">
        <v>35</v>
      </c>
      <c r="AO491" s="11">
        <f t="shared" si="144"/>
        <v>100</v>
      </c>
      <c r="AP491" s="10">
        <v>100</v>
      </c>
      <c r="AQ491" s="11">
        <f t="shared" si="144"/>
        <v>0</v>
      </c>
      <c r="AR491" s="10">
        <v>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1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O492" s="9">
        <v>1</v>
      </c>
      <c r="P492" s="9">
        <v>15</v>
      </c>
      <c r="Q492" s="9" t="s">
        <v>1273</v>
      </c>
      <c r="U492" s="9">
        <v>2222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530</v>
      </c>
      <c r="AD492" s="9">
        <v>8</v>
      </c>
      <c r="AF492" s="11">
        <f ca="1">IFERROR(OFFSET(MANOR_LEVEL!$B$1,MATCH(AG492-1,MANOR_LEVEL!$A:$A,0)-1,0),0)</f>
        <v>1500</v>
      </c>
      <c r="AG492" s="56">
        <v>5</v>
      </c>
      <c r="AI492" s="56">
        <f t="shared" ca="1" si="138"/>
        <v>100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100.1</v>
      </c>
      <c r="AK492" s="182">
        <f t="shared" ca="1" si="146"/>
        <v>200</v>
      </c>
      <c r="AM492" s="11">
        <f t="shared" si="137"/>
        <v>40</v>
      </c>
      <c r="AN492" s="10">
        <v>40</v>
      </c>
      <c r="AO492" s="11">
        <f t="shared" si="144"/>
        <v>100</v>
      </c>
      <c r="AP492" s="10">
        <v>100</v>
      </c>
      <c r="AQ492" s="11">
        <f t="shared" si="144"/>
        <v>0</v>
      </c>
      <c r="AR492" s="10">
        <v>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1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O493" s="9">
        <v>1</v>
      </c>
      <c r="P493" s="9">
        <v>15</v>
      </c>
      <c r="Q493" s="9" t="s">
        <v>1274</v>
      </c>
      <c r="U493" s="9">
        <v>2222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530</v>
      </c>
      <c r="AD493" s="9">
        <v>9</v>
      </c>
      <c r="AF493" s="11">
        <f ca="1">IFERROR(OFFSET(MANOR_LEVEL!$B$1,MATCH(AG493-1,MANOR_LEVEL!$A:$A,0)-1,0),0)</f>
        <v>3872</v>
      </c>
      <c r="AG493" s="56">
        <v>6</v>
      </c>
      <c r="AI493" s="56">
        <f t="shared" ca="1" si="138"/>
        <v>150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150.1</v>
      </c>
      <c r="AK493" s="182">
        <f t="shared" ca="1" si="146"/>
        <v>250</v>
      </c>
      <c r="AM493" s="11">
        <f t="shared" ref="AM493:AM556" si="147">ROUND(AN493,0)</f>
        <v>45</v>
      </c>
      <c r="AN493" s="10">
        <v>45</v>
      </c>
      <c r="AO493" s="11">
        <f t="shared" si="144"/>
        <v>150</v>
      </c>
      <c r="AP493" s="10">
        <v>150</v>
      </c>
      <c r="AQ493" s="11">
        <f t="shared" si="144"/>
        <v>0</v>
      </c>
      <c r="AR493" s="10">
        <v>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1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O494" s="9">
        <v>1</v>
      </c>
      <c r="P494" s="9">
        <v>15</v>
      </c>
      <c r="Q494" s="9" t="s">
        <v>1274</v>
      </c>
      <c r="U494" s="9">
        <v>2222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530</v>
      </c>
      <c r="AD494" s="9">
        <v>10</v>
      </c>
      <c r="AF494" s="11">
        <f ca="1">IFERROR(OFFSET(MANOR_LEVEL!$B$1,MATCH(AG494-1,MANOR_LEVEL!$A:$A,0)-1,0),0)</f>
        <v>32640</v>
      </c>
      <c r="AG494" s="56">
        <v>7</v>
      </c>
      <c r="AI494" s="56">
        <f t="shared" ref="AI494:AI557" ca="1" si="148">ROUND(AJ494,0)</f>
        <v>300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300.10000000000002</v>
      </c>
      <c r="AK494" s="182">
        <f t="shared" ca="1" si="146"/>
        <v>450</v>
      </c>
      <c r="AM494" s="11">
        <f t="shared" si="147"/>
        <v>50</v>
      </c>
      <c r="AN494" s="10">
        <v>50</v>
      </c>
      <c r="AO494" s="11">
        <f t="shared" si="144"/>
        <v>200</v>
      </c>
      <c r="AP494" s="10">
        <v>200</v>
      </c>
      <c r="AQ494" s="11">
        <f t="shared" si="144"/>
        <v>0</v>
      </c>
      <c r="AR494" s="10">
        <v>0</v>
      </c>
      <c r="AS494" s="56">
        <f t="shared" ref="AS494:AS557" si="149">(AW494&gt;0)*1+(BB494&gt;0)*1+(BG494&gt;0)*1+(BL494&gt;0)*1+(BQ494&gt;0)*1</f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213011501</v>
      </c>
      <c r="BK494" s="10" t="s">
        <v>476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O495" s="9">
        <v>1</v>
      </c>
      <c r="P495" s="9">
        <v>15</v>
      </c>
      <c r="Q495" s="9" t="s">
        <v>1274</v>
      </c>
      <c r="U495" s="9">
        <v>2222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530</v>
      </c>
      <c r="AD495" s="9">
        <v>11</v>
      </c>
      <c r="AF495" s="11">
        <f ca="1">IFERROR(OFFSET(MANOR_LEVEL!$B$1,MATCH(AG495-1,MANOR_LEVEL!$A:$A,0)-1,0),0)</f>
        <v>94800</v>
      </c>
      <c r="AG495" s="56">
        <v>8</v>
      </c>
      <c r="AI495" s="56">
        <f t="shared" ca="1" si="148"/>
        <v>250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250.1</v>
      </c>
      <c r="AK495" s="182">
        <f t="shared" ca="1" si="146"/>
        <v>550</v>
      </c>
      <c r="AM495" s="11">
        <f t="shared" si="14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0</v>
      </c>
      <c r="AR495" s="10">
        <v>0</v>
      </c>
      <c r="AS495" s="56">
        <f t="shared" si="14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O496" s="9">
        <v>1</v>
      </c>
      <c r="P496" s="9">
        <v>15</v>
      </c>
      <c r="Q496" s="9" t="s">
        <v>1274</v>
      </c>
      <c r="U496" s="9">
        <v>2222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530</v>
      </c>
      <c r="AD496" s="9">
        <v>12</v>
      </c>
      <c r="AF496" s="11">
        <f ca="1">IFERROR(OFFSET(MANOR_LEVEL!$B$1,MATCH(AG496-1,MANOR_LEVEL!$A:$A,0)-1,0),0)</f>
        <v>186400</v>
      </c>
      <c r="AG496" s="56">
        <v>9</v>
      </c>
      <c r="AI496" s="56">
        <f t="shared" ca="1" si="148"/>
        <v>300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300.10000000000002</v>
      </c>
      <c r="AK496" s="182">
        <f t="shared" ca="1" si="146"/>
        <v>550</v>
      </c>
      <c r="AM496" s="11">
        <f t="shared" si="14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0</v>
      </c>
      <c r="AR496" s="10">
        <v>0</v>
      </c>
      <c r="AS496" s="56">
        <f t="shared" si="14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O497" s="9">
        <v>1</v>
      </c>
      <c r="P497" s="9">
        <v>15</v>
      </c>
      <c r="Q497" s="9" t="s">
        <v>1275</v>
      </c>
      <c r="U497" s="9">
        <v>2222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530</v>
      </c>
      <c r="AD497" s="9">
        <v>13</v>
      </c>
      <c r="AF497" s="11">
        <f ca="1">IFERROR(OFFSET(MANOR_LEVEL!$B$1,MATCH(AG497-1,MANOR_LEVEL!$A:$A,0)-1,0),0)</f>
        <v>311600</v>
      </c>
      <c r="AG497" s="56">
        <v>10</v>
      </c>
      <c r="AI497" s="56">
        <f t="shared" ca="1" si="148"/>
        <v>350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350.1</v>
      </c>
      <c r="AK497" s="182">
        <f t="shared" ca="1" si="146"/>
        <v>650</v>
      </c>
      <c r="AM497" s="11">
        <f t="shared" si="14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0</v>
      </c>
      <c r="AR497" s="10">
        <v>0</v>
      </c>
      <c r="AS497" s="56">
        <f t="shared" si="14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O498" s="9">
        <v>1</v>
      </c>
      <c r="P498" s="9">
        <v>15</v>
      </c>
      <c r="Q498" s="9" t="s">
        <v>1275</v>
      </c>
      <c r="U498" s="9">
        <v>2222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530</v>
      </c>
      <c r="AD498" s="9">
        <v>14</v>
      </c>
      <c r="AF498" s="11">
        <f ca="1">IFERROR(OFFSET(MANOR_LEVEL!$B$1,MATCH(AG498-1,MANOR_LEVEL!$A:$A,0)-1,0),0)</f>
        <v>456800</v>
      </c>
      <c r="AG498" s="56">
        <v>11</v>
      </c>
      <c r="AI498" s="56">
        <f t="shared" ca="1" si="148"/>
        <v>450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450.1</v>
      </c>
      <c r="AK498" s="182">
        <f t="shared" ca="1" si="146"/>
        <v>800</v>
      </c>
      <c r="AM498" s="11">
        <f t="shared" si="14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0</v>
      </c>
      <c r="AR498" s="10">
        <v>0</v>
      </c>
      <c r="AS498" s="56">
        <f t="shared" si="14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1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O499" s="9">
        <v>1</v>
      </c>
      <c r="P499" s="9">
        <v>15</v>
      </c>
      <c r="Q499" s="9" t="s">
        <v>1276</v>
      </c>
      <c r="U499" s="9">
        <v>2222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530</v>
      </c>
      <c r="AD499" s="9">
        <v>15</v>
      </c>
      <c r="AF499" s="11">
        <f ca="1">IFERROR(OFFSET(MANOR_LEVEL!$B$1,MATCH(AG499-1,MANOR_LEVEL!$A:$A,0)-1,0),0)</f>
        <v>796000</v>
      </c>
      <c r="AG499" s="56">
        <v>12</v>
      </c>
      <c r="AI499" s="56">
        <f t="shared" ca="1" si="148"/>
        <v>550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550.1</v>
      </c>
      <c r="AK499" s="182">
        <f t="shared" ca="1" si="146"/>
        <v>1000</v>
      </c>
      <c r="AM499" s="11">
        <f t="shared" si="14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0</v>
      </c>
      <c r="AR499" s="10">
        <v>0</v>
      </c>
      <c r="AS499" s="56">
        <f t="shared" si="149"/>
        <v>1</v>
      </c>
      <c r="AU499" s="11">
        <f ca="1">IFERROR(OFFSET(ITEM_RES!$A$1,MATCH(AV499,ITEM_RES!$J:$J,0)-1,0),0)</f>
        <v>211020801</v>
      </c>
      <c r="AV499" s="10" t="s">
        <v>437</v>
      </c>
      <c r="AW499" s="11">
        <v>1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O500" s="9">
        <v>0</v>
      </c>
      <c r="P500" s="9">
        <v>15</v>
      </c>
      <c r="Q500" s="9" t="s">
        <v>1276</v>
      </c>
      <c r="U500" s="9">
        <v>2222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530</v>
      </c>
      <c r="AD500" s="9">
        <v>16</v>
      </c>
      <c r="AF500" s="11">
        <f ca="1">IFERROR(OFFSET(MANOR_LEVEL!$B$1,MATCH(AG500-1,MANOR_LEVEL!$A:$A,0)-1,0),0)</f>
        <v>1156400</v>
      </c>
      <c r="AG500" s="56">
        <v>13</v>
      </c>
      <c r="AI500" s="56">
        <f t="shared" ca="1" si="148"/>
        <v>700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700.2</v>
      </c>
      <c r="AK500" s="182">
        <f t="shared" ca="1" si="146"/>
        <v>1250</v>
      </c>
      <c r="AM500" s="11">
        <f t="shared" si="14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0</v>
      </c>
      <c r="AR500" s="10">
        <v>0</v>
      </c>
      <c r="AS500" s="56">
        <f t="shared" si="149"/>
        <v>1</v>
      </c>
      <c r="AU500" s="11">
        <f ca="1">IFERROR(OFFSET(ITEM_RES!$A$1,MATCH(AV500,ITEM_RES!$J:$J,0)-1,0),0)</f>
        <v>211020901</v>
      </c>
      <c r="AV500" s="10" t="s">
        <v>444</v>
      </c>
      <c r="AW500" s="11">
        <v>1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O501" s="9">
        <v>0</v>
      </c>
      <c r="P501" s="9">
        <v>15</v>
      </c>
      <c r="Q501" s="9" t="s">
        <v>1276</v>
      </c>
      <c r="U501" s="9">
        <v>2222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530</v>
      </c>
      <c r="AD501" s="9">
        <v>17</v>
      </c>
      <c r="AF501" s="11">
        <f ca="1">IFERROR(OFFSET(MANOR_LEVEL!$B$1,MATCH(AG501-1,MANOR_LEVEL!$A:$A,0)-1,0),0)</f>
        <v>1661200</v>
      </c>
      <c r="AG501" s="56">
        <v>14</v>
      </c>
      <c r="AI501" s="56">
        <f t="shared" ca="1" si="148"/>
        <v>850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850.2</v>
      </c>
      <c r="AK501" s="182">
        <f t="shared" ca="1" si="146"/>
        <v>1550</v>
      </c>
      <c r="AM501" s="11">
        <f t="shared" si="14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0</v>
      </c>
      <c r="AR501" s="10">
        <v>0</v>
      </c>
      <c r="AS501" s="56">
        <f t="shared" si="149"/>
        <v>1</v>
      </c>
      <c r="AU501" s="11">
        <f ca="1">IFERROR(OFFSET(ITEM_RES!$A$1,MATCH(AV501,ITEM_RES!$J:$J,0)-1,0),0)</f>
        <v>211020901</v>
      </c>
      <c r="AV501" s="10" t="s">
        <v>444</v>
      </c>
      <c r="AW501" s="11">
        <v>1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O502" s="9">
        <v>0</v>
      </c>
      <c r="P502" s="9">
        <v>15</v>
      </c>
      <c r="Q502" s="9" t="s">
        <v>1276</v>
      </c>
      <c r="U502" s="9">
        <v>2222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530</v>
      </c>
      <c r="AD502" s="9">
        <v>18</v>
      </c>
      <c r="AF502" s="11">
        <f ca="1">IFERROR(OFFSET(MANOR_LEVEL!$B$1,MATCH(AG502-1,MANOR_LEVEL!$A:$A,0)-1,0),0)</f>
        <v>2622400</v>
      </c>
      <c r="AG502" s="56">
        <v>15</v>
      </c>
      <c r="AI502" s="56">
        <f t="shared" ca="1" si="148"/>
        <v>1050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1050.2</v>
      </c>
      <c r="AK502" s="182">
        <f t="shared" ca="1" si="146"/>
        <v>1900</v>
      </c>
      <c r="AM502" s="11">
        <f t="shared" si="14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0</v>
      </c>
      <c r="AR502" s="10">
        <v>0</v>
      </c>
      <c r="AS502" s="56">
        <f t="shared" si="149"/>
        <v>1</v>
      </c>
      <c r="AU502" s="11">
        <f ca="1">IFERROR(OFFSET(ITEM_RES!$A$1,MATCH(AV502,ITEM_RES!$J:$J,0)-1,0),0)</f>
        <v>211020901</v>
      </c>
      <c r="AV502" s="10" t="s">
        <v>444</v>
      </c>
      <c r="AW502" s="11">
        <v>1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O503" s="9">
        <v>0</v>
      </c>
      <c r="P503" s="9">
        <v>15</v>
      </c>
      <c r="Q503" s="9" t="s">
        <v>1276</v>
      </c>
      <c r="U503" s="9">
        <v>2222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530</v>
      </c>
      <c r="AD503" s="9">
        <v>19</v>
      </c>
      <c r="AF503" s="11">
        <f ca="1">IFERROR(OFFSET(MANOR_LEVEL!$B$1,MATCH(AG503-1,MANOR_LEVEL!$A:$A,0)-1,0),0)</f>
        <v>4232000</v>
      </c>
      <c r="AG503" s="56">
        <v>16</v>
      </c>
      <c r="AI503" s="56">
        <f t="shared" ca="1" si="148"/>
        <v>1250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1250.2</v>
      </c>
      <c r="AK503" s="182">
        <f t="shared" ca="1" si="146"/>
        <v>2300</v>
      </c>
      <c r="AM503" s="11">
        <f t="shared" si="14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0</v>
      </c>
      <c r="AR503" s="10">
        <v>0</v>
      </c>
      <c r="AS503" s="56">
        <f t="shared" si="149"/>
        <v>1</v>
      </c>
      <c r="AU503" s="11">
        <f ca="1">IFERROR(OFFSET(ITEM_RES!$A$1,MATCH(AV503,ITEM_RES!$J:$J,0)-1,0),0)</f>
        <v>211020901</v>
      </c>
      <c r="AV503" s="10" t="s">
        <v>444</v>
      </c>
      <c r="AW503" s="11">
        <v>1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O504" s="9">
        <v>0</v>
      </c>
      <c r="P504" s="9">
        <v>15</v>
      </c>
      <c r="Q504" s="9" t="s">
        <v>1276</v>
      </c>
      <c r="U504" s="9">
        <v>2222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530</v>
      </c>
      <c r="AD504" s="9">
        <v>20</v>
      </c>
      <c r="AF504" s="11">
        <f ca="1">IFERROR(OFFSET(MANOR_LEVEL!$B$1,MATCH(AG504-1,MANOR_LEVEL!$A:$A,0)-1,0),0)</f>
        <v>7450000</v>
      </c>
      <c r="AG504" s="56">
        <v>17</v>
      </c>
      <c r="AI504" s="56">
        <f t="shared" ca="1" si="148"/>
        <v>1500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1500.2</v>
      </c>
      <c r="AK504" s="182">
        <f t="shared" ca="1" si="146"/>
        <v>2750</v>
      </c>
      <c r="AM504" s="11">
        <f t="shared" si="14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0</v>
      </c>
      <c r="AR504" s="10">
        <v>0</v>
      </c>
      <c r="AS504" s="56">
        <f t="shared" si="149"/>
        <v>1</v>
      </c>
      <c r="AU504" s="11">
        <f ca="1">IFERROR(OFFSET(ITEM_RES!$A$1,MATCH(AV504,ITEM_RES!$J:$J,0)-1,0),0)</f>
        <v>211020901</v>
      </c>
      <c r="AV504" s="10" t="s">
        <v>444</v>
      </c>
      <c r="AW504" s="11">
        <v>1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1117</v>
      </c>
      <c r="L505" s="16">
        <v>1</v>
      </c>
      <c r="M505" s="16"/>
      <c r="N505" s="16"/>
      <c r="O505" s="16">
        <v>1</v>
      </c>
      <c r="P505" s="16">
        <v>15</v>
      </c>
      <c r="Q505" s="16" t="s">
        <v>1277</v>
      </c>
      <c r="R505" s="17"/>
      <c r="S505" s="17"/>
      <c r="T505" s="18"/>
      <c r="U505" s="16">
        <v>3333</v>
      </c>
      <c r="V505" s="78"/>
      <c r="W505" s="86"/>
      <c r="X505" s="16">
        <f ca="1">IFERROR(OFFSET(ITEM_RES!$A$5,MATCH(BUILDING!W505,ITEM_RES!$J$5:$J$226,0)-1,0),0)</f>
        <v>0</v>
      </c>
      <c r="Y505" s="18"/>
      <c r="Z505" s="86"/>
      <c r="AA505" s="16">
        <f ca="1">IFERROR(OFFSET(ITEM_RES!$A$5,MATCH(BUILDING!Z505,ITEM_RES!$J$5:$J$226,0)-1,0),0)</f>
        <v>0</v>
      </c>
      <c r="AB505" s="78"/>
      <c r="AC505" s="16" t="s">
        <v>382</v>
      </c>
      <c r="AD505" s="16">
        <v>1</v>
      </c>
      <c r="AE505" s="78"/>
      <c r="AF505" s="18">
        <f ca="1">IFERROR(OFFSET(MANOR_LEVEL!$B$1,MATCH(AG505-1,MANOR_LEVEL!$A:$A,0)-1,0),0)</f>
        <v>0</v>
      </c>
      <c r="AG505" s="57">
        <v>1</v>
      </c>
      <c r="AH505" s="78"/>
      <c r="AI505" s="57">
        <f t="shared" ca="1" si="148"/>
        <v>205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205.1</v>
      </c>
      <c r="AK505" s="184">
        <f ca="1">AI505</f>
        <v>205</v>
      </c>
      <c r="AL505" s="78"/>
      <c r="AM505" s="18">
        <f t="shared" si="14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0</v>
      </c>
      <c r="AR505" s="17">
        <v>0</v>
      </c>
      <c r="AS505" s="57">
        <f t="shared" si="149"/>
        <v>3</v>
      </c>
      <c r="AT505" s="18"/>
      <c r="AU505" s="18">
        <f ca="1">IFERROR(OFFSET(ITEM_RES!$A$1,MATCH(AV505,ITEM_RES!$J:$J,0)-1,0),0)</f>
        <v>211020801</v>
      </c>
      <c r="AV505" s="17" t="s">
        <v>437</v>
      </c>
      <c r="AW505" s="18">
        <v>1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452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474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1117</v>
      </c>
      <c r="O506" s="9">
        <v>1</v>
      </c>
      <c r="P506" s="9">
        <v>15</v>
      </c>
      <c r="Q506" s="9" t="s">
        <v>1278</v>
      </c>
      <c r="U506" s="9">
        <v>3333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378</v>
      </c>
      <c r="AD506" s="9">
        <v>2</v>
      </c>
      <c r="AF506" s="11">
        <f ca="1">IFERROR(OFFSET(MANOR_LEVEL!$B$1,MATCH(AG506-1,MANOR_LEVEL!$A:$A,0)-1,0),0)</f>
        <v>0</v>
      </c>
      <c r="AG506" s="56">
        <v>1</v>
      </c>
      <c r="AI506" s="56">
        <f t="shared" ca="1" si="148"/>
        <v>10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10.1</v>
      </c>
      <c r="AK506" s="182">
        <f ca="1">AI505+AI506</f>
        <v>215</v>
      </c>
      <c r="AM506" s="11">
        <f t="shared" si="14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0</v>
      </c>
      <c r="AR506" s="10">
        <v>0</v>
      </c>
      <c r="AS506" s="56">
        <f t="shared" si="149"/>
        <v>1</v>
      </c>
      <c r="AU506" s="11">
        <f ca="1">IFERROR(OFFSET(ITEM_RES!$A$1,MATCH(AV506,ITEM_RES!$J:$J,0)-1,0),0)</f>
        <v>211020801</v>
      </c>
      <c r="AV506" s="10" t="s">
        <v>437</v>
      </c>
      <c r="AW506" s="11">
        <v>1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1117</v>
      </c>
      <c r="O507" s="9">
        <v>1</v>
      </c>
      <c r="P507" s="9">
        <v>15</v>
      </c>
      <c r="Q507" s="9" t="s">
        <v>1278</v>
      </c>
      <c r="U507" s="9">
        <v>3333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377</v>
      </c>
      <c r="AD507" s="9">
        <v>3</v>
      </c>
      <c r="AF507" s="11">
        <f ca="1">IFERROR(OFFSET(MANOR_LEVEL!$B$1,MATCH(AG507-1,MANOR_LEVEL!$A:$A,0)-1,0),0)</f>
        <v>0</v>
      </c>
      <c r="AG507" s="56">
        <v>1</v>
      </c>
      <c r="AI507" s="56">
        <f t="shared" ca="1" si="148"/>
        <v>15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15.1</v>
      </c>
      <c r="AK507" s="182">
        <f t="shared" ref="AK507:AK524" ca="1" si="150">AI506+AI507</f>
        <v>25</v>
      </c>
      <c r="AM507" s="11">
        <f t="shared" si="14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0</v>
      </c>
      <c r="AR507" s="10">
        <v>0</v>
      </c>
      <c r="AS507" s="56">
        <f t="shared" si="149"/>
        <v>1</v>
      </c>
      <c r="AU507" s="11">
        <f ca="1">IFERROR(OFFSET(ITEM_RES!$A$1,MATCH(AV507,ITEM_RES!$J:$J,0)-1,0),0)</f>
        <v>211020801</v>
      </c>
      <c r="AV507" s="10" t="s">
        <v>437</v>
      </c>
      <c r="AW507" s="11">
        <v>1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1117</v>
      </c>
      <c r="O508" s="9">
        <v>1</v>
      </c>
      <c r="P508" s="9">
        <v>15</v>
      </c>
      <c r="Q508" s="9" t="s">
        <v>1279</v>
      </c>
      <c r="U508" s="9">
        <v>3333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377</v>
      </c>
      <c r="AD508" s="9">
        <v>4</v>
      </c>
      <c r="AF508" s="11">
        <f ca="1">IFERROR(OFFSET(MANOR_LEVEL!$B$1,MATCH(AG508-1,MANOR_LEVEL!$A:$A,0)-1,0),0)</f>
        <v>0</v>
      </c>
      <c r="AG508" s="56">
        <v>1</v>
      </c>
      <c r="AI508" s="56">
        <f t="shared" ca="1" si="148"/>
        <v>25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25.1</v>
      </c>
      <c r="AK508" s="182">
        <f t="shared" ca="1" si="150"/>
        <v>40</v>
      </c>
      <c r="AM508" s="11">
        <f t="shared" si="14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0</v>
      </c>
      <c r="AR508" s="10">
        <v>0</v>
      </c>
      <c r="AS508" s="56">
        <f t="shared" si="149"/>
        <v>1</v>
      </c>
      <c r="AU508" s="11">
        <f ca="1">IFERROR(OFFSET(ITEM_RES!$A$1,MATCH(AV508,ITEM_RES!$J:$J,0)-1,0),0)</f>
        <v>211020801</v>
      </c>
      <c r="AV508" s="10" t="s">
        <v>437</v>
      </c>
      <c r="AW508" s="11">
        <v>1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1117</v>
      </c>
      <c r="O509" s="9">
        <v>1</v>
      </c>
      <c r="P509" s="9">
        <v>15</v>
      </c>
      <c r="Q509" s="9" t="s">
        <v>1279</v>
      </c>
      <c r="U509" s="9">
        <v>3333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377</v>
      </c>
      <c r="AD509" s="9">
        <v>5</v>
      </c>
      <c r="AF509" s="11">
        <f ca="1">IFERROR(OFFSET(MANOR_LEVEL!$B$1,MATCH(AG509-1,MANOR_LEVEL!$A:$A,0)-1,0),0)</f>
        <v>0</v>
      </c>
      <c r="AG509" s="56">
        <v>1</v>
      </c>
      <c r="AI509" s="56">
        <f t="shared" ca="1" si="148"/>
        <v>40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40.1</v>
      </c>
      <c r="AK509" s="182">
        <f t="shared" ca="1" si="150"/>
        <v>65</v>
      </c>
      <c r="AM509" s="11">
        <f t="shared" si="14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0</v>
      </c>
      <c r="AR509" s="10">
        <v>0</v>
      </c>
      <c r="AS509" s="56">
        <f t="shared" si="149"/>
        <v>1</v>
      </c>
      <c r="AU509" s="11">
        <f ca="1">IFERROR(OFFSET(ITEM_RES!$A$1,MATCH(AV509,ITEM_RES!$J:$J,0)-1,0),0)</f>
        <v>211020801</v>
      </c>
      <c r="AV509" s="10" t="s">
        <v>437</v>
      </c>
      <c r="AW509" s="11">
        <v>1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1117</v>
      </c>
      <c r="O510" s="9">
        <v>1</v>
      </c>
      <c r="P510" s="9">
        <v>15</v>
      </c>
      <c r="Q510" s="9" t="s">
        <v>1279</v>
      </c>
      <c r="U510" s="9">
        <v>3333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377</v>
      </c>
      <c r="AD510" s="9">
        <v>6</v>
      </c>
      <c r="AF510" s="11">
        <f ca="1">IFERROR(OFFSET(MANOR_LEVEL!$B$1,MATCH(AG510-1,MANOR_LEVEL!$A:$A,0)-1,0),0)</f>
        <v>528</v>
      </c>
      <c r="AG510" s="56">
        <v>3</v>
      </c>
      <c r="AI510" s="56">
        <f t="shared" ca="1" si="148"/>
        <v>50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50.1</v>
      </c>
      <c r="AK510" s="182">
        <f t="shared" ca="1" si="150"/>
        <v>90</v>
      </c>
      <c r="AM510" s="11">
        <f t="shared" si="14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0</v>
      </c>
      <c r="AR510" s="10">
        <v>0</v>
      </c>
      <c r="AS510" s="56">
        <f t="shared" si="149"/>
        <v>1</v>
      </c>
      <c r="AU510" s="11">
        <f ca="1">IFERROR(OFFSET(ITEM_RES!$A$1,MATCH(AV510,ITEM_RES!$J:$J,0)-1,0),0)</f>
        <v>211020801</v>
      </c>
      <c r="AV510" s="10" t="s">
        <v>437</v>
      </c>
      <c r="AW510" s="11">
        <v>1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1117</v>
      </c>
      <c r="O511" s="9">
        <v>1</v>
      </c>
      <c r="P511" s="9">
        <v>15</v>
      </c>
      <c r="Q511" s="9" t="s">
        <v>1280</v>
      </c>
      <c r="U511" s="9">
        <v>3333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377</v>
      </c>
      <c r="AD511" s="9">
        <v>7</v>
      </c>
      <c r="AF511" s="11">
        <f ca="1">IFERROR(OFFSET(MANOR_LEVEL!$B$1,MATCH(AG511-1,MANOR_LEVEL!$A:$A,0)-1,0),0)</f>
        <v>800</v>
      </c>
      <c r="AG511" s="56">
        <v>4</v>
      </c>
      <c r="AI511" s="56">
        <f t="shared" ca="1" si="148"/>
        <v>100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100.1</v>
      </c>
      <c r="AK511" s="182">
        <f t="shared" ca="1" si="150"/>
        <v>150</v>
      </c>
      <c r="AM511" s="11">
        <f t="shared" si="14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0</v>
      </c>
      <c r="AR511" s="10">
        <v>0</v>
      </c>
      <c r="AS511" s="56">
        <f t="shared" si="149"/>
        <v>1</v>
      </c>
      <c r="AU511" s="11">
        <f ca="1">IFERROR(OFFSET(ITEM_RES!$A$1,MATCH(AV511,ITEM_RES!$J:$J,0)-1,0),0)</f>
        <v>211020801</v>
      </c>
      <c r="AV511" s="10" t="s">
        <v>437</v>
      </c>
      <c r="AW511" s="11">
        <v>1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1117</v>
      </c>
      <c r="O512" s="9">
        <v>1</v>
      </c>
      <c r="P512" s="9">
        <v>15</v>
      </c>
      <c r="Q512" s="9" t="s">
        <v>1280</v>
      </c>
      <c r="U512" s="9">
        <v>3333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377</v>
      </c>
      <c r="AD512" s="9">
        <v>8</v>
      </c>
      <c r="AF512" s="11">
        <f ca="1">IFERROR(OFFSET(MANOR_LEVEL!$B$1,MATCH(AG512-1,MANOR_LEVEL!$A:$A,0)-1,0),0)</f>
        <v>1500</v>
      </c>
      <c r="AG512" s="56">
        <v>5</v>
      </c>
      <c r="AI512" s="56">
        <f t="shared" ca="1" si="148"/>
        <v>100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100.1</v>
      </c>
      <c r="AK512" s="182">
        <f t="shared" ca="1" si="150"/>
        <v>200</v>
      </c>
      <c r="AM512" s="11">
        <f t="shared" si="14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0</v>
      </c>
      <c r="AR512" s="10">
        <v>0</v>
      </c>
      <c r="AS512" s="56">
        <f t="shared" si="149"/>
        <v>1</v>
      </c>
      <c r="AU512" s="11">
        <f ca="1">IFERROR(OFFSET(ITEM_RES!$A$1,MATCH(AV512,ITEM_RES!$J:$J,0)-1,0),0)</f>
        <v>211020801</v>
      </c>
      <c r="AV512" s="10" t="s">
        <v>437</v>
      </c>
      <c r="AW512" s="11">
        <v>1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  <c r="BO512" s="11">
        <f ca="1">IFERROR(OFFSET(ITEM_RES!$A$1,MATCH(BP512,ITEM_RES!$J:$J,0)-1,0),0)</f>
        <v>0</v>
      </c>
    </row>
    <row r="513" spans="1:70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1117</v>
      </c>
      <c r="O513" s="9">
        <v>1</v>
      </c>
      <c r="P513" s="9">
        <v>15</v>
      </c>
      <c r="Q513" s="9" t="s">
        <v>1280</v>
      </c>
      <c r="U513" s="9">
        <v>3333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377</v>
      </c>
      <c r="AD513" s="9">
        <v>9</v>
      </c>
      <c r="AF513" s="11">
        <f ca="1">IFERROR(OFFSET(MANOR_LEVEL!$B$1,MATCH(AG513-1,MANOR_LEVEL!$A:$A,0)-1,0),0)</f>
        <v>3872</v>
      </c>
      <c r="AG513" s="56">
        <v>6</v>
      </c>
      <c r="AI513" s="56">
        <f t="shared" ca="1" si="148"/>
        <v>150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150.1</v>
      </c>
      <c r="AK513" s="182">
        <f t="shared" ca="1" si="150"/>
        <v>250</v>
      </c>
      <c r="AM513" s="11">
        <f t="shared" si="14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0</v>
      </c>
      <c r="AR513" s="10">
        <v>0</v>
      </c>
      <c r="AS513" s="56">
        <f t="shared" si="149"/>
        <v>1</v>
      </c>
      <c r="AU513" s="11">
        <f ca="1">IFERROR(OFFSET(ITEM_RES!$A$1,MATCH(AV513,ITEM_RES!$J:$J,0)-1,0),0)</f>
        <v>211020801</v>
      </c>
      <c r="AV513" s="10" t="s">
        <v>437</v>
      </c>
      <c r="AW513" s="11">
        <v>1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1117</v>
      </c>
      <c r="O514" s="9">
        <v>1</v>
      </c>
      <c r="P514" s="9">
        <v>15</v>
      </c>
      <c r="Q514" s="9" t="s">
        <v>1280</v>
      </c>
      <c r="U514" s="9">
        <v>3333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377</v>
      </c>
      <c r="AD514" s="9">
        <v>10</v>
      </c>
      <c r="AF514" s="11">
        <f ca="1">IFERROR(OFFSET(MANOR_LEVEL!$B$1,MATCH(AG514-1,MANOR_LEVEL!$A:$A,0)-1,0),0)</f>
        <v>32640</v>
      </c>
      <c r="AG514" s="56">
        <v>7</v>
      </c>
      <c r="AI514" s="56">
        <f t="shared" ca="1" si="148"/>
        <v>700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700.1</v>
      </c>
      <c r="AK514" s="182">
        <f t="shared" ca="1" si="150"/>
        <v>850</v>
      </c>
      <c r="AM514" s="11">
        <f t="shared" si="147"/>
        <v>50</v>
      </c>
      <c r="AN514" s="10">
        <v>50</v>
      </c>
      <c r="AO514" s="11">
        <f t="shared" ref="AO514:AQ564" si="154">ROUND(AP514,0)</f>
        <v>200</v>
      </c>
      <c r="AP514" s="10">
        <v>200</v>
      </c>
      <c r="AQ514" s="11">
        <f t="shared" si="154"/>
        <v>0</v>
      </c>
      <c r="AR514" s="10">
        <v>0</v>
      </c>
      <c r="AS514" s="56">
        <f t="shared" si="149"/>
        <v>2</v>
      </c>
      <c r="AU514" s="11">
        <f ca="1">IFERROR(OFFSET(ITEM_RES!$A$1,MATCH(AV514,ITEM_RES!$J:$J,0)-1,0),0)</f>
        <v>211020801</v>
      </c>
      <c r="AV514" s="10" t="s">
        <v>437</v>
      </c>
      <c r="AW514" s="11">
        <v>1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213011601</v>
      </c>
      <c r="BK514" s="10" t="s">
        <v>482</v>
      </c>
      <c r="BL514" s="11">
        <v>1</v>
      </c>
      <c r="BO514" s="11">
        <f ca="1">IFERROR(OFFSET(ITEM_RES!$A$1,MATCH(BP514,ITEM_RES!$J:$J,0)-1,0),0)</f>
        <v>0</v>
      </c>
    </row>
    <row r="515" spans="1:70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1117</v>
      </c>
      <c r="O515" s="9">
        <v>1</v>
      </c>
      <c r="P515" s="9">
        <v>15</v>
      </c>
      <c r="Q515" s="9" t="s">
        <v>1281</v>
      </c>
      <c r="U515" s="9">
        <v>3333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377</v>
      </c>
      <c r="AD515" s="9">
        <v>11</v>
      </c>
      <c r="AF515" s="11">
        <f ca="1">IFERROR(OFFSET(MANOR_LEVEL!$B$1,MATCH(AG515-1,MANOR_LEVEL!$A:$A,0)-1,0),0)</f>
        <v>94800</v>
      </c>
      <c r="AG515" s="56">
        <v>8</v>
      </c>
      <c r="AI515" s="56">
        <f t="shared" ca="1" si="148"/>
        <v>250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250.1</v>
      </c>
      <c r="AK515" s="182">
        <f t="shared" ca="1" si="150"/>
        <v>950</v>
      </c>
      <c r="AM515" s="11">
        <f t="shared" si="147"/>
        <v>55</v>
      </c>
      <c r="AN515" s="10">
        <v>55</v>
      </c>
      <c r="AO515" s="11">
        <f t="shared" si="154"/>
        <v>250</v>
      </c>
      <c r="AP515" s="10">
        <v>250</v>
      </c>
      <c r="AQ515" s="11">
        <f t="shared" si="154"/>
        <v>0</v>
      </c>
      <c r="AR515" s="10">
        <v>0</v>
      </c>
      <c r="AS515" s="56">
        <f t="shared" si="149"/>
        <v>1</v>
      </c>
      <c r="AU515" s="11">
        <f ca="1">IFERROR(OFFSET(ITEM_RES!$A$1,MATCH(AV515,ITEM_RES!$J:$J,0)-1,0),0)</f>
        <v>211020801</v>
      </c>
      <c r="AV515" s="10" t="s">
        <v>437</v>
      </c>
      <c r="AW515" s="11">
        <v>1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1117</v>
      </c>
      <c r="O516" s="9">
        <v>1</v>
      </c>
      <c r="P516" s="9">
        <v>15</v>
      </c>
      <c r="Q516" s="9" t="s">
        <v>1281</v>
      </c>
      <c r="U516" s="9">
        <v>3333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377</v>
      </c>
      <c r="AD516" s="9">
        <v>12</v>
      </c>
      <c r="AF516" s="11">
        <f ca="1">IFERROR(OFFSET(MANOR_LEVEL!$B$1,MATCH(AG516-1,MANOR_LEVEL!$A:$A,0)-1,0),0)</f>
        <v>186400</v>
      </c>
      <c r="AG516" s="56">
        <v>9</v>
      </c>
      <c r="AI516" s="56">
        <f t="shared" ca="1" si="148"/>
        <v>300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300.10000000000002</v>
      </c>
      <c r="AK516" s="182">
        <f t="shared" ca="1" si="150"/>
        <v>550</v>
      </c>
      <c r="AM516" s="11">
        <f t="shared" si="147"/>
        <v>60</v>
      </c>
      <c r="AN516" s="10">
        <v>60</v>
      </c>
      <c r="AO516" s="11">
        <f t="shared" si="154"/>
        <v>300</v>
      </c>
      <c r="AP516" s="10">
        <v>300</v>
      </c>
      <c r="AQ516" s="11">
        <f t="shared" si="154"/>
        <v>0</v>
      </c>
      <c r="AR516" s="10">
        <v>0</v>
      </c>
      <c r="AS516" s="56">
        <f t="shared" si="149"/>
        <v>1</v>
      </c>
      <c r="AU516" s="11">
        <f ca="1">IFERROR(OFFSET(ITEM_RES!$A$1,MATCH(AV516,ITEM_RES!$J:$J,0)-1,0),0)</f>
        <v>211020801</v>
      </c>
      <c r="AV516" s="10" t="s">
        <v>437</v>
      </c>
      <c r="AW516" s="11">
        <v>1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1117</v>
      </c>
      <c r="O517" s="9">
        <v>1</v>
      </c>
      <c r="P517" s="9">
        <v>15</v>
      </c>
      <c r="Q517" s="9" t="s">
        <v>1281</v>
      </c>
      <c r="U517" s="9">
        <v>3333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377</v>
      </c>
      <c r="AD517" s="9">
        <v>13</v>
      </c>
      <c r="AF517" s="11">
        <f ca="1">IFERROR(OFFSET(MANOR_LEVEL!$B$1,MATCH(AG517-1,MANOR_LEVEL!$A:$A,0)-1,0),0)</f>
        <v>311600</v>
      </c>
      <c r="AG517" s="56">
        <v>10</v>
      </c>
      <c r="AI517" s="56">
        <f t="shared" ca="1" si="148"/>
        <v>350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350.1</v>
      </c>
      <c r="AK517" s="182">
        <f t="shared" ca="1" si="150"/>
        <v>650</v>
      </c>
      <c r="AM517" s="11">
        <f t="shared" si="147"/>
        <v>65</v>
      </c>
      <c r="AN517" s="10">
        <v>65</v>
      </c>
      <c r="AO517" s="11">
        <f t="shared" si="154"/>
        <v>350</v>
      </c>
      <c r="AP517" s="10">
        <v>350</v>
      </c>
      <c r="AQ517" s="11">
        <f t="shared" si="154"/>
        <v>0</v>
      </c>
      <c r="AR517" s="10">
        <v>0</v>
      </c>
      <c r="AS517" s="56">
        <f t="shared" si="149"/>
        <v>1</v>
      </c>
      <c r="AU517" s="11">
        <f ca="1">IFERROR(OFFSET(ITEM_RES!$A$1,MATCH(AV517,ITEM_RES!$J:$J,0)-1,0),0)</f>
        <v>211020801</v>
      </c>
      <c r="AV517" s="10" t="s">
        <v>437</v>
      </c>
      <c r="AW517" s="11">
        <v>1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1117</v>
      </c>
      <c r="O518" s="9">
        <v>1</v>
      </c>
      <c r="P518" s="9">
        <v>15</v>
      </c>
      <c r="Q518" s="9" t="s">
        <v>1281</v>
      </c>
      <c r="U518" s="9">
        <v>3333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377</v>
      </c>
      <c r="AD518" s="9">
        <v>14</v>
      </c>
      <c r="AF518" s="11">
        <f ca="1">IFERROR(OFFSET(MANOR_LEVEL!$B$1,MATCH(AG518-1,MANOR_LEVEL!$A:$A,0)-1,0),0)</f>
        <v>456800</v>
      </c>
      <c r="AG518" s="56">
        <v>11</v>
      </c>
      <c r="AI518" s="56">
        <f t="shared" ca="1" si="148"/>
        <v>450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450.1</v>
      </c>
      <c r="AK518" s="182">
        <f t="shared" ca="1" si="150"/>
        <v>800</v>
      </c>
      <c r="AM518" s="11">
        <f t="shared" si="147"/>
        <v>70</v>
      </c>
      <c r="AN518" s="10">
        <v>70</v>
      </c>
      <c r="AO518" s="11">
        <f t="shared" si="154"/>
        <v>450</v>
      </c>
      <c r="AP518" s="10">
        <v>450</v>
      </c>
      <c r="AQ518" s="11">
        <f t="shared" si="154"/>
        <v>0</v>
      </c>
      <c r="AR518" s="10">
        <v>0</v>
      </c>
      <c r="AS518" s="56">
        <f t="shared" si="149"/>
        <v>1</v>
      </c>
      <c r="AU518" s="11">
        <f ca="1">IFERROR(OFFSET(ITEM_RES!$A$1,MATCH(AV518,ITEM_RES!$J:$J,0)-1,0),0)</f>
        <v>211020801</v>
      </c>
      <c r="AV518" s="10" t="s">
        <v>437</v>
      </c>
      <c r="AW518" s="11">
        <v>1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1117</v>
      </c>
      <c r="O519" s="9">
        <v>1</v>
      </c>
      <c r="P519" s="9">
        <v>15</v>
      </c>
      <c r="Q519" s="9" t="s">
        <v>1281</v>
      </c>
      <c r="U519" s="9">
        <v>3333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377</v>
      </c>
      <c r="AD519" s="9">
        <v>15</v>
      </c>
      <c r="AF519" s="11">
        <f ca="1">IFERROR(OFFSET(MANOR_LEVEL!$B$1,MATCH(AG519-1,MANOR_LEVEL!$A:$A,0)-1,0),0)</f>
        <v>796000</v>
      </c>
      <c r="AG519" s="56">
        <v>12</v>
      </c>
      <c r="AI519" s="56">
        <f t="shared" ca="1" si="148"/>
        <v>550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550.20000000000005</v>
      </c>
      <c r="AK519" s="182">
        <f t="shared" ca="1" si="150"/>
        <v>1000</v>
      </c>
      <c r="AM519" s="11">
        <f t="shared" si="147"/>
        <v>75</v>
      </c>
      <c r="AN519" s="10">
        <v>75</v>
      </c>
      <c r="AO519" s="11">
        <f t="shared" si="154"/>
        <v>550</v>
      </c>
      <c r="AP519" s="10">
        <v>550</v>
      </c>
      <c r="AQ519" s="11">
        <f t="shared" si="154"/>
        <v>0</v>
      </c>
      <c r="AR519" s="10">
        <v>0</v>
      </c>
      <c r="AS519" s="56">
        <f t="shared" si="149"/>
        <v>1</v>
      </c>
      <c r="AU519" s="11">
        <f ca="1">IFERROR(OFFSET(ITEM_RES!$A$1,MATCH(AV519,ITEM_RES!$J:$J,0)-1,0),0)</f>
        <v>211020901</v>
      </c>
      <c r="AV519" s="10" t="s">
        <v>444</v>
      </c>
      <c r="AW519" s="11">
        <v>1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1117</v>
      </c>
      <c r="O520" s="9">
        <v>0</v>
      </c>
      <c r="P520" s="9">
        <v>15</v>
      </c>
      <c r="Q520" s="9" t="s">
        <v>1281</v>
      </c>
      <c r="U520" s="9">
        <v>3333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377</v>
      </c>
      <c r="AD520" s="9">
        <v>16</v>
      </c>
      <c r="AF520" s="11">
        <f ca="1">IFERROR(OFFSET(MANOR_LEVEL!$B$1,MATCH(AG520-1,MANOR_LEVEL!$A:$A,0)-1,0),0)</f>
        <v>1156400</v>
      </c>
      <c r="AG520" s="56">
        <v>13</v>
      </c>
      <c r="AI520" s="56">
        <f t="shared" ca="1" si="148"/>
        <v>700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700.2</v>
      </c>
      <c r="AK520" s="182">
        <f t="shared" ca="1" si="150"/>
        <v>1250</v>
      </c>
      <c r="AM520" s="11">
        <f t="shared" si="147"/>
        <v>80</v>
      </c>
      <c r="AN520" s="10">
        <v>80</v>
      </c>
      <c r="AO520" s="11">
        <f t="shared" si="154"/>
        <v>700</v>
      </c>
      <c r="AP520" s="10">
        <v>700</v>
      </c>
      <c r="AQ520" s="11">
        <f t="shared" si="154"/>
        <v>0</v>
      </c>
      <c r="AR520" s="10">
        <v>0</v>
      </c>
      <c r="AS520" s="56">
        <f t="shared" si="149"/>
        <v>1</v>
      </c>
      <c r="AU520" s="11">
        <f ca="1">IFERROR(OFFSET(ITEM_RES!$A$1,MATCH(AV520,ITEM_RES!$J:$J,0)-1,0),0)</f>
        <v>211020901</v>
      </c>
      <c r="AV520" s="10" t="s">
        <v>444</v>
      </c>
      <c r="AW520" s="11">
        <v>1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1117</v>
      </c>
      <c r="O521" s="9">
        <v>0</v>
      </c>
      <c r="P521" s="9">
        <v>15</v>
      </c>
      <c r="Q521" s="9" t="s">
        <v>1281</v>
      </c>
      <c r="U521" s="9">
        <v>3333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377</v>
      </c>
      <c r="AD521" s="9">
        <v>17</v>
      </c>
      <c r="AF521" s="11">
        <f ca="1">IFERROR(OFFSET(MANOR_LEVEL!$B$1,MATCH(AG521-1,MANOR_LEVEL!$A:$A,0)-1,0),0)</f>
        <v>1661200</v>
      </c>
      <c r="AG521" s="56">
        <v>14</v>
      </c>
      <c r="AI521" s="56">
        <f t="shared" ca="1" si="148"/>
        <v>850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850.2</v>
      </c>
      <c r="AK521" s="182">
        <f t="shared" ca="1" si="150"/>
        <v>1550</v>
      </c>
      <c r="AM521" s="11">
        <f t="shared" si="147"/>
        <v>85</v>
      </c>
      <c r="AN521" s="10">
        <v>85</v>
      </c>
      <c r="AO521" s="11">
        <f t="shared" si="154"/>
        <v>850</v>
      </c>
      <c r="AP521" s="10">
        <v>850</v>
      </c>
      <c r="AQ521" s="11">
        <f t="shared" si="154"/>
        <v>0</v>
      </c>
      <c r="AR521" s="10">
        <v>0</v>
      </c>
      <c r="AS521" s="56">
        <f t="shared" si="149"/>
        <v>1</v>
      </c>
      <c r="AU521" s="11">
        <f ca="1">IFERROR(OFFSET(ITEM_RES!$A$1,MATCH(AV521,ITEM_RES!$J:$J,0)-1,0),0)</f>
        <v>211020901</v>
      </c>
      <c r="AV521" s="10" t="s">
        <v>444</v>
      </c>
      <c r="AW521" s="11">
        <v>1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1117</v>
      </c>
      <c r="O522" s="9">
        <v>0</v>
      </c>
      <c r="P522" s="9">
        <v>15</v>
      </c>
      <c r="Q522" s="9" t="s">
        <v>1281</v>
      </c>
      <c r="U522" s="9">
        <v>3333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377</v>
      </c>
      <c r="AD522" s="9">
        <v>18</v>
      </c>
      <c r="AF522" s="11">
        <f ca="1">IFERROR(OFFSET(MANOR_LEVEL!$B$1,MATCH(AG522-1,MANOR_LEVEL!$A:$A,0)-1,0),0)</f>
        <v>2622400</v>
      </c>
      <c r="AG522" s="56">
        <v>15</v>
      </c>
      <c r="AI522" s="56">
        <f t="shared" ca="1" si="148"/>
        <v>1050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1050.2</v>
      </c>
      <c r="AK522" s="182">
        <f t="shared" ca="1" si="150"/>
        <v>1900</v>
      </c>
      <c r="AM522" s="11">
        <f t="shared" si="147"/>
        <v>90</v>
      </c>
      <c r="AN522" s="10">
        <v>90</v>
      </c>
      <c r="AO522" s="11">
        <f t="shared" si="154"/>
        <v>1050</v>
      </c>
      <c r="AP522" s="10">
        <v>1050</v>
      </c>
      <c r="AQ522" s="11">
        <f t="shared" si="154"/>
        <v>0</v>
      </c>
      <c r="AR522" s="10">
        <v>0</v>
      </c>
      <c r="AS522" s="56">
        <f t="shared" si="149"/>
        <v>1</v>
      </c>
      <c r="AU522" s="11">
        <f ca="1">IFERROR(OFFSET(ITEM_RES!$A$1,MATCH(AV522,ITEM_RES!$J:$J,0)-1,0),0)</f>
        <v>211020901</v>
      </c>
      <c r="AV522" s="10" t="s">
        <v>444</v>
      </c>
      <c r="AW522" s="11">
        <v>1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1117</v>
      </c>
      <c r="O523" s="9">
        <v>0</v>
      </c>
      <c r="P523" s="9">
        <v>15</v>
      </c>
      <c r="Q523" s="9" t="s">
        <v>1281</v>
      </c>
      <c r="U523" s="9">
        <v>3333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377</v>
      </c>
      <c r="AD523" s="9">
        <v>19</v>
      </c>
      <c r="AF523" s="11">
        <f ca="1">IFERROR(OFFSET(MANOR_LEVEL!$B$1,MATCH(AG523-1,MANOR_LEVEL!$A:$A,0)-1,0),0)</f>
        <v>4232000</v>
      </c>
      <c r="AG523" s="56">
        <v>16</v>
      </c>
      <c r="AI523" s="56">
        <f t="shared" ca="1" si="148"/>
        <v>1250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1250.2</v>
      </c>
      <c r="AK523" s="182">
        <f t="shared" ca="1" si="150"/>
        <v>2300</v>
      </c>
      <c r="AM523" s="11">
        <f t="shared" si="147"/>
        <v>95</v>
      </c>
      <c r="AN523" s="10">
        <v>95</v>
      </c>
      <c r="AO523" s="11">
        <f t="shared" si="154"/>
        <v>1250</v>
      </c>
      <c r="AP523" s="10">
        <v>1250</v>
      </c>
      <c r="AQ523" s="11">
        <f t="shared" si="154"/>
        <v>0</v>
      </c>
      <c r="AR523" s="10">
        <v>0</v>
      </c>
      <c r="AS523" s="56">
        <f t="shared" si="149"/>
        <v>1</v>
      </c>
      <c r="AU523" s="11">
        <f ca="1">IFERROR(OFFSET(ITEM_RES!$A$1,MATCH(AV523,ITEM_RES!$J:$J,0)-1,0),0)</f>
        <v>211020901</v>
      </c>
      <c r="AV523" s="10" t="s">
        <v>444</v>
      </c>
      <c r="AW523" s="11">
        <v>1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1117</v>
      </c>
      <c r="O524" s="9">
        <v>0</v>
      </c>
      <c r="P524" s="9">
        <v>15</v>
      </c>
      <c r="Q524" s="9" t="s">
        <v>1281</v>
      </c>
      <c r="U524" s="9">
        <v>3333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377</v>
      </c>
      <c r="AD524" s="9">
        <v>20</v>
      </c>
      <c r="AF524" s="11">
        <f ca="1">IFERROR(OFFSET(MANOR_LEVEL!$B$1,MATCH(AG524-1,MANOR_LEVEL!$A:$A,0)-1,0),0)</f>
        <v>7450000</v>
      </c>
      <c r="AG524" s="56">
        <v>17</v>
      </c>
      <c r="AI524" s="56">
        <f t="shared" ca="1" si="148"/>
        <v>1500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1500.2</v>
      </c>
      <c r="AK524" s="182">
        <f t="shared" ca="1" si="150"/>
        <v>2750</v>
      </c>
      <c r="AM524" s="11">
        <f t="shared" si="147"/>
        <v>100</v>
      </c>
      <c r="AN524" s="10">
        <v>100</v>
      </c>
      <c r="AO524" s="11">
        <f t="shared" si="154"/>
        <v>1500</v>
      </c>
      <c r="AP524" s="10">
        <v>1500</v>
      </c>
      <c r="AQ524" s="11">
        <f t="shared" si="154"/>
        <v>0</v>
      </c>
      <c r="AR524" s="10">
        <v>0</v>
      </c>
      <c r="AS524" s="56">
        <f t="shared" si="149"/>
        <v>1</v>
      </c>
      <c r="AU524" s="11">
        <f ca="1">IFERROR(OFFSET(ITEM_RES!$A$1,MATCH(AV524,ITEM_RES!$J:$J,0)-1,0),0)</f>
        <v>211020901</v>
      </c>
      <c r="AV524" s="10" t="s">
        <v>444</v>
      </c>
      <c r="AW524" s="11">
        <v>1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1119</v>
      </c>
      <c r="L525" s="16">
        <v>10</v>
      </c>
      <c r="M525" s="16"/>
      <c r="N525" s="16"/>
      <c r="O525" s="16">
        <v>1</v>
      </c>
      <c r="P525" s="16">
        <v>15</v>
      </c>
      <c r="Q525" s="16" t="s">
        <v>1140</v>
      </c>
      <c r="R525" s="17"/>
      <c r="S525" s="17"/>
      <c r="T525" s="18"/>
      <c r="U525" s="16">
        <v>4444</v>
      </c>
      <c r="V525" s="78"/>
      <c r="W525" s="86"/>
      <c r="X525" s="16">
        <f ca="1">IFERROR(OFFSET(ITEM_RES!$A$5,MATCH(BUILDING!W525,ITEM_RES!$J$5:$J$226,0)-1,0),0)</f>
        <v>0</v>
      </c>
      <c r="Y525" s="18"/>
      <c r="Z525" s="86"/>
      <c r="AA525" s="16">
        <f ca="1">IFERROR(OFFSET(ITEM_RES!$A$5,MATCH(BUILDING!Z525,ITEM_RES!$J$5:$J$226,0)-1,0),0)</f>
        <v>0</v>
      </c>
      <c r="AB525" s="78"/>
      <c r="AC525" s="16" t="s">
        <v>380</v>
      </c>
      <c r="AD525" s="16">
        <v>1</v>
      </c>
      <c r="AE525" s="78"/>
      <c r="AF525" s="18">
        <f ca="1">IFERROR(OFFSET(MANOR_LEVEL!$B$1,MATCH(AG525-1,MANOR_LEVEL!$A:$A,0)-1,0),0)</f>
        <v>0</v>
      </c>
      <c r="AG525" s="57">
        <v>1</v>
      </c>
      <c r="AH525" s="78"/>
      <c r="AI525" s="57">
        <f t="shared" ca="1" si="148"/>
        <v>205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205.1</v>
      </c>
      <c r="AK525" s="184">
        <f ca="1">AI525</f>
        <v>205</v>
      </c>
      <c r="AL525" s="78"/>
      <c r="AM525" s="18">
        <f t="shared" si="147"/>
        <v>5</v>
      </c>
      <c r="AN525" s="17">
        <v>5</v>
      </c>
      <c r="AO525" s="18">
        <f t="shared" si="154"/>
        <v>5</v>
      </c>
      <c r="AP525" s="17">
        <v>5</v>
      </c>
      <c r="AQ525" s="18">
        <f t="shared" si="154"/>
        <v>0</v>
      </c>
      <c r="AR525" s="17">
        <v>0</v>
      </c>
      <c r="AS525" s="57">
        <f t="shared" si="149"/>
        <v>3</v>
      </c>
      <c r="AT525" s="18"/>
      <c r="AU525" s="18">
        <f ca="1">IFERROR(OFFSET(ITEM_RES!$A$1,MATCH(AV525,ITEM_RES!$J:$J,0)-1,0),0)</f>
        <v>211020801</v>
      </c>
      <c r="AV525" s="17" t="s">
        <v>434</v>
      </c>
      <c r="AW525" s="18">
        <v>1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452</v>
      </c>
      <c r="BG525" s="18">
        <v>1</v>
      </c>
      <c r="BH525" s="17"/>
      <c r="BI525" s="18"/>
      <c r="BJ525" s="18">
        <f ca="1">IFERROR(OFFSET(ITEM_RES!$A$1,MATCH(BK525,ITEM_RES!$J:$J,0)-1,0),0)</f>
        <v>213010201</v>
      </c>
      <c r="BK525" s="17" t="s">
        <v>474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1119</v>
      </c>
      <c r="O526" s="9">
        <v>1</v>
      </c>
      <c r="P526" s="9">
        <v>15</v>
      </c>
      <c r="Q526" s="9" t="s">
        <v>1138</v>
      </c>
      <c r="U526" s="9">
        <v>4444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379</v>
      </c>
      <c r="AD526" s="9">
        <v>2</v>
      </c>
      <c r="AF526" s="11">
        <f ca="1">IFERROR(OFFSET(MANOR_LEVEL!$B$1,MATCH(AG526-1,MANOR_LEVEL!$A:$A,0)-1,0),0)</f>
        <v>0</v>
      </c>
      <c r="AG526" s="56">
        <v>1</v>
      </c>
      <c r="AI526" s="56">
        <f t="shared" ca="1" si="148"/>
        <v>10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10.1</v>
      </c>
      <c r="AK526" s="182">
        <f ca="1">AI525+AI526</f>
        <v>215</v>
      </c>
      <c r="AM526" s="11">
        <f t="shared" si="147"/>
        <v>10</v>
      </c>
      <c r="AN526" s="10">
        <v>10</v>
      </c>
      <c r="AO526" s="11">
        <f t="shared" si="154"/>
        <v>10</v>
      </c>
      <c r="AP526" s="10">
        <v>10</v>
      </c>
      <c r="AQ526" s="11">
        <f t="shared" si="154"/>
        <v>0</v>
      </c>
      <c r="AR526" s="10">
        <v>0</v>
      </c>
      <c r="AS526" s="56">
        <f t="shared" si="149"/>
        <v>1</v>
      </c>
      <c r="AU526" s="11">
        <f ca="1">IFERROR(OFFSET(ITEM_RES!$A$1,MATCH(AV526,ITEM_RES!$J:$J,0)-1,0),0)</f>
        <v>211020801</v>
      </c>
      <c r="AV526" s="10" t="s">
        <v>434</v>
      </c>
      <c r="AW526" s="11">
        <v>1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1118</v>
      </c>
      <c r="O527" s="9">
        <v>1</v>
      </c>
      <c r="P527" s="9">
        <v>15</v>
      </c>
      <c r="Q527" s="9" t="s">
        <v>1138</v>
      </c>
      <c r="U527" s="9">
        <v>4444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379</v>
      </c>
      <c r="AD527" s="9">
        <v>3</v>
      </c>
      <c r="AF527" s="11">
        <f ca="1">IFERROR(OFFSET(MANOR_LEVEL!$B$1,MATCH(AG527-1,MANOR_LEVEL!$A:$A,0)-1,0),0)</f>
        <v>0</v>
      </c>
      <c r="AG527" s="56">
        <v>1</v>
      </c>
      <c r="AI527" s="56">
        <f t="shared" ca="1" si="148"/>
        <v>15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15.1</v>
      </c>
      <c r="AK527" s="182">
        <f t="shared" ref="AK527:AK544" ca="1" si="155">AI526+AI527</f>
        <v>25</v>
      </c>
      <c r="AM527" s="11">
        <f t="shared" si="147"/>
        <v>15</v>
      </c>
      <c r="AN527" s="10">
        <v>15</v>
      </c>
      <c r="AO527" s="11">
        <f t="shared" si="154"/>
        <v>15</v>
      </c>
      <c r="AP527" s="10">
        <v>15</v>
      </c>
      <c r="AQ527" s="11">
        <f t="shared" si="154"/>
        <v>0</v>
      </c>
      <c r="AR527" s="10">
        <v>0</v>
      </c>
      <c r="AS527" s="56">
        <f t="shared" si="149"/>
        <v>1</v>
      </c>
      <c r="AU527" s="11">
        <f ca="1">IFERROR(OFFSET(ITEM_RES!$A$1,MATCH(AV527,ITEM_RES!$J:$J,0)-1,0),0)</f>
        <v>211020801</v>
      </c>
      <c r="AV527" s="10" t="s">
        <v>434</v>
      </c>
      <c r="AW527" s="11">
        <v>1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1118</v>
      </c>
      <c r="O528" s="9">
        <v>1</v>
      </c>
      <c r="P528" s="9">
        <v>15</v>
      </c>
      <c r="Q528" s="9" t="s">
        <v>1138</v>
      </c>
      <c r="U528" s="9">
        <v>4444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379</v>
      </c>
      <c r="AD528" s="9">
        <v>4</v>
      </c>
      <c r="AF528" s="11">
        <f ca="1">IFERROR(OFFSET(MANOR_LEVEL!$B$1,MATCH(AG528-1,MANOR_LEVEL!$A:$A,0)-1,0),0)</f>
        <v>444</v>
      </c>
      <c r="AG528" s="56">
        <v>2</v>
      </c>
      <c r="AI528" s="56">
        <f t="shared" ca="1" si="148"/>
        <v>25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25.1</v>
      </c>
      <c r="AK528" s="182">
        <f t="shared" ca="1" si="155"/>
        <v>40</v>
      </c>
      <c r="AM528" s="11">
        <f t="shared" si="147"/>
        <v>20</v>
      </c>
      <c r="AN528" s="10">
        <v>20</v>
      </c>
      <c r="AO528" s="11">
        <f t="shared" si="154"/>
        <v>25</v>
      </c>
      <c r="AP528" s="10">
        <v>25</v>
      </c>
      <c r="AQ528" s="11">
        <f t="shared" si="154"/>
        <v>0</v>
      </c>
      <c r="AR528" s="10">
        <v>0</v>
      </c>
      <c r="AS528" s="56">
        <f t="shared" si="149"/>
        <v>1</v>
      </c>
      <c r="AU528" s="11">
        <f ca="1">IFERROR(OFFSET(ITEM_RES!$A$1,MATCH(AV528,ITEM_RES!$J:$J,0)-1,0),0)</f>
        <v>211020801</v>
      </c>
      <c r="AV528" s="10" t="s">
        <v>434</v>
      </c>
      <c r="AW528" s="11">
        <v>1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1118</v>
      </c>
      <c r="O529" s="9">
        <v>1</v>
      </c>
      <c r="P529" s="9">
        <v>15</v>
      </c>
      <c r="Q529" s="9" t="s">
        <v>1138</v>
      </c>
      <c r="U529" s="9">
        <v>4444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379</v>
      </c>
      <c r="AD529" s="9">
        <v>5</v>
      </c>
      <c r="AF529" s="11">
        <f ca="1">IFERROR(OFFSET(MANOR_LEVEL!$B$1,MATCH(AG529-1,MANOR_LEVEL!$A:$A,0)-1,0),0)</f>
        <v>444</v>
      </c>
      <c r="AG529" s="56">
        <v>2</v>
      </c>
      <c r="AI529" s="56">
        <f t="shared" ca="1" si="148"/>
        <v>40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40.1</v>
      </c>
      <c r="AK529" s="182">
        <f t="shared" ca="1" si="155"/>
        <v>65</v>
      </c>
      <c r="AM529" s="11">
        <f t="shared" si="147"/>
        <v>25</v>
      </c>
      <c r="AN529" s="10">
        <v>25</v>
      </c>
      <c r="AO529" s="11">
        <f t="shared" si="154"/>
        <v>40</v>
      </c>
      <c r="AP529" s="10">
        <v>40</v>
      </c>
      <c r="AQ529" s="11">
        <f t="shared" si="154"/>
        <v>0</v>
      </c>
      <c r="AR529" s="10">
        <v>0</v>
      </c>
      <c r="AS529" s="56">
        <f t="shared" si="149"/>
        <v>1</v>
      </c>
      <c r="AU529" s="11">
        <f ca="1">IFERROR(OFFSET(ITEM_RES!$A$1,MATCH(AV529,ITEM_RES!$J:$J,0)-1,0),0)</f>
        <v>211020801</v>
      </c>
      <c r="AV529" s="10" t="s">
        <v>434</v>
      </c>
      <c r="AW529" s="11">
        <v>1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1118</v>
      </c>
      <c r="O530" s="9">
        <v>1</v>
      </c>
      <c r="P530" s="9">
        <v>15</v>
      </c>
      <c r="Q530" s="9" t="s">
        <v>1138</v>
      </c>
      <c r="U530" s="9">
        <v>4444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379</v>
      </c>
      <c r="AD530" s="9">
        <v>6</v>
      </c>
      <c r="AF530" s="11">
        <f ca="1">IFERROR(OFFSET(MANOR_LEVEL!$B$1,MATCH(AG530-1,MANOR_LEVEL!$A:$A,0)-1,0),0)</f>
        <v>444</v>
      </c>
      <c r="AG530" s="56">
        <v>2</v>
      </c>
      <c r="AI530" s="56">
        <f t="shared" ca="1" si="148"/>
        <v>50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50.1</v>
      </c>
      <c r="AK530" s="182">
        <f t="shared" ca="1" si="155"/>
        <v>90</v>
      </c>
      <c r="AM530" s="11">
        <f t="shared" si="147"/>
        <v>30</v>
      </c>
      <c r="AN530" s="10">
        <v>30</v>
      </c>
      <c r="AO530" s="11">
        <f t="shared" si="154"/>
        <v>50</v>
      </c>
      <c r="AP530" s="10">
        <v>50</v>
      </c>
      <c r="AQ530" s="11">
        <f t="shared" si="154"/>
        <v>0</v>
      </c>
      <c r="AR530" s="10">
        <v>0</v>
      </c>
      <c r="AS530" s="56">
        <f t="shared" si="149"/>
        <v>1</v>
      </c>
      <c r="AU530" s="11">
        <f ca="1">IFERROR(OFFSET(ITEM_RES!$A$1,MATCH(AV530,ITEM_RES!$J:$J,0)-1,0),0)</f>
        <v>211020801</v>
      </c>
      <c r="AV530" s="10" t="s">
        <v>434</v>
      </c>
      <c r="AW530" s="11">
        <v>1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1118</v>
      </c>
      <c r="O531" s="9">
        <v>1</v>
      </c>
      <c r="P531" s="9">
        <v>15</v>
      </c>
      <c r="Q531" s="9" t="s">
        <v>1138</v>
      </c>
      <c r="U531" s="9">
        <v>4444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379</v>
      </c>
      <c r="AD531" s="9">
        <v>7</v>
      </c>
      <c r="AF531" s="11">
        <f ca="1">IFERROR(OFFSET(MANOR_LEVEL!$B$1,MATCH(AG531-1,MANOR_LEVEL!$A:$A,0)-1,0),0)</f>
        <v>444</v>
      </c>
      <c r="AG531" s="56">
        <v>2</v>
      </c>
      <c r="AI531" s="56">
        <f t="shared" ca="1" si="148"/>
        <v>100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100.1</v>
      </c>
      <c r="AK531" s="182">
        <f t="shared" ca="1" si="155"/>
        <v>150</v>
      </c>
      <c r="AM531" s="11">
        <f t="shared" si="147"/>
        <v>35</v>
      </c>
      <c r="AN531" s="10">
        <v>35</v>
      </c>
      <c r="AO531" s="11">
        <f t="shared" si="154"/>
        <v>100</v>
      </c>
      <c r="AP531" s="10">
        <v>100</v>
      </c>
      <c r="AQ531" s="11">
        <f t="shared" si="154"/>
        <v>0</v>
      </c>
      <c r="AR531" s="10">
        <v>0</v>
      </c>
      <c r="AS531" s="56">
        <f t="shared" si="149"/>
        <v>1</v>
      </c>
      <c r="AU531" s="11">
        <f ca="1">IFERROR(OFFSET(ITEM_RES!$A$1,MATCH(AV531,ITEM_RES!$J:$J,0)-1,0),0)</f>
        <v>211020801</v>
      </c>
      <c r="AV531" s="10" t="s">
        <v>434</v>
      </c>
      <c r="AW531" s="11">
        <v>1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1118</v>
      </c>
      <c r="O532" s="9">
        <v>1</v>
      </c>
      <c r="P532" s="9">
        <v>15</v>
      </c>
      <c r="Q532" s="9" t="s">
        <v>1138</v>
      </c>
      <c r="U532" s="9">
        <v>4444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379</v>
      </c>
      <c r="AD532" s="9">
        <v>8</v>
      </c>
      <c r="AF532" s="11">
        <f ca="1">IFERROR(OFFSET(MANOR_LEVEL!$B$1,MATCH(AG532-1,MANOR_LEVEL!$A:$A,0)-1,0),0)</f>
        <v>528</v>
      </c>
      <c r="AG532" s="56">
        <v>3</v>
      </c>
      <c r="AI532" s="56">
        <f t="shared" ca="1" si="148"/>
        <v>1100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1100.0999999999999</v>
      </c>
      <c r="AK532" s="182">
        <f t="shared" ca="1" si="155"/>
        <v>1200</v>
      </c>
      <c r="AM532" s="11">
        <f t="shared" si="147"/>
        <v>40</v>
      </c>
      <c r="AN532" s="10">
        <v>40</v>
      </c>
      <c r="AO532" s="11">
        <f t="shared" si="154"/>
        <v>100</v>
      </c>
      <c r="AP532" s="10">
        <v>100</v>
      </c>
      <c r="AQ532" s="11">
        <f t="shared" si="154"/>
        <v>0</v>
      </c>
      <c r="AR532" s="10">
        <v>0</v>
      </c>
      <c r="AS532" s="56">
        <f t="shared" si="149"/>
        <v>2</v>
      </c>
      <c r="AU532" s="11">
        <f ca="1">IFERROR(OFFSET(ITEM_RES!$A$1,MATCH(AV532,ITEM_RES!$J:$J,0)-1,0),0)</f>
        <v>211020801</v>
      </c>
      <c r="AV532" s="10" t="s">
        <v>434</v>
      </c>
      <c r="AW532" s="11">
        <v>1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213011701</v>
      </c>
      <c r="BK532" s="10" t="s">
        <v>478</v>
      </c>
      <c r="BL532" s="11">
        <v>1</v>
      </c>
      <c r="BO532" s="11">
        <f ca="1">IFERROR(OFFSET(ITEM_RES!$A$1,MATCH(BP532,ITEM_RES!$J:$J,0)-1,0),0)</f>
        <v>0</v>
      </c>
    </row>
    <row r="533" spans="1:67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1118</v>
      </c>
      <c r="O533" s="9">
        <v>1</v>
      </c>
      <c r="P533" s="9">
        <v>15</v>
      </c>
      <c r="Q533" s="9" t="s">
        <v>1138</v>
      </c>
      <c r="U533" s="9">
        <v>4444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379</v>
      </c>
      <c r="AD533" s="9">
        <v>9</v>
      </c>
      <c r="AF533" s="11">
        <f ca="1">IFERROR(OFFSET(MANOR_LEVEL!$B$1,MATCH(AG533-1,MANOR_LEVEL!$A:$A,0)-1,0),0)</f>
        <v>528</v>
      </c>
      <c r="AG533" s="56">
        <v>3</v>
      </c>
      <c r="AI533" s="56">
        <f t="shared" ca="1" si="148"/>
        <v>150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150.1</v>
      </c>
      <c r="AK533" s="182">
        <f t="shared" ca="1" si="155"/>
        <v>1250</v>
      </c>
      <c r="AM533" s="11">
        <f t="shared" si="147"/>
        <v>45</v>
      </c>
      <c r="AN533" s="10">
        <v>45</v>
      </c>
      <c r="AO533" s="11">
        <f t="shared" si="154"/>
        <v>150</v>
      </c>
      <c r="AP533" s="10">
        <v>150</v>
      </c>
      <c r="AQ533" s="11">
        <f t="shared" si="154"/>
        <v>0</v>
      </c>
      <c r="AR533" s="10">
        <v>0</v>
      </c>
      <c r="AS533" s="56">
        <f t="shared" si="149"/>
        <v>1</v>
      </c>
      <c r="AU533" s="11">
        <f ca="1">IFERROR(OFFSET(ITEM_RES!$A$1,MATCH(AV533,ITEM_RES!$J:$J,0)-1,0),0)</f>
        <v>211020801</v>
      </c>
      <c r="AV533" s="10" t="s">
        <v>434</v>
      </c>
      <c r="AW533" s="11">
        <v>1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1118</v>
      </c>
      <c r="O534" s="9">
        <v>1</v>
      </c>
      <c r="P534" s="9">
        <v>15</v>
      </c>
      <c r="Q534" s="9" t="s">
        <v>1138</v>
      </c>
      <c r="U534" s="9">
        <v>4444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379</v>
      </c>
      <c r="AD534" s="9">
        <v>10</v>
      </c>
      <c r="AF534" s="11">
        <f ca="1">IFERROR(OFFSET(MANOR_LEVEL!$B$1,MATCH(AG534-1,MANOR_LEVEL!$A:$A,0)-1,0),0)</f>
        <v>528</v>
      </c>
      <c r="AG534" s="56">
        <v>3</v>
      </c>
      <c r="AI534" s="56">
        <f t="shared" ca="1" si="148"/>
        <v>200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200.1</v>
      </c>
      <c r="AK534" s="182">
        <f t="shared" ca="1" si="155"/>
        <v>350</v>
      </c>
      <c r="AM534" s="11">
        <f t="shared" si="147"/>
        <v>50</v>
      </c>
      <c r="AN534" s="10">
        <v>50</v>
      </c>
      <c r="AO534" s="11">
        <f t="shared" si="154"/>
        <v>200</v>
      </c>
      <c r="AP534" s="10">
        <v>200</v>
      </c>
      <c r="AQ534" s="11">
        <f t="shared" si="154"/>
        <v>0</v>
      </c>
      <c r="AR534" s="10">
        <v>0</v>
      </c>
      <c r="AS534" s="56">
        <f t="shared" si="149"/>
        <v>1</v>
      </c>
      <c r="AU534" s="11">
        <f ca="1">IFERROR(OFFSET(ITEM_RES!$A$1,MATCH(AV534,ITEM_RES!$J:$J,0)-1,0),0)</f>
        <v>211020801</v>
      </c>
      <c r="AV534" s="10" t="s">
        <v>434</v>
      </c>
      <c r="AW534" s="11">
        <v>1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1118</v>
      </c>
      <c r="O535" s="9">
        <v>1</v>
      </c>
      <c r="P535" s="9">
        <v>15</v>
      </c>
      <c r="Q535" s="9" t="s">
        <v>1138</v>
      </c>
      <c r="U535" s="9">
        <v>4444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379</v>
      </c>
      <c r="AD535" s="9">
        <v>11</v>
      </c>
      <c r="AF535" s="11">
        <f ca="1">IFERROR(OFFSET(MANOR_LEVEL!$B$1,MATCH(AG535-1,MANOR_LEVEL!$A:$A,0)-1,0),0)</f>
        <v>528</v>
      </c>
      <c r="AG535" s="56">
        <v>3</v>
      </c>
      <c r="AI535" s="56">
        <f t="shared" ca="1" si="148"/>
        <v>250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250.1</v>
      </c>
      <c r="AK535" s="182">
        <f t="shared" ca="1" si="155"/>
        <v>450</v>
      </c>
      <c r="AM535" s="11">
        <f t="shared" si="147"/>
        <v>55</v>
      </c>
      <c r="AN535" s="10">
        <v>55</v>
      </c>
      <c r="AO535" s="11">
        <f t="shared" si="154"/>
        <v>250</v>
      </c>
      <c r="AP535" s="10">
        <v>250</v>
      </c>
      <c r="AQ535" s="11">
        <f t="shared" si="154"/>
        <v>0</v>
      </c>
      <c r="AR535" s="10">
        <v>0</v>
      </c>
      <c r="AS535" s="56">
        <f t="shared" si="149"/>
        <v>1</v>
      </c>
      <c r="AU535" s="11">
        <f ca="1">IFERROR(OFFSET(ITEM_RES!$A$1,MATCH(AV535,ITEM_RES!$J:$J,0)-1,0),0)</f>
        <v>211020801</v>
      </c>
      <c r="AV535" s="10" t="s">
        <v>434</v>
      </c>
      <c r="AW535" s="11">
        <v>1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1118</v>
      </c>
      <c r="O536" s="9">
        <v>1</v>
      </c>
      <c r="P536" s="9">
        <v>15</v>
      </c>
      <c r="Q536" s="9" t="s">
        <v>1138</v>
      </c>
      <c r="U536" s="9">
        <v>4444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379</v>
      </c>
      <c r="AD536" s="9">
        <v>12</v>
      </c>
      <c r="AF536" s="11">
        <f ca="1">IFERROR(OFFSET(MANOR_LEVEL!$B$1,MATCH(AG536-1,MANOR_LEVEL!$A:$A,0)-1,0),0)</f>
        <v>800</v>
      </c>
      <c r="AG536" s="56">
        <v>4</v>
      </c>
      <c r="AI536" s="56">
        <f t="shared" ca="1" si="148"/>
        <v>300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300.10000000000002</v>
      </c>
      <c r="AK536" s="182">
        <f t="shared" ca="1" si="155"/>
        <v>550</v>
      </c>
      <c r="AM536" s="11">
        <f t="shared" si="147"/>
        <v>60</v>
      </c>
      <c r="AN536" s="10">
        <v>60</v>
      </c>
      <c r="AO536" s="11">
        <f t="shared" si="154"/>
        <v>300</v>
      </c>
      <c r="AP536" s="10">
        <v>300</v>
      </c>
      <c r="AQ536" s="11">
        <f t="shared" si="154"/>
        <v>0</v>
      </c>
      <c r="AR536" s="10">
        <v>0</v>
      </c>
      <c r="AS536" s="56">
        <f t="shared" si="149"/>
        <v>1</v>
      </c>
      <c r="AU536" s="11">
        <f ca="1">IFERROR(OFFSET(ITEM_RES!$A$1,MATCH(AV536,ITEM_RES!$J:$J,0)-1,0),0)</f>
        <v>211020801</v>
      </c>
      <c r="AV536" s="10" t="s">
        <v>434</v>
      </c>
      <c r="AW536" s="11">
        <v>1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  <c r="BO536" s="11">
        <f ca="1">IFERROR(OFFSET(ITEM_RES!$A$1,MATCH(BP536,ITEM_RES!$J:$J,0)-1,0),0)</f>
        <v>0</v>
      </c>
    </row>
    <row r="537" spans="1:67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1118</v>
      </c>
      <c r="O537" s="9">
        <v>1</v>
      </c>
      <c r="P537" s="9">
        <v>15</v>
      </c>
      <c r="Q537" s="9" t="s">
        <v>1138</v>
      </c>
      <c r="U537" s="9">
        <v>4444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379</v>
      </c>
      <c r="AD537" s="9">
        <v>13</v>
      </c>
      <c r="AF537" s="11">
        <f ca="1">IFERROR(OFFSET(MANOR_LEVEL!$B$1,MATCH(AG537-1,MANOR_LEVEL!$A:$A,0)-1,0),0)</f>
        <v>800</v>
      </c>
      <c r="AG537" s="56">
        <v>4</v>
      </c>
      <c r="AI537" s="56">
        <f t="shared" ca="1" si="148"/>
        <v>350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350.1</v>
      </c>
      <c r="AK537" s="182">
        <f t="shared" ca="1" si="155"/>
        <v>650</v>
      </c>
      <c r="AM537" s="11">
        <f t="shared" si="147"/>
        <v>65</v>
      </c>
      <c r="AN537" s="10">
        <v>65</v>
      </c>
      <c r="AO537" s="11">
        <f t="shared" si="154"/>
        <v>350</v>
      </c>
      <c r="AP537" s="10">
        <v>350</v>
      </c>
      <c r="AQ537" s="11">
        <f t="shared" si="154"/>
        <v>0</v>
      </c>
      <c r="AR537" s="10">
        <v>0</v>
      </c>
      <c r="AS537" s="56">
        <f t="shared" si="149"/>
        <v>1</v>
      </c>
      <c r="AU537" s="11">
        <f ca="1">IFERROR(OFFSET(ITEM_RES!$A$1,MATCH(AV537,ITEM_RES!$J:$J,0)-1,0),0)</f>
        <v>211020801</v>
      </c>
      <c r="AV537" s="10" t="s">
        <v>434</v>
      </c>
      <c r="AW537" s="11">
        <v>1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1118</v>
      </c>
      <c r="O538" s="9">
        <v>1</v>
      </c>
      <c r="P538" s="9">
        <v>15</v>
      </c>
      <c r="Q538" s="9" t="s">
        <v>1138</v>
      </c>
      <c r="U538" s="9">
        <v>4444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379</v>
      </c>
      <c r="AD538" s="9">
        <v>14</v>
      </c>
      <c r="AF538" s="11">
        <f ca="1">IFERROR(OFFSET(MANOR_LEVEL!$B$1,MATCH(AG538-1,MANOR_LEVEL!$A:$A,0)-1,0),0)</f>
        <v>800</v>
      </c>
      <c r="AG538" s="56">
        <v>4</v>
      </c>
      <c r="AI538" s="56">
        <f t="shared" ca="1" si="148"/>
        <v>450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450.2</v>
      </c>
      <c r="AK538" s="182">
        <f t="shared" ca="1" si="155"/>
        <v>800</v>
      </c>
      <c r="AM538" s="11">
        <f t="shared" si="147"/>
        <v>70</v>
      </c>
      <c r="AN538" s="10">
        <v>70</v>
      </c>
      <c r="AO538" s="11">
        <f t="shared" si="154"/>
        <v>450</v>
      </c>
      <c r="AP538" s="10">
        <v>450</v>
      </c>
      <c r="AQ538" s="11">
        <f t="shared" si="154"/>
        <v>0</v>
      </c>
      <c r="AR538" s="10">
        <v>0</v>
      </c>
      <c r="AS538" s="56">
        <f t="shared" si="149"/>
        <v>1</v>
      </c>
      <c r="AU538" s="11">
        <f ca="1">IFERROR(OFFSET(ITEM_RES!$A$1,MATCH(AV538,ITEM_RES!$J:$J,0)-1,0),0)</f>
        <v>211020901</v>
      </c>
      <c r="AV538" s="10" t="s">
        <v>444</v>
      </c>
      <c r="AW538" s="11">
        <v>1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1118</v>
      </c>
      <c r="O539" s="9">
        <v>1</v>
      </c>
      <c r="P539" s="9">
        <v>15</v>
      </c>
      <c r="Q539" s="9" t="s">
        <v>1138</v>
      </c>
      <c r="U539" s="9">
        <v>4444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379</v>
      </c>
      <c r="AD539" s="9">
        <v>15</v>
      </c>
      <c r="AF539" s="11">
        <f ca="1">IFERROR(OFFSET(MANOR_LEVEL!$B$1,MATCH(AG539-1,MANOR_LEVEL!$A:$A,0)-1,0),0)</f>
        <v>1500</v>
      </c>
      <c r="AG539" s="56">
        <v>5</v>
      </c>
      <c r="AI539" s="56">
        <f t="shared" ca="1" si="148"/>
        <v>550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550.20000000000005</v>
      </c>
      <c r="AK539" s="182">
        <f t="shared" ca="1" si="155"/>
        <v>1000</v>
      </c>
      <c r="AM539" s="11">
        <f t="shared" si="147"/>
        <v>75</v>
      </c>
      <c r="AN539" s="10">
        <v>75</v>
      </c>
      <c r="AO539" s="11">
        <f t="shared" si="154"/>
        <v>550</v>
      </c>
      <c r="AP539" s="10">
        <v>550</v>
      </c>
      <c r="AQ539" s="11">
        <f t="shared" si="154"/>
        <v>0</v>
      </c>
      <c r="AR539" s="10">
        <v>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444</v>
      </c>
      <c r="AW539" s="11">
        <v>1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1118</v>
      </c>
      <c r="O540" s="9">
        <v>0</v>
      </c>
      <c r="P540" s="9">
        <v>15</v>
      </c>
      <c r="Q540" s="9" t="s">
        <v>1138</v>
      </c>
      <c r="U540" s="9">
        <v>4444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379</v>
      </c>
      <c r="AD540" s="9">
        <v>16</v>
      </c>
      <c r="AF540" s="11">
        <f ca="1">IFERROR(OFFSET(MANOR_LEVEL!$B$1,MATCH(AG540-1,MANOR_LEVEL!$A:$A,0)-1,0),0)</f>
        <v>1500</v>
      </c>
      <c r="AG540" s="56">
        <v>5</v>
      </c>
      <c r="AI540" s="56">
        <f t="shared" ca="1" si="148"/>
        <v>700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700.2</v>
      </c>
      <c r="AK540" s="182">
        <f t="shared" ca="1" si="155"/>
        <v>1250</v>
      </c>
      <c r="AM540" s="11">
        <f t="shared" si="147"/>
        <v>80</v>
      </c>
      <c r="AN540" s="10">
        <v>80</v>
      </c>
      <c r="AO540" s="11">
        <f t="shared" si="154"/>
        <v>700</v>
      </c>
      <c r="AP540" s="10">
        <v>700</v>
      </c>
      <c r="AQ540" s="11">
        <f t="shared" si="154"/>
        <v>0</v>
      </c>
      <c r="AR540" s="10">
        <v>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444</v>
      </c>
      <c r="AW540" s="11">
        <v>1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1118</v>
      </c>
      <c r="O541" s="9">
        <v>0</v>
      </c>
      <c r="P541" s="9">
        <v>15</v>
      </c>
      <c r="Q541" s="9" t="s">
        <v>1138</v>
      </c>
      <c r="U541" s="9">
        <v>4444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379</v>
      </c>
      <c r="AD541" s="9">
        <v>17</v>
      </c>
      <c r="AF541" s="11">
        <f ca="1">IFERROR(OFFSET(MANOR_LEVEL!$B$1,MATCH(AG541-1,MANOR_LEVEL!$A:$A,0)-1,0),0)</f>
        <v>3872</v>
      </c>
      <c r="AG541" s="56">
        <v>6</v>
      </c>
      <c r="AI541" s="56">
        <f t="shared" ca="1" si="148"/>
        <v>850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850.2</v>
      </c>
      <c r="AK541" s="182">
        <f t="shared" ca="1" si="155"/>
        <v>1550</v>
      </c>
      <c r="AM541" s="11">
        <f t="shared" si="147"/>
        <v>85</v>
      </c>
      <c r="AN541" s="10">
        <v>85</v>
      </c>
      <c r="AO541" s="11">
        <f t="shared" si="154"/>
        <v>850</v>
      </c>
      <c r="AP541" s="10">
        <v>850</v>
      </c>
      <c r="AQ541" s="11">
        <f t="shared" si="154"/>
        <v>0</v>
      </c>
      <c r="AR541" s="10">
        <v>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444</v>
      </c>
      <c r="AW541" s="11">
        <v>1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1118</v>
      </c>
      <c r="O542" s="9">
        <v>0</v>
      </c>
      <c r="P542" s="9">
        <v>15</v>
      </c>
      <c r="Q542" s="9" t="s">
        <v>1138</v>
      </c>
      <c r="U542" s="9">
        <v>4444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379</v>
      </c>
      <c r="AD542" s="9">
        <v>18</v>
      </c>
      <c r="AF542" s="11">
        <f ca="1">IFERROR(OFFSET(MANOR_LEVEL!$B$1,MATCH(AG542-1,MANOR_LEVEL!$A:$A,0)-1,0),0)</f>
        <v>32640</v>
      </c>
      <c r="AG542" s="56">
        <v>7</v>
      </c>
      <c r="AI542" s="56">
        <f t="shared" ca="1" si="148"/>
        <v>1050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1050.2</v>
      </c>
      <c r="AK542" s="182">
        <f t="shared" ca="1" si="155"/>
        <v>1900</v>
      </c>
      <c r="AM542" s="11">
        <f t="shared" si="147"/>
        <v>90</v>
      </c>
      <c r="AN542" s="10">
        <v>90</v>
      </c>
      <c r="AO542" s="11">
        <f t="shared" si="154"/>
        <v>1050</v>
      </c>
      <c r="AP542" s="10">
        <v>1050</v>
      </c>
      <c r="AQ542" s="11">
        <f t="shared" si="154"/>
        <v>0</v>
      </c>
      <c r="AR542" s="10">
        <v>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444</v>
      </c>
      <c r="AW542" s="11">
        <v>1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1118</v>
      </c>
      <c r="O543" s="9">
        <v>0</v>
      </c>
      <c r="P543" s="9">
        <v>15</v>
      </c>
      <c r="Q543" s="9" t="s">
        <v>1138</v>
      </c>
      <c r="U543" s="9">
        <v>4444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379</v>
      </c>
      <c r="AD543" s="9">
        <v>19</v>
      </c>
      <c r="AF543" s="11">
        <f ca="1">IFERROR(OFFSET(MANOR_LEVEL!$B$1,MATCH(AG543-1,MANOR_LEVEL!$A:$A,0)-1,0),0)</f>
        <v>32640</v>
      </c>
      <c r="AG543" s="56">
        <v>7</v>
      </c>
      <c r="AI543" s="56">
        <f t="shared" ca="1" si="148"/>
        <v>1250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1250.2</v>
      </c>
      <c r="AK543" s="182">
        <f t="shared" ca="1" si="155"/>
        <v>2300</v>
      </c>
      <c r="AM543" s="11">
        <f t="shared" si="147"/>
        <v>95</v>
      </c>
      <c r="AN543" s="10">
        <v>95</v>
      </c>
      <c r="AO543" s="11">
        <f t="shared" si="154"/>
        <v>1250</v>
      </c>
      <c r="AP543" s="10">
        <v>1250</v>
      </c>
      <c r="AQ543" s="11">
        <f t="shared" si="154"/>
        <v>0</v>
      </c>
      <c r="AR543" s="10">
        <v>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444</v>
      </c>
      <c r="AW543" s="11">
        <v>1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1118</v>
      </c>
      <c r="O544" s="9">
        <v>0</v>
      </c>
      <c r="P544" s="9">
        <v>15</v>
      </c>
      <c r="Q544" s="9" t="s">
        <v>1138</v>
      </c>
      <c r="U544" s="9">
        <v>4444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379</v>
      </c>
      <c r="AD544" s="9">
        <v>20</v>
      </c>
      <c r="AF544" s="11">
        <f ca="1">IFERROR(OFFSET(MANOR_LEVEL!$B$1,MATCH(AG544-1,MANOR_LEVEL!$A:$A,0)-1,0),0)</f>
        <v>32640</v>
      </c>
      <c r="AG544" s="56">
        <v>7</v>
      </c>
      <c r="AI544" s="56">
        <f t="shared" ca="1" si="148"/>
        <v>1500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1500.2</v>
      </c>
      <c r="AK544" s="182">
        <f t="shared" ca="1" si="155"/>
        <v>2750</v>
      </c>
      <c r="AM544" s="11">
        <f t="shared" si="147"/>
        <v>100</v>
      </c>
      <c r="AN544" s="10">
        <v>100</v>
      </c>
      <c r="AO544" s="11">
        <f t="shared" si="154"/>
        <v>1500</v>
      </c>
      <c r="AP544" s="10">
        <v>1500</v>
      </c>
      <c r="AQ544" s="11">
        <f t="shared" si="154"/>
        <v>0</v>
      </c>
      <c r="AR544" s="10">
        <v>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444</v>
      </c>
      <c r="AW544" s="11">
        <v>1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1120</v>
      </c>
      <c r="L545" s="16">
        <v>10</v>
      </c>
      <c r="M545" s="16"/>
      <c r="N545" s="16"/>
      <c r="O545" s="16">
        <v>1</v>
      </c>
      <c r="P545" s="16">
        <v>15</v>
      </c>
      <c r="Q545" s="16" t="s">
        <v>1141</v>
      </c>
      <c r="R545" s="17"/>
      <c r="S545" s="17"/>
      <c r="T545" s="18"/>
      <c r="U545" s="16">
        <v>5555</v>
      </c>
      <c r="V545" s="78"/>
      <c r="W545" s="86"/>
      <c r="X545" s="16">
        <f ca="1">IFERROR(OFFSET(ITEM_RES!$A$5,MATCH(BUILDING!W545,ITEM_RES!$J$5:$J$226,0)-1,0),0)</f>
        <v>0</v>
      </c>
      <c r="Y545" s="18"/>
      <c r="Z545" s="86"/>
      <c r="AA545" s="16">
        <f ca="1">IFERROR(OFFSET(ITEM_RES!$A$5,MATCH(BUILDING!Z545,ITEM_RES!$J$5:$J$226,0)-1,0),0)</f>
        <v>0</v>
      </c>
      <c r="AB545" s="78"/>
      <c r="AC545" s="16" t="s">
        <v>381</v>
      </c>
      <c r="AD545" s="16">
        <v>1</v>
      </c>
      <c r="AE545" s="78"/>
      <c r="AF545" s="18">
        <f ca="1">IFERROR(OFFSET(MANOR_LEVEL!$B$1,MATCH(AG545-1,MANOR_LEVEL!$A:$A,0)-1,0),0)</f>
        <v>0</v>
      </c>
      <c r="AG545" s="57">
        <v>1</v>
      </c>
      <c r="AH545" s="78"/>
      <c r="AI545" s="57">
        <f t="shared" ca="1" si="148"/>
        <v>205</v>
      </c>
      <c r="AJ545" s="17">
        <f ca="1">AO545+AQ545+(IFERROR(OFFSET(ITEM_RES!$S$1,MATCH(AU545,ITEM_RES!$A:$A,0)-1,0),0)*AW545+IFERROR(OFFSET(ITEM_RES!$S$1,MATCH(AZ545,ITEM_RES!$A:$A,0)-1,0),0)*BB545+IFERROR(OFFSET(ITEM_RES!$S$1,MATCH(BE545,ITEM_RES!$A:$A,0)-1,0),0)*BG545+IFERROR(OFFSET(ITEM_RES!$S$1,MATCH(BJ545,ITEM_RES!$A:$A,0)-1,0),0)*BL545+IFERROR(OFFSET(ITEM_RES!$S$1,MATCH(BO545,ITEM_RES!$A:$A,0)-1,0),0)*BQ545)/1000</f>
        <v>205.1</v>
      </c>
      <c r="AK545" s="184">
        <f ca="1">AI545</f>
        <v>205</v>
      </c>
      <c r="AL545" s="78"/>
      <c r="AM545" s="18">
        <f t="shared" si="147"/>
        <v>5</v>
      </c>
      <c r="AN545" s="17">
        <v>5</v>
      </c>
      <c r="AO545" s="18">
        <f t="shared" si="154"/>
        <v>5</v>
      </c>
      <c r="AP545" s="17">
        <v>5</v>
      </c>
      <c r="AQ545" s="18">
        <f t="shared" si="154"/>
        <v>0</v>
      </c>
      <c r="AR545" s="17">
        <v>0</v>
      </c>
      <c r="AS545" s="57">
        <f t="shared" si="149"/>
        <v>3</v>
      </c>
      <c r="AT545" s="18"/>
      <c r="AU545" s="18">
        <f ca="1">IFERROR(OFFSET(ITEM_RES!$A$1,MATCH(AV545,ITEM_RES!$J:$J,0)-1,0),0)</f>
        <v>211020801</v>
      </c>
      <c r="AV545" s="17" t="s">
        <v>439</v>
      </c>
      <c r="AW545" s="18">
        <v>1</v>
      </c>
      <c r="AX545" s="17"/>
      <c r="AY545" s="18"/>
      <c r="AZ545" s="18">
        <f ca="1">IFERROR(OFFSET(ITEM_RES!$A$1,MATCH(BA545,ITEM_RES!$J:$J,0)-1,0),0)</f>
        <v>0</v>
      </c>
      <c r="BA545" s="17"/>
      <c r="BB545" s="18"/>
      <c r="BC545" s="17"/>
      <c r="BD545" s="18"/>
      <c r="BE545" s="18">
        <f ca="1">IFERROR(OFFSET(ITEM_RES!$A$1,MATCH(BF545,ITEM_RES!$J:$J,0)-1,0),0)</f>
        <v>213010101</v>
      </c>
      <c r="BF545" s="17" t="s">
        <v>452</v>
      </c>
      <c r="BG545" s="18">
        <v>1</v>
      </c>
      <c r="BH545" s="17"/>
      <c r="BI545" s="18"/>
      <c r="BJ545" s="18">
        <f ca="1">IFERROR(OFFSET(ITEM_RES!$A$1,MATCH(BK545,ITEM_RES!$J:$J,0)-1,0),0)</f>
        <v>213010401</v>
      </c>
      <c r="BK545" s="17" t="s">
        <v>475</v>
      </c>
      <c r="BL545" s="18">
        <v>1</v>
      </c>
      <c r="BM545" s="17"/>
      <c r="BN545" s="18"/>
      <c r="BO545" s="18">
        <f ca="1">IFERROR(OFFSET(ITEM_RES!$A$1,MATCH(BP545,ITEM_RES!$J:$J,0)-1,0),0)</f>
        <v>0</v>
      </c>
      <c r="BP545" s="17"/>
      <c r="BQ545" s="18"/>
      <c r="BR545" s="17"/>
    </row>
    <row r="546" spans="1:70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1120</v>
      </c>
      <c r="O546" s="9">
        <v>1</v>
      </c>
      <c r="P546" s="9">
        <v>15</v>
      </c>
      <c r="Q546" s="9" t="s">
        <v>1141</v>
      </c>
      <c r="U546" s="9">
        <v>5555</v>
      </c>
      <c r="X546" s="9">
        <f ca="1">IFERROR(OFFSET(ITEM_RES!$A$5,MATCH(BUILDING!W546,ITEM_RES!$J$5:$J$226,0)-1,0),0)</f>
        <v>0</v>
      </c>
      <c r="AA546" s="9">
        <f ca="1">IFERROR(OFFSET(ITEM_RES!$A$5,MATCH(BUILDING!Z546,ITEM_RES!$J$5:$J$226,0)-1,0),0)</f>
        <v>0</v>
      </c>
      <c r="AC546" s="9" t="s">
        <v>381</v>
      </c>
      <c r="AD546" s="9">
        <v>2</v>
      </c>
      <c r="AF546" s="11">
        <f ca="1">IFERROR(OFFSET(MANOR_LEVEL!$B$1,MATCH(AG546-1,MANOR_LEVEL!$A:$A,0)-1,0),0)</f>
        <v>0</v>
      </c>
      <c r="AG546" s="56">
        <v>1</v>
      </c>
      <c r="AI546" s="56">
        <f t="shared" ca="1" si="148"/>
        <v>10</v>
      </c>
      <c r="AJ546" s="10">
        <f ca="1">AO546+AQ546+(IFERROR(OFFSET(ITEM_RES!$S$1,MATCH(AU546,ITEM_RES!$A:$A,0)-1,0),0)*AW546+IFERROR(OFFSET(ITEM_RES!$S$1,MATCH(AZ546,ITEM_RES!$A:$A,0)-1,0),0)*BB546+IFERROR(OFFSET(ITEM_RES!$S$1,MATCH(BE546,ITEM_RES!$A:$A,0)-1,0),0)*BG546+IFERROR(OFFSET(ITEM_RES!$S$1,MATCH(BJ546,ITEM_RES!$A:$A,0)-1,0),0)*BL546+IFERROR(OFFSET(ITEM_RES!$S$1,MATCH(BO546,ITEM_RES!$A:$A,0)-1,0),0)*BQ546)/1000</f>
        <v>10.1</v>
      </c>
      <c r="AK546" s="182">
        <f ca="1">AI545+AI546</f>
        <v>215</v>
      </c>
      <c r="AM546" s="11">
        <f t="shared" si="147"/>
        <v>10</v>
      </c>
      <c r="AN546" s="10">
        <v>10</v>
      </c>
      <c r="AO546" s="11">
        <f t="shared" si="154"/>
        <v>10</v>
      </c>
      <c r="AP546" s="10">
        <v>10</v>
      </c>
      <c r="AQ546" s="11">
        <f t="shared" si="154"/>
        <v>0</v>
      </c>
      <c r="AR546" s="10">
        <v>0</v>
      </c>
      <c r="AS546" s="56">
        <f t="shared" si="149"/>
        <v>1</v>
      </c>
      <c r="AU546" s="11">
        <f ca="1">IFERROR(OFFSET(ITEM_RES!$A$1,MATCH(AV546,ITEM_RES!$J:$J,0)-1,0),0)</f>
        <v>211020801</v>
      </c>
      <c r="AV546" s="10" t="s">
        <v>439</v>
      </c>
      <c r="AW546" s="11">
        <v>1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  <c r="BO546" s="11">
        <f ca="1">IFERROR(OFFSET(ITEM_RES!$A$1,MATCH(BP546,ITEM_RES!$J:$J,0)-1,0),0)</f>
        <v>0</v>
      </c>
    </row>
    <row r="547" spans="1:70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1120</v>
      </c>
      <c r="O547" s="9">
        <v>1</v>
      </c>
      <c r="P547" s="9">
        <v>15</v>
      </c>
      <c r="Q547" s="9" t="s">
        <v>1139</v>
      </c>
      <c r="U547" s="9">
        <v>5555</v>
      </c>
      <c r="X547" s="9">
        <f ca="1">IFERROR(OFFSET(ITEM_RES!$A$5,MATCH(BUILDING!W547,ITEM_RES!$J$5:$J$226,0)-1,0),0)</f>
        <v>0</v>
      </c>
      <c r="AA547" s="9">
        <f ca="1">IFERROR(OFFSET(ITEM_RES!$A$5,MATCH(BUILDING!Z547,ITEM_RES!$J$5:$J$226,0)-1,0),0)</f>
        <v>0</v>
      </c>
      <c r="AC547" s="9" t="s">
        <v>365</v>
      </c>
      <c r="AD547" s="9">
        <v>3</v>
      </c>
      <c r="AF547" s="11">
        <f ca="1">IFERROR(OFFSET(MANOR_LEVEL!$B$1,MATCH(AG547-1,MANOR_LEVEL!$A:$A,0)-1,0),0)</f>
        <v>0</v>
      </c>
      <c r="AG547" s="56">
        <v>1</v>
      </c>
      <c r="AI547" s="56">
        <f t="shared" ca="1" si="148"/>
        <v>15</v>
      </c>
      <c r="AJ547" s="10">
        <f ca="1">AO547+AQ547+(IFERROR(OFFSET(ITEM_RES!$S$1,MATCH(AU547,ITEM_RES!$A:$A,0)-1,0),0)*AW547+IFERROR(OFFSET(ITEM_RES!$S$1,MATCH(AZ547,ITEM_RES!$A:$A,0)-1,0),0)*BB547+IFERROR(OFFSET(ITEM_RES!$S$1,MATCH(BE547,ITEM_RES!$A:$A,0)-1,0),0)*BG547+IFERROR(OFFSET(ITEM_RES!$S$1,MATCH(BJ547,ITEM_RES!$A:$A,0)-1,0),0)*BL547+IFERROR(OFFSET(ITEM_RES!$S$1,MATCH(BO547,ITEM_RES!$A:$A,0)-1,0),0)*BQ547)/1000</f>
        <v>15.1</v>
      </c>
      <c r="AK547" s="182">
        <f t="shared" ref="AK547:AK564" ca="1" si="156">AI546+AI547</f>
        <v>25</v>
      </c>
      <c r="AM547" s="11">
        <f t="shared" si="147"/>
        <v>15</v>
      </c>
      <c r="AN547" s="10">
        <v>15</v>
      </c>
      <c r="AO547" s="11">
        <f t="shared" si="154"/>
        <v>15</v>
      </c>
      <c r="AP547" s="10">
        <v>15</v>
      </c>
      <c r="AQ547" s="11">
        <f t="shared" si="154"/>
        <v>0</v>
      </c>
      <c r="AR547" s="10">
        <v>0</v>
      </c>
      <c r="AS547" s="56">
        <f t="shared" si="149"/>
        <v>1</v>
      </c>
      <c r="AU547" s="11">
        <f ca="1">IFERROR(OFFSET(ITEM_RES!$A$1,MATCH(AV547,ITEM_RES!$J:$J,0)-1,0),0)</f>
        <v>211020801</v>
      </c>
      <c r="AV547" s="10" t="s">
        <v>439</v>
      </c>
      <c r="AW547" s="11">
        <v>1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  <c r="BO547" s="11">
        <f ca="1">IFERROR(OFFSET(ITEM_RES!$A$1,MATCH(BP547,ITEM_RES!$J:$J,0)-1,0),0)</f>
        <v>0</v>
      </c>
    </row>
    <row r="548" spans="1:70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1120</v>
      </c>
      <c r="O548" s="9">
        <v>1</v>
      </c>
      <c r="P548" s="9">
        <v>15</v>
      </c>
      <c r="Q548" s="9" t="s">
        <v>1139</v>
      </c>
      <c r="U548" s="9">
        <v>5555</v>
      </c>
      <c r="X548" s="9">
        <f ca="1">IFERROR(OFFSET(ITEM_RES!$A$5,MATCH(BUILDING!W548,ITEM_RES!$J$5:$J$226,0)-1,0),0)</f>
        <v>0</v>
      </c>
      <c r="AA548" s="9">
        <f ca="1">IFERROR(OFFSET(ITEM_RES!$A$5,MATCH(BUILDING!Z548,ITEM_RES!$J$5:$J$226,0)-1,0),0)</f>
        <v>0</v>
      </c>
      <c r="AC548" s="9" t="s">
        <v>365</v>
      </c>
      <c r="AD548" s="9">
        <v>4</v>
      </c>
      <c r="AF548" s="11">
        <f ca="1">IFERROR(OFFSET(MANOR_LEVEL!$B$1,MATCH(AG548-1,MANOR_LEVEL!$A:$A,0)-1,0),0)</f>
        <v>444</v>
      </c>
      <c r="AG548" s="56">
        <v>2</v>
      </c>
      <c r="AI548" s="56">
        <f t="shared" ca="1" si="148"/>
        <v>25</v>
      </c>
      <c r="AJ548" s="10">
        <f ca="1">AO548+AQ548+(IFERROR(OFFSET(ITEM_RES!$S$1,MATCH(AU548,ITEM_RES!$A:$A,0)-1,0),0)*AW548+IFERROR(OFFSET(ITEM_RES!$S$1,MATCH(AZ548,ITEM_RES!$A:$A,0)-1,0),0)*BB548+IFERROR(OFFSET(ITEM_RES!$S$1,MATCH(BE548,ITEM_RES!$A:$A,0)-1,0),0)*BG548+IFERROR(OFFSET(ITEM_RES!$S$1,MATCH(BJ548,ITEM_RES!$A:$A,0)-1,0),0)*BL548+IFERROR(OFFSET(ITEM_RES!$S$1,MATCH(BO548,ITEM_RES!$A:$A,0)-1,0),0)*BQ548)/1000</f>
        <v>25.1</v>
      </c>
      <c r="AK548" s="182">
        <f t="shared" ca="1" si="156"/>
        <v>40</v>
      </c>
      <c r="AM548" s="11">
        <f t="shared" si="147"/>
        <v>20</v>
      </c>
      <c r="AN548" s="10">
        <v>20</v>
      </c>
      <c r="AO548" s="11">
        <f t="shared" si="154"/>
        <v>25</v>
      </c>
      <c r="AP548" s="10">
        <v>25</v>
      </c>
      <c r="AQ548" s="11">
        <f t="shared" si="154"/>
        <v>0</v>
      </c>
      <c r="AR548" s="10">
        <v>0</v>
      </c>
      <c r="AS548" s="56">
        <f t="shared" si="149"/>
        <v>1</v>
      </c>
      <c r="AU548" s="11">
        <f ca="1">IFERROR(OFFSET(ITEM_RES!$A$1,MATCH(AV548,ITEM_RES!$J:$J,0)-1,0),0)</f>
        <v>211020801</v>
      </c>
      <c r="AV548" s="10" t="s">
        <v>439</v>
      </c>
      <c r="AW548" s="11">
        <v>1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  <c r="BO548" s="11">
        <f ca="1">IFERROR(OFFSET(ITEM_RES!$A$1,MATCH(BP548,ITEM_RES!$J:$J,0)-1,0),0)</f>
        <v>0</v>
      </c>
    </row>
    <row r="549" spans="1:70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1120</v>
      </c>
      <c r="O549" s="9">
        <v>1</v>
      </c>
      <c r="P549" s="9">
        <v>15</v>
      </c>
      <c r="Q549" s="9" t="s">
        <v>1139</v>
      </c>
      <c r="U549" s="9">
        <v>5555</v>
      </c>
      <c r="X549" s="9">
        <f ca="1">IFERROR(OFFSET(ITEM_RES!$A$5,MATCH(BUILDING!W549,ITEM_RES!$J$5:$J$226,0)-1,0),0)</f>
        <v>0</v>
      </c>
      <c r="AA549" s="9">
        <f ca="1">IFERROR(OFFSET(ITEM_RES!$A$5,MATCH(BUILDING!Z549,ITEM_RES!$J$5:$J$226,0)-1,0),0)</f>
        <v>0</v>
      </c>
      <c r="AC549" s="9" t="s">
        <v>365</v>
      </c>
      <c r="AD549" s="9">
        <v>5</v>
      </c>
      <c r="AF549" s="11">
        <f ca="1">IFERROR(OFFSET(MANOR_LEVEL!$B$1,MATCH(AG549-1,MANOR_LEVEL!$A:$A,0)-1,0),0)</f>
        <v>444</v>
      </c>
      <c r="AG549" s="56">
        <v>2</v>
      </c>
      <c r="AI549" s="56">
        <f t="shared" ca="1" si="148"/>
        <v>40</v>
      </c>
      <c r="AJ549" s="10">
        <f ca="1">AO549+AQ549+(IFERROR(OFFSET(ITEM_RES!$S$1,MATCH(AU549,ITEM_RES!$A:$A,0)-1,0),0)*AW549+IFERROR(OFFSET(ITEM_RES!$S$1,MATCH(AZ549,ITEM_RES!$A:$A,0)-1,0),0)*BB549+IFERROR(OFFSET(ITEM_RES!$S$1,MATCH(BE549,ITEM_RES!$A:$A,0)-1,0),0)*BG549+IFERROR(OFFSET(ITEM_RES!$S$1,MATCH(BJ549,ITEM_RES!$A:$A,0)-1,0),0)*BL549+IFERROR(OFFSET(ITEM_RES!$S$1,MATCH(BO549,ITEM_RES!$A:$A,0)-1,0),0)*BQ549)/1000</f>
        <v>40.1</v>
      </c>
      <c r="AK549" s="182">
        <f t="shared" ca="1" si="156"/>
        <v>65</v>
      </c>
      <c r="AM549" s="11">
        <f t="shared" si="147"/>
        <v>25</v>
      </c>
      <c r="AN549" s="10">
        <v>25</v>
      </c>
      <c r="AO549" s="11">
        <f t="shared" si="154"/>
        <v>40</v>
      </c>
      <c r="AP549" s="10">
        <v>40</v>
      </c>
      <c r="AQ549" s="11">
        <f t="shared" si="154"/>
        <v>0</v>
      </c>
      <c r="AR549" s="10">
        <v>0</v>
      </c>
      <c r="AS549" s="56">
        <f t="shared" si="149"/>
        <v>1</v>
      </c>
      <c r="AU549" s="11">
        <f ca="1">IFERROR(OFFSET(ITEM_RES!$A$1,MATCH(AV549,ITEM_RES!$J:$J,0)-1,0),0)</f>
        <v>211020801</v>
      </c>
      <c r="AV549" s="10" t="s">
        <v>439</v>
      </c>
      <c r="AW549" s="11">
        <v>1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  <c r="BO549" s="11">
        <f ca="1">IFERROR(OFFSET(ITEM_RES!$A$1,MATCH(BP549,ITEM_RES!$J:$J,0)-1,0),0)</f>
        <v>0</v>
      </c>
    </row>
    <row r="550" spans="1:70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1120</v>
      </c>
      <c r="O550" s="9">
        <v>1</v>
      </c>
      <c r="P550" s="9">
        <v>15</v>
      </c>
      <c r="Q550" s="9" t="s">
        <v>1139</v>
      </c>
      <c r="U550" s="9">
        <v>5555</v>
      </c>
      <c r="X550" s="9">
        <f ca="1">IFERROR(OFFSET(ITEM_RES!$A$5,MATCH(BUILDING!W550,ITEM_RES!$J$5:$J$226,0)-1,0),0)</f>
        <v>0</v>
      </c>
      <c r="AA550" s="9">
        <f ca="1">IFERROR(OFFSET(ITEM_RES!$A$5,MATCH(BUILDING!Z550,ITEM_RES!$J$5:$J$226,0)-1,0),0)</f>
        <v>0</v>
      </c>
      <c r="AC550" s="9" t="s">
        <v>365</v>
      </c>
      <c r="AD550" s="9">
        <v>6</v>
      </c>
      <c r="AF550" s="11">
        <f ca="1">IFERROR(OFFSET(MANOR_LEVEL!$B$1,MATCH(AG550-1,MANOR_LEVEL!$A:$A,0)-1,0),0)</f>
        <v>444</v>
      </c>
      <c r="AG550" s="56">
        <v>2</v>
      </c>
      <c r="AI550" s="56">
        <f t="shared" ca="1" si="148"/>
        <v>50</v>
      </c>
      <c r="AJ550" s="10">
        <f ca="1">AO550+AQ550+(IFERROR(OFFSET(ITEM_RES!$S$1,MATCH(AU550,ITEM_RES!$A:$A,0)-1,0),0)*AW550+IFERROR(OFFSET(ITEM_RES!$S$1,MATCH(AZ550,ITEM_RES!$A:$A,0)-1,0),0)*BB550+IFERROR(OFFSET(ITEM_RES!$S$1,MATCH(BE550,ITEM_RES!$A:$A,0)-1,0),0)*BG550+IFERROR(OFFSET(ITEM_RES!$S$1,MATCH(BJ550,ITEM_RES!$A:$A,0)-1,0),0)*BL550+IFERROR(OFFSET(ITEM_RES!$S$1,MATCH(BO550,ITEM_RES!$A:$A,0)-1,0),0)*BQ550)/1000</f>
        <v>50.1</v>
      </c>
      <c r="AK550" s="182">
        <f t="shared" ca="1" si="156"/>
        <v>90</v>
      </c>
      <c r="AM550" s="11">
        <f t="shared" si="147"/>
        <v>30</v>
      </c>
      <c r="AN550" s="10">
        <v>30</v>
      </c>
      <c r="AO550" s="11">
        <f t="shared" si="154"/>
        <v>50</v>
      </c>
      <c r="AP550" s="10">
        <v>50</v>
      </c>
      <c r="AQ550" s="11">
        <f t="shared" si="154"/>
        <v>0</v>
      </c>
      <c r="AR550" s="10">
        <v>0</v>
      </c>
      <c r="AS550" s="56">
        <f t="shared" si="149"/>
        <v>1</v>
      </c>
      <c r="AU550" s="11">
        <f ca="1">IFERROR(OFFSET(ITEM_RES!$A$1,MATCH(AV550,ITEM_RES!$J:$J,0)-1,0),0)</f>
        <v>211020801</v>
      </c>
      <c r="AV550" s="10" t="s">
        <v>439</v>
      </c>
      <c r="AW550" s="11">
        <v>1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  <c r="BO550" s="11">
        <f ca="1">IFERROR(OFFSET(ITEM_RES!$A$1,MATCH(BP550,ITEM_RES!$J:$J,0)-1,0),0)</f>
        <v>0</v>
      </c>
    </row>
    <row r="551" spans="1:70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1120</v>
      </c>
      <c r="O551" s="9">
        <v>1</v>
      </c>
      <c r="P551" s="9">
        <v>15</v>
      </c>
      <c r="Q551" s="9" t="s">
        <v>1139</v>
      </c>
      <c r="U551" s="9">
        <v>5555</v>
      </c>
      <c r="X551" s="9">
        <f ca="1">IFERROR(OFFSET(ITEM_RES!$A$5,MATCH(BUILDING!W551,ITEM_RES!$J$5:$J$226,0)-1,0),0)</f>
        <v>0</v>
      </c>
      <c r="AA551" s="9">
        <f ca="1">IFERROR(OFFSET(ITEM_RES!$A$5,MATCH(BUILDING!Z551,ITEM_RES!$J$5:$J$226,0)-1,0),0)</f>
        <v>0</v>
      </c>
      <c r="AC551" s="9" t="s">
        <v>365</v>
      </c>
      <c r="AD551" s="9">
        <v>7</v>
      </c>
      <c r="AF551" s="11">
        <f ca="1">IFERROR(OFFSET(MANOR_LEVEL!$B$1,MATCH(AG551-1,MANOR_LEVEL!$A:$A,0)-1,0),0)</f>
        <v>444</v>
      </c>
      <c r="AG551" s="56">
        <v>2</v>
      </c>
      <c r="AI551" s="56">
        <f t="shared" ca="1" si="148"/>
        <v>100</v>
      </c>
      <c r="AJ551" s="10">
        <f ca="1">AO551+AQ551+(IFERROR(OFFSET(ITEM_RES!$S$1,MATCH(AU551,ITEM_RES!$A:$A,0)-1,0),0)*AW551+IFERROR(OFFSET(ITEM_RES!$S$1,MATCH(AZ551,ITEM_RES!$A:$A,0)-1,0),0)*BB551+IFERROR(OFFSET(ITEM_RES!$S$1,MATCH(BE551,ITEM_RES!$A:$A,0)-1,0),0)*BG551+IFERROR(OFFSET(ITEM_RES!$S$1,MATCH(BJ551,ITEM_RES!$A:$A,0)-1,0),0)*BL551+IFERROR(OFFSET(ITEM_RES!$S$1,MATCH(BO551,ITEM_RES!$A:$A,0)-1,0),0)*BQ551)/1000</f>
        <v>100.1</v>
      </c>
      <c r="AK551" s="182">
        <f t="shared" ca="1" si="156"/>
        <v>150</v>
      </c>
      <c r="AM551" s="11">
        <f t="shared" si="147"/>
        <v>35</v>
      </c>
      <c r="AN551" s="10">
        <v>35</v>
      </c>
      <c r="AO551" s="11">
        <f t="shared" si="154"/>
        <v>100</v>
      </c>
      <c r="AP551" s="10">
        <v>100</v>
      </c>
      <c r="AQ551" s="11">
        <f t="shared" si="154"/>
        <v>0</v>
      </c>
      <c r="AR551" s="10">
        <v>0</v>
      </c>
      <c r="AS551" s="56">
        <f t="shared" si="149"/>
        <v>1</v>
      </c>
      <c r="AU551" s="11">
        <f ca="1">IFERROR(OFFSET(ITEM_RES!$A$1,MATCH(AV551,ITEM_RES!$J:$J,0)-1,0),0)</f>
        <v>211020801</v>
      </c>
      <c r="AV551" s="10" t="s">
        <v>439</v>
      </c>
      <c r="AW551" s="11">
        <v>1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  <c r="BO551" s="11">
        <f ca="1">IFERROR(OFFSET(ITEM_RES!$A$1,MATCH(BP551,ITEM_RES!$J:$J,0)-1,0),0)</f>
        <v>0</v>
      </c>
    </row>
    <row r="552" spans="1:70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1120</v>
      </c>
      <c r="O552" s="9">
        <v>1</v>
      </c>
      <c r="P552" s="9">
        <v>15</v>
      </c>
      <c r="Q552" s="9" t="s">
        <v>1139</v>
      </c>
      <c r="U552" s="9">
        <v>5555</v>
      </c>
      <c r="X552" s="9">
        <f ca="1">IFERROR(OFFSET(ITEM_RES!$A$5,MATCH(BUILDING!W552,ITEM_RES!$J$5:$J$226,0)-1,0),0)</f>
        <v>0</v>
      </c>
      <c r="AA552" s="9">
        <f ca="1">IFERROR(OFFSET(ITEM_RES!$A$5,MATCH(BUILDING!Z552,ITEM_RES!$J$5:$J$226,0)-1,0),0)</f>
        <v>0</v>
      </c>
      <c r="AC552" s="9" t="s">
        <v>365</v>
      </c>
      <c r="AD552" s="9">
        <v>8</v>
      </c>
      <c r="AF552" s="11">
        <f ca="1">IFERROR(OFFSET(MANOR_LEVEL!$B$1,MATCH(AG552-1,MANOR_LEVEL!$A:$A,0)-1,0),0)</f>
        <v>528</v>
      </c>
      <c r="AG552" s="56">
        <v>3</v>
      </c>
      <c r="AI552" s="56">
        <f t="shared" ca="1" si="148"/>
        <v>100</v>
      </c>
      <c r="AJ552" s="10">
        <f ca="1">AO552+AQ552+(IFERROR(OFFSET(ITEM_RES!$S$1,MATCH(AU552,ITEM_RES!$A:$A,0)-1,0),0)*AW552+IFERROR(OFFSET(ITEM_RES!$S$1,MATCH(AZ552,ITEM_RES!$A:$A,0)-1,0),0)*BB552+IFERROR(OFFSET(ITEM_RES!$S$1,MATCH(BE552,ITEM_RES!$A:$A,0)-1,0),0)*BG552+IFERROR(OFFSET(ITEM_RES!$S$1,MATCH(BJ552,ITEM_RES!$A:$A,0)-1,0),0)*BL552+IFERROR(OFFSET(ITEM_RES!$S$1,MATCH(BO552,ITEM_RES!$A:$A,0)-1,0),0)*BQ552)/1000</f>
        <v>100.1</v>
      </c>
      <c r="AK552" s="182">
        <f t="shared" ca="1" si="156"/>
        <v>200</v>
      </c>
      <c r="AM552" s="11">
        <f t="shared" si="147"/>
        <v>40</v>
      </c>
      <c r="AN552" s="10">
        <v>40</v>
      </c>
      <c r="AO552" s="11">
        <f t="shared" si="154"/>
        <v>100</v>
      </c>
      <c r="AP552" s="10">
        <v>100</v>
      </c>
      <c r="AQ552" s="11">
        <f t="shared" si="154"/>
        <v>0</v>
      </c>
      <c r="AR552" s="10">
        <v>0</v>
      </c>
      <c r="AS552" s="56">
        <f t="shared" si="149"/>
        <v>1</v>
      </c>
      <c r="AU552" s="11">
        <f ca="1">IFERROR(OFFSET(ITEM_RES!$A$1,MATCH(AV552,ITEM_RES!$J:$J,0)-1,0),0)</f>
        <v>211020801</v>
      </c>
      <c r="AV552" s="10" t="s">
        <v>439</v>
      </c>
      <c r="AW552" s="11">
        <v>1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  <c r="BO552" s="11">
        <f ca="1">IFERROR(OFFSET(ITEM_RES!$A$1,MATCH(BP552,ITEM_RES!$J:$J,0)-1,0),0)</f>
        <v>0</v>
      </c>
    </row>
    <row r="553" spans="1:70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1120</v>
      </c>
      <c r="O553" s="9">
        <v>1</v>
      </c>
      <c r="P553" s="9">
        <v>15</v>
      </c>
      <c r="Q553" s="9" t="s">
        <v>1139</v>
      </c>
      <c r="U553" s="9">
        <v>5555</v>
      </c>
      <c r="X553" s="9">
        <f ca="1">IFERROR(OFFSET(ITEM_RES!$A$5,MATCH(BUILDING!W553,ITEM_RES!$J$5:$J$226,0)-1,0),0)</f>
        <v>0</v>
      </c>
      <c r="AA553" s="9">
        <f ca="1">IFERROR(OFFSET(ITEM_RES!$A$5,MATCH(BUILDING!Z553,ITEM_RES!$J$5:$J$226,0)-1,0),0)</f>
        <v>0</v>
      </c>
      <c r="AC553" s="9" t="s">
        <v>365</v>
      </c>
      <c r="AD553" s="9">
        <v>9</v>
      </c>
      <c r="AF553" s="11">
        <f ca="1">IFERROR(OFFSET(MANOR_LEVEL!$B$1,MATCH(AG553-1,MANOR_LEVEL!$A:$A,0)-1,0),0)</f>
        <v>528</v>
      </c>
      <c r="AG553" s="56">
        <v>3</v>
      </c>
      <c r="AI553" s="56">
        <f t="shared" ca="1" si="148"/>
        <v>150</v>
      </c>
      <c r="AJ553" s="10">
        <f ca="1">AO553+AQ553+(IFERROR(OFFSET(ITEM_RES!$S$1,MATCH(AU553,ITEM_RES!$A:$A,0)-1,0),0)*AW553+IFERROR(OFFSET(ITEM_RES!$S$1,MATCH(AZ553,ITEM_RES!$A:$A,0)-1,0),0)*BB553+IFERROR(OFFSET(ITEM_RES!$S$1,MATCH(BE553,ITEM_RES!$A:$A,0)-1,0),0)*BG553+IFERROR(OFFSET(ITEM_RES!$S$1,MATCH(BJ553,ITEM_RES!$A:$A,0)-1,0),0)*BL553+IFERROR(OFFSET(ITEM_RES!$S$1,MATCH(BO553,ITEM_RES!$A:$A,0)-1,0),0)*BQ553)/1000</f>
        <v>150.1</v>
      </c>
      <c r="AK553" s="182">
        <f t="shared" ca="1" si="156"/>
        <v>250</v>
      </c>
      <c r="AM553" s="11">
        <f t="shared" si="147"/>
        <v>45</v>
      </c>
      <c r="AN553" s="10">
        <v>45</v>
      </c>
      <c r="AO553" s="11">
        <f t="shared" si="154"/>
        <v>150</v>
      </c>
      <c r="AP553" s="10">
        <v>150</v>
      </c>
      <c r="AQ553" s="11">
        <f t="shared" si="154"/>
        <v>0</v>
      </c>
      <c r="AR553" s="10">
        <v>0</v>
      </c>
      <c r="AS553" s="56">
        <f t="shared" si="149"/>
        <v>1</v>
      </c>
      <c r="AU553" s="11">
        <f ca="1">IFERROR(OFFSET(ITEM_RES!$A$1,MATCH(AV553,ITEM_RES!$J:$J,0)-1,0),0)</f>
        <v>211020801</v>
      </c>
      <c r="AV553" s="10" t="s">
        <v>439</v>
      </c>
      <c r="AW553" s="11">
        <v>1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  <c r="BO553" s="11">
        <f ca="1">IFERROR(OFFSET(ITEM_RES!$A$1,MATCH(BP553,ITEM_RES!$J:$J,0)-1,0),0)</f>
        <v>0</v>
      </c>
    </row>
    <row r="554" spans="1:70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1120</v>
      </c>
      <c r="O554" s="9">
        <v>1</v>
      </c>
      <c r="P554" s="9">
        <v>15</v>
      </c>
      <c r="Q554" s="9" t="s">
        <v>1139</v>
      </c>
      <c r="U554" s="9">
        <v>5555</v>
      </c>
      <c r="X554" s="9">
        <f ca="1">IFERROR(OFFSET(ITEM_RES!$A$5,MATCH(BUILDING!W554,ITEM_RES!$J$5:$J$226,0)-1,0),0)</f>
        <v>0</v>
      </c>
      <c r="AA554" s="9">
        <f ca="1">IFERROR(OFFSET(ITEM_RES!$A$5,MATCH(BUILDING!Z554,ITEM_RES!$J$5:$J$226,0)-1,0),0)</f>
        <v>0</v>
      </c>
      <c r="AC554" s="9" t="s">
        <v>365</v>
      </c>
      <c r="AD554" s="9">
        <v>10</v>
      </c>
      <c r="AF554" s="11">
        <f ca="1">IFERROR(OFFSET(MANOR_LEVEL!$B$1,MATCH(AG554-1,MANOR_LEVEL!$A:$A,0)-1,0),0)</f>
        <v>528</v>
      </c>
      <c r="AG554" s="56">
        <v>3</v>
      </c>
      <c r="AI554" s="56">
        <f t="shared" ca="1" si="148"/>
        <v>200</v>
      </c>
      <c r="AJ554" s="10">
        <f ca="1">AO554+AQ554+(IFERROR(OFFSET(ITEM_RES!$S$1,MATCH(AU554,ITEM_RES!$A:$A,0)-1,0),0)*AW554+IFERROR(OFFSET(ITEM_RES!$S$1,MATCH(AZ554,ITEM_RES!$A:$A,0)-1,0),0)*BB554+IFERROR(OFFSET(ITEM_RES!$S$1,MATCH(BE554,ITEM_RES!$A:$A,0)-1,0),0)*BG554+IFERROR(OFFSET(ITEM_RES!$S$1,MATCH(BJ554,ITEM_RES!$A:$A,0)-1,0),0)*BL554+IFERROR(OFFSET(ITEM_RES!$S$1,MATCH(BO554,ITEM_RES!$A:$A,0)-1,0),0)*BQ554)/1000</f>
        <v>200.1</v>
      </c>
      <c r="AK554" s="182">
        <f t="shared" ca="1" si="156"/>
        <v>350</v>
      </c>
      <c r="AM554" s="11">
        <f t="shared" si="147"/>
        <v>50</v>
      </c>
      <c r="AN554" s="10">
        <v>50</v>
      </c>
      <c r="AO554" s="11">
        <f t="shared" si="154"/>
        <v>200</v>
      </c>
      <c r="AP554" s="10">
        <v>200</v>
      </c>
      <c r="AQ554" s="11">
        <f t="shared" si="154"/>
        <v>0</v>
      </c>
      <c r="AR554" s="10">
        <v>0</v>
      </c>
      <c r="AS554" s="56">
        <f t="shared" si="149"/>
        <v>1</v>
      </c>
      <c r="AU554" s="11">
        <f ca="1">IFERROR(OFFSET(ITEM_RES!$A$1,MATCH(AV554,ITEM_RES!$J:$J,0)-1,0),0)</f>
        <v>211020801</v>
      </c>
      <c r="AV554" s="10" t="s">
        <v>439</v>
      </c>
      <c r="AW554" s="11">
        <v>1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  <c r="BO554" s="11">
        <f ca="1">IFERROR(OFFSET(ITEM_RES!$A$1,MATCH(BP554,ITEM_RES!$J:$J,0)-1,0),0)</f>
        <v>0</v>
      </c>
    </row>
    <row r="555" spans="1:70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1120</v>
      </c>
      <c r="O555" s="9">
        <v>1</v>
      </c>
      <c r="P555" s="9">
        <v>15</v>
      </c>
      <c r="Q555" s="9" t="s">
        <v>1139</v>
      </c>
      <c r="U555" s="9">
        <v>5555</v>
      </c>
      <c r="X555" s="9">
        <f ca="1">IFERROR(OFFSET(ITEM_RES!$A$5,MATCH(BUILDING!W555,ITEM_RES!$J$5:$J$226,0)-1,0),0)</f>
        <v>0</v>
      </c>
      <c r="AA555" s="9">
        <f ca="1">IFERROR(OFFSET(ITEM_RES!$A$5,MATCH(BUILDING!Z555,ITEM_RES!$J$5:$J$226,0)-1,0),0)</f>
        <v>0</v>
      </c>
      <c r="AC555" s="9" t="s">
        <v>365</v>
      </c>
      <c r="AD555" s="9">
        <v>11</v>
      </c>
      <c r="AF555" s="11">
        <f ca="1">IFERROR(OFFSET(MANOR_LEVEL!$B$1,MATCH(AG555-1,MANOR_LEVEL!$A:$A,0)-1,0),0)</f>
        <v>528</v>
      </c>
      <c r="AG555" s="56">
        <v>3</v>
      </c>
      <c r="AI555" s="56">
        <f t="shared" ca="1" si="148"/>
        <v>250</v>
      </c>
      <c r="AJ555" s="10">
        <f ca="1">AO555+AQ555+(IFERROR(OFFSET(ITEM_RES!$S$1,MATCH(AU555,ITEM_RES!$A:$A,0)-1,0),0)*AW555+IFERROR(OFFSET(ITEM_RES!$S$1,MATCH(AZ555,ITEM_RES!$A:$A,0)-1,0),0)*BB555+IFERROR(OFFSET(ITEM_RES!$S$1,MATCH(BE555,ITEM_RES!$A:$A,0)-1,0),0)*BG555+IFERROR(OFFSET(ITEM_RES!$S$1,MATCH(BJ555,ITEM_RES!$A:$A,0)-1,0),0)*BL555+IFERROR(OFFSET(ITEM_RES!$S$1,MATCH(BO555,ITEM_RES!$A:$A,0)-1,0),0)*BQ555)/1000</f>
        <v>250.1</v>
      </c>
      <c r="AK555" s="182">
        <f t="shared" ca="1" si="156"/>
        <v>450</v>
      </c>
      <c r="AM555" s="11">
        <f t="shared" si="147"/>
        <v>55</v>
      </c>
      <c r="AN555" s="10">
        <v>55</v>
      </c>
      <c r="AO555" s="11">
        <f t="shared" si="154"/>
        <v>250</v>
      </c>
      <c r="AP555" s="10">
        <v>250</v>
      </c>
      <c r="AQ555" s="11">
        <f t="shared" si="154"/>
        <v>0</v>
      </c>
      <c r="AR555" s="10">
        <v>0</v>
      </c>
      <c r="AS555" s="56">
        <f t="shared" si="149"/>
        <v>1</v>
      </c>
      <c r="AU555" s="11">
        <f ca="1">IFERROR(OFFSET(ITEM_RES!$A$1,MATCH(AV555,ITEM_RES!$J:$J,0)-1,0),0)</f>
        <v>211020801</v>
      </c>
      <c r="AV555" s="10" t="s">
        <v>439</v>
      </c>
      <c r="AW555" s="11">
        <v>1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  <c r="BO555" s="11">
        <f ca="1">IFERROR(OFFSET(ITEM_RES!$A$1,MATCH(BP555,ITEM_RES!$J:$J,0)-1,0),0)</f>
        <v>0</v>
      </c>
    </row>
    <row r="556" spans="1:70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1120</v>
      </c>
      <c r="O556" s="9">
        <v>1</v>
      </c>
      <c r="P556" s="9">
        <v>15</v>
      </c>
      <c r="Q556" s="9" t="s">
        <v>1139</v>
      </c>
      <c r="U556" s="9">
        <v>5555</v>
      </c>
      <c r="X556" s="9">
        <f ca="1">IFERROR(OFFSET(ITEM_RES!$A$5,MATCH(BUILDING!W556,ITEM_RES!$J$5:$J$226,0)-1,0),0)</f>
        <v>0</v>
      </c>
      <c r="AA556" s="9">
        <f ca="1">IFERROR(OFFSET(ITEM_RES!$A$5,MATCH(BUILDING!Z556,ITEM_RES!$J$5:$J$226,0)-1,0),0)</f>
        <v>0</v>
      </c>
      <c r="AC556" s="9" t="s">
        <v>365</v>
      </c>
      <c r="AD556" s="9">
        <v>12</v>
      </c>
      <c r="AF556" s="11">
        <f ca="1">IFERROR(OFFSET(MANOR_LEVEL!$B$1,MATCH(AG556-1,MANOR_LEVEL!$A:$A,0)-1,0),0)</f>
        <v>800</v>
      </c>
      <c r="AG556" s="56">
        <v>4</v>
      </c>
      <c r="AI556" s="56">
        <f t="shared" ca="1" si="148"/>
        <v>1300</v>
      </c>
      <c r="AJ556" s="10">
        <f ca="1">AO556+AQ556+(IFERROR(OFFSET(ITEM_RES!$S$1,MATCH(AU556,ITEM_RES!$A:$A,0)-1,0),0)*AW556+IFERROR(OFFSET(ITEM_RES!$S$1,MATCH(AZ556,ITEM_RES!$A:$A,0)-1,0),0)*BB556+IFERROR(OFFSET(ITEM_RES!$S$1,MATCH(BE556,ITEM_RES!$A:$A,0)-1,0),0)*BG556+IFERROR(OFFSET(ITEM_RES!$S$1,MATCH(BJ556,ITEM_RES!$A:$A,0)-1,0),0)*BL556+IFERROR(OFFSET(ITEM_RES!$S$1,MATCH(BO556,ITEM_RES!$A:$A,0)-1,0),0)*BQ556)/1000</f>
        <v>1300.0999999999999</v>
      </c>
      <c r="AK556" s="182">
        <f t="shared" ca="1" si="156"/>
        <v>1550</v>
      </c>
      <c r="AM556" s="11">
        <f t="shared" si="147"/>
        <v>60</v>
      </c>
      <c r="AN556" s="10">
        <v>60</v>
      </c>
      <c r="AO556" s="11">
        <f t="shared" si="154"/>
        <v>300</v>
      </c>
      <c r="AP556" s="10">
        <v>300</v>
      </c>
      <c r="AQ556" s="11">
        <f t="shared" si="154"/>
        <v>0</v>
      </c>
      <c r="AR556" s="10">
        <v>0</v>
      </c>
      <c r="AS556" s="56">
        <f t="shared" si="149"/>
        <v>2</v>
      </c>
      <c r="AU556" s="11">
        <f ca="1">IFERROR(OFFSET(ITEM_RES!$A$1,MATCH(AV556,ITEM_RES!$J:$J,0)-1,0),0)</f>
        <v>211020801</v>
      </c>
      <c r="AV556" s="10" t="s">
        <v>439</v>
      </c>
      <c r="AW556" s="11">
        <v>1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213011701</v>
      </c>
      <c r="BK556" s="10" t="s">
        <v>478</v>
      </c>
      <c r="BL556" s="11">
        <v>1</v>
      </c>
      <c r="BO556" s="11">
        <f ca="1">IFERROR(OFFSET(ITEM_RES!$A$1,MATCH(BP556,ITEM_RES!$J:$J,0)-1,0),0)</f>
        <v>0</v>
      </c>
    </row>
    <row r="557" spans="1:70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1120</v>
      </c>
      <c r="O557" s="9">
        <v>1</v>
      </c>
      <c r="P557" s="9">
        <v>15</v>
      </c>
      <c r="Q557" s="9" t="s">
        <v>1139</v>
      </c>
      <c r="U557" s="9">
        <v>5555</v>
      </c>
      <c r="X557" s="9">
        <f ca="1">IFERROR(OFFSET(ITEM_RES!$A$5,MATCH(BUILDING!W557,ITEM_RES!$J$5:$J$226,0)-1,0),0)</f>
        <v>0</v>
      </c>
      <c r="AA557" s="9">
        <f ca="1">IFERROR(OFFSET(ITEM_RES!$A$5,MATCH(BUILDING!Z557,ITEM_RES!$J$5:$J$226,0)-1,0),0)</f>
        <v>0</v>
      </c>
      <c r="AC557" s="9" t="s">
        <v>365</v>
      </c>
      <c r="AD557" s="9">
        <v>13</v>
      </c>
      <c r="AF557" s="11">
        <f ca="1">IFERROR(OFFSET(MANOR_LEVEL!$B$1,MATCH(AG557-1,MANOR_LEVEL!$A:$A,0)-1,0),0)</f>
        <v>800</v>
      </c>
      <c r="AG557" s="56">
        <v>4</v>
      </c>
      <c r="AI557" s="56">
        <f t="shared" ca="1" si="148"/>
        <v>350</v>
      </c>
      <c r="AJ557" s="10">
        <f ca="1">AO557+AQ557+(IFERROR(OFFSET(ITEM_RES!$S$1,MATCH(AU557,ITEM_RES!$A:$A,0)-1,0),0)*AW557+IFERROR(OFFSET(ITEM_RES!$S$1,MATCH(AZ557,ITEM_RES!$A:$A,0)-1,0),0)*BB557+IFERROR(OFFSET(ITEM_RES!$S$1,MATCH(BE557,ITEM_RES!$A:$A,0)-1,0),0)*BG557+IFERROR(OFFSET(ITEM_RES!$S$1,MATCH(BJ557,ITEM_RES!$A:$A,0)-1,0),0)*BL557+IFERROR(OFFSET(ITEM_RES!$S$1,MATCH(BO557,ITEM_RES!$A:$A,0)-1,0),0)*BQ557)/1000</f>
        <v>350.2</v>
      </c>
      <c r="AK557" s="182">
        <f t="shared" ca="1" si="156"/>
        <v>1650</v>
      </c>
      <c r="AM557" s="11">
        <f t="shared" ref="AM557:AM564" si="157">ROUND(AN557,0)</f>
        <v>65</v>
      </c>
      <c r="AN557" s="10">
        <v>65</v>
      </c>
      <c r="AO557" s="11">
        <f t="shared" si="154"/>
        <v>350</v>
      </c>
      <c r="AP557" s="10">
        <v>350</v>
      </c>
      <c r="AQ557" s="11">
        <f t="shared" si="154"/>
        <v>0</v>
      </c>
      <c r="AR557" s="10">
        <v>0</v>
      </c>
      <c r="AS557" s="56">
        <f t="shared" si="149"/>
        <v>1</v>
      </c>
      <c r="AU557" s="11">
        <f ca="1">IFERROR(OFFSET(ITEM_RES!$A$1,MATCH(AV557,ITEM_RES!$J:$J,0)-1,0),0)</f>
        <v>211020901</v>
      </c>
      <c r="AV557" s="10" t="s">
        <v>445</v>
      </c>
      <c r="AW557" s="11">
        <v>1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  <c r="BO557" s="11">
        <f ca="1">IFERROR(OFFSET(ITEM_RES!$A$1,MATCH(BP557,ITEM_RES!$J:$J,0)-1,0),0)</f>
        <v>0</v>
      </c>
    </row>
    <row r="558" spans="1:70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1120</v>
      </c>
      <c r="O558" s="9">
        <v>1</v>
      </c>
      <c r="P558" s="9">
        <v>15</v>
      </c>
      <c r="Q558" s="9" t="s">
        <v>1139</v>
      </c>
      <c r="U558" s="9">
        <v>5555</v>
      </c>
      <c r="X558" s="9">
        <f ca="1">IFERROR(OFFSET(ITEM_RES!$A$5,MATCH(BUILDING!W558,ITEM_RES!$J$5:$J$226,0)-1,0),0)</f>
        <v>0</v>
      </c>
      <c r="AA558" s="9">
        <f ca="1">IFERROR(OFFSET(ITEM_RES!$A$5,MATCH(BUILDING!Z558,ITEM_RES!$J$5:$J$226,0)-1,0),0)</f>
        <v>0</v>
      </c>
      <c r="AC558" s="9" t="s">
        <v>365</v>
      </c>
      <c r="AD558" s="9">
        <v>14</v>
      </c>
      <c r="AF558" s="11">
        <f ca="1">IFERROR(OFFSET(MANOR_LEVEL!$B$1,MATCH(AG558-1,MANOR_LEVEL!$A:$A,0)-1,0),0)</f>
        <v>800</v>
      </c>
      <c r="AG558" s="56">
        <v>4</v>
      </c>
      <c r="AI558" s="56">
        <f t="shared" ref="AI558:AI564" ca="1" si="158">ROUND(AJ558,0)</f>
        <v>450</v>
      </c>
      <c r="AJ558" s="10">
        <f ca="1">AO558+AQ558+(IFERROR(OFFSET(ITEM_RES!$S$1,MATCH(AU558,ITEM_RES!$A:$A,0)-1,0),0)*AW558+IFERROR(OFFSET(ITEM_RES!$S$1,MATCH(AZ558,ITEM_RES!$A:$A,0)-1,0),0)*BB558+IFERROR(OFFSET(ITEM_RES!$S$1,MATCH(BE558,ITEM_RES!$A:$A,0)-1,0),0)*BG558+IFERROR(OFFSET(ITEM_RES!$S$1,MATCH(BJ558,ITEM_RES!$A:$A,0)-1,0),0)*BL558+IFERROR(OFFSET(ITEM_RES!$S$1,MATCH(BO558,ITEM_RES!$A:$A,0)-1,0),0)*BQ558)/1000</f>
        <v>450.2</v>
      </c>
      <c r="AK558" s="182">
        <f t="shared" ca="1" si="156"/>
        <v>800</v>
      </c>
      <c r="AM558" s="11">
        <f t="shared" si="157"/>
        <v>70</v>
      </c>
      <c r="AN558" s="10">
        <v>70</v>
      </c>
      <c r="AO558" s="11">
        <f t="shared" si="154"/>
        <v>450</v>
      </c>
      <c r="AP558" s="10">
        <v>450</v>
      </c>
      <c r="AQ558" s="11">
        <f t="shared" si="154"/>
        <v>0</v>
      </c>
      <c r="AR558" s="10">
        <v>0</v>
      </c>
      <c r="AS558" s="56">
        <f t="shared" ref="AS558:AS564" si="159">(AW558&gt;0)*1+(BB558&gt;0)*1+(BG558&gt;0)*1+(BL558&gt;0)*1+(BQ558&gt;0)*1</f>
        <v>1</v>
      </c>
      <c r="AU558" s="11">
        <f ca="1">IFERROR(OFFSET(ITEM_RES!$A$1,MATCH(AV558,ITEM_RES!$J:$J,0)-1,0),0)</f>
        <v>211020901</v>
      </c>
      <c r="AV558" s="10" t="s">
        <v>445</v>
      </c>
      <c r="AW558" s="11">
        <v>1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  <c r="BO558" s="11">
        <f ca="1">IFERROR(OFFSET(ITEM_RES!$A$1,MATCH(BP558,ITEM_RES!$J:$J,0)-1,0),0)</f>
        <v>0</v>
      </c>
    </row>
    <row r="559" spans="1:70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1120</v>
      </c>
      <c r="O559" s="9">
        <v>1</v>
      </c>
      <c r="P559" s="9">
        <v>15</v>
      </c>
      <c r="Q559" s="9" t="s">
        <v>1139</v>
      </c>
      <c r="U559" s="9">
        <v>5555</v>
      </c>
      <c r="X559" s="9">
        <f ca="1">IFERROR(OFFSET(ITEM_RES!$A$5,MATCH(BUILDING!W559,ITEM_RES!$J$5:$J$226,0)-1,0),0)</f>
        <v>0</v>
      </c>
      <c r="AA559" s="9">
        <f ca="1">IFERROR(OFFSET(ITEM_RES!$A$5,MATCH(BUILDING!Z559,ITEM_RES!$J$5:$J$226,0)-1,0),0)</f>
        <v>0</v>
      </c>
      <c r="AC559" s="9" t="s">
        <v>365</v>
      </c>
      <c r="AD559" s="9">
        <v>15</v>
      </c>
      <c r="AF559" s="11">
        <f ca="1">IFERROR(OFFSET(MANOR_LEVEL!$B$1,MATCH(AG559-1,MANOR_LEVEL!$A:$A,0)-1,0),0)</f>
        <v>1500</v>
      </c>
      <c r="AG559" s="56">
        <v>5</v>
      </c>
      <c r="AI559" s="56">
        <f t="shared" ca="1" si="158"/>
        <v>550</v>
      </c>
      <c r="AJ559" s="10">
        <f ca="1">AO559+AQ559+(IFERROR(OFFSET(ITEM_RES!$S$1,MATCH(AU559,ITEM_RES!$A:$A,0)-1,0),0)*AW559+IFERROR(OFFSET(ITEM_RES!$S$1,MATCH(AZ559,ITEM_RES!$A:$A,0)-1,0),0)*BB559+IFERROR(OFFSET(ITEM_RES!$S$1,MATCH(BE559,ITEM_RES!$A:$A,0)-1,0),0)*BG559+IFERROR(OFFSET(ITEM_RES!$S$1,MATCH(BJ559,ITEM_RES!$A:$A,0)-1,0),0)*BL559+IFERROR(OFFSET(ITEM_RES!$S$1,MATCH(BO559,ITEM_RES!$A:$A,0)-1,0),0)*BQ559)/1000</f>
        <v>550.20000000000005</v>
      </c>
      <c r="AK559" s="182">
        <f t="shared" ca="1" si="156"/>
        <v>1000</v>
      </c>
      <c r="AM559" s="11">
        <f t="shared" si="157"/>
        <v>75</v>
      </c>
      <c r="AN559" s="10">
        <v>75</v>
      </c>
      <c r="AO559" s="11">
        <f t="shared" si="154"/>
        <v>550</v>
      </c>
      <c r="AP559" s="10">
        <v>550</v>
      </c>
      <c r="AQ559" s="11">
        <f t="shared" si="154"/>
        <v>0</v>
      </c>
      <c r="AR559" s="10">
        <v>0</v>
      </c>
      <c r="AS559" s="56">
        <f t="shared" si="159"/>
        <v>1</v>
      </c>
      <c r="AU559" s="11">
        <f ca="1">IFERROR(OFFSET(ITEM_RES!$A$1,MATCH(AV559,ITEM_RES!$J:$J,0)-1,0),0)</f>
        <v>211020901</v>
      </c>
      <c r="AV559" s="10" t="s">
        <v>445</v>
      </c>
      <c r="AW559" s="11">
        <v>1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  <c r="BO559" s="11">
        <f ca="1">IFERROR(OFFSET(ITEM_RES!$A$1,MATCH(BP559,ITEM_RES!$J:$J,0)-1,0),0)</f>
        <v>0</v>
      </c>
    </row>
    <row r="560" spans="1:70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1120</v>
      </c>
      <c r="O560" s="9">
        <v>0</v>
      </c>
      <c r="P560" s="9">
        <v>15</v>
      </c>
      <c r="Q560" s="9" t="s">
        <v>1139</v>
      </c>
      <c r="U560" s="9">
        <v>5555</v>
      </c>
      <c r="X560" s="9">
        <f ca="1">IFERROR(OFFSET(ITEM_RES!$A$5,MATCH(BUILDING!W560,ITEM_RES!$J$5:$J$226,0)-1,0),0)</f>
        <v>0</v>
      </c>
      <c r="AA560" s="9">
        <f ca="1">IFERROR(OFFSET(ITEM_RES!$A$5,MATCH(BUILDING!Z560,ITEM_RES!$J$5:$J$226,0)-1,0),0)</f>
        <v>0</v>
      </c>
      <c r="AC560" s="9" t="s">
        <v>365</v>
      </c>
      <c r="AD560" s="9">
        <v>16</v>
      </c>
      <c r="AF560" s="11">
        <f ca="1">IFERROR(OFFSET(MANOR_LEVEL!$B$1,MATCH(AG560-1,MANOR_LEVEL!$A:$A,0)-1,0),0)</f>
        <v>1500</v>
      </c>
      <c r="AG560" s="56">
        <v>5</v>
      </c>
      <c r="AI560" s="56">
        <f t="shared" ca="1" si="158"/>
        <v>700</v>
      </c>
      <c r="AJ560" s="10">
        <f ca="1">AO560+AQ560+(IFERROR(OFFSET(ITEM_RES!$S$1,MATCH(AU560,ITEM_RES!$A:$A,0)-1,0),0)*AW560+IFERROR(OFFSET(ITEM_RES!$S$1,MATCH(AZ560,ITEM_RES!$A:$A,0)-1,0),0)*BB560+IFERROR(OFFSET(ITEM_RES!$S$1,MATCH(BE560,ITEM_RES!$A:$A,0)-1,0),0)*BG560+IFERROR(OFFSET(ITEM_RES!$S$1,MATCH(BJ560,ITEM_RES!$A:$A,0)-1,0),0)*BL560+IFERROR(OFFSET(ITEM_RES!$S$1,MATCH(BO560,ITEM_RES!$A:$A,0)-1,0),0)*BQ560)/1000</f>
        <v>700.2</v>
      </c>
      <c r="AK560" s="182">
        <f t="shared" ca="1" si="156"/>
        <v>1250</v>
      </c>
      <c r="AM560" s="11">
        <f t="shared" si="157"/>
        <v>80</v>
      </c>
      <c r="AN560" s="10">
        <v>80</v>
      </c>
      <c r="AO560" s="11">
        <f t="shared" si="154"/>
        <v>700</v>
      </c>
      <c r="AP560" s="10">
        <v>700</v>
      </c>
      <c r="AQ560" s="11">
        <f t="shared" si="154"/>
        <v>0</v>
      </c>
      <c r="AR560" s="10">
        <v>0</v>
      </c>
      <c r="AS560" s="56">
        <f t="shared" si="159"/>
        <v>1</v>
      </c>
      <c r="AU560" s="11">
        <f ca="1">IFERROR(OFFSET(ITEM_RES!$A$1,MATCH(AV560,ITEM_RES!$J:$J,0)-1,0),0)</f>
        <v>211020901</v>
      </c>
      <c r="AV560" s="10" t="s">
        <v>445</v>
      </c>
      <c r="AW560" s="11">
        <v>1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  <c r="BO560" s="11">
        <f ca="1">IFERROR(OFFSET(ITEM_RES!$A$1,MATCH(BP560,ITEM_RES!$J:$J,0)-1,0),0)</f>
        <v>0</v>
      </c>
    </row>
    <row r="561" spans="1:70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1120</v>
      </c>
      <c r="O561" s="9">
        <v>0</v>
      </c>
      <c r="P561" s="9">
        <v>15</v>
      </c>
      <c r="Q561" s="9" t="s">
        <v>1139</v>
      </c>
      <c r="U561" s="9">
        <v>5555</v>
      </c>
      <c r="X561" s="9">
        <f ca="1">IFERROR(OFFSET(ITEM_RES!$A$5,MATCH(BUILDING!W561,ITEM_RES!$J$5:$J$226,0)-1,0),0)</f>
        <v>0</v>
      </c>
      <c r="AA561" s="9">
        <f ca="1">IFERROR(OFFSET(ITEM_RES!$A$5,MATCH(BUILDING!Z561,ITEM_RES!$J$5:$J$226,0)-1,0),0)</f>
        <v>0</v>
      </c>
      <c r="AC561" s="9" t="s">
        <v>365</v>
      </c>
      <c r="AD561" s="9">
        <v>17</v>
      </c>
      <c r="AF561" s="11">
        <f ca="1">IFERROR(OFFSET(MANOR_LEVEL!$B$1,MATCH(AG561-1,MANOR_LEVEL!$A:$A,0)-1,0),0)</f>
        <v>3872</v>
      </c>
      <c r="AG561" s="56">
        <v>6</v>
      </c>
      <c r="AI561" s="56">
        <f t="shared" ca="1" si="158"/>
        <v>850</v>
      </c>
      <c r="AJ561" s="10">
        <f ca="1">AO561+AQ561+(IFERROR(OFFSET(ITEM_RES!$S$1,MATCH(AU561,ITEM_RES!$A:$A,0)-1,0),0)*AW561+IFERROR(OFFSET(ITEM_RES!$S$1,MATCH(AZ561,ITEM_RES!$A:$A,0)-1,0),0)*BB561+IFERROR(OFFSET(ITEM_RES!$S$1,MATCH(BE561,ITEM_RES!$A:$A,0)-1,0),0)*BG561+IFERROR(OFFSET(ITEM_RES!$S$1,MATCH(BJ561,ITEM_RES!$A:$A,0)-1,0),0)*BL561+IFERROR(OFFSET(ITEM_RES!$S$1,MATCH(BO561,ITEM_RES!$A:$A,0)-1,0),0)*BQ561)/1000</f>
        <v>850.2</v>
      </c>
      <c r="AK561" s="182">
        <f t="shared" ca="1" si="156"/>
        <v>1550</v>
      </c>
      <c r="AM561" s="11">
        <f t="shared" si="157"/>
        <v>85</v>
      </c>
      <c r="AN561" s="10">
        <v>85</v>
      </c>
      <c r="AO561" s="11">
        <f t="shared" si="154"/>
        <v>850</v>
      </c>
      <c r="AP561" s="10">
        <v>850</v>
      </c>
      <c r="AQ561" s="11">
        <f t="shared" si="154"/>
        <v>0</v>
      </c>
      <c r="AR561" s="10">
        <v>0</v>
      </c>
      <c r="AS561" s="56">
        <f t="shared" si="159"/>
        <v>1</v>
      </c>
      <c r="AU561" s="11">
        <f ca="1">IFERROR(OFFSET(ITEM_RES!$A$1,MATCH(AV561,ITEM_RES!$J:$J,0)-1,0),0)</f>
        <v>211020901</v>
      </c>
      <c r="AV561" s="10" t="s">
        <v>445</v>
      </c>
      <c r="AW561" s="11">
        <v>1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  <c r="BO561" s="11">
        <f ca="1">IFERROR(OFFSET(ITEM_RES!$A$1,MATCH(BP561,ITEM_RES!$J:$J,0)-1,0),0)</f>
        <v>0</v>
      </c>
    </row>
    <row r="562" spans="1:70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1120</v>
      </c>
      <c r="O562" s="9">
        <v>0</v>
      </c>
      <c r="P562" s="9">
        <v>15</v>
      </c>
      <c r="Q562" s="9" t="s">
        <v>1139</v>
      </c>
      <c r="U562" s="9">
        <v>5555</v>
      </c>
      <c r="X562" s="9">
        <f ca="1">IFERROR(OFFSET(ITEM_RES!$A$5,MATCH(BUILDING!W562,ITEM_RES!$J$5:$J$226,0)-1,0),0)</f>
        <v>0</v>
      </c>
      <c r="AA562" s="9">
        <f ca="1">IFERROR(OFFSET(ITEM_RES!$A$5,MATCH(BUILDING!Z562,ITEM_RES!$J$5:$J$226,0)-1,0),0)</f>
        <v>0</v>
      </c>
      <c r="AC562" s="9" t="s">
        <v>365</v>
      </c>
      <c r="AD562" s="9">
        <v>18</v>
      </c>
      <c r="AF562" s="11">
        <f ca="1">IFERROR(OFFSET(MANOR_LEVEL!$B$1,MATCH(AG562-1,MANOR_LEVEL!$A:$A,0)-1,0),0)</f>
        <v>32640</v>
      </c>
      <c r="AG562" s="56">
        <v>7</v>
      </c>
      <c r="AI562" s="56">
        <f t="shared" ca="1" si="158"/>
        <v>1050</v>
      </c>
      <c r="AJ562" s="10">
        <f ca="1">AO562+AQ562+(IFERROR(OFFSET(ITEM_RES!$S$1,MATCH(AU562,ITEM_RES!$A:$A,0)-1,0),0)*AW562+IFERROR(OFFSET(ITEM_RES!$S$1,MATCH(AZ562,ITEM_RES!$A:$A,0)-1,0),0)*BB562+IFERROR(OFFSET(ITEM_RES!$S$1,MATCH(BE562,ITEM_RES!$A:$A,0)-1,0),0)*BG562+IFERROR(OFFSET(ITEM_RES!$S$1,MATCH(BJ562,ITEM_RES!$A:$A,0)-1,0),0)*BL562+IFERROR(OFFSET(ITEM_RES!$S$1,MATCH(BO562,ITEM_RES!$A:$A,0)-1,0),0)*BQ562)/1000</f>
        <v>1050.2</v>
      </c>
      <c r="AK562" s="182">
        <f t="shared" ca="1" si="156"/>
        <v>1900</v>
      </c>
      <c r="AM562" s="11">
        <f t="shared" si="157"/>
        <v>90</v>
      </c>
      <c r="AN562" s="10">
        <v>90</v>
      </c>
      <c r="AO562" s="11">
        <f t="shared" si="154"/>
        <v>1050</v>
      </c>
      <c r="AP562" s="10">
        <v>1050</v>
      </c>
      <c r="AQ562" s="11">
        <f t="shared" si="154"/>
        <v>0</v>
      </c>
      <c r="AR562" s="10">
        <v>0</v>
      </c>
      <c r="AS562" s="56">
        <f t="shared" si="159"/>
        <v>1</v>
      </c>
      <c r="AU562" s="11">
        <f ca="1">IFERROR(OFFSET(ITEM_RES!$A$1,MATCH(AV562,ITEM_RES!$J:$J,0)-1,0),0)</f>
        <v>211020901</v>
      </c>
      <c r="AV562" s="10" t="s">
        <v>445</v>
      </c>
      <c r="AW562" s="11">
        <v>1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  <c r="BO562" s="11">
        <f ca="1">IFERROR(OFFSET(ITEM_RES!$A$1,MATCH(BP562,ITEM_RES!$J:$J,0)-1,0),0)</f>
        <v>0</v>
      </c>
    </row>
    <row r="563" spans="1:70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1120</v>
      </c>
      <c r="O563" s="9">
        <v>0</v>
      </c>
      <c r="P563" s="9">
        <v>15</v>
      </c>
      <c r="Q563" s="9" t="s">
        <v>1139</v>
      </c>
      <c r="U563" s="9">
        <v>5555</v>
      </c>
      <c r="X563" s="9">
        <f ca="1">IFERROR(OFFSET(ITEM_RES!$A$5,MATCH(BUILDING!W563,ITEM_RES!$J$5:$J$226,0)-1,0),0)</f>
        <v>0</v>
      </c>
      <c r="AA563" s="9">
        <f ca="1">IFERROR(OFFSET(ITEM_RES!$A$5,MATCH(BUILDING!Z563,ITEM_RES!$J$5:$J$226,0)-1,0),0)</f>
        <v>0</v>
      </c>
      <c r="AC563" s="9" t="s">
        <v>365</v>
      </c>
      <c r="AD563" s="9">
        <v>19</v>
      </c>
      <c r="AF563" s="11">
        <f ca="1">IFERROR(OFFSET(MANOR_LEVEL!$B$1,MATCH(AG563-1,MANOR_LEVEL!$A:$A,0)-1,0),0)</f>
        <v>32640</v>
      </c>
      <c r="AG563" s="56">
        <v>7</v>
      </c>
      <c r="AI563" s="56">
        <f t="shared" ca="1" si="158"/>
        <v>1250</v>
      </c>
      <c r="AJ563" s="10">
        <f ca="1">AO563+AQ563+(IFERROR(OFFSET(ITEM_RES!$S$1,MATCH(AU563,ITEM_RES!$A:$A,0)-1,0),0)*AW563+IFERROR(OFFSET(ITEM_RES!$S$1,MATCH(AZ563,ITEM_RES!$A:$A,0)-1,0),0)*BB563+IFERROR(OFFSET(ITEM_RES!$S$1,MATCH(BE563,ITEM_RES!$A:$A,0)-1,0),0)*BG563+IFERROR(OFFSET(ITEM_RES!$S$1,MATCH(BJ563,ITEM_RES!$A:$A,0)-1,0),0)*BL563+IFERROR(OFFSET(ITEM_RES!$S$1,MATCH(BO563,ITEM_RES!$A:$A,0)-1,0),0)*BQ563)/1000</f>
        <v>1250.2</v>
      </c>
      <c r="AK563" s="182">
        <f t="shared" ca="1" si="156"/>
        <v>2300</v>
      </c>
      <c r="AM563" s="11">
        <f t="shared" si="157"/>
        <v>95</v>
      </c>
      <c r="AN563" s="10">
        <v>95</v>
      </c>
      <c r="AO563" s="11">
        <f t="shared" si="154"/>
        <v>1250</v>
      </c>
      <c r="AP563" s="10">
        <v>1250</v>
      </c>
      <c r="AQ563" s="11">
        <f t="shared" si="154"/>
        <v>0</v>
      </c>
      <c r="AR563" s="10">
        <v>0</v>
      </c>
      <c r="AS563" s="56">
        <f t="shared" si="159"/>
        <v>1</v>
      </c>
      <c r="AU563" s="11">
        <f ca="1">IFERROR(OFFSET(ITEM_RES!$A$1,MATCH(AV563,ITEM_RES!$J:$J,0)-1,0),0)</f>
        <v>211020901</v>
      </c>
      <c r="AV563" s="10" t="s">
        <v>445</v>
      </c>
      <c r="AW563" s="11">
        <v>1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  <c r="BO563" s="11">
        <f ca="1">IFERROR(OFFSET(ITEM_RES!$A$1,MATCH(BP563,ITEM_RES!$J:$J,0)-1,0),0)</f>
        <v>0</v>
      </c>
    </row>
    <row r="564" spans="1:70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1120</v>
      </c>
      <c r="O564" s="9">
        <v>0</v>
      </c>
      <c r="P564" s="9">
        <v>15</v>
      </c>
      <c r="Q564" s="9" t="s">
        <v>1139</v>
      </c>
      <c r="U564" s="9">
        <v>5555</v>
      </c>
      <c r="X564" s="9">
        <f ca="1">IFERROR(OFFSET(ITEM_RES!$A$5,MATCH(BUILDING!W564,ITEM_RES!$J$5:$J$226,0)-1,0),0)</f>
        <v>0</v>
      </c>
      <c r="AA564" s="9">
        <f ca="1">IFERROR(OFFSET(ITEM_RES!$A$5,MATCH(BUILDING!Z564,ITEM_RES!$J$5:$J$226,0)-1,0),0)</f>
        <v>0</v>
      </c>
      <c r="AC564" s="9" t="s">
        <v>365</v>
      </c>
      <c r="AD564" s="9">
        <v>20</v>
      </c>
      <c r="AF564" s="11">
        <f ca="1">IFERROR(OFFSET(MANOR_LEVEL!$B$1,MATCH(AG564-1,MANOR_LEVEL!$A:$A,0)-1,0),0)</f>
        <v>32640</v>
      </c>
      <c r="AG564" s="56">
        <v>7</v>
      </c>
      <c r="AI564" s="56">
        <f t="shared" ca="1" si="158"/>
        <v>1500</v>
      </c>
      <c r="AJ564" s="10">
        <f ca="1">AO564+AQ564+(IFERROR(OFFSET(ITEM_RES!$S$1,MATCH(AU564,ITEM_RES!$A:$A,0)-1,0),0)*AW564+IFERROR(OFFSET(ITEM_RES!$S$1,MATCH(AZ564,ITEM_RES!$A:$A,0)-1,0),0)*BB564+IFERROR(OFFSET(ITEM_RES!$S$1,MATCH(BE564,ITEM_RES!$A:$A,0)-1,0),0)*BG564+IFERROR(OFFSET(ITEM_RES!$S$1,MATCH(BJ564,ITEM_RES!$A:$A,0)-1,0),0)*BL564+IFERROR(OFFSET(ITEM_RES!$S$1,MATCH(BO564,ITEM_RES!$A:$A,0)-1,0),0)*BQ564)/1000</f>
        <v>1500.2</v>
      </c>
      <c r="AK564" s="182">
        <f t="shared" ca="1" si="156"/>
        <v>2750</v>
      </c>
      <c r="AM564" s="11">
        <f t="shared" si="157"/>
        <v>100</v>
      </c>
      <c r="AN564" s="10">
        <v>100</v>
      </c>
      <c r="AO564" s="11">
        <f t="shared" si="154"/>
        <v>1500</v>
      </c>
      <c r="AP564" s="10">
        <v>1500</v>
      </c>
      <c r="AQ564" s="11">
        <f t="shared" si="154"/>
        <v>0</v>
      </c>
      <c r="AR564" s="10">
        <v>0</v>
      </c>
      <c r="AS564" s="56">
        <f t="shared" si="159"/>
        <v>1</v>
      </c>
      <c r="AU564" s="11">
        <f ca="1">IFERROR(OFFSET(ITEM_RES!$A$1,MATCH(AV564,ITEM_RES!$J:$J,0)-1,0),0)</f>
        <v>211020901</v>
      </c>
      <c r="AV564" s="10" t="s">
        <v>445</v>
      </c>
      <c r="AW564" s="11">
        <v>1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  <c r="BO564" s="11">
        <f ca="1">IFERROR(OFFSET(ITEM_RES!$A$1,MATCH(BP564,ITEM_RES!$J:$J,0)-1,0),0)</f>
        <v>0</v>
      </c>
    </row>
    <row r="565" spans="1:70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6"/>
      <c r="Q565" s="16"/>
      <c r="R565" s="17"/>
      <c r="S565" s="17"/>
      <c r="T565" s="18"/>
      <c r="U565" s="16"/>
      <c r="V565" s="78"/>
      <c r="W565" s="86"/>
      <c r="X565" s="16"/>
      <c r="Y565" s="18"/>
      <c r="Z565" s="86"/>
      <c r="AA565" s="16"/>
      <c r="AB565" s="78"/>
      <c r="AC565" s="16"/>
      <c r="AD565" s="16"/>
      <c r="AE565" s="78"/>
      <c r="AF565" s="18"/>
      <c r="AG565" s="57"/>
      <c r="AH565" s="78"/>
      <c r="AI565" s="57"/>
      <c r="AJ565" s="17"/>
      <c r="AK565" s="184"/>
      <c r="AL565" s="78"/>
      <c r="AM565" s="18"/>
      <c r="AN565" s="17"/>
      <c r="AO565" s="18"/>
      <c r="AP565" s="17"/>
      <c r="AQ565" s="18"/>
      <c r="AR565" s="17"/>
      <c r="AS565" s="57"/>
      <c r="AT565" s="18"/>
      <c r="AU565" s="18"/>
      <c r="AV565" s="17"/>
      <c r="AW565" s="18"/>
      <c r="AX565" s="17"/>
      <c r="AY565" s="18"/>
      <c r="AZ565" s="18"/>
      <c r="BA565" s="17"/>
      <c r="BB565" s="18"/>
      <c r="BC565" s="17"/>
      <c r="BD565" s="18"/>
      <c r="BE565" s="18"/>
      <c r="BF565" s="17"/>
      <c r="BG565" s="18"/>
      <c r="BH565" s="17"/>
      <c r="BI565" s="18"/>
      <c r="BJ565" s="18"/>
      <c r="BK565" s="17"/>
      <c r="BL565" s="18"/>
      <c r="BM565" s="17"/>
      <c r="BN565" s="18"/>
      <c r="BO565" s="18"/>
      <c r="BP565" s="17"/>
      <c r="BQ565" s="18"/>
      <c r="BR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abSelected="1" topLeftCell="N1" zoomScale="90" zoomScaleNormal="90" workbookViewId="0">
      <selection activeCell="AD25" sqref="AD2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16384" width="8.75" style="34"/>
  </cols>
  <sheetData>
    <row r="1" spans="1:31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805</v>
      </c>
      <c r="L1" s="35" t="s">
        <v>593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593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</row>
    <row r="2" spans="1:31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804</v>
      </c>
      <c r="L2" s="35" t="s">
        <v>915</v>
      </c>
      <c r="O2" s="34" t="s">
        <v>62</v>
      </c>
      <c r="P2" s="35" t="s">
        <v>62</v>
      </c>
      <c r="Q2" s="35" t="s">
        <v>62</v>
      </c>
      <c r="R2" s="69"/>
      <c r="S2" s="34" t="s">
        <v>843</v>
      </c>
      <c r="U2" s="69"/>
      <c r="V2" s="1" t="s">
        <v>61</v>
      </c>
      <c r="W2" s="69"/>
      <c r="X2" s="101" t="s">
        <v>506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</row>
    <row r="3" spans="1:31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803</v>
      </c>
      <c r="L3" s="35" t="s">
        <v>911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01" t="s">
        <v>1301</v>
      </c>
      <c r="Y3" s="1" t="s">
        <v>1302</v>
      </c>
      <c r="Z3" s="147" t="s">
        <v>1303</v>
      </c>
      <c r="AA3" s="147" t="s">
        <v>1299</v>
      </c>
      <c r="AB3" s="147" t="s">
        <v>1300</v>
      </c>
      <c r="AC3" s="1" t="s">
        <v>1304</v>
      </c>
      <c r="AD3" s="147" t="s">
        <v>1305</v>
      </c>
      <c r="AE3" s="1" t="s">
        <v>1306</v>
      </c>
    </row>
    <row r="4" spans="1:31" s="79" customFormat="1" ht="83.25" thickBot="1" x14ac:dyDescent="0.2">
      <c r="A4" s="79" t="s">
        <v>337</v>
      </c>
      <c r="B4" s="80" t="s">
        <v>414</v>
      </c>
      <c r="C4" s="80" t="s">
        <v>596</v>
      </c>
      <c r="D4" s="80" t="s">
        <v>597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846</v>
      </c>
      <c r="L4" s="81" t="s">
        <v>914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916</v>
      </c>
      <c r="S4" s="79" t="s">
        <v>912</v>
      </c>
      <c r="T4" s="80" t="s">
        <v>913</v>
      </c>
      <c r="U4" s="70" t="s">
        <v>346</v>
      </c>
      <c r="V4" s="2" t="s">
        <v>413</v>
      </c>
      <c r="W4" s="70" t="s">
        <v>887</v>
      </c>
      <c r="X4" s="191" t="s">
        <v>888</v>
      </c>
      <c r="Y4" s="2" t="s">
        <v>886</v>
      </c>
      <c r="Z4" s="148" t="s">
        <v>1307</v>
      </c>
      <c r="AA4" s="148" t="s">
        <v>891</v>
      </c>
      <c r="AB4" s="148" t="s">
        <v>893</v>
      </c>
      <c r="AC4" s="2" t="s">
        <v>894</v>
      </c>
      <c r="AD4" s="148" t="s">
        <v>892</v>
      </c>
      <c r="AE4" s="2" t="s">
        <v>1308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806</v>
      </c>
      <c r="L5" s="38">
        <v>1</v>
      </c>
      <c r="M5" s="39" t="s">
        <v>409</v>
      </c>
      <c r="N5" s="39" t="s">
        <v>406</v>
      </c>
      <c r="O5" s="37" t="s">
        <v>784</v>
      </c>
      <c r="P5" s="38"/>
      <c r="Q5" s="38" t="s">
        <v>713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807</v>
      </c>
      <c r="L6" s="62">
        <v>2</v>
      </c>
      <c r="M6" s="39" t="s">
        <v>409</v>
      </c>
      <c r="N6" s="39" t="s">
        <v>406</v>
      </c>
      <c r="O6" s="68" t="s">
        <v>785</v>
      </c>
      <c r="P6" s="62"/>
      <c r="Q6" s="38" t="s">
        <v>714</v>
      </c>
      <c r="R6" s="75"/>
      <c r="S6" s="37">
        <f t="shared" ref="S6:S56" si="2">T6*1000</f>
        <v>20</v>
      </c>
      <c r="T6" s="151">
        <v>0.02</v>
      </c>
      <c r="U6" s="75"/>
      <c r="V6" s="62">
        <v>1</v>
      </c>
      <c r="W6" s="75"/>
      <c r="X6" s="68">
        <f t="shared" ref="X6:X56" si="3">IF(Y6+Z6+AA6+AB6+AC6+AD6+AE6&gt;0,1,0)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808</v>
      </c>
      <c r="L7" s="62">
        <v>3</v>
      </c>
      <c r="M7" s="39" t="s">
        <v>409</v>
      </c>
      <c r="N7" s="39" t="s">
        <v>406</v>
      </c>
      <c r="O7" s="68" t="s">
        <v>786</v>
      </c>
      <c r="P7" s="62"/>
      <c r="Q7" s="38" t="s">
        <v>715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68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809</v>
      </c>
      <c r="L8" s="62">
        <v>4</v>
      </c>
      <c r="M8" s="39" t="s">
        <v>441</v>
      </c>
      <c r="N8" s="39" t="s">
        <v>451</v>
      </c>
      <c r="O8" s="68" t="s">
        <v>787</v>
      </c>
      <c r="P8" s="62"/>
      <c r="Q8" s="38" t="s">
        <v>716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68">
        <f t="shared" si="3"/>
        <v>0</v>
      </c>
      <c r="Y8" s="62"/>
      <c r="Z8" s="150"/>
      <c r="AA8" s="150"/>
      <c r="AB8" s="150"/>
      <c r="AC8" s="62"/>
      <c r="AD8" s="150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810</v>
      </c>
      <c r="L9" s="38">
        <v>5</v>
      </c>
      <c r="M9" s="39" t="s">
        <v>409</v>
      </c>
      <c r="N9" s="39" t="s">
        <v>406</v>
      </c>
      <c r="O9" s="68" t="s">
        <v>788</v>
      </c>
      <c r="P9" s="62"/>
      <c r="Q9" s="38" t="s">
        <v>717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68">
        <f t="shared" si="3"/>
        <v>1</v>
      </c>
      <c r="Y9" s="62"/>
      <c r="Z9" s="150"/>
      <c r="AA9" s="150">
        <v>50</v>
      </c>
      <c r="AB9" s="150"/>
      <c r="AC9" s="62"/>
      <c r="AD9" s="150"/>
      <c r="AE9" s="62"/>
    </row>
    <row r="10" spans="1:31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811</v>
      </c>
      <c r="L10" s="62">
        <v>6</v>
      </c>
      <c r="M10" s="39" t="s">
        <v>409</v>
      </c>
      <c r="N10" s="39" t="s">
        <v>406</v>
      </c>
      <c r="O10" s="34" t="s">
        <v>789</v>
      </c>
      <c r="Q10" s="38" t="s">
        <v>718</v>
      </c>
      <c r="S10" s="37">
        <f t="shared" si="2"/>
        <v>10</v>
      </c>
      <c r="T10" s="151">
        <v>0.01</v>
      </c>
      <c r="V10" s="35">
        <v>1</v>
      </c>
      <c r="X10" s="34">
        <f t="shared" si="3"/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812</v>
      </c>
      <c r="L11" s="62">
        <v>7</v>
      </c>
      <c r="M11" s="39" t="s">
        <v>406</v>
      </c>
      <c r="N11" s="39"/>
      <c r="O11" s="34" t="s">
        <v>790</v>
      </c>
      <c r="Q11" s="38" t="s">
        <v>719</v>
      </c>
      <c r="S11" s="37">
        <f t="shared" si="2"/>
        <v>10</v>
      </c>
      <c r="T11" s="151">
        <v>0.01</v>
      </c>
      <c r="V11" s="35">
        <v>1</v>
      </c>
      <c r="X11" s="34">
        <f t="shared" si="3"/>
        <v>0</v>
      </c>
    </row>
    <row r="12" spans="1:31" x14ac:dyDescent="0.15">
      <c r="A12" s="34">
        <f t="shared" ref="A12:A56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813</v>
      </c>
      <c r="L12" s="62">
        <v>8</v>
      </c>
      <c r="M12" s="39" t="s">
        <v>406</v>
      </c>
      <c r="O12" s="34" t="s">
        <v>791</v>
      </c>
      <c r="Q12" s="38" t="s">
        <v>889</v>
      </c>
      <c r="S12" s="37">
        <f t="shared" si="2"/>
        <v>5</v>
      </c>
      <c r="T12" s="151">
        <v>5.0000000000000001E-3</v>
      </c>
      <c r="V12" s="35">
        <v>1</v>
      </c>
      <c r="X12" s="34">
        <f t="shared" si="3"/>
        <v>1</v>
      </c>
      <c r="Z12" s="149">
        <v>10</v>
      </c>
      <c r="AA12" s="149">
        <v>10</v>
      </c>
      <c r="AB12" s="149">
        <v>-10</v>
      </c>
    </row>
    <row r="13" spans="1:31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814</v>
      </c>
      <c r="L13" s="38">
        <v>9</v>
      </c>
      <c r="M13" s="36" t="s">
        <v>406</v>
      </c>
      <c r="O13" s="34" t="s">
        <v>792</v>
      </c>
      <c r="Q13" s="38" t="s">
        <v>720</v>
      </c>
      <c r="S13" s="37">
        <f t="shared" si="2"/>
        <v>100</v>
      </c>
      <c r="T13" s="151">
        <v>0.1</v>
      </c>
      <c r="V13" s="35">
        <v>1</v>
      </c>
      <c r="X13" s="34">
        <f t="shared" si="3"/>
        <v>0</v>
      </c>
    </row>
    <row r="14" spans="1:31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815</v>
      </c>
      <c r="L14" s="62">
        <v>10</v>
      </c>
      <c r="M14" s="36" t="s">
        <v>406</v>
      </c>
      <c r="O14" s="34" t="s">
        <v>793</v>
      </c>
      <c r="Q14" s="38" t="s">
        <v>721</v>
      </c>
      <c r="S14" s="37">
        <f t="shared" si="2"/>
        <v>100</v>
      </c>
      <c r="T14" s="39">
        <v>0.1</v>
      </c>
      <c r="V14" s="35">
        <v>1</v>
      </c>
      <c r="X14" s="34">
        <f t="shared" si="3"/>
        <v>0</v>
      </c>
    </row>
    <row r="15" spans="1:31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499</v>
      </c>
      <c r="K15" s="35" t="s">
        <v>816</v>
      </c>
      <c r="L15" s="62">
        <v>15</v>
      </c>
      <c r="M15" s="36" t="s">
        <v>500</v>
      </c>
      <c r="N15" s="36" t="s">
        <v>501</v>
      </c>
      <c r="O15" s="34" t="s">
        <v>1142</v>
      </c>
      <c r="Q15" s="38" t="s">
        <v>722</v>
      </c>
      <c r="S15" s="37">
        <f t="shared" si="2"/>
        <v>1000</v>
      </c>
      <c r="T15" s="151">
        <v>1</v>
      </c>
      <c r="V15" s="35">
        <v>1</v>
      </c>
      <c r="X15" s="34">
        <f t="shared" si="3"/>
        <v>1</v>
      </c>
      <c r="Y15" s="35">
        <v>50</v>
      </c>
    </row>
    <row r="16" spans="1:31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817</v>
      </c>
      <c r="L16" s="35">
        <v>10</v>
      </c>
      <c r="M16" s="36" t="s">
        <v>406</v>
      </c>
      <c r="O16" s="34" t="s">
        <v>794</v>
      </c>
      <c r="Q16" s="38" t="s">
        <v>723</v>
      </c>
      <c r="S16" s="37">
        <f t="shared" si="2"/>
        <v>100000</v>
      </c>
      <c r="T16" s="151">
        <v>100</v>
      </c>
      <c r="V16" s="35">
        <v>1</v>
      </c>
      <c r="X16" s="34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818</v>
      </c>
      <c r="L17" s="35">
        <v>5</v>
      </c>
      <c r="M17" s="36" t="s">
        <v>406</v>
      </c>
      <c r="O17" s="34" t="s">
        <v>795</v>
      </c>
      <c r="Q17" s="38" t="s">
        <v>724</v>
      </c>
      <c r="S17" s="37">
        <f t="shared" si="2"/>
        <v>100000</v>
      </c>
      <c r="T17" s="39">
        <v>100</v>
      </c>
      <c r="V17" s="35">
        <v>1</v>
      </c>
      <c r="X17" s="34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819</v>
      </c>
      <c r="L18" s="35">
        <v>6</v>
      </c>
      <c r="M18" s="36" t="s">
        <v>406</v>
      </c>
      <c r="O18" s="34" t="s">
        <v>795</v>
      </c>
      <c r="Q18" s="38" t="s">
        <v>725</v>
      </c>
      <c r="S18" s="37">
        <f t="shared" si="2"/>
        <v>100000</v>
      </c>
      <c r="T18" s="39">
        <v>100</v>
      </c>
      <c r="V18" s="35">
        <v>1</v>
      </c>
      <c r="X18" s="34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820</v>
      </c>
      <c r="L19" s="35">
        <v>7</v>
      </c>
      <c r="M19" s="36" t="s">
        <v>406</v>
      </c>
      <c r="O19" s="34" t="s">
        <v>795</v>
      </c>
      <c r="Q19" s="38" t="s">
        <v>726</v>
      </c>
      <c r="S19" s="37">
        <f t="shared" si="2"/>
        <v>100000</v>
      </c>
      <c r="T19" s="39">
        <v>100</v>
      </c>
      <c r="V19" s="35">
        <v>1</v>
      </c>
      <c r="X19" s="34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821</v>
      </c>
      <c r="L20" s="35">
        <v>8</v>
      </c>
      <c r="M20" s="36" t="s">
        <v>451</v>
      </c>
      <c r="O20" s="34" t="s">
        <v>794</v>
      </c>
      <c r="Q20" s="38" t="s">
        <v>727</v>
      </c>
      <c r="S20" s="37">
        <f t="shared" si="2"/>
        <v>100000</v>
      </c>
      <c r="T20" s="39">
        <v>100</v>
      </c>
      <c r="V20" s="35">
        <v>1</v>
      </c>
      <c r="X20" s="34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6" si="7">H21</f>
        <v>1</v>
      </c>
      <c r="G21" s="72"/>
      <c r="H21" s="62">
        <v>1</v>
      </c>
      <c r="J21" s="35" t="s">
        <v>454</v>
      </c>
      <c r="K21" s="35" t="s">
        <v>822</v>
      </c>
      <c r="L21" s="35">
        <v>9</v>
      </c>
      <c r="M21" s="36" t="s">
        <v>451</v>
      </c>
      <c r="O21" s="34" t="s">
        <v>794</v>
      </c>
      <c r="Q21" s="38" t="s">
        <v>728</v>
      </c>
      <c r="S21" s="37">
        <f t="shared" si="2"/>
        <v>100000</v>
      </c>
      <c r="T21" s="39">
        <v>100</v>
      </c>
      <c r="V21" s="35">
        <v>1</v>
      </c>
      <c r="X21" s="34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455</v>
      </c>
      <c r="K22" s="35" t="s">
        <v>823</v>
      </c>
      <c r="L22" s="35">
        <v>10</v>
      </c>
      <c r="M22" s="36" t="s">
        <v>451</v>
      </c>
      <c r="O22" s="34" t="s">
        <v>794</v>
      </c>
      <c r="Q22" s="38" t="s">
        <v>729</v>
      </c>
      <c r="S22" s="37">
        <f t="shared" si="2"/>
        <v>500000</v>
      </c>
      <c r="T22" s="39">
        <v>500</v>
      </c>
      <c r="V22" s="35">
        <v>1</v>
      </c>
      <c r="X22" s="34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462</v>
      </c>
      <c r="K23" s="35" t="s">
        <v>824</v>
      </c>
      <c r="L23" s="35">
        <v>11</v>
      </c>
      <c r="M23" s="36" t="s">
        <v>451</v>
      </c>
      <c r="O23" s="34" t="s">
        <v>794</v>
      </c>
      <c r="Q23" s="38" t="s">
        <v>730</v>
      </c>
      <c r="S23" s="37">
        <f t="shared" si="2"/>
        <v>100000</v>
      </c>
      <c r="T23" s="39">
        <v>100</v>
      </c>
      <c r="V23" s="35">
        <v>1</v>
      </c>
      <c r="X23" s="34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456</v>
      </c>
      <c r="K24" s="35" t="s">
        <v>825</v>
      </c>
      <c r="L24" s="35">
        <v>12</v>
      </c>
      <c r="M24" s="36" t="s">
        <v>451</v>
      </c>
      <c r="O24" s="34" t="s">
        <v>794</v>
      </c>
      <c r="Q24" s="38" t="s">
        <v>732</v>
      </c>
      <c r="S24" s="37">
        <f t="shared" si="2"/>
        <v>100000</v>
      </c>
      <c r="T24" s="39">
        <v>100</v>
      </c>
      <c r="V24" s="35">
        <v>1</v>
      </c>
      <c r="X24" s="34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457</v>
      </c>
      <c r="K25" s="35" t="s">
        <v>826</v>
      </c>
      <c r="L25" s="35">
        <v>13</v>
      </c>
      <c r="M25" s="36" t="s">
        <v>451</v>
      </c>
      <c r="O25" s="34" t="s">
        <v>794</v>
      </c>
      <c r="Q25" s="38" t="s">
        <v>731</v>
      </c>
      <c r="S25" s="37">
        <f t="shared" si="2"/>
        <v>500000</v>
      </c>
      <c r="T25" s="39">
        <v>500</v>
      </c>
      <c r="V25" s="35">
        <v>1</v>
      </c>
      <c r="X25" s="34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458</v>
      </c>
      <c r="K26" s="35" t="s">
        <v>827</v>
      </c>
      <c r="L26" s="35">
        <v>14</v>
      </c>
      <c r="M26" s="36" t="s">
        <v>451</v>
      </c>
      <c r="O26" s="34" t="s">
        <v>794</v>
      </c>
      <c r="Q26" s="38" t="s">
        <v>733</v>
      </c>
      <c r="S26" s="37">
        <f t="shared" si="2"/>
        <v>1000000</v>
      </c>
      <c r="T26" s="39">
        <v>1000</v>
      </c>
      <c r="V26" s="35">
        <v>1</v>
      </c>
      <c r="X26" s="34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468</v>
      </c>
      <c r="K27" s="35" t="s">
        <v>828</v>
      </c>
      <c r="L27" s="35">
        <v>15</v>
      </c>
      <c r="M27" s="36" t="s">
        <v>451</v>
      </c>
      <c r="O27" s="34" t="s">
        <v>794</v>
      </c>
      <c r="Q27" s="38" t="s">
        <v>734</v>
      </c>
      <c r="S27" s="37">
        <f t="shared" si="2"/>
        <v>300000</v>
      </c>
      <c r="T27" s="39">
        <v>300</v>
      </c>
      <c r="V27" s="35">
        <v>1</v>
      </c>
      <c r="X27" s="34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472</v>
      </c>
      <c r="K28" s="35" t="s">
        <v>829</v>
      </c>
      <c r="L28" s="35">
        <v>15</v>
      </c>
      <c r="M28" s="36" t="s">
        <v>451</v>
      </c>
      <c r="O28" s="34" t="s">
        <v>794</v>
      </c>
      <c r="Q28" s="38" t="s">
        <v>735</v>
      </c>
      <c r="S28" s="37">
        <f t="shared" si="2"/>
        <v>500000</v>
      </c>
      <c r="T28" s="39">
        <v>500</v>
      </c>
      <c r="V28" s="35">
        <v>1</v>
      </c>
      <c r="X28" s="34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473</v>
      </c>
      <c r="K29" s="35" t="s">
        <v>830</v>
      </c>
      <c r="L29" s="35">
        <v>15</v>
      </c>
      <c r="M29" s="36" t="s">
        <v>451</v>
      </c>
      <c r="O29" s="34" t="s">
        <v>794</v>
      </c>
      <c r="Q29" s="38" t="s">
        <v>736</v>
      </c>
      <c r="S29" s="37">
        <f t="shared" si="2"/>
        <v>100000</v>
      </c>
      <c r="T29" s="39">
        <v>100</v>
      </c>
      <c r="V29" s="35">
        <v>1</v>
      </c>
      <c r="X29" s="34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477</v>
      </c>
      <c r="K30" s="35" t="s">
        <v>831</v>
      </c>
      <c r="L30" s="35">
        <v>15</v>
      </c>
      <c r="M30" s="36" t="s">
        <v>451</v>
      </c>
      <c r="O30" s="34" t="s">
        <v>794</v>
      </c>
      <c r="Q30" s="38" t="s">
        <v>737</v>
      </c>
      <c r="S30" s="37">
        <f t="shared" si="2"/>
        <v>100000</v>
      </c>
      <c r="T30" s="39">
        <v>100</v>
      </c>
      <c r="V30" s="35">
        <v>1</v>
      </c>
      <c r="X30" s="34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483</v>
      </c>
      <c r="K31" s="35" t="s">
        <v>832</v>
      </c>
      <c r="L31" s="35">
        <v>15</v>
      </c>
      <c r="M31" s="36" t="s">
        <v>451</v>
      </c>
      <c r="O31" s="34" t="s">
        <v>794</v>
      </c>
      <c r="Q31" s="38" t="s">
        <v>738</v>
      </c>
      <c r="S31" s="37">
        <f t="shared" si="2"/>
        <v>500000</v>
      </c>
      <c r="T31" s="39">
        <v>500</v>
      </c>
      <c r="V31" s="35">
        <v>1</v>
      </c>
      <c r="X31" s="34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479</v>
      </c>
      <c r="K32" s="35" t="s">
        <v>833</v>
      </c>
      <c r="L32" s="35">
        <v>15</v>
      </c>
      <c r="M32" s="36" t="s">
        <v>451</v>
      </c>
      <c r="O32" s="34" t="s">
        <v>794</v>
      </c>
      <c r="Q32" s="38" t="s">
        <v>739</v>
      </c>
      <c r="S32" s="37">
        <f t="shared" si="2"/>
        <v>1000000</v>
      </c>
      <c r="T32" s="39">
        <v>1000</v>
      </c>
      <c r="V32" s="35">
        <v>1</v>
      </c>
      <c r="X32" s="34">
        <f t="shared" si="3"/>
        <v>0</v>
      </c>
    </row>
    <row r="33" spans="1:24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480</v>
      </c>
      <c r="K33" s="35" t="s">
        <v>834</v>
      </c>
      <c r="L33" s="35">
        <v>15</v>
      </c>
      <c r="M33" s="36" t="s">
        <v>451</v>
      </c>
      <c r="O33" s="34" t="s">
        <v>794</v>
      </c>
      <c r="Q33" s="38" t="s">
        <v>740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4">
        <f t="shared" si="3"/>
        <v>0</v>
      </c>
    </row>
    <row r="34" spans="1:24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481</v>
      </c>
      <c r="K34" s="35" t="s">
        <v>835</v>
      </c>
      <c r="L34" s="35">
        <v>15</v>
      </c>
      <c r="M34" s="36" t="s">
        <v>451</v>
      </c>
      <c r="O34" s="34" t="s">
        <v>794</v>
      </c>
      <c r="Q34" s="38" t="s">
        <v>741</v>
      </c>
      <c r="S34" s="37">
        <f t="shared" si="2"/>
        <v>1000000</v>
      </c>
      <c r="T34" s="39">
        <v>1000</v>
      </c>
      <c r="V34" s="35">
        <v>1</v>
      </c>
      <c r="X34" s="34">
        <f t="shared" si="3"/>
        <v>0</v>
      </c>
    </row>
    <row r="35" spans="1:24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489</v>
      </c>
      <c r="K35" s="35" t="s">
        <v>895</v>
      </c>
      <c r="L35" s="35">
        <v>5</v>
      </c>
      <c r="M35" s="36" t="s">
        <v>498</v>
      </c>
      <c r="O35" s="34" t="s">
        <v>1121</v>
      </c>
      <c r="Q35" s="38" t="s">
        <v>742</v>
      </c>
      <c r="S35" s="37">
        <f t="shared" si="2"/>
        <v>10000</v>
      </c>
      <c r="T35" s="39">
        <v>10</v>
      </c>
      <c r="V35" s="35">
        <v>1</v>
      </c>
      <c r="X35" s="34">
        <f t="shared" si="3"/>
        <v>0</v>
      </c>
    </row>
    <row r="36" spans="1:24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490</v>
      </c>
      <c r="K36" s="35" t="s">
        <v>896</v>
      </c>
      <c r="L36" s="35">
        <v>6</v>
      </c>
      <c r="M36" s="36" t="s">
        <v>498</v>
      </c>
      <c r="O36" s="34" t="s">
        <v>1122</v>
      </c>
      <c r="Q36" s="38" t="s">
        <v>742</v>
      </c>
      <c r="S36" s="37">
        <f t="shared" si="2"/>
        <v>100000</v>
      </c>
      <c r="T36" s="39">
        <v>100</v>
      </c>
      <c r="V36" s="35">
        <v>1</v>
      </c>
      <c r="X36" s="34">
        <f t="shared" si="3"/>
        <v>0</v>
      </c>
    </row>
    <row r="37" spans="1:24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491</v>
      </c>
      <c r="K37" s="35" t="s">
        <v>897</v>
      </c>
      <c r="L37" s="35">
        <v>7</v>
      </c>
      <c r="M37" s="36" t="s">
        <v>498</v>
      </c>
      <c r="O37" s="34" t="s">
        <v>1123</v>
      </c>
      <c r="Q37" s="38" t="s">
        <v>742</v>
      </c>
      <c r="S37" s="37">
        <f t="shared" si="2"/>
        <v>1000000</v>
      </c>
      <c r="T37" s="39">
        <v>1000</v>
      </c>
      <c r="V37" s="35">
        <v>1</v>
      </c>
      <c r="X37" s="34">
        <f t="shared" si="3"/>
        <v>0</v>
      </c>
    </row>
    <row r="38" spans="1:24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399</v>
      </c>
      <c r="K38" s="35" t="s">
        <v>898</v>
      </c>
      <c r="L38" s="35">
        <v>8</v>
      </c>
      <c r="M38" s="36" t="s">
        <v>406</v>
      </c>
      <c r="O38" s="34" t="s">
        <v>1124</v>
      </c>
      <c r="Q38" s="38" t="s">
        <v>743</v>
      </c>
      <c r="S38" s="37">
        <f t="shared" si="2"/>
        <v>10000</v>
      </c>
      <c r="T38" s="39">
        <v>10</v>
      </c>
      <c r="V38" s="35">
        <v>1</v>
      </c>
      <c r="X38" s="34">
        <f t="shared" si="3"/>
        <v>0</v>
      </c>
    </row>
    <row r="39" spans="1:24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400</v>
      </c>
      <c r="K39" s="35" t="s">
        <v>899</v>
      </c>
      <c r="L39" s="35">
        <v>9</v>
      </c>
      <c r="M39" s="36" t="s">
        <v>406</v>
      </c>
      <c r="O39" s="34" t="s">
        <v>1125</v>
      </c>
      <c r="Q39" s="38" t="s">
        <v>744</v>
      </c>
      <c r="S39" s="37">
        <f t="shared" si="2"/>
        <v>100000</v>
      </c>
      <c r="T39" s="39">
        <v>100</v>
      </c>
      <c r="V39" s="35">
        <v>1</v>
      </c>
      <c r="X39" s="34">
        <f t="shared" si="3"/>
        <v>0</v>
      </c>
    </row>
    <row r="40" spans="1:24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401</v>
      </c>
      <c r="K40" s="35" t="s">
        <v>900</v>
      </c>
      <c r="L40" s="35">
        <v>10</v>
      </c>
      <c r="M40" s="36" t="s">
        <v>406</v>
      </c>
      <c r="O40" s="34" t="s">
        <v>1126</v>
      </c>
      <c r="Q40" s="38" t="s">
        <v>745</v>
      </c>
      <c r="S40" s="37">
        <f t="shared" si="2"/>
        <v>1000000</v>
      </c>
      <c r="T40" s="39">
        <v>1000</v>
      </c>
      <c r="V40" s="35">
        <v>1</v>
      </c>
      <c r="X40" s="34">
        <f t="shared" si="3"/>
        <v>0</v>
      </c>
    </row>
    <row r="41" spans="1:24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402</v>
      </c>
      <c r="K41" s="35" t="s">
        <v>901</v>
      </c>
      <c r="L41" s="35">
        <v>11</v>
      </c>
      <c r="M41" s="36" t="s">
        <v>406</v>
      </c>
      <c r="O41" s="34" t="s">
        <v>1127</v>
      </c>
      <c r="Q41" s="38" t="s">
        <v>746</v>
      </c>
      <c r="S41" s="37">
        <f t="shared" si="2"/>
        <v>10000</v>
      </c>
      <c r="T41" s="39">
        <v>10</v>
      </c>
      <c r="V41" s="35">
        <v>1</v>
      </c>
      <c r="X41" s="34">
        <f t="shared" si="3"/>
        <v>0</v>
      </c>
    </row>
    <row r="42" spans="1:24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403</v>
      </c>
      <c r="K42" s="35" t="s">
        <v>902</v>
      </c>
      <c r="L42" s="35">
        <v>12</v>
      </c>
      <c r="M42" s="36" t="s">
        <v>406</v>
      </c>
      <c r="O42" s="34" t="s">
        <v>1128</v>
      </c>
      <c r="Q42" s="38" t="s">
        <v>747</v>
      </c>
      <c r="S42" s="37">
        <f t="shared" si="2"/>
        <v>100000</v>
      </c>
      <c r="T42" s="39">
        <v>100</v>
      </c>
      <c r="V42" s="35">
        <v>1</v>
      </c>
      <c r="X42" s="34">
        <f t="shared" si="3"/>
        <v>0</v>
      </c>
    </row>
    <row r="43" spans="1:24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404</v>
      </c>
      <c r="K43" s="35" t="s">
        <v>903</v>
      </c>
      <c r="L43" s="35">
        <v>13</v>
      </c>
      <c r="M43" s="36" t="s">
        <v>406</v>
      </c>
      <c r="O43" s="34" t="s">
        <v>1129</v>
      </c>
      <c r="Q43" s="38" t="s">
        <v>748</v>
      </c>
      <c r="S43" s="37">
        <f t="shared" si="2"/>
        <v>1000000</v>
      </c>
      <c r="T43" s="39">
        <v>1000</v>
      </c>
      <c r="V43" s="35">
        <v>1</v>
      </c>
      <c r="X43" s="34">
        <f t="shared" si="3"/>
        <v>0</v>
      </c>
    </row>
    <row r="44" spans="1:24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492</v>
      </c>
      <c r="K44" s="35" t="s">
        <v>904</v>
      </c>
      <c r="L44" s="35">
        <v>14</v>
      </c>
      <c r="M44" s="36" t="s">
        <v>406</v>
      </c>
      <c r="O44" s="34" t="s">
        <v>1130</v>
      </c>
      <c r="Q44" s="38" t="s">
        <v>749</v>
      </c>
      <c r="S44" s="37">
        <f t="shared" si="2"/>
        <v>10000</v>
      </c>
      <c r="T44" s="39">
        <v>10</v>
      </c>
      <c r="V44" s="35">
        <v>1</v>
      </c>
      <c r="X44" s="34">
        <f t="shared" si="3"/>
        <v>0</v>
      </c>
    </row>
    <row r="45" spans="1:24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493</v>
      </c>
      <c r="K45" s="35" t="s">
        <v>905</v>
      </c>
      <c r="L45" s="35">
        <v>15</v>
      </c>
      <c r="M45" s="36" t="s">
        <v>406</v>
      </c>
      <c r="O45" s="34" t="s">
        <v>1131</v>
      </c>
      <c r="Q45" s="38" t="s">
        <v>750</v>
      </c>
      <c r="S45" s="37">
        <f t="shared" si="2"/>
        <v>100000</v>
      </c>
      <c r="T45" s="39">
        <v>100</v>
      </c>
      <c r="V45" s="35">
        <v>1</v>
      </c>
      <c r="X45" s="34">
        <f t="shared" si="3"/>
        <v>0</v>
      </c>
    </row>
    <row r="46" spans="1:24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494</v>
      </c>
      <c r="K46" s="35" t="s">
        <v>906</v>
      </c>
      <c r="L46" s="35">
        <v>16</v>
      </c>
      <c r="M46" s="36" t="s">
        <v>406</v>
      </c>
      <c r="O46" s="34" t="s">
        <v>1132</v>
      </c>
      <c r="Q46" s="38" t="s">
        <v>751</v>
      </c>
      <c r="S46" s="37">
        <f t="shared" si="2"/>
        <v>1000000</v>
      </c>
      <c r="T46" s="39">
        <v>1000</v>
      </c>
      <c r="V46" s="35">
        <v>1</v>
      </c>
      <c r="X46" s="34">
        <f t="shared" si="3"/>
        <v>0</v>
      </c>
    </row>
    <row r="47" spans="1:24" x14ac:dyDescent="0.15">
      <c r="A47" s="34">
        <f t="shared" ref="A47:A49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495</v>
      </c>
      <c r="K47" s="35" t="s">
        <v>907</v>
      </c>
      <c r="L47" s="35">
        <v>17</v>
      </c>
      <c r="M47" s="36" t="s">
        <v>406</v>
      </c>
      <c r="O47" s="34" t="s">
        <v>1133</v>
      </c>
      <c r="Q47" s="38" t="s">
        <v>752</v>
      </c>
      <c r="S47" s="37">
        <f t="shared" si="2"/>
        <v>10000</v>
      </c>
      <c r="T47" s="39">
        <v>10</v>
      </c>
      <c r="V47" s="35">
        <v>1</v>
      </c>
      <c r="X47" s="34">
        <f t="shared" si="3"/>
        <v>0</v>
      </c>
    </row>
    <row r="48" spans="1:24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496</v>
      </c>
      <c r="K48" s="35" t="s">
        <v>908</v>
      </c>
      <c r="L48" s="35">
        <v>18</v>
      </c>
      <c r="M48" s="36" t="s">
        <v>406</v>
      </c>
      <c r="O48" s="34" t="s">
        <v>1134</v>
      </c>
      <c r="Q48" s="38" t="s">
        <v>753</v>
      </c>
      <c r="S48" s="37">
        <f t="shared" si="2"/>
        <v>100000</v>
      </c>
      <c r="T48" s="39">
        <v>100</v>
      </c>
      <c r="V48" s="35">
        <v>1</v>
      </c>
      <c r="X48" s="34">
        <f t="shared" si="3"/>
        <v>0</v>
      </c>
    </row>
    <row r="49" spans="1:28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497</v>
      </c>
      <c r="K49" s="35" t="s">
        <v>909</v>
      </c>
      <c r="L49" s="35">
        <v>19</v>
      </c>
      <c r="M49" s="36" t="s">
        <v>406</v>
      </c>
      <c r="O49" s="34" t="s">
        <v>1135</v>
      </c>
      <c r="Q49" s="38" t="s">
        <v>754</v>
      </c>
      <c r="S49" s="37">
        <f t="shared" si="2"/>
        <v>1000000</v>
      </c>
      <c r="T49" s="39">
        <v>1000</v>
      </c>
      <c r="V49" s="35">
        <v>1</v>
      </c>
      <c r="X49" s="34">
        <f t="shared" si="3"/>
        <v>0</v>
      </c>
    </row>
    <row r="50" spans="1:28" x14ac:dyDescent="0.15">
      <c r="A50" s="34">
        <f t="shared" si="4"/>
        <v>211010601</v>
      </c>
      <c r="B50" s="36">
        <v>21</v>
      </c>
      <c r="C50" s="116">
        <v>1</v>
      </c>
      <c r="D50" s="120">
        <v>1</v>
      </c>
      <c r="E50" s="36">
        <v>6</v>
      </c>
      <c r="F50" s="39">
        <f t="shared" si="7"/>
        <v>1</v>
      </c>
      <c r="G50" s="72"/>
      <c r="H50" s="62">
        <v>1</v>
      </c>
      <c r="J50" s="35" t="s">
        <v>387</v>
      </c>
      <c r="K50" s="35" t="s">
        <v>910</v>
      </c>
      <c r="L50" s="35">
        <v>10</v>
      </c>
      <c r="M50" s="36" t="s">
        <v>408</v>
      </c>
      <c r="O50" s="34" t="s">
        <v>796</v>
      </c>
      <c r="Q50" s="38" t="s">
        <v>755</v>
      </c>
      <c r="S50" s="37">
        <f t="shared" si="2"/>
        <v>20</v>
      </c>
      <c r="T50" s="39">
        <v>0.02</v>
      </c>
      <c r="V50" s="35">
        <v>1</v>
      </c>
      <c r="X50" s="34">
        <f t="shared" si="3"/>
        <v>1</v>
      </c>
      <c r="AA50" s="149">
        <v>100</v>
      </c>
    </row>
    <row r="51" spans="1:28" x14ac:dyDescent="0.15">
      <c r="A51" s="34">
        <f t="shared" si="4"/>
        <v>211021101</v>
      </c>
      <c r="B51" s="36">
        <v>21</v>
      </c>
      <c r="C51" s="116">
        <v>1</v>
      </c>
      <c r="D51" s="121">
        <v>2</v>
      </c>
      <c r="E51" s="36">
        <v>11</v>
      </c>
      <c r="F51" s="39">
        <f t="shared" si="7"/>
        <v>1</v>
      </c>
      <c r="G51" s="72"/>
      <c r="H51" s="62">
        <v>1</v>
      </c>
      <c r="J51" s="35" t="s">
        <v>389</v>
      </c>
      <c r="K51" s="35" t="s">
        <v>837</v>
      </c>
      <c r="L51" s="35">
        <v>11</v>
      </c>
      <c r="M51" s="36" t="s">
        <v>408</v>
      </c>
      <c r="O51" s="34" t="s">
        <v>797</v>
      </c>
      <c r="Q51" s="38" t="s">
        <v>890</v>
      </c>
      <c r="S51" s="37">
        <f t="shared" si="2"/>
        <v>10</v>
      </c>
      <c r="T51" s="151">
        <v>0.01</v>
      </c>
      <c r="V51" s="35">
        <v>1</v>
      </c>
      <c r="X51" s="34">
        <f t="shared" si="3"/>
        <v>0</v>
      </c>
      <c r="Z51" s="149">
        <v>10</v>
      </c>
      <c r="AA51" s="149">
        <v>-10</v>
      </c>
      <c r="AB51" s="149">
        <v>-10</v>
      </c>
    </row>
    <row r="52" spans="1:28" x14ac:dyDescent="0.15">
      <c r="A52" s="34">
        <f t="shared" si="4"/>
        <v>211010401</v>
      </c>
      <c r="B52" s="36">
        <v>21</v>
      </c>
      <c r="C52" s="116">
        <v>1</v>
      </c>
      <c r="D52" s="120">
        <v>1</v>
      </c>
      <c r="E52" s="36">
        <v>4</v>
      </c>
      <c r="F52" s="39">
        <f t="shared" si="7"/>
        <v>1</v>
      </c>
      <c r="G52" s="72"/>
      <c r="H52" s="62">
        <v>1</v>
      </c>
      <c r="J52" s="35" t="s">
        <v>388</v>
      </c>
      <c r="K52" s="35" t="s">
        <v>838</v>
      </c>
      <c r="L52" s="35">
        <v>12</v>
      </c>
      <c r="M52" s="36" t="s">
        <v>407</v>
      </c>
      <c r="O52" s="34" t="s">
        <v>798</v>
      </c>
      <c r="Q52" s="38" t="s">
        <v>756</v>
      </c>
      <c r="S52" s="37">
        <f t="shared" si="2"/>
        <v>200</v>
      </c>
      <c r="T52" s="39">
        <v>0.2</v>
      </c>
      <c r="V52" s="35">
        <v>1</v>
      </c>
      <c r="X52" s="34">
        <f t="shared" si="3"/>
        <v>1</v>
      </c>
      <c r="Z52" s="149">
        <v>50</v>
      </c>
      <c r="AB52" s="149">
        <v>10</v>
      </c>
    </row>
    <row r="53" spans="1:28" x14ac:dyDescent="0.15">
      <c r="A53" s="34">
        <f t="shared" si="4"/>
        <v>211020701</v>
      </c>
      <c r="B53" s="36">
        <v>21</v>
      </c>
      <c r="C53" s="116">
        <v>1</v>
      </c>
      <c r="D53" s="121">
        <v>2</v>
      </c>
      <c r="E53" s="36">
        <v>7</v>
      </c>
      <c r="F53" s="39">
        <f t="shared" si="7"/>
        <v>1</v>
      </c>
      <c r="G53" s="72"/>
      <c r="H53" s="38">
        <v>1</v>
      </c>
      <c r="J53" s="35" t="s">
        <v>391</v>
      </c>
      <c r="K53" s="35" t="s">
        <v>839</v>
      </c>
      <c r="L53" s="35">
        <v>13</v>
      </c>
      <c r="M53" s="36" t="s">
        <v>407</v>
      </c>
      <c r="O53" s="34" t="s">
        <v>799</v>
      </c>
      <c r="Q53" s="38" t="s">
        <v>757</v>
      </c>
      <c r="S53" s="37">
        <f t="shared" si="2"/>
        <v>200</v>
      </c>
      <c r="T53" s="151">
        <v>0.2</v>
      </c>
      <c r="V53" s="35">
        <v>1</v>
      </c>
      <c r="X53" s="34">
        <f t="shared" si="3"/>
        <v>0</v>
      </c>
    </row>
    <row r="54" spans="1:28" x14ac:dyDescent="0.15">
      <c r="A54" s="34">
        <f t="shared" si="4"/>
        <v>211020901</v>
      </c>
      <c r="B54" s="36">
        <v>21</v>
      </c>
      <c r="C54" s="116">
        <v>1</v>
      </c>
      <c r="D54" s="121">
        <v>2</v>
      </c>
      <c r="E54" s="36">
        <v>9</v>
      </c>
      <c r="F54" s="39">
        <f t="shared" si="7"/>
        <v>1</v>
      </c>
      <c r="G54" s="72"/>
      <c r="H54" s="62">
        <v>1</v>
      </c>
      <c r="J54" s="35" t="s">
        <v>393</v>
      </c>
      <c r="K54" s="35" t="s">
        <v>840</v>
      </c>
      <c r="L54" s="35">
        <v>14</v>
      </c>
      <c r="M54" s="36" t="s">
        <v>407</v>
      </c>
      <c r="O54" s="34" t="s">
        <v>800</v>
      </c>
      <c r="Q54" s="38" t="s">
        <v>758</v>
      </c>
      <c r="S54" s="37">
        <f t="shared" si="2"/>
        <v>200</v>
      </c>
      <c r="T54" s="39">
        <v>0.2</v>
      </c>
      <c r="V54" s="35">
        <v>1</v>
      </c>
      <c r="X54" s="34">
        <f t="shared" si="3"/>
        <v>0</v>
      </c>
    </row>
    <row r="55" spans="1:28" x14ac:dyDescent="0.15">
      <c r="A55" s="34">
        <f t="shared" si="4"/>
        <v>211020301</v>
      </c>
      <c r="B55" s="36">
        <v>21</v>
      </c>
      <c r="C55" s="116">
        <v>1</v>
      </c>
      <c r="D55" s="121">
        <v>2</v>
      </c>
      <c r="E55" s="36">
        <v>3</v>
      </c>
      <c r="F55" s="39">
        <f t="shared" si="7"/>
        <v>1</v>
      </c>
      <c r="G55" s="72"/>
      <c r="H55" s="62">
        <v>1</v>
      </c>
      <c r="J55" s="35" t="s">
        <v>394</v>
      </c>
      <c r="K55" s="35" t="s">
        <v>841</v>
      </c>
      <c r="L55" s="35">
        <v>15</v>
      </c>
      <c r="M55" s="36" t="s">
        <v>407</v>
      </c>
      <c r="O55" s="34" t="s">
        <v>801</v>
      </c>
      <c r="Q55" s="38" t="s">
        <v>759</v>
      </c>
      <c r="S55" s="37">
        <f t="shared" si="2"/>
        <v>200</v>
      </c>
      <c r="T55" s="151">
        <v>0.2</v>
      </c>
      <c r="V55" s="35">
        <v>1</v>
      </c>
      <c r="X55" s="34">
        <f t="shared" si="3"/>
        <v>0</v>
      </c>
    </row>
    <row r="56" spans="1:28" x14ac:dyDescent="0.15">
      <c r="A56" s="34">
        <f t="shared" si="4"/>
        <v>211020501</v>
      </c>
      <c r="B56" s="36">
        <v>21</v>
      </c>
      <c r="C56" s="116">
        <v>1</v>
      </c>
      <c r="D56" s="121">
        <v>2</v>
      </c>
      <c r="E56" s="36">
        <v>5</v>
      </c>
      <c r="F56" s="39">
        <f t="shared" si="7"/>
        <v>1</v>
      </c>
      <c r="G56" s="72"/>
      <c r="H56" s="62">
        <v>1</v>
      </c>
      <c r="J56" s="35" t="s">
        <v>425</v>
      </c>
      <c r="K56" s="35" t="s">
        <v>842</v>
      </c>
      <c r="L56" s="35">
        <v>16</v>
      </c>
      <c r="M56" s="36" t="s">
        <v>407</v>
      </c>
      <c r="O56" s="34" t="s">
        <v>802</v>
      </c>
      <c r="Q56" s="38" t="s">
        <v>760</v>
      </c>
      <c r="S56" s="37">
        <f t="shared" si="2"/>
        <v>200</v>
      </c>
      <c r="T56" s="39">
        <v>0.2</v>
      </c>
      <c r="V56" s="35">
        <v>1</v>
      </c>
      <c r="X56" s="34">
        <f t="shared" si="3"/>
        <v>0</v>
      </c>
    </row>
    <row r="57" spans="1:28" x14ac:dyDescent="0.15">
      <c r="G57" s="72"/>
    </row>
    <row r="58" spans="1:28" x14ac:dyDescent="0.15">
      <c r="G58" s="72"/>
    </row>
    <row r="59" spans="1:28" x14ac:dyDescent="0.15">
      <c r="G59" s="72"/>
    </row>
    <row r="60" spans="1:28" x14ac:dyDescent="0.15">
      <c r="G60" s="72"/>
    </row>
    <row r="61" spans="1:28" x14ac:dyDescent="0.15">
      <c r="G61" s="72"/>
    </row>
    <row r="62" spans="1:28" x14ac:dyDescent="0.15">
      <c r="G62" s="72"/>
    </row>
    <row r="63" spans="1:28" x14ac:dyDescent="0.15">
      <c r="G63" s="72"/>
    </row>
    <row r="64" spans="1:28" x14ac:dyDescent="0.15">
      <c r="G64" s="72"/>
    </row>
    <row r="65" spans="7:7" ht="17.25" thickBot="1" x14ac:dyDescent="0.2">
      <c r="G65" s="72"/>
    </row>
    <row r="66" spans="7:7" x14ac:dyDescent="0.15">
      <c r="G66" s="71"/>
    </row>
    <row r="67" spans="7:7" x14ac:dyDescent="0.15">
      <c r="G67" s="72"/>
    </row>
    <row r="68" spans="7:7" x14ac:dyDescent="0.15">
      <c r="G68" s="72"/>
    </row>
    <row r="69" spans="7:7" x14ac:dyDescent="0.15">
      <c r="G69" s="72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ht="17.25" thickBot="1" x14ac:dyDescent="0.2">
      <c r="G85" s="72"/>
    </row>
    <row r="86" spans="7:7" x14ac:dyDescent="0.15">
      <c r="G86" s="71"/>
    </row>
    <row r="87" spans="7:7" x14ac:dyDescent="0.15">
      <c r="G87" s="72"/>
    </row>
    <row r="88" spans="7:7" x14ac:dyDescent="0.15">
      <c r="G88" s="72"/>
    </row>
    <row r="89" spans="7:7" x14ac:dyDescent="0.15">
      <c r="G89" s="72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ht="17.25" thickBot="1" x14ac:dyDescent="0.2">
      <c r="G105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575</v>
      </c>
      <c r="B3" s="38" t="s">
        <v>806</v>
      </c>
      <c r="C3" s="62" t="s">
        <v>807</v>
      </c>
      <c r="D3" s="62" t="s">
        <v>808</v>
      </c>
      <c r="E3" s="62" t="s">
        <v>809</v>
      </c>
      <c r="F3" s="35" t="s">
        <v>810</v>
      </c>
      <c r="G3" s="35" t="s">
        <v>811</v>
      </c>
      <c r="H3" s="35" t="s">
        <v>812</v>
      </c>
      <c r="I3" s="62" t="s">
        <v>813</v>
      </c>
      <c r="J3" s="35" t="s">
        <v>814</v>
      </c>
      <c r="K3" s="35" t="s">
        <v>815</v>
      </c>
      <c r="L3" s="35" t="s">
        <v>816</v>
      </c>
      <c r="M3" s="35" t="s">
        <v>817</v>
      </c>
      <c r="N3" s="35" t="s">
        <v>818</v>
      </c>
      <c r="O3" s="35" t="s">
        <v>819</v>
      </c>
      <c r="P3" s="35" t="s">
        <v>820</v>
      </c>
      <c r="Q3" s="35" t="s">
        <v>821</v>
      </c>
      <c r="R3" s="35" t="s">
        <v>822</v>
      </c>
      <c r="S3" s="35" t="s">
        <v>823</v>
      </c>
      <c r="T3" s="35" t="s">
        <v>824</v>
      </c>
      <c r="U3" s="35" t="s">
        <v>825</v>
      </c>
      <c r="V3" s="35" t="s">
        <v>826</v>
      </c>
      <c r="W3" s="35" t="s">
        <v>827</v>
      </c>
      <c r="X3" s="35" t="s">
        <v>828</v>
      </c>
      <c r="Y3" s="35" t="s">
        <v>829</v>
      </c>
      <c r="Z3" s="35" t="s">
        <v>830</v>
      </c>
      <c r="AA3" s="35" t="s">
        <v>831</v>
      </c>
      <c r="AB3" s="35" t="s">
        <v>832</v>
      </c>
      <c r="AC3" s="35" t="s">
        <v>833</v>
      </c>
      <c r="AD3" s="35" t="s">
        <v>834</v>
      </c>
      <c r="AE3" s="35" t="s">
        <v>835</v>
      </c>
      <c r="AF3" s="35" t="s">
        <v>895</v>
      </c>
      <c r="AG3" s="35" t="s">
        <v>896</v>
      </c>
      <c r="AH3" s="35" t="s">
        <v>897</v>
      </c>
      <c r="AI3" s="35" t="s">
        <v>898</v>
      </c>
      <c r="AJ3" s="35" t="s">
        <v>899</v>
      </c>
      <c r="AK3" s="35" t="s">
        <v>900</v>
      </c>
      <c r="AL3" s="35" t="s">
        <v>901</v>
      </c>
      <c r="AM3" s="35" t="s">
        <v>902</v>
      </c>
      <c r="AN3" s="35" t="s">
        <v>903</v>
      </c>
      <c r="AO3" s="35" t="s">
        <v>904</v>
      </c>
      <c r="AP3" s="35" t="s">
        <v>905</v>
      </c>
      <c r="AQ3" s="35" t="s">
        <v>906</v>
      </c>
      <c r="AR3" s="35" t="s">
        <v>907</v>
      </c>
      <c r="AS3" s="35" t="s">
        <v>908</v>
      </c>
      <c r="AT3" s="35" t="s">
        <v>909</v>
      </c>
      <c r="AU3" s="35" t="s">
        <v>836</v>
      </c>
      <c r="AV3" s="35" t="s">
        <v>837</v>
      </c>
      <c r="AW3" s="35" t="s">
        <v>838</v>
      </c>
      <c r="AX3" s="35" t="s">
        <v>839</v>
      </c>
      <c r="AY3" s="35" t="s">
        <v>840</v>
      </c>
      <c r="AZ3" s="35" t="s">
        <v>841</v>
      </c>
      <c r="BA3" s="35" t="s">
        <v>842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666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666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776</v>
      </c>
      <c r="B1" s="94" t="s">
        <v>777</v>
      </c>
      <c r="C1" s="142" t="s">
        <v>777</v>
      </c>
      <c r="D1" s="94" t="s">
        <v>777</v>
      </c>
      <c r="E1" s="142" t="s">
        <v>777</v>
      </c>
      <c r="F1" s="94" t="s">
        <v>777</v>
      </c>
    </row>
    <row r="2" spans="1:6" x14ac:dyDescent="0.15">
      <c r="A2" s="101" t="s">
        <v>778</v>
      </c>
      <c r="B2" s="94" t="s">
        <v>778</v>
      </c>
      <c r="C2" s="142" t="s">
        <v>778</v>
      </c>
      <c r="D2" s="94" t="s">
        <v>778</v>
      </c>
      <c r="E2" s="142" t="s">
        <v>778</v>
      </c>
      <c r="F2" s="94" t="s">
        <v>778</v>
      </c>
    </row>
    <row r="3" spans="1:6" x14ac:dyDescent="0.15">
      <c r="A3" s="101" t="s">
        <v>779</v>
      </c>
      <c r="B3" s="94" t="s">
        <v>772</v>
      </c>
      <c r="C3" s="142" t="s">
        <v>773</v>
      </c>
      <c r="D3" s="94" t="s">
        <v>770</v>
      </c>
      <c r="E3" s="142" t="s">
        <v>771</v>
      </c>
      <c r="F3" s="94" t="s">
        <v>769</v>
      </c>
    </row>
    <row r="4" spans="1:6" ht="22.5" customHeight="1" x14ac:dyDescent="0.15">
      <c r="A4" s="101" t="s">
        <v>775</v>
      </c>
      <c r="B4" s="94" t="s">
        <v>780</v>
      </c>
      <c r="C4" s="142" t="s">
        <v>781</v>
      </c>
      <c r="D4" s="94" t="s">
        <v>782</v>
      </c>
      <c r="E4" s="142" t="s">
        <v>774</v>
      </c>
      <c r="F4" s="94" t="s">
        <v>783</v>
      </c>
    </row>
    <row r="5" spans="1:6" x14ac:dyDescent="0.15">
      <c r="A5" s="101">
        <v>1</v>
      </c>
      <c r="B5" s="94">
        <v>50</v>
      </c>
      <c r="C5" s="142">
        <v>20</v>
      </c>
      <c r="D5" s="94">
        <v>620</v>
      </c>
      <c r="E5" s="142">
        <v>20</v>
      </c>
      <c r="F5" s="94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593</v>
      </c>
      <c r="J1" s="126" t="s">
        <v>623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804</v>
      </c>
      <c r="J2" s="126" t="s">
        <v>618</v>
      </c>
      <c r="L2" s="126" t="s">
        <v>618</v>
      </c>
      <c r="M2" s="126" t="s">
        <v>618</v>
      </c>
      <c r="O2" s="126" t="s">
        <v>618</v>
      </c>
      <c r="Q2" s="126" t="s">
        <v>618</v>
      </c>
      <c r="R2" s="126" t="s">
        <v>618</v>
      </c>
      <c r="S2" s="126" t="s">
        <v>618</v>
      </c>
      <c r="U2" s="126" t="s">
        <v>618</v>
      </c>
      <c r="V2" s="126" t="s">
        <v>618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879</v>
      </c>
      <c r="J3" s="126" t="s">
        <v>624</v>
      </c>
      <c r="L3" s="126" t="s">
        <v>625</v>
      </c>
      <c r="M3" s="126" t="s">
        <v>626</v>
      </c>
      <c r="O3" s="126" t="s">
        <v>627</v>
      </c>
      <c r="Q3" s="126" t="s">
        <v>628</v>
      </c>
      <c r="R3" s="126" t="s">
        <v>629</v>
      </c>
      <c r="S3" s="126" t="s">
        <v>630</v>
      </c>
      <c r="U3" s="126" t="s">
        <v>631</v>
      </c>
      <c r="V3" s="126" t="s">
        <v>632</v>
      </c>
    </row>
    <row r="4" spans="1:22" ht="55.5" customHeight="1" thickBot="1" x14ac:dyDescent="0.35">
      <c r="A4" s="88" t="s">
        <v>601</v>
      </c>
      <c r="B4" s="90" t="s">
        <v>599</v>
      </c>
      <c r="C4" s="106" t="s">
        <v>600</v>
      </c>
      <c r="D4" s="90"/>
      <c r="E4" s="90"/>
      <c r="F4" s="106" t="s">
        <v>622</v>
      </c>
      <c r="G4" s="132" t="s">
        <v>602</v>
      </c>
      <c r="H4" s="89"/>
      <c r="I4" s="90" t="s">
        <v>603</v>
      </c>
      <c r="J4" s="89" t="s">
        <v>604</v>
      </c>
      <c r="K4" s="132" t="s">
        <v>656</v>
      </c>
      <c r="L4" s="89" t="s">
        <v>657</v>
      </c>
      <c r="M4" s="89" t="s">
        <v>658</v>
      </c>
      <c r="N4" s="132" t="s">
        <v>646</v>
      </c>
      <c r="O4" s="89" t="s">
        <v>605</v>
      </c>
      <c r="P4" s="132" t="s">
        <v>650</v>
      </c>
      <c r="Q4" s="89" t="s">
        <v>621</v>
      </c>
      <c r="R4" s="89" t="s">
        <v>619</v>
      </c>
      <c r="S4" s="89" t="s">
        <v>620</v>
      </c>
      <c r="T4" s="132" t="s">
        <v>606</v>
      </c>
      <c r="U4" s="89" t="s">
        <v>619</v>
      </c>
      <c r="V4" s="89" t="s">
        <v>620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607</v>
      </c>
      <c r="H5" s="128"/>
      <c r="J5" s="128">
        <v>100</v>
      </c>
      <c r="K5" s="135"/>
      <c r="L5" s="128"/>
      <c r="M5" s="128"/>
      <c r="N5" s="137" t="s">
        <v>647</v>
      </c>
      <c r="O5" s="128">
        <v>50</v>
      </c>
      <c r="P5" s="137" t="s">
        <v>652</v>
      </c>
      <c r="Q5" s="128"/>
      <c r="R5" s="128">
        <v>2000</v>
      </c>
      <c r="S5" s="128">
        <v>200</v>
      </c>
      <c r="T5" s="135" t="s">
        <v>653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608</v>
      </c>
      <c r="I6" s="125" t="s">
        <v>633</v>
      </c>
      <c r="J6" s="126">
        <v>50</v>
      </c>
      <c r="N6" s="138" t="s">
        <v>648</v>
      </c>
      <c r="O6" s="126">
        <v>200</v>
      </c>
      <c r="P6" s="136" t="s">
        <v>651</v>
      </c>
      <c r="R6" s="126">
        <v>2000</v>
      </c>
      <c r="S6" s="126">
        <v>200</v>
      </c>
      <c r="T6" s="131" t="s">
        <v>655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609</v>
      </c>
      <c r="I7" s="125" t="s">
        <v>633</v>
      </c>
      <c r="J7" s="126">
        <v>30</v>
      </c>
      <c r="N7" s="138" t="s">
        <v>649</v>
      </c>
      <c r="O7" s="126">
        <v>200</v>
      </c>
      <c r="P7" s="136" t="s">
        <v>651</v>
      </c>
      <c r="R7" s="126">
        <v>2000</v>
      </c>
      <c r="S7" s="126">
        <v>200</v>
      </c>
      <c r="T7" s="131" t="s">
        <v>654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610</v>
      </c>
      <c r="H8" s="146" t="s">
        <v>880</v>
      </c>
      <c r="I8" s="125" t="s">
        <v>634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611</v>
      </c>
      <c r="H9" s="146" t="s">
        <v>881</v>
      </c>
      <c r="I9" s="125" t="s">
        <v>635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612</v>
      </c>
      <c r="J10" s="126">
        <v>50</v>
      </c>
      <c r="K10" s="136" t="s">
        <v>641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613</v>
      </c>
      <c r="J11" s="126">
        <v>50</v>
      </c>
      <c r="K11" s="136" t="s">
        <v>641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614</v>
      </c>
      <c r="I12" s="125" t="s">
        <v>636</v>
      </c>
      <c r="J12" s="126">
        <v>50</v>
      </c>
      <c r="K12" s="136" t="s">
        <v>642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615</v>
      </c>
      <c r="I13" s="125" t="s">
        <v>637</v>
      </c>
      <c r="J13" s="126">
        <v>50</v>
      </c>
      <c r="K13" s="136" t="s">
        <v>1145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616</v>
      </c>
      <c r="I14" s="125" t="s">
        <v>638</v>
      </c>
      <c r="J14" s="126">
        <v>50</v>
      </c>
      <c r="K14" s="136" t="s">
        <v>1146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617</v>
      </c>
      <c r="I15" s="125" t="s">
        <v>640</v>
      </c>
      <c r="J15" s="126">
        <v>50</v>
      </c>
      <c r="K15" s="136" t="s">
        <v>645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639</v>
      </c>
      <c r="I16" s="125" t="s">
        <v>640</v>
      </c>
      <c r="J16" s="126">
        <v>50</v>
      </c>
      <c r="K16" s="136" t="s">
        <v>644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1282</v>
      </c>
      <c r="B1" s="13"/>
      <c r="C1" s="12"/>
      <c r="D1" s="13"/>
      <c r="E1" s="13"/>
      <c r="F1" s="12"/>
      <c r="G1" s="56" t="s">
        <v>1283</v>
      </c>
      <c r="H1" s="56" t="s">
        <v>1283</v>
      </c>
      <c r="I1" s="56" t="s">
        <v>1283</v>
      </c>
      <c r="J1" s="56" t="s">
        <v>1283</v>
      </c>
      <c r="K1" s="56" t="s">
        <v>1283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1284</v>
      </c>
      <c r="B3" s="13"/>
      <c r="C3" s="12"/>
      <c r="D3" s="13"/>
      <c r="E3" s="13"/>
      <c r="F3" s="12"/>
      <c r="G3" s="56" t="s">
        <v>1285</v>
      </c>
      <c r="H3" s="56" t="s">
        <v>1286</v>
      </c>
      <c r="I3" s="56" t="s">
        <v>1287</v>
      </c>
      <c r="J3" s="56" t="s">
        <v>1288</v>
      </c>
      <c r="K3" s="56" t="s">
        <v>1289</v>
      </c>
      <c r="L3" s="10"/>
      <c r="M3" s="10"/>
    </row>
    <row r="4" spans="1:23" s="187" customFormat="1" ht="57.75" customHeight="1" thickBot="1" x14ac:dyDescent="0.2">
      <c r="A4" s="97" t="s">
        <v>1290</v>
      </c>
      <c r="B4" s="109" t="s">
        <v>1291</v>
      </c>
      <c r="C4" s="110"/>
      <c r="D4" s="109"/>
      <c r="E4" s="109"/>
      <c r="F4" s="110"/>
      <c r="G4" s="92" t="s">
        <v>1292</v>
      </c>
      <c r="H4" s="92" t="s">
        <v>1293</v>
      </c>
      <c r="I4" s="92" t="s">
        <v>1294</v>
      </c>
      <c r="J4" s="92" t="s">
        <v>1295</v>
      </c>
      <c r="K4" s="92" t="s">
        <v>1296</v>
      </c>
      <c r="L4" s="93" t="s">
        <v>1297</v>
      </c>
      <c r="M4" s="93" t="s">
        <v>1298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zoomScaleNormal="100" workbookViewId="0">
      <pane xSplit="7" ySplit="4" topLeftCell="H44" activePane="bottomRight" state="frozen"/>
      <selection pane="topRight" activeCell="H1" sqref="H1"/>
      <selection pane="bottomLeft" activeCell="A5" sqref="A5"/>
      <selection pane="bottomRight" activeCell="H56" sqref="H5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0" width="21.125" style="56" customWidth="1"/>
    <col min="41" max="41" width="15.25" style="171" customWidth="1"/>
    <col min="42" max="47" width="23.5" style="56" customWidth="1"/>
    <col min="48" max="48" width="33" style="56" customWidth="1"/>
    <col min="49" max="49" width="12.875" style="171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1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6" customWidth="1"/>
    <col min="67" max="67" width="17.5" style="144" customWidth="1"/>
    <col min="68" max="86" width="18.5" style="94" customWidth="1"/>
    <col min="87" max="87" width="17.875" style="7" customWidth="1"/>
    <col min="88" max="102" width="17.25" style="94" customWidth="1"/>
    <col min="103" max="103" width="20.125" style="7" customWidth="1"/>
    <col min="104" max="110" width="11.75" style="94" customWidth="1"/>
    <col min="111" max="16384" width="9" style="94"/>
  </cols>
  <sheetData>
    <row r="1" spans="1:110" s="96" customFormat="1" x14ac:dyDescent="0.15">
      <c r="A1" s="11" t="s">
        <v>569</v>
      </c>
      <c r="B1" s="13"/>
      <c r="C1" s="12"/>
      <c r="D1" s="13"/>
      <c r="E1" s="13"/>
      <c r="F1" s="12"/>
      <c r="G1" s="56" t="s">
        <v>805</v>
      </c>
      <c r="H1" s="56" t="s">
        <v>593</v>
      </c>
      <c r="I1" s="56" t="s">
        <v>805</v>
      </c>
      <c r="J1" s="56" t="s">
        <v>593</v>
      </c>
      <c r="K1" s="56" t="s">
        <v>593</v>
      </c>
      <c r="L1" s="164" t="s">
        <v>805</v>
      </c>
      <c r="M1" s="10"/>
      <c r="N1" s="56" t="s">
        <v>805</v>
      </c>
      <c r="O1" s="56" t="s">
        <v>805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1086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593</v>
      </c>
      <c r="AJ1" s="56" t="s">
        <v>593</v>
      </c>
      <c r="AK1" s="56" t="s">
        <v>593</v>
      </c>
      <c r="AL1" s="56" t="s">
        <v>593</v>
      </c>
      <c r="AM1" s="56" t="s">
        <v>593</v>
      </c>
      <c r="AN1" s="56" t="s">
        <v>593</v>
      </c>
      <c r="AO1" s="171"/>
      <c r="AP1" s="56" t="s">
        <v>593</v>
      </c>
      <c r="AQ1" s="56" t="s">
        <v>593</v>
      </c>
      <c r="AR1" s="56" t="s">
        <v>593</v>
      </c>
      <c r="AS1" s="56" t="s">
        <v>593</v>
      </c>
      <c r="AT1" s="56" t="s">
        <v>593</v>
      </c>
      <c r="AU1" s="56" t="s">
        <v>593</v>
      </c>
      <c r="AV1" s="56" t="s">
        <v>593</v>
      </c>
      <c r="AW1" s="171"/>
      <c r="AX1" s="56" t="s">
        <v>593</v>
      </c>
      <c r="AY1" s="56" t="s">
        <v>593</v>
      </c>
      <c r="AZ1" s="56" t="s">
        <v>1156</v>
      </c>
      <c r="BA1" s="171"/>
      <c r="BB1" s="56" t="s">
        <v>593</v>
      </c>
      <c r="BC1" s="10"/>
      <c r="BD1" s="56" t="s">
        <v>593</v>
      </c>
      <c r="BE1" s="56" t="s">
        <v>593</v>
      </c>
      <c r="BF1" s="56" t="s">
        <v>593</v>
      </c>
      <c r="BG1" s="56" t="s">
        <v>593</v>
      </c>
      <c r="BH1" s="56" t="s">
        <v>593</v>
      </c>
      <c r="BI1" s="56" t="s">
        <v>593</v>
      </c>
      <c r="BJ1" s="56" t="s">
        <v>593</v>
      </c>
      <c r="BK1" s="56" t="s">
        <v>593</v>
      </c>
      <c r="BL1" s="56" t="s">
        <v>593</v>
      </c>
      <c r="BM1" s="56" t="s">
        <v>593</v>
      </c>
      <c r="BN1" s="56" t="s">
        <v>593</v>
      </c>
      <c r="BO1" s="10"/>
      <c r="BP1" s="56" t="s">
        <v>593</v>
      </c>
      <c r="BQ1" s="56" t="s">
        <v>593</v>
      </c>
      <c r="BR1" s="56" t="s">
        <v>593</v>
      </c>
      <c r="BS1" s="56" t="s">
        <v>593</v>
      </c>
      <c r="BT1" s="56" t="s">
        <v>593</v>
      </c>
      <c r="BU1" s="56" t="s">
        <v>593</v>
      </c>
      <c r="BV1" s="56" t="s">
        <v>593</v>
      </c>
      <c r="BW1" s="56" t="s">
        <v>593</v>
      </c>
      <c r="BX1" s="56" t="s">
        <v>593</v>
      </c>
      <c r="BY1" s="56" t="s">
        <v>593</v>
      </c>
      <c r="BZ1" s="56" t="s">
        <v>593</v>
      </c>
      <c r="CA1" s="56" t="s">
        <v>593</v>
      </c>
      <c r="CB1" s="56" t="s">
        <v>593</v>
      </c>
      <c r="CC1" s="56" t="s">
        <v>593</v>
      </c>
      <c r="CD1" s="56" t="s">
        <v>593</v>
      </c>
      <c r="CE1" s="56" t="s">
        <v>593</v>
      </c>
      <c r="CF1" s="56" t="s">
        <v>593</v>
      </c>
      <c r="CG1" s="56" t="s">
        <v>593</v>
      </c>
      <c r="CH1" s="56" t="s">
        <v>593</v>
      </c>
      <c r="CI1" s="10"/>
      <c r="CJ1" s="56" t="s">
        <v>593</v>
      </c>
      <c r="CK1" s="56" t="s">
        <v>593</v>
      </c>
      <c r="CL1" s="56" t="s">
        <v>593</v>
      </c>
      <c r="CM1" s="56" t="s">
        <v>593</v>
      </c>
      <c r="CN1" s="56" t="s">
        <v>593</v>
      </c>
      <c r="CO1" s="56" t="s">
        <v>593</v>
      </c>
      <c r="CP1" s="56" t="s">
        <v>593</v>
      </c>
      <c r="CQ1" s="56" t="s">
        <v>593</v>
      </c>
      <c r="CR1" s="56" t="s">
        <v>593</v>
      </c>
      <c r="CS1" s="56" t="s">
        <v>593</v>
      </c>
      <c r="CT1" s="56" t="s">
        <v>593</v>
      </c>
      <c r="CU1" s="56" t="s">
        <v>593</v>
      </c>
      <c r="CV1" s="56" t="s">
        <v>593</v>
      </c>
      <c r="CW1" s="56" t="s">
        <v>593</v>
      </c>
      <c r="CX1" s="56" t="s">
        <v>593</v>
      </c>
      <c r="CY1" s="10"/>
      <c r="CZ1" s="56" t="s">
        <v>593</v>
      </c>
      <c r="DA1" s="56" t="s">
        <v>593</v>
      </c>
      <c r="DB1" s="56" t="s">
        <v>593</v>
      </c>
      <c r="DC1" s="56" t="s">
        <v>593</v>
      </c>
      <c r="DD1" s="56" t="s">
        <v>593</v>
      </c>
      <c r="DE1" s="56" t="s">
        <v>593</v>
      </c>
      <c r="DF1" s="56" t="s">
        <v>593</v>
      </c>
    </row>
    <row r="2" spans="1:110" s="96" customFormat="1" x14ac:dyDescent="0.15">
      <c r="A2" s="11" t="s">
        <v>61</v>
      </c>
      <c r="B2" s="13"/>
      <c r="C2" s="12"/>
      <c r="D2" s="13"/>
      <c r="E2" s="13"/>
      <c r="F2" s="12"/>
      <c r="G2" s="56" t="s">
        <v>804</v>
      </c>
      <c r="H2" s="56" t="s">
        <v>1061</v>
      </c>
      <c r="I2" s="56" t="s">
        <v>804</v>
      </c>
      <c r="J2" s="56" t="s">
        <v>484</v>
      </c>
      <c r="K2" s="56" t="s">
        <v>484</v>
      </c>
      <c r="L2" s="164" t="s">
        <v>843</v>
      </c>
      <c r="M2" s="10"/>
      <c r="N2" s="56" t="s">
        <v>804</v>
      </c>
      <c r="O2" s="56" t="s">
        <v>843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1085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1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1"/>
      <c r="AX2" s="56" t="s">
        <v>61</v>
      </c>
      <c r="AY2" s="56" t="s">
        <v>61</v>
      </c>
      <c r="AZ2" s="56" t="s">
        <v>1155</v>
      </c>
      <c r="BA2" s="171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6" customFormat="1" x14ac:dyDescent="0.15">
      <c r="A3" s="11" t="s">
        <v>575</v>
      </c>
      <c r="B3" s="13"/>
      <c r="C3" s="12"/>
      <c r="D3" s="13"/>
      <c r="E3" s="13"/>
      <c r="F3" s="12"/>
      <c r="G3" s="56" t="s">
        <v>852</v>
      </c>
      <c r="H3" s="56" t="s">
        <v>1060</v>
      </c>
      <c r="I3" s="56" t="s">
        <v>855</v>
      </c>
      <c r="J3" s="56" t="s">
        <v>1072</v>
      </c>
      <c r="K3" s="56" t="s">
        <v>1073</v>
      </c>
      <c r="L3" s="164" t="s">
        <v>872</v>
      </c>
      <c r="M3" s="10"/>
      <c r="N3" s="56" t="s">
        <v>845</v>
      </c>
      <c r="O3" s="56" t="s">
        <v>864</v>
      </c>
      <c r="P3" s="161"/>
      <c r="Q3" s="177"/>
      <c r="R3" s="167"/>
      <c r="S3" s="56" t="s">
        <v>1077</v>
      </c>
      <c r="T3" s="56"/>
      <c r="U3" s="56"/>
      <c r="V3" s="161"/>
      <c r="W3" s="177"/>
      <c r="X3" s="171"/>
      <c r="Y3" s="10"/>
      <c r="Z3" s="56" t="s">
        <v>1084</v>
      </c>
      <c r="AA3" s="56" t="s">
        <v>847</v>
      </c>
      <c r="AB3" s="56" t="s">
        <v>848</v>
      </c>
      <c r="AC3" s="56" t="s">
        <v>849</v>
      </c>
      <c r="AD3" s="56" t="s">
        <v>850</v>
      </c>
      <c r="AE3" s="173"/>
      <c r="AF3" s="56" t="s">
        <v>882</v>
      </c>
      <c r="AG3" s="56" t="s">
        <v>883</v>
      </c>
      <c r="AH3" s="171"/>
      <c r="AI3" s="38" t="s">
        <v>917</v>
      </c>
      <c r="AJ3" s="62" t="s">
        <v>918</v>
      </c>
      <c r="AK3" s="62" t="s">
        <v>919</v>
      </c>
      <c r="AL3" s="62" t="s">
        <v>923</v>
      </c>
      <c r="AM3" s="62" t="s">
        <v>924</v>
      </c>
      <c r="AN3" s="62" t="s">
        <v>932</v>
      </c>
      <c r="AO3" s="171"/>
      <c r="AP3" s="38" t="s">
        <v>937</v>
      </c>
      <c r="AQ3" s="62" t="s">
        <v>938</v>
      </c>
      <c r="AR3" s="62" t="s">
        <v>939</v>
      </c>
      <c r="AS3" s="62" t="s">
        <v>943</v>
      </c>
      <c r="AT3" s="62" t="s">
        <v>944</v>
      </c>
      <c r="AU3" s="62" t="s">
        <v>950</v>
      </c>
      <c r="AV3" s="62" t="s">
        <v>999</v>
      </c>
      <c r="AW3" s="171"/>
      <c r="AX3" s="38" t="s">
        <v>993</v>
      </c>
      <c r="AY3" s="62" t="s">
        <v>884</v>
      </c>
      <c r="AZ3" s="62" t="s">
        <v>1151</v>
      </c>
      <c r="BA3" s="171"/>
      <c r="BB3" s="38" t="s">
        <v>861</v>
      </c>
      <c r="BC3" s="10"/>
      <c r="BD3" s="38" t="s">
        <v>806</v>
      </c>
      <c r="BE3" s="62" t="s">
        <v>807</v>
      </c>
      <c r="BF3" s="62" t="s">
        <v>808</v>
      </c>
      <c r="BG3" s="62" t="s">
        <v>809</v>
      </c>
      <c r="BH3" s="35" t="s">
        <v>810</v>
      </c>
      <c r="BI3" s="35" t="s">
        <v>811</v>
      </c>
      <c r="BJ3" s="35" t="s">
        <v>812</v>
      </c>
      <c r="BK3" s="62" t="s">
        <v>813</v>
      </c>
      <c r="BL3" s="35" t="s">
        <v>814</v>
      </c>
      <c r="BM3" s="35" t="s">
        <v>815</v>
      </c>
      <c r="BN3" s="35" t="s">
        <v>816</v>
      </c>
      <c r="BO3" s="36"/>
      <c r="BP3" s="35" t="s">
        <v>817</v>
      </c>
      <c r="BQ3" s="35" t="s">
        <v>818</v>
      </c>
      <c r="BR3" s="35" t="s">
        <v>819</v>
      </c>
      <c r="BS3" s="35" t="s">
        <v>820</v>
      </c>
      <c r="BT3" s="35" t="s">
        <v>821</v>
      </c>
      <c r="BU3" s="35" t="s">
        <v>822</v>
      </c>
      <c r="BV3" s="35" t="s">
        <v>823</v>
      </c>
      <c r="BW3" s="35" t="s">
        <v>824</v>
      </c>
      <c r="BX3" s="35" t="s">
        <v>825</v>
      </c>
      <c r="BY3" s="35" t="s">
        <v>826</v>
      </c>
      <c r="BZ3" s="35" t="s">
        <v>827</v>
      </c>
      <c r="CA3" s="35" t="s">
        <v>828</v>
      </c>
      <c r="CB3" s="35" t="s">
        <v>829</v>
      </c>
      <c r="CC3" s="35" t="s">
        <v>830</v>
      </c>
      <c r="CD3" s="35" t="s">
        <v>831</v>
      </c>
      <c r="CE3" s="35" t="s">
        <v>832</v>
      </c>
      <c r="CF3" s="35" t="s">
        <v>833</v>
      </c>
      <c r="CG3" s="35" t="s">
        <v>834</v>
      </c>
      <c r="CH3" s="35" t="s">
        <v>835</v>
      </c>
      <c r="CI3" s="36"/>
      <c r="CJ3" s="35" t="s">
        <v>895</v>
      </c>
      <c r="CK3" s="35" t="s">
        <v>896</v>
      </c>
      <c r="CL3" s="35" t="s">
        <v>897</v>
      </c>
      <c r="CM3" s="35" t="s">
        <v>898</v>
      </c>
      <c r="CN3" s="35" t="s">
        <v>899</v>
      </c>
      <c r="CO3" s="35" t="s">
        <v>900</v>
      </c>
      <c r="CP3" s="35" t="s">
        <v>901</v>
      </c>
      <c r="CQ3" s="35" t="s">
        <v>902</v>
      </c>
      <c r="CR3" s="35" t="s">
        <v>903</v>
      </c>
      <c r="CS3" s="35" t="s">
        <v>904</v>
      </c>
      <c r="CT3" s="35" t="s">
        <v>905</v>
      </c>
      <c r="CU3" s="35" t="s">
        <v>906</v>
      </c>
      <c r="CV3" s="35" t="s">
        <v>907</v>
      </c>
      <c r="CW3" s="35" t="s">
        <v>908</v>
      </c>
      <c r="CX3" s="35" t="s">
        <v>909</v>
      </c>
      <c r="CY3" s="36"/>
      <c r="CZ3" s="35" t="s">
        <v>836</v>
      </c>
      <c r="DA3" s="35" t="s">
        <v>837</v>
      </c>
      <c r="DB3" s="35" t="s">
        <v>838</v>
      </c>
      <c r="DC3" s="35" t="s">
        <v>839</v>
      </c>
      <c r="DD3" s="35" t="s">
        <v>840</v>
      </c>
      <c r="DE3" s="35" t="s">
        <v>841</v>
      </c>
      <c r="DF3" s="35" t="s">
        <v>842</v>
      </c>
    </row>
    <row r="4" spans="1:110" s="95" customFormat="1" ht="118.5" customHeight="1" thickBot="1" x14ac:dyDescent="0.2">
      <c r="A4" s="97" t="s">
        <v>575</v>
      </c>
      <c r="B4" s="109" t="s">
        <v>595</v>
      </c>
      <c r="C4" s="110"/>
      <c r="D4" s="109" t="s">
        <v>972</v>
      </c>
      <c r="E4" s="109" t="s">
        <v>973</v>
      </c>
      <c r="F4" s="110"/>
      <c r="G4" s="58" t="s">
        <v>853</v>
      </c>
      <c r="H4" s="58" t="s">
        <v>1062</v>
      </c>
      <c r="I4" s="58" t="s">
        <v>1158</v>
      </c>
      <c r="J4" s="58" t="s">
        <v>1159</v>
      </c>
      <c r="K4" s="58" t="s">
        <v>1160</v>
      </c>
      <c r="L4" s="165" t="s">
        <v>871</v>
      </c>
      <c r="M4" s="145" t="s">
        <v>854</v>
      </c>
      <c r="N4" s="92" t="s">
        <v>844</v>
      </c>
      <c r="O4" s="56" t="s">
        <v>1063</v>
      </c>
      <c r="P4" s="161" t="s">
        <v>1105</v>
      </c>
      <c r="Q4" s="177" t="s">
        <v>1078</v>
      </c>
      <c r="R4" s="167" t="s">
        <v>1081</v>
      </c>
      <c r="S4" s="56" t="s">
        <v>1082</v>
      </c>
      <c r="T4" s="56" t="s">
        <v>1099</v>
      </c>
      <c r="U4" s="56" t="s">
        <v>1100</v>
      </c>
      <c r="V4" s="161" t="s">
        <v>1096</v>
      </c>
      <c r="W4" s="177" t="s">
        <v>1079</v>
      </c>
      <c r="X4" s="171" t="s">
        <v>860</v>
      </c>
      <c r="Y4" s="10" t="s">
        <v>851</v>
      </c>
      <c r="Z4" s="56" t="s">
        <v>1083</v>
      </c>
      <c r="AA4" s="56" t="s">
        <v>974</v>
      </c>
      <c r="AB4" s="56" t="s">
        <v>975</v>
      </c>
      <c r="AC4" s="56" t="s">
        <v>976</v>
      </c>
      <c r="AD4" s="56" t="s">
        <v>977</v>
      </c>
      <c r="AE4" s="174" t="s">
        <v>1080</v>
      </c>
      <c r="AF4" s="56" t="s">
        <v>978</v>
      </c>
      <c r="AG4" s="56" t="s">
        <v>979</v>
      </c>
      <c r="AH4" s="176" t="s">
        <v>1064</v>
      </c>
      <c r="AI4" s="38" t="s">
        <v>980</v>
      </c>
      <c r="AJ4" s="62" t="s">
        <v>981</v>
      </c>
      <c r="AK4" s="62" t="s">
        <v>982</v>
      </c>
      <c r="AL4" s="62" t="s">
        <v>983</v>
      </c>
      <c r="AM4" s="62" t="s">
        <v>984</v>
      </c>
      <c r="AN4" s="62" t="s">
        <v>985</v>
      </c>
      <c r="AO4" s="171" t="s">
        <v>986</v>
      </c>
      <c r="AP4" s="38" t="s">
        <v>987</v>
      </c>
      <c r="AQ4" s="62" t="s">
        <v>988</v>
      </c>
      <c r="AR4" s="62" t="s">
        <v>989</v>
      </c>
      <c r="AS4" s="62" t="s">
        <v>990</v>
      </c>
      <c r="AT4" s="62" t="s">
        <v>991</v>
      </c>
      <c r="AU4" s="62" t="s">
        <v>992</v>
      </c>
      <c r="AV4" s="62" t="s">
        <v>1000</v>
      </c>
      <c r="AW4" s="171" t="s">
        <v>885</v>
      </c>
      <c r="AX4" s="38" t="s">
        <v>995</v>
      </c>
      <c r="AY4" s="62" t="s">
        <v>996</v>
      </c>
      <c r="AZ4" s="62" t="s">
        <v>1154</v>
      </c>
      <c r="BA4" s="171" t="s">
        <v>955</v>
      </c>
      <c r="BB4" s="38" t="s">
        <v>1001</v>
      </c>
      <c r="BC4" s="10" t="s">
        <v>1090</v>
      </c>
      <c r="BD4" s="38" t="s">
        <v>1002</v>
      </c>
      <c r="BE4" s="62" t="s">
        <v>1003</v>
      </c>
      <c r="BF4" s="62" t="s">
        <v>1004</v>
      </c>
      <c r="BG4" s="62" t="s">
        <v>1005</v>
      </c>
      <c r="BH4" s="35" t="s">
        <v>1006</v>
      </c>
      <c r="BI4" s="35" t="s">
        <v>1007</v>
      </c>
      <c r="BJ4" s="35" t="s">
        <v>1008</v>
      </c>
      <c r="BK4" s="62" t="s">
        <v>1009</v>
      </c>
      <c r="BL4" s="35" t="s">
        <v>1010</v>
      </c>
      <c r="BM4" s="35" t="s">
        <v>1011</v>
      </c>
      <c r="BN4" s="35" t="s">
        <v>1012</v>
      </c>
      <c r="BO4" s="36" t="s">
        <v>1089</v>
      </c>
      <c r="BP4" s="35" t="s">
        <v>1013</v>
      </c>
      <c r="BQ4" s="35" t="s">
        <v>1014</v>
      </c>
      <c r="BR4" s="35" t="s">
        <v>1015</v>
      </c>
      <c r="BS4" s="35" t="s">
        <v>1016</v>
      </c>
      <c r="BT4" s="35" t="s">
        <v>1017</v>
      </c>
      <c r="BU4" s="35" t="s">
        <v>1018</v>
      </c>
      <c r="BV4" s="35" t="s">
        <v>1019</v>
      </c>
      <c r="BW4" s="35" t="s">
        <v>1020</v>
      </c>
      <c r="BX4" s="35" t="s">
        <v>1021</v>
      </c>
      <c r="BY4" s="35" t="s">
        <v>1022</v>
      </c>
      <c r="BZ4" s="35" t="s">
        <v>1023</v>
      </c>
      <c r="CA4" s="35" t="s">
        <v>1024</v>
      </c>
      <c r="CB4" s="35" t="s">
        <v>1025</v>
      </c>
      <c r="CC4" s="35" t="s">
        <v>1026</v>
      </c>
      <c r="CD4" s="35" t="s">
        <v>1027</v>
      </c>
      <c r="CE4" s="35" t="s">
        <v>1028</v>
      </c>
      <c r="CF4" s="35" t="s">
        <v>1029</v>
      </c>
      <c r="CG4" s="35" t="s">
        <v>1030</v>
      </c>
      <c r="CH4" s="35" t="s">
        <v>1031</v>
      </c>
      <c r="CI4" s="36" t="s">
        <v>1088</v>
      </c>
      <c r="CJ4" s="35" t="s">
        <v>1032</v>
      </c>
      <c r="CK4" s="35" t="s">
        <v>1033</v>
      </c>
      <c r="CL4" s="35" t="s">
        <v>1034</v>
      </c>
      <c r="CM4" s="35" t="s">
        <v>1035</v>
      </c>
      <c r="CN4" s="35" t="s">
        <v>1036</v>
      </c>
      <c r="CO4" s="35" t="s">
        <v>1037</v>
      </c>
      <c r="CP4" s="35" t="s">
        <v>1038</v>
      </c>
      <c r="CQ4" s="35" t="s">
        <v>1039</v>
      </c>
      <c r="CR4" s="35" t="s">
        <v>1053</v>
      </c>
      <c r="CS4" s="35" t="s">
        <v>1052</v>
      </c>
      <c r="CT4" s="35" t="s">
        <v>1051</v>
      </c>
      <c r="CU4" s="35" t="s">
        <v>1050</v>
      </c>
      <c r="CV4" s="35" t="s">
        <v>1049</v>
      </c>
      <c r="CW4" s="35" t="s">
        <v>1048</v>
      </c>
      <c r="CX4" s="35" t="s">
        <v>1047</v>
      </c>
      <c r="CY4" s="36" t="s">
        <v>1087</v>
      </c>
      <c r="CZ4" s="35" t="s">
        <v>1046</v>
      </c>
      <c r="DA4" s="35" t="s">
        <v>1045</v>
      </c>
      <c r="DB4" s="35" t="s">
        <v>1044</v>
      </c>
      <c r="DC4" s="35" t="s">
        <v>1043</v>
      </c>
      <c r="DD4" s="35" t="s">
        <v>1042</v>
      </c>
      <c r="DE4" s="35" t="s">
        <v>1041</v>
      </c>
      <c r="DF4" s="35" t="s">
        <v>1040</v>
      </c>
    </row>
    <row r="5" spans="1:110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956</v>
      </c>
      <c r="H5" s="57">
        <v>1</v>
      </c>
      <c r="I5" s="57" t="s">
        <v>1157</v>
      </c>
      <c r="J5" s="57" t="s">
        <v>1174</v>
      </c>
      <c r="K5" s="57" t="s">
        <v>1188</v>
      </c>
      <c r="L5" s="166">
        <v>360</v>
      </c>
      <c r="M5" s="17" t="s">
        <v>1057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172"/>
      <c r="AP5" s="57"/>
      <c r="AQ5" s="57"/>
      <c r="AR5" s="57"/>
      <c r="AS5" s="57"/>
      <c r="AT5" s="57"/>
      <c r="AU5" s="57"/>
      <c r="AV5" s="57"/>
      <c r="AW5" s="172"/>
      <c r="AX5" s="57"/>
      <c r="AY5" s="57"/>
      <c r="AZ5" s="57"/>
      <c r="BA5" s="172"/>
      <c r="BB5" s="153">
        <v>200</v>
      </c>
      <c r="BC5" s="17"/>
      <c r="BD5" s="153">
        <v>110</v>
      </c>
      <c r="BE5" s="153">
        <v>110</v>
      </c>
      <c r="BF5" s="153">
        <v>110</v>
      </c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43"/>
      <c r="BP5" s="154">
        <v>110</v>
      </c>
      <c r="BQ5" s="154">
        <v>110</v>
      </c>
      <c r="BR5" s="154">
        <v>110</v>
      </c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43"/>
      <c r="CJ5" s="154">
        <v>120</v>
      </c>
      <c r="CK5" s="154">
        <v>120</v>
      </c>
      <c r="CL5" s="154">
        <v>120</v>
      </c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43"/>
      <c r="CZ5" s="154">
        <v>120</v>
      </c>
      <c r="DA5" s="154">
        <v>120</v>
      </c>
      <c r="DB5" s="154">
        <v>120</v>
      </c>
      <c r="DC5" s="154">
        <v>120</v>
      </c>
      <c r="DD5" s="154">
        <v>120</v>
      </c>
      <c r="DE5" s="154">
        <v>120</v>
      </c>
      <c r="DF5" s="154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856</v>
      </c>
      <c r="H6" s="56">
        <v>3</v>
      </c>
      <c r="I6" s="56" t="s">
        <v>1157</v>
      </c>
      <c r="J6" s="56" t="s">
        <v>1174</v>
      </c>
      <c r="L6" s="164">
        <v>360</v>
      </c>
      <c r="M6" s="10" t="s">
        <v>1058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B6" s="152">
        <v>300</v>
      </c>
      <c r="BD6" s="152">
        <v>120</v>
      </c>
      <c r="BE6" s="152">
        <v>120</v>
      </c>
      <c r="BF6" s="152">
        <v>120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P6" s="155">
        <v>120</v>
      </c>
      <c r="BQ6" s="155">
        <v>120</v>
      </c>
      <c r="BR6" s="155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J6" s="155">
        <v>140</v>
      </c>
      <c r="CK6" s="155">
        <v>140</v>
      </c>
      <c r="CL6" s="155">
        <v>140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Z6" s="155">
        <v>140</v>
      </c>
      <c r="DA6" s="155">
        <v>140</v>
      </c>
      <c r="DB6" s="155">
        <v>140</v>
      </c>
      <c r="DC6" s="155">
        <v>140</v>
      </c>
      <c r="DD6" s="155">
        <v>140</v>
      </c>
      <c r="DE6" s="155">
        <v>140</v>
      </c>
      <c r="DF6" s="155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857</v>
      </c>
      <c r="H7" s="56">
        <v>5</v>
      </c>
      <c r="I7" s="56" t="s">
        <v>1157</v>
      </c>
      <c r="J7" s="56" t="s">
        <v>1174</v>
      </c>
      <c r="L7" s="164">
        <v>360</v>
      </c>
      <c r="M7" s="156" t="s">
        <v>1059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B7" s="152">
        <v>400</v>
      </c>
      <c r="BD7" s="152">
        <v>130</v>
      </c>
      <c r="BE7" s="152">
        <v>130</v>
      </c>
      <c r="BF7" s="152">
        <v>130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P7" s="155">
        <v>130</v>
      </c>
      <c r="BQ7" s="155">
        <v>130</v>
      </c>
      <c r="BR7" s="155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J7" s="155">
        <v>160</v>
      </c>
      <c r="CK7" s="155">
        <v>160</v>
      </c>
      <c r="CL7" s="155">
        <v>160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Z7" s="155">
        <v>160</v>
      </c>
      <c r="DA7" s="155">
        <v>160</v>
      </c>
      <c r="DB7" s="155">
        <v>160</v>
      </c>
      <c r="DC7" s="155">
        <v>160</v>
      </c>
      <c r="DD7" s="155">
        <v>160</v>
      </c>
      <c r="DE7" s="155">
        <v>160</v>
      </c>
      <c r="DF7" s="155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957</v>
      </c>
      <c r="H8" s="56">
        <v>1</v>
      </c>
      <c r="I8" s="56" t="s">
        <v>1163</v>
      </c>
      <c r="J8" s="56" t="s">
        <v>1175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B8" s="152">
        <v>75</v>
      </c>
      <c r="BD8" s="152">
        <v>90</v>
      </c>
      <c r="BE8" s="152">
        <v>90</v>
      </c>
      <c r="BF8" s="152">
        <v>90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P8" s="155">
        <v>90</v>
      </c>
      <c r="BQ8" s="155">
        <v>90</v>
      </c>
      <c r="BR8" s="155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J8" s="155">
        <v>90</v>
      </c>
      <c r="CK8" s="155">
        <v>90</v>
      </c>
      <c r="CL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Z8" s="155">
        <v>90</v>
      </c>
      <c r="DA8" s="155">
        <v>90</v>
      </c>
      <c r="DB8" s="155">
        <v>90</v>
      </c>
      <c r="DC8" s="155">
        <v>90</v>
      </c>
      <c r="DD8" s="155">
        <v>90</v>
      </c>
      <c r="DE8" s="155">
        <v>90</v>
      </c>
      <c r="DF8" s="155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958</v>
      </c>
      <c r="H9" s="56">
        <v>3</v>
      </c>
      <c r="I9" s="56" t="s">
        <v>1161</v>
      </c>
      <c r="J9" s="56" t="s">
        <v>1175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B9" s="152">
        <v>60</v>
      </c>
      <c r="BD9" s="152">
        <v>80</v>
      </c>
      <c r="BE9" s="152">
        <v>80</v>
      </c>
      <c r="BF9" s="152">
        <v>80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P9" s="155">
        <v>80</v>
      </c>
      <c r="BQ9" s="155">
        <v>80</v>
      </c>
      <c r="BR9" s="155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J9" s="155">
        <v>80</v>
      </c>
      <c r="CK9" s="155">
        <v>80</v>
      </c>
      <c r="CL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Z9" s="155">
        <v>80</v>
      </c>
      <c r="DA9" s="155">
        <v>80</v>
      </c>
      <c r="DB9" s="155">
        <v>80</v>
      </c>
      <c r="DC9" s="155">
        <v>80</v>
      </c>
      <c r="DD9" s="155">
        <v>80</v>
      </c>
      <c r="DE9" s="155">
        <v>80</v>
      </c>
      <c r="DF9" s="155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959</v>
      </c>
      <c r="H10" s="56">
        <v>5</v>
      </c>
      <c r="I10" s="56" t="s">
        <v>1161</v>
      </c>
      <c r="J10" s="56" t="s">
        <v>1175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B10" s="152">
        <v>50</v>
      </c>
      <c r="BD10" s="152">
        <v>70</v>
      </c>
      <c r="BE10" s="152">
        <v>70</v>
      </c>
      <c r="BF10" s="152">
        <v>70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P10" s="155">
        <v>70</v>
      </c>
      <c r="BQ10" s="155">
        <v>70</v>
      </c>
      <c r="BR10" s="155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J10" s="155">
        <v>70</v>
      </c>
      <c r="CK10" s="155">
        <v>70</v>
      </c>
      <c r="CL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Z10" s="155">
        <v>70</v>
      </c>
      <c r="DA10" s="155">
        <v>70</v>
      </c>
      <c r="DB10" s="155">
        <v>70</v>
      </c>
      <c r="DC10" s="155">
        <v>70</v>
      </c>
      <c r="DD10" s="155">
        <v>70</v>
      </c>
      <c r="DE10" s="155">
        <v>70</v>
      </c>
      <c r="DF10" s="155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960</v>
      </c>
      <c r="H11" s="56">
        <v>1</v>
      </c>
      <c r="I11" s="56" t="s">
        <v>1162</v>
      </c>
      <c r="J11" s="56" t="s">
        <v>1176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B11" s="152">
        <v>200</v>
      </c>
      <c r="BD11" s="152">
        <v>110</v>
      </c>
      <c r="BE11" s="152">
        <v>110</v>
      </c>
      <c r="BF11" s="152">
        <v>110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P11" s="155">
        <v>110</v>
      </c>
      <c r="BQ11" s="155">
        <v>110</v>
      </c>
      <c r="BR11" s="155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J11" s="155">
        <v>120</v>
      </c>
      <c r="CK11" s="155">
        <v>120</v>
      </c>
      <c r="CL11" s="155">
        <v>120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Z11" s="155">
        <v>120</v>
      </c>
      <c r="DA11" s="155">
        <v>120</v>
      </c>
      <c r="DB11" s="155">
        <v>120</v>
      </c>
      <c r="DC11" s="155">
        <v>120</v>
      </c>
      <c r="DD11" s="155">
        <v>120</v>
      </c>
      <c r="DE11" s="155">
        <v>120</v>
      </c>
      <c r="DF11" s="155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858</v>
      </c>
      <c r="H12" s="56">
        <v>3</v>
      </c>
      <c r="I12" s="56" t="s">
        <v>1162</v>
      </c>
      <c r="J12" s="56" t="s">
        <v>1176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B12" s="152">
        <v>300</v>
      </c>
      <c r="BD12" s="152">
        <v>120</v>
      </c>
      <c r="BE12" s="152">
        <v>120</v>
      </c>
      <c r="BF12" s="152">
        <v>120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P12" s="155">
        <v>120</v>
      </c>
      <c r="BQ12" s="155">
        <v>120</v>
      </c>
      <c r="BR12" s="155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J12" s="155">
        <v>140</v>
      </c>
      <c r="CK12" s="155">
        <v>140</v>
      </c>
      <c r="CL12" s="155">
        <v>140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Z12" s="155">
        <v>140</v>
      </c>
      <c r="DA12" s="155">
        <v>140</v>
      </c>
      <c r="DB12" s="155">
        <v>140</v>
      </c>
      <c r="DC12" s="155">
        <v>140</v>
      </c>
      <c r="DD12" s="155">
        <v>140</v>
      </c>
      <c r="DE12" s="155">
        <v>140</v>
      </c>
      <c r="DF12" s="155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859</v>
      </c>
      <c r="H13" s="56">
        <v>5</v>
      </c>
      <c r="I13" s="56" t="s">
        <v>1162</v>
      </c>
      <c r="J13" s="56" t="s">
        <v>1176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B13" s="152">
        <v>400</v>
      </c>
      <c r="BD13" s="152">
        <v>130</v>
      </c>
      <c r="BE13" s="152">
        <v>130</v>
      </c>
      <c r="BF13" s="152">
        <v>130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P13" s="155">
        <v>130</v>
      </c>
      <c r="BQ13" s="155">
        <v>130</v>
      </c>
      <c r="BR13" s="155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J13" s="155">
        <v>160</v>
      </c>
      <c r="CK13" s="155">
        <v>160</v>
      </c>
      <c r="CL13" s="155">
        <v>160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Z13" s="155">
        <v>160</v>
      </c>
      <c r="DA13" s="155">
        <v>160</v>
      </c>
      <c r="DB13" s="155">
        <v>160</v>
      </c>
      <c r="DC13" s="155">
        <v>160</v>
      </c>
      <c r="DD13" s="155">
        <v>160</v>
      </c>
      <c r="DE13" s="155">
        <v>160</v>
      </c>
      <c r="DF13" s="155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0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171"/>
      <c r="AP15" s="56"/>
      <c r="AQ15" s="56"/>
      <c r="AR15" s="56"/>
      <c r="AS15" s="56"/>
      <c r="AT15" s="56"/>
      <c r="AU15" s="56"/>
      <c r="AV15" s="56"/>
      <c r="AW15" s="171"/>
      <c r="AX15" s="56"/>
      <c r="AY15" s="56"/>
      <c r="AZ15" s="56"/>
      <c r="BA15" s="171"/>
      <c r="BB15" s="56"/>
      <c r="BC15" s="10"/>
      <c r="BD15" s="56"/>
      <c r="BE15" s="56"/>
      <c r="BF15" s="56"/>
      <c r="BG15" s="56"/>
      <c r="BO15" s="144"/>
      <c r="CI15" s="144"/>
      <c r="CY15" s="144"/>
    </row>
    <row r="16" spans="1:110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171"/>
      <c r="AP16" s="56"/>
      <c r="AQ16" s="56"/>
      <c r="AR16" s="56"/>
      <c r="AS16" s="56"/>
      <c r="AT16" s="56"/>
      <c r="AU16" s="56"/>
      <c r="AV16" s="56"/>
      <c r="AW16" s="171"/>
      <c r="AX16" s="56"/>
      <c r="AY16" s="56"/>
      <c r="AZ16" s="56"/>
      <c r="BA16" s="171"/>
      <c r="BB16" s="56"/>
      <c r="BC16" s="10"/>
      <c r="BD16" s="56"/>
      <c r="BE16" s="56"/>
      <c r="BF16" s="56"/>
      <c r="BG16" s="56"/>
      <c r="BO16" s="144"/>
      <c r="CI16" s="144"/>
      <c r="CY16" s="144"/>
    </row>
    <row r="17" spans="1:110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171"/>
      <c r="AP17" s="56"/>
      <c r="AQ17" s="56"/>
      <c r="AR17" s="56"/>
      <c r="AS17" s="56"/>
      <c r="AT17" s="56"/>
      <c r="AU17" s="56"/>
      <c r="AV17" s="56"/>
      <c r="AW17" s="171"/>
      <c r="AX17" s="56"/>
      <c r="AY17" s="56"/>
      <c r="AZ17" s="56"/>
      <c r="BA17" s="171"/>
      <c r="BB17" s="56"/>
      <c r="BC17" s="10"/>
      <c r="BD17" s="56"/>
      <c r="BE17" s="56"/>
      <c r="BF17" s="56"/>
      <c r="BG17" s="56"/>
      <c r="BO17" s="144"/>
      <c r="CI17" s="144"/>
      <c r="CY17" s="144"/>
    </row>
    <row r="18" spans="1:110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171"/>
      <c r="AP18" s="56"/>
      <c r="AQ18" s="56"/>
      <c r="AR18" s="56"/>
      <c r="AS18" s="56"/>
      <c r="AT18" s="56"/>
      <c r="AU18" s="56"/>
      <c r="AV18" s="56"/>
      <c r="AW18" s="171"/>
      <c r="AX18" s="56"/>
      <c r="AY18" s="56"/>
      <c r="AZ18" s="56"/>
      <c r="BA18" s="171"/>
      <c r="BB18" s="56"/>
      <c r="BC18" s="10"/>
      <c r="BD18" s="56"/>
      <c r="BE18" s="56"/>
      <c r="BF18" s="56"/>
      <c r="BG18" s="56"/>
      <c r="BO18" s="144"/>
      <c r="CI18" s="144"/>
      <c r="CY18" s="144"/>
    </row>
    <row r="19" spans="1:110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171"/>
      <c r="AP19" s="56"/>
      <c r="AQ19" s="56"/>
      <c r="AR19" s="56"/>
      <c r="AS19" s="56"/>
      <c r="AT19" s="56"/>
      <c r="AU19" s="56"/>
      <c r="AV19" s="56"/>
      <c r="AW19" s="171"/>
      <c r="AX19" s="56"/>
      <c r="AY19" s="56"/>
      <c r="AZ19" s="56"/>
      <c r="BA19" s="171"/>
      <c r="BB19" s="56"/>
      <c r="BC19" s="10"/>
      <c r="BD19" s="56"/>
      <c r="BE19" s="56"/>
      <c r="BF19" s="56"/>
      <c r="BG19" s="56"/>
      <c r="BO19" s="144"/>
      <c r="CI19" s="144"/>
      <c r="CY19" s="144"/>
    </row>
    <row r="20" spans="1:110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171"/>
      <c r="AP20" s="56"/>
      <c r="AQ20" s="56"/>
      <c r="AR20" s="56"/>
      <c r="AS20" s="56"/>
      <c r="AT20" s="56"/>
      <c r="AU20" s="56"/>
      <c r="AV20" s="56"/>
      <c r="AW20" s="171"/>
      <c r="AX20" s="56"/>
      <c r="AY20" s="56"/>
      <c r="AZ20" s="56"/>
      <c r="BA20" s="171"/>
      <c r="BB20" s="56"/>
      <c r="BC20" s="10"/>
      <c r="BD20" s="56"/>
      <c r="BE20" s="56"/>
      <c r="BF20" s="56"/>
      <c r="BG20" s="56"/>
      <c r="BO20" s="144"/>
      <c r="CI20" s="144"/>
      <c r="CY20" s="144"/>
    </row>
    <row r="21" spans="1:110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171"/>
      <c r="AP21" s="56"/>
      <c r="AQ21" s="56"/>
      <c r="AR21" s="56"/>
      <c r="AS21" s="56"/>
      <c r="AT21" s="56"/>
      <c r="AU21" s="56"/>
      <c r="AV21" s="56"/>
      <c r="AW21" s="171"/>
      <c r="AX21" s="56"/>
      <c r="AY21" s="56"/>
      <c r="AZ21" s="56"/>
      <c r="BA21" s="171"/>
      <c r="BB21" s="56"/>
      <c r="BC21" s="10"/>
      <c r="BD21" s="56"/>
      <c r="BE21" s="56"/>
      <c r="BF21" s="56"/>
      <c r="BG21" s="56"/>
      <c r="BO21" s="144"/>
      <c r="CI21" s="144"/>
      <c r="CY21" s="144"/>
    </row>
    <row r="22" spans="1:110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171"/>
      <c r="AP22" s="56"/>
      <c r="AQ22" s="56"/>
      <c r="AR22" s="56"/>
      <c r="AS22" s="56"/>
      <c r="AT22" s="56"/>
      <c r="AU22" s="56"/>
      <c r="AV22" s="56"/>
      <c r="AW22" s="171"/>
      <c r="AX22" s="56"/>
      <c r="AY22" s="56"/>
      <c r="AZ22" s="56"/>
      <c r="BA22" s="171"/>
      <c r="BB22" s="56"/>
      <c r="BC22" s="10"/>
      <c r="BD22" s="56"/>
      <c r="BE22" s="56"/>
      <c r="BF22" s="56"/>
      <c r="BG22" s="56"/>
      <c r="BO22" s="144"/>
      <c r="CI22" s="144"/>
      <c r="CY22" s="144"/>
    </row>
    <row r="23" spans="1:110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171"/>
      <c r="AP23" s="56"/>
      <c r="AQ23" s="56"/>
      <c r="AR23" s="56"/>
      <c r="AS23" s="56"/>
      <c r="AT23" s="56"/>
      <c r="AU23" s="56"/>
      <c r="AV23" s="56"/>
      <c r="AW23" s="171"/>
      <c r="AX23" s="56"/>
      <c r="AY23" s="56"/>
      <c r="AZ23" s="56"/>
      <c r="BA23" s="171"/>
      <c r="BB23" s="56"/>
      <c r="BC23" s="10"/>
      <c r="BD23" s="56"/>
      <c r="BE23" s="56"/>
      <c r="BF23" s="56"/>
      <c r="BG23" s="56"/>
      <c r="BO23" s="144"/>
      <c r="CI23" s="144"/>
      <c r="CY23" s="144"/>
    </row>
    <row r="24" spans="1:110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171"/>
      <c r="AP24" s="56"/>
      <c r="AQ24" s="56"/>
      <c r="AR24" s="56"/>
      <c r="AS24" s="56"/>
      <c r="AT24" s="56"/>
      <c r="AU24" s="56"/>
      <c r="AV24" s="56"/>
      <c r="AW24" s="171"/>
      <c r="AX24" s="56"/>
      <c r="AY24" s="56"/>
      <c r="AZ24" s="56"/>
      <c r="BA24" s="171"/>
      <c r="BB24" s="56"/>
      <c r="BC24" s="10"/>
      <c r="BD24" s="56"/>
      <c r="BE24" s="56"/>
      <c r="BF24" s="56"/>
      <c r="BG24" s="56"/>
      <c r="BO24" s="144"/>
      <c r="CI24" s="144"/>
      <c r="CY24" s="144"/>
    </row>
    <row r="25" spans="1:110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1054</v>
      </c>
      <c r="H25" s="57">
        <v>1</v>
      </c>
      <c r="I25" s="57" t="s">
        <v>1164</v>
      </c>
      <c r="J25" s="57" t="s">
        <v>1177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172"/>
      <c r="AP25" s="57"/>
      <c r="AQ25" s="57"/>
      <c r="AR25" s="57"/>
      <c r="AS25" s="57"/>
      <c r="AT25" s="57"/>
      <c r="AU25" s="57"/>
      <c r="AV25" s="57"/>
      <c r="AW25" s="172"/>
      <c r="AX25" s="57"/>
      <c r="AY25" s="57"/>
      <c r="AZ25" s="57"/>
      <c r="BA25" s="172"/>
      <c r="BB25" s="153">
        <v>120</v>
      </c>
      <c r="BC25" s="17"/>
      <c r="BD25" s="153">
        <v>140</v>
      </c>
      <c r="BE25" s="153">
        <v>140</v>
      </c>
      <c r="BF25" s="153">
        <v>140</v>
      </c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200</v>
      </c>
      <c r="BN25" s="153">
        <v>140</v>
      </c>
      <c r="BO25" s="143"/>
      <c r="BP25" s="154">
        <v>110</v>
      </c>
      <c r="BQ25" s="154">
        <v>110</v>
      </c>
      <c r="BR25" s="154">
        <v>110</v>
      </c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43"/>
      <c r="CJ25" s="154">
        <v>150</v>
      </c>
      <c r="CK25" s="154">
        <v>150</v>
      </c>
      <c r="CL25" s="154">
        <v>150</v>
      </c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43"/>
      <c r="CZ25" s="153">
        <v>140</v>
      </c>
      <c r="DA25" s="153">
        <v>140</v>
      </c>
      <c r="DB25" s="153">
        <v>140</v>
      </c>
      <c r="DC25" s="153">
        <v>140</v>
      </c>
      <c r="DD25" s="153">
        <v>200</v>
      </c>
      <c r="DE25" s="153">
        <v>140</v>
      </c>
      <c r="DF25" s="153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1055</v>
      </c>
      <c r="H26" s="56">
        <v>3</v>
      </c>
      <c r="I26" s="56" t="s">
        <v>1164</v>
      </c>
      <c r="J26" s="56" t="s">
        <v>1177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B26" s="152">
        <v>140</v>
      </c>
      <c r="BD26" s="152">
        <v>180</v>
      </c>
      <c r="BE26" s="152">
        <v>180</v>
      </c>
      <c r="BF26" s="152">
        <v>180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400</v>
      </c>
      <c r="BN26" s="152">
        <v>180</v>
      </c>
      <c r="BP26" s="155">
        <v>120</v>
      </c>
      <c r="BQ26" s="155">
        <v>120</v>
      </c>
      <c r="BR26" s="155">
        <v>120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J26" s="155">
        <v>200</v>
      </c>
      <c r="CK26" s="155">
        <v>200</v>
      </c>
      <c r="CL26" s="155">
        <v>200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Z26" s="152">
        <v>180</v>
      </c>
      <c r="DA26" s="152">
        <v>180</v>
      </c>
      <c r="DB26" s="152">
        <v>180</v>
      </c>
      <c r="DC26" s="152">
        <v>180</v>
      </c>
      <c r="DD26" s="152">
        <v>400</v>
      </c>
      <c r="DE26" s="152">
        <v>180</v>
      </c>
      <c r="DF26" s="152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1056</v>
      </c>
      <c r="H27" s="56">
        <v>5</v>
      </c>
      <c r="I27" s="56" t="s">
        <v>1164</v>
      </c>
      <c r="J27" s="56" t="s">
        <v>1177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B27" s="152">
        <v>160</v>
      </c>
      <c r="BD27" s="152">
        <v>220</v>
      </c>
      <c r="BE27" s="152">
        <v>220</v>
      </c>
      <c r="BF27" s="152">
        <v>220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800</v>
      </c>
      <c r="BN27" s="152">
        <v>220</v>
      </c>
      <c r="BP27" s="155">
        <v>130</v>
      </c>
      <c r="BQ27" s="155">
        <v>130</v>
      </c>
      <c r="BR27" s="155">
        <v>130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J27" s="155">
        <v>250</v>
      </c>
      <c r="CK27" s="155">
        <v>250</v>
      </c>
      <c r="CL27" s="155">
        <v>250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Z27" s="152">
        <v>220</v>
      </c>
      <c r="DA27" s="152">
        <v>220</v>
      </c>
      <c r="DB27" s="152">
        <v>220</v>
      </c>
      <c r="DC27" s="152">
        <v>220</v>
      </c>
      <c r="DD27" s="152">
        <v>800</v>
      </c>
      <c r="DE27" s="152">
        <v>220</v>
      </c>
      <c r="DF27" s="152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1068</v>
      </c>
      <c r="H28" s="56">
        <v>1</v>
      </c>
      <c r="I28" s="56" t="s">
        <v>1179</v>
      </c>
      <c r="J28" s="56" t="s">
        <v>1178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AG28" s="152">
        <v>110</v>
      </c>
      <c r="BB28" s="152">
        <v>70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50</v>
      </c>
      <c r="BN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J28" s="152">
        <v>70</v>
      </c>
      <c r="CK28" s="152">
        <v>70</v>
      </c>
      <c r="CL28" s="152">
        <v>70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Z28" s="152">
        <v>70</v>
      </c>
      <c r="DA28" s="152">
        <v>70</v>
      </c>
      <c r="DB28" s="152">
        <v>70</v>
      </c>
      <c r="DC28" s="152">
        <v>70</v>
      </c>
      <c r="DD28" s="152">
        <v>50</v>
      </c>
      <c r="DE28" s="152">
        <v>70</v>
      </c>
      <c r="DF28" s="152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1069</v>
      </c>
      <c r="H29" s="56">
        <v>3</v>
      </c>
      <c r="I29" s="56" t="s">
        <v>1179</v>
      </c>
      <c r="J29" s="56" t="s">
        <v>1178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AG29" s="152">
        <v>120</v>
      </c>
      <c r="BB29" s="152">
        <v>50</v>
      </c>
      <c r="BD29" s="152">
        <v>70</v>
      </c>
      <c r="BE29" s="152">
        <v>70</v>
      </c>
      <c r="BF29" s="152">
        <v>70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40</v>
      </c>
      <c r="BN29" s="152">
        <v>70</v>
      </c>
      <c r="BP29" s="152">
        <v>70</v>
      </c>
      <c r="BQ29" s="152">
        <v>70</v>
      </c>
      <c r="BR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J29" s="152">
        <v>60</v>
      </c>
      <c r="CK29" s="152">
        <v>60</v>
      </c>
      <c r="CL29" s="152">
        <v>60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Z29" s="152">
        <v>60</v>
      </c>
      <c r="DA29" s="152">
        <v>60</v>
      </c>
      <c r="DB29" s="152">
        <v>60</v>
      </c>
      <c r="DC29" s="152">
        <v>60</v>
      </c>
      <c r="DD29" s="152">
        <v>40</v>
      </c>
      <c r="DE29" s="152">
        <v>60</v>
      </c>
      <c r="DF29" s="152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1070</v>
      </c>
      <c r="H30" s="56">
        <v>5</v>
      </c>
      <c r="I30" s="56" t="s">
        <v>1179</v>
      </c>
      <c r="J30" s="56" t="s">
        <v>1178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AG30" s="152">
        <v>130</v>
      </c>
      <c r="BB30" s="152">
        <v>20</v>
      </c>
      <c r="BD30" s="152">
        <v>60</v>
      </c>
      <c r="BE30" s="152">
        <v>60</v>
      </c>
      <c r="BF30" s="152">
        <v>60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30</v>
      </c>
      <c r="BN30" s="152">
        <v>60</v>
      </c>
      <c r="BP30" s="152">
        <v>60</v>
      </c>
      <c r="BQ30" s="152">
        <v>60</v>
      </c>
      <c r="BR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J30" s="152">
        <v>50</v>
      </c>
      <c r="CK30" s="152">
        <v>50</v>
      </c>
      <c r="CL30" s="152">
        <v>50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Z30" s="152">
        <v>50</v>
      </c>
      <c r="DA30" s="152">
        <v>50</v>
      </c>
      <c r="DB30" s="152">
        <v>50</v>
      </c>
      <c r="DC30" s="152">
        <v>50</v>
      </c>
      <c r="DD30" s="152">
        <v>30</v>
      </c>
      <c r="DE30" s="152">
        <v>50</v>
      </c>
      <c r="DF30" s="152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09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171"/>
      <c r="AP35" s="56"/>
      <c r="AQ35" s="56"/>
      <c r="AR35" s="56"/>
      <c r="AS35" s="56"/>
      <c r="AT35" s="56"/>
      <c r="AU35" s="56"/>
      <c r="AV35" s="56"/>
      <c r="AW35" s="171"/>
      <c r="AX35" s="56"/>
      <c r="AY35" s="56"/>
      <c r="AZ35" s="56"/>
      <c r="BA35" s="171"/>
      <c r="BB35" s="56"/>
      <c r="BC35" s="10"/>
      <c r="BD35" s="56"/>
      <c r="BE35" s="56"/>
      <c r="BF35" s="56"/>
      <c r="BG35" s="56"/>
      <c r="BO35" s="144"/>
      <c r="CI35" s="144"/>
      <c r="CY35" s="144"/>
    </row>
    <row r="36" spans="1:109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171"/>
      <c r="AP36" s="56"/>
      <c r="AQ36" s="56"/>
      <c r="AR36" s="56"/>
      <c r="AS36" s="56"/>
      <c r="AT36" s="56"/>
      <c r="AU36" s="56"/>
      <c r="AV36" s="56"/>
      <c r="AW36" s="171"/>
      <c r="AX36" s="56"/>
      <c r="AY36" s="56"/>
      <c r="AZ36" s="56"/>
      <c r="BA36" s="171"/>
      <c r="BB36" s="56"/>
      <c r="BC36" s="10"/>
      <c r="BD36" s="56"/>
      <c r="BE36" s="56"/>
      <c r="BF36" s="56"/>
      <c r="BG36" s="56"/>
      <c r="BO36" s="144"/>
      <c r="CI36" s="144"/>
      <c r="CY36" s="144"/>
    </row>
    <row r="37" spans="1:109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171"/>
      <c r="AP37" s="56"/>
      <c r="AQ37" s="56"/>
      <c r="AR37" s="56"/>
      <c r="AS37" s="56"/>
      <c r="AT37" s="56"/>
      <c r="AU37" s="56"/>
      <c r="AV37" s="56"/>
      <c r="AW37" s="171"/>
      <c r="AX37" s="56"/>
      <c r="AY37" s="56"/>
      <c r="AZ37" s="56"/>
      <c r="BA37" s="171"/>
      <c r="BB37" s="56"/>
      <c r="BC37" s="10"/>
      <c r="BD37" s="56"/>
      <c r="BE37" s="56"/>
      <c r="BF37" s="56"/>
      <c r="BG37" s="56"/>
      <c r="BO37" s="144"/>
      <c r="CI37" s="144"/>
      <c r="CY37" s="144"/>
    </row>
    <row r="38" spans="1:109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171"/>
      <c r="AP38" s="56"/>
      <c r="AQ38" s="56"/>
      <c r="AR38" s="56"/>
      <c r="AS38" s="56"/>
      <c r="AT38" s="56"/>
      <c r="AU38" s="56"/>
      <c r="AV38" s="56"/>
      <c r="AW38" s="171"/>
      <c r="AX38" s="56"/>
      <c r="AY38" s="56"/>
      <c r="AZ38" s="56"/>
      <c r="BA38" s="171"/>
      <c r="BB38" s="56"/>
      <c r="BC38" s="10"/>
      <c r="BD38" s="56"/>
      <c r="BE38" s="56"/>
      <c r="BF38" s="56"/>
      <c r="BG38" s="56"/>
      <c r="BO38" s="144"/>
      <c r="CI38" s="144"/>
      <c r="CY38" s="144"/>
    </row>
    <row r="39" spans="1:109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171"/>
      <c r="AP39" s="56"/>
      <c r="AQ39" s="56"/>
      <c r="AR39" s="56"/>
      <c r="AS39" s="56"/>
      <c r="AT39" s="56"/>
      <c r="AU39" s="56"/>
      <c r="AV39" s="56"/>
      <c r="AW39" s="171"/>
      <c r="AX39" s="56"/>
      <c r="AY39" s="56"/>
      <c r="AZ39" s="56"/>
      <c r="BA39" s="171"/>
      <c r="BB39" s="56"/>
      <c r="BC39" s="10"/>
      <c r="BD39" s="56"/>
      <c r="BE39" s="56"/>
      <c r="BF39" s="56"/>
      <c r="BG39" s="56"/>
      <c r="BO39" s="144"/>
      <c r="CI39" s="144"/>
      <c r="CY39" s="144"/>
    </row>
    <row r="40" spans="1:109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171"/>
      <c r="AP40" s="56"/>
      <c r="AQ40" s="56"/>
      <c r="AR40" s="56"/>
      <c r="AS40" s="56"/>
      <c r="AT40" s="56"/>
      <c r="AU40" s="56"/>
      <c r="AV40" s="56"/>
      <c r="AW40" s="171"/>
      <c r="AX40" s="56"/>
      <c r="AY40" s="56"/>
      <c r="AZ40" s="56"/>
      <c r="BA40" s="171"/>
      <c r="BB40" s="56"/>
      <c r="BC40" s="10"/>
      <c r="BD40" s="56"/>
      <c r="BE40" s="56"/>
      <c r="BF40" s="56"/>
      <c r="BG40" s="56"/>
      <c r="BO40" s="144"/>
      <c r="CI40" s="144"/>
      <c r="CY40" s="144"/>
    </row>
    <row r="41" spans="1:109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171"/>
      <c r="AP41" s="56"/>
      <c r="AQ41" s="56"/>
      <c r="AR41" s="56"/>
      <c r="AS41" s="56"/>
      <c r="AT41" s="56"/>
      <c r="AU41" s="56"/>
      <c r="AV41" s="56"/>
      <c r="AW41" s="171"/>
      <c r="AX41" s="56"/>
      <c r="AY41" s="56"/>
      <c r="AZ41" s="56"/>
      <c r="BA41" s="171"/>
      <c r="BB41" s="56"/>
      <c r="BC41" s="10"/>
      <c r="BD41" s="56"/>
      <c r="BE41" s="56"/>
      <c r="BF41" s="56"/>
      <c r="BG41" s="56"/>
      <c r="BO41" s="144"/>
      <c r="CI41" s="144"/>
      <c r="CY41" s="144"/>
    </row>
    <row r="42" spans="1:109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171"/>
      <c r="AP42" s="56"/>
      <c r="AQ42" s="56"/>
      <c r="AR42" s="56"/>
      <c r="AS42" s="56"/>
      <c r="AT42" s="56"/>
      <c r="AU42" s="56"/>
      <c r="AV42" s="56"/>
      <c r="AW42" s="171"/>
      <c r="AX42" s="56"/>
      <c r="AY42" s="56"/>
      <c r="AZ42" s="56"/>
      <c r="BA42" s="171"/>
      <c r="BB42" s="56"/>
      <c r="BC42" s="10"/>
      <c r="BD42" s="56"/>
      <c r="BE42" s="56"/>
      <c r="BF42" s="56"/>
      <c r="BG42" s="56"/>
      <c r="BO42" s="144"/>
      <c r="CI42" s="144"/>
      <c r="CY42" s="144"/>
    </row>
    <row r="43" spans="1:109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171"/>
      <c r="AP43" s="56"/>
      <c r="AQ43" s="56"/>
      <c r="AR43" s="56"/>
      <c r="AS43" s="56"/>
      <c r="AT43" s="56"/>
      <c r="AU43" s="56"/>
      <c r="AV43" s="56"/>
      <c r="AW43" s="171"/>
      <c r="AX43" s="56"/>
      <c r="AY43" s="56"/>
      <c r="AZ43" s="56"/>
      <c r="BA43" s="171"/>
      <c r="BB43" s="56"/>
      <c r="BC43" s="10"/>
      <c r="BD43" s="56"/>
      <c r="BE43" s="56"/>
      <c r="BF43" s="56"/>
      <c r="BG43" s="56"/>
      <c r="BO43" s="144"/>
      <c r="CI43" s="144"/>
      <c r="CY43" s="144"/>
    </row>
    <row r="44" spans="1:109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171"/>
      <c r="AP44" s="56"/>
      <c r="AQ44" s="56"/>
      <c r="AR44" s="56"/>
      <c r="AS44" s="56"/>
      <c r="AT44" s="56"/>
      <c r="AU44" s="56"/>
      <c r="AV44" s="56"/>
      <c r="AW44" s="171"/>
      <c r="AX44" s="56"/>
      <c r="AY44" s="56"/>
      <c r="AZ44" s="56"/>
      <c r="BA44" s="171"/>
      <c r="BB44" s="56"/>
      <c r="BC44" s="10"/>
      <c r="BD44" s="56"/>
      <c r="BE44" s="56"/>
      <c r="BF44" s="56"/>
      <c r="BG44" s="56"/>
      <c r="BO44" s="144"/>
      <c r="CI44" s="144"/>
      <c r="CY44" s="144"/>
    </row>
    <row r="45" spans="1:109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865</v>
      </c>
      <c r="H45" s="57">
        <v>1</v>
      </c>
      <c r="I45" s="57" t="s">
        <v>1165</v>
      </c>
      <c r="J45" s="57" t="s">
        <v>1180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172"/>
      <c r="AP45" s="57"/>
      <c r="AQ45" s="57"/>
      <c r="AR45" s="57"/>
      <c r="AS45" s="57"/>
      <c r="AT45" s="57"/>
      <c r="AU45" s="57"/>
      <c r="AV45" s="57"/>
      <c r="AW45" s="172"/>
      <c r="AX45" s="57"/>
      <c r="AY45" s="57"/>
      <c r="AZ45" s="57"/>
      <c r="BA45" s="172"/>
      <c r="BB45" s="57"/>
      <c r="BC45" s="17"/>
      <c r="BD45" s="153">
        <v>150</v>
      </c>
      <c r="BE45" s="153">
        <v>150</v>
      </c>
      <c r="BF45" s="153">
        <v>150</v>
      </c>
      <c r="BG45" s="57"/>
      <c r="BK45" s="153">
        <v>150</v>
      </c>
      <c r="BO45" s="143"/>
      <c r="CI45" s="143"/>
      <c r="CY45" s="143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866</v>
      </c>
      <c r="H46" s="56">
        <v>3</v>
      </c>
      <c r="I46" s="56" t="s">
        <v>1165</v>
      </c>
      <c r="J46" s="56" t="s">
        <v>1180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D46" s="152">
        <v>180</v>
      </c>
      <c r="BE46" s="152">
        <v>180</v>
      </c>
      <c r="BF46" s="152">
        <v>180</v>
      </c>
      <c r="BH46" s="108"/>
      <c r="BK46" s="152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867</v>
      </c>
      <c r="H47" s="56">
        <v>5</v>
      </c>
      <c r="I47" s="56" t="s">
        <v>1165</v>
      </c>
      <c r="J47" s="56" t="s">
        <v>1180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D47" s="152">
        <v>210</v>
      </c>
      <c r="BE47" s="152">
        <v>210</v>
      </c>
      <c r="BF47" s="152">
        <v>210</v>
      </c>
      <c r="BH47" s="108"/>
      <c r="BK47" s="152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868</v>
      </c>
      <c r="H48" s="56">
        <v>1</v>
      </c>
      <c r="I48" s="56" t="s">
        <v>1166</v>
      </c>
      <c r="J48" s="56" t="s">
        <v>1182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P48" s="152">
        <v>70</v>
      </c>
      <c r="AQ48" s="152">
        <v>70</v>
      </c>
      <c r="AR48" s="152">
        <v>80</v>
      </c>
      <c r="AS48" s="152">
        <v>60</v>
      </c>
      <c r="AT48" s="152">
        <v>60</v>
      </c>
      <c r="AU48" s="152">
        <v>80</v>
      </c>
      <c r="BD48" s="152">
        <v>150</v>
      </c>
      <c r="BE48" s="152">
        <v>150</v>
      </c>
      <c r="BF48" s="152">
        <v>150</v>
      </c>
      <c r="BH48" s="152">
        <v>150</v>
      </c>
      <c r="BI48" s="152">
        <v>150</v>
      </c>
      <c r="BK48" s="152">
        <v>150</v>
      </c>
      <c r="CZ48" s="152">
        <v>150</v>
      </c>
      <c r="DA48" s="155">
        <v>110</v>
      </c>
      <c r="DB48" s="155">
        <v>110</v>
      </c>
      <c r="DE48" s="152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869</v>
      </c>
      <c r="H49" s="56">
        <v>3</v>
      </c>
      <c r="I49" s="56" t="s">
        <v>1166</v>
      </c>
      <c r="J49" s="56" t="s">
        <v>1182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P49" s="152">
        <v>50</v>
      </c>
      <c r="AQ49" s="152">
        <v>50</v>
      </c>
      <c r="AR49" s="152">
        <v>50</v>
      </c>
      <c r="AS49" s="152">
        <v>40</v>
      </c>
      <c r="AT49" s="152">
        <v>40</v>
      </c>
      <c r="AU49" s="152">
        <v>50</v>
      </c>
      <c r="BD49" s="152">
        <v>180</v>
      </c>
      <c r="BE49" s="152">
        <v>180</v>
      </c>
      <c r="BF49" s="152">
        <v>180</v>
      </c>
      <c r="BH49" s="152">
        <v>180</v>
      </c>
      <c r="BI49" s="152">
        <v>180</v>
      </c>
      <c r="BK49" s="152">
        <v>180</v>
      </c>
      <c r="CZ49" s="152">
        <v>180</v>
      </c>
      <c r="DA49" s="155">
        <v>120</v>
      </c>
      <c r="DB49" s="155">
        <v>120</v>
      </c>
      <c r="DE49" s="152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870</v>
      </c>
      <c r="H50" s="56">
        <v>5</v>
      </c>
      <c r="I50" s="56" t="s">
        <v>1166</v>
      </c>
      <c r="J50" s="56" t="s">
        <v>1182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P50" s="152">
        <v>20</v>
      </c>
      <c r="AQ50" s="152">
        <v>20</v>
      </c>
      <c r="AR50" s="152">
        <v>20</v>
      </c>
      <c r="AS50" s="152">
        <v>10</v>
      </c>
      <c r="AT50" s="152">
        <v>10</v>
      </c>
      <c r="AU50" s="152">
        <v>20</v>
      </c>
      <c r="BD50" s="152">
        <v>210</v>
      </c>
      <c r="BE50" s="152">
        <v>210</v>
      </c>
      <c r="BF50" s="152">
        <v>210</v>
      </c>
      <c r="BH50" s="152">
        <v>210</v>
      </c>
      <c r="BI50" s="152">
        <v>210</v>
      </c>
      <c r="BK50" s="152">
        <v>210</v>
      </c>
      <c r="CZ50" s="152">
        <v>210</v>
      </c>
      <c r="DA50" s="155">
        <v>130</v>
      </c>
      <c r="DB50" s="155">
        <v>130</v>
      </c>
      <c r="DE50" s="152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961</v>
      </c>
      <c r="H51" s="56">
        <v>1</v>
      </c>
      <c r="I51" s="56" t="s">
        <v>1167</v>
      </c>
      <c r="J51" s="56" t="s">
        <v>1181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P51" s="152">
        <v>70</v>
      </c>
      <c r="AQ51" s="152">
        <v>70</v>
      </c>
      <c r="AR51" s="152">
        <v>70</v>
      </c>
      <c r="AS51" s="152">
        <v>150</v>
      </c>
      <c r="AT51" s="152">
        <v>150</v>
      </c>
      <c r="AU51" s="152">
        <v>70</v>
      </c>
      <c r="BD51" s="152">
        <v>150</v>
      </c>
      <c r="BE51" s="152">
        <v>150</v>
      </c>
      <c r="BF51" s="152">
        <v>150</v>
      </c>
      <c r="BH51" s="157">
        <v>70</v>
      </c>
      <c r="CZ51" s="157">
        <v>70</v>
      </c>
      <c r="DA51" s="155">
        <v>110</v>
      </c>
      <c r="DB51" s="155">
        <v>110</v>
      </c>
      <c r="DE51" s="152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962</v>
      </c>
      <c r="H52" s="56">
        <v>3</v>
      </c>
      <c r="I52" s="56" t="s">
        <v>1167</v>
      </c>
      <c r="J52" s="56" t="s">
        <v>1181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P52" s="152">
        <v>50</v>
      </c>
      <c r="AQ52" s="152">
        <v>50</v>
      </c>
      <c r="AR52" s="152">
        <v>50</v>
      </c>
      <c r="AS52" s="152">
        <v>180</v>
      </c>
      <c r="AT52" s="152">
        <v>180</v>
      </c>
      <c r="AU52" s="152">
        <v>50</v>
      </c>
      <c r="BD52" s="152">
        <v>180</v>
      </c>
      <c r="BE52" s="152">
        <v>180</v>
      </c>
      <c r="BF52" s="152">
        <v>180</v>
      </c>
      <c r="BH52" s="157">
        <v>50</v>
      </c>
      <c r="CZ52" s="157">
        <v>50</v>
      </c>
      <c r="DA52" s="155">
        <v>120</v>
      </c>
      <c r="DB52" s="155">
        <v>120</v>
      </c>
      <c r="DE52" s="152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963</v>
      </c>
      <c r="H53" s="56">
        <v>5</v>
      </c>
      <c r="I53" s="56" t="s">
        <v>1167</v>
      </c>
      <c r="J53" s="56" t="s">
        <v>1181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P53" s="152">
        <v>20</v>
      </c>
      <c r="AQ53" s="152">
        <v>20</v>
      </c>
      <c r="AR53" s="152">
        <v>20</v>
      </c>
      <c r="AS53" s="152">
        <v>200</v>
      </c>
      <c r="AT53" s="152">
        <v>200</v>
      </c>
      <c r="AU53" s="152">
        <v>20</v>
      </c>
      <c r="BD53" s="152">
        <v>210</v>
      </c>
      <c r="BE53" s="152">
        <v>210</v>
      </c>
      <c r="BF53" s="152">
        <v>210</v>
      </c>
      <c r="BH53" s="157">
        <v>20</v>
      </c>
      <c r="CZ53" s="157">
        <v>20</v>
      </c>
      <c r="DA53" s="155">
        <v>130</v>
      </c>
      <c r="DB53" s="155">
        <v>130</v>
      </c>
      <c r="DE53" s="152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1074</v>
      </c>
      <c r="H54" s="56">
        <v>1</v>
      </c>
      <c r="I54" s="56" t="s">
        <v>1168</v>
      </c>
      <c r="J54" s="56" t="s">
        <v>1183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P54" s="152">
        <v>70</v>
      </c>
      <c r="AQ54" s="152">
        <v>70</v>
      </c>
      <c r="AR54" s="152">
        <v>70</v>
      </c>
      <c r="AU54" s="152">
        <v>70</v>
      </c>
      <c r="AV54" s="152">
        <v>200</v>
      </c>
      <c r="AX54" s="152"/>
      <c r="AY54" s="152"/>
      <c r="AZ54" s="152">
        <v>50</v>
      </c>
      <c r="BB54" s="152">
        <v>150</v>
      </c>
      <c r="BD54" s="152">
        <v>150</v>
      </c>
      <c r="BE54" s="152">
        <v>150</v>
      </c>
      <c r="BF54" s="152">
        <v>150</v>
      </c>
      <c r="BI54" s="152">
        <v>150</v>
      </c>
      <c r="BK54" s="152">
        <v>150</v>
      </c>
      <c r="DA54" s="155">
        <v>110</v>
      </c>
      <c r="DB54" s="155">
        <v>110</v>
      </c>
      <c r="DE54" s="152">
        <v>150</v>
      </c>
    </row>
    <row r="55" spans="1:109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1075</v>
      </c>
      <c r="H55" s="56">
        <v>3</v>
      </c>
      <c r="I55" s="56" t="s">
        <v>1168</v>
      </c>
      <c r="J55" s="56" t="s">
        <v>1183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71"/>
      <c r="AP55" s="152">
        <v>50</v>
      </c>
      <c r="AQ55" s="152">
        <v>50</v>
      </c>
      <c r="AR55" s="152">
        <v>50</v>
      </c>
      <c r="AS55" s="56"/>
      <c r="AT55" s="56"/>
      <c r="AU55" s="152">
        <v>50</v>
      </c>
      <c r="AV55" s="152">
        <v>400</v>
      </c>
      <c r="AW55" s="171"/>
      <c r="AX55" s="152">
        <v>40</v>
      </c>
      <c r="AY55" s="152">
        <v>40</v>
      </c>
      <c r="AZ55" s="152">
        <v>35</v>
      </c>
      <c r="BA55" s="171"/>
      <c r="BB55" s="152">
        <v>200</v>
      </c>
      <c r="BC55" s="10"/>
      <c r="BD55" s="152">
        <v>180</v>
      </c>
      <c r="BE55" s="152">
        <v>180</v>
      </c>
      <c r="BF55" s="152">
        <v>180</v>
      </c>
      <c r="BG55" s="56"/>
      <c r="BI55" s="152">
        <v>180</v>
      </c>
      <c r="BK55" s="152">
        <v>180</v>
      </c>
      <c r="BO55" s="144"/>
      <c r="CI55" s="144"/>
      <c r="CY55" s="144"/>
      <c r="DA55" s="155">
        <v>120</v>
      </c>
      <c r="DB55" s="155">
        <v>120</v>
      </c>
      <c r="DE55" s="152">
        <v>180</v>
      </c>
    </row>
    <row r="56" spans="1:109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1076</v>
      </c>
      <c r="H56" s="56">
        <v>5</v>
      </c>
      <c r="I56" s="56" t="s">
        <v>1168</v>
      </c>
      <c r="J56" s="56" t="s">
        <v>1183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71"/>
      <c r="AP56" s="152">
        <v>20</v>
      </c>
      <c r="AQ56" s="152">
        <v>20</v>
      </c>
      <c r="AR56" s="152">
        <v>20</v>
      </c>
      <c r="AS56" s="56"/>
      <c r="AT56" s="56"/>
      <c r="AU56" s="152">
        <v>20</v>
      </c>
      <c r="AV56" s="152">
        <v>600</v>
      </c>
      <c r="AW56" s="171"/>
      <c r="AX56" s="152">
        <v>10</v>
      </c>
      <c r="AY56" s="152">
        <v>10</v>
      </c>
      <c r="AZ56" s="152">
        <v>20</v>
      </c>
      <c r="BA56" s="171"/>
      <c r="BB56" s="152">
        <v>300</v>
      </c>
      <c r="BC56" s="10"/>
      <c r="BD56" s="152">
        <v>210</v>
      </c>
      <c r="BE56" s="152">
        <v>210</v>
      </c>
      <c r="BF56" s="152">
        <v>210</v>
      </c>
      <c r="BG56" s="56"/>
      <c r="BI56" s="152">
        <v>210</v>
      </c>
      <c r="BK56" s="152">
        <v>210</v>
      </c>
      <c r="BO56" s="144"/>
      <c r="CI56" s="144"/>
      <c r="CY56" s="144"/>
      <c r="DA56" s="155">
        <v>130</v>
      </c>
      <c r="DB56" s="155">
        <v>130</v>
      </c>
      <c r="DE56" s="152">
        <v>210</v>
      </c>
    </row>
    <row r="57" spans="1:109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1169</v>
      </c>
      <c r="H57" s="56">
        <v>1</v>
      </c>
      <c r="I57" s="56" t="s">
        <v>1170</v>
      </c>
      <c r="J57" s="56" t="s">
        <v>1184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171"/>
      <c r="AP57" s="56"/>
      <c r="AQ57" s="56"/>
      <c r="AR57" s="56"/>
      <c r="AS57" s="56"/>
      <c r="AT57" s="56"/>
      <c r="AU57" s="56"/>
      <c r="AV57" s="56"/>
      <c r="AW57" s="171"/>
      <c r="AX57" s="152">
        <v>50</v>
      </c>
      <c r="AY57" s="152">
        <v>50</v>
      </c>
      <c r="AZ57" s="152"/>
      <c r="BA57" s="171"/>
      <c r="BB57" s="56"/>
      <c r="BC57" s="10"/>
      <c r="BD57" s="56"/>
      <c r="BE57" s="56"/>
      <c r="BF57" s="56"/>
      <c r="BG57" s="56"/>
      <c r="BO57" s="144"/>
      <c r="CI57" s="144"/>
      <c r="CY57" s="144"/>
    </row>
    <row r="58" spans="1:109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964</v>
      </c>
      <c r="H58" s="56">
        <v>3</v>
      </c>
      <c r="I58" s="56" t="s">
        <v>1170</v>
      </c>
      <c r="J58" s="56" t="s">
        <v>1184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171"/>
      <c r="AP58" s="56"/>
      <c r="AQ58" s="56"/>
      <c r="AR58" s="56"/>
      <c r="AS58" s="56"/>
      <c r="AT58" s="56"/>
      <c r="AU58" s="56"/>
      <c r="AV58" s="56"/>
      <c r="AW58" s="171"/>
      <c r="AX58" s="152">
        <v>30</v>
      </c>
      <c r="AY58" s="152">
        <v>30</v>
      </c>
      <c r="AZ58" s="152"/>
      <c r="BA58" s="171"/>
      <c r="BB58" s="56"/>
      <c r="BC58" s="10"/>
      <c r="BD58" s="56"/>
      <c r="BE58" s="56"/>
      <c r="BF58" s="56"/>
      <c r="BG58" s="56"/>
      <c r="BO58" s="144"/>
      <c r="CI58" s="144"/>
      <c r="CY58" s="144"/>
    </row>
    <row r="59" spans="1:109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965</v>
      </c>
      <c r="H59" s="56">
        <v>5</v>
      </c>
      <c r="I59" s="56" t="s">
        <v>1170</v>
      </c>
      <c r="J59" s="56" t="s">
        <v>1184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171"/>
      <c r="AP59" s="56"/>
      <c r="AQ59" s="56"/>
      <c r="AR59" s="56"/>
      <c r="AS59" s="56"/>
      <c r="AT59" s="56"/>
      <c r="AU59" s="56"/>
      <c r="AV59" s="56"/>
      <c r="AW59" s="171"/>
      <c r="AX59" s="152">
        <v>0</v>
      </c>
      <c r="AY59" s="152">
        <v>0</v>
      </c>
      <c r="AZ59" s="152"/>
      <c r="BA59" s="171"/>
      <c r="BB59" s="56"/>
      <c r="BC59" s="10"/>
      <c r="BD59" s="56"/>
      <c r="BE59" s="56"/>
      <c r="BF59" s="56"/>
      <c r="BG59" s="56"/>
      <c r="BO59" s="144"/>
      <c r="CI59" s="144"/>
      <c r="CY59" s="144"/>
    </row>
    <row r="60" spans="1:109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873</v>
      </c>
      <c r="H60" s="56">
        <v>1</v>
      </c>
      <c r="I60" s="56" t="s">
        <v>1171</v>
      </c>
      <c r="J60" s="56" t="s">
        <v>1185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71"/>
      <c r="AP60" s="152">
        <v>60</v>
      </c>
      <c r="AQ60" s="152">
        <v>60</v>
      </c>
      <c r="AR60" s="152">
        <v>60</v>
      </c>
      <c r="AS60" s="56"/>
      <c r="AT60" s="56"/>
      <c r="AU60" s="152">
        <v>60</v>
      </c>
      <c r="AV60" s="56"/>
      <c r="AW60" s="171"/>
      <c r="AX60" s="56"/>
      <c r="AY60" s="56"/>
      <c r="AZ60" s="56"/>
      <c r="BA60" s="171"/>
      <c r="BB60" s="56"/>
      <c r="BC60" s="10"/>
      <c r="BD60" s="152">
        <v>150</v>
      </c>
      <c r="BE60" s="152">
        <v>150</v>
      </c>
      <c r="BF60" s="152">
        <v>150</v>
      </c>
      <c r="BG60" s="56"/>
      <c r="BI60" s="152">
        <v>150</v>
      </c>
      <c r="BK60" s="152">
        <v>150</v>
      </c>
      <c r="BO60" s="144"/>
      <c r="CI60" s="144"/>
      <c r="CY60" s="144"/>
      <c r="DA60" s="155">
        <v>110</v>
      </c>
      <c r="DB60" s="155">
        <v>110</v>
      </c>
      <c r="DE60" s="152">
        <v>150</v>
      </c>
    </row>
    <row r="61" spans="1:109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874</v>
      </c>
      <c r="H61" s="56">
        <v>3</v>
      </c>
      <c r="I61" s="56" t="s">
        <v>1171</v>
      </c>
      <c r="J61" s="56" t="s">
        <v>1185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71"/>
      <c r="AP61" s="152">
        <v>30</v>
      </c>
      <c r="AQ61" s="152">
        <v>30</v>
      </c>
      <c r="AR61" s="152">
        <v>30</v>
      </c>
      <c r="AS61" s="56"/>
      <c r="AT61" s="56"/>
      <c r="AU61" s="152">
        <v>30</v>
      </c>
      <c r="AV61" s="56"/>
      <c r="AW61" s="171"/>
      <c r="AX61" s="56"/>
      <c r="AY61" s="56"/>
      <c r="AZ61" s="56"/>
      <c r="BA61" s="171"/>
      <c r="BB61" s="56"/>
      <c r="BC61" s="10"/>
      <c r="BD61" s="152">
        <v>180</v>
      </c>
      <c r="BE61" s="152">
        <v>180</v>
      </c>
      <c r="BF61" s="152">
        <v>180</v>
      </c>
      <c r="BG61" s="56"/>
      <c r="BI61" s="152">
        <v>180</v>
      </c>
      <c r="BK61" s="152">
        <v>180</v>
      </c>
      <c r="BO61" s="144"/>
      <c r="CI61" s="144"/>
      <c r="CY61" s="144"/>
      <c r="DA61" s="155">
        <v>120</v>
      </c>
      <c r="DB61" s="155">
        <v>120</v>
      </c>
      <c r="DE61" s="152">
        <v>180</v>
      </c>
    </row>
    <row r="62" spans="1:109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875</v>
      </c>
      <c r="H62" s="56">
        <v>5</v>
      </c>
      <c r="I62" s="56" t="s">
        <v>1171</v>
      </c>
      <c r="J62" s="56" t="s">
        <v>1185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71"/>
      <c r="AP62" s="152">
        <v>0</v>
      </c>
      <c r="AQ62" s="152">
        <v>0</v>
      </c>
      <c r="AR62" s="152">
        <v>0</v>
      </c>
      <c r="AS62" s="56"/>
      <c r="AT62" s="56"/>
      <c r="AU62" s="152">
        <v>0</v>
      </c>
      <c r="AV62" s="56"/>
      <c r="AW62" s="171"/>
      <c r="AX62" s="56"/>
      <c r="AY62" s="56"/>
      <c r="AZ62" s="56"/>
      <c r="BA62" s="171"/>
      <c r="BB62" s="56"/>
      <c r="BC62" s="10"/>
      <c r="BD62" s="152">
        <v>260</v>
      </c>
      <c r="BE62" s="152">
        <v>260</v>
      </c>
      <c r="BF62" s="152">
        <v>260</v>
      </c>
      <c r="BG62" s="56"/>
      <c r="BI62" s="152">
        <v>260</v>
      </c>
      <c r="BK62" s="152">
        <v>260</v>
      </c>
      <c r="BO62" s="144"/>
      <c r="CI62" s="144"/>
      <c r="CY62" s="144"/>
      <c r="DA62" s="155">
        <v>130</v>
      </c>
      <c r="DB62" s="155">
        <v>130</v>
      </c>
      <c r="DE62" s="152">
        <v>260</v>
      </c>
    </row>
    <row r="63" spans="1:109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966</v>
      </c>
      <c r="H63" s="56">
        <v>1</v>
      </c>
      <c r="I63" s="56" t="s">
        <v>1172</v>
      </c>
      <c r="J63" s="56" t="s">
        <v>1186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171"/>
      <c r="AP63" s="152">
        <v>60</v>
      </c>
      <c r="AQ63" s="56"/>
      <c r="AR63" s="56"/>
      <c r="AS63" s="56"/>
      <c r="AT63" s="56"/>
      <c r="AU63" s="56"/>
      <c r="AV63" s="56"/>
      <c r="AW63" s="171"/>
      <c r="AX63" s="56"/>
      <c r="AY63" s="56"/>
      <c r="AZ63" s="56"/>
      <c r="BA63" s="171"/>
      <c r="BB63" s="56"/>
      <c r="BC63" s="10"/>
      <c r="BD63" s="152">
        <v>150</v>
      </c>
      <c r="BE63" s="56"/>
      <c r="BF63" s="56"/>
      <c r="BG63" s="56"/>
      <c r="BO63" s="144"/>
      <c r="CI63" s="144"/>
      <c r="CY63" s="144"/>
      <c r="DB63" s="155">
        <v>110</v>
      </c>
    </row>
    <row r="64" spans="1:109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967</v>
      </c>
      <c r="H64" s="56">
        <v>3</v>
      </c>
      <c r="I64" s="56" t="s">
        <v>1172</v>
      </c>
      <c r="J64" s="56" t="s">
        <v>1186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171"/>
      <c r="AP64" s="152">
        <v>30</v>
      </c>
      <c r="AQ64" s="56"/>
      <c r="AR64" s="56"/>
      <c r="AS64" s="56"/>
      <c r="AT64" s="56"/>
      <c r="AU64" s="56"/>
      <c r="AV64" s="56"/>
      <c r="AW64" s="171"/>
      <c r="AX64" s="56"/>
      <c r="AY64" s="56"/>
      <c r="AZ64" s="56"/>
      <c r="BA64" s="171"/>
      <c r="BB64" s="56"/>
      <c r="BC64" s="10"/>
      <c r="BD64" s="152">
        <v>180</v>
      </c>
      <c r="BE64" s="56"/>
      <c r="BF64" s="56"/>
      <c r="BG64" s="56"/>
      <c r="BO64" s="144"/>
      <c r="CI64" s="144"/>
      <c r="CY64" s="144"/>
      <c r="DB64" s="155">
        <v>120</v>
      </c>
    </row>
    <row r="65" spans="1:109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968</v>
      </c>
      <c r="H65" s="56">
        <v>5</v>
      </c>
      <c r="I65" s="56" t="s">
        <v>1172</v>
      </c>
      <c r="J65" s="56" t="s">
        <v>1186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171"/>
      <c r="AP65" s="152">
        <v>0</v>
      </c>
      <c r="AQ65" s="56"/>
      <c r="AR65" s="56"/>
      <c r="AS65" s="56"/>
      <c r="AT65" s="56"/>
      <c r="AU65" s="56"/>
      <c r="AV65" s="56"/>
      <c r="AW65" s="171"/>
      <c r="AX65" s="56"/>
      <c r="AY65" s="56"/>
      <c r="AZ65" s="56"/>
      <c r="BA65" s="171"/>
      <c r="BB65" s="56"/>
      <c r="BC65" s="10"/>
      <c r="BD65" s="152">
        <v>260</v>
      </c>
      <c r="BE65" s="56"/>
      <c r="BF65" s="56"/>
      <c r="BG65" s="56"/>
      <c r="BO65" s="144"/>
      <c r="CI65" s="144"/>
      <c r="CY65" s="144"/>
      <c r="DB65" s="155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1065</v>
      </c>
      <c r="H66" s="56">
        <v>1</v>
      </c>
      <c r="I66" s="56" t="s">
        <v>1173</v>
      </c>
      <c r="J66" s="56" t="s">
        <v>1187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P66" s="152">
        <v>130</v>
      </c>
      <c r="AQ66" s="152">
        <v>130</v>
      </c>
      <c r="AR66" s="152">
        <v>130</v>
      </c>
      <c r="AU66" s="152">
        <v>130</v>
      </c>
      <c r="AZ66" s="152">
        <v>120</v>
      </c>
      <c r="BD66" s="152">
        <v>80</v>
      </c>
      <c r="BE66" s="152">
        <v>80</v>
      </c>
      <c r="BF66" s="152">
        <v>80</v>
      </c>
      <c r="BG66" s="152">
        <v>130</v>
      </c>
      <c r="BH66" s="108"/>
      <c r="BI66" s="152">
        <v>80</v>
      </c>
      <c r="BK66" s="152">
        <v>80</v>
      </c>
      <c r="CZ66" s="152">
        <v>80</v>
      </c>
      <c r="DA66" s="152">
        <v>80</v>
      </c>
      <c r="DB66" s="152">
        <v>80</v>
      </c>
      <c r="DC66" s="155">
        <v>130</v>
      </c>
      <c r="DE66" s="152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1066</v>
      </c>
      <c r="H67" s="56">
        <v>3</v>
      </c>
      <c r="I67" s="56" t="s">
        <v>1173</v>
      </c>
      <c r="J67" s="56" t="s">
        <v>1187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P67" s="152">
        <v>160</v>
      </c>
      <c r="AQ67" s="152">
        <v>160</v>
      </c>
      <c r="AR67" s="152">
        <v>160</v>
      </c>
      <c r="AU67" s="152">
        <v>160</v>
      </c>
      <c r="AZ67" s="152">
        <v>150</v>
      </c>
      <c r="BD67" s="152">
        <v>70</v>
      </c>
      <c r="BE67" s="152">
        <v>70</v>
      </c>
      <c r="BF67" s="152">
        <v>70</v>
      </c>
      <c r="BG67" s="152">
        <v>150</v>
      </c>
      <c r="BH67" s="108"/>
      <c r="BI67" s="152">
        <v>70</v>
      </c>
      <c r="BK67" s="152">
        <v>70</v>
      </c>
      <c r="CZ67" s="152">
        <v>70</v>
      </c>
      <c r="DA67" s="152">
        <v>70</v>
      </c>
      <c r="DB67" s="152">
        <v>70</v>
      </c>
      <c r="DC67" s="155">
        <v>140</v>
      </c>
      <c r="DE67" s="152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1067</v>
      </c>
      <c r="H68" s="56">
        <v>5</v>
      </c>
      <c r="I68" s="56" t="s">
        <v>1173</v>
      </c>
      <c r="J68" s="56" t="s">
        <v>1187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P68" s="152">
        <v>200</v>
      </c>
      <c r="AQ68" s="152">
        <v>200</v>
      </c>
      <c r="AR68" s="152">
        <v>200</v>
      </c>
      <c r="AU68" s="152">
        <v>200</v>
      </c>
      <c r="AZ68" s="152">
        <v>180</v>
      </c>
      <c r="BD68" s="152">
        <v>50</v>
      </c>
      <c r="BE68" s="152">
        <v>50</v>
      </c>
      <c r="BF68" s="152">
        <v>50</v>
      </c>
      <c r="BG68" s="152">
        <v>200</v>
      </c>
      <c r="BI68" s="152">
        <v>50</v>
      </c>
      <c r="BK68" s="152">
        <v>50</v>
      </c>
      <c r="CZ68" s="152">
        <v>50</v>
      </c>
      <c r="DA68" s="152">
        <v>50</v>
      </c>
      <c r="DB68" s="152">
        <v>50</v>
      </c>
      <c r="DC68" s="155">
        <v>150</v>
      </c>
      <c r="DE68" s="152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09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171"/>
      <c r="AP75" s="56"/>
      <c r="AQ75" s="56"/>
      <c r="AR75" s="56"/>
      <c r="AS75" s="56"/>
      <c r="AT75" s="56"/>
      <c r="AU75" s="56"/>
      <c r="AV75" s="56"/>
      <c r="AW75" s="171"/>
      <c r="AX75" s="56"/>
      <c r="AY75" s="56"/>
      <c r="AZ75" s="56"/>
      <c r="BA75" s="171"/>
      <c r="BB75" s="56"/>
      <c r="BC75" s="10"/>
      <c r="BD75" s="56"/>
      <c r="BE75" s="56"/>
      <c r="BF75" s="56"/>
      <c r="BG75" s="56"/>
      <c r="BO75" s="144"/>
      <c r="CI75" s="144"/>
      <c r="CY75" s="144"/>
    </row>
    <row r="76" spans="1:109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171"/>
      <c r="AP76" s="56"/>
      <c r="AQ76" s="56"/>
      <c r="AR76" s="56"/>
      <c r="AS76" s="56"/>
      <c r="AT76" s="56"/>
      <c r="AU76" s="56"/>
      <c r="AV76" s="56"/>
      <c r="AW76" s="171"/>
      <c r="AX76" s="56"/>
      <c r="AY76" s="56"/>
      <c r="AZ76" s="56"/>
      <c r="BA76" s="171"/>
      <c r="BB76" s="56"/>
      <c r="BC76" s="10"/>
      <c r="BD76" s="56"/>
      <c r="BE76" s="56"/>
      <c r="BF76" s="56"/>
      <c r="BG76" s="56"/>
      <c r="BO76" s="144"/>
      <c r="CI76" s="144"/>
      <c r="CY76" s="144"/>
    </row>
    <row r="77" spans="1:109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171"/>
      <c r="AP77" s="56"/>
      <c r="AQ77" s="56"/>
      <c r="AR77" s="56"/>
      <c r="AS77" s="56"/>
      <c r="AT77" s="56"/>
      <c r="AU77" s="56"/>
      <c r="AV77" s="56"/>
      <c r="AW77" s="171"/>
      <c r="AX77" s="56"/>
      <c r="AY77" s="56"/>
      <c r="AZ77" s="56"/>
      <c r="BA77" s="171"/>
      <c r="BB77" s="56"/>
      <c r="BC77" s="10"/>
      <c r="BD77" s="56"/>
      <c r="BE77" s="56"/>
      <c r="BF77" s="56"/>
      <c r="BG77" s="56"/>
      <c r="BO77" s="144"/>
      <c r="CI77" s="144"/>
      <c r="CY77" s="144"/>
    </row>
    <row r="78" spans="1:109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171"/>
      <c r="AP78" s="56"/>
      <c r="AQ78" s="56"/>
      <c r="AR78" s="56"/>
      <c r="AS78" s="56"/>
      <c r="AT78" s="56"/>
      <c r="AU78" s="56"/>
      <c r="AV78" s="56"/>
      <c r="AW78" s="171"/>
      <c r="AX78" s="56"/>
      <c r="AY78" s="56"/>
      <c r="AZ78" s="56"/>
      <c r="BA78" s="171"/>
      <c r="BB78" s="56"/>
      <c r="BC78" s="10"/>
      <c r="BD78" s="56"/>
      <c r="BE78" s="56"/>
      <c r="BF78" s="56"/>
      <c r="BG78" s="56"/>
      <c r="BO78" s="144"/>
      <c r="CI78" s="144"/>
      <c r="CY78" s="144"/>
    </row>
    <row r="79" spans="1:109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171"/>
      <c r="AP79" s="56"/>
      <c r="AQ79" s="56"/>
      <c r="AR79" s="56"/>
      <c r="AS79" s="56"/>
      <c r="AT79" s="56"/>
      <c r="AU79" s="56"/>
      <c r="AV79" s="56"/>
      <c r="AW79" s="171"/>
      <c r="AX79" s="56"/>
      <c r="AY79" s="56"/>
      <c r="AZ79" s="56"/>
      <c r="BA79" s="171"/>
      <c r="BB79" s="56"/>
      <c r="BC79" s="10"/>
      <c r="BD79" s="56"/>
      <c r="BE79" s="56"/>
      <c r="BF79" s="56"/>
      <c r="BG79" s="56"/>
      <c r="BO79" s="144"/>
      <c r="CI79" s="144"/>
      <c r="CY79" s="144"/>
    </row>
    <row r="80" spans="1:109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171"/>
      <c r="AP80" s="56"/>
      <c r="AQ80" s="56"/>
      <c r="AR80" s="56"/>
      <c r="AS80" s="56"/>
      <c r="AT80" s="56"/>
      <c r="AU80" s="56"/>
      <c r="AV80" s="56"/>
      <c r="AW80" s="171"/>
      <c r="AX80" s="56"/>
      <c r="AY80" s="56"/>
      <c r="AZ80" s="56"/>
      <c r="BA80" s="171"/>
      <c r="BB80" s="56"/>
      <c r="BC80" s="10"/>
      <c r="BD80" s="56"/>
      <c r="BE80" s="56"/>
      <c r="BF80" s="56"/>
      <c r="BG80" s="56"/>
      <c r="BO80" s="144"/>
      <c r="CI80" s="144"/>
      <c r="CY80" s="144"/>
    </row>
    <row r="81" spans="1:106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171"/>
      <c r="AP81" s="56"/>
      <c r="AQ81" s="56"/>
      <c r="AR81" s="56"/>
      <c r="AS81" s="56"/>
      <c r="AT81" s="56"/>
      <c r="AU81" s="56"/>
      <c r="AV81" s="56"/>
      <c r="AW81" s="171"/>
      <c r="AX81" s="56"/>
      <c r="AY81" s="56"/>
      <c r="AZ81" s="56"/>
      <c r="BA81" s="171"/>
      <c r="BB81" s="56"/>
      <c r="BC81" s="10"/>
      <c r="BD81" s="56"/>
      <c r="BE81" s="56"/>
      <c r="BF81" s="56"/>
      <c r="BG81" s="56"/>
      <c r="BO81" s="144"/>
      <c r="CI81" s="144"/>
      <c r="CY81" s="144"/>
    </row>
    <row r="82" spans="1:106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171"/>
      <c r="AP82" s="56"/>
      <c r="AQ82" s="56"/>
      <c r="AR82" s="56"/>
      <c r="AS82" s="56"/>
      <c r="AT82" s="56"/>
      <c r="AU82" s="56"/>
      <c r="AV82" s="56"/>
      <c r="AW82" s="171"/>
      <c r="AX82" s="56"/>
      <c r="AY82" s="56"/>
      <c r="AZ82" s="56"/>
      <c r="BA82" s="171"/>
      <c r="BB82" s="56"/>
      <c r="BC82" s="10"/>
      <c r="BD82" s="56"/>
      <c r="BE82" s="56"/>
      <c r="BF82" s="56"/>
      <c r="BG82" s="56"/>
      <c r="BO82" s="144"/>
      <c r="CI82" s="144"/>
      <c r="CY82" s="144"/>
    </row>
    <row r="83" spans="1:106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171"/>
      <c r="AP83" s="56"/>
      <c r="AQ83" s="56"/>
      <c r="AR83" s="56"/>
      <c r="AS83" s="56"/>
      <c r="AT83" s="56"/>
      <c r="AU83" s="56"/>
      <c r="AV83" s="56"/>
      <c r="AW83" s="171"/>
      <c r="AX83" s="56"/>
      <c r="AY83" s="56"/>
      <c r="AZ83" s="56"/>
      <c r="BA83" s="171"/>
      <c r="BB83" s="56"/>
      <c r="BC83" s="10"/>
      <c r="BD83" s="56"/>
      <c r="BE83" s="56"/>
      <c r="BF83" s="56"/>
      <c r="BG83" s="56"/>
      <c r="BO83" s="144"/>
      <c r="CI83" s="144"/>
      <c r="CY83" s="144"/>
    </row>
    <row r="84" spans="1:106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171"/>
      <c r="AP84" s="56"/>
      <c r="AQ84" s="56"/>
      <c r="AR84" s="56"/>
      <c r="AS84" s="56"/>
      <c r="AT84" s="56"/>
      <c r="AU84" s="56"/>
      <c r="AV84" s="56"/>
      <c r="AW84" s="171"/>
      <c r="AX84" s="56"/>
      <c r="AY84" s="56"/>
      <c r="AZ84" s="56"/>
      <c r="BA84" s="171"/>
      <c r="BB84" s="56"/>
      <c r="BC84" s="10"/>
      <c r="BD84" s="56"/>
      <c r="BE84" s="56"/>
      <c r="BF84" s="56"/>
      <c r="BG84" s="56"/>
      <c r="BO84" s="144"/>
      <c r="CI84" s="144"/>
      <c r="CY84" s="144"/>
    </row>
    <row r="85" spans="1:106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876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1097</v>
      </c>
      <c r="S85" s="57">
        <v>100</v>
      </c>
      <c r="T85" s="57" t="s">
        <v>1101</v>
      </c>
      <c r="U85" s="57" t="s">
        <v>1102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172"/>
      <c r="AP85" s="57"/>
      <c r="AQ85" s="57"/>
      <c r="AR85" s="57"/>
      <c r="AS85" s="57"/>
      <c r="AT85" s="57"/>
      <c r="AU85" s="57"/>
      <c r="AV85" s="57"/>
      <c r="AW85" s="172"/>
      <c r="AX85" s="57"/>
      <c r="AY85" s="57"/>
      <c r="AZ85" s="57"/>
      <c r="BA85" s="172"/>
      <c r="BB85" s="57"/>
      <c r="BC85" s="17"/>
      <c r="BD85" s="57"/>
      <c r="BE85" s="153">
        <v>150</v>
      </c>
      <c r="BF85" s="153">
        <v>150</v>
      </c>
      <c r="BG85" s="57"/>
      <c r="BN85" s="153">
        <v>250</v>
      </c>
      <c r="BO85" s="143"/>
      <c r="CI85" s="143"/>
      <c r="CY85" s="143"/>
      <c r="DA85" s="154">
        <v>90</v>
      </c>
      <c r="DB85" s="154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877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1098</v>
      </c>
      <c r="S86" s="56">
        <v>200</v>
      </c>
      <c r="T86" s="56" t="s">
        <v>1101</v>
      </c>
      <c r="U86" s="56" t="s">
        <v>1103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E86" s="152">
        <v>180</v>
      </c>
      <c r="BF86" s="152">
        <v>180</v>
      </c>
      <c r="BH86" s="108"/>
      <c r="BN86" s="152">
        <v>280</v>
      </c>
      <c r="DA86" s="155">
        <v>70</v>
      </c>
      <c r="DB86" s="155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878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1098</v>
      </c>
      <c r="S87" s="56">
        <v>300</v>
      </c>
      <c r="T87" s="56" t="s">
        <v>1101</v>
      </c>
      <c r="U87" s="56" t="s">
        <v>1104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E87" s="152">
        <v>260</v>
      </c>
      <c r="BF87" s="152">
        <v>260</v>
      </c>
      <c r="BH87" s="108"/>
      <c r="BN87" s="152">
        <v>360</v>
      </c>
      <c r="DA87" s="155">
        <v>60</v>
      </c>
      <c r="DB87" s="155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969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1098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AZ88" s="56">
        <v>80</v>
      </c>
      <c r="BE88" s="152">
        <v>150</v>
      </c>
      <c r="BF88" s="152">
        <v>150</v>
      </c>
      <c r="BN88" s="152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970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1098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AZ89" s="56">
        <v>70</v>
      </c>
      <c r="BE89" s="152">
        <v>180</v>
      </c>
      <c r="BF89" s="152">
        <v>180</v>
      </c>
      <c r="BN89" s="152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971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1098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AZ90" s="56">
        <v>60</v>
      </c>
      <c r="BE90" s="152">
        <v>260</v>
      </c>
      <c r="BF90" s="152">
        <v>260</v>
      </c>
      <c r="BN90" s="152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6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171"/>
      <c r="AP95" s="56"/>
      <c r="AQ95" s="56"/>
      <c r="AR95" s="56"/>
      <c r="AS95" s="56"/>
      <c r="AT95" s="56"/>
      <c r="AU95" s="56"/>
      <c r="AV95" s="56"/>
      <c r="AW95" s="171"/>
      <c r="AX95" s="56"/>
      <c r="AY95" s="56"/>
      <c r="AZ95" s="56"/>
      <c r="BA95" s="171"/>
      <c r="BB95" s="56"/>
      <c r="BC95" s="10"/>
      <c r="BD95" s="56"/>
      <c r="BE95" s="56"/>
      <c r="BF95" s="56"/>
      <c r="BG95" s="56"/>
      <c r="BO95" s="144"/>
      <c r="CI95" s="144"/>
      <c r="CY95" s="144"/>
    </row>
    <row r="96" spans="1:106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171"/>
      <c r="AP96" s="56"/>
      <c r="AQ96" s="56"/>
      <c r="AR96" s="56"/>
      <c r="AS96" s="56"/>
      <c r="AT96" s="56"/>
      <c r="AU96" s="56"/>
      <c r="AV96" s="56"/>
      <c r="AW96" s="171"/>
      <c r="AX96" s="56"/>
      <c r="AY96" s="56"/>
      <c r="AZ96" s="56"/>
      <c r="BA96" s="171"/>
      <c r="BB96" s="56"/>
      <c r="BC96" s="10"/>
      <c r="BD96" s="56"/>
      <c r="BE96" s="56"/>
      <c r="BF96" s="56"/>
      <c r="BG96" s="56"/>
      <c r="BO96" s="144"/>
      <c r="CI96" s="144"/>
      <c r="CY96" s="144"/>
    </row>
    <row r="97" spans="1:103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171"/>
      <c r="AP97" s="56"/>
      <c r="AQ97" s="56"/>
      <c r="AR97" s="56"/>
      <c r="AS97" s="56"/>
      <c r="AT97" s="56"/>
      <c r="AU97" s="56"/>
      <c r="AV97" s="56"/>
      <c r="AW97" s="171"/>
      <c r="AX97" s="56"/>
      <c r="AY97" s="56"/>
      <c r="AZ97" s="56"/>
      <c r="BA97" s="171"/>
      <c r="BB97" s="56"/>
      <c r="BC97" s="10"/>
      <c r="BD97" s="56"/>
      <c r="BE97" s="56"/>
      <c r="BF97" s="56"/>
      <c r="BG97" s="56"/>
      <c r="BO97" s="144"/>
      <c r="CI97" s="144"/>
      <c r="CY97" s="144"/>
    </row>
    <row r="98" spans="1:103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171"/>
      <c r="AP98" s="56"/>
      <c r="AQ98" s="56"/>
      <c r="AR98" s="56"/>
      <c r="AS98" s="56"/>
      <c r="AT98" s="56"/>
      <c r="AU98" s="56"/>
      <c r="AV98" s="56"/>
      <c r="AW98" s="171"/>
      <c r="AX98" s="56"/>
      <c r="AY98" s="56"/>
      <c r="AZ98" s="56"/>
      <c r="BA98" s="171"/>
      <c r="BB98" s="56"/>
      <c r="BC98" s="10"/>
      <c r="BD98" s="56"/>
      <c r="BE98" s="56"/>
      <c r="BF98" s="56"/>
      <c r="BG98" s="56"/>
      <c r="BO98" s="144"/>
      <c r="CI98" s="144"/>
      <c r="CY98" s="144"/>
    </row>
    <row r="99" spans="1:103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171"/>
      <c r="AP99" s="56"/>
      <c r="AQ99" s="56"/>
      <c r="AR99" s="56"/>
      <c r="AS99" s="56"/>
      <c r="AT99" s="56"/>
      <c r="AU99" s="56"/>
      <c r="AV99" s="56"/>
      <c r="AW99" s="171"/>
      <c r="AX99" s="56"/>
      <c r="AY99" s="56"/>
      <c r="AZ99" s="56"/>
      <c r="BA99" s="171"/>
      <c r="BB99" s="56"/>
      <c r="BC99" s="10"/>
      <c r="BD99" s="56"/>
      <c r="BE99" s="56"/>
      <c r="BF99" s="56"/>
      <c r="BG99" s="56"/>
      <c r="BO99" s="144"/>
      <c r="CI99" s="144"/>
      <c r="CY99" s="144"/>
    </row>
    <row r="100" spans="1:103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171"/>
      <c r="AP100" s="56"/>
      <c r="AQ100" s="56"/>
      <c r="AR100" s="56"/>
      <c r="AS100" s="56"/>
      <c r="AT100" s="56"/>
      <c r="AU100" s="56"/>
      <c r="AV100" s="56"/>
      <c r="AW100" s="171"/>
      <c r="AX100" s="56"/>
      <c r="AY100" s="56"/>
      <c r="AZ100" s="56"/>
      <c r="BA100" s="171"/>
      <c r="BB100" s="56"/>
      <c r="BC100" s="10"/>
      <c r="BD100" s="56"/>
      <c r="BE100" s="56"/>
      <c r="BF100" s="56"/>
      <c r="BG100" s="56"/>
      <c r="BO100" s="144"/>
      <c r="CI100" s="144"/>
      <c r="CY100" s="144"/>
    </row>
    <row r="101" spans="1:103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171"/>
      <c r="AP101" s="56"/>
      <c r="AQ101" s="56"/>
      <c r="AR101" s="56"/>
      <c r="AS101" s="56"/>
      <c r="AT101" s="56"/>
      <c r="AU101" s="56"/>
      <c r="AV101" s="56"/>
      <c r="AW101" s="171"/>
      <c r="AX101" s="56"/>
      <c r="AY101" s="56"/>
      <c r="AZ101" s="56"/>
      <c r="BA101" s="171"/>
      <c r="BB101" s="56"/>
      <c r="BC101" s="10"/>
      <c r="BD101" s="56"/>
      <c r="BE101" s="56"/>
      <c r="BF101" s="56"/>
      <c r="BG101" s="56"/>
      <c r="BO101" s="144"/>
      <c r="CI101" s="144"/>
      <c r="CY101" s="144"/>
    </row>
    <row r="102" spans="1:103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171"/>
      <c r="AP102" s="56"/>
      <c r="AQ102" s="56"/>
      <c r="AR102" s="56"/>
      <c r="AS102" s="56"/>
      <c r="AT102" s="56"/>
      <c r="AU102" s="56"/>
      <c r="AV102" s="56"/>
      <c r="AW102" s="171"/>
      <c r="AX102" s="56"/>
      <c r="AY102" s="56"/>
      <c r="AZ102" s="56"/>
      <c r="BA102" s="171"/>
      <c r="BB102" s="56"/>
      <c r="BC102" s="10"/>
      <c r="BD102" s="56"/>
      <c r="BE102" s="56"/>
      <c r="BF102" s="56"/>
      <c r="BG102" s="56"/>
      <c r="BO102" s="144"/>
      <c r="CI102" s="144"/>
      <c r="CY102" s="144"/>
    </row>
    <row r="103" spans="1:103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171"/>
      <c r="AP103" s="56"/>
      <c r="AQ103" s="56"/>
      <c r="AR103" s="56"/>
      <c r="AS103" s="56"/>
      <c r="AT103" s="56"/>
      <c r="AU103" s="56"/>
      <c r="AV103" s="56"/>
      <c r="AW103" s="171"/>
      <c r="AX103" s="56"/>
      <c r="AY103" s="56"/>
      <c r="AZ103" s="56"/>
      <c r="BA103" s="171"/>
      <c r="BB103" s="56"/>
      <c r="BC103" s="10"/>
      <c r="BD103" s="56"/>
      <c r="BE103" s="56"/>
      <c r="BF103" s="56"/>
      <c r="BG103" s="56"/>
      <c r="BO103" s="144"/>
      <c r="CI103" s="144"/>
      <c r="CY103" s="144"/>
    </row>
    <row r="104" spans="1:103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171"/>
      <c r="AP104" s="56"/>
      <c r="AQ104" s="56"/>
      <c r="AR104" s="56"/>
      <c r="AS104" s="56"/>
      <c r="AT104" s="56"/>
      <c r="AU104" s="56"/>
      <c r="AV104" s="56"/>
      <c r="AW104" s="171"/>
      <c r="AX104" s="56"/>
      <c r="AY104" s="56"/>
      <c r="AZ104" s="56"/>
      <c r="BA104" s="171"/>
      <c r="BB104" s="56"/>
      <c r="BC104" s="10"/>
      <c r="BD104" s="56"/>
      <c r="BE104" s="56"/>
      <c r="BF104" s="56"/>
      <c r="BG104" s="56"/>
      <c r="BO104" s="144"/>
      <c r="CI104" s="144"/>
      <c r="CY104" s="144"/>
    </row>
    <row r="105" spans="1:103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172"/>
      <c r="AP105" s="57"/>
      <c r="AQ105" s="57"/>
      <c r="AR105" s="57"/>
      <c r="AS105" s="57"/>
      <c r="AT105" s="57"/>
      <c r="AU105" s="57"/>
      <c r="AV105" s="57"/>
      <c r="AW105" s="172"/>
      <c r="AX105" s="57"/>
      <c r="AY105" s="57"/>
      <c r="AZ105" s="57"/>
      <c r="BA105" s="172"/>
      <c r="BB105" s="57"/>
      <c r="BC105" s="17"/>
      <c r="BD105" s="57"/>
      <c r="BE105" s="57"/>
      <c r="BF105" s="57"/>
      <c r="BG105" s="57"/>
      <c r="BO105" s="143"/>
      <c r="CI105" s="143"/>
      <c r="CY105" s="143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H106" s="108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H107" s="108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3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171"/>
      <c r="AP115" s="56"/>
      <c r="AQ115" s="56"/>
      <c r="AR115" s="56"/>
      <c r="AS115" s="56"/>
      <c r="AT115" s="56"/>
      <c r="AU115" s="56"/>
      <c r="AV115" s="56"/>
      <c r="AW115" s="171"/>
      <c r="AX115" s="56"/>
      <c r="AY115" s="56"/>
      <c r="AZ115" s="56"/>
      <c r="BA115" s="171"/>
      <c r="BB115" s="56"/>
      <c r="BC115" s="10"/>
      <c r="BD115" s="56"/>
      <c r="BE115" s="56"/>
      <c r="BF115" s="56"/>
      <c r="BG115" s="56"/>
      <c r="BO115" s="144"/>
      <c r="CI115" s="144"/>
      <c r="CY115" s="144"/>
    </row>
    <row r="116" spans="1:103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171"/>
      <c r="AP116" s="56"/>
      <c r="AQ116" s="56"/>
      <c r="AR116" s="56"/>
      <c r="AS116" s="56"/>
      <c r="AT116" s="56"/>
      <c r="AU116" s="56"/>
      <c r="AV116" s="56"/>
      <c r="AW116" s="171"/>
      <c r="AX116" s="56"/>
      <c r="AY116" s="56"/>
      <c r="AZ116" s="56"/>
      <c r="BA116" s="171"/>
      <c r="BB116" s="56"/>
      <c r="BC116" s="10"/>
      <c r="BD116" s="56"/>
      <c r="BE116" s="56"/>
      <c r="BF116" s="56"/>
      <c r="BG116" s="56"/>
      <c r="BO116" s="144"/>
      <c r="CI116" s="144"/>
      <c r="CY116" s="144"/>
    </row>
    <row r="117" spans="1:103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171"/>
      <c r="AP117" s="56"/>
      <c r="AQ117" s="56"/>
      <c r="AR117" s="56"/>
      <c r="AS117" s="56"/>
      <c r="AT117" s="56"/>
      <c r="AU117" s="56"/>
      <c r="AV117" s="56"/>
      <c r="AW117" s="171"/>
      <c r="AX117" s="56"/>
      <c r="AY117" s="56"/>
      <c r="AZ117" s="56"/>
      <c r="BA117" s="171"/>
      <c r="BB117" s="56"/>
      <c r="BC117" s="10"/>
      <c r="BD117" s="56"/>
      <c r="BE117" s="56"/>
      <c r="BF117" s="56"/>
      <c r="BG117" s="56"/>
      <c r="BO117" s="144"/>
      <c r="CI117" s="144"/>
      <c r="CY117" s="144"/>
    </row>
    <row r="118" spans="1:103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171"/>
      <c r="AP118" s="56"/>
      <c r="AQ118" s="56"/>
      <c r="AR118" s="56"/>
      <c r="AS118" s="56"/>
      <c r="AT118" s="56"/>
      <c r="AU118" s="56"/>
      <c r="AV118" s="56"/>
      <c r="AW118" s="171"/>
      <c r="AX118" s="56"/>
      <c r="AY118" s="56"/>
      <c r="AZ118" s="56"/>
      <c r="BA118" s="171"/>
      <c r="BB118" s="56"/>
      <c r="BC118" s="10"/>
      <c r="BD118" s="56"/>
      <c r="BE118" s="56"/>
      <c r="BF118" s="56"/>
      <c r="BG118" s="56"/>
      <c r="BO118" s="144"/>
      <c r="CI118" s="144"/>
      <c r="CY118" s="144"/>
    </row>
    <row r="119" spans="1:103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171"/>
      <c r="AP119" s="56"/>
      <c r="AQ119" s="56"/>
      <c r="AR119" s="56"/>
      <c r="AS119" s="56"/>
      <c r="AT119" s="56"/>
      <c r="AU119" s="56"/>
      <c r="AV119" s="56"/>
      <c r="AW119" s="171"/>
      <c r="AX119" s="56"/>
      <c r="AY119" s="56"/>
      <c r="AZ119" s="56"/>
      <c r="BA119" s="171"/>
      <c r="BB119" s="56"/>
      <c r="BC119" s="10"/>
      <c r="BD119" s="56"/>
      <c r="BE119" s="56"/>
      <c r="BF119" s="56"/>
      <c r="BG119" s="56"/>
      <c r="BO119" s="144"/>
      <c r="CI119" s="144"/>
      <c r="CY119" s="144"/>
    </row>
    <row r="120" spans="1:103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171"/>
      <c r="AP120" s="56"/>
      <c r="AQ120" s="56"/>
      <c r="AR120" s="56"/>
      <c r="AS120" s="56"/>
      <c r="AT120" s="56"/>
      <c r="AU120" s="56"/>
      <c r="AV120" s="56"/>
      <c r="AW120" s="171"/>
      <c r="AX120" s="56"/>
      <c r="AY120" s="56"/>
      <c r="AZ120" s="56"/>
      <c r="BA120" s="171"/>
      <c r="BB120" s="56"/>
      <c r="BC120" s="10"/>
      <c r="BD120" s="56"/>
      <c r="BE120" s="56"/>
      <c r="BF120" s="56"/>
      <c r="BG120" s="56"/>
      <c r="BO120" s="144"/>
      <c r="CI120" s="144"/>
      <c r="CY120" s="144"/>
    </row>
    <row r="121" spans="1:103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171"/>
      <c r="AP121" s="56"/>
      <c r="AQ121" s="56"/>
      <c r="AR121" s="56"/>
      <c r="AS121" s="56"/>
      <c r="AT121" s="56"/>
      <c r="AU121" s="56"/>
      <c r="AV121" s="56"/>
      <c r="AW121" s="171"/>
      <c r="AX121" s="56"/>
      <c r="AY121" s="56"/>
      <c r="AZ121" s="56"/>
      <c r="BA121" s="171"/>
      <c r="BB121" s="56"/>
      <c r="BC121" s="10"/>
      <c r="BD121" s="56"/>
      <c r="BE121" s="56"/>
      <c r="BF121" s="56"/>
      <c r="BG121" s="56"/>
      <c r="BO121" s="144"/>
      <c r="CI121" s="144"/>
      <c r="CY121" s="144"/>
    </row>
    <row r="122" spans="1:103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171"/>
      <c r="AP122" s="56"/>
      <c r="AQ122" s="56"/>
      <c r="AR122" s="56"/>
      <c r="AS122" s="56"/>
      <c r="AT122" s="56"/>
      <c r="AU122" s="56"/>
      <c r="AV122" s="56"/>
      <c r="AW122" s="171"/>
      <c r="AX122" s="56"/>
      <c r="AY122" s="56"/>
      <c r="AZ122" s="56"/>
      <c r="BA122" s="171"/>
      <c r="BB122" s="56"/>
      <c r="BC122" s="10"/>
      <c r="BD122" s="56"/>
      <c r="BE122" s="56"/>
      <c r="BF122" s="56"/>
      <c r="BG122" s="56"/>
      <c r="BO122" s="144"/>
      <c r="CI122" s="144"/>
      <c r="CY122" s="144"/>
    </row>
    <row r="123" spans="1:103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171"/>
      <c r="AP123" s="56"/>
      <c r="AQ123" s="56"/>
      <c r="AR123" s="56"/>
      <c r="AS123" s="56"/>
      <c r="AT123" s="56"/>
      <c r="AU123" s="56"/>
      <c r="AV123" s="56"/>
      <c r="AW123" s="171"/>
      <c r="AX123" s="56"/>
      <c r="AY123" s="56"/>
      <c r="AZ123" s="56"/>
      <c r="BA123" s="171"/>
      <c r="BB123" s="56"/>
      <c r="BC123" s="10"/>
      <c r="BD123" s="56"/>
      <c r="BE123" s="56"/>
      <c r="BF123" s="56"/>
      <c r="BG123" s="56"/>
      <c r="BO123" s="144"/>
      <c r="CI123" s="144"/>
      <c r="CY123" s="144"/>
    </row>
    <row r="124" spans="1:103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171"/>
      <c r="AP124" s="56"/>
      <c r="AQ124" s="56"/>
      <c r="AR124" s="56"/>
      <c r="AS124" s="56"/>
      <c r="AT124" s="56"/>
      <c r="AU124" s="56"/>
      <c r="AV124" s="56"/>
      <c r="AW124" s="171"/>
      <c r="AX124" s="56"/>
      <c r="AY124" s="56"/>
      <c r="AZ124" s="56"/>
      <c r="BA124" s="171"/>
      <c r="BB124" s="56"/>
      <c r="BC124" s="10"/>
      <c r="BD124" s="56"/>
      <c r="BE124" s="56"/>
      <c r="BF124" s="56"/>
      <c r="BG124" s="56"/>
      <c r="BO124" s="144"/>
      <c r="CI124" s="144"/>
      <c r="CY124" s="144"/>
    </row>
    <row r="125" spans="1:103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172"/>
      <c r="AP125" s="57"/>
      <c r="AQ125" s="57"/>
      <c r="AR125" s="57"/>
      <c r="AS125" s="57"/>
      <c r="AT125" s="57"/>
      <c r="AU125" s="57"/>
      <c r="AV125" s="57"/>
      <c r="AW125" s="172"/>
      <c r="AX125" s="57"/>
      <c r="AY125" s="57"/>
      <c r="AZ125" s="57"/>
      <c r="BA125" s="172"/>
      <c r="BB125" s="57"/>
      <c r="BC125" s="17"/>
      <c r="BD125" s="57"/>
      <c r="BE125" s="57"/>
      <c r="BF125" s="57"/>
      <c r="BG125" s="57"/>
      <c r="BO125" s="143"/>
      <c r="CI125" s="143"/>
      <c r="CY125" s="143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H126" s="108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H127" s="108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3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171"/>
      <c r="AP135" s="56"/>
      <c r="AQ135" s="56"/>
      <c r="AR135" s="56"/>
      <c r="AS135" s="56"/>
      <c r="AT135" s="56"/>
      <c r="AU135" s="56"/>
      <c r="AV135" s="56"/>
      <c r="AW135" s="171"/>
      <c r="AX135" s="56"/>
      <c r="AY135" s="56"/>
      <c r="AZ135" s="56"/>
      <c r="BA135" s="171"/>
      <c r="BB135" s="56"/>
      <c r="BC135" s="10"/>
      <c r="BD135" s="56"/>
      <c r="BE135" s="56"/>
      <c r="BF135" s="56"/>
      <c r="BG135" s="56"/>
      <c r="BO135" s="144"/>
      <c r="CI135" s="144"/>
      <c r="CY135" s="144"/>
    </row>
    <row r="136" spans="1:103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171"/>
      <c r="AP136" s="56"/>
      <c r="AQ136" s="56"/>
      <c r="AR136" s="56"/>
      <c r="AS136" s="56"/>
      <c r="AT136" s="56"/>
      <c r="AU136" s="56"/>
      <c r="AV136" s="56"/>
      <c r="AW136" s="171"/>
      <c r="AX136" s="56"/>
      <c r="AY136" s="56"/>
      <c r="AZ136" s="56"/>
      <c r="BA136" s="171"/>
      <c r="BB136" s="56"/>
      <c r="BC136" s="10"/>
      <c r="BD136" s="56"/>
      <c r="BE136" s="56"/>
      <c r="BF136" s="56"/>
      <c r="BG136" s="56"/>
      <c r="BO136" s="144"/>
      <c r="CI136" s="144"/>
      <c r="CY136" s="144"/>
    </row>
    <row r="137" spans="1:103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171"/>
      <c r="AP137" s="56"/>
      <c r="AQ137" s="56"/>
      <c r="AR137" s="56"/>
      <c r="AS137" s="56"/>
      <c r="AT137" s="56"/>
      <c r="AU137" s="56"/>
      <c r="AV137" s="56"/>
      <c r="AW137" s="171"/>
      <c r="AX137" s="56"/>
      <c r="AY137" s="56"/>
      <c r="AZ137" s="56"/>
      <c r="BA137" s="171"/>
      <c r="BB137" s="56"/>
      <c r="BC137" s="10"/>
      <c r="BD137" s="56"/>
      <c r="BE137" s="56"/>
      <c r="BF137" s="56"/>
      <c r="BG137" s="56"/>
      <c r="BO137" s="144"/>
      <c r="CI137" s="144"/>
      <c r="CY137" s="144"/>
    </row>
    <row r="138" spans="1:103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171"/>
      <c r="AP138" s="56"/>
      <c r="AQ138" s="56"/>
      <c r="AR138" s="56"/>
      <c r="AS138" s="56"/>
      <c r="AT138" s="56"/>
      <c r="AU138" s="56"/>
      <c r="AV138" s="56"/>
      <c r="AW138" s="171"/>
      <c r="AX138" s="56"/>
      <c r="AY138" s="56"/>
      <c r="AZ138" s="56"/>
      <c r="BA138" s="171"/>
      <c r="BB138" s="56"/>
      <c r="BC138" s="10"/>
      <c r="BD138" s="56"/>
      <c r="BE138" s="56"/>
      <c r="BF138" s="56"/>
      <c r="BG138" s="56"/>
      <c r="BO138" s="144"/>
      <c r="CI138" s="144"/>
      <c r="CY138" s="144"/>
    </row>
    <row r="139" spans="1:103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171"/>
      <c r="AP139" s="56"/>
      <c r="AQ139" s="56"/>
      <c r="AR139" s="56"/>
      <c r="AS139" s="56"/>
      <c r="AT139" s="56"/>
      <c r="AU139" s="56"/>
      <c r="AV139" s="56"/>
      <c r="AW139" s="171"/>
      <c r="AX139" s="56"/>
      <c r="AY139" s="56"/>
      <c r="AZ139" s="56"/>
      <c r="BA139" s="171"/>
      <c r="BB139" s="56"/>
      <c r="BC139" s="10"/>
      <c r="BD139" s="56"/>
      <c r="BE139" s="56"/>
      <c r="BF139" s="56"/>
      <c r="BG139" s="56"/>
      <c r="BO139" s="144"/>
      <c r="CI139" s="144"/>
      <c r="CY139" s="144"/>
    </row>
    <row r="140" spans="1:103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171"/>
      <c r="AP140" s="56"/>
      <c r="AQ140" s="56"/>
      <c r="AR140" s="56"/>
      <c r="AS140" s="56"/>
      <c r="AT140" s="56"/>
      <c r="AU140" s="56"/>
      <c r="AV140" s="56"/>
      <c r="AW140" s="171"/>
      <c r="AX140" s="56"/>
      <c r="AY140" s="56"/>
      <c r="AZ140" s="56"/>
      <c r="BA140" s="171"/>
      <c r="BB140" s="56"/>
      <c r="BC140" s="10"/>
      <c r="BD140" s="56"/>
      <c r="BE140" s="56"/>
      <c r="BF140" s="56"/>
      <c r="BG140" s="56"/>
      <c r="BO140" s="144"/>
      <c r="CI140" s="144"/>
      <c r="CY140" s="144"/>
    </row>
    <row r="141" spans="1:103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171"/>
      <c r="AP141" s="56"/>
      <c r="AQ141" s="56"/>
      <c r="AR141" s="56"/>
      <c r="AS141" s="56"/>
      <c r="AT141" s="56"/>
      <c r="AU141" s="56"/>
      <c r="AV141" s="56"/>
      <c r="AW141" s="171"/>
      <c r="AX141" s="56"/>
      <c r="AY141" s="56"/>
      <c r="AZ141" s="56"/>
      <c r="BA141" s="171"/>
      <c r="BB141" s="56"/>
      <c r="BC141" s="10"/>
      <c r="BD141" s="56"/>
      <c r="BE141" s="56"/>
      <c r="BF141" s="56"/>
      <c r="BG141" s="56"/>
      <c r="BO141" s="144"/>
      <c r="CI141" s="144"/>
      <c r="CY141" s="144"/>
    </row>
    <row r="142" spans="1:103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171"/>
      <c r="AP142" s="56"/>
      <c r="AQ142" s="56"/>
      <c r="AR142" s="56"/>
      <c r="AS142" s="56"/>
      <c r="AT142" s="56"/>
      <c r="AU142" s="56"/>
      <c r="AV142" s="56"/>
      <c r="AW142" s="171"/>
      <c r="AX142" s="56"/>
      <c r="AY142" s="56"/>
      <c r="AZ142" s="56"/>
      <c r="BA142" s="171"/>
      <c r="BB142" s="56"/>
      <c r="BC142" s="10"/>
      <c r="BD142" s="56"/>
      <c r="BE142" s="56"/>
      <c r="BF142" s="56"/>
      <c r="BG142" s="56"/>
      <c r="BO142" s="144"/>
      <c r="CI142" s="144"/>
      <c r="CY142" s="144"/>
    </row>
    <row r="143" spans="1:103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171"/>
      <c r="AP143" s="56"/>
      <c r="AQ143" s="56"/>
      <c r="AR143" s="56"/>
      <c r="AS143" s="56"/>
      <c r="AT143" s="56"/>
      <c r="AU143" s="56"/>
      <c r="AV143" s="56"/>
      <c r="AW143" s="171"/>
      <c r="AX143" s="56"/>
      <c r="AY143" s="56"/>
      <c r="AZ143" s="56"/>
      <c r="BA143" s="171"/>
      <c r="BB143" s="56"/>
      <c r="BC143" s="10"/>
      <c r="BD143" s="56"/>
      <c r="BE143" s="56"/>
      <c r="BF143" s="56"/>
      <c r="BG143" s="56"/>
      <c r="BO143" s="144"/>
      <c r="CI143" s="144"/>
      <c r="CY143" s="144"/>
    </row>
    <row r="144" spans="1:103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171"/>
      <c r="AP144" s="56"/>
      <c r="AQ144" s="56"/>
      <c r="AR144" s="56"/>
      <c r="AS144" s="56"/>
      <c r="AT144" s="56"/>
      <c r="AU144" s="56"/>
      <c r="AV144" s="56"/>
      <c r="AW144" s="171"/>
      <c r="AX144" s="56"/>
      <c r="AY144" s="56"/>
      <c r="AZ144" s="56"/>
      <c r="BA144" s="171"/>
      <c r="BB144" s="56"/>
      <c r="BC144" s="10"/>
      <c r="BD144" s="56"/>
      <c r="BE144" s="56"/>
      <c r="BF144" s="56"/>
      <c r="BG144" s="56"/>
      <c r="BO144" s="144"/>
      <c r="CI144" s="144"/>
      <c r="CY144" s="144"/>
    </row>
    <row r="145" spans="1:103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172"/>
      <c r="AP145" s="57"/>
      <c r="AQ145" s="57"/>
      <c r="AR145" s="57"/>
      <c r="AS145" s="57"/>
      <c r="AT145" s="57"/>
      <c r="AU145" s="57"/>
      <c r="AV145" s="57"/>
      <c r="AW145" s="172"/>
      <c r="AX145" s="57"/>
      <c r="AY145" s="57"/>
      <c r="AZ145" s="57"/>
      <c r="BA145" s="172"/>
      <c r="BB145" s="57"/>
      <c r="BC145" s="17"/>
      <c r="BD145" s="57"/>
      <c r="BE145" s="57"/>
      <c r="BF145" s="57"/>
      <c r="BG145" s="57"/>
      <c r="BO145" s="143"/>
      <c r="CI145" s="143"/>
      <c r="CY145" s="143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H146" s="108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H147" s="108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3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171"/>
      <c r="AP155" s="56"/>
      <c r="AQ155" s="56"/>
      <c r="AR155" s="56"/>
      <c r="AS155" s="56"/>
      <c r="AT155" s="56"/>
      <c r="AU155" s="56"/>
      <c r="AV155" s="56"/>
      <c r="AW155" s="171"/>
      <c r="AX155" s="56"/>
      <c r="AY155" s="56"/>
      <c r="AZ155" s="56"/>
      <c r="BA155" s="171"/>
      <c r="BB155" s="56"/>
      <c r="BC155" s="10"/>
      <c r="BD155" s="56"/>
      <c r="BE155" s="56"/>
      <c r="BF155" s="56"/>
      <c r="BG155" s="56"/>
      <c r="BO155" s="144"/>
      <c r="CI155" s="144"/>
      <c r="CY155" s="144"/>
    </row>
    <row r="156" spans="1:103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171"/>
      <c r="AP156" s="56"/>
      <c r="AQ156" s="56"/>
      <c r="AR156" s="56"/>
      <c r="AS156" s="56"/>
      <c r="AT156" s="56"/>
      <c r="AU156" s="56"/>
      <c r="AV156" s="56"/>
      <c r="AW156" s="171"/>
      <c r="AX156" s="56"/>
      <c r="AY156" s="56"/>
      <c r="AZ156" s="56"/>
      <c r="BA156" s="171"/>
      <c r="BB156" s="56"/>
      <c r="BC156" s="10"/>
      <c r="BD156" s="56"/>
      <c r="BE156" s="56"/>
      <c r="BF156" s="56"/>
      <c r="BG156" s="56"/>
      <c r="BO156" s="144"/>
      <c r="CI156" s="144"/>
      <c r="CY156" s="144"/>
    </row>
    <row r="157" spans="1:103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171"/>
      <c r="AP157" s="56"/>
      <c r="AQ157" s="56"/>
      <c r="AR157" s="56"/>
      <c r="AS157" s="56"/>
      <c r="AT157" s="56"/>
      <c r="AU157" s="56"/>
      <c r="AV157" s="56"/>
      <c r="AW157" s="171"/>
      <c r="AX157" s="56"/>
      <c r="AY157" s="56"/>
      <c r="AZ157" s="56"/>
      <c r="BA157" s="171"/>
      <c r="BB157" s="56"/>
      <c r="BC157" s="10"/>
      <c r="BD157" s="56"/>
      <c r="BE157" s="56"/>
      <c r="BF157" s="56"/>
      <c r="BG157" s="56"/>
      <c r="BO157" s="144"/>
      <c r="CI157" s="144"/>
      <c r="CY157" s="144"/>
    </row>
    <row r="158" spans="1:103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171"/>
      <c r="AP158" s="56"/>
      <c r="AQ158" s="56"/>
      <c r="AR158" s="56"/>
      <c r="AS158" s="56"/>
      <c r="AT158" s="56"/>
      <c r="AU158" s="56"/>
      <c r="AV158" s="56"/>
      <c r="AW158" s="171"/>
      <c r="AX158" s="56"/>
      <c r="AY158" s="56"/>
      <c r="AZ158" s="56"/>
      <c r="BA158" s="171"/>
      <c r="BB158" s="56"/>
      <c r="BC158" s="10"/>
      <c r="BD158" s="56"/>
      <c r="BE158" s="56"/>
      <c r="BF158" s="56"/>
      <c r="BG158" s="56"/>
      <c r="BO158" s="144"/>
      <c r="CI158" s="144"/>
      <c r="CY158" s="144"/>
    </row>
    <row r="159" spans="1:103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171"/>
      <c r="AP159" s="56"/>
      <c r="AQ159" s="56"/>
      <c r="AR159" s="56"/>
      <c r="AS159" s="56"/>
      <c r="AT159" s="56"/>
      <c r="AU159" s="56"/>
      <c r="AV159" s="56"/>
      <c r="AW159" s="171"/>
      <c r="AX159" s="56"/>
      <c r="AY159" s="56"/>
      <c r="AZ159" s="56"/>
      <c r="BA159" s="171"/>
      <c r="BB159" s="56"/>
      <c r="BC159" s="10"/>
      <c r="BD159" s="56"/>
      <c r="BE159" s="56"/>
      <c r="BF159" s="56"/>
      <c r="BG159" s="56"/>
      <c r="BO159" s="144"/>
      <c r="CI159" s="144"/>
      <c r="CY159" s="144"/>
    </row>
    <row r="160" spans="1:103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171"/>
      <c r="AP160" s="56"/>
      <c r="AQ160" s="56"/>
      <c r="AR160" s="56"/>
      <c r="AS160" s="56"/>
      <c r="AT160" s="56"/>
      <c r="AU160" s="56"/>
      <c r="AV160" s="56"/>
      <c r="AW160" s="171"/>
      <c r="AX160" s="56"/>
      <c r="AY160" s="56"/>
      <c r="AZ160" s="56"/>
      <c r="BA160" s="171"/>
      <c r="BB160" s="56"/>
      <c r="BC160" s="10"/>
      <c r="BD160" s="56"/>
      <c r="BE160" s="56"/>
      <c r="BF160" s="56"/>
      <c r="BG160" s="56"/>
      <c r="BO160" s="144"/>
      <c r="CI160" s="144"/>
      <c r="CY160" s="144"/>
    </row>
    <row r="161" spans="1:103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171"/>
      <c r="AP161" s="56"/>
      <c r="AQ161" s="56"/>
      <c r="AR161" s="56"/>
      <c r="AS161" s="56"/>
      <c r="AT161" s="56"/>
      <c r="AU161" s="56"/>
      <c r="AV161" s="56"/>
      <c r="AW161" s="171"/>
      <c r="AX161" s="56"/>
      <c r="AY161" s="56"/>
      <c r="AZ161" s="56"/>
      <c r="BA161" s="171"/>
      <c r="BB161" s="56"/>
      <c r="BC161" s="10"/>
      <c r="BD161" s="56"/>
      <c r="BE161" s="56"/>
      <c r="BF161" s="56"/>
      <c r="BG161" s="56"/>
      <c r="BO161" s="144"/>
      <c r="CI161" s="144"/>
      <c r="CY161" s="144"/>
    </row>
    <row r="162" spans="1:103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171"/>
      <c r="AP162" s="56"/>
      <c r="AQ162" s="56"/>
      <c r="AR162" s="56"/>
      <c r="AS162" s="56"/>
      <c r="AT162" s="56"/>
      <c r="AU162" s="56"/>
      <c r="AV162" s="56"/>
      <c r="AW162" s="171"/>
      <c r="AX162" s="56"/>
      <c r="AY162" s="56"/>
      <c r="AZ162" s="56"/>
      <c r="BA162" s="171"/>
      <c r="BB162" s="56"/>
      <c r="BC162" s="10"/>
      <c r="BD162" s="56"/>
      <c r="BE162" s="56"/>
      <c r="BF162" s="56"/>
      <c r="BG162" s="56"/>
      <c r="BO162" s="144"/>
      <c r="CI162" s="144"/>
      <c r="CY162" s="144"/>
    </row>
    <row r="163" spans="1:103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171"/>
      <c r="AP163" s="56"/>
      <c r="AQ163" s="56"/>
      <c r="AR163" s="56"/>
      <c r="AS163" s="56"/>
      <c r="AT163" s="56"/>
      <c r="AU163" s="56"/>
      <c r="AV163" s="56"/>
      <c r="AW163" s="171"/>
      <c r="AX163" s="56"/>
      <c r="AY163" s="56"/>
      <c r="AZ163" s="56"/>
      <c r="BA163" s="171"/>
      <c r="BB163" s="56"/>
      <c r="BC163" s="10"/>
      <c r="BD163" s="56"/>
      <c r="BE163" s="56"/>
      <c r="BF163" s="56"/>
      <c r="BG163" s="56"/>
      <c r="BO163" s="144"/>
      <c r="CI163" s="144"/>
      <c r="CY163" s="144"/>
    </row>
    <row r="164" spans="1:103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171"/>
      <c r="AP164" s="56"/>
      <c r="AQ164" s="56"/>
      <c r="AR164" s="56"/>
      <c r="AS164" s="56"/>
      <c r="AT164" s="56"/>
      <c r="AU164" s="56"/>
      <c r="AV164" s="56"/>
      <c r="AW164" s="171"/>
      <c r="AX164" s="56"/>
      <c r="AY164" s="56"/>
      <c r="AZ164" s="56"/>
      <c r="BA164" s="171"/>
      <c r="BB164" s="56"/>
      <c r="BC164" s="10"/>
      <c r="BD164" s="56"/>
      <c r="BE164" s="56"/>
      <c r="BF164" s="56"/>
      <c r="BG164" s="56"/>
      <c r="BO164" s="144"/>
      <c r="CI164" s="144"/>
      <c r="CY164" s="144"/>
    </row>
    <row r="165" spans="1:103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172"/>
      <c r="AP165" s="57"/>
      <c r="AQ165" s="57"/>
      <c r="AR165" s="57"/>
      <c r="AS165" s="57"/>
      <c r="AT165" s="57"/>
      <c r="AU165" s="57"/>
      <c r="AV165" s="57"/>
      <c r="AW165" s="172"/>
      <c r="AX165" s="57"/>
      <c r="AY165" s="57"/>
      <c r="AZ165" s="57"/>
      <c r="BA165" s="172"/>
      <c r="BB165" s="57"/>
      <c r="BC165" s="17"/>
      <c r="BD165" s="57"/>
      <c r="BE165" s="57"/>
      <c r="BF165" s="57"/>
      <c r="BG165" s="57"/>
      <c r="BO165" s="143"/>
      <c r="CI165" s="143"/>
      <c r="CY165" s="143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H166" s="108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H167" s="108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3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171"/>
      <c r="AP175" s="56"/>
      <c r="AQ175" s="56"/>
      <c r="AR175" s="56"/>
      <c r="AS175" s="56"/>
      <c r="AT175" s="56"/>
      <c r="AU175" s="56"/>
      <c r="AV175" s="56"/>
      <c r="AW175" s="171"/>
      <c r="AX175" s="56"/>
      <c r="AY175" s="56"/>
      <c r="AZ175" s="56"/>
      <c r="BA175" s="171"/>
      <c r="BB175" s="56"/>
      <c r="BC175" s="10"/>
      <c r="BD175" s="56"/>
      <c r="BE175" s="56"/>
      <c r="BF175" s="56"/>
      <c r="BG175" s="56"/>
      <c r="BO175" s="144"/>
      <c r="CI175" s="144"/>
      <c r="CY175" s="144"/>
    </row>
    <row r="176" spans="1:103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171"/>
      <c r="AP176" s="56"/>
      <c r="AQ176" s="56"/>
      <c r="AR176" s="56"/>
      <c r="AS176" s="56"/>
      <c r="AT176" s="56"/>
      <c r="AU176" s="56"/>
      <c r="AV176" s="56"/>
      <c r="AW176" s="171"/>
      <c r="AX176" s="56"/>
      <c r="AY176" s="56"/>
      <c r="AZ176" s="56"/>
      <c r="BA176" s="171"/>
      <c r="BB176" s="56"/>
      <c r="BC176" s="10"/>
      <c r="BD176" s="56"/>
      <c r="BE176" s="56"/>
      <c r="BF176" s="56"/>
      <c r="BG176" s="56"/>
      <c r="BO176" s="144"/>
      <c r="CI176" s="144"/>
      <c r="CY176" s="144"/>
    </row>
    <row r="177" spans="1:103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171"/>
      <c r="AP177" s="56"/>
      <c r="AQ177" s="56"/>
      <c r="AR177" s="56"/>
      <c r="AS177" s="56"/>
      <c r="AT177" s="56"/>
      <c r="AU177" s="56"/>
      <c r="AV177" s="56"/>
      <c r="AW177" s="171"/>
      <c r="AX177" s="56"/>
      <c r="AY177" s="56"/>
      <c r="AZ177" s="56"/>
      <c r="BA177" s="171"/>
      <c r="BB177" s="56"/>
      <c r="BC177" s="10"/>
      <c r="BD177" s="56"/>
      <c r="BE177" s="56"/>
      <c r="BF177" s="56"/>
      <c r="BG177" s="56"/>
      <c r="BO177" s="144"/>
      <c r="CI177" s="144"/>
      <c r="CY177" s="144"/>
    </row>
    <row r="178" spans="1:103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171"/>
      <c r="AP178" s="56"/>
      <c r="AQ178" s="56"/>
      <c r="AR178" s="56"/>
      <c r="AS178" s="56"/>
      <c r="AT178" s="56"/>
      <c r="AU178" s="56"/>
      <c r="AV178" s="56"/>
      <c r="AW178" s="171"/>
      <c r="AX178" s="56"/>
      <c r="AY178" s="56"/>
      <c r="AZ178" s="56"/>
      <c r="BA178" s="171"/>
      <c r="BB178" s="56"/>
      <c r="BC178" s="10"/>
      <c r="BD178" s="56"/>
      <c r="BE178" s="56"/>
      <c r="BF178" s="56"/>
      <c r="BG178" s="56"/>
      <c r="BO178" s="144"/>
      <c r="CI178" s="144"/>
      <c r="CY178" s="144"/>
    </row>
    <row r="179" spans="1:103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171"/>
      <c r="AP179" s="56"/>
      <c r="AQ179" s="56"/>
      <c r="AR179" s="56"/>
      <c r="AS179" s="56"/>
      <c r="AT179" s="56"/>
      <c r="AU179" s="56"/>
      <c r="AV179" s="56"/>
      <c r="AW179" s="171"/>
      <c r="AX179" s="56"/>
      <c r="AY179" s="56"/>
      <c r="AZ179" s="56"/>
      <c r="BA179" s="171"/>
      <c r="BB179" s="56"/>
      <c r="BC179" s="10"/>
      <c r="BD179" s="56"/>
      <c r="BE179" s="56"/>
      <c r="BF179" s="56"/>
      <c r="BG179" s="56"/>
      <c r="BO179" s="144"/>
      <c r="CI179" s="144"/>
      <c r="CY179" s="144"/>
    </row>
    <row r="180" spans="1:103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171"/>
      <c r="AP180" s="56"/>
      <c r="AQ180" s="56"/>
      <c r="AR180" s="56"/>
      <c r="AS180" s="56"/>
      <c r="AT180" s="56"/>
      <c r="AU180" s="56"/>
      <c r="AV180" s="56"/>
      <c r="AW180" s="171"/>
      <c r="AX180" s="56"/>
      <c r="AY180" s="56"/>
      <c r="AZ180" s="56"/>
      <c r="BA180" s="171"/>
      <c r="BB180" s="56"/>
      <c r="BC180" s="10"/>
      <c r="BD180" s="56"/>
      <c r="BE180" s="56"/>
      <c r="BF180" s="56"/>
      <c r="BG180" s="56"/>
      <c r="BO180" s="144"/>
      <c r="CI180" s="144"/>
      <c r="CY180" s="144"/>
    </row>
    <row r="181" spans="1:103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171"/>
      <c r="AP181" s="56"/>
      <c r="AQ181" s="56"/>
      <c r="AR181" s="56"/>
      <c r="AS181" s="56"/>
      <c r="AT181" s="56"/>
      <c r="AU181" s="56"/>
      <c r="AV181" s="56"/>
      <c r="AW181" s="171"/>
      <c r="AX181" s="56"/>
      <c r="AY181" s="56"/>
      <c r="AZ181" s="56"/>
      <c r="BA181" s="171"/>
      <c r="BB181" s="56"/>
      <c r="BC181" s="10"/>
      <c r="BD181" s="56"/>
      <c r="BE181" s="56"/>
      <c r="BF181" s="56"/>
      <c r="BG181" s="56"/>
      <c r="BO181" s="144"/>
      <c r="CI181" s="144"/>
      <c r="CY181" s="144"/>
    </row>
    <row r="182" spans="1:103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171"/>
      <c r="AP182" s="56"/>
      <c r="AQ182" s="56"/>
      <c r="AR182" s="56"/>
      <c r="AS182" s="56"/>
      <c r="AT182" s="56"/>
      <c r="AU182" s="56"/>
      <c r="AV182" s="56"/>
      <c r="AW182" s="171"/>
      <c r="AX182" s="56"/>
      <c r="AY182" s="56"/>
      <c r="AZ182" s="56"/>
      <c r="BA182" s="171"/>
      <c r="BB182" s="56"/>
      <c r="BC182" s="10"/>
      <c r="BD182" s="56"/>
      <c r="BE182" s="56"/>
      <c r="BF182" s="56"/>
      <c r="BG182" s="56"/>
      <c r="BO182" s="144"/>
      <c r="CI182" s="144"/>
      <c r="CY182" s="144"/>
    </row>
    <row r="183" spans="1:103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171"/>
      <c r="AP183" s="56"/>
      <c r="AQ183" s="56"/>
      <c r="AR183" s="56"/>
      <c r="AS183" s="56"/>
      <c r="AT183" s="56"/>
      <c r="AU183" s="56"/>
      <c r="AV183" s="56"/>
      <c r="AW183" s="171"/>
      <c r="AX183" s="56"/>
      <c r="AY183" s="56"/>
      <c r="AZ183" s="56"/>
      <c r="BA183" s="171"/>
      <c r="BB183" s="56"/>
      <c r="BC183" s="10"/>
      <c r="BD183" s="56"/>
      <c r="BE183" s="56"/>
      <c r="BF183" s="56"/>
      <c r="BG183" s="56"/>
      <c r="BO183" s="144"/>
      <c r="CI183" s="144"/>
      <c r="CY183" s="144"/>
    </row>
    <row r="184" spans="1:103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171"/>
      <c r="AP184" s="56"/>
      <c r="AQ184" s="56"/>
      <c r="AR184" s="56"/>
      <c r="AS184" s="56"/>
      <c r="AT184" s="56"/>
      <c r="AU184" s="56"/>
      <c r="AV184" s="56"/>
      <c r="AW184" s="171"/>
      <c r="AX184" s="56"/>
      <c r="AY184" s="56"/>
      <c r="AZ184" s="56"/>
      <c r="BA184" s="171"/>
      <c r="BB184" s="56"/>
      <c r="BC184" s="10"/>
      <c r="BD184" s="56"/>
      <c r="BE184" s="56"/>
      <c r="BF184" s="56"/>
      <c r="BG184" s="56"/>
      <c r="BO184" s="144"/>
      <c r="CI184" s="144"/>
      <c r="CY184" s="144"/>
    </row>
    <row r="185" spans="1:103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172"/>
      <c r="AP185" s="57"/>
      <c r="AQ185" s="57"/>
      <c r="AR185" s="57"/>
      <c r="AS185" s="57"/>
      <c r="AT185" s="57"/>
      <c r="AU185" s="57"/>
      <c r="AV185" s="57"/>
      <c r="AW185" s="172"/>
      <c r="AX185" s="57"/>
      <c r="AY185" s="57"/>
      <c r="AZ185" s="57"/>
      <c r="BA185" s="172"/>
      <c r="BB185" s="57"/>
      <c r="BC185" s="17"/>
      <c r="BD185" s="57"/>
      <c r="BE185" s="57"/>
      <c r="BF185" s="57"/>
      <c r="BG185" s="57"/>
      <c r="BO185" s="143"/>
      <c r="CI185" s="143"/>
      <c r="CY185" s="143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H186" s="108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H187" s="108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3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171"/>
      <c r="AP195" s="56"/>
      <c r="AQ195" s="56"/>
      <c r="AR195" s="56"/>
      <c r="AS195" s="56"/>
      <c r="AT195" s="56"/>
      <c r="AU195" s="56"/>
      <c r="AV195" s="56"/>
      <c r="AW195" s="171"/>
      <c r="AX195" s="56"/>
      <c r="AY195" s="56"/>
      <c r="AZ195" s="56"/>
      <c r="BA195" s="171"/>
      <c r="BB195" s="56"/>
      <c r="BC195" s="10"/>
      <c r="BD195" s="56"/>
      <c r="BE195" s="56"/>
      <c r="BF195" s="56"/>
      <c r="BG195" s="56"/>
      <c r="BO195" s="144"/>
      <c r="CI195" s="144"/>
      <c r="CY195" s="144"/>
    </row>
    <row r="196" spans="1:103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171"/>
      <c r="AP196" s="56"/>
      <c r="AQ196" s="56"/>
      <c r="AR196" s="56"/>
      <c r="AS196" s="56"/>
      <c r="AT196" s="56"/>
      <c r="AU196" s="56"/>
      <c r="AV196" s="56"/>
      <c r="AW196" s="171"/>
      <c r="AX196" s="56"/>
      <c r="AY196" s="56"/>
      <c r="AZ196" s="56"/>
      <c r="BA196" s="171"/>
      <c r="BB196" s="56"/>
      <c r="BC196" s="10"/>
      <c r="BD196" s="56"/>
      <c r="BE196" s="56"/>
      <c r="BF196" s="56"/>
      <c r="BG196" s="56"/>
      <c r="BO196" s="144"/>
      <c r="CI196" s="144"/>
      <c r="CY196" s="144"/>
    </row>
    <row r="197" spans="1:103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171"/>
      <c r="AP197" s="56"/>
      <c r="AQ197" s="56"/>
      <c r="AR197" s="56"/>
      <c r="AS197" s="56"/>
      <c r="AT197" s="56"/>
      <c r="AU197" s="56"/>
      <c r="AV197" s="56"/>
      <c r="AW197" s="171"/>
      <c r="AX197" s="56"/>
      <c r="AY197" s="56"/>
      <c r="AZ197" s="56"/>
      <c r="BA197" s="171"/>
      <c r="BB197" s="56"/>
      <c r="BC197" s="10"/>
      <c r="BD197" s="56"/>
      <c r="BE197" s="56"/>
      <c r="BF197" s="56"/>
      <c r="BG197" s="56"/>
      <c r="BO197" s="144"/>
      <c r="CI197" s="144"/>
      <c r="CY197" s="144"/>
    </row>
    <row r="198" spans="1:103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171"/>
      <c r="AP198" s="56"/>
      <c r="AQ198" s="56"/>
      <c r="AR198" s="56"/>
      <c r="AS198" s="56"/>
      <c r="AT198" s="56"/>
      <c r="AU198" s="56"/>
      <c r="AV198" s="56"/>
      <c r="AW198" s="171"/>
      <c r="AX198" s="56"/>
      <c r="AY198" s="56"/>
      <c r="AZ198" s="56"/>
      <c r="BA198" s="171"/>
      <c r="BB198" s="56"/>
      <c r="BC198" s="10"/>
      <c r="BD198" s="56"/>
      <c r="BE198" s="56"/>
      <c r="BF198" s="56"/>
      <c r="BG198" s="56"/>
      <c r="BO198" s="144"/>
      <c r="CI198" s="144"/>
      <c r="CY198" s="144"/>
    </row>
    <row r="199" spans="1:103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171"/>
      <c r="AP199" s="56"/>
      <c r="AQ199" s="56"/>
      <c r="AR199" s="56"/>
      <c r="AS199" s="56"/>
      <c r="AT199" s="56"/>
      <c r="AU199" s="56"/>
      <c r="AV199" s="56"/>
      <c r="AW199" s="171"/>
      <c r="AX199" s="56"/>
      <c r="AY199" s="56"/>
      <c r="AZ199" s="56"/>
      <c r="BA199" s="171"/>
      <c r="BB199" s="56"/>
      <c r="BC199" s="10"/>
      <c r="BD199" s="56"/>
      <c r="BE199" s="56"/>
      <c r="BF199" s="56"/>
      <c r="BG199" s="56"/>
      <c r="BO199" s="144"/>
      <c r="CI199" s="144"/>
      <c r="CY199" s="144"/>
    </row>
    <row r="200" spans="1:103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171"/>
      <c r="AP200" s="56"/>
      <c r="AQ200" s="56"/>
      <c r="AR200" s="56"/>
      <c r="AS200" s="56"/>
      <c r="AT200" s="56"/>
      <c r="AU200" s="56"/>
      <c r="AV200" s="56"/>
      <c r="AW200" s="171"/>
      <c r="AX200" s="56"/>
      <c r="AY200" s="56"/>
      <c r="AZ200" s="56"/>
      <c r="BA200" s="171"/>
      <c r="BB200" s="56"/>
      <c r="BC200" s="10"/>
      <c r="BD200" s="56"/>
      <c r="BE200" s="56"/>
      <c r="BF200" s="56"/>
      <c r="BG200" s="56"/>
      <c r="BO200" s="144"/>
      <c r="CI200" s="144"/>
      <c r="CY200" s="144"/>
    </row>
    <row r="201" spans="1:103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171"/>
      <c r="AP201" s="56"/>
      <c r="AQ201" s="56"/>
      <c r="AR201" s="56"/>
      <c r="AS201" s="56"/>
      <c r="AT201" s="56"/>
      <c r="AU201" s="56"/>
      <c r="AV201" s="56"/>
      <c r="AW201" s="171"/>
      <c r="AX201" s="56"/>
      <c r="AY201" s="56"/>
      <c r="AZ201" s="56"/>
      <c r="BA201" s="171"/>
      <c r="BB201" s="56"/>
      <c r="BC201" s="10"/>
      <c r="BD201" s="56"/>
      <c r="BE201" s="56"/>
      <c r="BF201" s="56"/>
      <c r="BG201" s="56"/>
      <c r="BO201" s="144"/>
      <c r="CI201" s="144"/>
      <c r="CY201" s="144"/>
    </row>
    <row r="202" spans="1:103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171"/>
      <c r="AP202" s="56"/>
      <c r="AQ202" s="56"/>
      <c r="AR202" s="56"/>
      <c r="AS202" s="56"/>
      <c r="AT202" s="56"/>
      <c r="AU202" s="56"/>
      <c r="AV202" s="56"/>
      <c r="AW202" s="171"/>
      <c r="AX202" s="56"/>
      <c r="AY202" s="56"/>
      <c r="AZ202" s="56"/>
      <c r="BA202" s="171"/>
      <c r="BB202" s="56"/>
      <c r="BC202" s="10"/>
      <c r="BD202" s="56"/>
      <c r="BE202" s="56"/>
      <c r="BF202" s="56"/>
      <c r="BG202" s="56"/>
      <c r="BO202" s="144"/>
      <c r="CI202" s="144"/>
      <c r="CY202" s="144"/>
    </row>
    <row r="203" spans="1:103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171"/>
      <c r="AP203" s="56"/>
      <c r="AQ203" s="56"/>
      <c r="AR203" s="56"/>
      <c r="AS203" s="56"/>
      <c r="AT203" s="56"/>
      <c r="AU203" s="56"/>
      <c r="AV203" s="56"/>
      <c r="AW203" s="171"/>
      <c r="AX203" s="56"/>
      <c r="AY203" s="56"/>
      <c r="AZ203" s="56"/>
      <c r="BA203" s="171"/>
      <c r="BB203" s="56"/>
      <c r="BC203" s="10"/>
      <c r="BD203" s="56"/>
      <c r="BE203" s="56"/>
      <c r="BF203" s="56"/>
      <c r="BG203" s="56"/>
      <c r="BO203" s="144"/>
      <c r="CI203" s="144"/>
      <c r="CY203" s="144"/>
    </row>
    <row r="204" spans="1:103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171"/>
      <c r="AP204" s="56"/>
      <c r="AQ204" s="56"/>
      <c r="AR204" s="56"/>
      <c r="AS204" s="56"/>
      <c r="AT204" s="56"/>
      <c r="AU204" s="56"/>
      <c r="AV204" s="56"/>
      <c r="AW204" s="171"/>
      <c r="AX204" s="56"/>
      <c r="AY204" s="56"/>
      <c r="AZ204" s="56"/>
      <c r="BA204" s="171"/>
      <c r="BB204" s="56"/>
      <c r="BC204" s="10"/>
      <c r="BD204" s="56"/>
      <c r="BE204" s="56"/>
      <c r="BF204" s="56"/>
      <c r="BG204" s="56"/>
      <c r="BO204" s="144"/>
      <c r="CI204" s="144"/>
      <c r="CY204" s="144"/>
    </row>
    <row r="205" spans="1:103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172"/>
      <c r="AP205" s="57"/>
      <c r="AQ205" s="57"/>
      <c r="AR205" s="57"/>
      <c r="AS205" s="57"/>
      <c r="AT205" s="57"/>
      <c r="AU205" s="57"/>
      <c r="AV205" s="57"/>
      <c r="AW205" s="172"/>
      <c r="AX205" s="57"/>
      <c r="AY205" s="57"/>
      <c r="AZ205" s="57"/>
      <c r="BA205" s="172"/>
      <c r="BB205" s="57"/>
      <c r="BC205" s="17"/>
      <c r="BD205" s="57"/>
      <c r="BE205" s="57"/>
      <c r="BF205" s="57"/>
      <c r="BG205" s="57"/>
      <c r="BO205" s="143"/>
      <c r="CI205" s="143"/>
      <c r="CY205" s="143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H206" s="108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H207" s="108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3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171"/>
      <c r="AP215" s="56"/>
      <c r="AQ215" s="56"/>
      <c r="AR215" s="56"/>
      <c r="AS215" s="56"/>
      <c r="AT215" s="56"/>
      <c r="AU215" s="56"/>
      <c r="AV215" s="56"/>
      <c r="AW215" s="171"/>
      <c r="AX215" s="56"/>
      <c r="AY215" s="56"/>
      <c r="AZ215" s="56"/>
      <c r="BA215" s="171"/>
      <c r="BB215" s="56"/>
      <c r="BC215" s="10"/>
      <c r="BD215" s="56"/>
      <c r="BE215" s="56"/>
      <c r="BF215" s="56"/>
      <c r="BG215" s="56"/>
      <c r="BO215" s="144"/>
      <c r="CI215" s="144"/>
      <c r="CY215" s="144"/>
    </row>
    <row r="216" spans="1:103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171"/>
      <c r="AP216" s="56"/>
      <c r="AQ216" s="56"/>
      <c r="AR216" s="56"/>
      <c r="AS216" s="56"/>
      <c r="AT216" s="56"/>
      <c r="AU216" s="56"/>
      <c r="AV216" s="56"/>
      <c r="AW216" s="171"/>
      <c r="AX216" s="56"/>
      <c r="AY216" s="56"/>
      <c r="AZ216" s="56"/>
      <c r="BA216" s="171"/>
      <c r="BB216" s="56"/>
      <c r="BC216" s="10"/>
      <c r="BD216" s="56"/>
      <c r="BE216" s="56"/>
      <c r="BF216" s="56"/>
      <c r="BG216" s="56"/>
      <c r="BO216" s="144"/>
      <c r="CI216" s="144"/>
      <c r="CY216" s="144"/>
    </row>
    <row r="217" spans="1:103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171"/>
      <c r="AP217" s="56"/>
      <c r="AQ217" s="56"/>
      <c r="AR217" s="56"/>
      <c r="AS217" s="56"/>
      <c r="AT217" s="56"/>
      <c r="AU217" s="56"/>
      <c r="AV217" s="56"/>
      <c r="AW217" s="171"/>
      <c r="AX217" s="56"/>
      <c r="AY217" s="56"/>
      <c r="AZ217" s="56"/>
      <c r="BA217" s="171"/>
      <c r="BB217" s="56"/>
      <c r="BC217" s="10"/>
      <c r="BD217" s="56"/>
      <c r="BE217" s="56"/>
      <c r="BF217" s="56"/>
      <c r="BG217" s="56"/>
      <c r="BO217" s="144"/>
      <c r="CI217" s="144"/>
      <c r="CY217" s="144"/>
    </row>
    <row r="218" spans="1:103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171"/>
      <c r="AP218" s="56"/>
      <c r="AQ218" s="56"/>
      <c r="AR218" s="56"/>
      <c r="AS218" s="56"/>
      <c r="AT218" s="56"/>
      <c r="AU218" s="56"/>
      <c r="AV218" s="56"/>
      <c r="AW218" s="171"/>
      <c r="AX218" s="56"/>
      <c r="AY218" s="56"/>
      <c r="AZ218" s="56"/>
      <c r="BA218" s="171"/>
      <c r="BB218" s="56"/>
      <c r="BC218" s="10"/>
      <c r="BD218" s="56"/>
      <c r="BE218" s="56"/>
      <c r="BF218" s="56"/>
      <c r="BG218" s="56"/>
      <c r="BO218" s="144"/>
      <c r="CI218" s="144"/>
      <c r="CY218" s="144"/>
    </row>
    <row r="219" spans="1:103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171"/>
      <c r="AP219" s="56"/>
      <c r="AQ219" s="56"/>
      <c r="AR219" s="56"/>
      <c r="AS219" s="56"/>
      <c r="AT219" s="56"/>
      <c r="AU219" s="56"/>
      <c r="AV219" s="56"/>
      <c r="AW219" s="171"/>
      <c r="AX219" s="56"/>
      <c r="AY219" s="56"/>
      <c r="AZ219" s="56"/>
      <c r="BA219" s="171"/>
      <c r="BB219" s="56"/>
      <c r="BC219" s="10"/>
      <c r="BD219" s="56"/>
      <c r="BE219" s="56"/>
      <c r="BF219" s="56"/>
      <c r="BG219" s="56"/>
      <c r="BO219" s="144"/>
      <c r="CI219" s="144"/>
      <c r="CY219" s="144"/>
    </row>
    <row r="220" spans="1:103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171"/>
      <c r="AP220" s="56"/>
      <c r="AQ220" s="56"/>
      <c r="AR220" s="56"/>
      <c r="AS220" s="56"/>
      <c r="AT220" s="56"/>
      <c r="AU220" s="56"/>
      <c r="AV220" s="56"/>
      <c r="AW220" s="171"/>
      <c r="AX220" s="56"/>
      <c r="AY220" s="56"/>
      <c r="AZ220" s="56"/>
      <c r="BA220" s="171"/>
      <c r="BB220" s="56"/>
      <c r="BC220" s="10"/>
      <c r="BD220" s="56"/>
      <c r="BE220" s="56"/>
      <c r="BF220" s="56"/>
      <c r="BG220" s="56"/>
      <c r="BO220" s="144"/>
      <c r="CI220" s="144"/>
      <c r="CY220" s="144"/>
    </row>
    <row r="221" spans="1:103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171"/>
      <c r="AP221" s="56"/>
      <c r="AQ221" s="56"/>
      <c r="AR221" s="56"/>
      <c r="AS221" s="56"/>
      <c r="AT221" s="56"/>
      <c r="AU221" s="56"/>
      <c r="AV221" s="56"/>
      <c r="AW221" s="171"/>
      <c r="AX221" s="56"/>
      <c r="AY221" s="56"/>
      <c r="AZ221" s="56"/>
      <c r="BA221" s="171"/>
      <c r="BB221" s="56"/>
      <c r="BC221" s="10"/>
      <c r="BD221" s="56"/>
      <c r="BE221" s="56"/>
      <c r="BF221" s="56"/>
      <c r="BG221" s="56"/>
      <c r="BO221" s="144"/>
      <c r="CI221" s="144"/>
      <c r="CY221" s="144"/>
    </row>
    <row r="222" spans="1:103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171"/>
      <c r="AP222" s="56"/>
      <c r="AQ222" s="56"/>
      <c r="AR222" s="56"/>
      <c r="AS222" s="56"/>
      <c r="AT222" s="56"/>
      <c r="AU222" s="56"/>
      <c r="AV222" s="56"/>
      <c r="AW222" s="171"/>
      <c r="AX222" s="56"/>
      <c r="AY222" s="56"/>
      <c r="AZ222" s="56"/>
      <c r="BA222" s="171"/>
      <c r="BB222" s="56"/>
      <c r="BC222" s="10"/>
      <c r="BD222" s="56"/>
      <c r="BE222" s="56"/>
      <c r="BF222" s="56"/>
      <c r="BG222" s="56"/>
      <c r="BO222" s="144"/>
      <c r="CI222" s="144"/>
      <c r="CY222" s="144"/>
    </row>
    <row r="223" spans="1:103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171"/>
      <c r="AP223" s="56"/>
      <c r="AQ223" s="56"/>
      <c r="AR223" s="56"/>
      <c r="AS223" s="56"/>
      <c r="AT223" s="56"/>
      <c r="AU223" s="56"/>
      <c r="AV223" s="56"/>
      <c r="AW223" s="171"/>
      <c r="AX223" s="56"/>
      <c r="AY223" s="56"/>
      <c r="AZ223" s="56"/>
      <c r="BA223" s="171"/>
      <c r="BB223" s="56"/>
      <c r="BC223" s="10"/>
      <c r="BD223" s="56"/>
      <c r="BE223" s="56"/>
      <c r="BF223" s="56"/>
      <c r="BG223" s="56"/>
      <c r="BO223" s="144"/>
      <c r="CI223" s="144"/>
      <c r="CY223" s="144"/>
    </row>
    <row r="224" spans="1:103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171"/>
      <c r="AP224" s="56"/>
      <c r="AQ224" s="56"/>
      <c r="AR224" s="56"/>
      <c r="AS224" s="56"/>
      <c r="AT224" s="56"/>
      <c r="AU224" s="56"/>
      <c r="AV224" s="56"/>
      <c r="AW224" s="171"/>
      <c r="AX224" s="56"/>
      <c r="AY224" s="56"/>
      <c r="AZ224" s="56"/>
      <c r="BA224" s="171"/>
      <c r="BB224" s="56"/>
      <c r="BC224" s="10"/>
      <c r="BD224" s="56"/>
      <c r="BE224" s="56"/>
      <c r="BF224" s="56"/>
      <c r="BG224" s="56"/>
      <c r="BO224" s="144"/>
      <c r="CI224" s="144"/>
      <c r="CY224" s="144"/>
    </row>
    <row r="225" spans="1:103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172"/>
      <c r="AP225" s="57"/>
      <c r="AQ225" s="57"/>
      <c r="AR225" s="57"/>
      <c r="AS225" s="57"/>
      <c r="AT225" s="57"/>
      <c r="AU225" s="57"/>
      <c r="AV225" s="57"/>
      <c r="AW225" s="172"/>
      <c r="AX225" s="57"/>
      <c r="AY225" s="57"/>
      <c r="AZ225" s="57"/>
      <c r="BA225" s="172"/>
      <c r="BB225" s="57"/>
      <c r="BC225" s="17"/>
      <c r="BD225" s="57"/>
      <c r="BE225" s="57"/>
      <c r="BF225" s="57"/>
      <c r="BG225" s="57"/>
      <c r="BO225" s="143"/>
      <c r="CI225" s="143"/>
      <c r="CY225" s="143"/>
    </row>
    <row r="226" spans="1:103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171"/>
      <c r="AP226" s="56"/>
      <c r="AQ226" s="56"/>
      <c r="AR226" s="56"/>
      <c r="AS226" s="56"/>
      <c r="AT226" s="56"/>
      <c r="AU226" s="56"/>
      <c r="AV226" s="56"/>
      <c r="AW226" s="171"/>
      <c r="AX226" s="56"/>
      <c r="AY226" s="56"/>
      <c r="AZ226" s="56"/>
      <c r="BA226" s="171"/>
      <c r="BB226" s="56"/>
      <c r="BC226" s="10"/>
      <c r="BD226" s="56"/>
      <c r="BE226" s="56"/>
      <c r="BF226" s="56"/>
      <c r="BG226" s="56"/>
      <c r="BO226" s="144"/>
      <c r="CI226" s="144"/>
      <c r="CY226" s="144"/>
    </row>
    <row r="227" spans="1:103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171"/>
      <c r="AP227" s="56"/>
      <c r="AQ227" s="56"/>
      <c r="AR227" s="56"/>
      <c r="AS227" s="56"/>
      <c r="AT227" s="56"/>
      <c r="AU227" s="56"/>
      <c r="AV227" s="56"/>
      <c r="AW227" s="171"/>
      <c r="AX227" s="56"/>
      <c r="AY227" s="56"/>
      <c r="AZ227" s="56"/>
      <c r="BA227" s="171"/>
      <c r="BB227" s="56"/>
      <c r="BC227" s="10"/>
      <c r="BD227" s="56"/>
      <c r="BE227" s="56"/>
      <c r="BF227" s="56"/>
      <c r="BG227" s="56"/>
      <c r="BO227" s="144"/>
      <c r="CI227" s="144"/>
      <c r="CY227" s="144"/>
    </row>
    <row r="228" spans="1:103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171"/>
      <c r="AP228" s="56"/>
      <c r="AQ228" s="56"/>
      <c r="AR228" s="56"/>
      <c r="AS228" s="56"/>
      <c r="AT228" s="56"/>
      <c r="AU228" s="56"/>
      <c r="AV228" s="56"/>
      <c r="AW228" s="171"/>
      <c r="AX228" s="56"/>
      <c r="AY228" s="56"/>
      <c r="AZ228" s="56"/>
      <c r="BA228" s="171"/>
      <c r="BB228" s="56"/>
      <c r="BC228" s="10"/>
      <c r="BD228" s="56"/>
      <c r="BE228" s="56"/>
      <c r="BF228" s="56"/>
      <c r="BG228" s="56"/>
      <c r="BO228" s="144"/>
      <c r="CI228" s="144"/>
      <c r="CY228" s="144"/>
    </row>
    <row r="229" spans="1:103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171"/>
      <c r="AP229" s="56"/>
      <c r="AQ229" s="56"/>
      <c r="AR229" s="56"/>
      <c r="AS229" s="56"/>
      <c r="AT229" s="56"/>
      <c r="AU229" s="56"/>
      <c r="AV229" s="56"/>
      <c r="AW229" s="171"/>
      <c r="AX229" s="56"/>
      <c r="AY229" s="56"/>
      <c r="AZ229" s="56"/>
      <c r="BA229" s="171"/>
      <c r="BB229" s="56"/>
      <c r="BC229" s="10"/>
      <c r="BD229" s="56"/>
      <c r="BE229" s="56"/>
      <c r="BF229" s="56"/>
      <c r="BG229" s="56"/>
      <c r="BO229" s="144"/>
      <c r="CI229" s="144"/>
      <c r="CY229" s="144"/>
    </row>
    <row r="230" spans="1:103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171"/>
      <c r="AP230" s="56"/>
      <c r="AQ230" s="56"/>
      <c r="AR230" s="56"/>
      <c r="AS230" s="56"/>
      <c r="AT230" s="56"/>
      <c r="AU230" s="56"/>
      <c r="AV230" s="56"/>
      <c r="AW230" s="171"/>
      <c r="AX230" s="56"/>
      <c r="AY230" s="56"/>
      <c r="AZ230" s="56"/>
      <c r="BA230" s="171"/>
      <c r="BB230" s="56"/>
      <c r="BC230" s="10"/>
      <c r="BD230" s="56"/>
      <c r="BE230" s="56"/>
      <c r="BF230" s="56"/>
      <c r="BG230" s="56"/>
      <c r="BO230" s="144"/>
      <c r="CI230" s="144"/>
      <c r="CY230" s="144"/>
    </row>
    <row r="231" spans="1:103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171"/>
      <c r="AP231" s="56"/>
      <c r="AQ231" s="56"/>
      <c r="AR231" s="56"/>
      <c r="AS231" s="56"/>
      <c r="AT231" s="56"/>
      <c r="AU231" s="56"/>
      <c r="AV231" s="56"/>
      <c r="AW231" s="171"/>
      <c r="AX231" s="56"/>
      <c r="AY231" s="56"/>
      <c r="AZ231" s="56"/>
      <c r="BA231" s="171"/>
      <c r="BB231" s="56"/>
      <c r="BC231" s="10"/>
      <c r="BD231" s="56"/>
      <c r="BE231" s="56"/>
      <c r="BF231" s="56"/>
      <c r="BG231" s="56"/>
      <c r="BO231" s="144"/>
      <c r="CI231" s="144"/>
      <c r="CY231" s="144"/>
    </row>
    <row r="232" spans="1:103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171"/>
      <c r="AP232" s="56"/>
      <c r="AQ232" s="56"/>
      <c r="AR232" s="56"/>
      <c r="AS232" s="56"/>
      <c r="AT232" s="56"/>
      <c r="AU232" s="56"/>
      <c r="AV232" s="56"/>
      <c r="AW232" s="171"/>
      <c r="AX232" s="56"/>
      <c r="AY232" s="56"/>
      <c r="AZ232" s="56"/>
      <c r="BA232" s="171"/>
      <c r="BB232" s="56"/>
      <c r="BC232" s="10"/>
      <c r="BD232" s="56"/>
      <c r="BE232" s="56"/>
      <c r="BF232" s="56"/>
      <c r="BG232" s="56"/>
      <c r="BO232" s="144"/>
      <c r="CI232" s="144"/>
      <c r="CY232" s="144"/>
    </row>
    <row r="233" spans="1:103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171"/>
      <c r="AP233" s="56"/>
      <c r="AQ233" s="56"/>
      <c r="AR233" s="56"/>
      <c r="AS233" s="56"/>
      <c r="AT233" s="56"/>
      <c r="AU233" s="56"/>
      <c r="AV233" s="56"/>
      <c r="AW233" s="171"/>
      <c r="AX233" s="56"/>
      <c r="AY233" s="56"/>
      <c r="AZ233" s="56"/>
      <c r="BA233" s="171"/>
      <c r="BB233" s="56"/>
      <c r="BC233" s="10"/>
      <c r="BD233" s="56"/>
      <c r="BE233" s="56"/>
      <c r="BF233" s="56"/>
      <c r="BG233" s="56"/>
      <c r="BO233" s="144"/>
      <c r="CI233" s="144"/>
      <c r="CY233" s="144"/>
    </row>
    <row r="234" spans="1:103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171"/>
      <c r="AP234" s="56"/>
      <c r="AQ234" s="56"/>
      <c r="AR234" s="56"/>
      <c r="AS234" s="56"/>
      <c r="AT234" s="56"/>
      <c r="AU234" s="56"/>
      <c r="AV234" s="56"/>
      <c r="AW234" s="171"/>
      <c r="AX234" s="56"/>
      <c r="AY234" s="56"/>
      <c r="AZ234" s="56"/>
      <c r="BA234" s="171"/>
      <c r="BB234" s="56"/>
      <c r="BC234" s="10"/>
      <c r="BD234" s="56"/>
      <c r="BE234" s="56"/>
      <c r="BF234" s="56"/>
      <c r="BG234" s="56"/>
      <c r="BO234" s="144"/>
      <c r="CI234" s="144"/>
      <c r="CY234" s="144"/>
    </row>
    <row r="235" spans="1:103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171"/>
      <c r="AP235" s="56"/>
      <c r="AQ235" s="56"/>
      <c r="AR235" s="56"/>
      <c r="AS235" s="56"/>
      <c r="AT235" s="56"/>
      <c r="AU235" s="56"/>
      <c r="AV235" s="56"/>
      <c r="AW235" s="171"/>
      <c r="AX235" s="56"/>
      <c r="AY235" s="56"/>
      <c r="AZ235" s="56"/>
      <c r="BA235" s="171"/>
      <c r="BB235" s="56"/>
      <c r="BC235" s="10"/>
      <c r="BD235" s="56"/>
      <c r="BE235" s="56"/>
      <c r="BF235" s="56"/>
      <c r="BG235" s="56"/>
      <c r="BO235" s="144"/>
      <c r="CI235" s="144"/>
      <c r="CY235" s="144"/>
    </row>
    <row r="236" spans="1:103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171"/>
      <c r="AP236" s="56"/>
      <c r="AQ236" s="56"/>
      <c r="AR236" s="56"/>
      <c r="AS236" s="56"/>
      <c r="AT236" s="56"/>
      <c r="AU236" s="56"/>
      <c r="AV236" s="56"/>
      <c r="AW236" s="171"/>
      <c r="AX236" s="56"/>
      <c r="AY236" s="56"/>
      <c r="AZ236" s="56"/>
      <c r="BA236" s="171"/>
      <c r="BB236" s="56"/>
      <c r="BC236" s="10"/>
      <c r="BD236" s="56"/>
      <c r="BE236" s="56"/>
      <c r="BF236" s="56"/>
      <c r="BG236" s="56"/>
      <c r="BO236" s="144"/>
      <c r="CI236" s="144"/>
      <c r="CY236" s="144"/>
    </row>
    <row r="237" spans="1:103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171"/>
      <c r="AP237" s="56"/>
      <c r="AQ237" s="56"/>
      <c r="AR237" s="56"/>
      <c r="AS237" s="56"/>
      <c r="AT237" s="56"/>
      <c r="AU237" s="56"/>
      <c r="AV237" s="56"/>
      <c r="AW237" s="171"/>
      <c r="AX237" s="56"/>
      <c r="AY237" s="56"/>
      <c r="AZ237" s="56"/>
      <c r="BA237" s="171"/>
      <c r="BB237" s="56"/>
      <c r="BC237" s="10"/>
      <c r="BD237" s="56"/>
      <c r="BE237" s="56"/>
      <c r="BF237" s="56"/>
      <c r="BG237" s="56"/>
      <c r="BO237" s="144"/>
      <c r="CI237" s="144"/>
      <c r="CY237" s="144"/>
    </row>
    <row r="238" spans="1:103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171"/>
      <c r="AP238" s="56"/>
      <c r="AQ238" s="56"/>
      <c r="AR238" s="56"/>
      <c r="AS238" s="56"/>
      <c r="AT238" s="56"/>
      <c r="AU238" s="56"/>
      <c r="AV238" s="56"/>
      <c r="AW238" s="171"/>
      <c r="AX238" s="56"/>
      <c r="AY238" s="56"/>
      <c r="AZ238" s="56"/>
      <c r="BA238" s="171"/>
      <c r="BB238" s="56"/>
      <c r="BC238" s="10"/>
      <c r="BD238" s="56"/>
      <c r="BE238" s="56"/>
      <c r="BF238" s="56"/>
      <c r="BG238" s="56"/>
      <c r="BO238" s="144"/>
      <c r="CI238" s="144"/>
      <c r="CY238" s="144"/>
    </row>
    <row r="239" spans="1:103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171"/>
      <c r="AP239" s="56"/>
      <c r="AQ239" s="56"/>
      <c r="AR239" s="56"/>
      <c r="AS239" s="56"/>
      <c r="AT239" s="56"/>
      <c r="AU239" s="56"/>
      <c r="AV239" s="56"/>
      <c r="AW239" s="171"/>
      <c r="AX239" s="56"/>
      <c r="AY239" s="56"/>
      <c r="AZ239" s="56"/>
      <c r="BA239" s="171"/>
      <c r="BB239" s="56"/>
      <c r="BC239" s="10"/>
      <c r="BD239" s="56"/>
      <c r="BE239" s="56"/>
      <c r="BF239" s="56"/>
      <c r="BG239" s="56"/>
      <c r="BO239" s="144"/>
      <c r="CI239" s="144"/>
      <c r="CY239" s="144"/>
    </row>
    <row r="240" spans="1:103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171"/>
      <c r="AP240" s="56"/>
      <c r="AQ240" s="56"/>
      <c r="AR240" s="56"/>
      <c r="AS240" s="56"/>
      <c r="AT240" s="56"/>
      <c r="AU240" s="56"/>
      <c r="AV240" s="56"/>
      <c r="AW240" s="171"/>
      <c r="AX240" s="56"/>
      <c r="AY240" s="56"/>
      <c r="AZ240" s="56"/>
      <c r="BA240" s="171"/>
      <c r="BB240" s="56"/>
      <c r="BC240" s="10"/>
      <c r="BD240" s="56"/>
      <c r="BE240" s="56"/>
      <c r="BF240" s="56"/>
      <c r="BG240" s="56"/>
      <c r="BO240" s="144"/>
      <c r="CI240" s="144"/>
      <c r="CY240" s="144"/>
    </row>
    <row r="241" spans="1:103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171"/>
      <c r="AP241" s="56"/>
      <c r="AQ241" s="56"/>
      <c r="AR241" s="56"/>
      <c r="AS241" s="56"/>
      <c r="AT241" s="56"/>
      <c r="AU241" s="56"/>
      <c r="AV241" s="56"/>
      <c r="AW241" s="171"/>
      <c r="AX241" s="56"/>
      <c r="AY241" s="56"/>
      <c r="AZ241" s="56"/>
      <c r="BA241" s="171"/>
      <c r="BB241" s="56"/>
      <c r="BC241" s="10"/>
      <c r="BD241" s="56"/>
      <c r="BE241" s="56"/>
      <c r="BF241" s="56"/>
      <c r="BG241" s="56"/>
      <c r="BO241" s="144"/>
      <c r="CI241" s="144"/>
      <c r="CY241" s="144"/>
    </row>
    <row r="242" spans="1:103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171"/>
      <c r="AP242" s="56"/>
      <c r="AQ242" s="56"/>
      <c r="AR242" s="56"/>
      <c r="AS242" s="56"/>
      <c r="AT242" s="56"/>
      <c r="AU242" s="56"/>
      <c r="AV242" s="56"/>
      <c r="AW242" s="171"/>
      <c r="AX242" s="56"/>
      <c r="AY242" s="56"/>
      <c r="AZ242" s="56"/>
      <c r="BA242" s="171"/>
      <c r="BB242" s="56"/>
      <c r="BC242" s="10"/>
      <c r="BD242" s="56"/>
      <c r="BE242" s="56"/>
      <c r="BF242" s="56"/>
      <c r="BG242" s="56"/>
      <c r="BO242" s="144"/>
      <c r="CI242" s="144"/>
      <c r="CY242" s="144"/>
    </row>
    <row r="243" spans="1:103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171"/>
      <c r="AP243" s="56"/>
      <c r="AQ243" s="56"/>
      <c r="AR243" s="56"/>
      <c r="AS243" s="56"/>
      <c r="AT243" s="56"/>
      <c r="AU243" s="56"/>
      <c r="AV243" s="56"/>
      <c r="AW243" s="171"/>
      <c r="AX243" s="56"/>
      <c r="AY243" s="56"/>
      <c r="AZ243" s="56"/>
      <c r="BA243" s="171"/>
      <c r="BB243" s="56"/>
      <c r="BC243" s="10"/>
      <c r="BD243" s="56"/>
      <c r="BE243" s="56"/>
      <c r="BF243" s="56"/>
      <c r="BG243" s="56"/>
      <c r="BO243" s="144"/>
      <c r="CI243" s="144"/>
      <c r="CY243" s="144"/>
    </row>
    <row r="244" spans="1:103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171"/>
      <c r="AP244" s="56"/>
      <c r="AQ244" s="56"/>
      <c r="AR244" s="56"/>
      <c r="AS244" s="56"/>
      <c r="AT244" s="56"/>
      <c r="AU244" s="56"/>
      <c r="AV244" s="56"/>
      <c r="AW244" s="171"/>
      <c r="AX244" s="56"/>
      <c r="AY244" s="56"/>
      <c r="AZ244" s="56"/>
      <c r="BA244" s="171"/>
      <c r="BB244" s="56"/>
      <c r="BC244" s="10"/>
      <c r="BD244" s="56"/>
      <c r="BE244" s="56"/>
      <c r="BF244" s="56"/>
      <c r="BG244" s="56"/>
      <c r="BO244" s="144"/>
      <c r="CI244" s="144"/>
      <c r="CY244" s="144"/>
    </row>
    <row r="245" spans="1:103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171"/>
      <c r="AP245" s="56"/>
      <c r="AQ245" s="56"/>
      <c r="AR245" s="56"/>
      <c r="AS245" s="56"/>
      <c r="AT245" s="56"/>
      <c r="AU245" s="56"/>
      <c r="AV245" s="56"/>
      <c r="AW245" s="171"/>
      <c r="AX245" s="56"/>
      <c r="AY245" s="56"/>
      <c r="AZ245" s="56"/>
      <c r="BA245" s="171"/>
      <c r="BB245" s="56"/>
      <c r="BC245" s="10"/>
      <c r="BD245" s="56"/>
      <c r="BE245" s="56"/>
      <c r="BF245" s="56"/>
      <c r="BG245" s="56"/>
      <c r="BO245" s="144"/>
      <c r="CI245" s="144"/>
      <c r="CY245" s="144"/>
    </row>
    <row r="246" spans="1:103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171"/>
      <c r="AP246" s="56"/>
      <c r="AQ246" s="56"/>
      <c r="AR246" s="56"/>
      <c r="AS246" s="56"/>
      <c r="AT246" s="56"/>
      <c r="AU246" s="56"/>
      <c r="AV246" s="56"/>
      <c r="AW246" s="171"/>
      <c r="AX246" s="56"/>
      <c r="AY246" s="56"/>
      <c r="AZ246" s="56"/>
      <c r="BA246" s="171"/>
      <c r="BB246" s="56"/>
      <c r="BC246" s="10"/>
      <c r="BD246" s="56"/>
      <c r="BE246" s="56"/>
      <c r="BF246" s="56"/>
      <c r="BG246" s="56"/>
      <c r="BO246" s="144"/>
      <c r="CI246" s="144"/>
      <c r="CY246" s="144"/>
    </row>
    <row r="247" spans="1:103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171"/>
      <c r="AP247" s="56"/>
      <c r="AQ247" s="56"/>
      <c r="AR247" s="56"/>
      <c r="AS247" s="56"/>
      <c r="AT247" s="56"/>
      <c r="AU247" s="56"/>
      <c r="AV247" s="56"/>
      <c r="AW247" s="171"/>
      <c r="AX247" s="56"/>
      <c r="AY247" s="56"/>
      <c r="AZ247" s="56"/>
      <c r="BA247" s="171"/>
      <c r="BB247" s="56"/>
      <c r="BC247" s="10"/>
      <c r="BD247" s="56"/>
      <c r="BE247" s="56"/>
      <c r="BF247" s="56"/>
      <c r="BG247" s="56"/>
      <c r="BO247" s="144"/>
      <c r="CI247" s="144"/>
      <c r="CY247" s="144"/>
    </row>
    <row r="248" spans="1:103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171"/>
      <c r="AP248" s="56"/>
      <c r="AQ248" s="56"/>
      <c r="AR248" s="56"/>
      <c r="AS248" s="56"/>
      <c r="AT248" s="56"/>
      <c r="AU248" s="56"/>
      <c r="AV248" s="56"/>
      <c r="AW248" s="171"/>
      <c r="AX248" s="56"/>
      <c r="AY248" s="56"/>
      <c r="AZ248" s="56"/>
      <c r="BA248" s="171"/>
      <c r="BB248" s="56"/>
      <c r="BC248" s="10"/>
      <c r="BD248" s="56"/>
      <c r="BE248" s="56"/>
      <c r="BF248" s="56"/>
      <c r="BG248" s="56"/>
      <c r="BO248" s="144"/>
      <c r="CI248" s="144"/>
      <c r="CY248" s="144"/>
    </row>
    <row r="249" spans="1:103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171"/>
      <c r="AP249" s="56"/>
      <c r="AQ249" s="56"/>
      <c r="AR249" s="56"/>
      <c r="AS249" s="56"/>
      <c r="AT249" s="56"/>
      <c r="AU249" s="56"/>
      <c r="AV249" s="56"/>
      <c r="AW249" s="171"/>
      <c r="AX249" s="56"/>
      <c r="AY249" s="56"/>
      <c r="AZ249" s="56"/>
      <c r="BA249" s="171"/>
      <c r="BB249" s="56"/>
      <c r="BC249" s="10"/>
      <c r="BD249" s="56"/>
      <c r="BE249" s="56"/>
      <c r="BF249" s="56"/>
      <c r="BG249" s="56"/>
      <c r="BO249" s="144"/>
      <c r="CI249" s="144"/>
      <c r="CY249" s="144"/>
    </row>
    <row r="250" spans="1:103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171"/>
      <c r="AP250" s="56"/>
      <c r="AQ250" s="56"/>
      <c r="AR250" s="56"/>
      <c r="AS250" s="56"/>
      <c r="AT250" s="56"/>
      <c r="AU250" s="56"/>
      <c r="AV250" s="56"/>
      <c r="AW250" s="171"/>
      <c r="AX250" s="56"/>
      <c r="AY250" s="56"/>
      <c r="AZ250" s="56"/>
      <c r="BA250" s="171"/>
      <c r="BB250" s="56"/>
      <c r="BC250" s="10"/>
      <c r="BD250" s="56"/>
      <c r="BE250" s="56"/>
      <c r="BF250" s="56"/>
      <c r="BG250" s="56"/>
      <c r="BO250" s="144"/>
      <c r="CI250" s="144"/>
      <c r="CY250" s="144"/>
    </row>
    <row r="251" spans="1:103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171"/>
      <c r="AP251" s="56"/>
      <c r="AQ251" s="56"/>
      <c r="AR251" s="56"/>
      <c r="AS251" s="56"/>
      <c r="AT251" s="56"/>
      <c r="AU251" s="56"/>
      <c r="AV251" s="56"/>
      <c r="AW251" s="171"/>
      <c r="AX251" s="56"/>
      <c r="AY251" s="56"/>
      <c r="AZ251" s="56"/>
      <c r="BA251" s="171"/>
      <c r="BB251" s="56"/>
      <c r="BC251" s="10"/>
      <c r="BD251" s="56"/>
      <c r="BE251" s="56"/>
      <c r="BF251" s="56"/>
      <c r="BG251" s="56"/>
      <c r="BO251" s="144"/>
      <c r="CI251" s="144"/>
      <c r="CY251" s="144"/>
    </row>
    <row r="252" spans="1:103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171"/>
      <c r="AP252" s="56"/>
      <c r="AQ252" s="56"/>
      <c r="AR252" s="56"/>
      <c r="AS252" s="56"/>
      <c r="AT252" s="56"/>
      <c r="AU252" s="56"/>
      <c r="AV252" s="56"/>
      <c r="AW252" s="171"/>
      <c r="AX252" s="56"/>
      <c r="AY252" s="56"/>
      <c r="AZ252" s="56"/>
      <c r="BA252" s="171"/>
      <c r="BB252" s="56"/>
      <c r="BC252" s="10"/>
      <c r="BD252" s="56"/>
      <c r="BE252" s="56"/>
      <c r="BF252" s="56"/>
      <c r="BG252" s="56"/>
      <c r="BO252" s="144"/>
      <c r="CI252" s="144"/>
      <c r="CY252" s="144"/>
    </row>
    <row r="253" spans="1:103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171"/>
      <c r="AP253" s="56"/>
      <c r="AQ253" s="56"/>
      <c r="AR253" s="56"/>
      <c r="AS253" s="56"/>
      <c r="AT253" s="56"/>
      <c r="AU253" s="56"/>
      <c r="AV253" s="56"/>
      <c r="AW253" s="171"/>
      <c r="AX253" s="56"/>
      <c r="AY253" s="56"/>
      <c r="AZ253" s="56"/>
      <c r="BA253" s="171"/>
      <c r="BB253" s="56"/>
      <c r="BC253" s="10"/>
      <c r="BD253" s="56"/>
      <c r="BE253" s="56"/>
      <c r="BF253" s="56"/>
      <c r="BG253" s="56"/>
      <c r="BO253" s="144"/>
      <c r="CI253" s="144"/>
      <c r="CY253" s="144"/>
    </row>
    <row r="254" spans="1:103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171"/>
      <c r="AP254" s="56"/>
      <c r="AQ254" s="56"/>
      <c r="AR254" s="56"/>
      <c r="AS254" s="56"/>
      <c r="AT254" s="56"/>
      <c r="AU254" s="56"/>
      <c r="AV254" s="56"/>
      <c r="AW254" s="171"/>
      <c r="AX254" s="56"/>
      <c r="AY254" s="56"/>
      <c r="AZ254" s="56"/>
      <c r="BA254" s="171"/>
      <c r="BB254" s="56"/>
      <c r="BC254" s="10"/>
      <c r="BD254" s="56"/>
      <c r="BE254" s="56"/>
      <c r="BF254" s="56"/>
      <c r="BG254" s="56"/>
      <c r="BO254" s="144"/>
      <c r="CI254" s="144"/>
      <c r="CY254" s="144"/>
    </row>
    <row r="255" spans="1:103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171"/>
      <c r="AP255" s="56"/>
      <c r="AQ255" s="56"/>
      <c r="AR255" s="56"/>
      <c r="AS255" s="56"/>
      <c r="AT255" s="56"/>
      <c r="AU255" s="56"/>
      <c r="AV255" s="56"/>
      <c r="AW255" s="171"/>
      <c r="AX255" s="56"/>
      <c r="AY255" s="56"/>
      <c r="AZ255" s="56"/>
      <c r="BA255" s="171"/>
      <c r="BB255" s="56"/>
      <c r="BC255" s="10"/>
      <c r="BD255" s="56"/>
      <c r="BE255" s="56"/>
      <c r="BF255" s="56"/>
      <c r="BG255" s="56"/>
      <c r="BO255" s="144"/>
      <c r="CI255" s="144"/>
      <c r="CY255" s="144"/>
    </row>
    <row r="256" spans="1:103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171"/>
      <c r="AP256" s="56"/>
      <c r="AQ256" s="56"/>
      <c r="AR256" s="56"/>
      <c r="AS256" s="56"/>
      <c r="AT256" s="56"/>
      <c r="AU256" s="56"/>
      <c r="AV256" s="56"/>
      <c r="AW256" s="171"/>
      <c r="AX256" s="56"/>
      <c r="AY256" s="56"/>
      <c r="AZ256" s="56"/>
      <c r="BA256" s="171"/>
      <c r="BB256" s="56"/>
      <c r="BC256" s="10"/>
      <c r="BD256" s="56"/>
      <c r="BE256" s="56"/>
      <c r="BF256" s="56"/>
      <c r="BG256" s="56"/>
      <c r="BO256" s="144"/>
      <c r="CI256" s="144"/>
      <c r="CY256" s="144"/>
    </row>
    <row r="257" spans="1:103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171"/>
      <c r="AP257" s="56"/>
      <c r="AQ257" s="56"/>
      <c r="AR257" s="56"/>
      <c r="AS257" s="56"/>
      <c r="AT257" s="56"/>
      <c r="AU257" s="56"/>
      <c r="AV257" s="56"/>
      <c r="AW257" s="171"/>
      <c r="AX257" s="56"/>
      <c r="AY257" s="56"/>
      <c r="AZ257" s="56"/>
      <c r="BA257" s="171"/>
      <c r="BB257" s="56"/>
      <c r="BC257" s="10"/>
      <c r="BD257" s="56"/>
      <c r="BE257" s="56"/>
      <c r="BF257" s="56"/>
      <c r="BG257" s="56"/>
      <c r="BO257" s="144"/>
      <c r="CI257" s="144"/>
      <c r="CY257" s="144"/>
    </row>
    <row r="258" spans="1:103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171"/>
      <c r="AP258" s="56"/>
      <c r="AQ258" s="56"/>
      <c r="AR258" s="56"/>
      <c r="AS258" s="56"/>
      <c r="AT258" s="56"/>
      <c r="AU258" s="56"/>
      <c r="AV258" s="56"/>
      <c r="AW258" s="171"/>
      <c r="AX258" s="56"/>
      <c r="AY258" s="56"/>
      <c r="AZ258" s="56"/>
      <c r="BA258" s="171"/>
      <c r="BB258" s="56"/>
      <c r="BC258" s="10"/>
      <c r="BD258" s="56"/>
      <c r="BE258" s="56"/>
      <c r="BF258" s="56"/>
      <c r="BG258" s="56"/>
      <c r="BO258" s="144"/>
      <c r="CI258" s="144"/>
      <c r="CY258" s="144"/>
    </row>
    <row r="259" spans="1:103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171"/>
      <c r="AP259" s="56"/>
      <c r="AQ259" s="56"/>
      <c r="AR259" s="56"/>
      <c r="AS259" s="56"/>
      <c r="AT259" s="56"/>
      <c r="AU259" s="56"/>
      <c r="AV259" s="56"/>
      <c r="AW259" s="171"/>
      <c r="AX259" s="56"/>
      <c r="AY259" s="56"/>
      <c r="AZ259" s="56"/>
      <c r="BA259" s="171"/>
      <c r="BB259" s="56"/>
      <c r="BC259" s="10"/>
      <c r="BD259" s="56"/>
      <c r="BE259" s="56"/>
      <c r="BF259" s="56"/>
      <c r="BG259" s="56"/>
      <c r="BO259" s="144"/>
      <c r="CI259" s="144"/>
      <c r="CY259" s="144"/>
    </row>
    <row r="260" spans="1:103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171"/>
      <c r="AP260" s="56"/>
      <c r="AQ260" s="56"/>
      <c r="AR260" s="56"/>
      <c r="AS260" s="56"/>
      <c r="AT260" s="56"/>
      <c r="AU260" s="56"/>
      <c r="AV260" s="56"/>
      <c r="AW260" s="171"/>
      <c r="AX260" s="56"/>
      <c r="AY260" s="56"/>
      <c r="AZ260" s="56"/>
      <c r="BA260" s="171"/>
      <c r="BB260" s="56"/>
      <c r="BC260" s="10"/>
      <c r="BD260" s="56"/>
      <c r="BE260" s="56"/>
      <c r="BF260" s="56"/>
      <c r="BG260" s="56"/>
      <c r="BO260" s="144"/>
      <c r="CI260" s="144"/>
      <c r="CY260" s="144"/>
    </row>
    <row r="261" spans="1:103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171"/>
      <c r="AP261" s="56"/>
      <c r="AQ261" s="56"/>
      <c r="AR261" s="56"/>
      <c r="AS261" s="56"/>
      <c r="AT261" s="56"/>
      <c r="AU261" s="56"/>
      <c r="AV261" s="56"/>
      <c r="AW261" s="171"/>
      <c r="AX261" s="56"/>
      <c r="AY261" s="56"/>
      <c r="AZ261" s="56"/>
      <c r="BA261" s="171"/>
      <c r="BB261" s="56"/>
      <c r="BC261" s="10"/>
      <c r="BD261" s="56"/>
      <c r="BE261" s="56"/>
      <c r="BF261" s="56"/>
      <c r="BG261" s="56"/>
      <c r="BO261" s="144"/>
      <c r="CI261" s="144"/>
      <c r="CY261" s="144"/>
    </row>
    <row r="262" spans="1:103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171"/>
      <c r="AP262" s="56"/>
      <c r="AQ262" s="56"/>
      <c r="AR262" s="56"/>
      <c r="AS262" s="56"/>
      <c r="AT262" s="56"/>
      <c r="AU262" s="56"/>
      <c r="AV262" s="56"/>
      <c r="AW262" s="171"/>
      <c r="AX262" s="56"/>
      <c r="AY262" s="56"/>
      <c r="AZ262" s="56"/>
      <c r="BA262" s="171"/>
      <c r="BB262" s="56"/>
      <c r="BC262" s="10"/>
      <c r="BD262" s="56"/>
      <c r="BE262" s="56"/>
      <c r="BF262" s="56"/>
      <c r="BG262" s="56"/>
      <c r="BO262" s="144"/>
      <c r="CI262" s="144"/>
      <c r="CY262" s="144"/>
    </row>
    <row r="263" spans="1:103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171"/>
      <c r="AP263" s="56"/>
      <c r="AQ263" s="56"/>
      <c r="AR263" s="56"/>
      <c r="AS263" s="56"/>
      <c r="AT263" s="56"/>
      <c r="AU263" s="56"/>
      <c r="AV263" s="56"/>
      <c r="AW263" s="171"/>
      <c r="AX263" s="56"/>
      <c r="AY263" s="56"/>
      <c r="AZ263" s="56"/>
      <c r="BA263" s="171"/>
      <c r="BB263" s="56"/>
      <c r="BC263" s="10"/>
      <c r="BD263" s="56"/>
      <c r="BE263" s="56"/>
      <c r="BF263" s="56"/>
      <c r="BG263" s="56"/>
      <c r="BO263" s="144"/>
      <c r="CI263" s="144"/>
      <c r="CY263" s="144"/>
    </row>
    <row r="264" spans="1:103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171"/>
      <c r="AP264" s="56"/>
      <c r="AQ264" s="56"/>
      <c r="AR264" s="56"/>
      <c r="AS264" s="56"/>
      <c r="AT264" s="56"/>
      <c r="AU264" s="56"/>
      <c r="AV264" s="56"/>
      <c r="AW264" s="171"/>
      <c r="AX264" s="56"/>
      <c r="AY264" s="56"/>
      <c r="AZ264" s="56"/>
      <c r="BA264" s="171"/>
      <c r="BB264" s="56"/>
      <c r="BC264" s="10"/>
      <c r="BD264" s="56"/>
      <c r="BE264" s="56"/>
      <c r="BF264" s="56"/>
      <c r="BG264" s="56"/>
      <c r="BO264" s="144"/>
      <c r="CI264" s="144"/>
      <c r="CY264" s="144"/>
    </row>
    <row r="265" spans="1:103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171"/>
      <c r="AP265" s="56"/>
      <c r="AQ265" s="56"/>
      <c r="AR265" s="56"/>
      <c r="AS265" s="56"/>
      <c r="AT265" s="56"/>
      <c r="AU265" s="56"/>
      <c r="AV265" s="56"/>
      <c r="AW265" s="171"/>
      <c r="AX265" s="56"/>
      <c r="AY265" s="56"/>
      <c r="AZ265" s="56"/>
      <c r="BA265" s="171"/>
      <c r="BB265" s="56"/>
      <c r="BC265" s="10"/>
      <c r="BD265" s="56"/>
      <c r="BE265" s="56"/>
      <c r="BF265" s="56"/>
      <c r="BG265" s="56"/>
      <c r="BO265" s="144"/>
      <c r="CI265" s="144"/>
      <c r="CY265" s="144"/>
    </row>
    <row r="266" spans="1:103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171"/>
      <c r="AP266" s="56"/>
      <c r="AQ266" s="56"/>
      <c r="AR266" s="56"/>
      <c r="AS266" s="56"/>
      <c r="AT266" s="56"/>
      <c r="AU266" s="56"/>
      <c r="AV266" s="56"/>
      <c r="AW266" s="171"/>
      <c r="AX266" s="56"/>
      <c r="AY266" s="56"/>
      <c r="AZ266" s="56"/>
      <c r="BA266" s="171"/>
      <c r="BB266" s="56"/>
      <c r="BC266" s="10"/>
      <c r="BD266" s="56"/>
      <c r="BE266" s="56"/>
      <c r="BF266" s="56"/>
      <c r="BG266" s="56"/>
      <c r="BO266" s="144"/>
      <c r="CI266" s="144"/>
      <c r="CY266" s="144"/>
    </row>
    <row r="267" spans="1:103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171"/>
      <c r="AP267" s="56"/>
      <c r="AQ267" s="56"/>
      <c r="AR267" s="56"/>
      <c r="AS267" s="56"/>
      <c r="AT267" s="56"/>
      <c r="AU267" s="56"/>
      <c r="AV267" s="56"/>
      <c r="AW267" s="171"/>
      <c r="AX267" s="56"/>
      <c r="AY267" s="56"/>
      <c r="AZ267" s="56"/>
      <c r="BA267" s="171"/>
      <c r="BB267" s="56"/>
      <c r="BC267" s="10"/>
      <c r="BD267" s="56"/>
      <c r="BE267" s="56"/>
      <c r="BF267" s="56"/>
      <c r="BG267" s="56"/>
      <c r="BO267" s="144"/>
      <c r="CI267" s="144"/>
      <c r="CY267" s="144"/>
    </row>
    <row r="268" spans="1:103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171"/>
      <c r="AP268" s="56"/>
      <c r="AQ268" s="56"/>
      <c r="AR268" s="56"/>
      <c r="AS268" s="56"/>
      <c r="AT268" s="56"/>
      <c r="AU268" s="56"/>
      <c r="AV268" s="56"/>
      <c r="AW268" s="171"/>
      <c r="AX268" s="56"/>
      <c r="AY268" s="56"/>
      <c r="AZ268" s="56"/>
      <c r="BA268" s="171"/>
      <c r="BB268" s="56"/>
      <c r="BC268" s="10"/>
      <c r="BD268" s="56"/>
      <c r="BE268" s="56"/>
      <c r="BF268" s="56"/>
      <c r="BG268" s="56"/>
      <c r="BO268" s="144"/>
      <c r="CI268" s="144"/>
      <c r="CY268" s="144"/>
    </row>
    <row r="269" spans="1:103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171"/>
      <c r="AP269" s="56"/>
      <c r="AQ269" s="56"/>
      <c r="AR269" s="56"/>
      <c r="AS269" s="56"/>
      <c r="AT269" s="56"/>
      <c r="AU269" s="56"/>
      <c r="AV269" s="56"/>
      <c r="AW269" s="171"/>
      <c r="AX269" s="56"/>
      <c r="AY269" s="56"/>
      <c r="AZ269" s="56"/>
      <c r="BA269" s="171"/>
      <c r="BB269" s="56"/>
      <c r="BC269" s="10"/>
      <c r="BD269" s="56"/>
      <c r="BE269" s="56"/>
      <c r="BF269" s="56"/>
      <c r="BG269" s="56"/>
      <c r="BO269" s="144"/>
      <c r="CI269" s="144"/>
      <c r="CY269" s="144"/>
    </row>
    <row r="270" spans="1:103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171"/>
      <c r="AP270" s="56"/>
      <c r="AQ270" s="56"/>
      <c r="AR270" s="56"/>
      <c r="AS270" s="56"/>
      <c r="AT270" s="56"/>
      <c r="AU270" s="56"/>
      <c r="AV270" s="56"/>
      <c r="AW270" s="171"/>
      <c r="AX270" s="56"/>
      <c r="AY270" s="56"/>
      <c r="AZ270" s="56"/>
      <c r="BA270" s="171"/>
      <c r="BB270" s="56"/>
      <c r="BC270" s="10"/>
      <c r="BD270" s="56"/>
      <c r="BE270" s="56"/>
      <c r="BF270" s="56"/>
      <c r="BG270" s="56"/>
      <c r="BO270" s="144"/>
      <c r="CI270" s="144"/>
      <c r="CY270" s="144"/>
    </row>
    <row r="271" spans="1:103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171"/>
      <c r="AP271" s="56"/>
      <c r="AQ271" s="56"/>
      <c r="AR271" s="56"/>
      <c r="AS271" s="56"/>
      <c r="AT271" s="56"/>
      <c r="AU271" s="56"/>
      <c r="AV271" s="56"/>
      <c r="AW271" s="171"/>
      <c r="AX271" s="56"/>
      <c r="AY271" s="56"/>
      <c r="AZ271" s="56"/>
      <c r="BA271" s="171"/>
      <c r="BB271" s="56"/>
      <c r="BC271" s="10"/>
      <c r="BD271" s="56"/>
      <c r="BE271" s="56"/>
      <c r="BF271" s="56"/>
      <c r="BG271" s="56"/>
      <c r="BO271" s="144"/>
      <c r="CI271" s="144"/>
      <c r="CY271" s="144"/>
    </row>
    <row r="272" spans="1:103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171"/>
      <c r="AP272" s="56"/>
      <c r="AQ272" s="56"/>
      <c r="AR272" s="56"/>
      <c r="AS272" s="56"/>
      <c r="AT272" s="56"/>
      <c r="AU272" s="56"/>
      <c r="AV272" s="56"/>
      <c r="AW272" s="171"/>
      <c r="AX272" s="56"/>
      <c r="AY272" s="56"/>
      <c r="AZ272" s="56"/>
      <c r="BA272" s="171"/>
      <c r="BB272" s="56"/>
      <c r="BC272" s="10"/>
      <c r="BD272" s="56"/>
      <c r="BE272" s="56"/>
      <c r="BF272" s="56"/>
      <c r="BG272" s="56"/>
      <c r="BO272" s="144"/>
      <c r="CI272" s="144"/>
      <c r="CY272" s="144"/>
    </row>
    <row r="273" spans="1:103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171"/>
      <c r="AP273" s="56"/>
      <c r="AQ273" s="56"/>
      <c r="AR273" s="56"/>
      <c r="AS273" s="56"/>
      <c r="AT273" s="56"/>
      <c r="AU273" s="56"/>
      <c r="AV273" s="56"/>
      <c r="AW273" s="171"/>
      <c r="AX273" s="56"/>
      <c r="AY273" s="56"/>
      <c r="AZ273" s="56"/>
      <c r="BA273" s="171"/>
      <c r="BB273" s="56"/>
      <c r="BC273" s="10"/>
      <c r="BD273" s="56"/>
      <c r="BE273" s="56"/>
      <c r="BF273" s="56"/>
      <c r="BG273" s="56"/>
      <c r="BO273" s="144"/>
      <c r="CI273" s="144"/>
      <c r="CY273" s="144"/>
    </row>
    <row r="274" spans="1:103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171"/>
      <c r="AP274" s="56"/>
      <c r="AQ274" s="56"/>
      <c r="AR274" s="56"/>
      <c r="AS274" s="56"/>
      <c r="AT274" s="56"/>
      <c r="AU274" s="56"/>
      <c r="AV274" s="56"/>
      <c r="AW274" s="171"/>
      <c r="AX274" s="56"/>
      <c r="AY274" s="56"/>
      <c r="AZ274" s="56"/>
      <c r="BA274" s="171"/>
      <c r="BB274" s="56"/>
      <c r="BC274" s="10"/>
      <c r="BD274" s="56"/>
      <c r="BE274" s="56"/>
      <c r="BF274" s="56"/>
      <c r="BG274" s="56"/>
      <c r="BO274" s="144"/>
      <c r="CI274" s="144"/>
      <c r="CY274" s="144"/>
    </row>
    <row r="275" spans="1:103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171"/>
      <c r="AP275" s="56"/>
      <c r="AQ275" s="56"/>
      <c r="AR275" s="56"/>
      <c r="AS275" s="56"/>
      <c r="AT275" s="56"/>
      <c r="AU275" s="56"/>
      <c r="AV275" s="56"/>
      <c r="AW275" s="171"/>
      <c r="AX275" s="56"/>
      <c r="AY275" s="56"/>
      <c r="AZ275" s="56"/>
      <c r="BA275" s="171"/>
      <c r="BB275" s="56"/>
      <c r="BC275" s="10"/>
      <c r="BD275" s="56"/>
      <c r="BE275" s="56"/>
      <c r="BF275" s="56"/>
      <c r="BG275" s="56"/>
      <c r="BO275" s="144"/>
      <c r="CI275" s="144"/>
      <c r="CY275" s="144"/>
    </row>
    <row r="276" spans="1:103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171"/>
      <c r="AP276" s="56"/>
      <c r="AQ276" s="56"/>
      <c r="AR276" s="56"/>
      <c r="AS276" s="56"/>
      <c r="AT276" s="56"/>
      <c r="AU276" s="56"/>
      <c r="AV276" s="56"/>
      <c r="AW276" s="171"/>
      <c r="AX276" s="56"/>
      <c r="AY276" s="56"/>
      <c r="AZ276" s="56"/>
      <c r="BA276" s="171"/>
      <c r="BB276" s="56"/>
      <c r="BC276" s="10"/>
      <c r="BD276" s="56"/>
      <c r="BE276" s="56"/>
      <c r="BF276" s="56"/>
      <c r="BG276" s="56"/>
      <c r="BO276" s="144"/>
      <c r="CI276" s="144"/>
      <c r="CY276" s="144"/>
    </row>
    <row r="277" spans="1:103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171"/>
      <c r="AP277" s="56"/>
      <c r="AQ277" s="56"/>
      <c r="AR277" s="56"/>
      <c r="AS277" s="56"/>
      <c r="AT277" s="56"/>
      <c r="AU277" s="56"/>
      <c r="AV277" s="56"/>
      <c r="AW277" s="171"/>
      <c r="AX277" s="56"/>
      <c r="AY277" s="56"/>
      <c r="AZ277" s="56"/>
      <c r="BA277" s="171"/>
      <c r="BB277" s="56"/>
      <c r="BC277" s="10"/>
      <c r="BD277" s="56"/>
      <c r="BE277" s="56"/>
      <c r="BF277" s="56"/>
      <c r="BG277" s="56"/>
      <c r="BO277" s="144"/>
      <c r="CI277" s="144"/>
      <c r="CY277" s="144"/>
    </row>
    <row r="278" spans="1:103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171"/>
      <c r="AP278" s="56"/>
      <c r="AQ278" s="56"/>
      <c r="AR278" s="56"/>
      <c r="AS278" s="56"/>
      <c r="AT278" s="56"/>
      <c r="AU278" s="56"/>
      <c r="AV278" s="56"/>
      <c r="AW278" s="171"/>
      <c r="AX278" s="56"/>
      <c r="AY278" s="56"/>
      <c r="AZ278" s="56"/>
      <c r="BA278" s="171"/>
      <c r="BB278" s="56"/>
      <c r="BC278" s="10"/>
      <c r="BD278" s="56"/>
      <c r="BE278" s="56"/>
      <c r="BF278" s="56"/>
      <c r="BG278" s="56"/>
      <c r="BO278" s="144"/>
      <c r="CI278" s="144"/>
      <c r="CY278" s="144"/>
    </row>
    <row r="279" spans="1:103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171"/>
      <c r="AP279" s="56"/>
      <c r="AQ279" s="56"/>
      <c r="AR279" s="56"/>
      <c r="AS279" s="56"/>
      <c r="AT279" s="56"/>
      <c r="AU279" s="56"/>
      <c r="AV279" s="56"/>
      <c r="AW279" s="171"/>
      <c r="AX279" s="56"/>
      <c r="AY279" s="56"/>
      <c r="AZ279" s="56"/>
      <c r="BA279" s="171"/>
      <c r="BB279" s="56"/>
      <c r="BC279" s="10"/>
      <c r="BD279" s="56"/>
      <c r="BE279" s="56"/>
      <c r="BF279" s="56"/>
      <c r="BG279" s="56"/>
      <c r="BO279" s="144"/>
      <c r="CI279" s="144"/>
      <c r="CY279" s="144"/>
    </row>
    <row r="280" spans="1:103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171"/>
      <c r="AP280" s="56"/>
      <c r="AQ280" s="56"/>
      <c r="AR280" s="56"/>
      <c r="AS280" s="56"/>
      <c r="AT280" s="56"/>
      <c r="AU280" s="56"/>
      <c r="AV280" s="56"/>
      <c r="AW280" s="171"/>
      <c r="AX280" s="56"/>
      <c r="AY280" s="56"/>
      <c r="AZ280" s="56"/>
      <c r="BA280" s="171"/>
      <c r="BB280" s="56"/>
      <c r="BC280" s="10"/>
      <c r="BD280" s="56"/>
      <c r="BE280" s="56"/>
      <c r="BF280" s="56"/>
      <c r="BG280" s="56"/>
      <c r="BO280" s="144"/>
      <c r="CI280" s="144"/>
      <c r="CY280" s="144"/>
    </row>
    <row r="281" spans="1:103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171"/>
      <c r="AP281" s="56"/>
      <c r="AQ281" s="56"/>
      <c r="AR281" s="56"/>
      <c r="AS281" s="56"/>
      <c r="AT281" s="56"/>
      <c r="AU281" s="56"/>
      <c r="AV281" s="56"/>
      <c r="AW281" s="171"/>
      <c r="AX281" s="56"/>
      <c r="AY281" s="56"/>
      <c r="AZ281" s="56"/>
      <c r="BA281" s="171"/>
      <c r="BB281" s="56"/>
      <c r="BC281" s="10"/>
      <c r="BD281" s="56"/>
      <c r="BE281" s="56"/>
      <c r="BF281" s="56"/>
      <c r="BG281" s="56"/>
      <c r="BO281" s="144"/>
      <c r="CI281" s="144"/>
      <c r="CY281" s="144"/>
    </row>
    <row r="282" spans="1:103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171"/>
      <c r="AP282" s="56"/>
      <c r="AQ282" s="56"/>
      <c r="AR282" s="56"/>
      <c r="AS282" s="56"/>
      <c r="AT282" s="56"/>
      <c r="AU282" s="56"/>
      <c r="AV282" s="56"/>
      <c r="AW282" s="171"/>
      <c r="AX282" s="56"/>
      <c r="AY282" s="56"/>
      <c r="AZ282" s="56"/>
      <c r="BA282" s="171"/>
      <c r="BB282" s="56"/>
      <c r="BC282" s="10"/>
      <c r="BD282" s="56"/>
      <c r="BE282" s="56"/>
      <c r="BF282" s="56"/>
      <c r="BG282" s="56"/>
      <c r="BO282" s="144"/>
      <c r="CI282" s="144"/>
      <c r="CY282" s="144"/>
    </row>
    <row r="283" spans="1:103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171"/>
      <c r="AP283" s="56"/>
      <c r="AQ283" s="56"/>
      <c r="AR283" s="56"/>
      <c r="AS283" s="56"/>
      <c r="AT283" s="56"/>
      <c r="AU283" s="56"/>
      <c r="AV283" s="56"/>
      <c r="AW283" s="171"/>
      <c r="AX283" s="56"/>
      <c r="AY283" s="56"/>
      <c r="AZ283" s="56"/>
      <c r="BA283" s="171"/>
      <c r="BB283" s="56"/>
      <c r="BC283" s="10"/>
      <c r="BD283" s="56"/>
      <c r="BE283" s="56"/>
      <c r="BF283" s="56"/>
      <c r="BG283" s="56"/>
      <c r="BO283" s="144"/>
      <c r="CI283" s="144"/>
      <c r="CY283" s="144"/>
    </row>
    <row r="284" spans="1:103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171"/>
      <c r="AP284" s="56"/>
      <c r="AQ284" s="56"/>
      <c r="AR284" s="56"/>
      <c r="AS284" s="56"/>
      <c r="AT284" s="56"/>
      <c r="AU284" s="56"/>
      <c r="AV284" s="56"/>
      <c r="AW284" s="171"/>
      <c r="AX284" s="56"/>
      <c r="AY284" s="56"/>
      <c r="AZ284" s="56"/>
      <c r="BA284" s="171"/>
      <c r="BB284" s="56"/>
      <c r="BC284" s="10"/>
      <c r="BD284" s="56"/>
      <c r="BE284" s="56"/>
      <c r="BF284" s="56"/>
      <c r="BG284" s="56"/>
      <c r="BO284" s="144"/>
      <c r="CI284" s="144"/>
      <c r="CY284" s="144"/>
    </row>
    <row r="285" spans="1:103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171"/>
      <c r="AP285" s="56"/>
      <c r="AQ285" s="56"/>
      <c r="AR285" s="56"/>
      <c r="AS285" s="56"/>
      <c r="AT285" s="56"/>
      <c r="AU285" s="56"/>
      <c r="AV285" s="56"/>
      <c r="AW285" s="171"/>
      <c r="AX285" s="56"/>
      <c r="AY285" s="56"/>
      <c r="AZ285" s="56"/>
      <c r="BA285" s="171"/>
      <c r="BB285" s="56"/>
      <c r="BC285" s="10"/>
      <c r="BD285" s="56"/>
      <c r="BE285" s="56"/>
      <c r="BF285" s="56"/>
      <c r="BG285" s="56"/>
      <c r="BO285" s="144"/>
      <c r="CI285" s="144"/>
      <c r="CY285" s="144"/>
    </row>
    <row r="286" spans="1:103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171"/>
      <c r="AP286" s="56"/>
      <c r="AQ286" s="56"/>
      <c r="AR286" s="56"/>
      <c r="AS286" s="56"/>
      <c r="AT286" s="56"/>
      <c r="AU286" s="56"/>
      <c r="AV286" s="56"/>
      <c r="AW286" s="171"/>
      <c r="AX286" s="56"/>
      <c r="AY286" s="56"/>
      <c r="AZ286" s="56"/>
      <c r="BA286" s="171"/>
      <c r="BB286" s="56"/>
      <c r="BC286" s="10"/>
      <c r="BD286" s="56"/>
      <c r="BE286" s="56"/>
      <c r="BF286" s="56"/>
      <c r="BG286" s="56"/>
      <c r="BO286" s="144"/>
      <c r="CI286" s="144"/>
      <c r="CY286" s="144"/>
    </row>
    <row r="287" spans="1:103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171"/>
      <c r="AP287" s="56"/>
      <c r="AQ287" s="56"/>
      <c r="AR287" s="56"/>
      <c r="AS287" s="56"/>
      <c r="AT287" s="56"/>
      <c r="AU287" s="56"/>
      <c r="AV287" s="56"/>
      <c r="AW287" s="171"/>
      <c r="AX287" s="56"/>
      <c r="AY287" s="56"/>
      <c r="AZ287" s="56"/>
      <c r="BA287" s="171"/>
      <c r="BB287" s="56"/>
      <c r="BC287" s="10"/>
      <c r="BD287" s="56"/>
      <c r="BE287" s="56"/>
      <c r="BF287" s="56"/>
      <c r="BG287" s="56"/>
      <c r="BO287" s="144"/>
      <c r="CI287" s="144"/>
      <c r="CY287" s="144"/>
    </row>
    <row r="288" spans="1:103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171"/>
      <c r="AP288" s="56"/>
      <c r="AQ288" s="56"/>
      <c r="AR288" s="56"/>
      <c r="AS288" s="56"/>
      <c r="AT288" s="56"/>
      <c r="AU288" s="56"/>
      <c r="AV288" s="56"/>
      <c r="AW288" s="171"/>
      <c r="AX288" s="56"/>
      <c r="AY288" s="56"/>
      <c r="AZ288" s="56"/>
      <c r="BA288" s="171"/>
      <c r="BB288" s="56"/>
      <c r="BC288" s="10"/>
      <c r="BD288" s="56"/>
      <c r="BE288" s="56"/>
      <c r="BF288" s="56"/>
      <c r="BG288" s="56"/>
      <c r="BO288" s="144"/>
      <c r="CI288" s="144"/>
      <c r="CY288" s="144"/>
    </row>
    <row r="289" spans="1:103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171"/>
      <c r="AP289" s="56"/>
      <c r="AQ289" s="56"/>
      <c r="AR289" s="56"/>
      <c r="AS289" s="56"/>
      <c r="AT289" s="56"/>
      <c r="AU289" s="56"/>
      <c r="AV289" s="56"/>
      <c r="AW289" s="171"/>
      <c r="AX289" s="56"/>
      <c r="AY289" s="56"/>
      <c r="AZ289" s="56"/>
      <c r="BA289" s="171"/>
      <c r="BB289" s="56"/>
      <c r="BC289" s="10"/>
      <c r="BD289" s="56"/>
      <c r="BE289" s="56"/>
      <c r="BF289" s="56"/>
      <c r="BG289" s="56"/>
      <c r="BO289" s="144"/>
      <c r="CI289" s="144"/>
      <c r="CY289" s="144"/>
    </row>
    <row r="290" spans="1:103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171"/>
      <c r="AP290" s="56"/>
      <c r="AQ290" s="56"/>
      <c r="AR290" s="56"/>
      <c r="AS290" s="56"/>
      <c r="AT290" s="56"/>
      <c r="AU290" s="56"/>
      <c r="AV290" s="56"/>
      <c r="AW290" s="171"/>
      <c r="AX290" s="56"/>
      <c r="AY290" s="56"/>
      <c r="AZ290" s="56"/>
      <c r="BA290" s="171"/>
      <c r="BB290" s="56"/>
      <c r="BC290" s="10"/>
      <c r="BD290" s="56"/>
      <c r="BE290" s="56"/>
      <c r="BF290" s="56"/>
      <c r="BG290" s="56"/>
      <c r="BO290" s="144"/>
      <c r="CI290" s="144"/>
      <c r="CY290" s="144"/>
    </row>
    <row r="291" spans="1:103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171"/>
      <c r="AP291" s="56"/>
      <c r="AQ291" s="56"/>
      <c r="AR291" s="56"/>
      <c r="AS291" s="56"/>
      <c r="AT291" s="56"/>
      <c r="AU291" s="56"/>
      <c r="AV291" s="56"/>
      <c r="AW291" s="171"/>
      <c r="AX291" s="56"/>
      <c r="AY291" s="56"/>
      <c r="AZ291" s="56"/>
      <c r="BA291" s="171"/>
      <c r="BB291" s="56"/>
      <c r="BC291" s="10"/>
      <c r="BD291" s="56"/>
      <c r="BE291" s="56"/>
      <c r="BF291" s="56"/>
      <c r="BG291" s="56"/>
      <c r="BO291" s="144"/>
      <c r="CI291" s="144"/>
      <c r="CY291" s="144"/>
    </row>
    <row r="292" spans="1:103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171"/>
      <c r="AP292" s="56"/>
      <c r="AQ292" s="56"/>
      <c r="AR292" s="56"/>
      <c r="AS292" s="56"/>
      <c r="AT292" s="56"/>
      <c r="AU292" s="56"/>
      <c r="AV292" s="56"/>
      <c r="AW292" s="171"/>
      <c r="AX292" s="56"/>
      <c r="AY292" s="56"/>
      <c r="AZ292" s="56"/>
      <c r="BA292" s="171"/>
      <c r="BB292" s="56"/>
      <c r="BC292" s="10"/>
      <c r="BD292" s="56"/>
      <c r="BE292" s="56"/>
      <c r="BF292" s="56"/>
      <c r="BG292" s="56"/>
      <c r="BO292" s="144"/>
      <c r="CI292" s="144"/>
      <c r="CY292" s="144"/>
    </row>
    <row r="293" spans="1:103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171"/>
      <c r="AP293" s="56"/>
      <c r="AQ293" s="56"/>
      <c r="AR293" s="56"/>
      <c r="AS293" s="56"/>
      <c r="AT293" s="56"/>
      <c r="AU293" s="56"/>
      <c r="AV293" s="56"/>
      <c r="AW293" s="171"/>
      <c r="AX293" s="56"/>
      <c r="AY293" s="56"/>
      <c r="AZ293" s="56"/>
      <c r="BA293" s="171"/>
      <c r="BB293" s="56"/>
      <c r="BC293" s="10"/>
      <c r="BD293" s="56"/>
      <c r="BE293" s="56"/>
      <c r="BF293" s="56"/>
      <c r="BG293" s="56"/>
      <c r="BO293" s="144"/>
      <c r="CI293" s="144"/>
      <c r="CY293" s="144"/>
    </row>
    <row r="294" spans="1:103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171"/>
      <c r="AP294" s="56"/>
      <c r="AQ294" s="56"/>
      <c r="AR294" s="56"/>
      <c r="AS294" s="56"/>
      <c r="AT294" s="56"/>
      <c r="AU294" s="56"/>
      <c r="AV294" s="56"/>
      <c r="AW294" s="171"/>
      <c r="AX294" s="56"/>
      <c r="AY294" s="56"/>
      <c r="AZ294" s="56"/>
      <c r="BA294" s="171"/>
      <c r="BB294" s="56"/>
      <c r="BC294" s="10"/>
      <c r="BD294" s="56"/>
      <c r="BE294" s="56"/>
      <c r="BF294" s="56"/>
      <c r="BG294" s="56"/>
      <c r="BO294" s="144"/>
      <c r="CI294" s="144"/>
      <c r="CY294" s="144"/>
    </row>
    <row r="295" spans="1:103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171"/>
      <c r="AP295" s="56"/>
      <c r="AQ295" s="56"/>
      <c r="AR295" s="56"/>
      <c r="AS295" s="56"/>
      <c r="AT295" s="56"/>
      <c r="AU295" s="56"/>
      <c r="AV295" s="56"/>
      <c r="AW295" s="171"/>
      <c r="AX295" s="56"/>
      <c r="AY295" s="56"/>
      <c r="AZ295" s="56"/>
      <c r="BA295" s="171"/>
      <c r="BB295" s="56"/>
      <c r="BC295" s="10"/>
      <c r="BD295" s="56"/>
      <c r="BE295" s="56"/>
      <c r="BF295" s="56"/>
      <c r="BG295" s="56"/>
      <c r="BO295" s="144"/>
      <c r="CI295" s="144"/>
      <c r="CY295" s="144"/>
    </row>
    <row r="296" spans="1:103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171"/>
      <c r="AP296" s="56"/>
      <c r="AQ296" s="56"/>
      <c r="AR296" s="56"/>
      <c r="AS296" s="56"/>
      <c r="AT296" s="56"/>
      <c r="AU296" s="56"/>
      <c r="AV296" s="56"/>
      <c r="AW296" s="171"/>
      <c r="AX296" s="56"/>
      <c r="AY296" s="56"/>
      <c r="AZ296" s="56"/>
      <c r="BA296" s="171"/>
      <c r="BB296" s="56"/>
      <c r="BC296" s="10"/>
      <c r="BD296" s="56"/>
      <c r="BE296" s="56"/>
      <c r="BF296" s="56"/>
      <c r="BG296" s="56"/>
      <c r="BO296" s="144"/>
      <c r="CI296" s="144"/>
      <c r="CY296" s="144"/>
    </row>
    <row r="297" spans="1:103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171"/>
      <c r="AP297" s="56"/>
      <c r="AQ297" s="56"/>
      <c r="AR297" s="56"/>
      <c r="AS297" s="56"/>
      <c r="AT297" s="56"/>
      <c r="AU297" s="56"/>
      <c r="AV297" s="56"/>
      <c r="AW297" s="171"/>
      <c r="AX297" s="56"/>
      <c r="AY297" s="56"/>
      <c r="AZ297" s="56"/>
      <c r="BA297" s="171"/>
      <c r="BB297" s="56"/>
      <c r="BC297" s="10"/>
      <c r="BD297" s="56"/>
      <c r="BE297" s="56"/>
      <c r="BF297" s="56"/>
      <c r="BG297" s="56"/>
      <c r="BO297" s="144"/>
      <c r="CI297" s="144"/>
      <c r="CY297" s="144"/>
    </row>
    <row r="298" spans="1:103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171"/>
      <c r="AP298" s="56"/>
      <c r="AQ298" s="56"/>
      <c r="AR298" s="56"/>
      <c r="AS298" s="56"/>
      <c r="AT298" s="56"/>
      <c r="AU298" s="56"/>
      <c r="AV298" s="56"/>
      <c r="AW298" s="171"/>
      <c r="AX298" s="56"/>
      <c r="AY298" s="56"/>
      <c r="AZ298" s="56"/>
      <c r="BA298" s="171"/>
      <c r="BB298" s="56"/>
      <c r="BC298" s="10"/>
      <c r="BD298" s="56"/>
      <c r="BE298" s="56"/>
      <c r="BF298" s="56"/>
      <c r="BG298" s="56"/>
      <c r="BO298" s="144"/>
      <c r="CI298" s="144"/>
      <c r="CY298" s="144"/>
    </row>
    <row r="299" spans="1:103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171"/>
      <c r="AP299" s="56"/>
      <c r="AQ299" s="56"/>
      <c r="AR299" s="56"/>
      <c r="AS299" s="56"/>
      <c r="AT299" s="56"/>
      <c r="AU299" s="56"/>
      <c r="AV299" s="56"/>
      <c r="AW299" s="171"/>
      <c r="AX299" s="56"/>
      <c r="AY299" s="56"/>
      <c r="AZ299" s="56"/>
      <c r="BA299" s="171"/>
      <c r="BB299" s="56"/>
      <c r="BC299" s="10"/>
      <c r="BD299" s="56"/>
      <c r="BE299" s="56"/>
      <c r="BF299" s="56"/>
      <c r="BG299" s="56"/>
      <c r="BO299" s="144"/>
      <c r="CI299" s="144"/>
      <c r="CY299" s="144"/>
    </row>
    <row r="300" spans="1:103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171"/>
      <c r="AP300" s="56"/>
      <c r="AQ300" s="56"/>
      <c r="AR300" s="56"/>
      <c r="AS300" s="56"/>
      <c r="AT300" s="56"/>
      <c r="AU300" s="56"/>
      <c r="AV300" s="56"/>
      <c r="AW300" s="171"/>
      <c r="AX300" s="56"/>
      <c r="AY300" s="56"/>
      <c r="AZ300" s="56"/>
      <c r="BA300" s="171"/>
      <c r="BB300" s="56"/>
      <c r="BC300" s="10"/>
      <c r="BD300" s="56"/>
      <c r="BE300" s="56"/>
      <c r="BF300" s="56"/>
      <c r="BG300" s="56"/>
      <c r="BO300" s="144"/>
      <c r="CI300" s="144"/>
      <c r="CY300" s="144"/>
    </row>
    <row r="301" spans="1:103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171"/>
      <c r="AP301" s="56"/>
      <c r="AQ301" s="56"/>
      <c r="AR301" s="56"/>
      <c r="AS301" s="56"/>
      <c r="AT301" s="56"/>
      <c r="AU301" s="56"/>
      <c r="AV301" s="56"/>
      <c r="AW301" s="171"/>
      <c r="AX301" s="56"/>
      <c r="AY301" s="56"/>
      <c r="AZ301" s="56"/>
      <c r="BA301" s="171"/>
      <c r="BB301" s="56"/>
      <c r="BC301" s="10"/>
      <c r="BD301" s="56"/>
      <c r="BE301" s="56"/>
      <c r="BF301" s="56"/>
      <c r="BG301" s="56"/>
      <c r="BO301" s="144"/>
      <c r="CI301" s="144"/>
      <c r="CY301" s="144"/>
    </row>
    <row r="302" spans="1:103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171"/>
      <c r="AP302" s="56"/>
      <c r="AQ302" s="56"/>
      <c r="AR302" s="56"/>
      <c r="AS302" s="56"/>
      <c r="AT302" s="56"/>
      <c r="AU302" s="56"/>
      <c r="AV302" s="56"/>
      <c r="AW302" s="171"/>
      <c r="AX302" s="56"/>
      <c r="AY302" s="56"/>
      <c r="AZ302" s="56"/>
      <c r="BA302" s="171"/>
      <c r="BB302" s="56"/>
      <c r="BC302" s="10"/>
      <c r="BD302" s="56"/>
      <c r="BE302" s="56"/>
      <c r="BF302" s="56"/>
      <c r="BG302" s="56"/>
      <c r="BO302" s="144"/>
      <c r="CI302" s="144"/>
      <c r="CY302" s="144"/>
    </row>
    <row r="303" spans="1:103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171"/>
      <c r="AP303" s="56"/>
      <c r="AQ303" s="56"/>
      <c r="AR303" s="56"/>
      <c r="AS303" s="56"/>
      <c r="AT303" s="56"/>
      <c r="AU303" s="56"/>
      <c r="AV303" s="56"/>
      <c r="AW303" s="171"/>
      <c r="AX303" s="56"/>
      <c r="AY303" s="56"/>
      <c r="AZ303" s="56"/>
      <c r="BA303" s="171"/>
      <c r="BB303" s="56"/>
      <c r="BC303" s="10"/>
      <c r="BD303" s="56"/>
      <c r="BE303" s="56"/>
      <c r="BF303" s="56"/>
      <c r="BG303" s="56"/>
      <c r="BO303" s="144"/>
      <c r="CI303" s="144"/>
      <c r="CY303" s="144"/>
    </row>
    <row r="304" spans="1:103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171"/>
      <c r="AP304" s="56"/>
      <c r="AQ304" s="56"/>
      <c r="AR304" s="56"/>
      <c r="AS304" s="56"/>
      <c r="AT304" s="56"/>
      <c r="AU304" s="56"/>
      <c r="AV304" s="56"/>
      <c r="AW304" s="171"/>
      <c r="AX304" s="56"/>
      <c r="AY304" s="56"/>
      <c r="AZ304" s="56"/>
      <c r="BA304" s="171"/>
      <c r="BB304" s="56"/>
      <c r="BC304" s="10"/>
      <c r="BD304" s="56"/>
      <c r="BE304" s="56"/>
      <c r="BF304" s="56"/>
      <c r="BG304" s="56"/>
      <c r="BO304" s="144"/>
      <c r="CI304" s="144"/>
      <c r="CY304" s="144"/>
    </row>
    <row r="305" spans="1:103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171"/>
      <c r="AP305" s="56"/>
      <c r="AQ305" s="56"/>
      <c r="AR305" s="56"/>
      <c r="AS305" s="56"/>
      <c r="AT305" s="56"/>
      <c r="AU305" s="56"/>
      <c r="AV305" s="56"/>
      <c r="AW305" s="171"/>
      <c r="AX305" s="56"/>
      <c r="AY305" s="56"/>
      <c r="AZ305" s="56"/>
      <c r="BA305" s="171"/>
      <c r="BB305" s="56"/>
      <c r="BC305" s="10"/>
      <c r="BD305" s="56"/>
      <c r="BE305" s="56"/>
      <c r="BF305" s="56"/>
      <c r="BG305" s="56"/>
      <c r="BO305" s="144"/>
      <c r="CI305" s="144"/>
      <c r="CY305" s="144"/>
    </row>
    <row r="306" spans="1:103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171"/>
      <c r="AP306" s="56"/>
      <c r="AQ306" s="56"/>
      <c r="AR306" s="56"/>
      <c r="AS306" s="56"/>
      <c r="AT306" s="56"/>
      <c r="AU306" s="56"/>
      <c r="AV306" s="56"/>
      <c r="AW306" s="171"/>
      <c r="AX306" s="56"/>
      <c r="AY306" s="56"/>
      <c r="AZ306" s="56"/>
      <c r="BA306" s="171"/>
      <c r="BB306" s="56"/>
      <c r="BC306" s="10"/>
      <c r="BD306" s="56"/>
      <c r="BE306" s="56"/>
      <c r="BF306" s="56"/>
      <c r="BG306" s="56"/>
      <c r="BO306" s="144"/>
      <c r="CI306" s="144"/>
      <c r="CY306" s="144"/>
    </row>
    <row r="307" spans="1:103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171"/>
      <c r="AP307" s="56"/>
      <c r="AQ307" s="56"/>
      <c r="AR307" s="56"/>
      <c r="AS307" s="56"/>
      <c r="AT307" s="56"/>
      <c r="AU307" s="56"/>
      <c r="AV307" s="56"/>
      <c r="AW307" s="171"/>
      <c r="AX307" s="56"/>
      <c r="AY307" s="56"/>
      <c r="AZ307" s="56"/>
      <c r="BA307" s="171"/>
      <c r="BB307" s="56"/>
      <c r="BC307" s="10"/>
      <c r="BD307" s="56"/>
      <c r="BE307" s="56"/>
      <c r="BF307" s="56"/>
      <c r="BG307" s="56"/>
      <c r="BO307" s="144"/>
      <c r="CI307" s="144"/>
      <c r="CY307" s="144"/>
    </row>
    <row r="308" spans="1:103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171"/>
      <c r="AP308" s="56"/>
      <c r="AQ308" s="56"/>
      <c r="AR308" s="56"/>
      <c r="AS308" s="56"/>
      <c r="AT308" s="56"/>
      <c r="AU308" s="56"/>
      <c r="AV308" s="56"/>
      <c r="AW308" s="171"/>
      <c r="AX308" s="56"/>
      <c r="AY308" s="56"/>
      <c r="AZ308" s="56"/>
      <c r="BA308" s="171"/>
      <c r="BB308" s="56"/>
      <c r="BC308" s="10"/>
      <c r="BD308" s="56"/>
      <c r="BE308" s="56"/>
      <c r="BF308" s="56"/>
      <c r="BG308" s="56"/>
      <c r="BO308" s="144"/>
      <c r="CI308" s="144"/>
      <c r="CY308" s="144"/>
    </row>
    <row r="309" spans="1:103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171"/>
      <c r="AP309" s="56"/>
      <c r="AQ309" s="56"/>
      <c r="AR309" s="56"/>
      <c r="AS309" s="56"/>
      <c r="AT309" s="56"/>
      <c r="AU309" s="56"/>
      <c r="AV309" s="56"/>
      <c r="AW309" s="171"/>
      <c r="AX309" s="56"/>
      <c r="AY309" s="56"/>
      <c r="AZ309" s="56"/>
      <c r="BA309" s="171"/>
      <c r="BB309" s="56"/>
      <c r="BC309" s="10"/>
      <c r="BD309" s="56"/>
      <c r="BE309" s="56"/>
      <c r="BF309" s="56"/>
      <c r="BG309" s="56"/>
      <c r="BO309" s="144"/>
      <c r="CI309" s="144"/>
      <c r="CY309" s="144"/>
    </row>
    <row r="310" spans="1:103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171"/>
      <c r="AP310" s="56"/>
      <c r="AQ310" s="56"/>
      <c r="AR310" s="56"/>
      <c r="AS310" s="56"/>
      <c r="AT310" s="56"/>
      <c r="AU310" s="56"/>
      <c r="AV310" s="56"/>
      <c r="AW310" s="171"/>
      <c r="AX310" s="56"/>
      <c r="AY310" s="56"/>
      <c r="AZ310" s="56"/>
      <c r="BA310" s="171"/>
      <c r="BB310" s="56"/>
      <c r="BC310" s="10"/>
      <c r="BD310" s="56"/>
      <c r="BE310" s="56"/>
      <c r="BF310" s="56"/>
      <c r="BG310" s="56"/>
      <c r="BO310" s="144"/>
      <c r="CI310" s="144"/>
      <c r="CY310" s="144"/>
    </row>
    <row r="311" spans="1:103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171"/>
      <c r="AP311" s="56"/>
      <c r="AQ311" s="56"/>
      <c r="AR311" s="56"/>
      <c r="AS311" s="56"/>
      <c r="AT311" s="56"/>
      <c r="AU311" s="56"/>
      <c r="AV311" s="56"/>
      <c r="AW311" s="171"/>
      <c r="AX311" s="56"/>
      <c r="AY311" s="56"/>
      <c r="AZ311" s="56"/>
      <c r="BA311" s="171"/>
      <c r="BB311" s="56"/>
      <c r="BC311" s="10"/>
      <c r="BD311" s="56"/>
      <c r="BE311" s="56"/>
      <c r="BF311" s="56"/>
      <c r="BG311" s="56"/>
      <c r="BO311" s="144"/>
      <c r="CI311" s="144"/>
      <c r="CY311" s="144"/>
    </row>
    <row r="312" spans="1:103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171"/>
      <c r="AP312" s="56"/>
      <c r="AQ312" s="56"/>
      <c r="AR312" s="56"/>
      <c r="AS312" s="56"/>
      <c r="AT312" s="56"/>
      <c r="AU312" s="56"/>
      <c r="AV312" s="56"/>
      <c r="AW312" s="171"/>
      <c r="AX312" s="56"/>
      <c r="AY312" s="56"/>
      <c r="AZ312" s="56"/>
      <c r="BA312" s="171"/>
      <c r="BB312" s="56"/>
      <c r="BC312" s="10"/>
      <c r="BD312" s="56"/>
      <c r="BE312" s="56"/>
      <c r="BF312" s="56"/>
      <c r="BG312" s="56"/>
      <c r="BO312" s="144"/>
      <c r="CI312" s="144"/>
      <c r="CY312" s="144"/>
    </row>
    <row r="313" spans="1:103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171"/>
      <c r="AP313" s="56"/>
      <c r="AQ313" s="56"/>
      <c r="AR313" s="56"/>
      <c r="AS313" s="56"/>
      <c r="AT313" s="56"/>
      <c r="AU313" s="56"/>
      <c r="AV313" s="56"/>
      <c r="AW313" s="171"/>
      <c r="AX313" s="56"/>
      <c r="AY313" s="56"/>
      <c r="AZ313" s="56"/>
      <c r="BA313" s="171"/>
      <c r="BB313" s="56"/>
      <c r="BC313" s="10"/>
      <c r="BD313" s="56"/>
      <c r="BE313" s="56"/>
      <c r="BF313" s="56"/>
      <c r="BG313" s="56"/>
      <c r="BO313" s="144"/>
      <c r="CI313" s="144"/>
      <c r="CY313" s="144"/>
    </row>
    <row r="314" spans="1:103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171"/>
      <c r="AP314" s="56"/>
      <c r="AQ314" s="56"/>
      <c r="AR314" s="56"/>
      <c r="AS314" s="56"/>
      <c r="AT314" s="56"/>
      <c r="AU314" s="56"/>
      <c r="AV314" s="56"/>
      <c r="AW314" s="171"/>
      <c r="AX314" s="56"/>
      <c r="AY314" s="56"/>
      <c r="AZ314" s="56"/>
      <c r="BA314" s="171"/>
      <c r="BB314" s="56"/>
      <c r="BC314" s="10"/>
      <c r="BD314" s="56"/>
      <c r="BE314" s="56"/>
      <c r="BF314" s="56"/>
      <c r="BG314" s="56"/>
      <c r="BO314" s="144"/>
      <c r="CI314" s="144"/>
      <c r="CY314" s="144"/>
    </row>
    <row r="315" spans="1:103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171"/>
      <c r="AP315" s="56"/>
      <c r="AQ315" s="56"/>
      <c r="AR315" s="56"/>
      <c r="AS315" s="56"/>
      <c r="AT315" s="56"/>
      <c r="AU315" s="56"/>
      <c r="AV315" s="56"/>
      <c r="AW315" s="171"/>
      <c r="AX315" s="56"/>
      <c r="AY315" s="56"/>
      <c r="AZ315" s="56"/>
      <c r="BA315" s="171"/>
      <c r="BB315" s="56"/>
      <c r="BC315" s="10"/>
      <c r="BD315" s="56"/>
      <c r="BE315" s="56"/>
      <c r="BF315" s="56"/>
      <c r="BG315" s="56"/>
      <c r="BO315" s="144"/>
      <c r="CI315" s="144"/>
      <c r="CY315" s="144"/>
    </row>
    <row r="316" spans="1:103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171"/>
      <c r="AP316" s="56"/>
      <c r="AQ316" s="56"/>
      <c r="AR316" s="56"/>
      <c r="AS316" s="56"/>
      <c r="AT316" s="56"/>
      <c r="AU316" s="56"/>
      <c r="AV316" s="56"/>
      <c r="AW316" s="171"/>
      <c r="AX316" s="56"/>
      <c r="AY316" s="56"/>
      <c r="AZ316" s="56"/>
      <c r="BA316" s="171"/>
      <c r="BB316" s="56"/>
      <c r="BC316" s="10"/>
      <c r="BD316" s="56"/>
      <c r="BE316" s="56"/>
      <c r="BF316" s="56"/>
      <c r="BG316" s="56"/>
      <c r="BO316" s="144"/>
      <c r="CI316" s="144"/>
      <c r="CY316" s="144"/>
    </row>
    <row r="317" spans="1:103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171"/>
      <c r="AP317" s="56"/>
      <c r="AQ317" s="56"/>
      <c r="AR317" s="56"/>
      <c r="AS317" s="56"/>
      <c r="AT317" s="56"/>
      <c r="AU317" s="56"/>
      <c r="AV317" s="56"/>
      <c r="AW317" s="171"/>
      <c r="AX317" s="56"/>
      <c r="AY317" s="56"/>
      <c r="AZ317" s="56"/>
      <c r="BA317" s="171"/>
      <c r="BB317" s="56"/>
      <c r="BC317" s="10"/>
      <c r="BD317" s="56"/>
      <c r="BE317" s="56"/>
      <c r="BF317" s="56"/>
      <c r="BG317" s="56"/>
      <c r="BO317" s="144"/>
      <c r="CI317" s="144"/>
      <c r="CY317" s="144"/>
    </row>
    <row r="318" spans="1:103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171"/>
      <c r="AP318" s="56"/>
      <c r="AQ318" s="56"/>
      <c r="AR318" s="56"/>
      <c r="AS318" s="56"/>
      <c r="AT318" s="56"/>
      <c r="AU318" s="56"/>
      <c r="AV318" s="56"/>
      <c r="AW318" s="171"/>
      <c r="AX318" s="56"/>
      <c r="AY318" s="56"/>
      <c r="AZ318" s="56"/>
      <c r="BA318" s="171"/>
      <c r="BB318" s="56"/>
      <c r="BC318" s="10"/>
      <c r="BD318" s="56"/>
      <c r="BE318" s="56"/>
      <c r="BF318" s="56"/>
      <c r="BG318" s="56"/>
      <c r="BO318" s="144"/>
      <c r="CI318" s="144"/>
      <c r="CY318" s="144"/>
    </row>
    <row r="319" spans="1:103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171"/>
      <c r="AP319" s="56"/>
      <c r="AQ319" s="56"/>
      <c r="AR319" s="56"/>
      <c r="AS319" s="56"/>
      <c r="AT319" s="56"/>
      <c r="AU319" s="56"/>
      <c r="AV319" s="56"/>
      <c r="AW319" s="171"/>
      <c r="AX319" s="56"/>
      <c r="AY319" s="56"/>
      <c r="AZ319" s="56"/>
      <c r="BA319" s="171"/>
      <c r="BB319" s="56"/>
      <c r="BC319" s="10"/>
      <c r="BD319" s="56"/>
      <c r="BE319" s="56"/>
      <c r="BF319" s="56"/>
      <c r="BG319" s="56"/>
      <c r="BO319" s="144"/>
      <c r="CI319" s="144"/>
      <c r="CY319" s="144"/>
    </row>
    <row r="320" spans="1:103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171"/>
      <c r="AP320" s="56"/>
      <c r="AQ320" s="56"/>
      <c r="AR320" s="56"/>
      <c r="AS320" s="56"/>
      <c r="AT320" s="56"/>
      <c r="AU320" s="56"/>
      <c r="AV320" s="56"/>
      <c r="AW320" s="171"/>
      <c r="AX320" s="56"/>
      <c r="AY320" s="56"/>
      <c r="AZ320" s="56"/>
      <c r="BA320" s="171"/>
      <c r="BB320" s="56"/>
      <c r="BC320" s="10"/>
      <c r="BD320" s="56"/>
      <c r="BE320" s="56"/>
      <c r="BF320" s="56"/>
      <c r="BG320" s="56"/>
      <c r="BO320" s="144"/>
      <c r="CI320" s="144"/>
      <c r="CY320" s="144"/>
    </row>
    <row r="321" spans="1:103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171"/>
      <c r="AP321" s="56"/>
      <c r="AQ321" s="56"/>
      <c r="AR321" s="56"/>
      <c r="AS321" s="56"/>
      <c r="AT321" s="56"/>
      <c r="AU321" s="56"/>
      <c r="AV321" s="56"/>
      <c r="AW321" s="171"/>
      <c r="AX321" s="56"/>
      <c r="AY321" s="56"/>
      <c r="AZ321" s="56"/>
      <c r="BA321" s="171"/>
      <c r="BB321" s="56"/>
      <c r="BC321" s="10"/>
      <c r="BD321" s="56"/>
      <c r="BE321" s="56"/>
      <c r="BF321" s="56"/>
      <c r="BG321" s="56"/>
      <c r="BO321" s="144"/>
      <c r="CI321" s="144"/>
      <c r="CY321" s="144"/>
    </row>
    <row r="322" spans="1:103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171"/>
      <c r="AP322" s="56"/>
      <c r="AQ322" s="56"/>
      <c r="AR322" s="56"/>
      <c r="AS322" s="56"/>
      <c r="AT322" s="56"/>
      <c r="AU322" s="56"/>
      <c r="AV322" s="56"/>
      <c r="AW322" s="171"/>
      <c r="AX322" s="56"/>
      <c r="AY322" s="56"/>
      <c r="AZ322" s="56"/>
      <c r="BA322" s="171"/>
      <c r="BB322" s="56"/>
      <c r="BC322" s="10"/>
      <c r="BD322" s="56"/>
      <c r="BE322" s="56"/>
      <c r="BF322" s="56"/>
      <c r="BG322" s="56"/>
      <c r="BO322" s="144"/>
      <c r="CI322" s="144"/>
      <c r="CY322" s="144"/>
    </row>
    <row r="323" spans="1:103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171"/>
      <c r="AP323" s="56"/>
      <c r="AQ323" s="56"/>
      <c r="AR323" s="56"/>
      <c r="AS323" s="56"/>
      <c r="AT323" s="56"/>
      <c r="AU323" s="56"/>
      <c r="AV323" s="56"/>
      <c r="AW323" s="171"/>
      <c r="AX323" s="56"/>
      <c r="AY323" s="56"/>
      <c r="AZ323" s="56"/>
      <c r="BA323" s="171"/>
      <c r="BB323" s="56"/>
      <c r="BC323" s="10"/>
      <c r="BD323" s="56"/>
      <c r="BE323" s="56"/>
      <c r="BF323" s="56"/>
      <c r="BG323" s="56"/>
      <c r="BO323" s="144"/>
      <c r="CI323" s="144"/>
      <c r="CY323" s="144"/>
    </row>
    <row r="324" spans="1:103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171"/>
      <c r="AP324" s="56"/>
      <c r="AQ324" s="56"/>
      <c r="AR324" s="56"/>
      <c r="AS324" s="56"/>
      <c r="AT324" s="56"/>
      <c r="AU324" s="56"/>
      <c r="AV324" s="56"/>
      <c r="AW324" s="171"/>
      <c r="AX324" s="56"/>
      <c r="AY324" s="56"/>
      <c r="AZ324" s="56"/>
      <c r="BA324" s="171"/>
      <c r="BB324" s="56"/>
      <c r="BC324" s="10"/>
      <c r="BD324" s="56"/>
      <c r="BE324" s="56"/>
      <c r="BF324" s="56"/>
      <c r="BG324" s="56"/>
      <c r="BO324" s="144"/>
      <c r="CI324" s="144"/>
      <c r="CY324" s="144"/>
    </row>
    <row r="325" spans="1:103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171"/>
      <c r="AP325" s="56"/>
      <c r="AQ325" s="56"/>
      <c r="AR325" s="56"/>
      <c r="AS325" s="56"/>
      <c r="AT325" s="56"/>
      <c r="AU325" s="56"/>
      <c r="AV325" s="56"/>
      <c r="AW325" s="171"/>
      <c r="AX325" s="56"/>
      <c r="AY325" s="56"/>
      <c r="AZ325" s="56"/>
      <c r="BA325" s="171"/>
      <c r="BB325" s="56"/>
      <c r="BC325" s="10"/>
      <c r="BD325" s="56"/>
      <c r="BE325" s="56"/>
      <c r="BF325" s="56"/>
      <c r="BG325" s="56"/>
      <c r="BO325" s="144"/>
      <c r="CI325" s="144"/>
      <c r="CY325" s="144"/>
    </row>
    <row r="326" spans="1:103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171"/>
      <c r="AP326" s="56"/>
      <c r="AQ326" s="56"/>
      <c r="AR326" s="56"/>
      <c r="AS326" s="56"/>
      <c r="AT326" s="56"/>
      <c r="AU326" s="56"/>
      <c r="AV326" s="56"/>
      <c r="AW326" s="171"/>
      <c r="AX326" s="56"/>
      <c r="AY326" s="56"/>
      <c r="AZ326" s="56"/>
      <c r="BA326" s="171"/>
      <c r="BB326" s="56"/>
      <c r="BC326" s="10"/>
      <c r="BD326" s="56"/>
      <c r="BE326" s="56"/>
      <c r="BF326" s="56"/>
      <c r="BG326" s="56"/>
      <c r="BO326" s="144"/>
      <c r="CI326" s="144"/>
      <c r="CY326" s="144"/>
    </row>
    <row r="327" spans="1:103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171"/>
      <c r="AP327" s="56"/>
      <c r="AQ327" s="56"/>
      <c r="AR327" s="56"/>
      <c r="AS327" s="56"/>
      <c r="AT327" s="56"/>
      <c r="AU327" s="56"/>
      <c r="AV327" s="56"/>
      <c r="AW327" s="171"/>
      <c r="AX327" s="56"/>
      <c r="AY327" s="56"/>
      <c r="AZ327" s="56"/>
      <c r="BA327" s="171"/>
      <c r="BB327" s="56"/>
      <c r="BC327" s="10"/>
      <c r="BD327" s="56"/>
      <c r="BE327" s="56"/>
      <c r="BF327" s="56"/>
      <c r="BG327" s="56"/>
      <c r="BO327" s="144"/>
      <c r="CI327" s="144"/>
      <c r="CY327" s="144"/>
    </row>
    <row r="328" spans="1:103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171"/>
      <c r="AP328" s="56"/>
      <c r="AQ328" s="56"/>
      <c r="AR328" s="56"/>
      <c r="AS328" s="56"/>
      <c r="AT328" s="56"/>
      <c r="AU328" s="56"/>
      <c r="AV328" s="56"/>
      <c r="AW328" s="171"/>
      <c r="AX328" s="56"/>
      <c r="AY328" s="56"/>
      <c r="AZ328" s="56"/>
      <c r="BA328" s="171"/>
      <c r="BB328" s="56"/>
      <c r="BC328" s="10"/>
      <c r="BD328" s="56"/>
      <c r="BE328" s="56"/>
      <c r="BF328" s="56"/>
      <c r="BG328" s="56"/>
      <c r="BO328" s="144"/>
      <c r="CI328" s="144"/>
      <c r="CY328" s="144"/>
    </row>
    <row r="329" spans="1:103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171"/>
      <c r="AP329" s="56"/>
      <c r="AQ329" s="56"/>
      <c r="AR329" s="56"/>
      <c r="AS329" s="56"/>
      <c r="AT329" s="56"/>
      <c r="AU329" s="56"/>
      <c r="AV329" s="56"/>
      <c r="AW329" s="171"/>
      <c r="AX329" s="56"/>
      <c r="AY329" s="56"/>
      <c r="AZ329" s="56"/>
      <c r="BA329" s="171"/>
      <c r="BB329" s="56"/>
      <c r="BC329" s="10"/>
      <c r="BD329" s="56"/>
      <c r="BE329" s="56"/>
      <c r="BF329" s="56"/>
      <c r="BG329" s="56"/>
      <c r="BO329" s="144"/>
      <c r="CI329" s="144"/>
      <c r="CY329" s="144"/>
    </row>
    <row r="330" spans="1:103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171"/>
      <c r="AP330" s="56"/>
      <c r="AQ330" s="56"/>
      <c r="AR330" s="56"/>
      <c r="AS330" s="56"/>
      <c r="AT330" s="56"/>
      <c r="AU330" s="56"/>
      <c r="AV330" s="56"/>
      <c r="AW330" s="171"/>
      <c r="AX330" s="56"/>
      <c r="AY330" s="56"/>
      <c r="AZ330" s="56"/>
      <c r="BA330" s="171"/>
      <c r="BB330" s="56"/>
      <c r="BC330" s="10"/>
      <c r="BD330" s="56"/>
      <c r="BE330" s="56"/>
      <c r="BF330" s="56"/>
      <c r="BG330" s="56"/>
      <c r="BO330" s="144"/>
      <c r="CI330" s="144"/>
      <c r="CY330" s="144"/>
    </row>
    <row r="331" spans="1:103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171"/>
      <c r="AP331" s="56"/>
      <c r="AQ331" s="56"/>
      <c r="AR331" s="56"/>
      <c r="AS331" s="56"/>
      <c r="AT331" s="56"/>
      <c r="AU331" s="56"/>
      <c r="AV331" s="56"/>
      <c r="AW331" s="171"/>
      <c r="AX331" s="56"/>
      <c r="AY331" s="56"/>
      <c r="AZ331" s="56"/>
      <c r="BA331" s="171"/>
      <c r="BB331" s="56"/>
      <c r="BC331" s="10"/>
      <c r="BD331" s="56"/>
      <c r="BE331" s="56"/>
      <c r="BF331" s="56"/>
      <c r="BG331" s="56"/>
      <c r="BO331" s="144"/>
      <c r="CI331" s="144"/>
      <c r="CY331" s="144"/>
    </row>
    <row r="332" spans="1:103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171"/>
      <c r="AP332" s="56"/>
      <c r="AQ332" s="56"/>
      <c r="AR332" s="56"/>
      <c r="AS332" s="56"/>
      <c r="AT332" s="56"/>
      <c r="AU332" s="56"/>
      <c r="AV332" s="56"/>
      <c r="AW332" s="171"/>
      <c r="AX332" s="56"/>
      <c r="AY332" s="56"/>
      <c r="AZ332" s="56"/>
      <c r="BA332" s="171"/>
      <c r="BB332" s="56"/>
      <c r="BC332" s="10"/>
      <c r="BD332" s="56"/>
      <c r="BE332" s="56"/>
      <c r="BF332" s="56"/>
      <c r="BG332" s="56"/>
      <c r="BO332" s="144"/>
      <c r="CI332" s="144"/>
      <c r="CY332" s="144"/>
    </row>
    <row r="333" spans="1:103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171"/>
      <c r="AP333" s="56"/>
      <c r="AQ333" s="56"/>
      <c r="AR333" s="56"/>
      <c r="AS333" s="56"/>
      <c r="AT333" s="56"/>
      <c r="AU333" s="56"/>
      <c r="AV333" s="56"/>
      <c r="AW333" s="171"/>
      <c r="AX333" s="56"/>
      <c r="AY333" s="56"/>
      <c r="AZ333" s="56"/>
      <c r="BA333" s="171"/>
      <c r="BB333" s="56"/>
      <c r="BC333" s="10"/>
      <c r="BD333" s="56"/>
      <c r="BE333" s="56"/>
      <c r="BF333" s="56"/>
      <c r="BG333" s="56"/>
      <c r="BO333" s="144"/>
      <c r="CI333" s="144"/>
      <c r="CY333" s="144"/>
    </row>
    <row r="334" spans="1:103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171"/>
      <c r="AP334" s="56"/>
      <c r="AQ334" s="56"/>
      <c r="AR334" s="56"/>
      <c r="AS334" s="56"/>
      <c r="AT334" s="56"/>
      <c r="AU334" s="56"/>
      <c r="AV334" s="56"/>
      <c r="AW334" s="171"/>
      <c r="AX334" s="56"/>
      <c r="AY334" s="56"/>
      <c r="AZ334" s="56"/>
      <c r="BA334" s="171"/>
      <c r="BB334" s="56"/>
      <c r="BC334" s="10"/>
      <c r="BD334" s="56"/>
      <c r="BE334" s="56"/>
      <c r="BF334" s="56"/>
      <c r="BG334" s="56"/>
      <c r="BO334" s="144"/>
      <c r="CI334" s="144"/>
      <c r="CY334" s="144"/>
    </row>
    <row r="335" spans="1:103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171"/>
      <c r="AP335" s="56"/>
      <c r="AQ335" s="56"/>
      <c r="AR335" s="56"/>
      <c r="AS335" s="56"/>
      <c r="AT335" s="56"/>
      <c r="AU335" s="56"/>
      <c r="AV335" s="56"/>
      <c r="AW335" s="171"/>
      <c r="AX335" s="56"/>
      <c r="AY335" s="56"/>
      <c r="AZ335" s="56"/>
      <c r="BA335" s="171"/>
      <c r="BB335" s="56"/>
      <c r="BC335" s="10"/>
      <c r="BD335" s="56"/>
      <c r="BE335" s="56"/>
      <c r="BF335" s="56"/>
      <c r="BG335" s="56"/>
      <c r="BO335" s="144"/>
      <c r="CI335" s="144"/>
      <c r="CY335" s="144"/>
    </row>
    <row r="336" spans="1:103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171"/>
      <c r="AP336" s="56"/>
      <c r="AQ336" s="56"/>
      <c r="AR336" s="56"/>
      <c r="AS336" s="56"/>
      <c r="AT336" s="56"/>
      <c r="AU336" s="56"/>
      <c r="AV336" s="56"/>
      <c r="AW336" s="171"/>
      <c r="AX336" s="56"/>
      <c r="AY336" s="56"/>
      <c r="AZ336" s="56"/>
      <c r="BA336" s="171"/>
      <c r="BB336" s="56"/>
      <c r="BC336" s="10"/>
      <c r="BD336" s="56"/>
      <c r="BE336" s="56"/>
      <c r="BF336" s="56"/>
      <c r="BG336" s="56"/>
      <c r="BO336" s="144"/>
      <c r="CI336" s="144"/>
      <c r="CY336" s="144"/>
    </row>
    <row r="337" spans="1:103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171"/>
      <c r="AP337" s="56"/>
      <c r="AQ337" s="56"/>
      <c r="AR337" s="56"/>
      <c r="AS337" s="56"/>
      <c r="AT337" s="56"/>
      <c r="AU337" s="56"/>
      <c r="AV337" s="56"/>
      <c r="AW337" s="171"/>
      <c r="AX337" s="56"/>
      <c r="AY337" s="56"/>
      <c r="AZ337" s="56"/>
      <c r="BA337" s="171"/>
      <c r="BB337" s="56"/>
      <c r="BC337" s="10"/>
      <c r="BD337" s="56"/>
      <c r="BE337" s="56"/>
      <c r="BF337" s="56"/>
      <c r="BG337" s="56"/>
      <c r="BO337" s="144"/>
      <c r="CI337" s="144"/>
      <c r="CY337" s="144"/>
    </row>
    <row r="338" spans="1:103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171"/>
      <c r="AP338" s="56"/>
      <c r="AQ338" s="56"/>
      <c r="AR338" s="56"/>
      <c r="AS338" s="56"/>
      <c r="AT338" s="56"/>
      <c r="AU338" s="56"/>
      <c r="AV338" s="56"/>
      <c r="AW338" s="171"/>
      <c r="AX338" s="56"/>
      <c r="AY338" s="56"/>
      <c r="AZ338" s="56"/>
      <c r="BA338" s="171"/>
      <c r="BB338" s="56"/>
      <c r="BC338" s="10"/>
      <c r="BD338" s="56"/>
      <c r="BE338" s="56"/>
      <c r="BF338" s="56"/>
      <c r="BG338" s="56"/>
      <c r="BO338" s="144"/>
      <c r="CI338" s="144"/>
      <c r="CY338" s="144"/>
    </row>
    <row r="339" spans="1:103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171"/>
      <c r="AP339" s="56"/>
      <c r="AQ339" s="56"/>
      <c r="AR339" s="56"/>
      <c r="AS339" s="56"/>
      <c r="AT339" s="56"/>
      <c r="AU339" s="56"/>
      <c r="AV339" s="56"/>
      <c r="AW339" s="171"/>
      <c r="AX339" s="56"/>
      <c r="AY339" s="56"/>
      <c r="AZ339" s="56"/>
      <c r="BA339" s="171"/>
      <c r="BB339" s="56"/>
      <c r="BC339" s="10"/>
      <c r="BD339" s="56"/>
      <c r="BE339" s="56"/>
      <c r="BF339" s="56"/>
      <c r="BG339" s="56"/>
      <c r="BO339" s="144"/>
      <c r="CI339" s="144"/>
      <c r="CY339" s="144"/>
    </row>
    <row r="340" spans="1:103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171"/>
      <c r="AP340" s="56"/>
      <c r="AQ340" s="56"/>
      <c r="AR340" s="56"/>
      <c r="AS340" s="56"/>
      <c r="AT340" s="56"/>
      <c r="AU340" s="56"/>
      <c r="AV340" s="56"/>
      <c r="AW340" s="171"/>
      <c r="AX340" s="56"/>
      <c r="AY340" s="56"/>
      <c r="AZ340" s="56"/>
      <c r="BA340" s="171"/>
      <c r="BB340" s="56"/>
      <c r="BC340" s="10"/>
      <c r="BD340" s="56"/>
      <c r="BE340" s="56"/>
      <c r="BF340" s="56"/>
      <c r="BG340" s="56"/>
      <c r="BO340" s="144"/>
      <c r="CI340" s="144"/>
      <c r="CY340" s="144"/>
    </row>
    <row r="341" spans="1:103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171"/>
      <c r="AP341" s="56"/>
      <c r="AQ341" s="56"/>
      <c r="AR341" s="56"/>
      <c r="AS341" s="56"/>
      <c r="AT341" s="56"/>
      <c r="AU341" s="56"/>
      <c r="AV341" s="56"/>
      <c r="AW341" s="171"/>
      <c r="AX341" s="56"/>
      <c r="AY341" s="56"/>
      <c r="AZ341" s="56"/>
      <c r="BA341" s="171"/>
      <c r="BB341" s="56"/>
      <c r="BC341" s="10"/>
      <c r="BD341" s="56"/>
      <c r="BE341" s="56"/>
      <c r="BF341" s="56"/>
      <c r="BG341" s="56"/>
      <c r="BO341" s="144"/>
      <c r="CI341" s="144"/>
      <c r="CY341" s="144"/>
    </row>
    <row r="342" spans="1:103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171"/>
      <c r="AP342" s="56"/>
      <c r="AQ342" s="56"/>
      <c r="AR342" s="56"/>
      <c r="AS342" s="56"/>
      <c r="AT342" s="56"/>
      <c r="AU342" s="56"/>
      <c r="AV342" s="56"/>
      <c r="AW342" s="171"/>
      <c r="AX342" s="56"/>
      <c r="AY342" s="56"/>
      <c r="AZ342" s="56"/>
      <c r="BA342" s="171"/>
      <c r="BB342" s="56"/>
      <c r="BC342" s="10"/>
      <c r="BD342" s="56"/>
      <c r="BE342" s="56"/>
      <c r="BF342" s="56"/>
      <c r="BG342" s="56"/>
      <c r="BO342" s="144"/>
      <c r="CI342" s="144"/>
      <c r="CY342" s="144"/>
    </row>
    <row r="343" spans="1:103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171"/>
      <c r="AP343" s="56"/>
      <c r="AQ343" s="56"/>
      <c r="AR343" s="56"/>
      <c r="AS343" s="56"/>
      <c r="AT343" s="56"/>
      <c r="AU343" s="56"/>
      <c r="AV343" s="56"/>
      <c r="AW343" s="171"/>
      <c r="AX343" s="56"/>
      <c r="AY343" s="56"/>
      <c r="AZ343" s="56"/>
      <c r="BA343" s="171"/>
      <c r="BB343" s="56"/>
      <c r="BC343" s="10"/>
      <c r="BD343" s="56"/>
      <c r="BE343" s="56"/>
      <c r="BF343" s="56"/>
      <c r="BG343" s="56"/>
      <c r="BO343" s="144"/>
      <c r="CI343" s="144"/>
      <c r="CY343" s="144"/>
    </row>
    <row r="344" spans="1:103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171"/>
      <c r="AP344" s="56"/>
      <c r="AQ344" s="56"/>
      <c r="AR344" s="56"/>
      <c r="AS344" s="56"/>
      <c r="AT344" s="56"/>
      <c r="AU344" s="56"/>
      <c r="AV344" s="56"/>
      <c r="AW344" s="171"/>
      <c r="AX344" s="56"/>
      <c r="AY344" s="56"/>
      <c r="AZ344" s="56"/>
      <c r="BA344" s="171"/>
      <c r="BB344" s="56"/>
      <c r="BC344" s="10"/>
      <c r="BD344" s="56"/>
      <c r="BE344" s="56"/>
      <c r="BF344" s="56"/>
      <c r="BG344" s="56"/>
      <c r="BO344" s="144"/>
      <c r="CI344" s="144"/>
      <c r="CY344" s="144"/>
    </row>
    <row r="345" spans="1:103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171"/>
      <c r="AP345" s="56"/>
      <c r="AQ345" s="56"/>
      <c r="AR345" s="56"/>
      <c r="AS345" s="56"/>
      <c r="AT345" s="56"/>
      <c r="AU345" s="56"/>
      <c r="AV345" s="56"/>
      <c r="AW345" s="171"/>
      <c r="AX345" s="56"/>
      <c r="AY345" s="56"/>
      <c r="AZ345" s="56"/>
      <c r="BA345" s="171"/>
      <c r="BB345" s="56"/>
      <c r="BC345" s="10"/>
      <c r="BD345" s="56"/>
      <c r="BE345" s="56"/>
      <c r="BF345" s="56"/>
      <c r="BG345" s="56"/>
      <c r="BO345" s="144"/>
      <c r="CI345" s="144"/>
      <c r="CY345" s="144"/>
    </row>
    <row r="346" spans="1:103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171"/>
      <c r="AP346" s="56"/>
      <c r="AQ346" s="56"/>
      <c r="AR346" s="56"/>
      <c r="AS346" s="56"/>
      <c r="AT346" s="56"/>
      <c r="AU346" s="56"/>
      <c r="AV346" s="56"/>
      <c r="AW346" s="171"/>
      <c r="AX346" s="56"/>
      <c r="AY346" s="56"/>
      <c r="AZ346" s="56"/>
      <c r="BA346" s="171"/>
      <c r="BB346" s="56"/>
      <c r="BC346" s="10"/>
      <c r="BD346" s="56"/>
      <c r="BE346" s="56"/>
      <c r="BF346" s="56"/>
      <c r="BG346" s="56"/>
      <c r="BO346" s="144"/>
      <c r="CI346" s="144"/>
      <c r="CY346" s="144"/>
    </row>
    <row r="347" spans="1:103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171"/>
      <c r="AP347" s="56"/>
      <c r="AQ347" s="56"/>
      <c r="AR347" s="56"/>
      <c r="AS347" s="56"/>
      <c r="AT347" s="56"/>
      <c r="AU347" s="56"/>
      <c r="AV347" s="56"/>
      <c r="AW347" s="171"/>
      <c r="AX347" s="56"/>
      <c r="AY347" s="56"/>
      <c r="AZ347" s="56"/>
      <c r="BA347" s="171"/>
      <c r="BB347" s="56"/>
      <c r="BC347" s="10"/>
      <c r="BD347" s="56"/>
      <c r="BE347" s="56"/>
      <c r="BF347" s="56"/>
      <c r="BG347" s="56"/>
      <c r="BO347" s="144"/>
      <c r="CI347" s="144"/>
      <c r="CY347" s="144"/>
    </row>
    <row r="348" spans="1:103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171"/>
      <c r="AP348" s="56"/>
      <c r="AQ348" s="56"/>
      <c r="AR348" s="56"/>
      <c r="AS348" s="56"/>
      <c r="AT348" s="56"/>
      <c r="AU348" s="56"/>
      <c r="AV348" s="56"/>
      <c r="AW348" s="171"/>
      <c r="AX348" s="56"/>
      <c r="AY348" s="56"/>
      <c r="AZ348" s="56"/>
      <c r="BA348" s="171"/>
      <c r="BB348" s="56"/>
      <c r="BC348" s="10"/>
      <c r="BD348" s="56"/>
      <c r="BE348" s="56"/>
      <c r="BF348" s="56"/>
      <c r="BG348" s="56"/>
      <c r="BO348" s="144"/>
      <c r="CI348" s="144"/>
      <c r="CY348" s="144"/>
    </row>
    <row r="349" spans="1:103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171"/>
      <c r="AP349" s="56"/>
      <c r="AQ349" s="56"/>
      <c r="AR349" s="56"/>
      <c r="AS349" s="56"/>
      <c r="AT349" s="56"/>
      <c r="AU349" s="56"/>
      <c r="AV349" s="56"/>
      <c r="AW349" s="171"/>
      <c r="AX349" s="56"/>
      <c r="AY349" s="56"/>
      <c r="AZ349" s="56"/>
      <c r="BA349" s="171"/>
      <c r="BB349" s="56"/>
      <c r="BC349" s="10"/>
      <c r="BD349" s="56"/>
      <c r="BE349" s="56"/>
      <c r="BF349" s="56"/>
      <c r="BG349" s="56"/>
      <c r="BO349" s="144"/>
      <c r="CI349" s="144"/>
      <c r="CY349" s="144"/>
    </row>
    <row r="350" spans="1:103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171"/>
      <c r="AP350" s="56"/>
      <c r="AQ350" s="56"/>
      <c r="AR350" s="56"/>
      <c r="AS350" s="56"/>
      <c r="AT350" s="56"/>
      <c r="AU350" s="56"/>
      <c r="AV350" s="56"/>
      <c r="AW350" s="171"/>
      <c r="AX350" s="56"/>
      <c r="AY350" s="56"/>
      <c r="AZ350" s="56"/>
      <c r="BA350" s="171"/>
      <c r="BB350" s="56"/>
      <c r="BC350" s="10"/>
      <c r="BD350" s="56"/>
      <c r="BE350" s="56"/>
      <c r="BF350" s="56"/>
      <c r="BG350" s="56"/>
      <c r="BO350" s="144"/>
      <c r="CI350" s="144"/>
      <c r="CY350" s="144"/>
    </row>
    <row r="351" spans="1:103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171"/>
      <c r="AP351" s="56"/>
      <c r="AQ351" s="56"/>
      <c r="AR351" s="56"/>
      <c r="AS351" s="56"/>
      <c r="AT351" s="56"/>
      <c r="AU351" s="56"/>
      <c r="AV351" s="56"/>
      <c r="AW351" s="171"/>
      <c r="AX351" s="56"/>
      <c r="AY351" s="56"/>
      <c r="AZ351" s="56"/>
      <c r="BA351" s="171"/>
      <c r="BB351" s="56"/>
      <c r="BC351" s="10"/>
      <c r="BD351" s="56"/>
      <c r="BE351" s="56"/>
      <c r="BF351" s="56"/>
      <c r="BG351" s="56"/>
      <c r="BO351" s="144"/>
      <c r="CI351" s="144"/>
      <c r="CY351" s="144"/>
    </row>
    <row r="352" spans="1:103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171"/>
      <c r="AP352" s="56"/>
      <c r="AQ352" s="56"/>
      <c r="AR352" s="56"/>
      <c r="AS352" s="56"/>
      <c r="AT352" s="56"/>
      <c r="AU352" s="56"/>
      <c r="AV352" s="56"/>
      <c r="AW352" s="171"/>
      <c r="AX352" s="56"/>
      <c r="AY352" s="56"/>
      <c r="AZ352" s="56"/>
      <c r="BA352" s="171"/>
      <c r="BB352" s="56"/>
      <c r="BC352" s="10"/>
      <c r="BD352" s="56"/>
      <c r="BE352" s="56"/>
      <c r="BF352" s="56"/>
      <c r="BG352" s="56"/>
      <c r="BO352" s="144"/>
      <c r="CI352" s="144"/>
      <c r="CY352" s="144"/>
    </row>
    <row r="353" spans="1:103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171"/>
      <c r="AP353" s="56"/>
      <c r="AQ353" s="56"/>
      <c r="AR353" s="56"/>
      <c r="AS353" s="56"/>
      <c r="AT353" s="56"/>
      <c r="AU353" s="56"/>
      <c r="AV353" s="56"/>
      <c r="AW353" s="171"/>
      <c r="AX353" s="56"/>
      <c r="AY353" s="56"/>
      <c r="AZ353" s="56"/>
      <c r="BA353" s="171"/>
      <c r="BB353" s="56"/>
      <c r="BC353" s="10"/>
      <c r="BD353" s="56"/>
      <c r="BE353" s="56"/>
      <c r="BF353" s="56"/>
      <c r="BG353" s="56"/>
      <c r="BO353" s="144"/>
      <c r="CI353" s="144"/>
      <c r="CY353" s="144"/>
    </row>
    <row r="354" spans="1:103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171"/>
      <c r="AP354" s="56"/>
      <c r="AQ354" s="56"/>
      <c r="AR354" s="56"/>
      <c r="AS354" s="56"/>
      <c r="AT354" s="56"/>
      <c r="AU354" s="56"/>
      <c r="AV354" s="56"/>
      <c r="AW354" s="171"/>
      <c r="AX354" s="56"/>
      <c r="AY354" s="56"/>
      <c r="AZ354" s="56"/>
      <c r="BA354" s="171"/>
      <c r="BB354" s="56"/>
      <c r="BC354" s="10"/>
      <c r="BD354" s="56"/>
      <c r="BE354" s="56"/>
      <c r="BF354" s="56"/>
      <c r="BG354" s="56"/>
      <c r="BO354" s="144"/>
      <c r="CI354" s="144"/>
      <c r="CY354" s="144"/>
    </row>
    <row r="355" spans="1:103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171"/>
      <c r="AP355" s="56"/>
      <c r="AQ355" s="56"/>
      <c r="AR355" s="56"/>
      <c r="AS355" s="56"/>
      <c r="AT355" s="56"/>
      <c r="AU355" s="56"/>
      <c r="AV355" s="56"/>
      <c r="AW355" s="171"/>
      <c r="AX355" s="56"/>
      <c r="AY355" s="56"/>
      <c r="AZ355" s="56"/>
      <c r="BA355" s="171"/>
      <c r="BB355" s="56"/>
      <c r="BC355" s="10"/>
      <c r="BD355" s="56"/>
      <c r="BE355" s="56"/>
      <c r="BF355" s="56"/>
      <c r="BG355" s="56"/>
      <c r="BO355" s="144"/>
      <c r="CI355" s="144"/>
      <c r="CY355" s="144"/>
    </row>
    <row r="356" spans="1:103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171"/>
      <c r="AP356" s="56"/>
      <c r="AQ356" s="56"/>
      <c r="AR356" s="56"/>
      <c r="AS356" s="56"/>
      <c r="AT356" s="56"/>
      <c r="AU356" s="56"/>
      <c r="AV356" s="56"/>
      <c r="AW356" s="171"/>
      <c r="AX356" s="56"/>
      <c r="AY356" s="56"/>
      <c r="AZ356" s="56"/>
      <c r="BA356" s="171"/>
      <c r="BB356" s="56"/>
      <c r="BC356" s="10"/>
      <c r="BD356" s="56"/>
      <c r="BE356" s="56"/>
      <c r="BF356" s="56"/>
      <c r="BG356" s="56"/>
      <c r="BO356" s="144"/>
      <c r="CI356" s="144"/>
      <c r="CY356" s="144"/>
    </row>
    <row r="357" spans="1:103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171"/>
      <c r="AP357" s="56"/>
      <c r="AQ357" s="56"/>
      <c r="AR357" s="56"/>
      <c r="AS357" s="56"/>
      <c r="AT357" s="56"/>
      <c r="AU357" s="56"/>
      <c r="AV357" s="56"/>
      <c r="AW357" s="171"/>
      <c r="AX357" s="56"/>
      <c r="AY357" s="56"/>
      <c r="AZ357" s="56"/>
      <c r="BA357" s="171"/>
      <c r="BB357" s="56"/>
      <c r="BC357" s="10"/>
      <c r="BD357" s="56"/>
      <c r="BE357" s="56"/>
      <c r="BF357" s="56"/>
      <c r="BG357" s="56"/>
      <c r="BO357" s="144"/>
      <c r="CI357" s="144"/>
      <c r="CY357" s="144"/>
    </row>
    <row r="358" spans="1:103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171"/>
      <c r="AP358" s="56"/>
      <c r="AQ358" s="56"/>
      <c r="AR358" s="56"/>
      <c r="AS358" s="56"/>
      <c r="AT358" s="56"/>
      <c r="AU358" s="56"/>
      <c r="AV358" s="56"/>
      <c r="AW358" s="171"/>
      <c r="AX358" s="56"/>
      <c r="AY358" s="56"/>
      <c r="AZ358" s="56"/>
      <c r="BA358" s="171"/>
      <c r="BB358" s="56"/>
      <c r="BC358" s="10"/>
      <c r="BD358" s="56"/>
      <c r="BE358" s="56"/>
      <c r="BF358" s="56"/>
      <c r="BG358" s="56"/>
      <c r="BO358" s="144"/>
      <c r="CI358" s="144"/>
      <c r="CY358" s="144"/>
    </row>
    <row r="359" spans="1:103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171"/>
      <c r="AP359" s="56"/>
      <c r="AQ359" s="56"/>
      <c r="AR359" s="56"/>
      <c r="AS359" s="56"/>
      <c r="AT359" s="56"/>
      <c r="AU359" s="56"/>
      <c r="AV359" s="56"/>
      <c r="AW359" s="171"/>
      <c r="AX359" s="56"/>
      <c r="AY359" s="56"/>
      <c r="AZ359" s="56"/>
      <c r="BA359" s="171"/>
      <c r="BB359" s="56"/>
      <c r="BC359" s="10"/>
      <c r="BD359" s="56"/>
      <c r="BE359" s="56"/>
      <c r="BF359" s="56"/>
      <c r="BG359" s="56"/>
      <c r="BO359" s="144"/>
      <c r="CI359" s="144"/>
      <c r="CY359" s="144"/>
    </row>
    <row r="360" spans="1:103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171"/>
      <c r="AP360" s="56"/>
      <c r="AQ360" s="56"/>
      <c r="AR360" s="56"/>
      <c r="AS360" s="56"/>
      <c r="AT360" s="56"/>
      <c r="AU360" s="56"/>
      <c r="AV360" s="56"/>
      <c r="AW360" s="171"/>
      <c r="AX360" s="56"/>
      <c r="AY360" s="56"/>
      <c r="AZ360" s="56"/>
      <c r="BA360" s="171"/>
      <c r="BB360" s="56"/>
      <c r="BC360" s="10"/>
      <c r="BD360" s="56"/>
      <c r="BE360" s="56"/>
      <c r="BF360" s="56"/>
      <c r="BG360" s="56"/>
      <c r="BO360" s="144"/>
      <c r="CI360" s="144"/>
      <c r="CY360" s="144"/>
    </row>
    <row r="361" spans="1:103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171"/>
      <c r="AP361" s="56"/>
      <c r="AQ361" s="56"/>
      <c r="AR361" s="56"/>
      <c r="AS361" s="56"/>
      <c r="AT361" s="56"/>
      <c r="AU361" s="56"/>
      <c r="AV361" s="56"/>
      <c r="AW361" s="171"/>
      <c r="AX361" s="56"/>
      <c r="AY361" s="56"/>
      <c r="AZ361" s="56"/>
      <c r="BA361" s="171"/>
      <c r="BB361" s="56"/>
      <c r="BC361" s="10"/>
      <c r="BD361" s="56"/>
      <c r="BE361" s="56"/>
      <c r="BF361" s="56"/>
      <c r="BG361" s="56"/>
      <c r="BO361" s="144"/>
      <c r="CI361" s="144"/>
      <c r="CY361" s="144"/>
    </row>
    <row r="362" spans="1:103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171"/>
      <c r="AP362" s="56"/>
      <c r="AQ362" s="56"/>
      <c r="AR362" s="56"/>
      <c r="AS362" s="56"/>
      <c r="AT362" s="56"/>
      <c r="AU362" s="56"/>
      <c r="AV362" s="56"/>
      <c r="AW362" s="171"/>
      <c r="AX362" s="56"/>
      <c r="AY362" s="56"/>
      <c r="AZ362" s="56"/>
      <c r="BA362" s="171"/>
      <c r="BB362" s="56"/>
      <c r="BC362" s="10"/>
      <c r="BD362" s="56"/>
      <c r="BE362" s="56"/>
      <c r="BF362" s="56"/>
      <c r="BG362" s="56"/>
      <c r="BO362" s="144"/>
      <c r="CI362" s="144"/>
      <c r="CY362" s="144"/>
    </row>
    <row r="363" spans="1:103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171"/>
      <c r="AP363" s="56"/>
      <c r="AQ363" s="56"/>
      <c r="AR363" s="56"/>
      <c r="AS363" s="56"/>
      <c r="AT363" s="56"/>
      <c r="AU363" s="56"/>
      <c r="AV363" s="56"/>
      <c r="AW363" s="171"/>
      <c r="AX363" s="56"/>
      <c r="AY363" s="56"/>
      <c r="AZ363" s="56"/>
      <c r="BA363" s="171"/>
      <c r="BB363" s="56"/>
      <c r="BC363" s="10"/>
      <c r="BD363" s="56"/>
      <c r="BE363" s="56"/>
      <c r="BF363" s="56"/>
      <c r="BG363" s="56"/>
      <c r="BO363" s="144"/>
      <c r="CI363" s="144"/>
      <c r="CY363" s="144"/>
    </row>
    <row r="364" spans="1:103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171"/>
      <c r="AP364" s="56"/>
      <c r="AQ364" s="56"/>
      <c r="AR364" s="56"/>
      <c r="AS364" s="56"/>
      <c r="AT364" s="56"/>
      <c r="AU364" s="56"/>
      <c r="AV364" s="56"/>
      <c r="AW364" s="171"/>
      <c r="AX364" s="56"/>
      <c r="AY364" s="56"/>
      <c r="AZ364" s="56"/>
      <c r="BA364" s="171"/>
      <c r="BB364" s="56"/>
      <c r="BC364" s="10"/>
      <c r="BD364" s="56"/>
      <c r="BE364" s="56"/>
      <c r="BF364" s="56"/>
      <c r="BG364" s="56"/>
      <c r="BO364" s="144"/>
      <c r="CI364" s="144"/>
      <c r="CY364" s="144"/>
    </row>
    <row r="365" spans="1:103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171"/>
      <c r="AP365" s="56"/>
      <c r="AQ365" s="56"/>
      <c r="AR365" s="56"/>
      <c r="AS365" s="56"/>
      <c r="AT365" s="56"/>
      <c r="AU365" s="56"/>
      <c r="AV365" s="56"/>
      <c r="AW365" s="171"/>
      <c r="AX365" s="56"/>
      <c r="AY365" s="56"/>
      <c r="AZ365" s="56"/>
      <c r="BA365" s="171"/>
      <c r="BB365" s="56"/>
      <c r="BC365" s="10"/>
      <c r="BD365" s="56"/>
      <c r="BE365" s="56"/>
      <c r="BF365" s="56"/>
      <c r="BG365" s="56"/>
      <c r="BO365" s="144"/>
      <c r="CI365" s="144"/>
      <c r="CY365" s="144"/>
    </row>
    <row r="366" spans="1:103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171"/>
      <c r="AP366" s="56"/>
      <c r="AQ366" s="56"/>
      <c r="AR366" s="56"/>
      <c r="AS366" s="56"/>
      <c r="AT366" s="56"/>
      <c r="AU366" s="56"/>
      <c r="AV366" s="56"/>
      <c r="AW366" s="171"/>
      <c r="AX366" s="56"/>
      <c r="AY366" s="56"/>
      <c r="AZ366" s="56"/>
      <c r="BA366" s="171"/>
      <c r="BB366" s="56"/>
      <c r="BC366" s="10"/>
      <c r="BD366" s="56"/>
      <c r="BE366" s="56"/>
      <c r="BF366" s="56"/>
      <c r="BG366" s="56"/>
      <c r="BO366" s="144"/>
      <c r="CI366" s="144"/>
      <c r="CY366" s="144"/>
    </row>
    <row r="367" spans="1:103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171"/>
      <c r="AP367" s="56"/>
      <c r="AQ367" s="56"/>
      <c r="AR367" s="56"/>
      <c r="AS367" s="56"/>
      <c r="AT367" s="56"/>
      <c r="AU367" s="56"/>
      <c r="AV367" s="56"/>
      <c r="AW367" s="171"/>
      <c r="AX367" s="56"/>
      <c r="AY367" s="56"/>
      <c r="AZ367" s="56"/>
      <c r="BA367" s="171"/>
      <c r="BB367" s="56"/>
      <c r="BC367" s="10"/>
      <c r="BD367" s="56"/>
      <c r="BE367" s="56"/>
      <c r="BF367" s="56"/>
      <c r="BG367" s="56"/>
      <c r="BO367" s="144"/>
      <c r="CI367" s="144"/>
      <c r="CY367" s="144"/>
    </row>
    <row r="368" spans="1:103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171"/>
      <c r="AP368" s="56"/>
      <c r="AQ368" s="56"/>
      <c r="AR368" s="56"/>
      <c r="AS368" s="56"/>
      <c r="AT368" s="56"/>
      <c r="AU368" s="56"/>
      <c r="AV368" s="56"/>
      <c r="AW368" s="171"/>
      <c r="AX368" s="56"/>
      <c r="AY368" s="56"/>
      <c r="AZ368" s="56"/>
      <c r="BA368" s="171"/>
      <c r="BB368" s="56"/>
      <c r="BC368" s="10"/>
      <c r="BD368" s="56"/>
      <c r="BE368" s="56"/>
      <c r="BF368" s="56"/>
      <c r="BG368" s="56"/>
      <c r="BO368" s="144"/>
      <c r="CI368" s="144"/>
      <c r="CY368" s="144"/>
    </row>
    <row r="369" spans="1:103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171"/>
      <c r="AP369" s="56"/>
      <c r="AQ369" s="56"/>
      <c r="AR369" s="56"/>
      <c r="AS369" s="56"/>
      <c r="AT369" s="56"/>
      <c r="AU369" s="56"/>
      <c r="AV369" s="56"/>
      <c r="AW369" s="171"/>
      <c r="AX369" s="56"/>
      <c r="AY369" s="56"/>
      <c r="AZ369" s="56"/>
      <c r="BA369" s="171"/>
      <c r="BB369" s="56"/>
      <c r="BC369" s="10"/>
      <c r="BD369" s="56"/>
      <c r="BE369" s="56"/>
      <c r="BF369" s="56"/>
      <c r="BG369" s="56"/>
      <c r="BO369" s="144"/>
      <c r="CI369" s="144"/>
      <c r="CY369" s="144"/>
    </row>
    <row r="370" spans="1:103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171"/>
      <c r="AP370" s="56"/>
      <c r="AQ370" s="56"/>
      <c r="AR370" s="56"/>
      <c r="AS370" s="56"/>
      <c r="AT370" s="56"/>
      <c r="AU370" s="56"/>
      <c r="AV370" s="56"/>
      <c r="AW370" s="171"/>
      <c r="AX370" s="56"/>
      <c r="AY370" s="56"/>
      <c r="AZ370" s="56"/>
      <c r="BA370" s="171"/>
      <c r="BB370" s="56"/>
      <c r="BC370" s="10"/>
      <c r="BD370" s="56"/>
      <c r="BE370" s="56"/>
      <c r="BF370" s="56"/>
      <c r="BG370" s="56"/>
      <c r="BO370" s="144"/>
      <c r="CI370" s="144"/>
      <c r="CY370" s="144"/>
    </row>
    <row r="371" spans="1:103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171"/>
      <c r="AP371" s="56"/>
      <c r="AQ371" s="56"/>
      <c r="AR371" s="56"/>
      <c r="AS371" s="56"/>
      <c r="AT371" s="56"/>
      <c r="AU371" s="56"/>
      <c r="AV371" s="56"/>
      <c r="AW371" s="171"/>
      <c r="AX371" s="56"/>
      <c r="AY371" s="56"/>
      <c r="AZ371" s="56"/>
      <c r="BA371" s="171"/>
      <c r="BB371" s="56"/>
      <c r="BC371" s="10"/>
      <c r="BD371" s="56"/>
      <c r="BE371" s="56"/>
      <c r="BF371" s="56"/>
      <c r="BG371" s="56"/>
      <c r="BO371" s="144"/>
      <c r="CI371" s="144"/>
      <c r="CY371" s="144"/>
    </row>
    <row r="372" spans="1:103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171"/>
      <c r="AP372" s="56"/>
      <c r="AQ372" s="56"/>
      <c r="AR372" s="56"/>
      <c r="AS372" s="56"/>
      <c r="AT372" s="56"/>
      <c r="AU372" s="56"/>
      <c r="AV372" s="56"/>
      <c r="AW372" s="171"/>
      <c r="AX372" s="56"/>
      <c r="AY372" s="56"/>
      <c r="AZ372" s="56"/>
      <c r="BA372" s="171"/>
      <c r="BB372" s="56"/>
      <c r="BC372" s="10"/>
      <c r="BD372" s="56"/>
      <c r="BE372" s="56"/>
      <c r="BF372" s="56"/>
      <c r="BG372" s="56"/>
      <c r="BO372" s="144"/>
      <c r="CI372" s="144"/>
      <c r="CY372" s="144"/>
    </row>
    <row r="373" spans="1:103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171"/>
      <c r="AP373" s="56"/>
      <c r="AQ373" s="56"/>
      <c r="AR373" s="56"/>
      <c r="AS373" s="56"/>
      <c r="AT373" s="56"/>
      <c r="AU373" s="56"/>
      <c r="AV373" s="56"/>
      <c r="AW373" s="171"/>
      <c r="AX373" s="56"/>
      <c r="AY373" s="56"/>
      <c r="AZ373" s="56"/>
      <c r="BA373" s="171"/>
      <c r="BB373" s="56"/>
      <c r="BC373" s="10"/>
      <c r="BD373" s="56"/>
      <c r="BE373" s="56"/>
      <c r="BF373" s="56"/>
      <c r="BG373" s="56"/>
      <c r="BO373" s="144"/>
      <c r="CI373" s="144"/>
      <c r="CY373" s="144"/>
    </row>
    <row r="374" spans="1:103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171"/>
      <c r="AP374" s="56"/>
      <c r="AQ374" s="56"/>
      <c r="AR374" s="56"/>
      <c r="AS374" s="56"/>
      <c r="AT374" s="56"/>
      <c r="AU374" s="56"/>
      <c r="AV374" s="56"/>
      <c r="AW374" s="171"/>
      <c r="AX374" s="56"/>
      <c r="AY374" s="56"/>
      <c r="AZ374" s="56"/>
      <c r="BA374" s="171"/>
      <c r="BB374" s="56"/>
      <c r="BC374" s="10"/>
      <c r="BD374" s="56"/>
      <c r="BE374" s="56"/>
      <c r="BF374" s="56"/>
      <c r="BG374" s="56"/>
      <c r="BO374" s="144"/>
      <c r="CI374" s="144"/>
      <c r="CY374" s="144"/>
    </row>
    <row r="375" spans="1:103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171"/>
      <c r="AP375" s="56"/>
      <c r="AQ375" s="56"/>
      <c r="AR375" s="56"/>
      <c r="AS375" s="56"/>
      <c r="AT375" s="56"/>
      <c r="AU375" s="56"/>
      <c r="AV375" s="56"/>
      <c r="AW375" s="171"/>
      <c r="AX375" s="56"/>
      <c r="AY375" s="56"/>
      <c r="AZ375" s="56"/>
      <c r="BA375" s="171"/>
      <c r="BB375" s="56"/>
      <c r="BC375" s="10"/>
      <c r="BD375" s="56"/>
      <c r="BE375" s="56"/>
      <c r="BF375" s="56"/>
      <c r="BG375" s="56"/>
      <c r="BO375" s="144"/>
      <c r="CI375" s="144"/>
      <c r="CY375" s="144"/>
    </row>
    <row r="376" spans="1:103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171"/>
      <c r="AP376" s="56"/>
      <c r="AQ376" s="56"/>
      <c r="AR376" s="56"/>
      <c r="AS376" s="56"/>
      <c r="AT376" s="56"/>
      <c r="AU376" s="56"/>
      <c r="AV376" s="56"/>
      <c r="AW376" s="171"/>
      <c r="AX376" s="56"/>
      <c r="AY376" s="56"/>
      <c r="AZ376" s="56"/>
      <c r="BA376" s="171"/>
      <c r="BB376" s="56"/>
      <c r="BC376" s="10"/>
      <c r="BD376" s="56"/>
      <c r="BE376" s="56"/>
      <c r="BF376" s="56"/>
      <c r="BG376" s="56"/>
      <c r="BO376" s="144"/>
      <c r="CI376" s="144"/>
      <c r="CY376" s="144"/>
    </row>
    <row r="377" spans="1:103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171"/>
      <c r="AP377" s="56"/>
      <c r="AQ377" s="56"/>
      <c r="AR377" s="56"/>
      <c r="AS377" s="56"/>
      <c r="AT377" s="56"/>
      <c r="AU377" s="56"/>
      <c r="AV377" s="56"/>
      <c r="AW377" s="171"/>
      <c r="AX377" s="56"/>
      <c r="AY377" s="56"/>
      <c r="AZ377" s="56"/>
      <c r="BA377" s="171"/>
      <c r="BB377" s="56"/>
      <c r="BC377" s="10"/>
      <c r="BD377" s="56"/>
      <c r="BE377" s="56"/>
      <c r="BF377" s="56"/>
      <c r="BG377" s="56"/>
      <c r="BO377" s="144"/>
      <c r="CI377" s="144"/>
      <c r="CY377" s="144"/>
    </row>
    <row r="378" spans="1:103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171"/>
      <c r="AP378" s="56"/>
      <c r="AQ378" s="56"/>
      <c r="AR378" s="56"/>
      <c r="AS378" s="56"/>
      <c r="AT378" s="56"/>
      <c r="AU378" s="56"/>
      <c r="AV378" s="56"/>
      <c r="AW378" s="171"/>
      <c r="AX378" s="56"/>
      <c r="AY378" s="56"/>
      <c r="AZ378" s="56"/>
      <c r="BA378" s="171"/>
      <c r="BB378" s="56"/>
      <c r="BC378" s="10"/>
      <c r="BD378" s="56"/>
      <c r="BE378" s="56"/>
      <c r="BF378" s="56"/>
      <c r="BG378" s="56"/>
      <c r="BO378" s="144"/>
      <c r="CI378" s="144"/>
      <c r="CY378" s="144"/>
    </row>
    <row r="379" spans="1:103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171"/>
      <c r="AP379" s="56"/>
      <c r="AQ379" s="56"/>
      <c r="AR379" s="56"/>
      <c r="AS379" s="56"/>
      <c r="AT379" s="56"/>
      <c r="AU379" s="56"/>
      <c r="AV379" s="56"/>
      <c r="AW379" s="171"/>
      <c r="AX379" s="56"/>
      <c r="AY379" s="56"/>
      <c r="AZ379" s="56"/>
      <c r="BA379" s="171"/>
      <c r="BB379" s="56"/>
      <c r="BC379" s="10"/>
      <c r="BD379" s="56"/>
      <c r="BE379" s="56"/>
      <c r="BF379" s="56"/>
      <c r="BG379" s="56"/>
      <c r="BO379" s="144"/>
      <c r="CI379" s="144"/>
      <c r="CY379" s="144"/>
    </row>
    <row r="380" spans="1:103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171"/>
      <c r="AP380" s="56"/>
      <c r="AQ380" s="56"/>
      <c r="AR380" s="56"/>
      <c r="AS380" s="56"/>
      <c r="AT380" s="56"/>
      <c r="AU380" s="56"/>
      <c r="AV380" s="56"/>
      <c r="AW380" s="171"/>
      <c r="AX380" s="56"/>
      <c r="AY380" s="56"/>
      <c r="AZ380" s="56"/>
      <c r="BA380" s="171"/>
      <c r="BB380" s="56"/>
      <c r="BC380" s="10"/>
      <c r="BD380" s="56"/>
      <c r="BE380" s="56"/>
      <c r="BF380" s="56"/>
      <c r="BG380" s="56"/>
      <c r="BO380" s="144"/>
      <c r="CI380" s="144"/>
      <c r="CY380" s="144"/>
    </row>
    <row r="381" spans="1:103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171"/>
      <c r="AP381" s="56"/>
      <c r="AQ381" s="56"/>
      <c r="AR381" s="56"/>
      <c r="AS381" s="56"/>
      <c r="AT381" s="56"/>
      <c r="AU381" s="56"/>
      <c r="AV381" s="56"/>
      <c r="AW381" s="171"/>
      <c r="AX381" s="56"/>
      <c r="AY381" s="56"/>
      <c r="AZ381" s="56"/>
      <c r="BA381" s="171"/>
      <c r="BB381" s="56"/>
      <c r="BC381" s="10"/>
      <c r="BD381" s="56"/>
      <c r="BE381" s="56"/>
      <c r="BF381" s="56"/>
      <c r="BG381" s="56"/>
      <c r="BO381" s="144"/>
      <c r="CI381" s="144"/>
      <c r="CY381" s="144"/>
    </row>
    <row r="382" spans="1:103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171"/>
      <c r="AP382" s="56"/>
      <c r="AQ382" s="56"/>
      <c r="AR382" s="56"/>
      <c r="AS382" s="56"/>
      <c r="AT382" s="56"/>
      <c r="AU382" s="56"/>
      <c r="AV382" s="56"/>
      <c r="AW382" s="171"/>
      <c r="AX382" s="56"/>
      <c r="AY382" s="56"/>
      <c r="AZ382" s="56"/>
      <c r="BA382" s="171"/>
      <c r="BB382" s="56"/>
      <c r="BC382" s="10"/>
      <c r="BD382" s="56"/>
      <c r="BE382" s="56"/>
      <c r="BF382" s="56"/>
      <c r="BG382" s="56"/>
      <c r="BO382" s="144"/>
      <c r="CI382" s="144"/>
      <c r="CY382" s="144"/>
    </row>
    <row r="383" spans="1:103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171"/>
      <c r="AP383" s="56"/>
      <c r="AQ383" s="56"/>
      <c r="AR383" s="56"/>
      <c r="AS383" s="56"/>
      <c r="AT383" s="56"/>
      <c r="AU383" s="56"/>
      <c r="AV383" s="56"/>
      <c r="AW383" s="171"/>
      <c r="AX383" s="56"/>
      <c r="AY383" s="56"/>
      <c r="AZ383" s="56"/>
      <c r="BA383" s="171"/>
      <c r="BB383" s="56"/>
      <c r="BC383" s="10"/>
      <c r="BD383" s="56"/>
      <c r="BE383" s="56"/>
      <c r="BF383" s="56"/>
      <c r="BG383" s="56"/>
      <c r="BO383" s="144"/>
      <c r="CI383" s="144"/>
      <c r="CY383" s="144"/>
    </row>
    <row r="384" spans="1:103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171"/>
      <c r="AP384" s="56"/>
      <c r="AQ384" s="56"/>
      <c r="AR384" s="56"/>
      <c r="AS384" s="56"/>
      <c r="AT384" s="56"/>
      <c r="AU384" s="56"/>
      <c r="AV384" s="56"/>
      <c r="AW384" s="171"/>
      <c r="AX384" s="56"/>
      <c r="AY384" s="56"/>
      <c r="AZ384" s="56"/>
      <c r="BA384" s="171"/>
      <c r="BB384" s="56"/>
      <c r="BC384" s="10"/>
      <c r="BD384" s="56"/>
      <c r="BE384" s="56"/>
      <c r="BF384" s="56"/>
      <c r="BG384" s="56"/>
      <c r="BO384" s="144"/>
      <c r="CI384" s="144"/>
      <c r="CY384" s="144"/>
    </row>
    <row r="385" spans="1:103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171"/>
      <c r="AP385" s="56"/>
      <c r="AQ385" s="56"/>
      <c r="AR385" s="56"/>
      <c r="AS385" s="56"/>
      <c r="AT385" s="56"/>
      <c r="AU385" s="56"/>
      <c r="AV385" s="56"/>
      <c r="AW385" s="171"/>
      <c r="AX385" s="56"/>
      <c r="AY385" s="56"/>
      <c r="AZ385" s="56"/>
      <c r="BA385" s="171"/>
      <c r="BB385" s="56"/>
      <c r="BC385" s="10"/>
      <c r="BD385" s="56"/>
      <c r="BE385" s="56"/>
      <c r="BF385" s="56"/>
      <c r="BG385" s="56"/>
      <c r="BO385" s="144"/>
      <c r="CI385" s="144"/>
      <c r="CY385" s="144"/>
    </row>
    <row r="386" spans="1:103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171"/>
      <c r="AP386" s="56"/>
      <c r="AQ386" s="56"/>
      <c r="AR386" s="56"/>
      <c r="AS386" s="56"/>
      <c r="AT386" s="56"/>
      <c r="AU386" s="56"/>
      <c r="AV386" s="56"/>
      <c r="AW386" s="171"/>
      <c r="AX386" s="56"/>
      <c r="AY386" s="56"/>
      <c r="AZ386" s="56"/>
      <c r="BA386" s="171"/>
      <c r="BB386" s="56"/>
      <c r="BC386" s="10"/>
      <c r="BD386" s="56"/>
      <c r="BE386" s="56"/>
      <c r="BF386" s="56"/>
      <c r="BG386" s="56"/>
      <c r="BO386" s="144"/>
      <c r="CI386" s="144"/>
      <c r="CY386" s="144"/>
    </row>
    <row r="387" spans="1:103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171"/>
      <c r="AP387" s="56"/>
      <c r="AQ387" s="56"/>
      <c r="AR387" s="56"/>
      <c r="AS387" s="56"/>
      <c r="AT387" s="56"/>
      <c r="AU387" s="56"/>
      <c r="AV387" s="56"/>
      <c r="AW387" s="171"/>
      <c r="AX387" s="56"/>
      <c r="AY387" s="56"/>
      <c r="AZ387" s="56"/>
      <c r="BA387" s="171"/>
      <c r="BB387" s="56"/>
      <c r="BC387" s="10"/>
      <c r="BD387" s="56"/>
      <c r="BE387" s="56"/>
      <c r="BF387" s="56"/>
      <c r="BG387" s="56"/>
      <c r="BO387" s="144"/>
      <c r="CI387" s="144"/>
      <c r="CY387" s="144"/>
    </row>
    <row r="388" spans="1:103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171"/>
      <c r="AP388" s="56"/>
      <c r="AQ388" s="56"/>
      <c r="AR388" s="56"/>
      <c r="AS388" s="56"/>
      <c r="AT388" s="56"/>
      <c r="AU388" s="56"/>
      <c r="AV388" s="56"/>
      <c r="AW388" s="171"/>
      <c r="AX388" s="56"/>
      <c r="AY388" s="56"/>
      <c r="AZ388" s="56"/>
      <c r="BA388" s="171"/>
      <c r="BB388" s="56"/>
      <c r="BC388" s="10"/>
      <c r="BD388" s="56"/>
      <c r="BE388" s="56"/>
      <c r="BF388" s="56"/>
      <c r="BG388" s="56"/>
      <c r="BO388" s="144"/>
      <c r="CI388" s="144"/>
      <c r="CY388" s="144"/>
    </row>
    <row r="389" spans="1:103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171"/>
      <c r="AP389" s="56"/>
      <c r="AQ389" s="56"/>
      <c r="AR389" s="56"/>
      <c r="AS389" s="56"/>
      <c r="AT389" s="56"/>
      <c r="AU389" s="56"/>
      <c r="AV389" s="56"/>
      <c r="AW389" s="171"/>
      <c r="AX389" s="56"/>
      <c r="AY389" s="56"/>
      <c r="AZ389" s="56"/>
      <c r="BA389" s="171"/>
      <c r="BB389" s="56"/>
      <c r="BC389" s="10"/>
      <c r="BD389" s="56"/>
      <c r="BE389" s="56"/>
      <c r="BF389" s="56"/>
      <c r="BG389" s="56"/>
      <c r="BO389" s="144"/>
      <c r="CI389" s="144"/>
      <c r="CY389" s="144"/>
    </row>
    <row r="390" spans="1:103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171"/>
      <c r="AP390" s="56"/>
      <c r="AQ390" s="56"/>
      <c r="AR390" s="56"/>
      <c r="AS390" s="56"/>
      <c r="AT390" s="56"/>
      <c r="AU390" s="56"/>
      <c r="AV390" s="56"/>
      <c r="AW390" s="171"/>
      <c r="AX390" s="56"/>
      <c r="AY390" s="56"/>
      <c r="AZ390" s="56"/>
      <c r="BA390" s="171"/>
      <c r="BB390" s="56"/>
      <c r="BC390" s="10"/>
      <c r="BD390" s="56"/>
      <c r="BE390" s="56"/>
      <c r="BF390" s="56"/>
      <c r="BG390" s="56"/>
      <c r="BO390" s="144"/>
      <c r="CI390" s="144"/>
      <c r="CY390" s="144"/>
    </row>
    <row r="391" spans="1:103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171"/>
      <c r="AP391" s="56"/>
      <c r="AQ391" s="56"/>
      <c r="AR391" s="56"/>
      <c r="AS391" s="56"/>
      <c r="AT391" s="56"/>
      <c r="AU391" s="56"/>
      <c r="AV391" s="56"/>
      <c r="AW391" s="171"/>
      <c r="AX391" s="56"/>
      <c r="AY391" s="56"/>
      <c r="AZ391" s="56"/>
      <c r="BA391" s="171"/>
      <c r="BB391" s="56"/>
      <c r="BC391" s="10"/>
      <c r="BD391" s="56"/>
      <c r="BE391" s="56"/>
      <c r="BF391" s="56"/>
      <c r="BG391" s="56"/>
      <c r="BO391" s="144"/>
      <c r="CI391" s="144"/>
      <c r="CY391" s="144"/>
    </row>
    <row r="392" spans="1:103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171"/>
      <c r="AP392" s="56"/>
      <c r="AQ392" s="56"/>
      <c r="AR392" s="56"/>
      <c r="AS392" s="56"/>
      <c r="AT392" s="56"/>
      <c r="AU392" s="56"/>
      <c r="AV392" s="56"/>
      <c r="AW392" s="171"/>
      <c r="AX392" s="56"/>
      <c r="AY392" s="56"/>
      <c r="AZ392" s="56"/>
      <c r="BA392" s="171"/>
      <c r="BB392" s="56"/>
      <c r="BC392" s="10"/>
      <c r="BD392" s="56"/>
      <c r="BE392" s="56"/>
      <c r="BF392" s="56"/>
      <c r="BG392" s="56"/>
      <c r="BO392" s="144"/>
      <c r="CI392" s="144"/>
      <c r="CY392" s="144"/>
    </row>
    <row r="393" spans="1:103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171"/>
      <c r="AP393" s="56"/>
      <c r="AQ393" s="56"/>
      <c r="AR393" s="56"/>
      <c r="AS393" s="56"/>
      <c r="AT393" s="56"/>
      <c r="AU393" s="56"/>
      <c r="AV393" s="56"/>
      <c r="AW393" s="171"/>
      <c r="AX393" s="56"/>
      <c r="AY393" s="56"/>
      <c r="AZ393" s="56"/>
      <c r="BA393" s="171"/>
      <c r="BB393" s="56"/>
      <c r="BC393" s="10"/>
      <c r="BD393" s="56"/>
      <c r="BE393" s="56"/>
      <c r="BF393" s="56"/>
      <c r="BG393" s="56"/>
      <c r="BO393" s="144"/>
      <c r="CI393" s="144"/>
      <c r="CY393" s="144"/>
    </row>
    <row r="394" spans="1:103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171"/>
      <c r="AP394" s="56"/>
      <c r="AQ394" s="56"/>
      <c r="AR394" s="56"/>
      <c r="AS394" s="56"/>
      <c r="AT394" s="56"/>
      <c r="AU394" s="56"/>
      <c r="AV394" s="56"/>
      <c r="AW394" s="171"/>
      <c r="AX394" s="56"/>
      <c r="AY394" s="56"/>
      <c r="AZ394" s="56"/>
      <c r="BA394" s="171"/>
      <c r="BB394" s="56"/>
      <c r="BC394" s="10"/>
      <c r="BD394" s="56"/>
      <c r="BE394" s="56"/>
      <c r="BF394" s="56"/>
      <c r="BG394" s="56"/>
      <c r="BO394" s="144"/>
      <c r="CI394" s="144"/>
      <c r="CY394" s="144"/>
    </row>
    <row r="395" spans="1:103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171"/>
      <c r="AP395" s="56"/>
      <c r="AQ395" s="56"/>
      <c r="AR395" s="56"/>
      <c r="AS395" s="56"/>
      <c r="AT395" s="56"/>
      <c r="AU395" s="56"/>
      <c r="AV395" s="56"/>
      <c r="AW395" s="171"/>
      <c r="AX395" s="56"/>
      <c r="AY395" s="56"/>
      <c r="AZ395" s="56"/>
      <c r="BA395" s="171"/>
      <c r="BB395" s="56"/>
      <c r="BC395" s="10"/>
      <c r="BD395" s="56"/>
      <c r="BE395" s="56"/>
      <c r="BF395" s="56"/>
      <c r="BG395" s="56"/>
      <c r="BO395" s="144"/>
      <c r="CI395" s="144"/>
      <c r="CY395" s="144"/>
    </row>
    <row r="396" spans="1:103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171"/>
      <c r="AP396" s="56"/>
      <c r="AQ396" s="56"/>
      <c r="AR396" s="56"/>
      <c r="AS396" s="56"/>
      <c r="AT396" s="56"/>
      <c r="AU396" s="56"/>
      <c r="AV396" s="56"/>
      <c r="AW396" s="171"/>
      <c r="AX396" s="56"/>
      <c r="AY396" s="56"/>
      <c r="AZ396" s="56"/>
      <c r="BA396" s="171"/>
      <c r="BB396" s="56"/>
      <c r="BC396" s="10"/>
      <c r="BD396" s="56"/>
      <c r="BE396" s="56"/>
      <c r="BF396" s="56"/>
      <c r="BG396" s="56"/>
      <c r="BO396" s="144"/>
      <c r="CI396" s="144"/>
      <c r="CY396" s="144"/>
    </row>
    <row r="397" spans="1:103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171"/>
      <c r="AP397" s="56"/>
      <c r="AQ397" s="56"/>
      <c r="AR397" s="56"/>
      <c r="AS397" s="56"/>
      <c r="AT397" s="56"/>
      <c r="AU397" s="56"/>
      <c r="AV397" s="56"/>
      <c r="AW397" s="171"/>
      <c r="AX397" s="56"/>
      <c r="AY397" s="56"/>
      <c r="AZ397" s="56"/>
      <c r="BA397" s="171"/>
      <c r="BB397" s="56"/>
      <c r="BC397" s="10"/>
      <c r="BD397" s="56"/>
      <c r="BE397" s="56"/>
      <c r="BF397" s="56"/>
      <c r="BG397" s="56"/>
      <c r="BO397" s="144"/>
      <c r="CI397" s="144"/>
      <c r="CY397" s="144"/>
    </row>
    <row r="398" spans="1:103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171"/>
      <c r="AP398" s="56"/>
      <c r="AQ398" s="56"/>
      <c r="AR398" s="56"/>
      <c r="AS398" s="56"/>
      <c r="AT398" s="56"/>
      <c r="AU398" s="56"/>
      <c r="AV398" s="56"/>
      <c r="AW398" s="171"/>
      <c r="AX398" s="56"/>
      <c r="AY398" s="56"/>
      <c r="AZ398" s="56"/>
      <c r="BA398" s="171"/>
      <c r="BB398" s="56"/>
      <c r="BC398" s="10"/>
      <c r="BD398" s="56"/>
      <c r="BE398" s="56"/>
      <c r="BF398" s="56"/>
      <c r="BG398" s="56"/>
      <c r="BO398" s="144"/>
      <c r="CI398" s="144"/>
      <c r="CY398" s="144"/>
    </row>
    <row r="399" spans="1:103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171"/>
      <c r="AP399" s="56"/>
      <c r="AQ399" s="56"/>
      <c r="AR399" s="56"/>
      <c r="AS399" s="56"/>
      <c r="AT399" s="56"/>
      <c r="AU399" s="56"/>
      <c r="AV399" s="56"/>
      <c r="AW399" s="171"/>
      <c r="AX399" s="56"/>
      <c r="AY399" s="56"/>
      <c r="AZ399" s="56"/>
      <c r="BA399" s="171"/>
      <c r="BB399" s="56"/>
      <c r="BC399" s="10"/>
      <c r="BD399" s="56"/>
      <c r="BE399" s="56"/>
      <c r="BF399" s="56"/>
      <c r="BG399" s="56"/>
      <c r="BO399" s="144"/>
      <c r="CI399" s="144"/>
      <c r="CY399" s="144"/>
    </row>
    <row r="400" spans="1:103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171"/>
      <c r="AP400" s="56"/>
      <c r="AQ400" s="56"/>
      <c r="AR400" s="56"/>
      <c r="AS400" s="56"/>
      <c r="AT400" s="56"/>
      <c r="AU400" s="56"/>
      <c r="AV400" s="56"/>
      <c r="AW400" s="171"/>
      <c r="AX400" s="56"/>
      <c r="AY400" s="56"/>
      <c r="AZ400" s="56"/>
      <c r="BA400" s="171"/>
      <c r="BB400" s="56"/>
      <c r="BC400" s="10"/>
      <c r="BD400" s="56"/>
      <c r="BE400" s="56"/>
      <c r="BF400" s="56"/>
      <c r="BG400" s="56"/>
      <c r="BO400" s="144"/>
      <c r="CI400" s="144"/>
      <c r="CY400" s="144"/>
    </row>
    <row r="401" spans="1:103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171"/>
      <c r="AP401" s="56"/>
      <c r="AQ401" s="56"/>
      <c r="AR401" s="56"/>
      <c r="AS401" s="56"/>
      <c r="AT401" s="56"/>
      <c r="AU401" s="56"/>
      <c r="AV401" s="56"/>
      <c r="AW401" s="171"/>
      <c r="AX401" s="56"/>
      <c r="AY401" s="56"/>
      <c r="AZ401" s="56"/>
      <c r="BA401" s="171"/>
      <c r="BB401" s="56"/>
      <c r="BC401" s="10"/>
      <c r="BD401" s="56"/>
      <c r="BE401" s="56"/>
      <c r="BF401" s="56"/>
      <c r="BG401" s="56"/>
      <c r="BO401" s="144"/>
      <c r="CI401" s="144"/>
      <c r="CY401" s="144"/>
    </row>
    <row r="402" spans="1:103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171"/>
      <c r="AP402" s="56"/>
      <c r="AQ402" s="56"/>
      <c r="AR402" s="56"/>
      <c r="AS402" s="56"/>
      <c r="AT402" s="56"/>
      <c r="AU402" s="56"/>
      <c r="AV402" s="56"/>
      <c r="AW402" s="171"/>
      <c r="AX402" s="56"/>
      <c r="AY402" s="56"/>
      <c r="AZ402" s="56"/>
      <c r="BA402" s="171"/>
      <c r="BB402" s="56"/>
      <c r="BC402" s="10"/>
      <c r="BD402" s="56"/>
      <c r="BE402" s="56"/>
      <c r="BF402" s="56"/>
      <c r="BG402" s="56"/>
      <c r="BO402" s="144"/>
      <c r="CI402" s="144"/>
      <c r="CY402" s="144"/>
    </row>
    <row r="403" spans="1:103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171"/>
      <c r="AP403" s="56"/>
      <c r="AQ403" s="56"/>
      <c r="AR403" s="56"/>
      <c r="AS403" s="56"/>
      <c r="AT403" s="56"/>
      <c r="AU403" s="56"/>
      <c r="AV403" s="56"/>
      <c r="AW403" s="171"/>
      <c r="AX403" s="56"/>
      <c r="AY403" s="56"/>
      <c r="AZ403" s="56"/>
      <c r="BA403" s="171"/>
      <c r="BB403" s="56"/>
      <c r="BC403" s="10"/>
      <c r="BD403" s="56"/>
      <c r="BE403" s="56"/>
      <c r="BF403" s="56"/>
      <c r="BG403" s="56"/>
      <c r="BO403" s="144"/>
      <c r="CI403" s="144"/>
      <c r="CY403" s="144"/>
    </row>
    <row r="404" spans="1:103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171"/>
      <c r="AP404" s="56"/>
      <c r="AQ404" s="56"/>
      <c r="AR404" s="56"/>
      <c r="AS404" s="56"/>
      <c r="AT404" s="56"/>
      <c r="AU404" s="56"/>
      <c r="AV404" s="56"/>
      <c r="AW404" s="171"/>
      <c r="AX404" s="56"/>
      <c r="AY404" s="56"/>
      <c r="AZ404" s="56"/>
      <c r="BA404" s="171"/>
      <c r="BB404" s="56"/>
      <c r="BC404" s="10"/>
      <c r="BD404" s="56"/>
      <c r="BE404" s="56"/>
      <c r="BF404" s="56"/>
      <c r="BG404" s="56"/>
      <c r="BO404" s="144"/>
      <c r="CI404" s="144"/>
      <c r="CY404" s="144"/>
    </row>
    <row r="405" spans="1:103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171"/>
      <c r="AP405" s="56"/>
      <c r="AQ405" s="56"/>
      <c r="AR405" s="56"/>
      <c r="AS405" s="56"/>
      <c r="AT405" s="56"/>
      <c r="AU405" s="56"/>
      <c r="AV405" s="56"/>
      <c r="AW405" s="171"/>
      <c r="AX405" s="56"/>
      <c r="AY405" s="56"/>
      <c r="AZ405" s="56"/>
      <c r="BA405" s="171"/>
      <c r="BB405" s="56"/>
      <c r="BC405" s="10"/>
      <c r="BD405" s="56"/>
      <c r="BE405" s="56"/>
      <c r="BF405" s="56"/>
      <c r="BG405" s="56"/>
      <c r="BO405" s="144"/>
      <c r="CI405" s="144"/>
      <c r="CY405" s="144"/>
    </row>
    <row r="406" spans="1:103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171"/>
      <c r="AP406" s="56"/>
      <c r="AQ406" s="56"/>
      <c r="AR406" s="56"/>
      <c r="AS406" s="56"/>
      <c r="AT406" s="56"/>
      <c r="AU406" s="56"/>
      <c r="AV406" s="56"/>
      <c r="AW406" s="171"/>
      <c r="AX406" s="56"/>
      <c r="AY406" s="56"/>
      <c r="AZ406" s="56"/>
      <c r="BA406" s="171"/>
      <c r="BB406" s="56"/>
      <c r="BC406" s="10"/>
      <c r="BD406" s="56"/>
      <c r="BE406" s="56"/>
      <c r="BF406" s="56"/>
      <c r="BG406" s="56"/>
      <c r="BO406" s="144"/>
      <c r="CI406" s="144"/>
      <c r="CY406" s="144"/>
    </row>
    <row r="407" spans="1:103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171"/>
      <c r="AP407" s="56"/>
      <c r="AQ407" s="56"/>
      <c r="AR407" s="56"/>
      <c r="AS407" s="56"/>
      <c r="AT407" s="56"/>
      <c r="AU407" s="56"/>
      <c r="AV407" s="56"/>
      <c r="AW407" s="171"/>
      <c r="AX407" s="56"/>
      <c r="AY407" s="56"/>
      <c r="AZ407" s="56"/>
      <c r="BA407" s="171"/>
      <c r="BB407" s="56"/>
      <c r="BC407" s="10"/>
      <c r="BD407" s="56"/>
      <c r="BE407" s="56"/>
      <c r="BF407" s="56"/>
      <c r="BG407" s="56"/>
      <c r="BO407" s="144"/>
      <c r="CI407" s="144"/>
      <c r="CY407" s="144"/>
    </row>
    <row r="408" spans="1:103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171"/>
      <c r="AP408" s="56"/>
      <c r="AQ408" s="56"/>
      <c r="AR408" s="56"/>
      <c r="AS408" s="56"/>
      <c r="AT408" s="56"/>
      <c r="AU408" s="56"/>
      <c r="AV408" s="56"/>
      <c r="AW408" s="171"/>
      <c r="AX408" s="56"/>
      <c r="AY408" s="56"/>
      <c r="AZ408" s="56"/>
      <c r="BA408" s="171"/>
      <c r="BB408" s="56"/>
      <c r="BC408" s="10"/>
      <c r="BD408" s="56"/>
      <c r="BE408" s="56"/>
      <c r="BF408" s="56"/>
      <c r="BG408" s="56"/>
      <c r="BO408" s="144"/>
      <c r="CI408" s="144"/>
      <c r="CY408" s="144"/>
    </row>
    <row r="409" spans="1:103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171"/>
      <c r="AP409" s="56"/>
      <c r="AQ409" s="56"/>
      <c r="AR409" s="56"/>
      <c r="AS409" s="56"/>
      <c r="AT409" s="56"/>
      <c r="AU409" s="56"/>
      <c r="AV409" s="56"/>
      <c r="AW409" s="171"/>
      <c r="AX409" s="56"/>
      <c r="AY409" s="56"/>
      <c r="AZ409" s="56"/>
      <c r="BA409" s="171"/>
      <c r="BB409" s="56"/>
      <c r="BC409" s="10"/>
      <c r="BD409" s="56"/>
      <c r="BE409" s="56"/>
      <c r="BF409" s="56"/>
      <c r="BG409" s="56"/>
      <c r="BO409" s="144"/>
      <c r="CI409" s="144"/>
      <c r="CY409" s="144"/>
    </row>
    <row r="410" spans="1:103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171"/>
      <c r="AP410" s="56"/>
      <c r="AQ410" s="56"/>
      <c r="AR410" s="56"/>
      <c r="AS410" s="56"/>
      <c r="AT410" s="56"/>
      <c r="AU410" s="56"/>
      <c r="AV410" s="56"/>
      <c r="AW410" s="171"/>
      <c r="AX410" s="56"/>
      <c r="AY410" s="56"/>
      <c r="AZ410" s="56"/>
      <c r="BA410" s="171"/>
      <c r="BB410" s="56"/>
      <c r="BC410" s="10"/>
      <c r="BD410" s="56"/>
      <c r="BE410" s="56"/>
      <c r="BF410" s="56"/>
      <c r="BG410" s="56"/>
      <c r="BO410" s="144"/>
      <c r="CI410" s="144"/>
      <c r="CY410" s="144"/>
    </row>
    <row r="411" spans="1:103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171"/>
      <c r="AP411" s="56"/>
      <c r="AQ411" s="56"/>
      <c r="AR411" s="56"/>
      <c r="AS411" s="56"/>
      <c r="AT411" s="56"/>
      <c r="AU411" s="56"/>
      <c r="AV411" s="56"/>
      <c r="AW411" s="171"/>
      <c r="AX411" s="56"/>
      <c r="AY411" s="56"/>
      <c r="AZ411" s="56"/>
      <c r="BA411" s="171"/>
      <c r="BB411" s="56"/>
      <c r="BC411" s="10"/>
      <c r="BD411" s="56"/>
      <c r="BE411" s="56"/>
      <c r="BF411" s="56"/>
      <c r="BG411" s="56"/>
      <c r="BO411" s="144"/>
      <c r="CI411" s="144"/>
      <c r="CY411" s="144"/>
    </row>
    <row r="412" spans="1:103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171"/>
      <c r="AP412" s="56"/>
      <c r="AQ412" s="56"/>
      <c r="AR412" s="56"/>
      <c r="AS412" s="56"/>
      <c r="AT412" s="56"/>
      <c r="AU412" s="56"/>
      <c r="AV412" s="56"/>
      <c r="AW412" s="171"/>
      <c r="AX412" s="56"/>
      <c r="AY412" s="56"/>
      <c r="AZ412" s="56"/>
      <c r="BA412" s="171"/>
      <c r="BB412" s="56"/>
      <c r="BC412" s="10"/>
      <c r="BD412" s="56"/>
      <c r="BE412" s="56"/>
      <c r="BF412" s="56"/>
      <c r="BG412" s="56"/>
      <c r="BO412" s="144"/>
      <c r="CI412" s="144"/>
      <c r="CY412" s="144"/>
    </row>
    <row r="413" spans="1:103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171"/>
      <c r="AP413" s="56"/>
      <c r="AQ413" s="56"/>
      <c r="AR413" s="56"/>
      <c r="AS413" s="56"/>
      <c r="AT413" s="56"/>
      <c r="AU413" s="56"/>
      <c r="AV413" s="56"/>
      <c r="AW413" s="171"/>
      <c r="AX413" s="56"/>
      <c r="AY413" s="56"/>
      <c r="AZ413" s="56"/>
      <c r="BA413" s="171"/>
      <c r="BB413" s="56"/>
      <c r="BC413" s="10"/>
      <c r="BD413" s="56"/>
      <c r="BE413" s="56"/>
      <c r="BF413" s="56"/>
      <c r="BG413" s="56"/>
      <c r="BO413" s="144"/>
      <c r="CI413" s="144"/>
      <c r="CY413" s="144"/>
    </row>
    <row r="414" spans="1:103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171"/>
      <c r="AP414" s="56"/>
      <c r="AQ414" s="56"/>
      <c r="AR414" s="56"/>
      <c r="AS414" s="56"/>
      <c r="AT414" s="56"/>
      <c r="AU414" s="56"/>
      <c r="AV414" s="56"/>
      <c r="AW414" s="171"/>
      <c r="AX414" s="56"/>
      <c r="AY414" s="56"/>
      <c r="AZ414" s="56"/>
      <c r="BA414" s="171"/>
      <c r="BB414" s="56"/>
      <c r="BC414" s="10"/>
      <c r="BD414" s="56"/>
      <c r="BE414" s="56"/>
      <c r="BF414" s="56"/>
      <c r="BG414" s="56"/>
      <c r="BO414" s="144"/>
      <c r="CI414" s="144"/>
      <c r="CY414" s="144"/>
    </row>
    <row r="415" spans="1:103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171"/>
      <c r="AP415" s="56"/>
      <c r="AQ415" s="56"/>
      <c r="AR415" s="56"/>
      <c r="AS415" s="56"/>
      <c r="AT415" s="56"/>
      <c r="AU415" s="56"/>
      <c r="AV415" s="56"/>
      <c r="AW415" s="171"/>
      <c r="AX415" s="56"/>
      <c r="AY415" s="56"/>
      <c r="AZ415" s="56"/>
      <c r="BA415" s="171"/>
      <c r="BB415" s="56"/>
      <c r="BC415" s="10"/>
      <c r="BD415" s="56"/>
      <c r="BE415" s="56"/>
      <c r="BF415" s="56"/>
      <c r="BG415" s="56"/>
      <c r="BO415" s="144"/>
      <c r="CI415" s="144"/>
      <c r="CY415" s="144"/>
    </row>
    <row r="416" spans="1:103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171"/>
      <c r="AP416" s="56"/>
      <c r="AQ416" s="56"/>
      <c r="AR416" s="56"/>
      <c r="AS416" s="56"/>
      <c r="AT416" s="56"/>
      <c r="AU416" s="56"/>
      <c r="AV416" s="56"/>
      <c r="AW416" s="171"/>
      <c r="AX416" s="56"/>
      <c r="AY416" s="56"/>
      <c r="AZ416" s="56"/>
      <c r="BA416" s="171"/>
      <c r="BB416" s="56"/>
      <c r="BC416" s="10"/>
      <c r="BD416" s="56"/>
      <c r="BE416" s="56"/>
      <c r="BF416" s="56"/>
      <c r="BG416" s="56"/>
      <c r="BO416" s="144"/>
      <c r="CI416" s="144"/>
      <c r="CY416" s="144"/>
    </row>
    <row r="417" spans="1:103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171"/>
      <c r="AP417" s="56"/>
      <c r="AQ417" s="56"/>
      <c r="AR417" s="56"/>
      <c r="AS417" s="56"/>
      <c r="AT417" s="56"/>
      <c r="AU417" s="56"/>
      <c r="AV417" s="56"/>
      <c r="AW417" s="171"/>
      <c r="AX417" s="56"/>
      <c r="AY417" s="56"/>
      <c r="AZ417" s="56"/>
      <c r="BA417" s="171"/>
      <c r="BB417" s="56"/>
      <c r="BC417" s="10"/>
      <c r="BD417" s="56"/>
      <c r="BE417" s="56"/>
      <c r="BF417" s="56"/>
      <c r="BG417" s="56"/>
      <c r="BO417" s="144"/>
      <c r="CI417" s="144"/>
      <c r="CY417" s="144"/>
    </row>
    <row r="418" spans="1:103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171"/>
      <c r="AP418" s="56"/>
      <c r="AQ418" s="56"/>
      <c r="AR418" s="56"/>
      <c r="AS418" s="56"/>
      <c r="AT418" s="56"/>
      <c r="AU418" s="56"/>
      <c r="AV418" s="56"/>
      <c r="AW418" s="171"/>
      <c r="AX418" s="56"/>
      <c r="AY418" s="56"/>
      <c r="AZ418" s="56"/>
      <c r="BA418" s="171"/>
      <c r="BB418" s="56"/>
      <c r="BC418" s="10"/>
      <c r="BD418" s="56"/>
      <c r="BE418" s="56"/>
      <c r="BF418" s="56"/>
      <c r="BG418" s="56"/>
      <c r="BO418" s="144"/>
      <c r="CI418" s="144"/>
      <c r="CY418" s="144"/>
    </row>
    <row r="419" spans="1:103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171"/>
      <c r="AP419" s="56"/>
      <c r="AQ419" s="56"/>
      <c r="AR419" s="56"/>
      <c r="AS419" s="56"/>
      <c r="AT419" s="56"/>
      <c r="AU419" s="56"/>
      <c r="AV419" s="56"/>
      <c r="AW419" s="171"/>
      <c r="AX419" s="56"/>
      <c r="AY419" s="56"/>
      <c r="AZ419" s="56"/>
      <c r="BA419" s="171"/>
      <c r="BB419" s="56"/>
      <c r="BC419" s="10"/>
      <c r="BD419" s="56"/>
      <c r="BE419" s="56"/>
      <c r="BF419" s="56"/>
      <c r="BG419" s="56"/>
      <c r="BO419" s="144"/>
      <c r="CI419" s="144"/>
      <c r="CY419" s="144"/>
    </row>
    <row r="420" spans="1:103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171"/>
      <c r="AP420" s="56"/>
      <c r="AQ420" s="56"/>
      <c r="AR420" s="56"/>
      <c r="AS420" s="56"/>
      <c r="AT420" s="56"/>
      <c r="AU420" s="56"/>
      <c r="AV420" s="56"/>
      <c r="AW420" s="171"/>
      <c r="AX420" s="56"/>
      <c r="AY420" s="56"/>
      <c r="AZ420" s="56"/>
      <c r="BA420" s="171"/>
      <c r="BB420" s="56"/>
      <c r="BC420" s="10"/>
      <c r="BD420" s="56"/>
      <c r="BE420" s="56"/>
      <c r="BF420" s="56"/>
      <c r="BG420" s="56"/>
      <c r="BO420" s="144"/>
      <c r="CI420" s="144"/>
      <c r="CY420" s="144"/>
    </row>
    <row r="421" spans="1:103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171"/>
      <c r="AP421" s="56"/>
      <c r="AQ421" s="56"/>
      <c r="AR421" s="56"/>
      <c r="AS421" s="56"/>
      <c r="AT421" s="56"/>
      <c r="AU421" s="56"/>
      <c r="AV421" s="56"/>
      <c r="AW421" s="171"/>
      <c r="AX421" s="56"/>
      <c r="AY421" s="56"/>
      <c r="AZ421" s="56"/>
      <c r="BA421" s="171"/>
      <c r="BB421" s="56"/>
      <c r="BC421" s="10"/>
      <c r="BD421" s="56"/>
      <c r="BE421" s="56"/>
      <c r="BF421" s="56"/>
      <c r="BG421" s="56"/>
      <c r="BO421" s="144"/>
      <c r="CI421" s="144"/>
      <c r="CY421" s="144"/>
    </row>
    <row r="422" spans="1:103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171"/>
      <c r="AP422" s="56"/>
      <c r="AQ422" s="56"/>
      <c r="AR422" s="56"/>
      <c r="AS422" s="56"/>
      <c r="AT422" s="56"/>
      <c r="AU422" s="56"/>
      <c r="AV422" s="56"/>
      <c r="AW422" s="171"/>
      <c r="AX422" s="56"/>
      <c r="AY422" s="56"/>
      <c r="AZ422" s="56"/>
      <c r="BA422" s="171"/>
      <c r="BB422" s="56"/>
      <c r="BC422" s="10"/>
      <c r="BD422" s="56"/>
      <c r="BE422" s="56"/>
      <c r="BF422" s="56"/>
      <c r="BG422" s="56"/>
      <c r="BO422" s="144"/>
      <c r="CI422" s="144"/>
      <c r="CY422" s="144"/>
    </row>
    <row r="423" spans="1:103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171"/>
      <c r="AP423" s="56"/>
      <c r="AQ423" s="56"/>
      <c r="AR423" s="56"/>
      <c r="AS423" s="56"/>
      <c r="AT423" s="56"/>
      <c r="AU423" s="56"/>
      <c r="AV423" s="56"/>
      <c r="AW423" s="171"/>
      <c r="AX423" s="56"/>
      <c r="AY423" s="56"/>
      <c r="AZ423" s="56"/>
      <c r="BA423" s="171"/>
      <c r="BB423" s="56"/>
      <c r="BC423" s="10"/>
      <c r="BD423" s="56"/>
      <c r="BE423" s="56"/>
      <c r="BF423" s="56"/>
      <c r="BG423" s="56"/>
      <c r="BO423" s="144"/>
      <c r="CI423" s="144"/>
      <c r="CY423" s="144"/>
    </row>
    <row r="424" spans="1:103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171"/>
      <c r="AP424" s="56"/>
      <c r="AQ424" s="56"/>
      <c r="AR424" s="56"/>
      <c r="AS424" s="56"/>
      <c r="AT424" s="56"/>
      <c r="AU424" s="56"/>
      <c r="AV424" s="56"/>
      <c r="AW424" s="171"/>
      <c r="AX424" s="56"/>
      <c r="AY424" s="56"/>
      <c r="AZ424" s="56"/>
      <c r="BA424" s="171"/>
      <c r="BB424" s="56"/>
      <c r="BC424" s="10"/>
      <c r="BD424" s="56"/>
      <c r="BE424" s="56"/>
      <c r="BF424" s="56"/>
      <c r="BG424" s="56"/>
      <c r="BO424" s="144"/>
      <c r="CI424" s="144"/>
      <c r="CY424" s="144"/>
    </row>
    <row r="425" spans="1:103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171"/>
      <c r="AP425" s="56"/>
      <c r="AQ425" s="56"/>
      <c r="AR425" s="56"/>
      <c r="AS425" s="56"/>
      <c r="AT425" s="56"/>
      <c r="AU425" s="56"/>
      <c r="AV425" s="56"/>
      <c r="AW425" s="171"/>
      <c r="AX425" s="56"/>
      <c r="AY425" s="56"/>
      <c r="AZ425" s="56"/>
      <c r="BA425" s="171"/>
      <c r="BB425" s="56"/>
      <c r="BC425" s="10"/>
      <c r="BD425" s="56"/>
      <c r="BE425" s="56"/>
      <c r="BF425" s="56"/>
      <c r="BG425" s="56"/>
      <c r="BO425" s="144"/>
      <c r="CI425" s="144"/>
      <c r="CY425" s="144"/>
    </row>
    <row r="426" spans="1:103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171"/>
      <c r="AP426" s="56"/>
      <c r="AQ426" s="56"/>
      <c r="AR426" s="56"/>
      <c r="AS426" s="56"/>
      <c r="AT426" s="56"/>
      <c r="AU426" s="56"/>
      <c r="AV426" s="56"/>
      <c r="AW426" s="171"/>
      <c r="AX426" s="56"/>
      <c r="AY426" s="56"/>
      <c r="AZ426" s="56"/>
      <c r="BA426" s="171"/>
      <c r="BB426" s="56"/>
      <c r="BC426" s="10"/>
      <c r="BD426" s="56"/>
      <c r="BE426" s="56"/>
      <c r="BF426" s="56"/>
      <c r="BG426" s="56"/>
      <c r="BO426" s="144"/>
      <c r="CI426" s="144"/>
      <c r="CY426" s="144"/>
    </row>
    <row r="427" spans="1:103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171"/>
      <c r="AP427" s="56"/>
      <c r="AQ427" s="56"/>
      <c r="AR427" s="56"/>
      <c r="AS427" s="56"/>
      <c r="AT427" s="56"/>
      <c r="AU427" s="56"/>
      <c r="AV427" s="56"/>
      <c r="AW427" s="171"/>
      <c r="AX427" s="56"/>
      <c r="AY427" s="56"/>
      <c r="AZ427" s="56"/>
      <c r="BA427" s="171"/>
      <c r="BB427" s="56"/>
      <c r="BC427" s="10"/>
      <c r="BD427" s="56"/>
      <c r="BE427" s="56"/>
      <c r="BF427" s="56"/>
      <c r="BG427" s="56"/>
      <c r="BO427" s="144"/>
      <c r="CI427" s="144"/>
      <c r="CY427" s="144"/>
    </row>
    <row r="428" spans="1:103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171"/>
      <c r="AP428" s="56"/>
      <c r="AQ428" s="56"/>
      <c r="AR428" s="56"/>
      <c r="AS428" s="56"/>
      <c r="AT428" s="56"/>
      <c r="AU428" s="56"/>
      <c r="AV428" s="56"/>
      <c r="AW428" s="171"/>
      <c r="AX428" s="56"/>
      <c r="AY428" s="56"/>
      <c r="AZ428" s="56"/>
      <c r="BA428" s="171"/>
      <c r="BB428" s="56"/>
      <c r="BC428" s="10"/>
      <c r="BD428" s="56"/>
      <c r="BE428" s="56"/>
      <c r="BF428" s="56"/>
      <c r="BG428" s="56"/>
      <c r="BO428" s="144"/>
      <c r="CI428" s="144"/>
      <c r="CY428" s="144"/>
    </row>
    <row r="429" spans="1:103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171"/>
      <c r="AP429" s="56"/>
      <c r="AQ429" s="56"/>
      <c r="AR429" s="56"/>
      <c r="AS429" s="56"/>
      <c r="AT429" s="56"/>
      <c r="AU429" s="56"/>
      <c r="AV429" s="56"/>
      <c r="AW429" s="171"/>
      <c r="AX429" s="56"/>
      <c r="AY429" s="56"/>
      <c r="AZ429" s="56"/>
      <c r="BA429" s="171"/>
      <c r="BB429" s="56"/>
      <c r="BC429" s="10"/>
      <c r="BD429" s="56"/>
      <c r="BE429" s="56"/>
      <c r="BF429" s="56"/>
      <c r="BG429" s="56"/>
      <c r="BO429" s="144"/>
      <c r="CI429" s="144"/>
      <c r="CY429" s="144"/>
    </row>
    <row r="430" spans="1:103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171"/>
      <c r="AP430" s="56"/>
      <c r="AQ430" s="56"/>
      <c r="AR430" s="56"/>
      <c r="AS430" s="56"/>
      <c r="AT430" s="56"/>
      <c r="AU430" s="56"/>
      <c r="AV430" s="56"/>
      <c r="AW430" s="171"/>
      <c r="AX430" s="56"/>
      <c r="AY430" s="56"/>
      <c r="AZ430" s="56"/>
      <c r="BA430" s="171"/>
      <c r="BB430" s="56"/>
      <c r="BC430" s="10"/>
      <c r="BD430" s="56"/>
      <c r="BE430" s="56"/>
      <c r="BF430" s="56"/>
      <c r="BG430" s="56"/>
      <c r="BO430" s="144"/>
      <c r="CI430" s="144"/>
      <c r="CY430" s="144"/>
    </row>
    <row r="431" spans="1:103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171"/>
      <c r="AP431" s="56"/>
      <c r="AQ431" s="56"/>
      <c r="AR431" s="56"/>
      <c r="AS431" s="56"/>
      <c r="AT431" s="56"/>
      <c r="AU431" s="56"/>
      <c r="AV431" s="56"/>
      <c r="AW431" s="171"/>
      <c r="AX431" s="56"/>
      <c r="AY431" s="56"/>
      <c r="AZ431" s="56"/>
      <c r="BA431" s="171"/>
      <c r="BB431" s="56"/>
      <c r="BC431" s="10"/>
      <c r="BD431" s="56"/>
      <c r="BE431" s="56"/>
      <c r="BF431" s="56"/>
      <c r="BG431" s="56"/>
      <c r="BO431" s="144"/>
      <c r="CI431" s="144"/>
      <c r="CY431" s="144"/>
    </row>
    <row r="432" spans="1:103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171"/>
      <c r="AP432" s="56"/>
      <c r="AQ432" s="56"/>
      <c r="AR432" s="56"/>
      <c r="AS432" s="56"/>
      <c r="AT432" s="56"/>
      <c r="AU432" s="56"/>
      <c r="AV432" s="56"/>
      <c r="AW432" s="171"/>
      <c r="AX432" s="56"/>
      <c r="AY432" s="56"/>
      <c r="AZ432" s="56"/>
      <c r="BA432" s="171"/>
      <c r="BB432" s="56"/>
      <c r="BC432" s="10"/>
      <c r="BD432" s="56"/>
      <c r="BE432" s="56"/>
      <c r="BF432" s="56"/>
      <c r="BG432" s="56"/>
      <c r="BO432" s="144"/>
      <c r="CI432" s="144"/>
      <c r="CY432" s="144"/>
    </row>
    <row r="433" spans="1:103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171"/>
      <c r="AP433" s="56"/>
      <c r="AQ433" s="56"/>
      <c r="AR433" s="56"/>
      <c r="AS433" s="56"/>
      <c r="AT433" s="56"/>
      <c r="AU433" s="56"/>
      <c r="AV433" s="56"/>
      <c r="AW433" s="171"/>
      <c r="AX433" s="56"/>
      <c r="AY433" s="56"/>
      <c r="AZ433" s="56"/>
      <c r="BA433" s="171"/>
      <c r="BB433" s="56"/>
      <c r="BC433" s="10"/>
      <c r="BD433" s="56"/>
      <c r="BE433" s="56"/>
      <c r="BF433" s="56"/>
      <c r="BG433" s="56"/>
      <c r="BO433" s="144"/>
      <c r="CI433" s="144"/>
      <c r="CY433" s="144"/>
    </row>
    <row r="434" spans="1:103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171"/>
      <c r="AP434" s="56"/>
      <c r="AQ434" s="56"/>
      <c r="AR434" s="56"/>
      <c r="AS434" s="56"/>
      <c r="AT434" s="56"/>
      <c r="AU434" s="56"/>
      <c r="AV434" s="56"/>
      <c r="AW434" s="171"/>
      <c r="AX434" s="56"/>
      <c r="AY434" s="56"/>
      <c r="AZ434" s="56"/>
      <c r="BA434" s="171"/>
      <c r="BB434" s="56"/>
      <c r="BC434" s="10"/>
      <c r="BD434" s="56"/>
      <c r="BE434" s="56"/>
      <c r="BF434" s="56"/>
      <c r="BG434" s="56"/>
      <c r="BO434" s="144"/>
      <c r="CI434" s="144"/>
      <c r="CY434" s="144"/>
    </row>
    <row r="435" spans="1:103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171"/>
      <c r="AP435" s="56"/>
      <c r="AQ435" s="56"/>
      <c r="AR435" s="56"/>
      <c r="AS435" s="56"/>
      <c r="AT435" s="56"/>
      <c r="AU435" s="56"/>
      <c r="AV435" s="56"/>
      <c r="AW435" s="171"/>
      <c r="AX435" s="56"/>
      <c r="AY435" s="56"/>
      <c r="AZ435" s="56"/>
      <c r="BA435" s="171"/>
      <c r="BB435" s="56"/>
      <c r="BC435" s="10"/>
      <c r="BD435" s="56"/>
      <c r="BE435" s="56"/>
      <c r="BF435" s="56"/>
      <c r="BG435" s="56"/>
      <c r="BO435" s="144"/>
      <c r="CI435" s="144"/>
      <c r="CY435" s="144"/>
    </row>
    <row r="436" spans="1:103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171"/>
      <c r="AP436" s="56"/>
      <c r="AQ436" s="56"/>
      <c r="AR436" s="56"/>
      <c r="AS436" s="56"/>
      <c r="AT436" s="56"/>
      <c r="AU436" s="56"/>
      <c r="AV436" s="56"/>
      <c r="AW436" s="171"/>
      <c r="AX436" s="56"/>
      <c r="AY436" s="56"/>
      <c r="AZ436" s="56"/>
      <c r="BA436" s="171"/>
      <c r="BB436" s="56"/>
      <c r="BC436" s="10"/>
      <c r="BD436" s="56"/>
      <c r="BE436" s="56"/>
      <c r="BF436" s="56"/>
      <c r="BG436" s="56"/>
      <c r="BO436" s="144"/>
      <c r="CI436" s="144"/>
      <c r="CY436" s="144"/>
    </row>
    <row r="437" spans="1:103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171"/>
      <c r="AP437" s="56"/>
      <c r="AQ437" s="56"/>
      <c r="AR437" s="56"/>
      <c r="AS437" s="56"/>
      <c r="AT437" s="56"/>
      <c r="AU437" s="56"/>
      <c r="AV437" s="56"/>
      <c r="AW437" s="171"/>
      <c r="AX437" s="56"/>
      <c r="AY437" s="56"/>
      <c r="AZ437" s="56"/>
      <c r="BA437" s="171"/>
      <c r="BB437" s="56"/>
      <c r="BC437" s="10"/>
      <c r="BD437" s="56"/>
      <c r="BE437" s="56"/>
      <c r="BF437" s="56"/>
      <c r="BG437" s="56"/>
      <c r="BO437" s="144"/>
      <c r="CI437" s="144"/>
      <c r="CY437" s="144"/>
    </row>
    <row r="438" spans="1:103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171"/>
      <c r="AP438" s="56"/>
      <c r="AQ438" s="56"/>
      <c r="AR438" s="56"/>
      <c r="AS438" s="56"/>
      <c r="AT438" s="56"/>
      <c r="AU438" s="56"/>
      <c r="AV438" s="56"/>
      <c r="AW438" s="171"/>
      <c r="AX438" s="56"/>
      <c r="AY438" s="56"/>
      <c r="AZ438" s="56"/>
      <c r="BA438" s="171"/>
      <c r="BB438" s="56"/>
      <c r="BC438" s="10"/>
      <c r="BD438" s="56"/>
      <c r="BE438" s="56"/>
      <c r="BF438" s="56"/>
      <c r="BG438" s="56"/>
      <c r="BO438" s="144"/>
      <c r="CI438" s="144"/>
      <c r="CY438" s="144"/>
    </row>
    <row r="439" spans="1:103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171"/>
      <c r="AP439" s="56"/>
      <c r="AQ439" s="56"/>
      <c r="AR439" s="56"/>
      <c r="AS439" s="56"/>
      <c r="AT439" s="56"/>
      <c r="AU439" s="56"/>
      <c r="AV439" s="56"/>
      <c r="AW439" s="171"/>
      <c r="AX439" s="56"/>
      <c r="AY439" s="56"/>
      <c r="AZ439" s="56"/>
      <c r="BA439" s="171"/>
      <c r="BB439" s="56"/>
      <c r="BC439" s="10"/>
      <c r="BD439" s="56"/>
      <c r="BE439" s="56"/>
      <c r="BF439" s="56"/>
      <c r="BG439" s="56"/>
      <c r="BO439" s="144"/>
      <c r="CI439" s="144"/>
      <c r="CY439" s="144"/>
    </row>
    <row r="440" spans="1:103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171"/>
      <c r="AP440" s="56"/>
      <c r="AQ440" s="56"/>
      <c r="AR440" s="56"/>
      <c r="AS440" s="56"/>
      <c r="AT440" s="56"/>
      <c r="AU440" s="56"/>
      <c r="AV440" s="56"/>
      <c r="AW440" s="171"/>
      <c r="AX440" s="56"/>
      <c r="AY440" s="56"/>
      <c r="AZ440" s="56"/>
      <c r="BA440" s="171"/>
      <c r="BB440" s="56"/>
      <c r="BC440" s="10"/>
      <c r="BD440" s="56"/>
      <c r="BE440" s="56"/>
      <c r="BF440" s="56"/>
      <c r="BG440" s="56"/>
      <c r="BO440" s="144"/>
      <c r="CI440" s="144"/>
      <c r="CY440" s="144"/>
    </row>
    <row r="441" spans="1:103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171"/>
      <c r="AP441" s="56"/>
      <c r="AQ441" s="56"/>
      <c r="AR441" s="56"/>
      <c r="AS441" s="56"/>
      <c r="AT441" s="56"/>
      <c r="AU441" s="56"/>
      <c r="AV441" s="56"/>
      <c r="AW441" s="171"/>
      <c r="AX441" s="56"/>
      <c r="AY441" s="56"/>
      <c r="AZ441" s="56"/>
      <c r="BA441" s="171"/>
      <c r="BB441" s="56"/>
      <c r="BC441" s="10"/>
      <c r="BD441" s="56"/>
      <c r="BE441" s="56"/>
      <c r="BF441" s="56"/>
      <c r="BG441" s="56"/>
      <c r="BO441" s="144"/>
      <c r="CI441" s="144"/>
      <c r="CY441" s="144"/>
    </row>
    <row r="442" spans="1:103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171"/>
      <c r="AP442" s="56"/>
      <c r="AQ442" s="56"/>
      <c r="AR442" s="56"/>
      <c r="AS442" s="56"/>
      <c r="AT442" s="56"/>
      <c r="AU442" s="56"/>
      <c r="AV442" s="56"/>
      <c r="AW442" s="171"/>
      <c r="AX442" s="56"/>
      <c r="AY442" s="56"/>
      <c r="AZ442" s="56"/>
      <c r="BA442" s="171"/>
      <c r="BB442" s="56"/>
      <c r="BC442" s="10"/>
      <c r="BD442" s="56"/>
      <c r="BE442" s="56"/>
      <c r="BF442" s="56"/>
      <c r="BG442" s="56"/>
      <c r="BO442" s="144"/>
      <c r="CI442" s="144"/>
      <c r="CY442" s="144"/>
    </row>
    <row r="443" spans="1:103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171"/>
      <c r="AP443" s="56"/>
      <c r="AQ443" s="56"/>
      <c r="AR443" s="56"/>
      <c r="AS443" s="56"/>
      <c r="AT443" s="56"/>
      <c r="AU443" s="56"/>
      <c r="AV443" s="56"/>
      <c r="AW443" s="171"/>
      <c r="AX443" s="56"/>
      <c r="AY443" s="56"/>
      <c r="AZ443" s="56"/>
      <c r="BA443" s="171"/>
      <c r="BB443" s="56"/>
      <c r="BC443" s="10"/>
      <c r="BD443" s="56"/>
      <c r="BE443" s="56"/>
      <c r="BF443" s="56"/>
      <c r="BG443" s="56"/>
      <c r="BO443" s="144"/>
      <c r="CI443" s="144"/>
      <c r="CY443" s="144"/>
    </row>
    <row r="444" spans="1:103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171"/>
      <c r="AP444" s="56"/>
      <c r="AQ444" s="56"/>
      <c r="AR444" s="56"/>
      <c r="AS444" s="56"/>
      <c r="AT444" s="56"/>
      <c r="AU444" s="56"/>
      <c r="AV444" s="56"/>
      <c r="AW444" s="171"/>
      <c r="AX444" s="56"/>
      <c r="AY444" s="56"/>
      <c r="AZ444" s="56"/>
      <c r="BA444" s="171"/>
      <c r="BB444" s="56"/>
      <c r="BC444" s="10"/>
      <c r="BD444" s="56"/>
      <c r="BE444" s="56"/>
      <c r="BF444" s="56"/>
      <c r="BG444" s="56"/>
      <c r="BO444" s="144"/>
      <c r="CI444" s="144"/>
      <c r="CY444" s="144"/>
    </row>
    <row r="445" spans="1:103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171"/>
      <c r="AP445" s="56"/>
      <c r="AQ445" s="56"/>
      <c r="AR445" s="56"/>
      <c r="AS445" s="56"/>
      <c r="AT445" s="56"/>
      <c r="AU445" s="56"/>
      <c r="AV445" s="56"/>
      <c r="AW445" s="171"/>
      <c r="AX445" s="56"/>
      <c r="AY445" s="56"/>
      <c r="AZ445" s="56"/>
      <c r="BA445" s="171"/>
      <c r="BB445" s="56"/>
      <c r="BC445" s="10"/>
      <c r="BD445" s="56"/>
      <c r="BE445" s="56"/>
      <c r="BF445" s="56"/>
      <c r="BG445" s="56"/>
      <c r="BO445" s="144"/>
      <c r="CI445" s="144"/>
      <c r="CY445" s="144"/>
    </row>
    <row r="446" spans="1:103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171"/>
      <c r="AP446" s="56"/>
      <c r="AQ446" s="56"/>
      <c r="AR446" s="56"/>
      <c r="AS446" s="56"/>
      <c r="AT446" s="56"/>
      <c r="AU446" s="56"/>
      <c r="AV446" s="56"/>
      <c r="AW446" s="171"/>
      <c r="AX446" s="56"/>
      <c r="AY446" s="56"/>
      <c r="AZ446" s="56"/>
      <c r="BA446" s="171"/>
      <c r="BB446" s="56"/>
      <c r="BC446" s="10"/>
      <c r="BD446" s="56"/>
      <c r="BE446" s="56"/>
      <c r="BF446" s="56"/>
      <c r="BG446" s="56"/>
      <c r="BO446" s="144"/>
      <c r="CI446" s="144"/>
      <c r="CY446" s="144"/>
    </row>
    <row r="447" spans="1:103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171"/>
      <c r="AP447" s="56"/>
      <c r="AQ447" s="56"/>
      <c r="AR447" s="56"/>
      <c r="AS447" s="56"/>
      <c r="AT447" s="56"/>
      <c r="AU447" s="56"/>
      <c r="AV447" s="56"/>
      <c r="AW447" s="171"/>
      <c r="AX447" s="56"/>
      <c r="AY447" s="56"/>
      <c r="AZ447" s="56"/>
      <c r="BA447" s="171"/>
      <c r="BB447" s="56"/>
      <c r="BC447" s="10"/>
      <c r="BD447" s="56"/>
      <c r="BE447" s="56"/>
      <c r="BF447" s="56"/>
      <c r="BG447" s="56"/>
      <c r="BO447" s="144"/>
      <c r="CI447" s="144"/>
      <c r="CY447" s="144"/>
    </row>
    <row r="448" spans="1:103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171"/>
      <c r="AP448" s="56"/>
      <c r="AQ448" s="56"/>
      <c r="AR448" s="56"/>
      <c r="AS448" s="56"/>
      <c r="AT448" s="56"/>
      <c r="AU448" s="56"/>
      <c r="AV448" s="56"/>
      <c r="AW448" s="171"/>
      <c r="AX448" s="56"/>
      <c r="AY448" s="56"/>
      <c r="AZ448" s="56"/>
      <c r="BA448" s="171"/>
      <c r="BB448" s="56"/>
      <c r="BC448" s="10"/>
      <c r="BD448" s="56"/>
      <c r="BE448" s="56"/>
      <c r="BF448" s="56"/>
      <c r="BG448" s="56"/>
      <c r="BO448" s="144"/>
      <c r="CI448" s="144"/>
      <c r="CY448" s="144"/>
    </row>
    <row r="449" spans="1:103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171"/>
      <c r="AP449" s="56"/>
      <c r="AQ449" s="56"/>
      <c r="AR449" s="56"/>
      <c r="AS449" s="56"/>
      <c r="AT449" s="56"/>
      <c r="AU449" s="56"/>
      <c r="AV449" s="56"/>
      <c r="AW449" s="171"/>
      <c r="AX449" s="56"/>
      <c r="AY449" s="56"/>
      <c r="AZ449" s="56"/>
      <c r="BA449" s="171"/>
      <c r="BB449" s="56"/>
      <c r="BC449" s="10"/>
      <c r="BD449" s="56"/>
      <c r="BE449" s="56"/>
      <c r="BF449" s="56"/>
      <c r="BG449" s="56"/>
      <c r="BO449" s="144"/>
      <c r="CI449" s="144"/>
      <c r="CY449" s="144"/>
    </row>
    <row r="450" spans="1:103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171"/>
      <c r="AP450" s="56"/>
      <c r="AQ450" s="56"/>
      <c r="AR450" s="56"/>
      <c r="AS450" s="56"/>
      <c r="AT450" s="56"/>
      <c r="AU450" s="56"/>
      <c r="AV450" s="56"/>
      <c r="AW450" s="171"/>
      <c r="AX450" s="56"/>
      <c r="AY450" s="56"/>
      <c r="AZ450" s="56"/>
      <c r="BA450" s="171"/>
      <c r="BB450" s="56"/>
      <c r="BC450" s="10"/>
      <c r="BD450" s="56"/>
      <c r="BE450" s="56"/>
      <c r="BF450" s="56"/>
      <c r="BG450" s="56"/>
      <c r="BO450" s="144"/>
      <c r="CI450" s="144"/>
      <c r="CY450" s="144"/>
    </row>
    <row r="451" spans="1:103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171"/>
      <c r="AP451" s="56"/>
      <c r="AQ451" s="56"/>
      <c r="AR451" s="56"/>
      <c r="AS451" s="56"/>
      <c r="AT451" s="56"/>
      <c r="AU451" s="56"/>
      <c r="AV451" s="56"/>
      <c r="AW451" s="171"/>
      <c r="AX451" s="56"/>
      <c r="AY451" s="56"/>
      <c r="AZ451" s="56"/>
      <c r="BA451" s="171"/>
      <c r="BB451" s="56"/>
      <c r="BC451" s="10"/>
      <c r="BD451" s="56"/>
      <c r="BE451" s="56"/>
      <c r="BF451" s="56"/>
      <c r="BG451" s="56"/>
      <c r="BO451" s="144"/>
      <c r="CI451" s="144"/>
      <c r="CY451" s="144"/>
    </row>
    <row r="452" spans="1:103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171"/>
      <c r="AP452" s="56"/>
      <c r="AQ452" s="56"/>
      <c r="AR452" s="56"/>
      <c r="AS452" s="56"/>
      <c r="AT452" s="56"/>
      <c r="AU452" s="56"/>
      <c r="AV452" s="56"/>
      <c r="AW452" s="171"/>
      <c r="AX452" s="56"/>
      <c r="AY452" s="56"/>
      <c r="AZ452" s="56"/>
      <c r="BA452" s="171"/>
      <c r="BB452" s="56"/>
      <c r="BC452" s="10"/>
      <c r="BD452" s="56"/>
      <c r="BE452" s="56"/>
      <c r="BF452" s="56"/>
      <c r="BG452" s="56"/>
      <c r="BO452" s="144"/>
      <c r="CI452" s="144"/>
      <c r="CY452" s="144"/>
    </row>
    <row r="453" spans="1:103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171"/>
      <c r="AP453" s="56"/>
      <c r="AQ453" s="56"/>
      <c r="AR453" s="56"/>
      <c r="AS453" s="56"/>
      <c r="AT453" s="56"/>
      <c r="AU453" s="56"/>
      <c r="AV453" s="56"/>
      <c r="AW453" s="171"/>
      <c r="AX453" s="56"/>
      <c r="AY453" s="56"/>
      <c r="AZ453" s="56"/>
      <c r="BA453" s="171"/>
      <c r="BB453" s="56"/>
      <c r="BC453" s="10"/>
      <c r="BD453" s="56"/>
      <c r="BE453" s="56"/>
      <c r="BF453" s="56"/>
      <c r="BG453" s="56"/>
      <c r="BO453" s="144"/>
      <c r="CI453" s="144"/>
      <c r="CY453" s="144"/>
    </row>
    <row r="454" spans="1:103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171"/>
      <c r="AP454" s="56"/>
      <c r="AQ454" s="56"/>
      <c r="AR454" s="56"/>
      <c r="AS454" s="56"/>
      <c r="AT454" s="56"/>
      <c r="AU454" s="56"/>
      <c r="AV454" s="56"/>
      <c r="AW454" s="171"/>
      <c r="AX454" s="56"/>
      <c r="AY454" s="56"/>
      <c r="AZ454" s="56"/>
      <c r="BA454" s="171"/>
      <c r="BB454" s="56"/>
      <c r="BC454" s="10"/>
      <c r="BD454" s="56"/>
      <c r="BE454" s="56"/>
      <c r="BF454" s="56"/>
      <c r="BG454" s="56"/>
      <c r="BO454" s="144"/>
      <c r="CI454" s="144"/>
      <c r="CY454" s="144"/>
    </row>
    <row r="455" spans="1:103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171"/>
      <c r="AP455" s="56"/>
      <c r="AQ455" s="56"/>
      <c r="AR455" s="56"/>
      <c r="AS455" s="56"/>
      <c r="AT455" s="56"/>
      <c r="AU455" s="56"/>
      <c r="AV455" s="56"/>
      <c r="AW455" s="171"/>
      <c r="AX455" s="56"/>
      <c r="AY455" s="56"/>
      <c r="AZ455" s="56"/>
      <c r="BA455" s="171"/>
      <c r="BB455" s="56"/>
      <c r="BC455" s="10"/>
      <c r="BD455" s="56"/>
      <c r="BE455" s="56"/>
      <c r="BF455" s="56"/>
      <c r="BG455" s="56"/>
      <c r="BO455" s="144"/>
      <c r="CI455" s="144"/>
      <c r="CY455" s="144"/>
    </row>
    <row r="456" spans="1:103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171"/>
      <c r="AP456" s="56"/>
      <c r="AQ456" s="56"/>
      <c r="AR456" s="56"/>
      <c r="AS456" s="56"/>
      <c r="AT456" s="56"/>
      <c r="AU456" s="56"/>
      <c r="AV456" s="56"/>
      <c r="AW456" s="171"/>
      <c r="AX456" s="56"/>
      <c r="AY456" s="56"/>
      <c r="AZ456" s="56"/>
      <c r="BA456" s="171"/>
      <c r="BB456" s="56"/>
      <c r="BC456" s="10"/>
      <c r="BD456" s="56"/>
      <c r="BE456" s="56"/>
      <c r="BF456" s="56"/>
      <c r="BG456" s="56"/>
      <c r="BO456" s="144"/>
      <c r="CI456" s="144"/>
      <c r="CY456" s="144"/>
    </row>
    <row r="457" spans="1:103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171"/>
      <c r="AP457" s="56"/>
      <c r="AQ457" s="56"/>
      <c r="AR457" s="56"/>
      <c r="AS457" s="56"/>
      <c r="AT457" s="56"/>
      <c r="AU457" s="56"/>
      <c r="AV457" s="56"/>
      <c r="AW457" s="171"/>
      <c r="AX457" s="56"/>
      <c r="AY457" s="56"/>
      <c r="AZ457" s="56"/>
      <c r="BA457" s="171"/>
      <c r="BB457" s="56"/>
      <c r="BC457" s="10"/>
      <c r="BD457" s="56"/>
      <c r="BE457" s="56"/>
      <c r="BF457" s="56"/>
      <c r="BG457" s="56"/>
      <c r="BO457" s="144"/>
      <c r="CI457" s="144"/>
      <c r="CY457" s="144"/>
    </row>
    <row r="458" spans="1:103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171"/>
      <c r="AP458" s="56"/>
      <c r="AQ458" s="56"/>
      <c r="AR458" s="56"/>
      <c r="AS458" s="56"/>
      <c r="AT458" s="56"/>
      <c r="AU458" s="56"/>
      <c r="AV458" s="56"/>
      <c r="AW458" s="171"/>
      <c r="AX458" s="56"/>
      <c r="AY458" s="56"/>
      <c r="AZ458" s="56"/>
      <c r="BA458" s="171"/>
      <c r="BB458" s="56"/>
      <c r="BC458" s="10"/>
      <c r="BD458" s="56"/>
      <c r="BE458" s="56"/>
      <c r="BF458" s="56"/>
      <c r="BG458" s="56"/>
      <c r="BO458" s="144"/>
      <c r="CI458" s="144"/>
      <c r="CY458" s="144"/>
    </row>
    <row r="459" spans="1:103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171"/>
      <c r="AP459" s="56"/>
      <c r="AQ459" s="56"/>
      <c r="AR459" s="56"/>
      <c r="AS459" s="56"/>
      <c r="AT459" s="56"/>
      <c r="AU459" s="56"/>
      <c r="AV459" s="56"/>
      <c r="AW459" s="171"/>
      <c r="AX459" s="56"/>
      <c r="AY459" s="56"/>
      <c r="AZ459" s="56"/>
      <c r="BA459" s="171"/>
      <c r="BB459" s="56"/>
      <c r="BC459" s="10"/>
      <c r="BD459" s="56"/>
      <c r="BE459" s="56"/>
      <c r="BF459" s="56"/>
      <c r="BG459" s="56"/>
      <c r="BO459" s="144"/>
      <c r="CI459" s="144"/>
      <c r="CY459" s="144"/>
    </row>
    <row r="460" spans="1:103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171"/>
      <c r="AP460" s="56"/>
      <c r="AQ460" s="56"/>
      <c r="AR460" s="56"/>
      <c r="AS460" s="56"/>
      <c r="AT460" s="56"/>
      <c r="AU460" s="56"/>
      <c r="AV460" s="56"/>
      <c r="AW460" s="171"/>
      <c r="AX460" s="56"/>
      <c r="AY460" s="56"/>
      <c r="AZ460" s="56"/>
      <c r="BA460" s="171"/>
      <c r="BB460" s="56"/>
      <c r="BC460" s="10"/>
      <c r="BD460" s="56"/>
      <c r="BE460" s="56"/>
      <c r="BF460" s="56"/>
      <c r="BG460" s="56"/>
      <c r="BO460" s="144"/>
      <c r="CI460" s="144"/>
      <c r="CY460" s="144"/>
    </row>
    <row r="461" spans="1:103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171"/>
      <c r="AP461" s="56"/>
      <c r="AQ461" s="56"/>
      <c r="AR461" s="56"/>
      <c r="AS461" s="56"/>
      <c r="AT461" s="56"/>
      <c r="AU461" s="56"/>
      <c r="AV461" s="56"/>
      <c r="AW461" s="171"/>
      <c r="AX461" s="56"/>
      <c r="AY461" s="56"/>
      <c r="AZ461" s="56"/>
      <c r="BA461" s="171"/>
      <c r="BB461" s="56"/>
      <c r="BC461" s="10"/>
      <c r="BD461" s="56"/>
      <c r="BE461" s="56"/>
      <c r="BF461" s="56"/>
      <c r="BG461" s="56"/>
      <c r="BO461" s="144"/>
      <c r="CI461" s="144"/>
      <c r="CY461" s="144"/>
    </row>
    <row r="462" spans="1:103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171"/>
      <c r="AP462" s="56"/>
      <c r="AQ462" s="56"/>
      <c r="AR462" s="56"/>
      <c r="AS462" s="56"/>
      <c r="AT462" s="56"/>
      <c r="AU462" s="56"/>
      <c r="AV462" s="56"/>
      <c r="AW462" s="171"/>
      <c r="AX462" s="56"/>
      <c r="AY462" s="56"/>
      <c r="AZ462" s="56"/>
      <c r="BA462" s="171"/>
      <c r="BB462" s="56"/>
      <c r="BC462" s="10"/>
      <c r="BD462" s="56"/>
      <c r="BE462" s="56"/>
      <c r="BF462" s="56"/>
      <c r="BG462" s="56"/>
      <c r="BO462" s="144"/>
      <c r="CI462" s="144"/>
      <c r="CY462" s="144"/>
    </row>
    <row r="463" spans="1:103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171"/>
      <c r="AP463" s="56"/>
      <c r="AQ463" s="56"/>
      <c r="AR463" s="56"/>
      <c r="AS463" s="56"/>
      <c r="AT463" s="56"/>
      <c r="AU463" s="56"/>
      <c r="AV463" s="56"/>
      <c r="AW463" s="171"/>
      <c r="AX463" s="56"/>
      <c r="AY463" s="56"/>
      <c r="AZ463" s="56"/>
      <c r="BA463" s="171"/>
      <c r="BB463" s="56"/>
      <c r="BC463" s="10"/>
      <c r="BD463" s="56"/>
      <c r="BE463" s="56"/>
      <c r="BF463" s="56"/>
      <c r="BG463" s="56"/>
      <c r="BO463" s="144"/>
      <c r="CI463" s="144"/>
      <c r="CY463" s="144"/>
    </row>
    <row r="464" spans="1:103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171"/>
      <c r="AP464" s="56"/>
      <c r="AQ464" s="56"/>
      <c r="AR464" s="56"/>
      <c r="AS464" s="56"/>
      <c r="AT464" s="56"/>
      <c r="AU464" s="56"/>
      <c r="AV464" s="56"/>
      <c r="AW464" s="171"/>
      <c r="AX464" s="56"/>
      <c r="AY464" s="56"/>
      <c r="AZ464" s="56"/>
      <c r="BA464" s="171"/>
      <c r="BB464" s="56"/>
      <c r="BC464" s="10"/>
      <c r="BD464" s="56"/>
      <c r="BE464" s="56"/>
      <c r="BF464" s="56"/>
      <c r="BG464" s="56"/>
      <c r="BO464" s="144"/>
      <c r="CI464" s="144"/>
      <c r="CY464" s="144"/>
    </row>
    <row r="465" spans="1:103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171"/>
      <c r="AP465" s="56"/>
      <c r="AQ465" s="56"/>
      <c r="AR465" s="56"/>
      <c r="AS465" s="56"/>
      <c r="AT465" s="56"/>
      <c r="AU465" s="56"/>
      <c r="AV465" s="56"/>
      <c r="AW465" s="171"/>
      <c r="AX465" s="56"/>
      <c r="AY465" s="56"/>
      <c r="AZ465" s="56"/>
      <c r="BA465" s="171"/>
      <c r="BB465" s="56"/>
      <c r="BC465" s="10"/>
      <c r="BD465" s="56"/>
      <c r="BE465" s="56"/>
      <c r="BF465" s="56"/>
      <c r="BG465" s="56"/>
      <c r="BO465" s="144"/>
      <c r="CI465" s="144"/>
      <c r="CY465" s="144"/>
    </row>
    <row r="466" spans="1:103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171"/>
      <c r="AP466" s="56"/>
      <c r="AQ466" s="56"/>
      <c r="AR466" s="56"/>
      <c r="AS466" s="56"/>
      <c r="AT466" s="56"/>
      <c r="AU466" s="56"/>
      <c r="AV466" s="56"/>
      <c r="AW466" s="171"/>
      <c r="AX466" s="56"/>
      <c r="AY466" s="56"/>
      <c r="AZ466" s="56"/>
      <c r="BA466" s="171"/>
      <c r="BB466" s="56"/>
      <c r="BC466" s="10"/>
      <c r="BD466" s="56"/>
      <c r="BE466" s="56"/>
      <c r="BF466" s="56"/>
      <c r="BG466" s="56"/>
      <c r="BO466" s="144"/>
      <c r="CI466" s="144"/>
      <c r="CY466" s="144"/>
    </row>
    <row r="467" spans="1:103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171"/>
      <c r="AP467" s="56"/>
      <c r="AQ467" s="56"/>
      <c r="AR467" s="56"/>
      <c r="AS467" s="56"/>
      <c r="AT467" s="56"/>
      <c r="AU467" s="56"/>
      <c r="AV467" s="56"/>
      <c r="AW467" s="171"/>
      <c r="AX467" s="56"/>
      <c r="AY467" s="56"/>
      <c r="AZ467" s="56"/>
      <c r="BA467" s="171"/>
      <c r="BB467" s="56"/>
      <c r="BC467" s="10"/>
      <c r="BD467" s="56"/>
      <c r="BE467" s="56"/>
      <c r="BF467" s="56"/>
      <c r="BG467" s="56"/>
      <c r="BO467" s="144"/>
      <c r="CI467" s="144"/>
      <c r="CY467" s="144"/>
    </row>
    <row r="468" spans="1:103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171"/>
      <c r="AP468" s="56"/>
      <c r="AQ468" s="56"/>
      <c r="AR468" s="56"/>
      <c r="AS468" s="56"/>
      <c r="AT468" s="56"/>
      <c r="AU468" s="56"/>
      <c r="AV468" s="56"/>
      <c r="AW468" s="171"/>
      <c r="AX468" s="56"/>
      <c r="AY468" s="56"/>
      <c r="AZ468" s="56"/>
      <c r="BA468" s="171"/>
      <c r="BB468" s="56"/>
      <c r="BC468" s="10"/>
      <c r="BD468" s="56"/>
      <c r="BE468" s="56"/>
      <c r="BF468" s="56"/>
      <c r="BG468" s="56"/>
      <c r="BO468" s="144"/>
      <c r="CI468" s="144"/>
      <c r="CY468" s="144"/>
    </row>
    <row r="469" spans="1:103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171"/>
      <c r="AP469" s="56"/>
      <c r="AQ469" s="56"/>
      <c r="AR469" s="56"/>
      <c r="AS469" s="56"/>
      <c r="AT469" s="56"/>
      <c r="AU469" s="56"/>
      <c r="AV469" s="56"/>
      <c r="AW469" s="171"/>
      <c r="AX469" s="56"/>
      <c r="AY469" s="56"/>
      <c r="AZ469" s="56"/>
      <c r="BA469" s="171"/>
      <c r="BB469" s="56"/>
      <c r="BC469" s="10"/>
      <c r="BD469" s="56"/>
      <c r="BE469" s="56"/>
      <c r="BF469" s="56"/>
      <c r="BG469" s="56"/>
      <c r="BO469" s="144"/>
      <c r="CI469" s="144"/>
      <c r="CY469" s="144"/>
    </row>
    <row r="470" spans="1:103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171"/>
      <c r="AP470" s="56"/>
      <c r="AQ470" s="56"/>
      <c r="AR470" s="56"/>
      <c r="AS470" s="56"/>
      <c r="AT470" s="56"/>
      <c r="AU470" s="56"/>
      <c r="AV470" s="56"/>
      <c r="AW470" s="171"/>
      <c r="AX470" s="56"/>
      <c r="AY470" s="56"/>
      <c r="AZ470" s="56"/>
      <c r="BA470" s="171"/>
      <c r="BB470" s="56"/>
      <c r="BC470" s="10"/>
      <c r="BD470" s="56"/>
      <c r="BE470" s="56"/>
      <c r="BF470" s="56"/>
      <c r="BG470" s="56"/>
      <c r="BO470" s="144"/>
      <c r="CI470" s="144"/>
      <c r="CY470" s="144"/>
    </row>
    <row r="471" spans="1:103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171"/>
      <c r="AP471" s="56"/>
      <c r="AQ471" s="56"/>
      <c r="AR471" s="56"/>
      <c r="AS471" s="56"/>
      <c r="AT471" s="56"/>
      <c r="AU471" s="56"/>
      <c r="AV471" s="56"/>
      <c r="AW471" s="171"/>
      <c r="AX471" s="56"/>
      <c r="AY471" s="56"/>
      <c r="AZ471" s="56"/>
      <c r="BA471" s="171"/>
      <c r="BB471" s="56"/>
      <c r="BC471" s="10"/>
      <c r="BD471" s="56"/>
      <c r="BE471" s="56"/>
      <c r="BF471" s="56"/>
      <c r="BG471" s="56"/>
      <c r="BO471" s="144"/>
      <c r="CI471" s="144"/>
      <c r="CY471" s="144"/>
    </row>
    <row r="472" spans="1:103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171"/>
      <c r="AP472" s="56"/>
      <c r="AQ472" s="56"/>
      <c r="AR472" s="56"/>
      <c r="AS472" s="56"/>
      <c r="AT472" s="56"/>
      <c r="AU472" s="56"/>
      <c r="AV472" s="56"/>
      <c r="AW472" s="171"/>
      <c r="AX472" s="56"/>
      <c r="AY472" s="56"/>
      <c r="AZ472" s="56"/>
      <c r="BA472" s="171"/>
      <c r="BB472" s="56"/>
      <c r="BC472" s="10"/>
      <c r="BD472" s="56"/>
      <c r="BE472" s="56"/>
      <c r="BF472" s="56"/>
      <c r="BG472" s="56"/>
      <c r="BO472" s="144"/>
      <c r="CI472" s="144"/>
      <c r="CY472" s="144"/>
    </row>
    <row r="473" spans="1:103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171"/>
      <c r="AP473" s="56"/>
      <c r="AQ473" s="56"/>
      <c r="AR473" s="56"/>
      <c r="AS473" s="56"/>
      <c r="AT473" s="56"/>
      <c r="AU473" s="56"/>
      <c r="AV473" s="56"/>
      <c r="AW473" s="171"/>
      <c r="AX473" s="56"/>
      <c r="AY473" s="56"/>
      <c r="AZ473" s="56"/>
      <c r="BA473" s="171"/>
      <c r="BB473" s="56"/>
      <c r="BC473" s="10"/>
      <c r="BD473" s="56"/>
      <c r="BE473" s="56"/>
      <c r="BF473" s="56"/>
      <c r="BG473" s="56"/>
      <c r="BO473" s="144"/>
      <c r="CI473" s="144"/>
      <c r="CY473" s="144"/>
    </row>
    <row r="474" spans="1:103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171"/>
      <c r="AP474" s="56"/>
      <c r="AQ474" s="56"/>
      <c r="AR474" s="56"/>
      <c r="AS474" s="56"/>
      <c r="AT474" s="56"/>
      <c r="AU474" s="56"/>
      <c r="AV474" s="56"/>
      <c r="AW474" s="171"/>
      <c r="AX474" s="56"/>
      <c r="AY474" s="56"/>
      <c r="AZ474" s="56"/>
      <c r="BA474" s="171"/>
      <c r="BB474" s="56"/>
      <c r="BC474" s="10"/>
      <c r="BD474" s="56"/>
      <c r="BE474" s="56"/>
      <c r="BF474" s="56"/>
      <c r="BG474" s="56"/>
      <c r="BO474" s="144"/>
      <c r="CI474" s="144"/>
      <c r="CY474" s="144"/>
    </row>
    <row r="475" spans="1:103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171"/>
      <c r="AP475" s="56"/>
      <c r="AQ475" s="56"/>
      <c r="AR475" s="56"/>
      <c r="AS475" s="56"/>
      <c r="AT475" s="56"/>
      <c r="AU475" s="56"/>
      <c r="AV475" s="56"/>
      <c r="AW475" s="171"/>
      <c r="AX475" s="56"/>
      <c r="AY475" s="56"/>
      <c r="AZ475" s="56"/>
      <c r="BA475" s="171"/>
      <c r="BB475" s="56"/>
      <c r="BC475" s="10"/>
      <c r="BD475" s="56"/>
      <c r="BE475" s="56"/>
      <c r="BF475" s="56"/>
      <c r="BG475" s="56"/>
      <c r="BO475" s="144"/>
      <c r="CI475" s="144"/>
      <c r="CY475" s="144"/>
    </row>
    <row r="476" spans="1:103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171"/>
      <c r="AP476" s="56"/>
      <c r="AQ476" s="56"/>
      <c r="AR476" s="56"/>
      <c r="AS476" s="56"/>
      <c r="AT476" s="56"/>
      <c r="AU476" s="56"/>
      <c r="AV476" s="56"/>
      <c r="AW476" s="171"/>
      <c r="AX476" s="56"/>
      <c r="AY476" s="56"/>
      <c r="AZ476" s="56"/>
      <c r="BA476" s="171"/>
      <c r="BB476" s="56"/>
      <c r="BC476" s="10"/>
      <c r="BD476" s="56"/>
      <c r="BE476" s="56"/>
      <c r="BF476" s="56"/>
      <c r="BG476" s="56"/>
      <c r="BO476" s="144"/>
      <c r="CI476" s="144"/>
      <c r="CY476" s="144"/>
    </row>
    <row r="477" spans="1:103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171"/>
      <c r="AP477" s="56"/>
      <c r="AQ477" s="56"/>
      <c r="AR477" s="56"/>
      <c r="AS477" s="56"/>
      <c r="AT477" s="56"/>
      <c r="AU477" s="56"/>
      <c r="AV477" s="56"/>
      <c r="AW477" s="171"/>
      <c r="AX477" s="56"/>
      <c r="AY477" s="56"/>
      <c r="AZ477" s="56"/>
      <c r="BA477" s="171"/>
      <c r="BB477" s="56"/>
      <c r="BC477" s="10"/>
      <c r="BD477" s="56"/>
      <c r="BE477" s="56"/>
      <c r="BF477" s="56"/>
      <c r="BG477" s="56"/>
      <c r="BO477" s="144"/>
      <c r="CI477" s="144"/>
      <c r="CY477" s="144"/>
    </row>
    <row r="478" spans="1:103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171"/>
      <c r="AP478" s="56"/>
      <c r="AQ478" s="56"/>
      <c r="AR478" s="56"/>
      <c r="AS478" s="56"/>
      <c r="AT478" s="56"/>
      <c r="AU478" s="56"/>
      <c r="AV478" s="56"/>
      <c r="AW478" s="171"/>
      <c r="AX478" s="56"/>
      <c r="AY478" s="56"/>
      <c r="AZ478" s="56"/>
      <c r="BA478" s="171"/>
      <c r="BB478" s="56"/>
      <c r="BC478" s="10"/>
      <c r="BD478" s="56"/>
      <c r="BE478" s="56"/>
      <c r="BF478" s="56"/>
      <c r="BG478" s="56"/>
      <c r="BO478" s="144"/>
      <c r="CI478" s="144"/>
      <c r="CY478" s="144"/>
    </row>
    <row r="479" spans="1:103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171"/>
      <c r="AP479" s="56"/>
      <c r="AQ479" s="56"/>
      <c r="AR479" s="56"/>
      <c r="AS479" s="56"/>
      <c r="AT479" s="56"/>
      <c r="AU479" s="56"/>
      <c r="AV479" s="56"/>
      <c r="AW479" s="171"/>
      <c r="AX479" s="56"/>
      <c r="AY479" s="56"/>
      <c r="AZ479" s="56"/>
      <c r="BA479" s="171"/>
      <c r="BB479" s="56"/>
      <c r="BC479" s="10"/>
      <c r="BD479" s="56"/>
      <c r="BE479" s="56"/>
      <c r="BF479" s="56"/>
      <c r="BG479" s="56"/>
      <c r="BO479" s="144"/>
      <c r="CI479" s="144"/>
      <c r="CY479" s="144"/>
    </row>
    <row r="480" spans="1:103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171"/>
      <c r="AP480" s="56"/>
      <c r="AQ480" s="56"/>
      <c r="AR480" s="56"/>
      <c r="AS480" s="56"/>
      <c r="AT480" s="56"/>
      <c r="AU480" s="56"/>
      <c r="AV480" s="56"/>
      <c r="AW480" s="171"/>
      <c r="AX480" s="56"/>
      <c r="AY480" s="56"/>
      <c r="AZ480" s="56"/>
      <c r="BA480" s="171"/>
      <c r="BB480" s="56"/>
      <c r="BC480" s="10"/>
      <c r="BD480" s="56"/>
      <c r="BE480" s="56"/>
      <c r="BF480" s="56"/>
      <c r="BG480" s="56"/>
      <c r="BO480" s="144"/>
      <c r="CI480" s="144"/>
      <c r="CY480" s="144"/>
    </row>
    <row r="481" spans="1:103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171"/>
      <c r="AP481" s="56"/>
      <c r="AQ481" s="56"/>
      <c r="AR481" s="56"/>
      <c r="AS481" s="56"/>
      <c r="AT481" s="56"/>
      <c r="AU481" s="56"/>
      <c r="AV481" s="56"/>
      <c r="AW481" s="171"/>
      <c r="AX481" s="56"/>
      <c r="AY481" s="56"/>
      <c r="AZ481" s="56"/>
      <c r="BA481" s="171"/>
      <c r="BB481" s="56"/>
      <c r="BC481" s="10"/>
      <c r="BD481" s="56"/>
      <c r="BE481" s="56"/>
      <c r="BF481" s="56"/>
      <c r="BG481" s="56"/>
      <c r="BO481" s="144"/>
      <c r="CI481" s="144"/>
      <c r="CY481" s="144"/>
    </row>
    <row r="482" spans="1:103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171"/>
      <c r="AP482" s="56"/>
      <c r="AQ482" s="56"/>
      <c r="AR482" s="56"/>
      <c r="AS482" s="56"/>
      <c r="AT482" s="56"/>
      <c r="AU482" s="56"/>
      <c r="AV482" s="56"/>
      <c r="AW482" s="171"/>
      <c r="AX482" s="56"/>
      <c r="AY482" s="56"/>
      <c r="AZ482" s="56"/>
      <c r="BA482" s="171"/>
      <c r="BB482" s="56"/>
      <c r="BC482" s="10"/>
      <c r="BD482" s="56"/>
      <c r="BE482" s="56"/>
      <c r="BF482" s="56"/>
      <c r="BG482" s="56"/>
      <c r="BO482" s="144"/>
      <c r="CI482" s="144"/>
      <c r="CY482" s="144"/>
    </row>
    <row r="483" spans="1:103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171"/>
      <c r="AP483" s="56"/>
      <c r="AQ483" s="56"/>
      <c r="AR483" s="56"/>
      <c r="AS483" s="56"/>
      <c r="AT483" s="56"/>
      <c r="AU483" s="56"/>
      <c r="AV483" s="56"/>
      <c r="AW483" s="171"/>
      <c r="AX483" s="56"/>
      <c r="AY483" s="56"/>
      <c r="AZ483" s="56"/>
      <c r="BA483" s="171"/>
      <c r="BB483" s="56"/>
      <c r="BC483" s="10"/>
      <c r="BD483" s="56"/>
      <c r="BE483" s="56"/>
      <c r="BF483" s="56"/>
      <c r="BG483" s="56"/>
      <c r="BO483" s="144"/>
      <c r="CI483" s="144"/>
      <c r="CY483" s="144"/>
    </row>
    <row r="484" spans="1:103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171"/>
      <c r="AP484" s="56"/>
      <c r="AQ484" s="56"/>
      <c r="AR484" s="56"/>
      <c r="AS484" s="56"/>
      <c r="AT484" s="56"/>
      <c r="AU484" s="56"/>
      <c r="AV484" s="56"/>
      <c r="AW484" s="171"/>
      <c r="AX484" s="56"/>
      <c r="AY484" s="56"/>
      <c r="AZ484" s="56"/>
      <c r="BA484" s="171"/>
      <c r="BB484" s="56"/>
      <c r="BC484" s="10"/>
      <c r="BD484" s="56"/>
      <c r="BE484" s="56"/>
      <c r="BF484" s="56"/>
      <c r="BG484" s="56"/>
      <c r="BO484" s="144"/>
      <c r="CI484" s="144"/>
      <c r="CY484" s="144"/>
    </row>
    <row r="485" spans="1:103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171"/>
      <c r="AP485" s="56"/>
      <c r="AQ485" s="56"/>
      <c r="AR485" s="56"/>
      <c r="AS485" s="56"/>
      <c r="AT485" s="56"/>
      <c r="AU485" s="56"/>
      <c r="AV485" s="56"/>
      <c r="AW485" s="171"/>
      <c r="AX485" s="56"/>
      <c r="AY485" s="56"/>
      <c r="AZ485" s="56"/>
      <c r="BA485" s="171"/>
      <c r="BB485" s="56"/>
      <c r="BC485" s="10"/>
      <c r="BD485" s="56"/>
      <c r="BE485" s="56"/>
      <c r="BF485" s="56"/>
      <c r="BG485" s="56"/>
      <c r="BO485" s="144"/>
      <c r="CI485" s="144"/>
      <c r="CY485" s="144"/>
    </row>
    <row r="486" spans="1:103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171"/>
      <c r="AP486" s="56"/>
      <c r="AQ486" s="56"/>
      <c r="AR486" s="56"/>
      <c r="AS486" s="56"/>
      <c r="AT486" s="56"/>
      <c r="AU486" s="56"/>
      <c r="AV486" s="56"/>
      <c r="AW486" s="171"/>
      <c r="AX486" s="56"/>
      <c r="AY486" s="56"/>
      <c r="AZ486" s="56"/>
      <c r="BA486" s="171"/>
      <c r="BB486" s="56"/>
      <c r="BC486" s="10"/>
      <c r="BD486" s="56"/>
      <c r="BE486" s="56"/>
      <c r="BF486" s="56"/>
      <c r="BG486" s="56"/>
      <c r="BO486" s="144"/>
      <c r="CI486" s="144"/>
      <c r="CY486" s="144"/>
    </row>
    <row r="487" spans="1:103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171"/>
      <c r="AP487" s="56"/>
      <c r="AQ487" s="56"/>
      <c r="AR487" s="56"/>
      <c r="AS487" s="56"/>
      <c r="AT487" s="56"/>
      <c r="AU487" s="56"/>
      <c r="AV487" s="56"/>
      <c r="AW487" s="171"/>
      <c r="AX487" s="56"/>
      <c r="AY487" s="56"/>
      <c r="AZ487" s="56"/>
      <c r="BA487" s="171"/>
      <c r="BB487" s="56"/>
      <c r="BC487" s="10"/>
      <c r="BD487" s="56"/>
      <c r="BE487" s="56"/>
      <c r="BF487" s="56"/>
      <c r="BG487" s="56"/>
      <c r="BO487" s="144"/>
      <c r="CI487" s="144"/>
      <c r="CY487" s="144"/>
    </row>
    <row r="488" spans="1:103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171"/>
      <c r="AP488" s="56"/>
      <c r="AQ488" s="56"/>
      <c r="AR488" s="56"/>
      <c r="AS488" s="56"/>
      <c r="AT488" s="56"/>
      <c r="AU488" s="56"/>
      <c r="AV488" s="56"/>
      <c r="AW488" s="171"/>
      <c r="AX488" s="56"/>
      <c r="AY488" s="56"/>
      <c r="AZ488" s="56"/>
      <c r="BA488" s="171"/>
      <c r="BB488" s="56"/>
      <c r="BC488" s="10"/>
      <c r="BD488" s="56"/>
      <c r="BE488" s="56"/>
      <c r="BF488" s="56"/>
      <c r="BG488" s="56"/>
      <c r="BO488" s="144"/>
      <c r="CI488" s="144"/>
      <c r="CY488" s="144"/>
    </row>
    <row r="489" spans="1:103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171"/>
      <c r="AP489" s="56"/>
      <c r="AQ489" s="56"/>
      <c r="AR489" s="56"/>
      <c r="AS489" s="56"/>
      <c r="AT489" s="56"/>
      <c r="AU489" s="56"/>
      <c r="AV489" s="56"/>
      <c r="AW489" s="171"/>
      <c r="AX489" s="56"/>
      <c r="AY489" s="56"/>
      <c r="AZ489" s="56"/>
      <c r="BA489" s="171"/>
      <c r="BB489" s="56"/>
      <c r="BC489" s="10"/>
      <c r="BD489" s="56"/>
      <c r="BE489" s="56"/>
      <c r="BF489" s="56"/>
      <c r="BG489" s="56"/>
      <c r="BO489" s="144"/>
      <c r="CI489" s="144"/>
      <c r="CY489" s="144"/>
    </row>
    <row r="490" spans="1:103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171"/>
      <c r="AP490" s="56"/>
      <c r="AQ490" s="56"/>
      <c r="AR490" s="56"/>
      <c r="AS490" s="56"/>
      <c r="AT490" s="56"/>
      <c r="AU490" s="56"/>
      <c r="AV490" s="56"/>
      <c r="AW490" s="171"/>
      <c r="AX490" s="56"/>
      <c r="AY490" s="56"/>
      <c r="AZ490" s="56"/>
      <c r="BA490" s="171"/>
      <c r="BB490" s="56"/>
      <c r="BC490" s="10"/>
      <c r="BD490" s="56"/>
      <c r="BE490" s="56"/>
      <c r="BF490" s="56"/>
      <c r="BG490" s="56"/>
      <c r="BO490" s="144"/>
      <c r="CI490" s="144"/>
      <c r="CY490" s="144"/>
    </row>
    <row r="491" spans="1:103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171"/>
      <c r="AP491" s="56"/>
      <c r="AQ491" s="56"/>
      <c r="AR491" s="56"/>
      <c r="AS491" s="56"/>
      <c r="AT491" s="56"/>
      <c r="AU491" s="56"/>
      <c r="AV491" s="56"/>
      <c r="AW491" s="171"/>
      <c r="AX491" s="56"/>
      <c r="AY491" s="56"/>
      <c r="AZ491" s="56"/>
      <c r="BA491" s="171"/>
      <c r="BB491" s="56"/>
      <c r="BC491" s="10"/>
      <c r="BD491" s="56"/>
      <c r="BE491" s="56"/>
      <c r="BF491" s="56"/>
      <c r="BG491" s="56"/>
      <c r="BO491" s="144"/>
      <c r="CI491" s="144"/>
      <c r="CY491" s="144"/>
    </row>
    <row r="492" spans="1:103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171"/>
      <c r="AP492" s="56"/>
      <c r="AQ492" s="56"/>
      <c r="AR492" s="56"/>
      <c r="AS492" s="56"/>
      <c r="AT492" s="56"/>
      <c r="AU492" s="56"/>
      <c r="AV492" s="56"/>
      <c r="AW492" s="171"/>
      <c r="AX492" s="56"/>
      <c r="AY492" s="56"/>
      <c r="AZ492" s="56"/>
      <c r="BA492" s="171"/>
      <c r="BB492" s="56"/>
      <c r="BC492" s="10"/>
      <c r="BD492" s="56"/>
      <c r="BE492" s="56"/>
      <c r="BF492" s="56"/>
      <c r="BG492" s="56"/>
      <c r="BO492" s="144"/>
      <c r="CI492" s="144"/>
      <c r="CY492" s="144"/>
    </row>
    <row r="493" spans="1:103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171"/>
      <c r="AP493" s="56"/>
      <c r="AQ493" s="56"/>
      <c r="AR493" s="56"/>
      <c r="AS493" s="56"/>
      <c r="AT493" s="56"/>
      <c r="AU493" s="56"/>
      <c r="AV493" s="56"/>
      <c r="AW493" s="171"/>
      <c r="AX493" s="56"/>
      <c r="AY493" s="56"/>
      <c r="AZ493" s="56"/>
      <c r="BA493" s="171"/>
      <c r="BB493" s="56"/>
      <c r="BC493" s="10"/>
      <c r="BD493" s="56"/>
      <c r="BE493" s="56"/>
      <c r="BF493" s="56"/>
      <c r="BG493" s="56"/>
      <c r="BO493" s="144"/>
      <c r="CI493" s="144"/>
      <c r="CY493" s="144"/>
    </row>
    <row r="494" spans="1:103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171"/>
      <c r="AP494" s="56"/>
      <c r="AQ494" s="56"/>
      <c r="AR494" s="56"/>
      <c r="AS494" s="56"/>
      <c r="AT494" s="56"/>
      <c r="AU494" s="56"/>
      <c r="AV494" s="56"/>
      <c r="AW494" s="171"/>
      <c r="AX494" s="56"/>
      <c r="AY494" s="56"/>
      <c r="AZ494" s="56"/>
      <c r="BA494" s="171"/>
      <c r="BB494" s="56"/>
      <c r="BC494" s="10"/>
      <c r="BD494" s="56"/>
      <c r="BE494" s="56"/>
      <c r="BF494" s="56"/>
      <c r="BG494" s="56"/>
      <c r="BO494" s="144"/>
      <c r="CI494" s="144"/>
      <c r="CY494" s="144"/>
    </row>
    <row r="495" spans="1:103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171"/>
      <c r="AP495" s="56"/>
      <c r="AQ495" s="56"/>
      <c r="AR495" s="56"/>
      <c r="AS495" s="56"/>
      <c r="AT495" s="56"/>
      <c r="AU495" s="56"/>
      <c r="AV495" s="56"/>
      <c r="AW495" s="171"/>
      <c r="AX495" s="56"/>
      <c r="AY495" s="56"/>
      <c r="AZ495" s="56"/>
      <c r="BA495" s="171"/>
      <c r="BB495" s="56"/>
      <c r="BC495" s="10"/>
      <c r="BD495" s="56"/>
      <c r="BE495" s="56"/>
      <c r="BF495" s="56"/>
      <c r="BG495" s="56"/>
      <c r="BO495" s="144"/>
      <c r="CI495" s="144"/>
      <c r="CY495" s="144"/>
    </row>
    <row r="496" spans="1:103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171"/>
      <c r="AP496" s="56"/>
      <c r="AQ496" s="56"/>
      <c r="AR496" s="56"/>
      <c r="AS496" s="56"/>
      <c r="AT496" s="56"/>
      <c r="AU496" s="56"/>
      <c r="AV496" s="56"/>
      <c r="AW496" s="171"/>
      <c r="AX496" s="56"/>
      <c r="AY496" s="56"/>
      <c r="AZ496" s="56"/>
      <c r="BA496" s="171"/>
      <c r="BB496" s="56"/>
      <c r="BC496" s="10"/>
      <c r="BD496" s="56"/>
      <c r="BE496" s="56"/>
      <c r="BF496" s="56"/>
      <c r="BG496" s="56"/>
      <c r="BO496" s="144"/>
      <c r="CI496" s="144"/>
      <c r="CY496" s="144"/>
    </row>
    <row r="497" spans="1:103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171"/>
      <c r="AP497" s="56"/>
      <c r="AQ497" s="56"/>
      <c r="AR497" s="56"/>
      <c r="AS497" s="56"/>
      <c r="AT497" s="56"/>
      <c r="AU497" s="56"/>
      <c r="AV497" s="56"/>
      <c r="AW497" s="171"/>
      <c r="AX497" s="56"/>
      <c r="AY497" s="56"/>
      <c r="AZ497" s="56"/>
      <c r="BA497" s="171"/>
      <c r="BB497" s="56"/>
      <c r="BC497" s="10"/>
      <c r="BD497" s="56"/>
      <c r="BE497" s="56"/>
      <c r="BF497" s="56"/>
      <c r="BG497" s="56"/>
      <c r="BO497" s="144"/>
      <c r="CI497" s="144"/>
      <c r="CY497" s="144"/>
    </row>
    <row r="498" spans="1:103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171"/>
      <c r="AP498" s="56"/>
      <c r="AQ498" s="56"/>
      <c r="AR498" s="56"/>
      <c r="AS498" s="56"/>
      <c r="AT498" s="56"/>
      <c r="AU498" s="56"/>
      <c r="AV498" s="56"/>
      <c r="AW498" s="171"/>
      <c r="AX498" s="56"/>
      <c r="AY498" s="56"/>
      <c r="AZ498" s="56"/>
      <c r="BA498" s="171"/>
      <c r="BB498" s="56"/>
      <c r="BC498" s="10"/>
      <c r="BD498" s="56"/>
      <c r="BE498" s="56"/>
      <c r="BF498" s="56"/>
      <c r="BG498" s="56"/>
      <c r="BO498" s="144"/>
      <c r="CI498" s="144"/>
      <c r="CY498" s="144"/>
    </row>
    <row r="499" spans="1:103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171"/>
      <c r="AP499" s="56"/>
      <c r="AQ499" s="56"/>
      <c r="AR499" s="56"/>
      <c r="AS499" s="56"/>
      <c r="AT499" s="56"/>
      <c r="AU499" s="56"/>
      <c r="AV499" s="56"/>
      <c r="AW499" s="171"/>
      <c r="AX499" s="56"/>
      <c r="AY499" s="56"/>
      <c r="AZ499" s="56"/>
      <c r="BA499" s="171"/>
      <c r="BB499" s="56"/>
      <c r="BC499" s="10"/>
      <c r="BD499" s="56"/>
      <c r="BE499" s="56"/>
      <c r="BF499" s="56"/>
      <c r="BG499" s="56"/>
      <c r="BO499" s="144"/>
      <c r="CI499" s="144"/>
      <c r="CY499" s="144"/>
    </row>
    <row r="500" spans="1:103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171"/>
      <c r="AP500" s="56"/>
      <c r="AQ500" s="56"/>
      <c r="AR500" s="56"/>
      <c r="AS500" s="56"/>
      <c r="AT500" s="56"/>
      <c r="AU500" s="56"/>
      <c r="AV500" s="56"/>
      <c r="AW500" s="171"/>
      <c r="AX500" s="56"/>
      <c r="AY500" s="56"/>
      <c r="AZ500" s="56"/>
      <c r="BA500" s="171"/>
      <c r="BB500" s="56"/>
      <c r="BC500" s="10"/>
      <c r="BD500" s="56"/>
      <c r="BE500" s="56"/>
      <c r="BF500" s="56"/>
      <c r="BG500" s="56"/>
      <c r="BO500" s="144"/>
      <c r="CI500" s="144"/>
      <c r="CY500" s="144"/>
    </row>
    <row r="501" spans="1:103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171"/>
      <c r="AP501" s="56"/>
      <c r="AQ501" s="56"/>
      <c r="AR501" s="56"/>
      <c r="AS501" s="56"/>
      <c r="AT501" s="56"/>
      <c r="AU501" s="56"/>
      <c r="AV501" s="56"/>
      <c r="AW501" s="171"/>
      <c r="AX501" s="56"/>
      <c r="AY501" s="56"/>
      <c r="AZ501" s="56"/>
      <c r="BA501" s="171"/>
      <c r="BB501" s="56"/>
      <c r="BC501" s="10"/>
      <c r="BD501" s="56"/>
      <c r="BE501" s="56"/>
      <c r="BF501" s="56"/>
      <c r="BG501" s="56"/>
      <c r="BO501" s="144"/>
      <c r="CI501" s="144"/>
      <c r="CY501" s="144"/>
    </row>
    <row r="502" spans="1:103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171"/>
      <c r="AP502" s="56"/>
      <c r="AQ502" s="56"/>
      <c r="AR502" s="56"/>
      <c r="AS502" s="56"/>
      <c r="AT502" s="56"/>
      <c r="AU502" s="56"/>
      <c r="AV502" s="56"/>
      <c r="AW502" s="171"/>
      <c r="AX502" s="56"/>
      <c r="AY502" s="56"/>
      <c r="AZ502" s="56"/>
      <c r="BA502" s="171"/>
      <c r="BB502" s="56"/>
      <c r="BC502" s="10"/>
      <c r="BD502" s="56"/>
      <c r="BE502" s="56"/>
      <c r="BF502" s="56"/>
      <c r="BG502" s="56"/>
      <c r="BO502" s="144"/>
      <c r="CI502" s="144"/>
      <c r="CY502" s="144"/>
    </row>
    <row r="503" spans="1:103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171"/>
      <c r="AP503" s="56"/>
      <c r="AQ503" s="56"/>
      <c r="AR503" s="56"/>
      <c r="AS503" s="56"/>
      <c r="AT503" s="56"/>
      <c r="AU503" s="56"/>
      <c r="AV503" s="56"/>
      <c r="AW503" s="171"/>
      <c r="AX503" s="56"/>
      <c r="AY503" s="56"/>
      <c r="AZ503" s="56"/>
      <c r="BA503" s="171"/>
      <c r="BB503" s="56"/>
      <c r="BC503" s="10"/>
      <c r="BD503" s="56"/>
      <c r="BE503" s="56"/>
      <c r="BF503" s="56"/>
      <c r="BG503" s="56"/>
      <c r="BO503" s="144"/>
      <c r="CI503" s="144"/>
      <c r="CY503" s="144"/>
    </row>
    <row r="504" spans="1:103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171"/>
      <c r="AP504" s="56"/>
      <c r="AQ504" s="56"/>
      <c r="AR504" s="56"/>
      <c r="AS504" s="56"/>
      <c r="AT504" s="56"/>
      <c r="AU504" s="56"/>
      <c r="AV504" s="56"/>
      <c r="AW504" s="171"/>
      <c r="AX504" s="56"/>
      <c r="AY504" s="56"/>
      <c r="AZ504" s="56"/>
      <c r="BA504" s="171"/>
      <c r="BB504" s="56"/>
      <c r="BC504" s="10"/>
      <c r="BD504" s="56"/>
      <c r="BE504" s="56"/>
      <c r="BF504" s="56"/>
      <c r="BG504" s="56"/>
      <c r="BO504" s="144"/>
      <c r="CI504" s="144"/>
      <c r="CY504" s="144"/>
    </row>
    <row r="505" spans="1:103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171"/>
      <c r="AP505" s="56"/>
      <c r="AQ505" s="56"/>
      <c r="AR505" s="56"/>
      <c r="AS505" s="56"/>
      <c r="AT505" s="56"/>
      <c r="AU505" s="56"/>
      <c r="AV505" s="56"/>
      <c r="AW505" s="171"/>
      <c r="AX505" s="56"/>
      <c r="AY505" s="56"/>
      <c r="AZ505" s="56"/>
      <c r="BA505" s="171"/>
      <c r="BB505" s="56"/>
      <c r="BC505" s="10"/>
      <c r="BD505" s="56"/>
      <c r="BE505" s="56"/>
      <c r="BF505" s="56"/>
      <c r="BG505" s="56"/>
      <c r="BO505" s="144"/>
      <c r="CI505" s="144"/>
      <c r="CY505" s="144"/>
    </row>
    <row r="506" spans="1:103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171"/>
      <c r="AP506" s="56"/>
      <c r="AQ506" s="56"/>
      <c r="AR506" s="56"/>
      <c r="AS506" s="56"/>
      <c r="AT506" s="56"/>
      <c r="AU506" s="56"/>
      <c r="AV506" s="56"/>
      <c r="AW506" s="171"/>
      <c r="AX506" s="56"/>
      <c r="AY506" s="56"/>
      <c r="AZ506" s="56"/>
      <c r="BA506" s="171"/>
      <c r="BB506" s="56"/>
      <c r="BC506" s="10"/>
      <c r="BD506" s="56"/>
      <c r="BE506" s="56"/>
      <c r="BF506" s="56"/>
      <c r="BG506" s="56"/>
      <c r="BO506" s="144"/>
      <c r="CI506" s="144"/>
      <c r="CY506" s="144"/>
    </row>
    <row r="507" spans="1:103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171"/>
      <c r="AP507" s="56"/>
      <c r="AQ507" s="56"/>
      <c r="AR507" s="56"/>
      <c r="AS507" s="56"/>
      <c r="AT507" s="56"/>
      <c r="AU507" s="56"/>
      <c r="AV507" s="56"/>
      <c r="AW507" s="171"/>
      <c r="AX507" s="56"/>
      <c r="AY507" s="56"/>
      <c r="AZ507" s="56"/>
      <c r="BA507" s="171"/>
      <c r="BB507" s="56"/>
      <c r="BC507" s="10"/>
      <c r="BD507" s="56"/>
      <c r="BE507" s="56"/>
      <c r="BF507" s="56"/>
      <c r="BG507" s="56"/>
      <c r="BO507" s="144"/>
      <c r="CI507" s="144"/>
      <c r="CY507" s="144"/>
    </row>
    <row r="508" spans="1:103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171"/>
      <c r="AP508" s="56"/>
      <c r="AQ508" s="56"/>
      <c r="AR508" s="56"/>
      <c r="AS508" s="56"/>
      <c r="AT508" s="56"/>
      <c r="AU508" s="56"/>
      <c r="AV508" s="56"/>
      <c r="AW508" s="171"/>
      <c r="AX508" s="56"/>
      <c r="AY508" s="56"/>
      <c r="AZ508" s="56"/>
      <c r="BA508" s="171"/>
      <c r="BB508" s="56"/>
      <c r="BC508" s="10"/>
      <c r="BD508" s="56"/>
      <c r="BE508" s="56"/>
      <c r="BF508" s="56"/>
      <c r="BG508" s="56"/>
      <c r="BO508" s="144"/>
      <c r="CI508" s="144"/>
      <c r="CY508" s="144"/>
    </row>
    <row r="509" spans="1:103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171"/>
      <c r="AP509" s="56"/>
      <c r="AQ509" s="56"/>
      <c r="AR509" s="56"/>
      <c r="AS509" s="56"/>
      <c r="AT509" s="56"/>
      <c r="AU509" s="56"/>
      <c r="AV509" s="56"/>
      <c r="AW509" s="171"/>
      <c r="AX509" s="56"/>
      <c r="AY509" s="56"/>
      <c r="AZ509" s="56"/>
      <c r="BA509" s="171"/>
      <c r="BB509" s="56"/>
      <c r="BC509" s="10"/>
      <c r="BD509" s="56"/>
      <c r="BE509" s="56"/>
      <c r="BF509" s="56"/>
      <c r="BG509" s="56"/>
      <c r="BO509" s="144"/>
      <c r="CI509" s="144"/>
      <c r="CY509" s="144"/>
    </row>
    <row r="510" spans="1:103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171"/>
      <c r="AP510" s="56"/>
      <c r="AQ510" s="56"/>
      <c r="AR510" s="56"/>
      <c r="AS510" s="56"/>
      <c r="AT510" s="56"/>
      <c r="AU510" s="56"/>
      <c r="AV510" s="56"/>
      <c r="AW510" s="171"/>
      <c r="AX510" s="56"/>
      <c r="AY510" s="56"/>
      <c r="AZ510" s="56"/>
      <c r="BA510" s="171"/>
      <c r="BB510" s="56"/>
      <c r="BC510" s="10"/>
      <c r="BD510" s="56"/>
      <c r="BE510" s="56"/>
      <c r="BF510" s="56"/>
      <c r="BG510" s="56"/>
      <c r="BO510" s="144"/>
      <c r="CI510" s="144"/>
      <c r="CY510" s="144"/>
    </row>
    <row r="511" spans="1:103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171"/>
      <c r="AP511" s="56"/>
      <c r="AQ511" s="56"/>
      <c r="AR511" s="56"/>
      <c r="AS511" s="56"/>
      <c r="AT511" s="56"/>
      <c r="AU511" s="56"/>
      <c r="AV511" s="56"/>
      <c r="AW511" s="171"/>
      <c r="AX511" s="56"/>
      <c r="AY511" s="56"/>
      <c r="AZ511" s="56"/>
      <c r="BA511" s="171"/>
      <c r="BB511" s="56"/>
      <c r="BC511" s="10"/>
      <c r="BD511" s="56"/>
      <c r="BE511" s="56"/>
      <c r="BF511" s="56"/>
      <c r="BG511" s="56"/>
      <c r="BO511" s="144"/>
      <c r="CI511" s="144"/>
      <c r="CY511" s="144"/>
    </row>
    <row r="512" spans="1:103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171"/>
      <c r="AP512" s="56"/>
      <c r="AQ512" s="56"/>
      <c r="AR512" s="56"/>
      <c r="AS512" s="56"/>
      <c r="AT512" s="56"/>
      <c r="AU512" s="56"/>
      <c r="AV512" s="56"/>
      <c r="AW512" s="171"/>
      <c r="AX512" s="56"/>
      <c r="AY512" s="56"/>
      <c r="AZ512" s="56"/>
      <c r="BA512" s="171"/>
      <c r="BB512" s="56"/>
      <c r="BC512" s="10"/>
      <c r="BD512" s="56"/>
      <c r="BE512" s="56"/>
      <c r="BF512" s="56"/>
      <c r="BG512" s="56"/>
      <c r="BO512" s="144"/>
      <c r="CI512" s="144"/>
      <c r="CY512" s="144"/>
    </row>
    <row r="513" spans="1:103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171"/>
      <c r="AP513" s="56"/>
      <c r="AQ513" s="56"/>
      <c r="AR513" s="56"/>
      <c r="AS513" s="56"/>
      <c r="AT513" s="56"/>
      <c r="AU513" s="56"/>
      <c r="AV513" s="56"/>
      <c r="AW513" s="171"/>
      <c r="AX513" s="56"/>
      <c r="AY513" s="56"/>
      <c r="AZ513" s="56"/>
      <c r="BA513" s="171"/>
      <c r="BB513" s="56"/>
      <c r="BC513" s="10"/>
      <c r="BD513" s="56"/>
      <c r="BE513" s="56"/>
      <c r="BF513" s="56"/>
      <c r="BG513" s="56"/>
      <c r="BO513" s="144"/>
      <c r="CI513" s="144"/>
      <c r="CY513" s="144"/>
    </row>
    <row r="514" spans="1:103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171"/>
      <c r="AP514" s="56"/>
      <c r="AQ514" s="56"/>
      <c r="AR514" s="56"/>
      <c r="AS514" s="56"/>
      <c r="AT514" s="56"/>
      <c r="AU514" s="56"/>
      <c r="AV514" s="56"/>
      <c r="AW514" s="171"/>
      <c r="AX514" s="56"/>
      <c r="AY514" s="56"/>
      <c r="AZ514" s="56"/>
      <c r="BA514" s="171"/>
      <c r="BB514" s="56"/>
      <c r="BC514" s="10"/>
      <c r="BD514" s="56"/>
      <c r="BE514" s="56"/>
      <c r="BF514" s="56"/>
      <c r="BG514" s="56"/>
      <c r="BO514" s="144"/>
      <c r="CI514" s="144"/>
      <c r="CY514" s="144"/>
    </row>
    <row r="515" spans="1:103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171"/>
      <c r="AP515" s="56"/>
      <c r="AQ515" s="56"/>
      <c r="AR515" s="56"/>
      <c r="AS515" s="56"/>
      <c r="AT515" s="56"/>
      <c r="AU515" s="56"/>
      <c r="AV515" s="56"/>
      <c r="AW515" s="171"/>
      <c r="AX515" s="56"/>
      <c r="AY515" s="56"/>
      <c r="AZ515" s="56"/>
      <c r="BA515" s="171"/>
      <c r="BB515" s="56"/>
      <c r="BC515" s="10"/>
      <c r="BD515" s="56"/>
      <c r="BE515" s="56"/>
      <c r="BF515" s="56"/>
      <c r="BG515" s="56"/>
      <c r="BO515" s="144"/>
      <c r="CI515" s="144"/>
      <c r="CY515" s="144"/>
    </row>
    <row r="516" spans="1:103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171"/>
      <c r="AP516" s="56"/>
      <c r="AQ516" s="56"/>
      <c r="AR516" s="56"/>
      <c r="AS516" s="56"/>
      <c r="AT516" s="56"/>
      <c r="AU516" s="56"/>
      <c r="AV516" s="56"/>
      <c r="AW516" s="171"/>
      <c r="AX516" s="56"/>
      <c r="AY516" s="56"/>
      <c r="AZ516" s="56"/>
      <c r="BA516" s="171"/>
      <c r="BB516" s="56"/>
      <c r="BC516" s="10"/>
      <c r="BD516" s="56"/>
      <c r="BE516" s="56"/>
      <c r="BF516" s="56"/>
      <c r="BG516" s="56"/>
      <c r="BO516" s="144"/>
      <c r="CI516" s="144"/>
      <c r="CY516" s="144"/>
    </row>
    <row r="517" spans="1:103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171"/>
      <c r="AP517" s="56"/>
      <c r="AQ517" s="56"/>
      <c r="AR517" s="56"/>
      <c r="AS517" s="56"/>
      <c r="AT517" s="56"/>
      <c r="AU517" s="56"/>
      <c r="AV517" s="56"/>
      <c r="AW517" s="171"/>
      <c r="AX517" s="56"/>
      <c r="AY517" s="56"/>
      <c r="AZ517" s="56"/>
      <c r="BA517" s="171"/>
      <c r="BB517" s="56"/>
      <c r="BC517" s="10"/>
      <c r="BD517" s="56"/>
      <c r="BE517" s="56"/>
      <c r="BF517" s="56"/>
      <c r="BG517" s="56"/>
      <c r="BO517" s="144"/>
      <c r="CI517" s="144"/>
      <c r="CY517" s="144"/>
    </row>
    <row r="518" spans="1:103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171"/>
      <c r="AP518" s="56"/>
      <c r="AQ518" s="56"/>
      <c r="AR518" s="56"/>
      <c r="AS518" s="56"/>
      <c r="AT518" s="56"/>
      <c r="AU518" s="56"/>
      <c r="AV518" s="56"/>
      <c r="AW518" s="171"/>
      <c r="AX518" s="56"/>
      <c r="AY518" s="56"/>
      <c r="AZ518" s="56"/>
      <c r="BA518" s="171"/>
      <c r="BB518" s="56"/>
      <c r="BC518" s="10"/>
      <c r="BD518" s="56"/>
      <c r="BE518" s="56"/>
      <c r="BF518" s="56"/>
      <c r="BG518" s="56"/>
      <c r="BO518" s="144"/>
      <c r="CI518" s="144"/>
      <c r="CY518" s="144"/>
    </row>
    <row r="519" spans="1:103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171"/>
      <c r="AP519" s="56"/>
      <c r="AQ519" s="56"/>
      <c r="AR519" s="56"/>
      <c r="AS519" s="56"/>
      <c r="AT519" s="56"/>
      <c r="AU519" s="56"/>
      <c r="AV519" s="56"/>
      <c r="AW519" s="171"/>
      <c r="AX519" s="56"/>
      <c r="AY519" s="56"/>
      <c r="AZ519" s="56"/>
      <c r="BA519" s="171"/>
      <c r="BB519" s="56"/>
      <c r="BC519" s="10"/>
      <c r="BD519" s="56"/>
      <c r="BE519" s="56"/>
      <c r="BF519" s="56"/>
      <c r="BG519" s="56"/>
      <c r="BO519" s="144"/>
      <c r="CI519" s="144"/>
      <c r="CY519" s="144"/>
    </row>
    <row r="520" spans="1:103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171"/>
      <c r="AP520" s="56"/>
      <c r="AQ520" s="56"/>
      <c r="AR520" s="56"/>
      <c r="AS520" s="56"/>
      <c r="AT520" s="56"/>
      <c r="AU520" s="56"/>
      <c r="AV520" s="56"/>
      <c r="AW520" s="171"/>
      <c r="AX520" s="56"/>
      <c r="AY520" s="56"/>
      <c r="AZ520" s="56"/>
      <c r="BA520" s="171"/>
      <c r="BB520" s="56"/>
      <c r="BC520" s="10"/>
      <c r="BD520" s="56"/>
      <c r="BE520" s="56"/>
      <c r="BF520" s="56"/>
      <c r="BG520" s="56"/>
      <c r="BO520" s="144"/>
      <c r="CI520" s="144"/>
      <c r="CY520" s="144"/>
    </row>
    <row r="521" spans="1:103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171"/>
      <c r="AP521" s="56"/>
      <c r="AQ521" s="56"/>
      <c r="AR521" s="56"/>
      <c r="AS521" s="56"/>
      <c r="AT521" s="56"/>
      <c r="AU521" s="56"/>
      <c r="AV521" s="56"/>
      <c r="AW521" s="171"/>
      <c r="AX521" s="56"/>
      <c r="AY521" s="56"/>
      <c r="AZ521" s="56"/>
      <c r="BA521" s="171"/>
      <c r="BB521" s="56"/>
      <c r="BC521" s="10"/>
      <c r="BD521" s="56"/>
      <c r="BE521" s="56"/>
      <c r="BF521" s="56"/>
      <c r="BG521" s="56"/>
      <c r="BO521" s="144"/>
      <c r="CI521" s="144"/>
      <c r="CY521" s="144"/>
    </row>
    <row r="522" spans="1:103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171"/>
      <c r="AP522" s="56"/>
      <c r="AQ522" s="56"/>
      <c r="AR522" s="56"/>
      <c r="AS522" s="56"/>
      <c r="AT522" s="56"/>
      <c r="AU522" s="56"/>
      <c r="AV522" s="56"/>
      <c r="AW522" s="171"/>
      <c r="AX522" s="56"/>
      <c r="AY522" s="56"/>
      <c r="AZ522" s="56"/>
      <c r="BA522" s="171"/>
      <c r="BB522" s="56"/>
      <c r="BC522" s="10"/>
      <c r="BD522" s="56"/>
      <c r="BE522" s="56"/>
      <c r="BF522" s="56"/>
      <c r="BG522" s="56"/>
      <c r="BO522" s="144"/>
      <c r="CI522" s="144"/>
      <c r="CY522" s="144"/>
    </row>
    <row r="523" spans="1:103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171"/>
      <c r="AP523" s="56"/>
      <c r="AQ523" s="56"/>
      <c r="AR523" s="56"/>
      <c r="AS523" s="56"/>
      <c r="AT523" s="56"/>
      <c r="AU523" s="56"/>
      <c r="AV523" s="56"/>
      <c r="AW523" s="171"/>
      <c r="AX523" s="56"/>
      <c r="AY523" s="56"/>
      <c r="AZ523" s="56"/>
      <c r="BA523" s="171"/>
      <c r="BB523" s="56"/>
      <c r="BC523" s="10"/>
      <c r="BD523" s="56"/>
      <c r="BE523" s="56"/>
      <c r="BF523" s="56"/>
      <c r="BG523" s="56"/>
      <c r="BO523" s="144"/>
      <c r="CI523" s="144"/>
      <c r="CY523" s="144"/>
    </row>
    <row r="524" spans="1:103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171"/>
      <c r="AP524" s="56"/>
      <c r="AQ524" s="56"/>
      <c r="AR524" s="56"/>
      <c r="AS524" s="56"/>
      <c r="AT524" s="56"/>
      <c r="AU524" s="56"/>
      <c r="AV524" s="56"/>
      <c r="AW524" s="171"/>
      <c r="AX524" s="56"/>
      <c r="AY524" s="56"/>
      <c r="AZ524" s="56"/>
      <c r="BA524" s="171"/>
      <c r="BB524" s="56"/>
      <c r="BC524" s="10"/>
      <c r="BD524" s="56"/>
      <c r="BE524" s="56"/>
      <c r="BF524" s="56"/>
      <c r="BG524" s="56"/>
      <c r="BO524" s="144"/>
      <c r="CI524" s="144"/>
      <c r="CY524" s="144"/>
    </row>
    <row r="525" spans="1:103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171"/>
      <c r="AP525" s="56"/>
      <c r="AQ525" s="56"/>
      <c r="AR525" s="56"/>
      <c r="AS525" s="56"/>
      <c r="AT525" s="56"/>
      <c r="AU525" s="56"/>
      <c r="AV525" s="56"/>
      <c r="AW525" s="171"/>
      <c r="AX525" s="56"/>
      <c r="AY525" s="56"/>
      <c r="AZ525" s="56"/>
      <c r="BA525" s="171"/>
      <c r="BB525" s="56"/>
      <c r="BC525" s="10"/>
      <c r="BD525" s="56"/>
      <c r="BE525" s="56"/>
      <c r="BF525" s="56"/>
      <c r="BG525" s="56"/>
      <c r="BO525" s="144"/>
      <c r="CI525" s="144"/>
      <c r="CY525" s="144"/>
    </row>
    <row r="526" spans="1:103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171"/>
      <c r="AP526" s="56"/>
      <c r="AQ526" s="56"/>
      <c r="AR526" s="56"/>
      <c r="AS526" s="56"/>
      <c r="AT526" s="56"/>
      <c r="AU526" s="56"/>
      <c r="AV526" s="56"/>
      <c r="AW526" s="171"/>
      <c r="AX526" s="56"/>
      <c r="AY526" s="56"/>
      <c r="AZ526" s="56"/>
      <c r="BA526" s="171"/>
      <c r="BB526" s="56"/>
      <c r="BC526" s="10"/>
      <c r="BD526" s="56"/>
      <c r="BE526" s="56"/>
      <c r="BF526" s="56"/>
      <c r="BG526" s="56"/>
      <c r="BO526" s="144"/>
      <c r="CI526" s="144"/>
      <c r="CY526" s="144"/>
    </row>
    <row r="527" spans="1:103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171"/>
      <c r="AP527" s="56"/>
      <c r="AQ527" s="56"/>
      <c r="AR527" s="56"/>
      <c r="AS527" s="56"/>
      <c r="AT527" s="56"/>
      <c r="AU527" s="56"/>
      <c r="AV527" s="56"/>
      <c r="AW527" s="171"/>
      <c r="AX527" s="56"/>
      <c r="AY527" s="56"/>
      <c r="AZ527" s="56"/>
      <c r="BA527" s="171"/>
      <c r="BB527" s="56"/>
      <c r="BC527" s="10"/>
      <c r="BD527" s="56"/>
      <c r="BE527" s="56"/>
      <c r="BF527" s="56"/>
      <c r="BG527" s="56"/>
      <c r="BO527" s="144"/>
      <c r="CI527" s="144"/>
      <c r="CY527" s="144"/>
    </row>
    <row r="528" spans="1:103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171"/>
      <c r="AP528" s="56"/>
      <c r="AQ528" s="56"/>
      <c r="AR528" s="56"/>
      <c r="AS528" s="56"/>
      <c r="AT528" s="56"/>
      <c r="AU528" s="56"/>
      <c r="AV528" s="56"/>
      <c r="AW528" s="171"/>
      <c r="AX528" s="56"/>
      <c r="AY528" s="56"/>
      <c r="AZ528" s="56"/>
      <c r="BA528" s="171"/>
      <c r="BB528" s="56"/>
      <c r="BC528" s="10"/>
      <c r="BD528" s="56"/>
      <c r="BE528" s="56"/>
      <c r="BF528" s="56"/>
      <c r="BG528" s="56"/>
      <c r="BO528" s="144"/>
      <c r="CI528" s="144"/>
      <c r="CY528" s="144"/>
    </row>
    <row r="529" spans="1:103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171"/>
      <c r="AP529" s="56"/>
      <c r="AQ529" s="56"/>
      <c r="AR529" s="56"/>
      <c r="AS529" s="56"/>
      <c r="AT529" s="56"/>
      <c r="AU529" s="56"/>
      <c r="AV529" s="56"/>
      <c r="AW529" s="171"/>
      <c r="AX529" s="56"/>
      <c r="AY529" s="56"/>
      <c r="AZ529" s="56"/>
      <c r="BA529" s="171"/>
      <c r="BB529" s="56"/>
      <c r="BC529" s="10"/>
      <c r="BD529" s="56"/>
      <c r="BE529" s="56"/>
      <c r="BF529" s="56"/>
      <c r="BG529" s="56"/>
      <c r="BO529" s="144"/>
      <c r="CI529" s="144"/>
      <c r="CY529" s="144"/>
    </row>
    <row r="530" spans="1:103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171"/>
      <c r="AP530" s="56"/>
      <c r="AQ530" s="56"/>
      <c r="AR530" s="56"/>
      <c r="AS530" s="56"/>
      <c r="AT530" s="56"/>
      <c r="AU530" s="56"/>
      <c r="AV530" s="56"/>
      <c r="AW530" s="171"/>
      <c r="AX530" s="56"/>
      <c r="AY530" s="56"/>
      <c r="AZ530" s="56"/>
      <c r="BA530" s="171"/>
      <c r="BB530" s="56"/>
      <c r="BC530" s="10"/>
      <c r="BD530" s="56"/>
      <c r="BE530" s="56"/>
      <c r="BF530" s="56"/>
      <c r="BG530" s="56"/>
      <c r="BO530" s="144"/>
      <c r="CI530" s="144"/>
      <c r="CY530" s="144"/>
    </row>
    <row r="531" spans="1:103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171"/>
      <c r="AP531" s="56"/>
      <c r="AQ531" s="56"/>
      <c r="AR531" s="56"/>
      <c r="AS531" s="56"/>
      <c r="AT531" s="56"/>
      <c r="AU531" s="56"/>
      <c r="AV531" s="56"/>
      <c r="AW531" s="171"/>
      <c r="AX531" s="56"/>
      <c r="AY531" s="56"/>
      <c r="AZ531" s="56"/>
      <c r="BA531" s="171"/>
      <c r="BB531" s="56"/>
      <c r="BC531" s="10"/>
      <c r="BD531" s="56"/>
      <c r="BE531" s="56"/>
      <c r="BF531" s="56"/>
      <c r="BG531" s="56"/>
      <c r="BO531" s="144"/>
      <c r="CI531" s="144"/>
      <c r="CY531" s="144"/>
    </row>
    <row r="532" spans="1:103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171"/>
      <c r="AP532" s="56"/>
      <c r="AQ532" s="56"/>
      <c r="AR532" s="56"/>
      <c r="AS532" s="56"/>
      <c r="AT532" s="56"/>
      <c r="AU532" s="56"/>
      <c r="AV532" s="56"/>
      <c r="AW532" s="171"/>
      <c r="AX532" s="56"/>
      <c r="AY532" s="56"/>
      <c r="AZ532" s="56"/>
      <c r="BA532" s="171"/>
      <c r="BB532" s="56"/>
      <c r="BC532" s="10"/>
      <c r="BD532" s="56"/>
      <c r="BE532" s="56"/>
      <c r="BF532" s="56"/>
      <c r="BG532" s="56"/>
      <c r="BO532" s="144"/>
      <c r="CI532" s="144"/>
      <c r="CY532" s="144"/>
    </row>
    <row r="533" spans="1:103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171"/>
      <c r="AP533" s="56"/>
      <c r="AQ533" s="56"/>
      <c r="AR533" s="56"/>
      <c r="AS533" s="56"/>
      <c r="AT533" s="56"/>
      <c r="AU533" s="56"/>
      <c r="AV533" s="56"/>
      <c r="AW533" s="171"/>
      <c r="AX533" s="56"/>
      <c r="AY533" s="56"/>
      <c r="AZ533" s="56"/>
      <c r="BA533" s="171"/>
      <c r="BB533" s="56"/>
      <c r="BC533" s="10"/>
      <c r="BD533" s="56"/>
      <c r="BE533" s="56"/>
      <c r="BF533" s="56"/>
      <c r="BG533" s="56"/>
      <c r="BO533" s="144"/>
      <c r="CI533" s="144"/>
      <c r="CY533" s="144"/>
    </row>
    <row r="534" spans="1:103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171"/>
      <c r="AP534" s="56"/>
      <c r="AQ534" s="56"/>
      <c r="AR534" s="56"/>
      <c r="AS534" s="56"/>
      <c r="AT534" s="56"/>
      <c r="AU534" s="56"/>
      <c r="AV534" s="56"/>
      <c r="AW534" s="171"/>
      <c r="AX534" s="56"/>
      <c r="AY534" s="56"/>
      <c r="AZ534" s="56"/>
      <c r="BA534" s="171"/>
      <c r="BB534" s="56"/>
      <c r="BC534" s="10"/>
      <c r="BD534" s="56"/>
      <c r="BE534" s="56"/>
      <c r="BF534" s="56"/>
      <c r="BG534" s="56"/>
      <c r="BO534" s="144"/>
      <c r="CI534" s="144"/>
      <c r="CY534" s="144"/>
    </row>
    <row r="535" spans="1:103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171"/>
      <c r="AP535" s="56"/>
      <c r="AQ535" s="56"/>
      <c r="AR535" s="56"/>
      <c r="AS535" s="56"/>
      <c r="AT535" s="56"/>
      <c r="AU535" s="56"/>
      <c r="AV535" s="56"/>
      <c r="AW535" s="171"/>
      <c r="AX535" s="56"/>
      <c r="AY535" s="56"/>
      <c r="AZ535" s="56"/>
      <c r="BA535" s="171"/>
      <c r="BB535" s="56"/>
      <c r="BC535" s="10"/>
      <c r="BD535" s="56"/>
      <c r="BE535" s="56"/>
      <c r="BF535" s="56"/>
      <c r="BG535" s="56"/>
      <c r="BO535" s="144"/>
      <c r="CI535" s="144"/>
      <c r="CY535" s="144"/>
    </row>
    <row r="536" spans="1:103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171"/>
      <c r="AP536" s="56"/>
      <c r="AQ536" s="56"/>
      <c r="AR536" s="56"/>
      <c r="AS536" s="56"/>
      <c r="AT536" s="56"/>
      <c r="AU536" s="56"/>
      <c r="AV536" s="56"/>
      <c r="AW536" s="171"/>
      <c r="AX536" s="56"/>
      <c r="AY536" s="56"/>
      <c r="AZ536" s="56"/>
      <c r="BA536" s="171"/>
      <c r="BB536" s="56"/>
      <c r="BC536" s="10"/>
      <c r="BD536" s="56"/>
      <c r="BE536" s="56"/>
      <c r="BF536" s="56"/>
      <c r="BG536" s="56"/>
      <c r="BO536" s="144"/>
      <c r="CI536" s="144"/>
      <c r="CY536" s="144"/>
    </row>
    <row r="537" spans="1:103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171"/>
      <c r="AP537" s="56"/>
      <c r="AQ537" s="56"/>
      <c r="AR537" s="56"/>
      <c r="AS537" s="56"/>
      <c r="AT537" s="56"/>
      <c r="AU537" s="56"/>
      <c r="AV537" s="56"/>
      <c r="AW537" s="171"/>
      <c r="AX537" s="56"/>
      <c r="AY537" s="56"/>
      <c r="AZ537" s="56"/>
      <c r="BA537" s="171"/>
      <c r="BB537" s="56"/>
      <c r="BC537" s="10"/>
      <c r="BD537" s="56"/>
      <c r="BE537" s="56"/>
      <c r="BF537" s="56"/>
      <c r="BG537" s="56"/>
      <c r="BO537" s="144"/>
      <c r="CI537" s="144"/>
      <c r="CY537" s="144"/>
    </row>
    <row r="538" spans="1:103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171"/>
      <c r="AP538" s="56"/>
      <c r="AQ538" s="56"/>
      <c r="AR538" s="56"/>
      <c r="AS538" s="56"/>
      <c r="AT538" s="56"/>
      <c r="AU538" s="56"/>
      <c r="AV538" s="56"/>
      <c r="AW538" s="171"/>
      <c r="AX538" s="56"/>
      <c r="AY538" s="56"/>
      <c r="AZ538" s="56"/>
      <c r="BA538" s="171"/>
      <c r="BB538" s="56"/>
      <c r="BC538" s="10"/>
      <c r="BD538" s="56"/>
      <c r="BE538" s="56"/>
      <c r="BF538" s="56"/>
      <c r="BG538" s="56"/>
      <c r="BO538" s="144"/>
      <c r="CI538" s="144"/>
      <c r="CY538" s="144"/>
    </row>
    <row r="539" spans="1:103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171"/>
      <c r="AP539" s="56"/>
      <c r="AQ539" s="56"/>
      <c r="AR539" s="56"/>
      <c r="AS539" s="56"/>
      <c r="AT539" s="56"/>
      <c r="AU539" s="56"/>
      <c r="AV539" s="56"/>
      <c r="AW539" s="171"/>
      <c r="AX539" s="56"/>
      <c r="AY539" s="56"/>
      <c r="AZ539" s="56"/>
      <c r="BA539" s="171"/>
      <c r="BB539" s="56"/>
      <c r="BC539" s="10"/>
      <c r="BD539" s="56"/>
      <c r="BE539" s="56"/>
      <c r="BF539" s="56"/>
      <c r="BG539" s="56"/>
      <c r="BO539" s="144"/>
      <c r="CI539" s="144"/>
      <c r="CY539" s="144"/>
    </row>
    <row r="540" spans="1:103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171"/>
      <c r="AP540" s="56"/>
      <c r="AQ540" s="56"/>
      <c r="AR540" s="56"/>
      <c r="AS540" s="56"/>
      <c r="AT540" s="56"/>
      <c r="AU540" s="56"/>
      <c r="AV540" s="56"/>
      <c r="AW540" s="171"/>
      <c r="AX540" s="56"/>
      <c r="AY540" s="56"/>
      <c r="AZ540" s="56"/>
      <c r="BA540" s="171"/>
      <c r="BB540" s="56"/>
      <c r="BC540" s="10"/>
      <c r="BD540" s="56"/>
      <c r="BE540" s="56"/>
      <c r="BF540" s="56"/>
      <c r="BG540" s="56"/>
      <c r="BO540" s="144"/>
      <c r="CI540" s="144"/>
      <c r="CY540" s="144"/>
    </row>
    <row r="541" spans="1:103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171"/>
      <c r="AP541" s="56"/>
      <c r="AQ541" s="56"/>
      <c r="AR541" s="56"/>
      <c r="AS541" s="56"/>
      <c r="AT541" s="56"/>
      <c r="AU541" s="56"/>
      <c r="AV541" s="56"/>
      <c r="AW541" s="171"/>
      <c r="AX541" s="56"/>
      <c r="AY541" s="56"/>
      <c r="AZ541" s="56"/>
      <c r="BA541" s="171"/>
      <c r="BB541" s="56"/>
      <c r="BC541" s="10"/>
      <c r="BD541" s="56"/>
      <c r="BE541" s="56"/>
      <c r="BF541" s="56"/>
      <c r="BG541" s="56"/>
      <c r="BO541" s="144"/>
      <c r="CI541" s="144"/>
      <c r="CY541" s="144"/>
    </row>
    <row r="542" spans="1:103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171"/>
      <c r="AP542" s="56"/>
      <c r="AQ542" s="56"/>
      <c r="AR542" s="56"/>
      <c r="AS542" s="56"/>
      <c r="AT542" s="56"/>
      <c r="AU542" s="56"/>
      <c r="AV542" s="56"/>
      <c r="AW542" s="171"/>
      <c r="AX542" s="56"/>
      <c r="AY542" s="56"/>
      <c r="AZ542" s="56"/>
      <c r="BA542" s="171"/>
      <c r="BB542" s="56"/>
      <c r="BC542" s="10"/>
      <c r="BD542" s="56"/>
      <c r="BE542" s="56"/>
      <c r="BF542" s="56"/>
      <c r="BG542" s="56"/>
      <c r="BO542" s="144"/>
      <c r="CI542" s="144"/>
      <c r="CY542" s="144"/>
    </row>
    <row r="543" spans="1:103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171"/>
      <c r="AP543" s="56"/>
      <c r="AQ543" s="56"/>
      <c r="AR543" s="56"/>
      <c r="AS543" s="56"/>
      <c r="AT543" s="56"/>
      <c r="AU543" s="56"/>
      <c r="AV543" s="56"/>
      <c r="AW543" s="171"/>
      <c r="AX543" s="56"/>
      <c r="AY543" s="56"/>
      <c r="AZ543" s="56"/>
      <c r="BA543" s="171"/>
      <c r="BB543" s="56"/>
      <c r="BC543" s="10"/>
      <c r="BD543" s="56"/>
      <c r="BE543" s="56"/>
      <c r="BF543" s="56"/>
      <c r="BG543" s="56"/>
      <c r="BO543" s="144"/>
      <c r="CI543" s="144"/>
      <c r="CY543" s="144"/>
    </row>
    <row r="544" spans="1:103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171"/>
      <c r="AP544" s="56"/>
      <c r="AQ544" s="56"/>
      <c r="AR544" s="56"/>
      <c r="AS544" s="56"/>
      <c r="AT544" s="56"/>
      <c r="AU544" s="56"/>
      <c r="AV544" s="56"/>
      <c r="AW544" s="171"/>
      <c r="AX544" s="56"/>
      <c r="AY544" s="56"/>
      <c r="AZ544" s="56"/>
      <c r="BA544" s="171"/>
      <c r="BB544" s="56"/>
      <c r="BC544" s="10"/>
      <c r="BD544" s="56"/>
      <c r="BE544" s="56"/>
      <c r="BF544" s="56"/>
      <c r="BG544" s="56"/>
      <c r="BO544" s="144"/>
      <c r="CI544" s="144"/>
      <c r="CY544" s="144"/>
    </row>
    <row r="545" spans="1:103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171"/>
      <c r="AP545" s="56"/>
      <c r="AQ545" s="56"/>
      <c r="AR545" s="56"/>
      <c r="AS545" s="56"/>
      <c r="AT545" s="56"/>
      <c r="AU545" s="56"/>
      <c r="AV545" s="56"/>
      <c r="AW545" s="171"/>
      <c r="AX545" s="56"/>
      <c r="AY545" s="56"/>
      <c r="AZ545" s="56"/>
      <c r="BA545" s="171"/>
      <c r="BB545" s="56"/>
      <c r="BC545" s="10"/>
      <c r="BD545" s="56"/>
      <c r="BE545" s="56"/>
      <c r="BF545" s="56"/>
      <c r="BG545" s="56"/>
      <c r="BO545" s="144"/>
      <c r="CI545" s="144"/>
      <c r="CY545" s="144"/>
    </row>
    <row r="546" spans="1:103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171"/>
      <c r="AP546" s="56"/>
      <c r="AQ546" s="56"/>
      <c r="AR546" s="56"/>
      <c r="AS546" s="56"/>
      <c r="AT546" s="56"/>
      <c r="AU546" s="56"/>
      <c r="AV546" s="56"/>
      <c r="AW546" s="171"/>
      <c r="AX546" s="56"/>
      <c r="AY546" s="56"/>
      <c r="AZ546" s="56"/>
      <c r="BA546" s="171"/>
      <c r="BB546" s="56"/>
      <c r="BC546" s="10"/>
      <c r="BD546" s="56"/>
      <c r="BE546" s="56"/>
      <c r="BF546" s="56"/>
      <c r="BG546" s="56"/>
      <c r="BO546" s="144"/>
      <c r="CI546" s="144"/>
      <c r="CY546" s="144"/>
    </row>
    <row r="547" spans="1:103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171"/>
      <c r="AP547" s="56"/>
      <c r="AQ547" s="56"/>
      <c r="AR547" s="56"/>
      <c r="AS547" s="56"/>
      <c r="AT547" s="56"/>
      <c r="AU547" s="56"/>
      <c r="AV547" s="56"/>
      <c r="AW547" s="171"/>
      <c r="AX547" s="56"/>
      <c r="AY547" s="56"/>
      <c r="AZ547" s="56"/>
      <c r="BA547" s="171"/>
      <c r="BB547" s="56"/>
      <c r="BC547" s="10"/>
      <c r="BD547" s="56"/>
      <c r="BE547" s="56"/>
      <c r="BF547" s="56"/>
      <c r="BG547" s="56"/>
      <c r="BO547" s="144"/>
      <c r="CI547" s="144"/>
      <c r="CY547" s="144"/>
    </row>
    <row r="548" spans="1:103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171"/>
      <c r="AP548" s="56"/>
      <c r="AQ548" s="56"/>
      <c r="AR548" s="56"/>
      <c r="AS548" s="56"/>
      <c r="AT548" s="56"/>
      <c r="AU548" s="56"/>
      <c r="AV548" s="56"/>
      <c r="AW548" s="171"/>
      <c r="AX548" s="56"/>
      <c r="AY548" s="56"/>
      <c r="AZ548" s="56"/>
      <c r="BA548" s="171"/>
      <c r="BB548" s="56"/>
      <c r="BC548" s="10"/>
      <c r="BD548" s="56"/>
      <c r="BE548" s="56"/>
      <c r="BF548" s="56"/>
      <c r="BG548" s="56"/>
      <c r="BO548" s="144"/>
      <c r="CI548" s="144"/>
      <c r="CY548" s="144"/>
    </row>
    <row r="549" spans="1:103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171"/>
      <c r="AP549" s="56"/>
      <c r="AQ549" s="56"/>
      <c r="AR549" s="56"/>
      <c r="AS549" s="56"/>
      <c r="AT549" s="56"/>
      <c r="AU549" s="56"/>
      <c r="AV549" s="56"/>
      <c r="AW549" s="171"/>
      <c r="AX549" s="56"/>
      <c r="AY549" s="56"/>
      <c r="AZ549" s="56"/>
      <c r="BA549" s="171"/>
      <c r="BB549" s="56"/>
      <c r="BC549" s="10"/>
      <c r="BD549" s="56"/>
      <c r="BE549" s="56"/>
      <c r="BF549" s="56"/>
      <c r="BG549" s="56"/>
      <c r="BO549" s="144"/>
      <c r="CI549" s="144"/>
      <c r="CY549" s="144"/>
    </row>
    <row r="550" spans="1:103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171"/>
      <c r="AP550" s="56"/>
      <c r="AQ550" s="56"/>
      <c r="AR550" s="56"/>
      <c r="AS550" s="56"/>
      <c r="AT550" s="56"/>
      <c r="AU550" s="56"/>
      <c r="AV550" s="56"/>
      <c r="AW550" s="171"/>
      <c r="AX550" s="56"/>
      <c r="AY550" s="56"/>
      <c r="AZ550" s="56"/>
      <c r="BA550" s="171"/>
      <c r="BB550" s="56"/>
      <c r="BC550" s="10"/>
      <c r="BD550" s="56"/>
      <c r="BE550" s="56"/>
      <c r="BF550" s="56"/>
      <c r="BG550" s="56"/>
      <c r="BO550" s="144"/>
      <c r="CI550" s="144"/>
      <c r="CY550" s="144"/>
    </row>
    <row r="551" spans="1:103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171"/>
      <c r="AP551" s="56"/>
      <c r="AQ551" s="56"/>
      <c r="AR551" s="56"/>
      <c r="AS551" s="56"/>
      <c r="AT551" s="56"/>
      <c r="AU551" s="56"/>
      <c r="AV551" s="56"/>
      <c r="AW551" s="171"/>
      <c r="AX551" s="56"/>
      <c r="AY551" s="56"/>
      <c r="AZ551" s="56"/>
      <c r="BA551" s="171"/>
      <c r="BB551" s="56"/>
      <c r="BC551" s="10"/>
      <c r="BD551" s="56"/>
      <c r="BE551" s="56"/>
      <c r="BF551" s="56"/>
      <c r="BG551" s="56"/>
      <c r="BO551" s="144"/>
      <c r="CI551" s="144"/>
      <c r="CY551" s="144"/>
    </row>
    <row r="552" spans="1:103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171"/>
      <c r="AP552" s="56"/>
      <c r="AQ552" s="56"/>
      <c r="AR552" s="56"/>
      <c r="AS552" s="56"/>
      <c r="AT552" s="56"/>
      <c r="AU552" s="56"/>
      <c r="AV552" s="56"/>
      <c r="AW552" s="171"/>
      <c r="AX552" s="56"/>
      <c r="AY552" s="56"/>
      <c r="AZ552" s="56"/>
      <c r="BA552" s="171"/>
      <c r="BB552" s="56"/>
      <c r="BC552" s="10"/>
      <c r="BD552" s="56"/>
      <c r="BE552" s="56"/>
      <c r="BF552" s="56"/>
      <c r="BG552" s="56"/>
      <c r="BO552" s="144"/>
      <c r="CI552" s="144"/>
      <c r="CY552" s="144"/>
    </row>
    <row r="553" spans="1:103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171"/>
      <c r="AP553" s="56"/>
      <c r="AQ553" s="56"/>
      <c r="AR553" s="56"/>
      <c r="AS553" s="56"/>
      <c r="AT553" s="56"/>
      <c r="AU553" s="56"/>
      <c r="AV553" s="56"/>
      <c r="AW553" s="171"/>
      <c r="AX553" s="56"/>
      <c r="AY553" s="56"/>
      <c r="AZ553" s="56"/>
      <c r="BA553" s="171"/>
      <c r="BB553" s="56"/>
      <c r="BC553" s="10"/>
      <c r="BD553" s="56"/>
      <c r="BE553" s="56"/>
      <c r="BF553" s="56"/>
      <c r="BG553" s="56"/>
      <c r="BO553" s="144"/>
      <c r="CI553" s="144"/>
      <c r="CY553" s="144"/>
    </row>
    <row r="554" spans="1:103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171"/>
      <c r="AP554" s="56"/>
      <c r="AQ554" s="56"/>
      <c r="AR554" s="56"/>
      <c r="AS554" s="56"/>
      <c r="AT554" s="56"/>
      <c r="AU554" s="56"/>
      <c r="AV554" s="56"/>
      <c r="AW554" s="171"/>
      <c r="AX554" s="56"/>
      <c r="AY554" s="56"/>
      <c r="AZ554" s="56"/>
      <c r="BA554" s="171"/>
      <c r="BB554" s="56"/>
      <c r="BC554" s="10"/>
      <c r="BD554" s="56"/>
      <c r="BE554" s="56"/>
      <c r="BF554" s="56"/>
      <c r="BG554" s="56"/>
      <c r="BO554" s="144"/>
      <c r="CI554" s="144"/>
      <c r="CY554" s="144"/>
    </row>
    <row r="555" spans="1:103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171"/>
      <c r="AP555" s="56"/>
      <c r="AQ555" s="56"/>
      <c r="AR555" s="56"/>
      <c r="AS555" s="56"/>
      <c r="AT555" s="56"/>
      <c r="AU555" s="56"/>
      <c r="AV555" s="56"/>
      <c r="AW555" s="171"/>
      <c r="AX555" s="56"/>
      <c r="AY555" s="56"/>
      <c r="AZ555" s="56"/>
      <c r="BA555" s="171"/>
      <c r="BB555" s="56"/>
      <c r="BC555" s="10"/>
      <c r="BD555" s="56"/>
      <c r="BE555" s="56"/>
      <c r="BF555" s="56"/>
      <c r="BG555" s="56"/>
      <c r="BO555" s="144"/>
      <c r="CI555" s="144"/>
      <c r="CY555" s="144"/>
    </row>
    <row r="556" spans="1:103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171"/>
      <c r="AP556" s="56"/>
      <c r="AQ556" s="56"/>
      <c r="AR556" s="56"/>
      <c r="AS556" s="56"/>
      <c r="AT556" s="56"/>
      <c r="AU556" s="56"/>
      <c r="AV556" s="56"/>
      <c r="AW556" s="171"/>
      <c r="AX556" s="56"/>
      <c r="AY556" s="56"/>
      <c r="AZ556" s="56"/>
      <c r="BA556" s="171"/>
      <c r="BB556" s="56"/>
      <c r="BC556" s="10"/>
      <c r="BD556" s="56"/>
      <c r="BE556" s="56"/>
      <c r="BF556" s="56"/>
      <c r="BG556" s="56"/>
      <c r="BO556" s="144"/>
      <c r="CI556" s="144"/>
      <c r="CY556" s="144"/>
    </row>
    <row r="557" spans="1:103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171"/>
      <c r="AP557" s="56"/>
      <c r="AQ557" s="56"/>
      <c r="AR557" s="56"/>
      <c r="AS557" s="56"/>
      <c r="AT557" s="56"/>
      <c r="AU557" s="56"/>
      <c r="AV557" s="56"/>
      <c r="AW557" s="171"/>
      <c r="AX557" s="56"/>
      <c r="AY557" s="56"/>
      <c r="AZ557" s="56"/>
      <c r="BA557" s="171"/>
      <c r="BB557" s="56"/>
      <c r="BC557" s="10"/>
      <c r="BD557" s="56"/>
      <c r="BE557" s="56"/>
      <c r="BF557" s="56"/>
      <c r="BG557" s="56"/>
      <c r="BO557" s="144"/>
      <c r="CI557" s="144"/>
      <c r="CY557" s="144"/>
    </row>
    <row r="558" spans="1:103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171"/>
      <c r="AP558" s="56"/>
      <c r="AQ558" s="56"/>
      <c r="AR558" s="56"/>
      <c r="AS558" s="56"/>
      <c r="AT558" s="56"/>
      <c r="AU558" s="56"/>
      <c r="AV558" s="56"/>
      <c r="AW558" s="171"/>
      <c r="AX558" s="56"/>
      <c r="AY558" s="56"/>
      <c r="AZ558" s="56"/>
      <c r="BA558" s="171"/>
      <c r="BB558" s="56"/>
      <c r="BC558" s="10"/>
      <c r="BD558" s="56"/>
      <c r="BE558" s="56"/>
      <c r="BF558" s="56"/>
      <c r="BG558" s="56"/>
      <c r="BO558" s="144"/>
      <c r="CI558" s="144"/>
      <c r="CY558" s="144"/>
    </row>
    <row r="559" spans="1:103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171"/>
      <c r="AP559" s="56"/>
      <c r="AQ559" s="56"/>
      <c r="AR559" s="56"/>
      <c r="AS559" s="56"/>
      <c r="AT559" s="56"/>
      <c r="AU559" s="56"/>
      <c r="AV559" s="56"/>
      <c r="AW559" s="171"/>
      <c r="AX559" s="56"/>
      <c r="AY559" s="56"/>
      <c r="AZ559" s="56"/>
      <c r="BA559" s="171"/>
      <c r="BB559" s="56"/>
      <c r="BC559" s="10"/>
      <c r="BD559" s="56"/>
      <c r="BE559" s="56"/>
      <c r="BF559" s="56"/>
      <c r="BG559" s="56"/>
      <c r="BO559" s="144"/>
      <c r="CI559" s="144"/>
      <c r="CY559" s="144"/>
    </row>
    <row r="560" spans="1:103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171"/>
      <c r="AP560" s="56"/>
      <c r="AQ560" s="56"/>
      <c r="AR560" s="56"/>
      <c r="AS560" s="56"/>
      <c r="AT560" s="56"/>
      <c r="AU560" s="56"/>
      <c r="AV560" s="56"/>
      <c r="AW560" s="171"/>
      <c r="AX560" s="56"/>
      <c r="AY560" s="56"/>
      <c r="AZ560" s="56"/>
      <c r="BA560" s="171"/>
      <c r="BB560" s="56"/>
      <c r="BC560" s="10"/>
      <c r="BD560" s="56"/>
      <c r="BE560" s="56"/>
      <c r="BF560" s="56"/>
      <c r="BG560" s="56"/>
      <c r="BO560" s="144"/>
      <c r="CI560" s="144"/>
      <c r="CY560" s="144"/>
    </row>
    <row r="561" spans="1:103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171"/>
      <c r="AP561" s="56"/>
      <c r="AQ561" s="56"/>
      <c r="AR561" s="56"/>
      <c r="AS561" s="56"/>
      <c r="AT561" s="56"/>
      <c r="AU561" s="56"/>
      <c r="AV561" s="56"/>
      <c r="AW561" s="171"/>
      <c r="AX561" s="56"/>
      <c r="AY561" s="56"/>
      <c r="AZ561" s="56"/>
      <c r="BA561" s="171"/>
      <c r="BB561" s="56"/>
      <c r="BC561" s="10"/>
      <c r="BD561" s="56"/>
      <c r="BE561" s="56"/>
      <c r="BF561" s="56"/>
      <c r="BG561" s="56"/>
      <c r="BO561" s="144"/>
      <c r="CI561" s="144"/>
      <c r="CY561" s="144"/>
    </row>
    <row r="562" spans="1:103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171"/>
      <c r="AP562" s="56"/>
      <c r="AQ562" s="56"/>
      <c r="AR562" s="56"/>
      <c r="AS562" s="56"/>
      <c r="AT562" s="56"/>
      <c r="AU562" s="56"/>
      <c r="AV562" s="56"/>
      <c r="AW562" s="171"/>
      <c r="AX562" s="56"/>
      <c r="AY562" s="56"/>
      <c r="AZ562" s="56"/>
      <c r="BA562" s="171"/>
      <c r="BB562" s="56"/>
      <c r="BC562" s="10"/>
      <c r="BD562" s="56"/>
      <c r="BE562" s="56"/>
      <c r="BF562" s="56"/>
      <c r="BG562" s="56"/>
      <c r="BO562" s="144"/>
      <c r="CI562" s="144"/>
      <c r="CY562" s="144"/>
    </row>
    <row r="563" spans="1:103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171"/>
      <c r="AP563" s="56"/>
      <c r="AQ563" s="56"/>
      <c r="AR563" s="56"/>
      <c r="AS563" s="56"/>
      <c r="AT563" s="56"/>
      <c r="AU563" s="56"/>
      <c r="AV563" s="56"/>
      <c r="AW563" s="171"/>
      <c r="AX563" s="56"/>
      <c r="AY563" s="56"/>
      <c r="AZ563" s="56"/>
      <c r="BA563" s="171"/>
      <c r="BB563" s="56"/>
      <c r="BC563" s="10"/>
      <c r="BD563" s="56"/>
      <c r="BE563" s="56"/>
      <c r="BF563" s="56"/>
      <c r="BG563" s="56"/>
      <c r="BO563" s="144"/>
      <c r="CI563" s="144"/>
      <c r="CY563" s="144"/>
    </row>
    <row r="564" spans="1:103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171"/>
      <c r="AP564" s="56"/>
      <c r="AQ564" s="56"/>
      <c r="AR564" s="56"/>
      <c r="AS564" s="56"/>
      <c r="AT564" s="56"/>
      <c r="AU564" s="56"/>
      <c r="AV564" s="56"/>
      <c r="AW564" s="171"/>
      <c r="AX564" s="56"/>
      <c r="AY564" s="56"/>
      <c r="AZ564" s="56"/>
      <c r="BA564" s="171"/>
      <c r="BB564" s="56"/>
      <c r="BC564" s="10"/>
      <c r="BD564" s="56"/>
      <c r="BE564" s="56"/>
      <c r="BF564" s="56"/>
      <c r="BG564" s="56"/>
      <c r="BO564" s="144"/>
      <c r="CI564" s="144"/>
      <c r="CY564" s="144"/>
    </row>
    <row r="565" spans="1:103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171"/>
      <c r="AP565" s="56"/>
      <c r="AQ565" s="56"/>
      <c r="AR565" s="56"/>
      <c r="AS565" s="56"/>
      <c r="AT565" s="56"/>
      <c r="AU565" s="56"/>
      <c r="AV565" s="56"/>
      <c r="AW565" s="171"/>
      <c r="AX565" s="56"/>
      <c r="AY565" s="56"/>
      <c r="AZ565" s="56"/>
      <c r="BA565" s="171"/>
      <c r="BB565" s="56"/>
      <c r="BC565" s="10"/>
      <c r="BD565" s="56"/>
      <c r="BE565" s="56"/>
      <c r="BF565" s="56"/>
      <c r="BG565" s="56"/>
      <c r="BO565" s="144"/>
      <c r="CI565" s="144"/>
      <c r="CY565" s="144"/>
    </row>
    <row r="566" spans="1:103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171"/>
      <c r="AP566" s="56"/>
      <c r="AQ566" s="56"/>
      <c r="AR566" s="56"/>
      <c r="AS566" s="56"/>
      <c r="AT566" s="56"/>
      <c r="AU566" s="56"/>
      <c r="AV566" s="56"/>
      <c r="AW566" s="171"/>
      <c r="AX566" s="56"/>
      <c r="AY566" s="56"/>
      <c r="AZ566" s="56"/>
      <c r="BA566" s="171"/>
      <c r="BB566" s="56"/>
      <c r="BC566" s="10"/>
      <c r="BD566" s="56"/>
      <c r="BE566" s="56"/>
      <c r="BF566" s="56"/>
      <c r="BG566" s="56"/>
      <c r="BO566" s="144"/>
      <c r="CI566" s="144"/>
      <c r="CY566" s="144"/>
    </row>
    <row r="567" spans="1:103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171"/>
      <c r="AP567" s="56"/>
      <c r="AQ567" s="56"/>
      <c r="AR567" s="56"/>
      <c r="AS567" s="56"/>
      <c r="AT567" s="56"/>
      <c r="AU567" s="56"/>
      <c r="AV567" s="56"/>
      <c r="AW567" s="171"/>
      <c r="AX567" s="56"/>
      <c r="AY567" s="56"/>
      <c r="AZ567" s="56"/>
      <c r="BA567" s="171"/>
      <c r="BB567" s="56"/>
      <c r="BC567" s="10"/>
      <c r="BD567" s="56"/>
      <c r="BE567" s="56"/>
      <c r="BF567" s="56"/>
      <c r="BG567" s="56"/>
      <c r="BO567" s="144"/>
      <c r="CI567" s="144"/>
      <c r="CY567" s="144"/>
    </row>
    <row r="568" spans="1:103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171"/>
      <c r="AP568" s="56"/>
      <c r="AQ568" s="56"/>
      <c r="AR568" s="56"/>
      <c r="AS568" s="56"/>
      <c r="AT568" s="56"/>
      <c r="AU568" s="56"/>
      <c r="AV568" s="56"/>
      <c r="AW568" s="171"/>
      <c r="AX568" s="56"/>
      <c r="AY568" s="56"/>
      <c r="AZ568" s="56"/>
      <c r="BA568" s="171"/>
      <c r="BB568" s="56"/>
      <c r="BC568" s="10"/>
      <c r="BD568" s="56"/>
      <c r="BE568" s="56"/>
      <c r="BF568" s="56"/>
      <c r="BG568" s="56"/>
      <c r="BO568" s="144"/>
      <c r="CI568" s="144"/>
      <c r="CY568" s="144"/>
    </row>
    <row r="569" spans="1:103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171"/>
      <c r="AP569" s="56"/>
      <c r="AQ569" s="56"/>
      <c r="AR569" s="56"/>
      <c r="AS569" s="56"/>
      <c r="AT569" s="56"/>
      <c r="AU569" s="56"/>
      <c r="AV569" s="56"/>
      <c r="AW569" s="171"/>
      <c r="AX569" s="56"/>
      <c r="AY569" s="56"/>
      <c r="AZ569" s="56"/>
      <c r="BA569" s="171"/>
      <c r="BB569" s="56"/>
      <c r="BC569" s="10"/>
      <c r="BD569" s="56"/>
      <c r="BE569" s="56"/>
      <c r="BF569" s="56"/>
      <c r="BG569" s="56"/>
      <c r="BO569" s="144"/>
      <c r="CI569" s="144"/>
      <c r="CY569" s="144"/>
    </row>
    <row r="570" spans="1:103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171"/>
      <c r="AP570" s="56"/>
      <c r="AQ570" s="56"/>
      <c r="AR570" s="56"/>
      <c r="AS570" s="56"/>
      <c r="AT570" s="56"/>
      <c r="AU570" s="56"/>
      <c r="AV570" s="56"/>
      <c r="AW570" s="171"/>
      <c r="AX570" s="56"/>
      <c r="AY570" s="56"/>
      <c r="AZ570" s="56"/>
      <c r="BA570" s="171"/>
      <c r="BB570" s="56"/>
      <c r="BC570" s="10"/>
      <c r="BD570" s="56"/>
      <c r="BE570" s="56"/>
      <c r="BF570" s="56"/>
      <c r="BG570" s="56"/>
      <c r="BO570" s="144"/>
      <c r="CI570" s="144"/>
      <c r="CY570" s="144"/>
    </row>
    <row r="571" spans="1:103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171"/>
      <c r="AP571" s="56"/>
      <c r="AQ571" s="56"/>
      <c r="AR571" s="56"/>
      <c r="AS571" s="56"/>
      <c r="AT571" s="56"/>
      <c r="AU571" s="56"/>
      <c r="AV571" s="56"/>
      <c r="AW571" s="171"/>
      <c r="AX571" s="56"/>
      <c r="AY571" s="56"/>
      <c r="AZ571" s="56"/>
      <c r="BA571" s="171"/>
      <c r="BB571" s="56"/>
      <c r="BC571" s="10"/>
      <c r="BD571" s="56"/>
      <c r="BE571" s="56"/>
      <c r="BF571" s="56"/>
      <c r="BG571" s="56"/>
      <c r="BO571" s="144"/>
      <c r="CI571" s="144"/>
      <c r="CY571" s="144"/>
    </row>
    <row r="572" spans="1:103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171"/>
      <c r="AP572" s="56"/>
      <c r="AQ572" s="56"/>
      <c r="AR572" s="56"/>
      <c r="AS572" s="56"/>
      <c r="AT572" s="56"/>
      <c r="AU572" s="56"/>
      <c r="AV572" s="56"/>
      <c r="AW572" s="171"/>
      <c r="AX572" s="56"/>
      <c r="AY572" s="56"/>
      <c r="AZ572" s="56"/>
      <c r="BA572" s="171"/>
      <c r="BB572" s="56"/>
      <c r="BC572" s="10"/>
      <c r="BD572" s="56"/>
      <c r="BE572" s="56"/>
      <c r="BF572" s="56"/>
      <c r="BG572" s="56"/>
      <c r="BO572" s="144"/>
      <c r="CI572" s="144"/>
      <c r="CY572" s="144"/>
    </row>
    <row r="573" spans="1:103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171"/>
      <c r="AP573" s="56"/>
      <c r="AQ573" s="56"/>
      <c r="AR573" s="56"/>
      <c r="AS573" s="56"/>
      <c r="AT573" s="56"/>
      <c r="AU573" s="56"/>
      <c r="AV573" s="56"/>
      <c r="AW573" s="171"/>
      <c r="AX573" s="56"/>
      <c r="AY573" s="56"/>
      <c r="AZ573" s="56"/>
      <c r="BA573" s="171"/>
      <c r="BB573" s="56"/>
      <c r="BC573" s="10"/>
      <c r="BD573" s="56"/>
      <c r="BE573" s="56"/>
      <c r="BF573" s="56"/>
      <c r="BG573" s="56"/>
      <c r="BO573" s="144"/>
      <c r="CI573" s="144"/>
      <c r="CY573" s="144"/>
    </row>
    <row r="574" spans="1:103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171"/>
      <c r="AP574" s="56"/>
      <c r="AQ574" s="56"/>
      <c r="AR574" s="56"/>
      <c r="AS574" s="56"/>
      <c r="AT574" s="56"/>
      <c r="AU574" s="56"/>
      <c r="AV574" s="56"/>
      <c r="AW574" s="171"/>
      <c r="AX574" s="56"/>
      <c r="AY574" s="56"/>
      <c r="AZ574" s="56"/>
      <c r="BA574" s="171"/>
      <c r="BB574" s="56"/>
      <c r="BC574" s="10"/>
      <c r="BD574" s="56"/>
      <c r="BE574" s="56"/>
      <c r="BF574" s="56"/>
      <c r="BG574" s="56"/>
      <c r="BO574" s="144"/>
      <c r="CI574" s="144"/>
      <c r="CY574" s="144"/>
    </row>
    <row r="575" spans="1:103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171"/>
      <c r="AP575" s="56"/>
      <c r="AQ575" s="56"/>
      <c r="AR575" s="56"/>
      <c r="AS575" s="56"/>
      <c r="AT575" s="56"/>
      <c r="AU575" s="56"/>
      <c r="AV575" s="56"/>
      <c r="AW575" s="171"/>
      <c r="AX575" s="56"/>
      <c r="AY575" s="56"/>
      <c r="AZ575" s="56"/>
      <c r="BA575" s="171"/>
      <c r="BB575" s="56"/>
      <c r="BC575" s="10"/>
      <c r="BD575" s="56"/>
      <c r="BE575" s="56"/>
      <c r="BF575" s="56"/>
      <c r="BG575" s="56"/>
      <c r="BO575" s="144"/>
      <c r="CI575" s="144"/>
      <c r="CY575" s="144"/>
    </row>
    <row r="576" spans="1:103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171"/>
      <c r="AP576" s="56"/>
      <c r="AQ576" s="56"/>
      <c r="AR576" s="56"/>
      <c r="AS576" s="56"/>
      <c r="AT576" s="56"/>
      <c r="AU576" s="56"/>
      <c r="AV576" s="56"/>
      <c r="AW576" s="171"/>
      <c r="AX576" s="56"/>
      <c r="AY576" s="56"/>
      <c r="AZ576" s="56"/>
      <c r="BA576" s="171"/>
      <c r="BB576" s="56"/>
      <c r="BC576" s="10"/>
      <c r="BD576" s="56"/>
      <c r="BE576" s="56"/>
      <c r="BF576" s="56"/>
      <c r="BG576" s="56"/>
      <c r="BO576" s="144"/>
      <c r="CI576" s="144"/>
      <c r="CY576" s="144"/>
    </row>
    <row r="577" spans="1:103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171"/>
      <c r="AP577" s="56"/>
      <c r="AQ577" s="56"/>
      <c r="AR577" s="56"/>
      <c r="AS577" s="56"/>
      <c r="AT577" s="56"/>
      <c r="AU577" s="56"/>
      <c r="AV577" s="56"/>
      <c r="AW577" s="171"/>
      <c r="AX577" s="56"/>
      <c r="AY577" s="56"/>
      <c r="AZ577" s="56"/>
      <c r="BA577" s="171"/>
      <c r="BB577" s="56"/>
      <c r="BC577" s="10"/>
      <c r="BD577" s="56"/>
      <c r="BE577" s="56"/>
      <c r="BF577" s="56"/>
      <c r="BG577" s="56"/>
      <c r="BO577" s="144"/>
      <c r="CI577" s="144"/>
      <c r="CY577" s="144"/>
    </row>
    <row r="578" spans="1:103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171"/>
      <c r="AP578" s="56"/>
      <c r="AQ578" s="56"/>
      <c r="AR578" s="56"/>
      <c r="AS578" s="56"/>
      <c r="AT578" s="56"/>
      <c r="AU578" s="56"/>
      <c r="AV578" s="56"/>
      <c r="AW578" s="171"/>
      <c r="AX578" s="56"/>
      <c r="AY578" s="56"/>
      <c r="AZ578" s="56"/>
      <c r="BA578" s="171"/>
      <c r="BB578" s="56"/>
      <c r="BC578" s="10"/>
      <c r="BD578" s="56"/>
      <c r="BE578" s="56"/>
      <c r="BF578" s="56"/>
      <c r="BG578" s="56"/>
      <c r="BO578" s="144"/>
      <c r="CI578" s="144"/>
      <c r="CY578" s="144"/>
    </row>
    <row r="579" spans="1:103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171"/>
      <c r="AP579" s="56"/>
      <c r="AQ579" s="56"/>
      <c r="AR579" s="56"/>
      <c r="AS579" s="56"/>
      <c r="AT579" s="56"/>
      <c r="AU579" s="56"/>
      <c r="AV579" s="56"/>
      <c r="AW579" s="171"/>
      <c r="AX579" s="56"/>
      <c r="AY579" s="56"/>
      <c r="AZ579" s="56"/>
      <c r="BA579" s="171"/>
      <c r="BB579" s="56"/>
      <c r="BC579" s="10"/>
      <c r="BD579" s="56"/>
      <c r="BE579" s="56"/>
      <c r="BF579" s="56"/>
      <c r="BG579" s="56"/>
      <c r="BO579" s="144"/>
      <c r="CI579" s="144"/>
      <c r="CY579" s="144"/>
    </row>
    <row r="580" spans="1:103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171"/>
      <c r="AP580" s="56"/>
      <c r="AQ580" s="56"/>
      <c r="AR580" s="56"/>
      <c r="AS580" s="56"/>
      <c r="AT580" s="56"/>
      <c r="AU580" s="56"/>
      <c r="AV580" s="56"/>
      <c r="AW580" s="171"/>
      <c r="AX580" s="56"/>
      <c r="AY580" s="56"/>
      <c r="AZ580" s="56"/>
      <c r="BA580" s="171"/>
      <c r="BB580" s="56"/>
      <c r="BC580" s="10"/>
      <c r="BD580" s="56"/>
      <c r="BE580" s="56"/>
      <c r="BF580" s="56"/>
      <c r="BG580" s="56"/>
      <c r="BO580" s="144"/>
      <c r="CI580" s="144"/>
      <c r="CY580" s="144"/>
    </row>
    <row r="581" spans="1:103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171"/>
      <c r="AP581" s="56"/>
      <c r="AQ581" s="56"/>
      <c r="AR581" s="56"/>
      <c r="AS581" s="56"/>
      <c r="AT581" s="56"/>
      <c r="AU581" s="56"/>
      <c r="AV581" s="56"/>
      <c r="AW581" s="171"/>
      <c r="AX581" s="56"/>
      <c r="AY581" s="56"/>
      <c r="AZ581" s="56"/>
      <c r="BA581" s="171"/>
      <c r="BB581" s="56"/>
      <c r="BC581" s="10"/>
      <c r="BD581" s="56"/>
      <c r="BE581" s="56"/>
      <c r="BF581" s="56"/>
      <c r="BG581" s="56"/>
      <c r="BO581" s="144"/>
      <c r="CI581" s="144"/>
      <c r="CY581" s="144"/>
    </row>
    <row r="582" spans="1:103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171"/>
      <c r="AP582" s="56"/>
      <c r="AQ582" s="56"/>
      <c r="AR582" s="56"/>
      <c r="AS582" s="56"/>
      <c r="AT582" s="56"/>
      <c r="AU582" s="56"/>
      <c r="AV582" s="56"/>
      <c r="AW582" s="171"/>
      <c r="AX582" s="56"/>
      <c r="AY582" s="56"/>
      <c r="AZ582" s="56"/>
      <c r="BA582" s="171"/>
      <c r="BB582" s="56"/>
      <c r="BC582" s="10"/>
      <c r="BD582" s="56"/>
      <c r="BE582" s="56"/>
      <c r="BF582" s="56"/>
      <c r="BG582" s="56"/>
      <c r="BO582" s="144"/>
      <c r="CI582" s="144"/>
      <c r="CY582" s="144"/>
    </row>
    <row r="583" spans="1:103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171"/>
      <c r="AP583" s="56"/>
      <c r="AQ583" s="56"/>
      <c r="AR583" s="56"/>
      <c r="AS583" s="56"/>
      <c r="AT583" s="56"/>
      <c r="AU583" s="56"/>
      <c r="AV583" s="56"/>
      <c r="AW583" s="171"/>
      <c r="AX583" s="56"/>
      <c r="AY583" s="56"/>
      <c r="AZ583" s="56"/>
      <c r="BA583" s="171"/>
      <c r="BB583" s="56"/>
      <c r="BC583" s="10"/>
      <c r="BD583" s="56"/>
      <c r="BE583" s="56"/>
      <c r="BF583" s="56"/>
      <c r="BG583" s="56"/>
      <c r="BO583" s="144"/>
      <c r="CI583" s="144"/>
      <c r="CY583" s="144"/>
    </row>
    <row r="584" spans="1:103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171"/>
      <c r="AP584" s="56"/>
      <c r="AQ584" s="56"/>
      <c r="AR584" s="56"/>
      <c r="AS584" s="56"/>
      <c r="AT584" s="56"/>
      <c r="AU584" s="56"/>
      <c r="AV584" s="56"/>
      <c r="AW584" s="171"/>
      <c r="AX584" s="56"/>
      <c r="AY584" s="56"/>
      <c r="AZ584" s="56"/>
      <c r="BA584" s="171"/>
      <c r="BB584" s="56"/>
      <c r="BC584" s="10"/>
      <c r="BD584" s="56"/>
      <c r="BE584" s="56"/>
      <c r="BF584" s="56"/>
      <c r="BG584" s="56"/>
      <c r="BO584" s="144"/>
      <c r="CI584" s="144"/>
      <c r="CY584" s="144"/>
    </row>
    <row r="585" spans="1:103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171"/>
      <c r="AP585" s="56"/>
      <c r="AQ585" s="56"/>
      <c r="AR585" s="56"/>
      <c r="AS585" s="56"/>
      <c r="AT585" s="56"/>
      <c r="AU585" s="56"/>
      <c r="AV585" s="56"/>
      <c r="AW585" s="171"/>
      <c r="AX585" s="56"/>
      <c r="AY585" s="56"/>
      <c r="AZ585" s="56"/>
      <c r="BA585" s="171"/>
      <c r="BB585" s="56"/>
      <c r="BC585" s="10"/>
      <c r="BD585" s="56"/>
      <c r="BE585" s="56"/>
      <c r="BF585" s="56"/>
      <c r="BG585" s="56"/>
      <c r="BO585" s="144"/>
      <c r="CI585" s="144"/>
      <c r="CY585" s="144"/>
    </row>
    <row r="586" spans="1:103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171"/>
      <c r="AP586" s="56"/>
      <c r="AQ586" s="56"/>
      <c r="AR586" s="56"/>
      <c r="AS586" s="56"/>
      <c r="AT586" s="56"/>
      <c r="AU586" s="56"/>
      <c r="AV586" s="56"/>
      <c r="AW586" s="171"/>
      <c r="AX586" s="56"/>
      <c r="AY586" s="56"/>
      <c r="AZ586" s="56"/>
      <c r="BA586" s="171"/>
      <c r="BB586" s="56"/>
      <c r="BC586" s="10"/>
      <c r="BD586" s="56"/>
      <c r="BE586" s="56"/>
      <c r="BF586" s="56"/>
      <c r="BG586" s="56"/>
      <c r="BO586" s="144"/>
      <c r="CI586" s="144"/>
      <c r="CY586" s="144"/>
    </row>
    <row r="587" spans="1:103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171"/>
      <c r="AP587" s="56"/>
      <c r="AQ587" s="56"/>
      <c r="AR587" s="56"/>
      <c r="AS587" s="56"/>
      <c r="AT587" s="56"/>
      <c r="AU587" s="56"/>
      <c r="AV587" s="56"/>
      <c r="AW587" s="171"/>
      <c r="AX587" s="56"/>
      <c r="AY587" s="56"/>
      <c r="AZ587" s="56"/>
      <c r="BA587" s="171"/>
      <c r="BB587" s="56"/>
      <c r="BC587" s="10"/>
      <c r="BD587" s="56"/>
      <c r="BE587" s="56"/>
      <c r="BF587" s="56"/>
      <c r="BG587" s="56"/>
      <c r="BO587" s="144"/>
      <c r="CI587" s="144"/>
      <c r="CY587" s="144"/>
    </row>
    <row r="588" spans="1:103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171"/>
      <c r="AP588" s="56"/>
      <c r="AQ588" s="56"/>
      <c r="AR588" s="56"/>
      <c r="AS588" s="56"/>
      <c r="AT588" s="56"/>
      <c r="AU588" s="56"/>
      <c r="AV588" s="56"/>
      <c r="AW588" s="171"/>
      <c r="AX588" s="56"/>
      <c r="AY588" s="56"/>
      <c r="AZ588" s="56"/>
      <c r="BA588" s="171"/>
      <c r="BB588" s="56"/>
      <c r="BC588" s="10"/>
      <c r="BD588" s="56"/>
      <c r="BE588" s="56"/>
      <c r="BF588" s="56"/>
      <c r="BG588" s="56"/>
      <c r="BO588" s="144"/>
      <c r="CI588" s="144"/>
      <c r="CY588" s="144"/>
    </row>
    <row r="589" spans="1:103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171"/>
      <c r="AP589" s="56"/>
      <c r="AQ589" s="56"/>
      <c r="AR589" s="56"/>
      <c r="AS589" s="56"/>
      <c r="AT589" s="56"/>
      <c r="AU589" s="56"/>
      <c r="AV589" s="56"/>
      <c r="AW589" s="171"/>
      <c r="AX589" s="56"/>
      <c r="AY589" s="56"/>
      <c r="AZ589" s="56"/>
      <c r="BA589" s="171"/>
      <c r="BB589" s="56"/>
      <c r="BC589" s="10"/>
      <c r="BD589" s="56"/>
      <c r="BE589" s="56"/>
      <c r="BF589" s="56"/>
      <c r="BG589" s="56"/>
      <c r="BO589" s="144"/>
      <c r="CI589" s="144"/>
      <c r="CY589" s="144"/>
    </row>
    <row r="590" spans="1:103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171"/>
      <c r="AP590" s="56"/>
      <c r="AQ590" s="56"/>
      <c r="AR590" s="56"/>
      <c r="AS590" s="56"/>
      <c r="AT590" s="56"/>
      <c r="AU590" s="56"/>
      <c r="AV590" s="56"/>
      <c r="AW590" s="171"/>
      <c r="AX590" s="56"/>
      <c r="AY590" s="56"/>
      <c r="AZ590" s="56"/>
      <c r="BA590" s="171"/>
      <c r="BB590" s="56"/>
      <c r="BC590" s="10"/>
      <c r="BD590" s="56"/>
      <c r="BE590" s="56"/>
      <c r="BF590" s="56"/>
      <c r="BG590" s="56"/>
      <c r="BO590" s="144"/>
      <c r="CI590" s="144"/>
      <c r="CY590" s="144"/>
    </row>
    <row r="591" spans="1:103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171"/>
      <c r="AP591" s="56"/>
      <c r="AQ591" s="56"/>
      <c r="AR591" s="56"/>
      <c r="AS591" s="56"/>
      <c r="AT591" s="56"/>
      <c r="AU591" s="56"/>
      <c r="AV591" s="56"/>
      <c r="AW591" s="171"/>
      <c r="AX591" s="56"/>
      <c r="AY591" s="56"/>
      <c r="AZ591" s="56"/>
      <c r="BA591" s="171"/>
      <c r="BB591" s="56"/>
      <c r="BC591" s="10"/>
      <c r="BD591" s="56"/>
      <c r="BE591" s="56"/>
      <c r="BF591" s="56"/>
      <c r="BG591" s="56"/>
      <c r="BO591" s="144"/>
      <c r="CI591" s="144"/>
      <c r="CY591" s="144"/>
    </row>
    <row r="592" spans="1:103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171"/>
      <c r="AP592" s="56"/>
      <c r="AQ592" s="56"/>
      <c r="AR592" s="56"/>
      <c r="AS592" s="56"/>
      <c r="AT592" s="56"/>
      <c r="AU592" s="56"/>
      <c r="AV592" s="56"/>
      <c r="AW592" s="171"/>
      <c r="AX592" s="56"/>
      <c r="AY592" s="56"/>
      <c r="AZ592" s="56"/>
      <c r="BA592" s="171"/>
      <c r="BB592" s="56"/>
      <c r="BC592" s="10"/>
      <c r="BD592" s="56"/>
      <c r="BE592" s="56"/>
      <c r="BF592" s="56"/>
      <c r="BG592" s="56"/>
      <c r="BO592" s="144"/>
      <c r="CI592" s="144"/>
      <c r="CY592" s="144"/>
    </row>
    <row r="593" spans="1:103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171"/>
      <c r="AP593" s="56"/>
      <c r="AQ593" s="56"/>
      <c r="AR593" s="56"/>
      <c r="AS593" s="56"/>
      <c r="AT593" s="56"/>
      <c r="AU593" s="56"/>
      <c r="AV593" s="56"/>
      <c r="AW593" s="171"/>
      <c r="AX593" s="56"/>
      <c r="AY593" s="56"/>
      <c r="AZ593" s="56"/>
      <c r="BA593" s="171"/>
      <c r="BB593" s="56"/>
      <c r="BC593" s="10"/>
      <c r="BD593" s="56"/>
      <c r="BE593" s="56"/>
      <c r="BF593" s="56"/>
      <c r="BG593" s="56"/>
      <c r="BO593" s="144"/>
      <c r="CI593" s="144"/>
      <c r="CY593" s="144"/>
    </row>
    <row r="594" spans="1:103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171"/>
      <c r="AP594" s="56"/>
      <c r="AQ594" s="56"/>
      <c r="AR594" s="56"/>
      <c r="AS594" s="56"/>
      <c r="AT594" s="56"/>
      <c r="AU594" s="56"/>
      <c r="AV594" s="56"/>
      <c r="AW594" s="171"/>
      <c r="AX594" s="56"/>
      <c r="AY594" s="56"/>
      <c r="AZ594" s="56"/>
      <c r="BA594" s="171"/>
      <c r="BB594" s="56"/>
      <c r="BC594" s="10"/>
      <c r="BD594" s="56"/>
      <c r="BE594" s="56"/>
      <c r="BF594" s="56"/>
      <c r="BG594" s="56"/>
      <c r="BO594" s="144"/>
      <c r="CI594" s="144"/>
      <c r="CY594" s="144"/>
    </row>
    <row r="595" spans="1:103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171"/>
      <c r="AP595" s="56"/>
      <c r="AQ595" s="56"/>
      <c r="AR595" s="56"/>
      <c r="AS595" s="56"/>
      <c r="AT595" s="56"/>
      <c r="AU595" s="56"/>
      <c r="AV595" s="56"/>
      <c r="AW595" s="171"/>
      <c r="AX595" s="56"/>
      <c r="AY595" s="56"/>
      <c r="AZ595" s="56"/>
      <c r="BA595" s="171"/>
      <c r="BB595" s="56"/>
      <c r="BC595" s="10"/>
      <c r="BD595" s="56"/>
      <c r="BE595" s="56"/>
      <c r="BF595" s="56"/>
      <c r="BG595" s="56"/>
      <c r="BO595" s="144"/>
      <c r="CI595" s="144"/>
      <c r="CY595" s="144"/>
    </row>
    <row r="596" spans="1:103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171"/>
      <c r="AP596" s="56"/>
      <c r="AQ596" s="56"/>
      <c r="AR596" s="56"/>
      <c r="AS596" s="56"/>
      <c r="AT596" s="56"/>
      <c r="AU596" s="56"/>
      <c r="AV596" s="56"/>
      <c r="AW596" s="171"/>
      <c r="AX596" s="56"/>
      <c r="AY596" s="56"/>
      <c r="AZ596" s="56"/>
      <c r="BA596" s="171"/>
      <c r="BB596" s="56"/>
      <c r="BC596" s="10"/>
      <c r="BD596" s="56"/>
      <c r="BE596" s="56"/>
      <c r="BF596" s="56"/>
      <c r="BG596" s="56"/>
      <c r="BO596" s="144"/>
      <c r="CI596" s="144"/>
      <c r="CY596" s="144"/>
    </row>
    <row r="597" spans="1:103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171"/>
      <c r="AP597" s="56"/>
      <c r="AQ597" s="56"/>
      <c r="AR597" s="56"/>
      <c r="AS597" s="56"/>
      <c r="AT597" s="56"/>
      <c r="AU597" s="56"/>
      <c r="AV597" s="56"/>
      <c r="AW597" s="171"/>
      <c r="AX597" s="56"/>
      <c r="AY597" s="56"/>
      <c r="AZ597" s="56"/>
      <c r="BA597" s="171"/>
      <c r="BB597" s="56"/>
      <c r="BC597" s="10"/>
      <c r="BD597" s="56"/>
      <c r="BE597" s="56"/>
      <c r="BF597" s="56"/>
      <c r="BG597" s="56"/>
      <c r="BO597" s="144"/>
      <c r="CI597" s="144"/>
      <c r="CY597" s="144"/>
    </row>
    <row r="598" spans="1:103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171"/>
      <c r="AP598" s="56"/>
      <c r="AQ598" s="56"/>
      <c r="AR598" s="56"/>
      <c r="AS598" s="56"/>
      <c r="AT598" s="56"/>
      <c r="AU598" s="56"/>
      <c r="AV598" s="56"/>
      <c r="AW598" s="171"/>
      <c r="AX598" s="56"/>
      <c r="AY598" s="56"/>
      <c r="AZ598" s="56"/>
      <c r="BA598" s="171"/>
      <c r="BB598" s="56"/>
      <c r="BC598" s="10"/>
      <c r="BD598" s="56"/>
      <c r="BE598" s="56"/>
      <c r="BF598" s="56"/>
      <c r="BG598" s="56"/>
      <c r="BO598" s="144"/>
      <c r="CI598" s="144"/>
      <c r="CY598" s="144"/>
    </row>
    <row r="599" spans="1:103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171"/>
      <c r="AP599" s="56"/>
      <c r="AQ599" s="56"/>
      <c r="AR599" s="56"/>
      <c r="AS599" s="56"/>
      <c r="AT599" s="56"/>
      <c r="AU599" s="56"/>
      <c r="AV599" s="56"/>
      <c r="AW599" s="171"/>
      <c r="AX599" s="56"/>
      <c r="AY599" s="56"/>
      <c r="AZ599" s="56"/>
      <c r="BA599" s="171"/>
      <c r="BB599" s="56"/>
      <c r="BC599" s="10"/>
      <c r="BD599" s="56"/>
      <c r="BE599" s="56"/>
      <c r="BF599" s="56"/>
      <c r="BG599" s="56"/>
      <c r="BO599" s="144"/>
      <c r="CI599" s="144"/>
      <c r="CY599" s="144"/>
    </row>
    <row r="600" spans="1:103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171"/>
      <c r="AP600" s="56"/>
      <c r="AQ600" s="56"/>
      <c r="AR600" s="56"/>
      <c r="AS600" s="56"/>
      <c r="AT600" s="56"/>
      <c r="AU600" s="56"/>
      <c r="AV600" s="56"/>
      <c r="AW600" s="171"/>
      <c r="AX600" s="56"/>
      <c r="AY600" s="56"/>
      <c r="AZ600" s="56"/>
      <c r="BA600" s="171"/>
      <c r="BB600" s="56"/>
      <c r="BC600" s="10"/>
      <c r="BD600" s="56"/>
      <c r="BE600" s="56"/>
      <c r="BF600" s="56"/>
      <c r="BG600" s="56"/>
      <c r="BO600" s="144"/>
      <c r="CI600" s="144"/>
      <c r="CY600" s="144"/>
    </row>
    <row r="601" spans="1:103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171"/>
      <c r="AP601" s="56"/>
      <c r="AQ601" s="56"/>
      <c r="AR601" s="56"/>
      <c r="AS601" s="56"/>
      <c r="AT601" s="56"/>
      <c r="AU601" s="56"/>
      <c r="AV601" s="56"/>
      <c r="AW601" s="171"/>
      <c r="AX601" s="56"/>
      <c r="AY601" s="56"/>
      <c r="AZ601" s="56"/>
      <c r="BA601" s="171"/>
      <c r="BB601" s="56"/>
      <c r="BC601" s="10"/>
      <c r="BD601" s="56"/>
      <c r="BE601" s="56"/>
      <c r="BF601" s="56"/>
      <c r="BG601" s="56"/>
      <c r="BO601" s="144"/>
      <c r="CI601" s="144"/>
      <c r="CY601" s="144"/>
    </row>
    <row r="602" spans="1:103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171"/>
      <c r="AP602" s="56"/>
      <c r="AQ602" s="56"/>
      <c r="AR602" s="56"/>
      <c r="AS602" s="56"/>
      <c r="AT602" s="56"/>
      <c r="AU602" s="56"/>
      <c r="AV602" s="56"/>
      <c r="AW602" s="171"/>
      <c r="AX602" s="56"/>
      <c r="AY602" s="56"/>
      <c r="AZ602" s="56"/>
      <c r="BA602" s="171"/>
      <c r="BB602" s="56"/>
      <c r="BC602" s="10"/>
      <c r="BD602" s="56"/>
      <c r="BE602" s="56"/>
      <c r="BF602" s="56"/>
      <c r="BG602" s="56"/>
      <c r="BO602" s="144"/>
      <c r="CI602" s="144"/>
      <c r="CY602" s="144"/>
    </row>
    <row r="603" spans="1:103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171"/>
      <c r="AP603" s="56"/>
      <c r="AQ603" s="56"/>
      <c r="AR603" s="56"/>
      <c r="AS603" s="56"/>
      <c r="AT603" s="56"/>
      <c r="AU603" s="56"/>
      <c r="AV603" s="56"/>
      <c r="AW603" s="171"/>
      <c r="AX603" s="56"/>
      <c r="AY603" s="56"/>
      <c r="AZ603" s="56"/>
      <c r="BA603" s="171"/>
      <c r="BB603" s="56"/>
      <c r="BC603" s="10"/>
      <c r="BD603" s="56"/>
      <c r="BE603" s="56"/>
      <c r="BF603" s="56"/>
      <c r="BG603" s="56"/>
      <c r="BO603" s="144"/>
      <c r="CI603" s="144"/>
      <c r="CY603" s="144"/>
    </row>
    <row r="604" spans="1:103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171"/>
      <c r="AP604" s="56"/>
      <c r="AQ604" s="56"/>
      <c r="AR604" s="56"/>
      <c r="AS604" s="56"/>
      <c r="AT604" s="56"/>
      <c r="AU604" s="56"/>
      <c r="AV604" s="56"/>
      <c r="AW604" s="171"/>
      <c r="AX604" s="56"/>
      <c r="AY604" s="56"/>
      <c r="AZ604" s="56"/>
      <c r="BA604" s="171"/>
      <c r="BB604" s="56"/>
      <c r="BC604" s="10"/>
      <c r="BD604" s="56"/>
      <c r="BE604" s="56"/>
      <c r="BF604" s="56"/>
      <c r="BG604" s="56"/>
      <c r="BO604" s="144"/>
      <c r="CI604" s="144"/>
      <c r="CY604" s="144"/>
    </row>
    <row r="605" spans="1:103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171"/>
      <c r="AP605" s="56"/>
      <c r="AQ605" s="56"/>
      <c r="AR605" s="56"/>
      <c r="AS605" s="56"/>
      <c r="AT605" s="56"/>
      <c r="AU605" s="56"/>
      <c r="AV605" s="56"/>
      <c r="AW605" s="171"/>
      <c r="AX605" s="56"/>
      <c r="AY605" s="56"/>
      <c r="AZ605" s="56"/>
      <c r="BA605" s="171"/>
      <c r="BB605" s="56"/>
      <c r="BC605" s="10"/>
      <c r="BD605" s="56"/>
      <c r="BE605" s="56"/>
      <c r="BF605" s="56"/>
      <c r="BG605" s="56"/>
      <c r="BO605" s="144"/>
      <c r="CI605" s="144"/>
      <c r="CY605" s="144"/>
    </row>
    <row r="606" spans="1:103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171"/>
      <c r="AP606" s="56"/>
      <c r="AQ606" s="56"/>
      <c r="AR606" s="56"/>
      <c r="AS606" s="56"/>
      <c r="AT606" s="56"/>
      <c r="AU606" s="56"/>
      <c r="AV606" s="56"/>
      <c r="AW606" s="171"/>
      <c r="AX606" s="56"/>
      <c r="AY606" s="56"/>
      <c r="AZ606" s="56"/>
      <c r="BA606" s="171"/>
      <c r="BB606" s="56"/>
      <c r="BC606" s="10"/>
      <c r="BD606" s="56"/>
      <c r="BE606" s="56"/>
      <c r="BF606" s="56"/>
      <c r="BG606" s="56"/>
      <c r="BO606" s="144"/>
      <c r="CI606" s="144"/>
      <c r="CY606" s="144"/>
    </row>
    <row r="607" spans="1:103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171"/>
      <c r="AP607" s="56"/>
      <c r="AQ607" s="56"/>
      <c r="AR607" s="56"/>
      <c r="AS607" s="56"/>
      <c r="AT607" s="56"/>
      <c r="AU607" s="56"/>
      <c r="AV607" s="56"/>
      <c r="AW607" s="171"/>
      <c r="AX607" s="56"/>
      <c r="AY607" s="56"/>
      <c r="AZ607" s="56"/>
      <c r="BA607" s="171"/>
      <c r="BB607" s="56"/>
      <c r="BC607" s="10"/>
      <c r="BD607" s="56"/>
      <c r="BE607" s="56"/>
      <c r="BF607" s="56"/>
      <c r="BG607" s="56"/>
      <c r="BO607" s="144"/>
      <c r="CI607" s="144"/>
      <c r="CY607" s="144"/>
    </row>
    <row r="608" spans="1:103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171"/>
      <c r="AP608" s="56"/>
      <c r="AQ608" s="56"/>
      <c r="AR608" s="56"/>
      <c r="AS608" s="56"/>
      <c r="AT608" s="56"/>
      <c r="AU608" s="56"/>
      <c r="AV608" s="56"/>
      <c r="AW608" s="171"/>
      <c r="AX608" s="56"/>
      <c r="AY608" s="56"/>
      <c r="AZ608" s="56"/>
      <c r="BA608" s="171"/>
      <c r="BB608" s="56"/>
      <c r="BC608" s="10"/>
      <c r="BD608" s="56"/>
      <c r="BE608" s="56"/>
      <c r="BF608" s="56"/>
      <c r="BG608" s="56"/>
      <c r="BO608" s="144"/>
      <c r="CI608" s="144"/>
      <c r="CY608" s="144"/>
    </row>
    <row r="609" spans="1:103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171"/>
      <c r="AP609" s="56"/>
      <c r="AQ609" s="56"/>
      <c r="AR609" s="56"/>
      <c r="AS609" s="56"/>
      <c r="AT609" s="56"/>
      <c r="AU609" s="56"/>
      <c r="AV609" s="56"/>
      <c r="AW609" s="171"/>
      <c r="AX609" s="56"/>
      <c r="AY609" s="56"/>
      <c r="AZ609" s="56"/>
      <c r="BA609" s="171"/>
      <c r="BB609" s="56"/>
      <c r="BC609" s="10"/>
      <c r="BD609" s="56"/>
      <c r="BE609" s="56"/>
      <c r="BF609" s="56"/>
      <c r="BG609" s="56"/>
      <c r="BO609" s="144"/>
      <c r="CI609" s="144"/>
      <c r="CY609" s="144"/>
    </row>
    <row r="610" spans="1:103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171"/>
      <c r="AP610" s="56"/>
      <c r="AQ610" s="56"/>
      <c r="AR610" s="56"/>
      <c r="AS610" s="56"/>
      <c r="AT610" s="56"/>
      <c r="AU610" s="56"/>
      <c r="AV610" s="56"/>
      <c r="AW610" s="171"/>
      <c r="AX610" s="56"/>
      <c r="AY610" s="56"/>
      <c r="AZ610" s="56"/>
      <c r="BA610" s="171"/>
      <c r="BB610" s="56"/>
      <c r="BC610" s="10"/>
      <c r="BD610" s="56"/>
      <c r="BE610" s="56"/>
      <c r="BF610" s="56"/>
      <c r="BG610" s="56"/>
      <c r="BO610" s="144"/>
      <c r="CI610" s="144"/>
      <c r="CY610" s="144"/>
    </row>
    <row r="611" spans="1:103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171"/>
      <c r="AP611" s="56"/>
      <c r="AQ611" s="56"/>
      <c r="AR611" s="56"/>
      <c r="AS611" s="56"/>
      <c r="AT611" s="56"/>
      <c r="AU611" s="56"/>
      <c r="AV611" s="56"/>
      <c r="AW611" s="171"/>
      <c r="AX611" s="56"/>
      <c r="AY611" s="56"/>
      <c r="AZ611" s="56"/>
      <c r="BA611" s="171"/>
      <c r="BB611" s="56"/>
      <c r="BC611" s="10"/>
      <c r="BD611" s="56"/>
      <c r="BE611" s="56"/>
      <c r="BF611" s="56"/>
      <c r="BG611" s="56"/>
      <c r="BO611" s="144"/>
      <c r="CI611" s="144"/>
      <c r="CY611" s="144"/>
    </row>
    <row r="612" spans="1:103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171"/>
      <c r="AP612" s="56"/>
      <c r="AQ612" s="56"/>
      <c r="AR612" s="56"/>
      <c r="AS612" s="56"/>
      <c r="AT612" s="56"/>
      <c r="AU612" s="56"/>
      <c r="AV612" s="56"/>
      <c r="AW612" s="171"/>
      <c r="AX612" s="56"/>
      <c r="AY612" s="56"/>
      <c r="AZ612" s="56"/>
      <c r="BA612" s="171"/>
      <c r="BB612" s="56"/>
      <c r="BC612" s="10"/>
      <c r="BD612" s="56"/>
      <c r="BE612" s="56"/>
      <c r="BF612" s="56"/>
      <c r="BG612" s="56"/>
      <c r="BO612" s="144"/>
      <c r="CI612" s="144"/>
      <c r="CY612" s="144"/>
    </row>
    <row r="613" spans="1:103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171"/>
      <c r="AP613" s="56"/>
      <c r="AQ613" s="56"/>
      <c r="AR613" s="56"/>
      <c r="AS613" s="56"/>
      <c r="AT613" s="56"/>
      <c r="AU613" s="56"/>
      <c r="AV613" s="56"/>
      <c r="AW613" s="171"/>
      <c r="AX613" s="56"/>
      <c r="AY613" s="56"/>
      <c r="AZ613" s="56"/>
      <c r="BA613" s="171"/>
      <c r="BB613" s="56"/>
      <c r="BC613" s="10"/>
      <c r="BD613" s="56"/>
      <c r="BE613" s="56"/>
      <c r="BF613" s="56"/>
      <c r="BG613" s="56"/>
      <c r="BO613" s="144"/>
      <c r="CI613" s="144"/>
      <c r="CY613" s="144"/>
    </row>
    <row r="614" spans="1:103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171"/>
      <c r="AP614" s="56"/>
      <c r="AQ614" s="56"/>
      <c r="AR614" s="56"/>
      <c r="AS614" s="56"/>
      <c r="AT614" s="56"/>
      <c r="AU614" s="56"/>
      <c r="AV614" s="56"/>
      <c r="AW614" s="171"/>
      <c r="AX614" s="56"/>
      <c r="AY614" s="56"/>
      <c r="AZ614" s="56"/>
      <c r="BA614" s="171"/>
      <c r="BB614" s="56"/>
      <c r="BC614" s="10"/>
      <c r="BD614" s="56"/>
      <c r="BE614" s="56"/>
      <c r="BF614" s="56"/>
      <c r="BG614" s="56"/>
      <c r="BO614" s="144"/>
      <c r="CI614" s="144"/>
      <c r="CY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575</v>
      </c>
      <c r="I3" s="56" t="s">
        <v>585</v>
      </c>
      <c r="J3" s="56" t="s">
        <v>586</v>
      </c>
      <c r="K3" s="56" t="s">
        <v>587</v>
      </c>
      <c r="L3" s="56" t="s">
        <v>592</v>
      </c>
      <c r="M3" s="56" t="s">
        <v>598</v>
      </c>
    </row>
    <row r="4" spans="1:24" s="102" customFormat="1" ht="64.5" customHeight="1" thickBot="1" x14ac:dyDescent="0.2">
      <c r="A4" s="97" t="s">
        <v>572</v>
      </c>
      <c r="B4" s="90" t="s">
        <v>671</v>
      </c>
      <c r="C4" s="106"/>
      <c r="D4" s="90"/>
      <c r="E4" s="90"/>
      <c r="F4" s="106"/>
      <c r="G4" s="93" t="s">
        <v>576</v>
      </c>
      <c r="H4" s="93" t="s">
        <v>580</v>
      </c>
      <c r="I4" s="92" t="s">
        <v>661</v>
      </c>
      <c r="J4" s="92" t="s">
        <v>662</v>
      </c>
      <c r="K4" s="92" t="s">
        <v>663</v>
      </c>
      <c r="L4" s="92" t="s">
        <v>590</v>
      </c>
      <c r="M4" s="92" t="s">
        <v>668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577</v>
      </c>
      <c r="H5" s="11" t="s">
        <v>578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584</v>
      </c>
      <c r="H6" s="11" t="s">
        <v>1111</v>
      </c>
      <c r="I6" s="56">
        <v>10000000</v>
      </c>
      <c r="J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581</v>
      </c>
      <c r="H7" s="11" t="s">
        <v>591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579</v>
      </c>
      <c r="H8" s="11" t="s">
        <v>583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582</v>
      </c>
      <c r="H9" s="11" t="s">
        <v>665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676</v>
      </c>
      <c r="H10" s="11" t="s">
        <v>643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659</v>
      </c>
      <c r="H11" s="10" t="s">
        <v>664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660</v>
      </c>
      <c r="H12" s="10" t="s">
        <v>664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667</v>
      </c>
      <c r="H13" s="10" t="s">
        <v>669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673</v>
      </c>
      <c r="H14" s="10" t="s">
        <v>674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678</v>
      </c>
      <c r="H15" s="10" t="s">
        <v>672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679</v>
      </c>
      <c r="H16" s="10" t="s">
        <v>677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680</v>
      </c>
      <c r="H17" s="10" t="s">
        <v>681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862</v>
      </c>
      <c r="H18" s="10" t="s">
        <v>863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1091</v>
      </c>
      <c r="H19" s="158" t="s">
        <v>1071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2018-09-04T09:09:15Z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