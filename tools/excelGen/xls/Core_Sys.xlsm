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6" activeTab="12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S86" i="57" l="1"/>
  <c r="S87" i="57"/>
  <c r="S88" i="57"/>
  <c r="S89" i="57"/>
  <c r="S90" i="57"/>
  <c r="S85" i="57"/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T6" i="30" l="1"/>
  <c r="T7" i="30"/>
  <c r="T8" i="30"/>
  <c r="T9" i="30"/>
  <c r="T10" i="30"/>
  <c r="T11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N224" i="9" l="1"/>
  <c r="AG224" i="9" s="1"/>
  <c r="BL224" i="9"/>
  <c r="BG224" i="9"/>
  <c r="BB224" i="9"/>
  <c r="AN224" i="9"/>
  <c r="AL224" i="9"/>
  <c r="AJ224" i="9"/>
  <c r="Z224" i="9"/>
  <c r="W224" i="9"/>
  <c r="F224" i="9"/>
  <c r="C224" i="9"/>
  <c r="A224" i="9" s="1"/>
  <c r="BN223" i="9"/>
  <c r="AG223" i="9" s="1"/>
  <c r="BL223" i="9"/>
  <c r="BG223" i="9"/>
  <c r="BB223" i="9"/>
  <c r="AN223" i="9"/>
  <c r="AL223" i="9"/>
  <c r="AJ223" i="9"/>
  <c r="Z223" i="9"/>
  <c r="W223" i="9"/>
  <c r="F223" i="9"/>
  <c r="C223" i="9"/>
  <c r="A223" i="9"/>
  <c r="BN222" i="9"/>
  <c r="AP222" i="9" s="1"/>
  <c r="BL222" i="9"/>
  <c r="BG222" i="9"/>
  <c r="BB222" i="9"/>
  <c r="AN222" i="9"/>
  <c r="AL222" i="9"/>
  <c r="AJ222" i="9"/>
  <c r="Z222" i="9"/>
  <c r="W222" i="9"/>
  <c r="F222" i="9"/>
  <c r="C222" i="9"/>
  <c r="A222" i="9"/>
  <c r="BN221" i="9"/>
  <c r="AP221" i="9" s="1"/>
  <c r="BL221" i="9"/>
  <c r="BG221" i="9"/>
  <c r="BB221" i="9"/>
  <c r="AN221" i="9"/>
  <c r="AL221" i="9"/>
  <c r="AJ221" i="9"/>
  <c r="Z221" i="9"/>
  <c r="W221" i="9"/>
  <c r="F221" i="9"/>
  <c r="C221" i="9"/>
  <c r="A221" i="9"/>
  <c r="BN220" i="9"/>
  <c r="AG220" i="9" s="1"/>
  <c r="BL220" i="9"/>
  <c r="BG220" i="9"/>
  <c r="BB220" i="9"/>
  <c r="AN220" i="9"/>
  <c r="AL220" i="9"/>
  <c r="AJ220" i="9"/>
  <c r="Z220" i="9"/>
  <c r="W220" i="9"/>
  <c r="F220" i="9"/>
  <c r="C220" i="9"/>
  <c r="A220" i="9"/>
  <c r="BN219" i="9"/>
  <c r="BL219" i="9"/>
  <c r="BG219" i="9"/>
  <c r="BB219" i="9"/>
  <c r="AP219" i="9"/>
  <c r="AN219" i="9"/>
  <c r="AL219" i="9"/>
  <c r="AJ219" i="9"/>
  <c r="AG219" i="9"/>
  <c r="AH220" i="9" s="1"/>
  <c r="Z219" i="9"/>
  <c r="W219" i="9"/>
  <c r="F219" i="9"/>
  <c r="C219" i="9"/>
  <c r="A219" i="9" s="1"/>
  <c r="BN218" i="9"/>
  <c r="BL218" i="9"/>
  <c r="BG218" i="9"/>
  <c r="BB218" i="9"/>
  <c r="AP218" i="9"/>
  <c r="AN218" i="9"/>
  <c r="AL218" i="9"/>
  <c r="AJ218" i="9"/>
  <c r="AG218" i="9"/>
  <c r="AH219" i="9" s="1"/>
  <c r="Z218" i="9"/>
  <c r="W218" i="9"/>
  <c r="F218" i="9"/>
  <c r="C218" i="9"/>
  <c r="A218" i="9" s="1"/>
  <c r="BN217" i="9"/>
  <c r="AP217" i="9" s="1"/>
  <c r="BL217" i="9"/>
  <c r="BG217" i="9"/>
  <c r="BB217" i="9"/>
  <c r="AN217" i="9"/>
  <c r="AL217" i="9"/>
  <c r="AJ217" i="9"/>
  <c r="AG217" i="9"/>
  <c r="AH218" i="9" s="1"/>
  <c r="Z217" i="9"/>
  <c r="W217" i="9"/>
  <c r="F217" i="9"/>
  <c r="C217" i="9"/>
  <c r="A217" i="9"/>
  <c r="BN216" i="9"/>
  <c r="AP216" i="9" s="1"/>
  <c r="BL216" i="9"/>
  <c r="BG216" i="9"/>
  <c r="BB216" i="9"/>
  <c r="AN216" i="9"/>
  <c r="AL216" i="9"/>
  <c r="AJ216" i="9"/>
  <c r="AG216" i="9"/>
  <c r="AH217" i="9" s="1"/>
  <c r="Z216" i="9"/>
  <c r="W216" i="9"/>
  <c r="F216" i="9"/>
  <c r="C216" i="9"/>
  <c r="A216" i="9" s="1"/>
  <c r="BN215" i="9"/>
  <c r="AP215" i="9" s="1"/>
  <c r="BL215" i="9"/>
  <c r="BG215" i="9"/>
  <c r="BB215" i="9"/>
  <c r="AW215" i="9"/>
  <c r="AN215" i="9"/>
  <c r="AL215" i="9"/>
  <c r="AJ215" i="9"/>
  <c r="AG215" i="9"/>
  <c r="AH216" i="9" s="1"/>
  <c r="Z215" i="9"/>
  <c r="W215" i="9"/>
  <c r="F215" i="9"/>
  <c r="C215" i="9"/>
  <c r="A215" i="9"/>
  <c r="BN214" i="9"/>
  <c r="AP214" i="9" s="1"/>
  <c r="BL214" i="9"/>
  <c r="BB214" i="9"/>
  <c r="AW214" i="9"/>
  <c r="AN214" i="9"/>
  <c r="AL214" i="9"/>
  <c r="AJ214" i="9"/>
  <c r="Z214" i="9"/>
  <c r="W214" i="9"/>
  <c r="F214" i="9"/>
  <c r="C214" i="9"/>
  <c r="A214" i="9"/>
  <c r="BN213" i="9"/>
  <c r="AG213" i="9" s="1"/>
  <c r="BL213" i="9"/>
  <c r="BG213" i="9"/>
  <c r="BB213" i="9"/>
  <c r="AW213" i="9"/>
  <c r="AN213" i="9"/>
  <c r="AL213" i="9"/>
  <c r="AJ213" i="9"/>
  <c r="Z213" i="9"/>
  <c r="W213" i="9"/>
  <c r="F213" i="9"/>
  <c r="C213" i="9"/>
  <c r="A213" i="9"/>
  <c r="BN212" i="9"/>
  <c r="AG212" i="9" s="1"/>
  <c r="AH213" i="9" s="1"/>
  <c r="BL212" i="9"/>
  <c r="BG212" i="9"/>
  <c r="BB212" i="9"/>
  <c r="AW212" i="9"/>
  <c r="AN212" i="9"/>
  <c r="AL212" i="9"/>
  <c r="AJ212" i="9"/>
  <c r="Z212" i="9"/>
  <c r="W212" i="9"/>
  <c r="F212" i="9"/>
  <c r="C212" i="9"/>
  <c r="A212" i="9"/>
  <c r="BN211" i="9"/>
  <c r="BL211" i="9"/>
  <c r="BG211" i="9"/>
  <c r="BB211" i="9"/>
  <c r="AW211" i="9"/>
  <c r="AP211" i="9"/>
  <c r="AN211" i="9"/>
  <c r="AL211" i="9"/>
  <c r="AJ211" i="9"/>
  <c r="AG211" i="9"/>
  <c r="Z211" i="9"/>
  <c r="W211" i="9"/>
  <c r="F211" i="9"/>
  <c r="C211" i="9"/>
  <c r="A211" i="9" s="1"/>
  <c r="BN210" i="9"/>
  <c r="BL210" i="9"/>
  <c r="BG210" i="9"/>
  <c r="BB210" i="9"/>
  <c r="AW210" i="9"/>
  <c r="AP210" i="9"/>
  <c r="AN210" i="9"/>
  <c r="AL210" i="9"/>
  <c r="AJ210" i="9"/>
  <c r="AG210" i="9"/>
  <c r="AH211" i="9" s="1"/>
  <c r="Z210" i="9"/>
  <c r="W210" i="9"/>
  <c r="F210" i="9"/>
  <c r="C210" i="9"/>
  <c r="A210" i="9" s="1"/>
  <c r="BN209" i="9"/>
  <c r="AP209" i="9" s="1"/>
  <c r="BL209" i="9"/>
  <c r="BG209" i="9"/>
  <c r="BB209" i="9"/>
  <c r="AW209" i="9"/>
  <c r="AN209" i="9"/>
  <c r="AL209" i="9"/>
  <c r="AJ209" i="9"/>
  <c r="AG209" i="9"/>
  <c r="AH210" i="9" s="1"/>
  <c r="Z209" i="9"/>
  <c r="W209" i="9"/>
  <c r="F209" i="9"/>
  <c r="C209" i="9"/>
  <c r="A209" i="9"/>
  <c r="BN208" i="9"/>
  <c r="AP208" i="9" s="1"/>
  <c r="BL208" i="9"/>
  <c r="BG208" i="9"/>
  <c r="BB208" i="9"/>
  <c r="AW208" i="9"/>
  <c r="AN208" i="9"/>
  <c r="AL208" i="9"/>
  <c r="AJ208" i="9"/>
  <c r="AG208" i="9"/>
  <c r="AH209" i="9" s="1"/>
  <c r="Z208" i="9"/>
  <c r="W208" i="9"/>
  <c r="F208" i="9"/>
  <c r="C208" i="9"/>
  <c r="A208" i="9" s="1"/>
  <c r="BN207" i="9"/>
  <c r="AP207" i="9" s="1"/>
  <c r="BL207" i="9"/>
  <c r="BG207" i="9"/>
  <c r="BB207" i="9"/>
  <c r="AW207" i="9"/>
  <c r="AN207" i="9"/>
  <c r="AL207" i="9"/>
  <c r="AJ207" i="9"/>
  <c r="AG207" i="9"/>
  <c r="AH208" i="9" s="1"/>
  <c r="Z207" i="9"/>
  <c r="W207" i="9"/>
  <c r="F207" i="9"/>
  <c r="C207" i="9"/>
  <c r="A207" i="9"/>
  <c r="BN206" i="9"/>
  <c r="AP206" i="9" s="1"/>
  <c r="BL206" i="9"/>
  <c r="BG206" i="9"/>
  <c r="BB206" i="9"/>
  <c r="AW206" i="9"/>
  <c r="AN206" i="9"/>
  <c r="AL206" i="9"/>
  <c r="AJ206" i="9"/>
  <c r="Z206" i="9"/>
  <c r="W206" i="9"/>
  <c r="F206" i="9"/>
  <c r="C206" i="9"/>
  <c r="A206" i="9"/>
  <c r="BN205" i="9"/>
  <c r="AP205" i="9" s="1"/>
  <c r="BL205" i="9"/>
  <c r="BG205" i="9"/>
  <c r="AW205" i="9"/>
  <c r="AN205" i="9"/>
  <c r="AL205" i="9"/>
  <c r="AJ205" i="9"/>
  <c r="Z205" i="9"/>
  <c r="W205" i="9"/>
  <c r="F205" i="9"/>
  <c r="C205" i="9"/>
  <c r="A205" i="9"/>
  <c r="AH214" i="9" l="1"/>
  <c r="AH224" i="9"/>
  <c r="AH212" i="9"/>
  <c r="AP213" i="9"/>
  <c r="AG205" i="9"/>
  <c r="AG221" i="9"/>
  <c r="AH222" i="9" s="1"/>
  <c r="AP224" i="9"/>
  <c r="AP212" i="9"/>
  <c r="AP220" i="9"/>
  <c r="AP223" i="9"/>
  <c r="AG206" i="9"/>
  <c r="AH207" i="9" s="1"/>
  <c r="AG214" i="9"/>
  <c r="AH215" i="9" s="1"/>
  <c r="AG222" i="9"/>
  <c r="AH223" i="9" s="1"/>
  <c r="W604" i="9"/>
  <c r="W603" i="9"/>
  <c r="W602" i="9"/>
  <c r="W601" i="9"/>
  <c r="W600" i="9"/>
  <c r="W599" i="9"/>
  <c r="W598" i="9"/>
  <c r="W597" i="9"/>
  <c r="W596" i="9"/>
  <c r="W595" i="9"/>
  <c r="W594" i="9"/>
  <c r="W593" i="9"/>
  <c r="W592" i="9"/>
  <c r="W591" i="9"/>
  <c r="W590" i="9"/>
  <c r="W589" i="9"/>
  <c r="W588" i="9"/>
  <c r="W587" i="9"/>
  <c r="W586" i="9"/>
  <c r="W585" i="9"/>
  <c r="W584" i="9"/>
  <c r="W583" i="9"/>
  <c r="W582" i="9"/>
  <c r="W581" i="9"/>
  <c r="W580" i="9"/>
  <c r="W579" i="9"/>
  <c r="W578" i="9"/>
  <c r="W577" i="9"/>
  <c r="W576" i="9"/>
  <c r="W575" i="9"/>
  <c r="W574" i="9"/>
  <c r="W573" i="9"/>
  <c r="W572" i="9"/>
  <c r="W571" i="9"/>
  <c r="W570" i="9"/>
  <c r="W569" i="9"/>
  <c r="W568" i="9"/>
  <c r="W567" i="9"/>
  <c r="W566" i="9"/>
  <c r="W565" i="9"/>
  <c r="W564" i="9"/>
  <c r="W563" i="9"/>
  <c r="W562" i="9"/>
  <c r="W561" i="9"/>
  <c r="W560" i="9"/>
  <c r="W559" i="9"/>
  <c r="W558" i="9"/>
  <c r="W557" i="9"/>
  <c r="W556" i="9"/>
  <c r="W555" i="9"/>
  <c r="W554" i="9"/>
  <c r="W553" i="9"/>
  <c r="W552" i="9"/>
  <c r="W551" i="9"/>
  <c r="W550" i="9"/>
  <c r="W549" i="9"/>
  <c r="W548" i="9"/>
  <c r="W547" i="9"/>
  <c r="W546" i="9"/>
  <c r="W545" i="9"/>
  <c r="W544" i="9"/>
  <c r="W543" i="9"/>
  <c r="W542" i="9"/>
  <c r="W541" i="9"/>
  <c r="W540" i="9"/>
  <c r="W539" i="9"/>
  <c r="W538" i="9"/>
  <c r="W537" i="9"/>
  <c r="W536" i="9"/>
  <c r="W535" i="9"/>
  <c r="W534" i="9"/>
  <c r="W533" i="9"/>
  <c r="W532" i="9"/>
  <c r="W531" i="9"/>
  <c r="W530" i="9"/>
  <c r="W529" i="9"/>
  <c r="W528" i="9"/>
  <c r="W527" i="9"/>
  <c r="W526" i="9"/>
  <c r="W525" i="9"/>
  <c r="W524" i="9"/>
  <c r="W523" i="9"/>
  <c r="W522" i="9"/>
  <c r="W521" i="9"/>
  <c r="W520" i="9"/>
  <c r="W519" i="9"/>
  <c r="W518" i="9"/>
  <c r="W517" i="9"/>
  <c r="W516" i="9"/>
  <c r="W515" i="9"/>
  <c r="W514" i="9"/>
  <c r="W513" i="9"/>
  <c r="W512" i="9"/>
  <c r="W511" i="9"/>
  <c r="W510" i="9"/>
  <c r="W509" i="9"/>
  <c r="W508" i="9"/>
  <c r="W507" i="9"/>
  <c r="W506" i="9"/>
  <c r="W505" i="9"/>
  <c r="W504" i="9"/>
  <c r="W503" i="9"/>
  <c r="W502" i="9"/>
  <c r="W501" i="9"/>
  <c r="W500" i="9"/>
  <c r="W499" i="9"/>
  <c r="W498" i="9"/>
  <c r="W497" i="9"/>
  <c r="W496" i="9"/>
  <c r="W495" i="9"/>
  <c r="W494" i="9"/>
  <c r="W493" i="9"/>
  <c r="W492" i="9"/>
  <c r="W491" i="9"/>
  <c r="W490" i="9"/>
  <c r="W489" i="9"/>
  <c r="W488" i="9"/>
  <c r="W487" i="9"/>
  <c r="W486" i="9"/>
  <c r="W485" i="9"/>
  <c r="W484" i="9"/>
  <c r="W483" i="9"/>
  <c r="W482" i="9"/>
  <c r="W481" i="9"/>
  <c r="W480" i="9"/>
  <c r="W479" i="9"/>
  <c r="W478" i="9"/>
  <c r="W477" i="9"/>
  <c r="W476" i="9"/>
  <c r="W475" i="9"/>
  <c r="W474" i="9"/>
  <c r="W473" i="9"/>
  <c r="W472" i="9"/>
  <c r="W471" i="9"/>
  <c r="W470" i="9"/>
  <c r="W469" i="9"/>
  <c r="W468" i="9"/>
  <c r="W467" i="9"/>
  <c r="W466" i="9"/>
  <c r="W465" i="9"/>
  <c r="W464" i="9"/>
  <c r="W463" i="9"/>
  <c r="W462" i="9"/>
  <c r="W461" i="9"/>
  <c r="W460" i="9"/>
  <c r="W459" i="9"/>
  <c r="W458" i="9"/>
  <c r="W457" i="9"/>
  <c r="W456" i="9"/>
  <c r="W455" i="9"/>
  <c r="W454" i="9"/>
  <c r="W453" i="9"/>
  <c r="W452" i="9"/>
  <c r="W451" i="9"/>
  <c r="W450" i="9"/>
  <c r="W449" i="9"/>
  <c r="W448" i="9"/>
  <c r="W447" i="9"/>
  <c r="W446" i="9"/>
  <c r="W445" i="9"/>
  <c r="W444" i="9"/>
  <c r="W443" i="9"/>
  <c r="W442" i="9"/>
  <c r="W441" i="9"/>
  <c r="W440" i="9"/>
  <c r="W439" i="9"/>
  <c r="W438" i="9"/>
  <c r="W437" i="9"/>
  <c r="W436" i="9"/>
  <c r="W435" i="9"/>
  <c r="W434" i="9"/>
  <c r="W433" i="9"/>
  <c r="W432" i="9"/>
  <c r="W431" i="9"/>
  <c r="W430" i="9"/>
  <c r="W429" i="9"/>
  <c r="W428" i="9"/>
  <c r="W427" i="9"/>
  <c r="W426" i="9"/>
  <c r="W425" i="9"/>
  <c r="W384" i="9"/>
  <c r="W383" i="9"/>
  <c r="W382" i="9"/>
  <c r="W381" i="9"/>
  <c r="W380" i="9"/>
  <c r="W379" i="9"/>
  <c r="W378" i="9"/>
  <c r="W377" i="9"/>
  <c r="W376" i="9"/>
  <c r="W375" i="9"/>
  <c r="W374" i="9"/>
  <c r="W373" i="9"/>
  <c r="W372" i="9"/>
  <c r="W371" i="9"/>
  <c r="W370" i="9"/>
  <c r="W369" i="9"/>
  <c r="W368" i="9"/>
  <c r="W367" i="9"/>
  <c r="W366" i="9"/>
  <c r="W365" i="9"/>
  <c r="W324" i="9"/>
  <c r="W323" i="9"/>
  <c r="W322" i="9"/>
  <c r="W321" i="9"/>
  <c r="W320" i="9"/>
  <c r="W319" i="9"/>
  <c r="W318" i="9"/>
  <c r="W317" i="9"/>
  <c r="W316" i="9"/>
  <c r="W315" i="9"/>
  <c r="W314" i="9"/>
  <c r="W313" i="9"/>
  <c r="W312" i="9"/>
  <c r="W311" i="9"/>
  <c r="W310" i="9"/>
  <c r="W309" i="9"/>
  <c r="W308" i="9"/>
  <c r="W307" i="9"/>
  <c r="W306" i="9"/>
  <c r="W305" i="9"/>
  <c r="W304" i="9"/>
  <c r="W303" i="9"/>
  <c r="W302" i="9"/>
  <c r="W301" i="9"/>
  <c r="W300" i="9"/>
  <c r="W299" i="9"/>
  <c r="W298" i="9"/>
  <c r="W297" i="9"/>
  <c r="W296" i="9"/>
  <c r="W295" i="9"/>
  <c r="W294" i="9"/>
  <c r="W293" i="9"/>
  <c r="W292" i="9"/>
  <c r="W291" i="9"/>
  <c r="W290" i="9"/>
  <c r="W289" i="9"/>
  <c r="W288" i="9"/>
  <c r="W287" i="9"/>
  <c r="W286" i="9"/>
  <c r="W285" i="9"/>
  <c r="W284" i="9"/>
  <c r="W283" i="9"/>
  <c r="W282" i="9"/>
  <c r="W281" i="9"/>
  <c r="W280" i="9"/>
  <c r="W279" i="9"/>
  <c r="W278" i="9"/>
  <c r="W277" i="9"/>
  <c r="W276" i="9"/>
  <c r="W275" i="9"/>
  <c r="W274" i="9"/>
  <c r="W273" i="9"/>
  <c r="W272" i="9"/>
  <c r="W271" i="9"/>
  <c r="W270" i="9"/>
  <c r="W269" i="9"/>
  <c r="W268" i="9"/>
  <c r="W267" i="9"/>
  <c r="W266" i="9"/>
  <c r="W265" i="9"/>
  <c r="W264" i="9"/>
  <c r="W263" i="9"/>
  <c r="W262" i="9"/>
  <c r="W261" i="9"/>
  <c r="W260" i="9"/>
  <c r="W259" i="9"/>
  <c r="W258" i="9"/>
  <c r="W257" i="9"/>
  <c r="W256" i="9"/>
  <c r="W255" i="9"/>
  <c r="W254" i="9"/>
  <c r="W253" i="9"/>
  <c r="W252" i="9"/>
  <c r="W251" i="9"/>
  <c r="W250" i="9"/>
  <c r="W249" i="9"/>
  <c r="W248" i="9"/>
  <c r="W247" i="9"/>
  <c r="W246" i="9"/>
  <c r="W245" i="9"/>
  <c r="W244" i="9"/>
  <c r="W243" i="9"/>
  <c r="W242" i="9"/>
  <c r="W241" i="9"/>
  <c r="W240" i="9"/>
  <c r="W239" i="9"/>
  <c r="W238" i="9"/>
  <c r="W237" i="9"/>
  <c r="W236" i="9"/>
  <c r="W235" i="9"/>
  <c r="W234" i="9"/>
  <c r="W233" i="9"/>
  <c r="W232" i="9"/>
  <c r="W231" i="9"/>
  <c r="W230" i="9"/>
  <c r="W229" i="9"/>
  <c r="W228" i="9"/>
  <c r="W227" i="9"/>
  <c r="W226" i="9"/>
  <c r="W225" i="9"/>
  <c r="W204" i="9"/>
  <c r="W203" i="9"/>
  <c r="W202" i="9"/>
  <c r="W201" i="9"/>
  <c r="W200" i="9"/>
  <c r="W199" i="9"/>
  <c r="W198" i="9"/>
  <c r="W197" i="9"/>
  <c r="W196" i="9"/>
  <c r="W195" i="9"/>
  <c r="W194" i="9"/>
  <c r="W193" i="9"/>
  <c r="W192" i="9"/>
  <c r="W191" i="9"/>
  <c r="W190" i="9"/>
  <c r="W189" i="9"/>
  <c r="W188" i="9"/>
  <c r="W187" i="9"/>
  <c r="W186" i="9"/>
  <c r="W185" i="9"/>
  <c r="W164" i="9"/>
  <c r="W163" i="9"/>
  <c r="W162" i="9"/>
  <c r="W161" i="9"/>
  <c r="W160" i="9"/>
  <c r="W159" i="9"/>
  <c r="W158" i="9"/>
  <c r="W157" i="9"/>
  <c r="W156" i="9"/>
  <c r="W155" i="9"/>
  <c r="W154" i="9"/>
  <c r="W153" i="9"/>
  <c r="W152" i="9"/>
  <c r="W151" i="9"/>
  <c r="W150" i="9"/>
  <c r="W149" i="9"/>
  <c r="W148" i="9"/>
  <c r="W147" i="9"/>
  <c r="W146" i="9"/>
  <c r="W145" i="9"/>
  <c r="W144" i="9"/>
  <c r="W143" i="9"/>
  <c r="W142" i="9"/>
  <c r="W141" i="9"/>
  <c r="W140" i="9"/>
  <c r="W139" i="9"/>
  <c r="W138" i="9"/>
  <c r="W137" i="9"/>
  <c r="W136" i="9"/>
  <c r="W135" i="9"/>
  <c r="W134" i="9"/>
  <c r="W133" i="9"/>
  <c r="W132" i="9"/>
  <c r="W131" i="9"/>
  <c r="W130" i="9"/>
  <c r="W129" i="9"/>
  <c r="W128" i="9"/>
  <c r="W127" i="9"/>
  <c r="W126" i="9"/>
  <c r="W125" i="9"/>
  <c r="W84" i="9"/>
  <c r="W83" i="9"/>
  <c r="W82" i="9"/>
  <c r="W81" i="9"/>
  <c r="W80" i="9"/>
  <c r="W79" i="9"/>
  <c r="W78" i="9"/>
  <c r="W77" i="9"/>
  <c r="W76" i="9"/>
  <c r="W75" i="9"/>
  <c r="W74" i="9"/>
  <c r="W73" i="9"/>
  <c r="W72" i="9"/>
  <c r="W71" i="9"/>
  <c r="W70" i="9"/>
  <c r="W69" i="9"/>
  <c r="W68" i="9"/>
  <c r="W67" i="9"/>
  <c r="W6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W51" i="9"/>
  <c r="W50" i="9"/>
  <c r="W49" i="9"/>
  <c r="W48" i="9"/>
  <c r="W47" i="9"/>
  <c r="W46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W5" i="9"/>
  <c r="Z185" i="9"/>
  <c r="Z186" i="9"/>
  <c r="Z187" i="9"/>
  <c r="Z188" i="9"/>
  <c r="Z189" i="9"/>
  <c r="Z190" i="9"/>
  <c r="Z191" i="9"/>
  <c r="Z192" i="9"/>
  <c r="Z193" i="9"/>
  <c r="Z194" i="9"/>
  <c r="Z195" i="9"/>
  <c r="Z196" i="9"/>
  <c r="Z197" i="9"/>
  <c r="Z198" i="9"/>
  <c r="Z199" i="9"/>
  <c r="Z200" i="9"/>
  <c r="Z201" i="9"/>
  <c r="Z202" i="9"/>
  <c r="Z203" i="9"/>
  <c r="Z204" i="9"/>
  <c r="Z225" i="9"/>
  <c r="Z226" i="9"/>
  <c r="Z227" i="9"/>
  <c r="Z228" i="9"/>
  <c r="Z229" i="9"/>
  <c r="Z230" i="9"/>
  <c r="Z231" i="9"/>
  <c r="Z232" i="9"/>
  <c r="Z233" i="9"/>
  <c r="Z234" i="9"/>
  <c r="Z235" i="9"/>
  <c r="Z236" i="9"/>
  <c r="Z237" i="9"/>
  <c r="Z238" i="9"/>
  <c r="Z239" i="9"/>
  <c r="Z240" i="9"/>
  <c r="Z241" i="9"/>
  <c r="Z242" i="9"/>
  <c r="Z243" i="9"/>
  <c r="Z244" i="9"/>
  <c r="Z245" i="9"/>
  <c r="Z246" i="9"/>
  <c r="Z247" i="9"/>
  <c r="Z248" i="9"/>
  <c r="Z249" i="9"/>
  <c r="Z250" i="9"/>
  <c r="Z251" i="9"/>
  <c r="Z252" i="9"/>
  <c r="Z253" i="9"/>
  <c r="Z254" i="9"/>
  <c r="Z255" i="9"/>
  <c r="Z256" i="9"/>
  <c r="Z257" i="9"/>
  <c r="Z258" i="9"/>
  <c r="Z259" i="9"/>
  <c r="Z260" i="9"/>
  <c r="Z261" i="9"/>
  <c r="Z262" i="9"/>
  <c r="Z263" i="9"/>
  <c r="Z264" i="9"/>
  <c r="Z265" i="9"/>
  <c r="Z266" i="9"/>
  <c r="Z267" i="9"/>
  <c r="Z268" i="9"/>
  <c r="Z269" i="9"/>
  <c r="Z270" i="9"/>
  <c r="Z271" i="9"/>
  <c r="Z272" i="9"/>
  <c r="Z273" i="9"/>
  <c r="Z274" i="9"/>
  <c r="Z275" i="9"/>
  <c r="Z276" i="9"/>
  <c r="Z277" i="9"/>
  <c r="Z278" i="9"/>
  <c r="Z279" i="9"/>
  <c r="Z280" i="9"/>
  <c r="Z281" i="9"/>
  <c r="Z282" i="9"/>
  <c r="Z283" i="9"/>
  <c r="Z284" i="9"/>
  <c r="Z285" i="9"/>
  <c r="Z286" i="9"/>
  <c r="Z287" i="9"/>
  <c r="Z288" i="9"/>
  <c r="Z289" i="9"/>
  <c r="Z290" i="9"/>
  <c r="Z291" i="9"/>
  <c r="Z292" i="9"/>
  <c r="Z293" i="9"/>
  <c r="Z294" i="9"/>
  <c r="Z295" i="9"/>
  <c r="Z296" i="9"/>
  <c r="Z297" i="9"/>
  <c r="Z298" i="9"/>
  <c r="Z299" i="9"/>
  <c r="Z300" i="9"/>
  <c r="Z301" i="9"/>
  <c r="Z302" i="9"/>
  <c r="Z303" i="9"/>
  <c r="Z304" i="9"/>
  <c r="Z305" i="9"/>
  <c r="Z306" i="9"/>
  <c r="Z307" i="9"/>
  <c r="Z308" i="9"/>
  <c r="Z309" i="9"/>
  <c r="Z310" i="9"/>
  <c r="Z311" i="9"/>
  <c r="Z312" i="9"/>
  <c r="Z313" i="9"/>
  <c r="Z314" i="9"/>
  <c r="Z315" i="9"/>
  <c r="Z316" i="9"/>
  <c r="Z317" i="9"/>
  <c r="Z318" i="9"/>
  <c r="Z319" i="9"/>
  <c r="Z320" i="9"/>
  <c r="Z321" i="9"/>
  <c r="Z322" i="9"/>
  <c r="Z323" i="9"/>
  <c r="Z324" i="9"/>
  <c r="Z425" i="9"/>
  <c r="Z426" i="9"/>
  <c r="Z427" i="9"/>
  <c r="Z428" i="9"/>
  <c r="Z429" i="9"/>
  <c r="Z430" i="9"/>
  <c r="Z431" i="9"/>
  <c r="Z432" i="9"/>
  <c r="Z433" i="9"/>
  <c r="Z434" i="9"/>
  <c r="Z435" i="9"/>
  <c r="Z436" i="9"/>
  <c r="Z437" i="9"/>
  <c r="Z438" i="9"/>
  <c r="Z439" i="9"/>
  <c r="Z440" i="9"/>
  <c r="Z441" i="9"/>
  <c r="Z442" i="9"/>
  <c r="Z443" i="9"/>
  <c r="Z444" i="9"/>
  <c r="Z445" i="9"/>
  <c r="Z446" i="9"/>
  <c r="Z447" i="9"/>
  <c r="Z448" i="9"/>
  <c r="Z449" i="9"/>
  <c r="Z450" i="9"/>
  <c r="Z451" i="9"/>
  <c r="Z452" i="9"/>
  <c r="Z453" i="9"/>
  <c r="Z454" i="9"/>
  <c r="Z455" i="9"/>
  <c r="Z456" i="9"/>
  <c r="Z457" i="9"/>
  <c r="Z458" i="9"/>
  <c r="Z459" i="9"/>
  <c r="Z460" i="9"/>
  <c r="Z461" i="9"/>
  <c r="Z462" i="9"/>
  <c r="Z463" i="9"/>
  <c r="Z464" i="9"/>
  <c r="Z465" i="9"/>
  <c r="Z466" i="9"/>
  <c r="Z467" i="9"/>
  <c r="Z468" i="9"/>
  <c r="Z469" i="9"/>
  <c r="Z470" i="9"/>
  <c r="Z471" i="9"/>
  <c r="Z472" i="9"/>
  <c r="Z473" i="9"/>
  <c r="Z474" i="9"/>
  <c r="Z475" i="9"/>
  <c r="Z476" i="9"/>
  <c r="Z477" i="9"/>
  <c r="Z478" i="9"/>
  <c r="Z479" i="9"/>
  <c r="Z480" i="9"/>
  <c r="Z481" i="9"/>
  <c r="Z482" i="9"/>
  <c r="Z483" i="9"/>
  <c r="Z484" i="9"/>
  <c r="Z485" i="9"/>
  <c r="Z486" i="9"/>
  <c r="Z487" i="9"/>
  <c r="Z488" i="9"/>
  <c r="Z489" i="9"/>
  <c r="Z490" i="9"/>
  <c r="Z491" i="9"/>
  <c r="Z492" i="9"/>
  <c r="Z493" i="9"/>
  <c r="Z494" i="9"/>
  <c r="Z495" i="9"/>
  <c r="Z496" i="9"/>
  <c r="Z497" i="9"/>
  <c r="Z498" i="9"/>
  <c r="Z499" i="9"/>
  <c r="Z500" i="9"/>
  <c r="Z501" i="9"/>
  <c r="Z502" i="9"/>
  <c r="Z503" i="9"/>
  <c r="Z504" i="9"/>
  <c r="Z505" i="9"/>
  <c r="Z506" i="9"/>
  <c r="Z507" i="9"/>
  <c r="Z508" i="9"/>
  <c r="Z509" i="9"/>
  <c r="Z510" i="9"/>
  <c r="Z511" i="9"/>
  <c r="Z512" i="9"/>
  <c r="Z513" i="9"/>
  <c r="Z514" i="9"/>
  <c r="Z515" i="9"/>
  <c r="Z516" i="9"/>
  <c r="Z517" i="9"/>
  <c r="Z518" i="9"/>
  <c r="Z519" i="9"/>
  <c r="Z520" i="9"/>
  <c r="Z521" i="9"/>
  <c r="Z522" i="9"/>
  <c r="Z523" i="9"/>
  <c r="Z524" i="9"/>
  <c r="Z525" i="9"/>
  <c r="Z526" i="9"/>
  <c r="Z527" i="9"/>
  <c r="Z528" i="9"/>
  <c r="Z529" i="9"/>
  <c r="Z530" i="9"/>
  <c r="Z531" i="9"/>
  <c r="Z532" i="9"/>
  <c r="Z533" i="9"/>
  <c r="Z534" i="9"/>
  <c r="Z535" i="9"/>
  <c r="Z536" i="9"/>
  <c r="Z537" i="9"/>
  <c r="Z538" i="9"/>
  <c r="Z539" i="9"/>
  <c r="Z540" i="9"/>
  <c r="Z541" i="9"/>
  <c r="Z542" i="9"/>
  <c r="Z543" i="9"/>
  <c r="Z544" i="9"/>
  <c r="Z545" i="9"/>
  <c r="Z546" i="9"/>
  <c r="Z547" i="9"/>
  <c r="Z548" i="9"/>
  <c r="Z549" i="9"/>
  <c r="Z550" i="9"/>
  <c r="Z551" i="9"/>
  <c r="Z552" i="9"/>
  <c r="Z553" i="9"/>
  <c r="Z554" i="9"/>
  <c r="Z555" i="9"/>
  <c r="Z556" i="9"/>
  <c r="Z557" i="9"/>
  <c r="Z558" i="9"/>
  <c r="Z559" i="9"/>
  <c r="Z560" i="9"/>
  <c r="Z561" i="9"/>
  <c r="Z562" i="9"/>
  <c r="Z563" i="9"/>
  <c r="Z564" i="9"/>
  <c r="Z565" i="9"/>
  <c r="Z566" i="9"/>
  <c r="Z567" i="9"/>
  <c r="Z568" i="9"/>
  <c r="Z569" i="9"/>
  <c r="Z570" i="9"/>
  <c r="Z571" i="9"/>
  <c r="Z572" i="9"/>
  <c r="Z573" i="9"/>
  <c r="Z574" i="9"/>
  <c r="Z575" i="9"/>
  <c r="Z576" i="9"/>
  <c r="Z577" i="9"/>
  <c r="Z578" i="9"/>
  <c r="Z579" i="9"/>
  <c r="Z580" i="9"/>
  <c r="Z581" i="9"/>
  <c r="Z582" i="9"/>
  <c r="Z583" i="9"/>
  <c r="Z584" i="9"/>
  <c r="Z585" i="9"/>
  <c r="Z586" i="9"/>
  <c r="Z587" i="9"/>
  <c r="Z588" i="9"/>
  <c r="Z589" i="9"/>
  <c r="Z590" i="9"/>
  <c r="Z591" i="9"/>
  <c r="Z592" i="9"/>
  <c r="Z593" i="9"/>
  <c r="Z594" i="9"/>
  <c r="Z595" i="9"/>
  <c r="Z596" i="9"/>
  <c r="Z597" i="9"/>
  <c r="Z598" i="9"/>
  <c r="Z599" i="9"/>
  <c r="Z600" i="9"/>
  <c r="Z601" i="9"/>
  <c r="Z602" i="9"/>
  <c r="Z603" i="9"/>
  <c r="Z604" i="9"/>
  <c r="AH205" i="9" l="1"/>
  <c r="AH206" i="9"/>
  <c r="AH221" i="9"/>
  <c r="BN204" i="9"/>
  <c r="AP204" i="9" s="1"/>
  <c r="BL204" i="9"/>
  <c r="BG204" i="9"/>
  <c r="BB204" i="9"/>
  <c r="AN204" i="9"/>
  <c r="AL204" i="9"/>
  <c r="AJ204" i="9"/>
  <c r="F204" i="9"/>
  <c r="C204" i="9"/>
  <c r="BN203" i="9"/>
  <c r="AP203" i="9" s="1"/>
  <c r="BL203" i="9"/>
  <c r="BG203" i="9"/>
  <c r="BB203" i="9"/>
  <c r="AN203" i="9"/>
  <c r="AL203" i="9"/>
  <c r="AJ203" i="9"/>
  <c r="F203" i="9"/>
  <c r="C203" i="9"/>
  <c r="BN202" i="9"/>
  <c r="AP202" i="9" s="1"/>
  <c r="BL202" i="9"/>
  <c r="BG202" i="9"/>
  <c r="BB202" i="9"/>
  <c r="AN202" i="9"/>
  <c r="AL202" i="9"/>
  <c r="AJ202" i="9"/>
  <c r="F202" i="9"/>
  <c r="C202" i="9"/>
  <c r="BN201" i="9"/>
  <c r="AP201" i="9" s="1"/>
  <c r="BL201" i="9"/>
  <c r="BG201" i="9"/>
  <c r="BB201" i="9"/>
  <c r="AN201" i="9"/>
  <c r="AL201" i="9"/>
  <c r="AJ201" i="9"/>
  <c r="F201" i="9"/>
  <c r="C201" i="9"/>
  <c r="BN200" i="9"/>
  <c r="AP200" i="9" s="1"/>
  <c r="BL200" i="9"/>
  <c r="BG200" i="9"/>
  <c r="BB200" i="9"/>
  <c r="AN200" i="9"/>
  <c r="AL200" i="9"/>
  <c r="AJ200" i="9"/>
  <c r="F200" i="9"/>
  <c r="C200" i="9"/>
  <c r="BN199" i="9"/>
  <c r="AP199" i="9" s="1"/>
  <c r="BL199" i="9"/>
  <c r="BG199" i="9"/>
  <c r="BB199" i="9"/>
  <c r="AN199" i="9"/>
  <c r="AL199" i="9"/>
  <c r="AJ199" i="9"/>
  <c r="F199" i="9"/>
  <c r="C199" i="9"/>
  <c r="BN198" i="9"/>
  <c r="AP198" i="9" s="1"/>
  <c r="BL198" i="9"/>
  <c r="BG198" i="9"/>
  <c r="BB198" i="9"/>
  <c r="AN198" i="9"/>
  <c r="AL198" i="9"/>
  <c r="AJ198" i="9"/>
  <c r="F198" i="9"/>
  <c r="C198" i="9"/>
  <c r="BN197" i="9"/>
  <c r="AP197" i="9" s="1"/>
  <c r="BL197" i="9"/>
  <c r="BG197" i="9"/>
  <c r="BB197" i="9"/>
  <c r="AN197" i="9"/>
  <c r="AL197" i="9"/>
  <c r="AJ197" i="9"/>
  <c r="F197" i="9"/>
  <c r="C197" i="9"/>
  <c r="BN196" i="9"/>
  <c r="AP196" i="9" s="1"/>
  <c r="BL196" i="9"/>
  <c r="BG196" i="9"/>
  <c r="BB196" i="9"/>
  <c r="AN196" i="9"/>
  <c r="AL196" i="9"/>
  <c r="AJ196" i="9"/>
  <c r="F196" i="9"/>
  <c r="C196" i="9"/>
  <c r="BN195" i="9"/>
  <c r="AP195" i="9" s="1"/>
  <c r="BL195" i="9"/>
  <c r="BG195" i="9"/>
  <c r="BB195" i="9"/>
  <c r="AW195" i="9"/>
  <c r="AN195" i="9"/>
  <c r="AL195" i="9"/>
  <c r="AJ195" i="9"/>
  <c r="F195" i="9"/>
  <c r="C195" i="9"/>
  <c r="BN194" i="9"/>
  <c r="AP194" i="9" s="1"/>
  <c r="BL194" i="9"/>
  <c r="BB194" i="9"/>
  <c r="AW194" i="9"/>
  <c r="AN194" i="9"/>
  <c r="AL194" i="9"/>
  <c r="AJ194" i="9"/>
  <c r="F194" i="9"/>
  <c r="C194" i="9"/>
  <c r="BN193" i="9"/>
  <c r="AP193" i="9" s="1"/>
  <c r="BL193" i="9"/>
  <c r="BG193" i="9"/>
  <c r="BB193" i="9"/>
  <c r="AW193" i="9"/>
  <c r="AN193" i="9"/>
  <c r="AL193" i="9"/>
  <c r="AJ193" i="9"/>
  <c r="F193" i="9"/>
  <c r="C193" i="9"/>
  <c r="BN192" i="9"/>
  <c r="AP192" i="9" s="1"/>
  <c r="BL192" i="9"/>
  <c r="BG192" i="9"/>
  <c r="BB192" i="9"/>
  <c r="AW192" i="9"/>
  <c r="AN192" i="9"/>
  <c r="AL192" i="9"/>
  <c r="AJ192" i="9"/>
  <c r="F192" i="9"/>
  <c r="C192" i="9"/>
  <c r="BN191" i="9"/>
  <c r="AP191" i="9" s="1"/>
  <c r="BL191" i="9"/>
  <c r="BG191" i="9"/>
  <c r="BB191" i="9"/>
  <c r="AW191" i="9"/>
  <c r="AN191" i="9"/>
  <c r="AL191" i="9"/>
  <c r="AJ191" i="9"/>
  <c r="F191" i="9"/>
  <c r="C191" i="9"/>
  <c r="BN190" i="9"/>
  <c r="AP190" i="9" s="1"/>
  <c r="BL190" i="9"/>
  <c r="BG190" i="9"/>
  <c r="BB190" i="9"/>
  <c r="AW190" i="9"/>
  <c r="AN190" i="9"/>
  <c r="AL190" i="9"/>
  <c r="AJ190" i="9"/>
  <c r="AG190" i="9"/>
  <c r="F190" i="9"/>
  <c r="C190" i="9"/>
  <c r="BN189" i="9"/>
  <c r="AP189" i="9" s="1"/>
  <c r="BL189" i="9"/>
  <c r="BG189" i="9"/>
  <c r="BB189" i="9"/>
  <c r="AW189" i="9"/>
  <c r="AN189" i="9"/>
  <c r="AL189" i="9"/>
  <c r="AJ189" i="9"/>
  <c r="F189" i="9"/>
  <c r="C189" i="9"/>
  <c r="BN188" i="9"/>
  <c r="AP188" i="9" s="1"/>
  <c r="BL188" i="9"/>
  <c r="BG188" i="9"/>
  <c r="BB188" i="9"/>
  <c r="AW188" i="9"/>
  <c r="AN188" i="9"/>
  <c r="AL188" i="9"/>
  <c r="AJ188" i="9"/>
  <c r="F188" i="9"/>
  <c r="C188" i="9"/>
  <c r="BN187" i="9"/>
  <c r="AP187" i="9" s="1"/>
  <c r="BL187" i="9"/>
  <c r="BG187" i="9"/>
  <c r="BB187" i="9"/>
  <c r="AW187" i="9"/>
  <c r="AN187" i="9"/>
  <c r="AL187" i="9"/>
  <c r="AJ187" i="9"/>
  <c r="AG187" i="9"/>
  <c r="F187" i="9"/>
  <c r="C187" i="9"/>
  <c r="BN186" i="9"/>
  <c r="AP186" i="9" s="1"/>
  <c r="BL186" i="9"/>
  <c r="BG186" i="9"/>
  <c r="BB186" i="9"/>
  <c r="AW186" i="9"/>
  <c r="AN186" i="9"/>
  <c r="AL186" i="9"/>
  <c r="AJ186" i="9"/>
  <c r="F186" i="9"/>
  <c r="C186" i="9"/>
  <c r="BN185" i="9"/>
  <c r="AP185" i="9" s="1"/>
  <c r="BL185" i="9"/>
  <c r="BG185" i="9"/>
  <c r="AW185" i="9"/>
  <c r="AN185" i="9"/>
  <c r="AL185" i="9"/>
  <c r="AJ185" i="9"/>
  <c r="F185" i="9"/>
  <c r="C185" i="9"/>
  <c r="F15" i="30"/>
  <c r="A15" i="30" s="1"/>
  <c r="AG204" i="9" l="1"/>
  <c r="AG192" i="9"/>
  <c r="AG186" i="9"/>
  <c r="AH187" i="9" s="1"/>
  <c r="AG195" i="9"/>
  <c r="AG189" i="9"/>
  <c r="AH190" i="9" s="1"/>
  <c r="AG196" i="9"/>
  <c r="AG200" i="9"/>
  <c r="AG188" i="9"/>
  <c r="AH188" i="9" s="1"/>
  <c r="AG197" i="9"/>
  <c r="A192" i="9"/>
  <c r="A198" i="9"/>
  <c r="AG202" i="9"/>
  <c r="AG198" i="9"/>
  <c r="A190" i="9"/>
  <c r="A200" i="9"/>
  <c r="AG203" i="9"/>
  <c r="AH204" i="9" s="1"/>
  <c r="AG194" i="9"/>
  <c r="A197" i="9"/>
  <c r="A188" i="9"/>
  <c r="A204" i="9"/>
  <c r="A185" i="9"/>
  <c r="AG191" i="9"/>
  <c r="A193" i="9"/>
  <c r="AG199" i="9"/>
  <c r="A201" i="9"/>
  <c r="A194" i="9"/>
  <c r="A202" i="9"/>
  <c r="A191" i="9"/>
  <c r="A196" i="9"/>
  <c r="A189" i="9"/>
  <c r="A186" i="9"/>
  <c r="A199" i="9"/>
  <c r="AG185" i="9"/>
  <c r="AH185" i="9" s="1"/>
  <c r="A187" i="9"/>
  <c r="AG193" i="9"/>
  <c r="A195" i="9"/>
  <c r="AG201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H193" i="9" l="1"/>
  <c r="AH192" i="9"/>
  <c r="AH196" i="9"/>
  <c r="AH189" i="9"/>
  <c r="AH191" i="9"/>
  <c r="AH195" i="9"/>
  <c r="AH203" i="9"/>
  <c r="AH200" i="9"/>
  <c r="AH198" i="9"/>
  <c r="AH194" i="9"/>
  <c r="AH197" i="9"/>
  <c r="AH202" i="9"/>
  <c r="AH199" i="9"/>
  <c r="AH201" i="9"/>
  <c r="AH186" i="9"/>
  <c r="AG285" i="9" l="1"/>
  <c r="AH285" i="9" s="1"/>
  <c r="AG286" i="9"/>
  <c r="AG287" i="9"/>
  <c r="AG288" i="9"/>
  <c r="AG289" i="9"/>
  <c r="AG290" i="9"/>
  <c r="AG291" i="9"/>
  <c r="AG292" i="9"/>
  <c r="AH293" i="9" s="1"/>
  <c r="AG293" i="9"/>
  <c r="AG294" i="9"/>
  <c r="AG295" i="9"/>
  <c r="AG296" i="9"/>
  <c r="AG297" i="9"/>
  <c r="AG298" i="9"/>
  <c r="AG299" i="9"/>
  <c r="AG300" i="9"/>
  <c r="AG301" i="9"/>
  <c r="AG302" i="9"/>
  <c r="AG303" i="9"/>
  <c r="AG304" i="9"/>
  <c r="AG305" i="9"/>
  <c r="AH305" i="9" s="1"/>
  <c r="AG306" i="9"/>
  <c r="AG307" i="9"/>
  <c r="AG308" i="9"/>
  <c r="AG309" i="9"/>
  <c r="AG310" i="9"/>
  <c r="AG311" i="9"/>
  <c r="AG312" i="9"/>
  <c r="AG313" i="9"/>
  <c r="AG314" i="9"/>
  <c r="AG315" i="9"/>
  <c r="AG316" i="9"/>
  <c r="AH317" i="9" s="1"/>
  <c r="AG317" i="9"/>
  <c r="AG318" i="9"/>
  <c r="AG319" i="9"/>
  <c r="AG320" i="9"/>
  <c r="AG321" i="9"/>
  <c r="AG322" i="9"/>
  <c r="AG323" i="9"/>
  <c r="AG324" i="9"/>
  <c r="AG325" i="9"/>
  <c r="AG326" i="9"/>
  <c r="AG327" i="9"/>
  <c r="AG328" i="9"/>
  <c r="AG329" i="9"/>
  <c r="AG330" i="9"/>
  <c r="AG331" i="9"/>
  <c r="AG332" i="9"/>
  <c r="AG333" i="9"/>
  <c r="AG334" i="9"/>
  <c r="AG335" i="9"/>
  <c r="AG336" i="9"/>
  <c r="AG337" i="9"/>
  <c r="AG338" i="9"/>
  <c r="AG339" i="9"/>
  <c r="AG340" i="9"/>
  <c r="AG341" i="9"/>
  <c r="AG342" i="9"/>
  <c r="AG343" i="9"/>
  <c r="AG344" i="9"/>
  <c r="AG345" i="9"/>
  <c r="AH345" i="9" s="1"/>
  <c r="AG346" i="9"/>
  <c r="AG347" i="9"/>
  <c r="AG348" i="9"/>
  <c r="AG349" i="9"/>
  <c r="AG350" i="9"/>
  <c r="AG351" i="9"/>
  <c r="AG352" i="9"/>
  <c r="AG353" i="9"/>
  <c r="AG354" i="9"/>
  <c r="AG355" i="9"/>
  <c r="AG356" i="9"/>
  <c r="AG357" i="9"/>
  <c r="AG358" i="9"/>
  <c r="AG359" i="9"/>
  <c r="AG360" i="9"/>
  <c r="AG361" i="9"/>
  <c r="AG362" i="9"/>
  <c r="AG363" i="9"/>
  <c r="AG364" i="9"/>
  <c r="AG365" i="9"/>
  <c r="AH365" i="9" s="1"/>
  <c r="AG366" i="9"/>
  <c r="AG367" i="9"/>
  <c r="AG368" i="9"/>
  <c r="AG369" i="9"/>
  <c r="AG370" i="9"/>
  <c r="AG371" i="9"/>
  <c r="AG372" i="9"/>
  <c r="AG373" i="9"/>
  <c r="AG374" i="9"/>
  <c r="AG375" i="9"/>
  <c r="AG376" i="9"/>
  <c r="AG377" i="9"/>
  <c r="AG378" i="9"/>
  <c r="AG379" i="9"/>
  <c r="AG380" i="9"/>
  <c r="AG381" i="9"/>
  <c r="AG382" i="9"/>
  <c r="AG383" i="9"/>
  <c r="AG384" i="9"/>
  <c r="AG385" i="9"/>
  <c r="AG386" i="9"/>
  <c r="AG387" i="9"/>
  <c r="AG388" i="9"/>
  <c r="AH389" i="9" s="1"/>
  <c r="AG389" i="9"/>
  <c r="AG390" i="9"/>
  <c r="AG391" i="9"/>
  <c r="AG392" i="9"/>
  <c r="AG393" i="9"/>
  <c r="AG394" i="9"/>
  <c r="AG395" i="9"/>
  <c r="AG396" i="9"/>
  <c r="AG397" i="9"/>
  <c r="AG398" i="9"/>
  <c r="AG399" i="9"/>
  <c r="AG400" i="9"/>
  <c r="AG401" i="9"/>
  <c r="AG402" i="9"/>
  <c r="AG403" i="9"/>
  <c r="AG404" i="9"/>
  <c r="AG405" i="9"/>
  <c r="AG406" i="9"/>
  <c r="AG407" i="9"/>
  <c r="AG408" i="9"/>
  <c r="AG409" i="9"/>
  <c r="AG410" i="9"/>
  <c r="AG411" i="9"/>
  <c r="AG412" i="9"/>
  <c r="AG413" i="9"/>
  <c r="AG414" i="9"/>
  <c r="AG415" i="9"/>
  <c r="AG416" i="9"/>
  <c r="AG417" i="9"/>
  <c r="AG418" i="9"/>
  <c r="AG419" i="9"/>
  <c r="AG420" i="9"/>
  <c r="AG421" i="9"/>
  <c r="AG422" i="9"/>
  <c r="AG423" i="9"/>
  <c r="AG424" i="9"/>
  <c r="AG425" i="9"/>
  <c r="AG426" i="9"/>
  <c r="AG427" i="9"/>
  <c r="AG428" i="9"/>
  <c r="AG429" i="9"/>
  <c r="AG430" i="9"/>
  <c r="AG431" i="9"/>
  <c r="AG432" i="9"/>
  <c r="AG433" i="9"/>
  <c r="AG434" i="9"/>
  <c r="AG435" i="9"/>
  <c r="AG436" i="9"/>
  <c r="AG437" i="9"/>
  <c r="AG438" i="9"/>
  <c r="AG439" i="9"/>
  <c r="AG440" i="9"/>
  <c r="AG441" i="9"/>
  <c r="AG442" i="9"/>
  <c r="AG443" i="9"/>
  <c r="AG444" i="9"/>
  <c r="AG445" i="9"/>
  <c r="AH445" i="9" s="1"/>
  <c r="AG446" i="9"/>
  <c r="AG447" i="9"/>
  <c r="AG448" i="9"/>
  <c r="AG449" i="9"/>
  <c r="AG450" i="9"/>
  <c r="AG451" i="9"/>
  <c r="AG452" i="9"/>
  <c r="AG453" i="9"/>
  <c r="AG454" i="9"/>
  <c r="AG455" i="9"/>
  <c r="AG456" i="9"/>
  <c r="AG457" i="9"/>
  <c r="AG458" i="9"/>
  <c r="AG459" i="9"/>
  <c r="AG460" i="9"/>
  <c r="AG461" i="9"/>
  <c r="AG462" i="9"/>
  <c r="AG463" i="9"/>
  <c r="AG464" i="9"/>
  <c r="AG465" i="9"/>
  <c r="AG466" i="9"/>
  <c r="AG467" i="9"/>
  <c r="AH467" i="9" s="1"/>
  <c r="AG468" i="9"/>
  <c r="AG469" i="9"/>
  <c r="AG470" i="9"/>
  <c r="AG471" i="9"/>
  <c r="AG472" i="9"/>
  <c r="AG473" i="9"/>
  <c r="AG474" i="9"/>
  <c r="AG475" i="9"/>
  <c r="AG476" i="9"/>
  <c r="AG477" i="9"/>
  <c r="AG478" i="9"/>
  <c r="AG479" i="9"/>
  <c r="AG480" i="9"/>
  <c r="AG481" i="9"/>
  <c r="AG482" i="9"/>
  <c r="AG483" i="9"/>
  <c r="AG484" i="9"/>
  <c r="AG485" i="9"/>
  <c r="AH485" i="9" s="1"/>
  <c r="AG486" i="9"/>
  <c r="AG487" i="9"/>
  <c r="AG488" i="9"/>
  <c r="AG489" i="9"/>
  <c r="AG490" i="9"/>
  <c r="AH490" i="9" s="1"/>
  <c r="AG491" i="9"/>
  <c r="AG492" i="9"/>
  <c r="AH493" i="9" s="1"/>
  <c r="AG493" i="9"/>
  <c r="AG494" i="9"/>
  <c r="AG495" i="9"/>
  <c r="AG496" i="9"/>
  <c r="AG497" i="9"/>
  <c r="AG498" i="9"/>
  <c r="AG499" i="9"/>
  <c r="AG500" i="9"/>
  <c r="AG501" i="9"/>
  <c r="AG502" i="9"/>
  <c r="AG503" i="9"/>
  <c r="AG504" i="9"/>
  <c r="AG505" i="9"/>
  <c r="AG506" i="9"/>
  <c r="AG507" i="9"/>
  <c r="AG508" i="9"/>
  <c r="AG509" i="9"/>
  <c r="AG510" i="9"/>
  <c r="AG511" i="9"/>
  <c r="AG512" i="9"/>
  <c r="AG513" i="9"/>
  <c r="AG514" i="9"/>
  <c r="AG515" i="9"/>
  <c r="AG516" i="9"/>
  <c r="AH517" i="9" s="1"/>
  <c r="AG517" i="9"/>
  <c r="AG518" i="9"/>
  <c r="AG519" i="9"/>
  <c r="AG520" i="9"/>
  <c r="AG521" i="9"/>
  <c r="AG522" i="9"/>
  <c r="AG523" i="9"/>
  <c r="AH523" i="9" s="1"/>
  <c r="AG524" i="9"/>
  <c r="AG525" i="9"/>
  <c r="AH525" i="9" s="1"/>
  <c r="AG526" i="9"/>
  <c r="AG527" i="9"/>
  <c r="AG528" i="9"/>
  <c r="AG529" i="9"/>
  <c r="AG530" i="9"/>
  <c r="AG531" i="9"/>
  <c r="AG532" i="9"/>
  <c r="AG533" i="9"/>
  <c r="AG534" i="9"/>
  <c r="AG535" i="9"/>
  <c r="AG536" i="9"/>
  <c r="AG537" i="9"/>
  <c r="AG538" i="9"/>
  <c r="AG539" i="9"/>
  <c r="AG540" i="9"/>
  <c r="AG541" i="9"/>
  <c r="AG542" i="9"/>
  <c r="AG543" i="9"/>
  <c r="AG544" i="9"/>
  <c r="AG545" i="9"/>
  <c r="AG546" i="9"/>
  <c r="AG547" i="9"/>
  <c r="AG548" i="9"/>
  <c r="AH549" i="9" s="1"/>
  <c r="AG549" i="9"/>
  <c r="AG550" i="9"/>
  <c r="AG551" i="9"/>
  <c r="AG552" i="9"/>
  <c r="AG553" i="9"/>
  <c r="AG554" i="9"/>
  <c r="AG555" i="9"/>
  <c r="AG556" i="9"/>
  <c r="AH557" i="9" s="1"/>
  <c r="AG557" i="9"/>
  <c r="AG558" i="9"/>
  <c r="AG559" i="9"/>
  <c r="AG560" i="9"/>
  <c r="AG561" i="9"/>
  <c r="AG562" i="9"/>
  <c r="AH562" i="9" s="1"/>
  <c r="AG563" i="9"/>
  <c r="AG564" i="9"/>
  <c r="AG565" i="9"/>
  <c r="AG566" i="9"/>
  <c r="AG567" i="9"/>
  <c r="AG568" i="9"/>
  <c r="AG569" i="9"/>
  <c r="AG570" i="9"/>
  <c r="AG571" i="9"/>
  <c r="AG572" i="9"/>
  <c r="AG573" i="9"/>
  <c r="AG574" i="9"/>
  <c r="AG575" i="9"/>
  <c r="AG576" i="9"/>
  <c r="AG577" i="9"/>
  <c r="AG578" i="9"/>
  <c r="AG579" i="9"/>
  <c r="AG580" i="9"/>
  <c r="AG581" i="9"/>
  <c r="AG582" i="9"/>
  <c r="AG583" i="9"/>
  <c r="AG584" i="9"/>
  <c r="AG585" i="9"/>
  <c r="AG586" i="9"/>
  <c r="AG587" i="9"/>
  <c r="AH587" i="9" s="1"/>
  <c r="AG588" i="9"/>
  <c r="AG589" i="9"/>
  <c r="AG590" i="9"/>
  <c r="AG591" i="9"/>
  <c r="AG592" i="9"/>
  <c r="AG593" i="9"/>
  <c r="AG594" i="9"/>
  <c r="AG595" i="9"/>
  <c r="AG596" i="9"/>
  <c r="AG597" i="9"/>
  <c r="AG598" i="9"/>
  <c r="AG599" i="9"/>
  <c r="AG600" i="9"/>
  <c r="AG601" i="9"/>
  <c r="AG602" i="9"/>
  <c r="AG603" i="9"/>
  <c r="AG604" i="9"/>
  <c r="AH326" i="9"/>
  <c r="AP285" i="9"/>
  <c r="AP286" i="9"/>
  <c r="AP287" i="9"/>
  <c r="AP288" i="9"/>
  <c r="AP289" i="9"/>
  <c r="AP290" i="9"/>
  <c r="AP291" i="9"/>
  <c r="AP292" i="9"/>
  <c r="AP293" i="9"/>
  <c r="AP294" i="9"/>
  <c r="AP295" i="9"/>
  <c r="AP296" i="9"/>
  <c r="AP297" i="9"/>
  <c r="AP298" i="9"/>
  <c r="AP299" i="9"/>
  <c r="AP300" i="9"/>
  <c r="AP301" i="9"/>
  <c r="AP302" i="9"/>
  <c r="AP303" i="9"/>
  <c r="AP304" i="9"/>
  <c r="AP305" i="9"/>
  <c r="AP306" i="9"/>
  <c r="AP307" i="9"/>
  <c r="AP308" i="9"/>
  <c r="AP309" i="9"/>
  <c r="AP310" i="9"/>
  <c r="AP311" i="9"/>
  <c r="AP312" i="9"/>
  <c r="AP313" i="9"/>
  <c r="AP314" i="9"/>
  <c r="AP315" i="9"/>
  <c r="AP316" i="9"/>
  <c r="AP317" i="9"/>
  <c r="AP318" i="9"/>
  <c r="AP319" i="9"/>
  <c r="AP320" i="9"/>
  <c r="AP321" i="9"/>
  <c r="AP322" i="9"/>
  <c r="AP323" i="9"/>
  <c r="AP324" i="9"/>
  <c r="AP325" i="9"/>
  <c r="AP326" i="9"/>
  <c r="AP327" i="9"/>
  <c r="AP328" i="9"/>
  <c r="AP329" i="9"/>
  <c r="AP330" i="9"/>
  <c r="AP331" i="9"/>
  <c r="AP332" i="9"/>
  <c r="AP333" i="9"/>
  <c r="AP334" i="9"/>
  <c r="AP335" i="9"/>
  <c r="AP336" i="9"/>
  <c r="AP337" i="9"/>
  <c r="AP338" i="9"/>
  <c r="AP339" i="9"/>
  <c r="AP340" i="9"/>
  <c r="AP341" i="9"/>
  <c r="AP342" i="9"/>
  <c r="AP343" i="9"/>
  <c r="AP344" i="9"/>
  <c r="AP345" i="9"/>
  <c r="AP346" i="9"/>
  <c r="AP347" i="9"/>
  <c r="AP348" i="9"/>
  <c r="AP349" i="9"/>
  <c r="AP350" i="9"/>
  <c r="AP351" i="9"/>
  <c r="AP352" i="9"/>
  <c r="AP353" i="9"/>
  <c r="AP354" i="9"/>
  <c r="AP355" i="9"/>
  <c r="AP356" i="9"/>
  <c r="AP357" i="9"/>
  <c r="AP358" i="9"/>
  <c r="AP359" i="9"/>
  <c r="AP360" i="9"/>
  <c r="AP361" i="9"/>
  <c r="AP362" i="9"/>
  <c r="AP363" i="9"/>
  <c r="AP364" i="9"/>
  <c r="AP365" i="9"/>
  <c r="AP366" i="9"/>
  <c r="AP367" i="9"/>
  <c r="AP368" i="9"/>
  <c r="AP369" i="9"/>
  <c r="AP370" i="9"/>
  <c r="AP371" i="9"/>
  <c r="AP372" i="9"/>
  <c r="AP373" i="9"/>
  <c r="AP374" i="9"/>
  <c r="AP375" i="9"/>
  <c r="AP376" i="9"/>
  <c r="AP377" i="9"/>
  <c r="AP378" i="9"/>
  <c r="AP379" i="9"/>
  <c r="AP380" i="9"/>
  <c r="AP381" i="9"/>
  <c r="AP382" i="9"/>
  <c r="AP383" i="9"/>
  <c r="AP384" i="9"/>
  <c r="AP385" i="9"/>
  <c r="AP386" i="9"/>
  <c r="AP387" i="9"/>
  <c r="AP388" i="9"/>
  <c r="AP389" i="9"/>
  <c r="AP390" i="9"/>
  <c r="AP391" i="9"/>
  <c r="AP392" i="9"/>
  <c r="AP393" i="9"/>
  <c r="AP394" i="9"/>
  <c r="AP395" i="9"/>
  <c r="AP396" i="9"/>
  <c r="AP397" i="9"/>
  <c r="AP398" i="9"/>
  <c r="AP399" i="9"/>
  <c r="AP400" i="9"/>
  <c r="AP401" i="9"/>
  <c r="AP402" i="9"/>
  <c r="AP403" i="9"/>
  <c r="AP404" i="9"/>
  <c r="AP405" i="9"/>
  <c r="AP406" i="9"/>
  <c r="AP407" i="9"/>
  <c r="AP408" i="9"/>
  <c r="AP409" i="9"/>
  <c r="AP410" i="9"/>
  <c r="AP411" i="9"/>
  <c r="AP412" i="9"/>
  <c r="AP413" i="9"/>
  <c r="AP414" i="9"/>
  <c r="AP415" i="9"/>
  <c r="AP416" i="9"/>
  <c r="AP417" i="9"/>
  <c r="AP418" i="9"/>
  <c r="AP419" i="9"/>
  <c r="AP420" i="9"/>
  <c r="AP421" i="9"/>
  <c r="AP422" i="9"/>
  <c r="AP423" i="9"/>
  <c r="AP424" i="9"/>
  <c r="AP425" i="9"/>
  <c r="AP426" i="9"/>
  <c r="AP427" i="9"/>
  <c r="AP428" i="9"/>
  <c r="AP429" i="9"/>
  <c r="AP430" i="9"/>
  <c r="AP431" i="9"/>
  <c r="AP432" i="9"/>
  <c r="AP433" i="9"/>
  <c r="AP434" i="9"/>
  <c r="AP435" i="9"/>
  <c r="AP436" i="9"/>
  <c r="AP437" i="9"/>
  <c r="AP438" i="9"/>
  <c r="AP439" i="9"/>
  <c r="AP440" i="9"/>
  <c r="AP441" i="9"/>
  <c r="AP442" i="9"/>
  <c r="AP443" i="9"/>
  <c r="AP444" i="9"/>
  <c r="AP445" i="9"/>
  <c r="AP446" i="9"/>
  <c r="AP447" i="9"/>
  <c r="AP448" i="9"/>
  <c r="AP449" i="9"/>
  <c r="AP450" i="9"/>
  <c r="AP451" i="9"/>
  <c r="AP452" i="9"/>
  <c r="AP453" i="9"/>
  <c r="AP454" i="9"/>
  <c r="AP455" i="9"/>
  <c r="AP456" i="9"/>
  <c r="AP457" i="9"/>
  <c r="AP458" i="9"/>
  <c r="AP459" i="9"/>
  <c r="AP460" i="9"/>
  <c r="AP461" i="9"/>
  <c r="AP462" i="9"/>
  <c r="AP463" i="9"/>
  <c r="AP464" i="9"/>
  <c r="AP465" i="9"/>
  <c r="AP466" i="9"/>
  <c r="AP467" i="9"/>
  <c r="AP468" i="9"/>
  <c r="AP469" i="9"/>
  <c r="AP470" i="9"/>
  <c r="AP471" i="9"/>
  <c r="AP472" i="9"/>
  <c r="AP473" i="9"/>
  <c r="AP474" i="9"/>
  <c r="AP475" i="9"/>
  <c r="AP476" i="9"/>
  <c r="AP477" i="9"/>
  <c r="AP478" i="9"/>
  <c r="AP479" i="9"/>
  <c r="AP480" i="9"/>
  <c r="AP481" i="9"/>
  <c r="AP482" i="9"/>
  <c r="AP483" i="9"/>
  <c r="AP484" i="9"/>
  <c r="AP485" i="9"/>
  <c r="AP486" i="9"/>
  <c r="AP487" i="9"/>
  <c r="AP488" i="9"/>
  <c r="AP489" i="9"/>
  <c r="AP490" i="9"/>
  <c r="AP491" i="9"/>
  <c r="AP492" i="9"/>
  <c r="AP493" i="9"/>
  <c r="AP494" i="9"/>
  <c r="AP495" i="9"/>
  <c r="AP496" i="9"/>
  <c r="AP497" i="9"/>
  <c r="AP498" i="9"/>
  <c r="AP499" i="9"/>
  <c r="AP500" i="9"/>
  <c r="AP501" i="9"/>
  <c r="AP502" i="9"/>
  <c r="AP503" i="9"/>
  <c r="AP504" i="9"/>
  <c r="AP505" i="9"/>
  <c r="AP506" i="9"/>
  <c r="AP507" i="9"/>
  <c r="AP508" i="9"/>
  <c r="AP509" i="9"/>
  <c r="AP510" i="9"/>
  <c r="AP511" i="9"/>
  <c r="AP512" i="9"/>
  <c r="AP513" i="9"/>
  <c r="AP514" i="9"/>
  <c r="AP515" i="9"/>
  <c r="AP516" i="9"/>
  <c r="AP517" i="9"/>
  <c r="AP518" i="9"/>
  <c r="AP519" i="9"/>
  <c r="AP520" i="9"/>
  <c r="AP521" i="9"/>
  <c r="AP522" i="9"/>
  <c r="AP523" i="9"/>
  <c r="AP524" i="9"/>
  <c r="AP525" i="9"/>
  <c r="AP526" i="9"/>
  <c r="AP527" i="9"/>
  <c r="AP528" i="9"/>
  <c r="AP529" i="9"/>
  <c r="AP530" i="9"/>
  <c r="AP531" i="9"/>
  <c r="AP532" i="9"/>
  <c r="AP533" i="9"/>
  <c r="AP534" i="9"/>
  <c r="AP535" i="9"/>
  <c r="AP536" i="9"/>
  <c r="AP537" i="9"/>
  <c r="AP538" i="9"/>
  <c r="AP539" i="9"/>
  <c r="AP540" i="9"/>
  <c r="AP541" i="9"/>
  <c r="AP542" i="9"/>
  <c r="AP543" i="9"/>
  <c r="AP544" i="9"/>
  <c r="AP545" i="9"/>
  <c r="AP546" i="9"/>
  <c r="AP547" i="9"/>
  <c r="AP548" i="9"/>
  <c r="AP549" i="9"/>
  <c r="AP550" i="9"/>
  <c r="AP551" i="9"/>
  <c r="AP552" i="9"/>
  <c r="AP553" i="9"/>
  <c r="AP554" i="9"/>
  <c r="AP555" i="9"/>
  <c r="AP556" i="9"/>
  <c r="AP557" i="9"/>
  <c r="AP558" i="9"/>
  <c r="AP559" i="9"/>
  <c r="AP560" i="9"/>
  <c r="AP561" i="9"/>
  <c r="AP562" i="9"/>
  <c r="AP563" i="9"/>
  <c r="AP564" i="9"/>
  <c r="AP565" i="9"/>
  <c r="AP566" i="9"/>
  <c r="AP567" i="9"/>
  <c r="AP568" i="9"/>
  <c r="AP569" i="9"/>
  <c r="AP570" i="9"/>
  <c r="AP571" i="9"/>
  <c r="AP572" i="9"/>
  <c r="AP573" i="9"/>
  <c r="AP574" i="9"/>
  <c r="AP575" i="9"/>
  <c r="AP576" i="9"/>
  <c r="AP577" i="9"/>
  <c r="AP578" i="9"/>
  <c r="AP579" i="9"/>
  <c r="AP580" i="9"/>
  <c r="AP581" i="9"/>
  <c r="AP582" i="9"/>
  <c r="AP583" i="9"/>
  <c r="AP584" i="9"/>
  <c r="AP585" i="9"/>
  <c r="AP586" i="9"/>
  <c r="AP587" i="9"/>
  <c r="AP588" i="9"/>
  <c r="AP589" i="9"/>
  <c r="AP590" i="9"/>
  <c r="AP591" i="9"/>
  <c r="AP592" i="9"/>
  <c r="AP593" i="9"/>
  <c r="AP594" i="9"/>
  <c r="AP595" i="9"/>
  <c r="AP596" i="9"/>
  <c r="AP597" i="9"/>
  <c r="AP598" i="9"/>
  <c r="AP599" i="9"/>
  <c r="AP600" i="9"/>
  <c r="AP601" i="9"/>
  <c r="AP602" i="9"/>
  <c r="AP603" i="9"/>
  <c r="AP604" i="9"/>
  <c r="BL25" i="9"/>
  <c r="BL26" i="9"/>
  <c r="BL27" i="9"/>
  <c r="BL28" i="9"/>
  <c r="BL29" i="9"/>
  <c r="BL30" i="9"/>
  <c r="BL31" i="9"/>
  <c r="BL32" i="9"/>
  <c r="BL33" i="9"/>
  <c r="BL34" i="9"/>
  <c r="BL35" i="9"/>
  <c r="BL36" i="9"/>
  <c r="BL37" i="9"/>
  <c r="BL38" i="9"/>
  <c r="BL39" i="9"/>
  <c r="BL40" i="9"/>
  <c r="BL41" i="9"/>
  <c r="BL42" i="9"/>
  <c r="BL43" i="9"/>
  <c r="BL44" i="9"/>
  <c r="BL45" i="9"/>
  <c r="BL46" i="9"/>
  <c r="BL47" i="9"/>
  <c r="BL48" i="9"/>
  <c r="BL49" i="9"/>
  <c r="BL50" i="9"/>
  <c r="BL51" i="9"/>
  <c r="BL52" i="9"/>
  <c r="BL53" i="9"/>
  <c r="BL54" i="9"/>
  <c r="BL55" i="9"/>
  <c r="BL56" i="9"/>
  <c r="BL57" i="9"/>
  <c r="BL58" i="9"/>
  <c r="BL59" i="9"/>
  <c r="BL60" i="9"/>
  <c r="BL61" i="9"/>
  <c r="BL62" i="9"/>
  <c r="BL63" i="9"/>
  <c r="BL64" i="9"/>
  <c r="BL65" i="9"/>
  <c r="BL66" i="9"/>
  <c r="BL67" i="9"/>
  <c r="BL68" i="9"/>
  <c r="BL69" i="9"/>
  <c r="BL70" i="9"/>
  <c r="BL71" i="9"/>
  <c r="BL72" i="9"/>
  <c r="BL73" i="9"/>
  <c r="BL74" i="9"/>
  <c r="BL75" i="9"/>
  <c r="BL76" i="9"/>
  <c r="BL77" i="9"/>
  <c r="BL78" i="9"/>
  <c r="BL79" i="9"/>
  <c r="BL80" i="9"/>
  <c r="BL81" i="9"/>
  <c r="BL82" i="9"/>
  <c r="BL83" i="9"/>
  <c r="BL84" i="9"/>
  <c r="BL85" i="9"/>
  <c r="BL86" i="9"/>
  <c r="BL87" i="9"/>
  <c r="BL88" i="9"/>
  <c r="BL89" i="9"/>
  <c r="BL90" i="9"/>
  <c r="BL91" i="9"/>
  <c r="BL92" i="9"/>
  <c r="BL93" i="9"/>
  <c r="BL94" i="9"/>
  <c r="BL95" i="9"/>
  <c r="BL96" i="9"/>
  <c r="BL97" i="9"/>
  <c r="BL98" i="9"/>
  <c r="BL99" i="9"/>
  <c r="BL100" i="9"/>
  <c r="BL101" i="9"/>
  <c r="BL102" i="9"/>
  <c r="BL103" i="9"/>
  <c r="BL104" i="9"/>
  <c r="BL105" i="9"/>
  <c r="BL106" i="9"/>
  <c r="BL107" i="9"/>
  <c r="BL108" i="9"/>
  <c r="BL109" i="9"/>
  <c r="BL110" i="9"/>
  <c r="BL111" i="9"/>
  <c r="BL112" i="9"/>
  <c r="BL113" i="9"/>
  <c r="BL114" i="9"/>
  <c r="BL115" i="9"/>
  <c r="BL116" i="9"/>
  <c r="BL117" i="9"/>
  <c r="BL118" i="9"/>
  <c r="BL119" i="9"/>
  <c r="BL120" i="9"/>
  <c r="BL121" i="9"/>
  <c r="BL122" i="9"/>
  <c r="BL123" i="9"/>
  <c r="BL124" i="9"/>
  <c r="BL125" i="9"/>
  <c r="BL126" i="9"/>
  <c r="BL127" i="9"/>
  <c r="BL128" i="9"/>
  <c r="BL129" i="9"/>
  <c r="BL130" i="9"/>
  <c r="BL131" i="9"/>
  <c r="BL132" i="9"/>
  <c r="BL133" i="9"/>
  <c r="BL134" i="9"/>
  <c r="BL135" i="9"/>
  <c r="BL136" i="9"/>
  <c r="BL137" i="9"/>
  <c r="BL138" i="9"/>
  <c r="BL139" i="9"/>
  <c r="BL140" i="9"/>
  <c r="BL141" i="9"/>
  <c r="BL142" i="9"/>
  <c r="BL143" i="9"/>
  <c r="BL144" i="9"/>
  <c r="BL145" i="9"/>
  <c r="BL146" i="9"/>
  <c r="BL147" i="9"/>
  <c r="BL148" i="9"/>
  <c r="BL149" i="9"/>
  <c r="BL150" i="9"/>
  <c r="BL151" i="9"/>
  <c r="BL152" i="9"/>
  <c r="BL153" i="9"/>
  <c r="BL154" i="9"/>
  <c r="BL155" i="9"/>
  <c r="BL156" i="9"/>
  <c r="BL157" i="9"/>
  <c r="BL158" i="9"/>
  <c r="BL159" i="9"/>
  <c r="BL160" i="9"/>
  <c r="BL161" i="9"/>
  <c r="BL162" i="9"/>
  <c r="BL163" i="9"/>
  <c r="BL164" i="9"/>
  <c r="BL165" i="9"/>
  <c r="BL166" i="9"/>
  <c r="BL167" i="9"/>
  <c r="BL168" i="9"/>
  <c r="BL169" i="9"/>
  <c r="BL170" i="9"/>
  <c r="BL171" i="9"/>
  <c r="BL172" i="9"/>
  <c r="BL173" i="9"/>
  <c r="BL174" i="9"/>
  <c r="BL175" i="9"/>
  <c r="BL176" i="9"/>
  <c r="BL177" i="9"/>
  <c r="BL178" i="9"/>
  <c r="BL179" i="9"/>
  <c r="BL180" i="9"/>
  <c r="BL181" i="9"/>
  <c r="BL182" i="9"/>
  <c r="BL183" i="9"/>
  <c r="BL184" i="9"/>
  <c r="BL225" i="9"/>
  <c r="BL226" i="9"/>
  <c r="BL227" i="9"/>
  <c r="BL228" i="9"/>
  <c r="BL229" i="9"/>
  <c r="BL230" i="9"/>
  <c r="BL231" i="9"/>
  <c r="BL232" i="9"/>
  <c r="BL233" i="9"/>
  <c r="BL234" i="9"/>
  <c r="BL235" i="9"/>
  <c r="BL236" i="9"/>
  <c r="BL237" i="9"/>
  <c r="BL238" i="9"/>
  <c r="BL239" i="9"/>
  <c r="BL240" i="9"/>
  <c r="BL241" i="9"/>
  <c r="BL242" i="9"/>
  <c r="BL243" i="9"/>
  <c r="BL244" i="9"/>
  <c r="BL245" i="9"/>
  <c r="BL246" i="9"/>
  <c r="BL247" i="9"/>
  <c r="BL248" i="9"/>
  <c r="BL249" i="9"/>
  <c r="BL250" i="9"/>
  <c r="BL251" i="9"/>
  <c r="BL252" i="9"/>
  <c r="BL253" i="9"/>
  <c r="BL254" i="9"/>
  <c r="BL255" i="9"/>
  <c r="BL256" i="9"/>
  <c r="BL257" i="9"/>
  <c r="BL258" i="9"/>
  <c r="BL259" i="9"/>
  <c r="BL260" i="9"/>
  <c r="BL261" i="9"/>
  <c r="BL262" i="9"/>
  <c r="BL263" i="9"/>
  <c r="BL264" i="9"/>
  <c r="BL265" i="9"/>
  <c r="BL266" i="9"/>
  <c r="BL267" i="9"/>
  <c r="BL268" i="9"/>
  <c r="BL269" i="9"/>
  <c r="BL270" i="9"/>
  <c r="BL271" i="9"/>
  <c r="BL272" i="9"/>
  <c r="BL273" i="9"/>
  <c r="BL274" i="9"/>
  <c r="BL275" i="9"/>
  <c r="BL276" i="9"/>
  <c r="BL277" i="9"/>
  <c r="BL278" i="9"/>
  <c r="BL279" i="9"/>
  <c r="BL280" i="9"/>
  <c r="BL281" i="9"/>
  <c r="BL282" i="9"/>
  <c r="BL283" i="9"/>
  <c r="BL284" i="9"/>
  <c r="BL285" i="9"/>
  <c r="BL286" i="9"/>
  <c r="BL287" i="9"/>
  <c r="BL288" i="9"/>
  <c r="BL289" i="9"/>
  <c r="BL290" i="9"/>
  <c r="BL291" i="9"/>
  <c r="BL292" i="9"/>
  <c r="BL293" i="9"/>
  <c r="BL294" i="9"/>
  <c r="BL295" i="9"/>
  <c r="BL296" i="9"/>
  <c r="BL297" i="9"/>
  <c r="BL298" i="9"/>
  <c r="BL299" i="9"/>
  <c r="BL300" i="9"/>
  <c r="BL301" i="9"/>
  <c r="BL302" i="9"/>
  <c r="BL303" i="9"/>
  <c r="BL304" i="9"/>
  <c r="BL305" i="9"/>
  <c r="BL306" i="9"/>
  <c r="BL307" i="9"/>
  <c r="BL308" i="9"/>
  <c r="BL309" i="9"/>
  <c r="BL310" i="9"/>
  <c r="BL311" i="9"/>
  <c r="BL312" i="9"/>
  <c r="BL313" i="9"/>
  <c r="BL314" i="9"/>
  <c r="BL315" i="9"/>
  <c r="BL316" i="9"/>
  <c r="BL317" i="9"/>
  <c r="BL318" i="9"/>
  <c r="BL319" i="9"/>
  <c r="BL320" i="9"/>
  <c r="BL321" i="9"/>
  <c r="BL322" i="9"/>
  <c r="BL323" i="9"/>
  <c r="BL324" i="9"/>
  <c r="BL325" i="9"/>
  <c r="BL326" i="9"/>
  <c r="BL327" i="9"/>
  <c r="BL328" i="9"/>
  <c r="BL329" i="9"/>
  <c r="BL330" i="9"/>
  <c r="BL331" i="9"/>
  <c r="BL332" i="9"/>
  <c r="BL333" i="9"/>
  <c r="BL334" i="9"/>
  <c r="BL335" i="9"/>
  <c r="BL336" i="9"/>
  <c r="BL337" i="9"/>
  <c r="BL338" i="9"/>
  <c r="BL339" i="9"/>
  <c r="BL340" i="9"/>
  <c r="BL341" i="9"/>
  <c r="BL342" i="9"/>
  <c r="BL343" i="9"/>
  <c r="BL344" i="9"/>
  <c r="BL345" i="9"/>
  <c r="BL346" i="9"/>
  <c r="BL347" i="9"/>
  <c r="BL348" i="9"/>
  <c r="BL349" i="9"/>
  <c r="BL350" i="9"/>
  <c r="BL351" i="9"/>
  <c r="BL352" i="9"/>
  <c r="BL353" i="9"/>
  <c r="BL354" i="9"/>
  <c r="BL355" i="9"/>
  <c r="BL356" i="9"/>
  <c r="BL357" i="9"/>
  <c r="BL358" i="9"/>
  <c r="BL359" i="9"/>
  <c r="BL360" i="9"/>
  <c r="BL361" i="9"/>
  <c r="BL362" i="9"/>
  <c r="BL363" i="9"/>
  <c r="BL364" i="9"/>
  <c r="BL365" i="9"/>
  <c r="BL366" i="9"/>
  <c r="BL367" i="9"/>
  <c r="BL368" i="9"/>
  <c r="BL369" i="9"/>
  <c r="BL370" i="9"/>
  <c r="BL371" i="9"/>
  <c r="BL372" i="9"/>
  <c r="BL373" i="9"/>
  <c r="BL374" i="9"/>
  <c r="BL375" i="9"/>
  <c r="BL376" i="9"/>
  <c r="BL377" i="9"/>
  <c r="BL378" i="9"/>
  <c r="BL379" i="9"/>
  <c r="BL380" i="9"/>
  <c r="BL381" i="9"/>
  <c r="BL382" i="9"/>
  <c r="BL383" i="9"/>
  <c r="BL384" i="9"/>
  <c r="BL385" i="9"/>
  <c r="BL386" i="9"/>
  <c r="BL387" i="9"/>
  <c r="BL388" i="9"/>
  <c r="BL389" i="9"/>
  <c r="BL390" i="9"/>
  <c r="BL391" i="9"/>
  <c r="BL392" i="9"/>
  <c r="BL393" i="9"/>
  <c r="BL394" i="9"/>
  <c r="BL395" i="9"/>
  <c r="BL396" i="9"/>
  <c r="BL397" i="9"/>
  <c r="BL398" i="9"/>
  <c r="BL399" i="9"/>
  <c r="BL400" i="9"/>
  <c r="BL401" i="9"/>
  <c r="BL402" i="9"/>
  <c r="BL403" i="9"/>
  <c r="BL404" i="9"/>
  <c r="BL405" i="9"/>
  <c r="BL406" i="9"/>
  <c r="BL407" i="9"/>
  <c r="BL408" i="9"/>
  <c r="BL409" i="9"/>
  <c r="BL410" i="9"/>
  <c r="BL411" i="9"/>
  <c r="BL412" i="9"/>
  <c r="BL413" i="9"/>
  <c r="BL414" i="9"/>
  <c r="BL415" i="9"/>
  <c r="BL416" i="9"/>
  <c r="BL417" i="9"/>
  <c r="BL418" i="9"/>
  <c r="BL419" i="9"/>
  <c r="BL420" i="9"/>
  <c r="BL421" i="9"/>
  <c r="BL422" i="9"/>
  <c r="BL423" i="9"/>
  <c r="BL424" i="9"/>
  <c r="BL425" i="9"/>
  <c r="BL426" i="9"/>
  <c r="BL427" i="9"/>
  <c r="BL428" i="9"/>
  <c r="BL429" i="9"/>
  <c r="BL430" i="9"/>
  <c r="BL431" i="9"/>
  <c r="BL432" i="9"/>
  <c r="BL433" i="9"/>
  <c r="BL434" i="9"/>
  <c r="BL435" i="9"/>
  <c r="BL436" i="9"/>
  <c r="BL437" i="9"/>
  <c r="BL438" i="9"/>
  <c r="BL439" i="9"/>
  <c r="BL440" i="9"/>
  <c r="BL441" i="9"/>
  <c r="BL442" i="9"/>
  <c r="BL443" i="9"/>
  <c r="BL444" i="9"/>
  <c r="BL445" i="9"/>
  <c r="BL446" i="9"/>
  <c r="BL447" i="9"/>
  <c r="BL448" i="9"/>
  <c r="BL449" i="9"/>
  <c r="BL450" i="9"/>
  <c r="BL451" i="9"/>
  <c r="BL452" i="9"/>
  <c r="BL453" i="9"/>
  <c r="BL454" i="9"/>
  <c r="BL455" i="9"/>
  <c r="BL456" i="9"/>
  <c r="BL457" i="9"/>
  <c r="BL458" i="9"/>
  <c r="BL459" i="9"/>
  <c r="BL460" i="9"/>
  <c r="BL461" i="9"/>
  <c r="BL462" i="9"/>
  <c r="BL463" i="9"/>
  <c r="BL464" i="9"/>
  <c r="BL465" i="9"/>
  <c r="BL466" i="9"/>
  <c r="BL467" i="9"/>
  <c r="BL468" i="9"/>
  <c r="BL469" i="9"/>
  <c r="BL470" i="9"/>
  <c r="BL471" i="9"/>
  <c r="BL472" i="9"/>
  <c r="BL473" i="9"/>
  <c r="BL474" i="9"/>
  <c r="BL475" i="9"/>
  <c r="BL476" i="9"/>
  <c r="BL477" i="9"/>
  <c r="BL478" i="9"/>
  <c r="BL479" i="9"/>
  <c r="BL480" i="9"/>
  <c r="BL481" i="9"/>
  <c r="BL482" i="9"/>
  <c r="BL483" i="9"/>
  <c r="BL484" i="9"/>
  <c r="BL485" i="9"/>
  <c r="BL486" i="9"/>
  <c r="BL487" i="9"/>
  <c r="BL488" i="9"/>
  <c r="BL489" i="9"/>
  <c r="BL490" i="9"/>
  <c r="BL491" i="9"/>
  <c r="BL492" i="9"/>
  <c r="BL493" i="9"/>
  <c r="BL494" i="9"/>
  <c r="BL495" i="9"/>
  <c r="BL496" i="9"/>
  <c r="BL497" i="9"/>
  <c r="BL498" i="9"/>
  <c r="BL499" i="9"/>
  <c r="BL500" i="9"/>
  <c r="BL501" i="9"/>
  <c r="BL502" i="9"/>
  <c r="BL503" i="9"/>
  <c r="BL504" i="9"/>
  <c r="BL505" i="9"/>
  <c r="BL506" i="9"/>
  <c r="BL507" i="9"/>
  <c r="BL508" i="9"/>
  <c r="BL509" i="9"/>
  <c r="BL510" i="9"/>
  <c r="BL511" i="9"/>
  <c r="BL512" i="9"/>
  <c r="BL513" i="9"/>
  <c r="BL514" i="9"/>
  <c r="BL515" i="9"/>
  <c r="BL516" i="9"/>
  <c r="BL517" i="9"/>
  <c r="BL518" i="9"/>
  <c r="BL519" i="9"/>
  <c r="BL520" i="9"/>
  <c r="BL521" i="9"/>
  <c r="BL522" i="9"/>
  <c r="BL523" i="9"/>
  <c r="BL524" i="9"/>
  <c r="BL525" i="9"/>
  <c r="BL526" i="9"/>
  <c r="BL527" i="9"/>
  <c r="BL528" i="9"/>
  <c r="BL529" i="9"/>
  <c r="BL530" i="9"/>
  <c r="BL531" i="9"/>
  <c r="BL532" i="9"/>
  <c r="BL533" i="9"/>
  <c r="BL534" i="9"/>
  <c r="BL535" i="9"/>
  <c r="BL536" i="9"/>
  <c r="BL537" i="9"/>
  <c r="BL538" i="9"/>
  <c r="BL539" i="9"/>
  <c r="BL540" i="9"/>
  <c r="BL541" i="9"/>
  <c r="BL542" i="9"/>
  <c r="BL543" i="9"/>
  <c r="BL544" i="9"/>
  <c r="BL545" i="9"/>
  <c r="BL546" i="9"/>
  <c r="BL547" i="9"/>
  <c r="BL548" i="9"/>
  <c r="BL549" i="9"/>
  <c r="BL550" i="9"/>
  <c r="BL551" i="9"/>
  <c r="BL552" i="9"/>
  <c r="BL553" i="9"/>
  <c r="BL554" i="9"/>
  <c r="BL555" i="9"/>
  <c r="BL556" i="9"/>
  <c r="BL557" i="9"/>
  <c r="BL558" i="9"/>
  <c r="BL559" i="9"/>
  <c r="BL560" i="9"/>
  <c r="BL561" i="9"/>
  <c r="BL562" i="9"/>
  <c r="BL563" i="9"/>
  <c r="BL564" i="9"/>
  <c r="BL565" i="9"/>
  <c r="BL566" i="9"/>
  <c r="BL567" i="9"/>
  <c r="BL568" i="9"/>
  <c r="BL569" i="9"/>
  <c r="BL570" i="9"/>
  <c r="BL571" i="9"/>
  <c r="BL572" i="9"/>
  <c r="BL573" i="9"/>
  <c r="BL574" i="9"/>
  <c r="BL575" i="9"/>
  <c r="BL576" i="9"/>
  <c r="BL577" i="9"/>
  <c r="BL578" i="9"/>
  <c r="BL579" i="9"/>
  <c r="BL580" i="9"/>
  <c r="BL581" i="9"/>
  <c r="BL582" i="9"/>
  <c r="BL583" i="9"/>
  <c r="BL584" i="9"/>
  <c r="BL585" i="9"/>
  <c r="BL586" i="9"/>
  <c r="BL587" i="9"/>
  <c r="BL588" i="9"/>
  <c r="BL589" i="9"/>
  <c r="BL590" i="9"/>
  <c r="BL591" i="9"/>
  <c r="BL592" i="9"/>
  <c r="BL593" i="9"/>
  <c r="BL594" i="9"/>
  <c r="BL595" i="9"/>
  <c r="BL596" i="9"/>
  <c r="BL597" i="9"/>
  <c r="BL598" i="9"/>
  <c r="BL599" i="9"/>
  <c r="BL600" i="9"/>
  <c r="BL601" i="9"/>
  <c r="BL602" i="9"/>
  <c r="BL603" i="9"/>
  <c r="BL604" i="9"/>
  <c r="BL24" i="9"/>
  <c r="BL23" i="9"/>
  <c r="BL22" i="9"/>
  <c r="BL21" i="9"/>
  <c r="BL20" i="9"/>
  <c r="BL19" i="9"/>
  <c r="BL18" i="9"/>
  <c r="BL17" i="9"/>
  <c r="BL16" i="9"/>
  <c r="BL15" i="9"/>
  <c r="BL14" i="9"/>
  <c r="BL13" i="9"/>
  <c r="BL12" i="9"/>
  <c r="BL11" i="9"/>
  <c r="BL10" i="9"/>
  <c r="BL9" i="9"/>
  <c r="BL8" i="9"/>
  <c r="BL7" i="9"/>
  <c r="BL6" i="9"/>
  <c r="BL5" i="9"/>
  <c r="A31" i="30"/>
  <c r="BG266" i="9"/>
  <c r="BG267" i="9"/>
  <c r="BG268" i="9"/>
  <c r="BG269" i="9"/>
  <c r="BG270" i="9"/>
  <c r="BG271" i="9"/>
  <c r="BG273" i="9"/>
  <c r="BG274" i="9"/>
  <c r="BG275" i="9"/>
  <c r="BG276" i="9"/>
  <c r="BG277" i="9"/>
  <c r="BG278" i="9"/>
  <c r="BG279" i="9"/>
  <c r="BG280" i="9"/>
  <c r="BG281" i="9"/>
  <c r="BG282" i="9"/>
  <c r="BG283" i="9"/>
  <c r="BG284" i="9"/>
  <c r="F21" i="30"/>
  <c r="A21" i="30" s="1"/>
  <c r="BG75" i="9" s="1"/>
  <c r="F22" i="30"/>
  <c r="A22" i="30" s="1"/>
  <c r="BG96" i="9" s="1"/>
  <c r="F23" i="30"/>
  <c r="A23" i="30" s="1"/>
  <c r="BG214" i="9" s="1"/>
  <c r="F24" i="30"/>
  <c r="A24" i="30" s="1"/>
  <c r="BG298" i="9" s="1"/>
  <c r="F25" i="30"/>
  <c r="A25" i="30" s="1"/>
  <c r="BG332" i="9" s="1"/>
  <c r="A26" i="30"/>
  <c r="BG351" i="9" s="1"/>
  <c r="A27" i="30"/>
  <c r="BG415" i="9" s="1"/>
  <c r="A28" i="30"/>
  <c r="BG437" i="9" s="1"/>
  <c r="A34" i="30"/>
  <c r="BG562" i="9" s="1"/>
  <c r="F20" i="30"/>
  <c r="A20" i="30" s="1"/>
  <c r="BG14" i="9" s="1"/>
  <c r="A29" i="30"/>
  <c r="BG456" i="9" s="1"/>
  <c r="A30" i="30"/>
  <c r="BG474" i="9" s="1"/>
  <c r="A32" i="30"/>
  <c r="BG536" i="9" s="1"/>
  <c r="A33" i="30"/>
  <c r="BG599" i="9" s="1"/>
  <c r="BG25" i="9"/>
  <c r="BG26" i="9"/>
  <c r="BG27" i="9"/>
  <c r="BG28" i="9"/>
  <c r="BG29" i="9"/>
  <c r="BG30" i="9"/>
  <c r="BG31" i="9"/>
  <c r="BG32" i="9"/>
  <c r="BG33" i="9"/>
  <c r="BG34" i="9"/>
  <c r="BG35" i="9"/>
  <c r="BG36" i="9"/>
  <c r="BG37" i="9"/>
  <c r="BG38" i="9"/>
  <c r="BG39" i="9"/>
  <c r="BG40" i="9"/>
  <c r="BG41" i="9"/>
  <c r="BG42" i="9"/>
  <c r="BG43" i="9"/>
  <c r="BG44" i="9"/>
  <c r="BG45" i="9"/>
  <c r="BG46" i="9"/>
  <c r="BG47" i="9"/>
  <c r="BG48" i="9"/>
  <c r="BG49" i="9"/>
  <c r="BG50" i="9"/>
  <c r="BG51" i="9"/>
  <c r="BG52" i="9"/>
  <c r="BG53" i="9"/>
  <c r="BG54" i="9"/>
  <c r="BG55" i="9"/>
  <c r="BG56" i="9"/>
  <c r="BG57" i="9"/>
  <c r="BG58" i="9"/>
  <c r="BG59" i="9"/>
  <c r="BG60" i="9"/>
  <c r="BG61" i="9"/>
  <c r="BG62" i="9"/>
  <c r="BG63" i="9"/>
  <c r="BG64" i="9"/>
  <c r="BG65" i="9"/>
  <c r="BG66" i="9"/>
  <c r="BG67" i="9"/>
  <c r="BG68" i="9"/>
  <c r="BG69" i="9"/>
  <c r="BG70" i="9"/>
  <c r="BG71" i="9"/>
  <c r="BG72" i="9"/>
  <c r="BG73" i="9"/>
  <c r="BG74" i="9"/>
  <c r="BG76" i="9"/>
  <c r="BG77" i="9"/>
  <c r="BG78" i="9"/>
  <c r="BG79" i="9"/>
  <c r="BG80" i="9"/>
  <c r="BG81" i="9"/>
  <c r="BG82" i="9"/>
  <c r="BG83" i="9"/>
  <c r="BG84" i="9"/>
  <c r="BG85" i="9"/>
  <c r="BG86" i="9"/>
  <c r="BG87" i="9"/>
  <c r="BG88" i="9"/>
  <c r="BG89" i="9"/>
  <c r="BG90" i="9"/>
  <c r="BG91" i="9"/>
  <c r="BG92" i="9"/>
  <c r="BG93" i="9"/>
  <c r="BG94" i="9"/>
  <c r="BG95" i="9"/>
  <c r="BG97" i="9"/>
  <c r="BG98" i="9"/>
  <c r="BG99" i="9"/>
  <c r="BG100" i="9"/>
  <c r="BG101" i="9"/>
  <c r="BG102" i="9"/>
  <c r="BG103" i="9"/>
  <c r="BG104" i="9"/>
  <c r="BG105" i="9"/>
  <c r="BG106" i="9"/>
  <c r="BG107" i="9"/>
  <c r="BG108" i="9"/>
  <c r="BG109" i="9"/>
  <c r="BG110" i="9"/>
  <c r="BG111" i="9"/>
  <c r="BG112" i="9"/>
  <c r="BG113" i="9"/>
  <c r="BG114" i="9"/>
  <c r="BG115" i="9"/>
  <c r="BG116" i="9"/>
  <c r="BG117" i="9"/>
  <c r="BG118" i="9"/>
  <c r="BG119" i="9"/>
  <c r="BG120" i="9"/>
  <c r="BG121" i="9"/>
  <c r="BG122" i="9"/>
  <c r="BG123" i="9"/>
  <c r="BG124" i="9"/>
  <c r="BG125" i="9"/>
  <c r="BG126" i="9"/>
  <c r="BG127" i="9"/>
  <c r="BG128" i="9"/>
  <c r="BG129" i="9"/>
  <c r="BG130" i="9"/>
  <c r="BG131" i="9"/>
  <c r="BG132" i="9"/>
  <c r="BG133" i="9"/>
  <c r="BG134" i="9"/>
  <c r="BG135" i="9"/>
  <c r="BG136" i="9"/>
  <c r="BG137" i="9"/>
  <c r="BG138" i="9"/>
  <c r="BG139" i="9"/>
  <c r="BG140" i="9"/>
  <c r="BG141" i="9"/>
  <c r="BG142" i="9"/>
  <c r="BG143" i="9"/>
  <c r="BG144" i="9"/>
  <c r="BG145" i="9"/>
  <c r="BG146" i="9"/>
  <c r="BG147" i="9"/>
  <c r="BG148" i="9"/>
  <c r="BG149" i="9"/>
  <c r="BG150" i="9"/>
  <c r="BG151" i="9"/>
  <c r="BG152" i="9"/>
  <c r="BG153" i="9"/>
  <c r="BG154" i="9"/>
  <c r="BG155" i="9"/>
  <c r="BG156" i="9"/>
  <c r="BG157" i="9"/>
  <c r="BG158" i="9"/>
  <c r="BG159" i="9"/>
  <c r="BG160" i="9"/>
  <c r="BG161" i="9"/>
  <c r="BG162" i="9"/>
  <c r="BG163" i="9"/>
  <c r="BG164" i="9"/>
  <c r="BG165" i="9"/>
  <c r="BG166" i="9"/>
  <c r="BG167" i="9"/>
  <c r="BG168" i="9"/>
  <c r="BG169" i="9"/>
  <c r="BG170" i="9"/>
  <c r="BG171" i="9"/>
  <c r="BG172" i="9"/>
  <c r="BG173" i="9"/>
  <c r="BG174" i="9"/>
  <c r="BG175" i="9"/>
  <c r="BG176" i="9"/>
  <c r="BG177" i="9"/>
  <c r="BG178" i="9"/>
  <c r="BG179" i="9"/>
  <c r="BG180" i="9"/>
  <c r="BG181" i="9"/>
  <c r="BG182" i="9"/>
  <c r="BG183" i="9"/>
  <c r="BG184" i="9"/>
  <c r="BG225" i="9"/>
  <c r="BG226" i="9"/>
  <c r="BG227" i="9"/>
  <c r="BG228" i="9"/>
  <c r="BG229" i="9"/>
  <c r="BG230" i="9"/>
  <c r="BG231" i="9"/>
  <c r="BG232" i="9"/>
  <c r="BG233" i="9"/>
  <c r="BG235" i="9"/>
  <c r="BG236" i="9"/>
  <c r="BG237" i="9"/>
  <c r="BG238" i="9"/>
  <c r="BG239" i="9"/>
  <c r="BG240" i="9"/>
  <c r="BG241" i="9"/>
  <c r="BG242" i="9"/>
  <c r="BG243" i="9"/>
  <c r="BG244" i="9"/>
  <c r="BG245" i="9"/>
  <c r="BG246" i="9"/>
  <c r="BG247" i="9"/>
  <c r="BG248" i="9"/>
  <c r="BG249" i="9"/>
  <c r="BG250" i="9"/>
  <c r="BG251" i="9"/>
  <c r="BG252" i="9"/>
  <c r="BG253" i="9"/>
  <c r="BG255" i="9"/>
  <c r="BG256" i="9"/>
  <c r="BG257" i="9"/>
  <c r="BG258" i="9"/>
  <c r="BG259" i="9"/>
  <c r="BG260" i="9"/>
  <c r="BG261" i="9"/>
  <c r="BG262" i="9"/>
  <c r="BG263" i="9"/>
  <c r="BG264" i="9"/>
  <c r="BG265" i="9"/>
  <c r="BG285" i="9"/>
  <c r="BG286" i="9"/>
  <c r="BG287" i="9"/>
  <c r="BG288" i="9"/>
  <c r="BG289" i="9"/>
  <c r="BG290" i="9"/>
  <c r="BG291" i="9"/>
  <c r="BG292" i="9"/>
  <c r="BG293" i="9"/>
  <c r="BG294" i="9"/>
  <c r="BG295" i="9"/>
  <c r="BG296" i="9"/>
  <c r="BG297" i="9"/>
  <c r="BG299" i="9"/>
  <c r="BG300" i="9"/>
  <c r="BG301" i="9"/>
  <c r="BG302" i="9"/>
  <c r="BG303" i="9"/>
  <c r="BG304" i="9"/>
  <c r="BG305" i="9"/>
  <c r="BG306" i="9"/>
  <c r="BG307" i="9"/>
  <c r="BG308" i="9"/>
  <c r="BG309" i="9"/>
  <c r="BG310" i="9"/>
  <c r="BG311" i="9"/>
  <c r="BG312" i="9"/>
  <c r="BG313" i="9"/>
  <c r="BG314" i="9"/>
  <c r="BG315" i="9"/>
  <c r="BG316" i="9"/>
  <c r="BG317" i="9"/>
  <c r="BG319" i="9"/>
  <c r="BG320" i="9"/>
  <c r="BG321" i="9"/>
  <c r="BG322" i="9"/>
  <c r="BG323" i="9"/>
  <c r="BG324" i="9"/>
  <c r="BG325" i="9"/>
  <c r="BG326" i="9"/>
  <c r="BG327" i="9"/>
  <c r="BG328" i="9"/>
  <c r="BG329" i="9"/>
  <c r="BG330" i="9"/>
  <c r="BG331" i="9"/>
  <c r="BG333" i="9"/>
  <c r="BG334" i="9"/>
  <c r="BG335" i="9"/>
  <c r="BG336" i="9"/>
  <c r="BG337" i="9"/>
  <c r="BG338" i="9"/>
  <c r="BG339" i="9"/>
  <c r="BG340" i="9"/>
  <c r="BG341" i="9"/>
  <c r="BG342" i="9"/>
  <c r="BG343" i="9"/>
  <c r="BG344" i="9"/>
  <c r="BG345" i="9"/>
  <c r="BG346" i="9"/>
  <c r="BG347" i="9"/>
  <c r="BG348" i="9"/>
  <c r="BG349" i="9"/>
  <c r="BG350" i="9"/>
  <c r="BG352" i="9"/>
  <c r="BG353" i="9"/>
  <c r="BG354" i="9"/>
  <c r="BG355" i="9"/>
  <c r="BG356" i="9"/>
  <c r="BG357" i="9"/>
  <c r="BG358" i="9"/>
  <c r="BG359" i="9"/>
  <c r="BG360" i="9"/>
  <c r="BG361" i="9"/>
  <c r="BG362" i="9"/>
  <c r="BG363" i="9"/>
  <c r="BG364" i="9"/>
  <c r="BG365" i="9"/>
  <c r="BG366" i="9"/>
  <c r="BG367" i="9"/>
  <c r="BG368" i="9"/>
  <c r="BG369" i="9"/>
  <c r="BG370" i="9"/>
  <c r="BG371" i="9"/>
  <c r="BG372" i="9"/>
  <c r="BG373" i="9"/>
  <c r="BG374" i="9"/>
  <c r="BG375" i="9"/>
  <c r="BG376" i="9"/>
  <c r="BG377" i="9"/>
  <c r="BG378" i="9"/>
  <c r="BG379" i="9"/>
  <c r="BG380" i="9"/>
  <c r="BG381" i="9"/>
  <c r="BG382" i="9"/>
  <c r="BG383" i="9"/>
  <c r="BG384" i="9"/>
  <c r="BG385" i="9"/>
  <c r="BG386" i="9"/>
  <c r="BG387" i="9"/>
  <c r="BG388" i="9"/>
  <c r="BG389" i="9"/>
  <c r="BG391" i="9"/>
  <c r="BG392" i="9"/>
  <c r="BG393" i="9"/>
  <c r="BG394" i="9"/>
  <c r="BG395" i="9"/>
  <c r="BG396" i="9"/>
  <c r="BG397" i="9"/>
  <c r="BG398" i="9"/>
  <c r="BG399" i="9"/>
  <c r="BG400" i="9"/>
  <c r="BG401" i="9"/>
  <c r="BG402" i="9"/>
  <c r="BG403" i="9"/>
  <c r="BG404" i="9"/>
  <c r="BG405" i="9"/>
  <c r="BG406" i="9"/>
  <c r="BG407" i="9"/>
  <c r="BG408" i="9"/>
  <c r="BG409" i="9"/>
  <c r="BG410" i="9"/>
  <c r="BG411" i="9"/>
  <c r="BG412" i="9"/>
  <c r="BG413" i="9"/>
  <c r="BG414" i="9"/>
  <c r="BG416" i="9"/>
  <c r="BG417" i="9"/>
  <c r="BG418" i="9"/>
  <c r="BG419" i="9"/>
  <c r="BG420" i="9"/>
  <c r="BG421" i="9"/>
  <c r="BG422" i="9"/>
  <c r="BG423" i="9"/>
  <c r="BG424" i="9"/>
  <c r="BG425" i="9"/>
  <c r="BG426" i="9"/>
  <c r="BG427" i="9"/>
  <c r="BG428" i="9"/>
  <c r="BG429" i="9"/>
  <c r="BG430" i="9"/>
  <c r="BG431" i="9"/>
  <c r="BG432" i="9"/>
  <c r="BG433" i="9"/>
  <c r="BG434" i="9"/>
  <c r="BG435" i="9"/>
  <c r="BG436" i="9"/>
  <c r="BG438" i="9"/>
  <c r="BG439" i="9"/>
  <c r="BG440" i="9"/>
  <c r="BG441" i="9"/>
  <c r="BG442" i="9"/>
  <c r="BG443" i="9"/>
  <c r="BG444" i="9"/>
  <c r="BG445" i="9"/>
  <c r="BG446" i="9"/>
  <c r="BG447" i="9"/>
  <c r="BG448" i="9"/>
  <c r="BG449" i="9"/>
  <c r="BG450" i="9"/>
  <c r="BG451" i="9"/>
  <c r="BG452" i="9"/>
  <c r="BG453" i="9"/>
  <c r="BG454" i="9"/>
  <c r="BG455" i="9"/>
  <c r="BG457" i="9"/>
  <c r="BG458" i="9"/>
  <c r="BG459" i="9"/>
  <c r="BG460" i="9"/>
  <c r="BG461" i="9"/>
  <c r="BG462" i="9"/>
  <c r="BG463" i="9"/>
  <c r="BG464" i="9"/>
  <c r="BG466" i="9"/>
  <c r="BG467" i="9"/>
  <c r="BG468" i="9"/>
  <c r="BG469" i="9"/>
  <c r="BG470" i="9"/>
  <c r="BG471" i="9"/>
  <c r="BG472" i="9"/>
  <c r="BG473" i="9"/>
  <c r="BG475" i="9"/>
  <c r="BG476" i="9"/>
  <c r="BG477" i="9"/>
  <c r="BG478" i="9"/>
  <c r="BG479" i="9"/>
  <c r="BG480" i="9"/>
  <c r="BG481" i="9"/>
  <c r="BG482" i="9"/>
  <c r="BG483" i="9"/>
  <c r="BG484" i="9"/>
  <c r="BG486" i="9"/>
  <c r="BG487" i="9"/>
  <c r="BG488" i="9"/>
  <c r="BG489" i="9"/>
  <c r="BG490" i="9"/>
  <c r="BG491" i="9"/>
  <c r="BG492" i="9"/>
  <c r="BG493" i="9"/>
  <c r="BG494" i="9"/>
  <c r="BG495" i="9"/>
  <c r="BG496" i="9"/>
  <c r="BG497" i="9"/>
  <c r="BG498" i="9"/>
  <c r="BG499" i="9"/>
  <c r="BG500" i="9"/>
  <c r="BG501" i="9"/>
  <c r="BG502" i="9"/>
  <c r="BG503" i="9"/>
  <c r="BG504" i="9"/>
  <c r="BG506" i="9"/>
  <c r="BG507" i="9"/>
  <c r="BG508" i="9"/>
  <c r="BG509" i="9"/>
  <c r="BG510" i="9"/>
  <c r="BG511" i="9"/>
  <c r="BG513" i="9"/>
  <c r="BG514" i="9"/>
  <c r="BG515" i="9"/>
  <c r="BG516" i="9"/>
  <c r="BG517" i="9"/>
  <c r="BG518" i="9"/>
  <c r="BG519" i="9"/>
  <c r="BG520" i="9"/>
  <c r="BG521" i="9"/>
  <c r="BG522" i="9"/>
  <c r="BG523" i="9"/>
  <c r="BG524" i="9"/>
  <c r="BG526" i="9"/>
  <c r="BG527" i="9"/>
  <c r="BG528" i="9"/>
  <c r="BG529" i="9"/>
  <c r="BG530" i="9"/>
  <c r="BG531" i="9"/>
  <c r="BG532" i="9"/>
  <c r="BG533" i="9"/>
  <c r="BG534" i="9"/>
  <c r="BG535" i="9"/>
  <c r="BG537" i="9"/>
  <c r="BG538" i="9"/>
  <c r="BG539" i="9"/>
  <c r="BG540" i="9"/>
  <c r="BG541" i="9"/>
  <c r="BG542" i="9"/>
  <c r="BG543" i="9"/>
  <c r="BG544" i="9"/>
  <c r="BG546" i="9"/>
  <c r="BG547" i="9"/>
  <c r="BG548" i="9"/>
  <c r="BG549" i="9"/>
  <c r="BG551" i="9"/>
  <c r="BG552" i="9"/>
  <c r="BG553" i="9"/>
  <c r="BG554" i="9"/>
  <c r="BG555" i="9"/>
  <c r="BG556" i="9"/>
  <c r="BG557" i="9"/>
  <c r="BG558" i="9"/>
  <c r="BG559" i="9"/>
  <c r="BG560" i="9"/>
  <c r="BG561" i="9"/>
  <c r="BG563" i="9"/>
  <c r="BG564" i="9"/>
  <c r="BG566" i="9"/>
  <c r="BG567" i="9"/>
  <c r="BG568" i="9"/>
  <c r="BG569" i="9"/>
  <c r="BG570" i="9"/>
  <c r="BG571" i="9"/>
  <c r="BG572" i="9"/>
  <c r="BG573" i="9"/>
  <c r="BG574" i="9"/>
  <c r="BG575" i="9"/>
  <c r="BG576" i="9"/>
  <c r="BG577" i="9"/>
  <c r="BG578" i="9"/>
  <c r="BG579" i="9"/>
  <c r="BG580" i="9"/>
  <c r="BG581" i="9"/>
  <c r="BG582" i="9"/>
  <c r="BG583" i="9"/>
  <c r="BG584" i="9"/>
  <c r="BG586" i="9"/>
  <c r="BG587" i="9"/>
  <c r="BG588" i="9"/>
  <c r="BG590" i="9"/>
  <c r="BG591" i="9"/>
  <c r="BG592" i="9"/>
  <c r="BG593" i="9"/>
  <c r="BG594" i="9"/>
  <c r="BG595" i="9"/>
  <c r="BG596" i="9"/>
  <c r="BG597" i="9"/>
  <c r="BG598" i="9"/>
  <c r="BG600" i="9"/>
  <c r="BG601" i="9"/>
  <c r="BG602" i="9"/>
  <c r="BG603" i="9"/>
  <c r="BG24" i="9"/>
  <c r="BG23" i="9"/>
  <c r="BG22" i="9"/>
  <c r="BG21" i="9"/>
  <c r="BG20" i="9"/>
  <c r="BG19" i="9"/>
  <c r="BG18" i="9"/>
  <c r="BG17" i="9"/>
  <c r="BG16" i="9"/>
  <c r="BG15" i="9"/>
  <c r="BG13" i="9"/>
  <c r="BG12" i="9"/>
  <c r="BG11" i="9"/>
  <c r="BG10" i="9"/>
  <c r="BG9" i="9"/>
  <c r="BG8" i="9"/>
  <c r="BG7" i="9"/>
  <c r="BG6" i="9"/>
  <c r="BG5" i="9"/>
  <c r="BB26" i="9"/>
  <c r="BB27" i="9"/>
  <c r="BB28" i="9"/>
  <c r="BB29" i="9"/>
  <c r="BB30" i="9"/>
  <c r="BB31" i="9"/>
  <c r="BB32" i="9"/>
  <c r="BB33" i="9"/>
  <c r="BB34" i="9"/>
  <c r="BB35" i="9"/>
  <c r="BB36" i="9"/>
  <c r="BB37" i="9"/>
  <c r="BB38" i="9"/>
  <c r="BB39" i="9"/>
  <c r="BB40" i="9"/>
  <c r="BB41" i="9"/>
  <c r="BB42" i="9"/>
  <c r="BB43" i="9"/>
  <c r="BB44" i="9"/>
  <c r="BB46" i="9"/>
  <c r="BB47" i="9"/>
  <c r="BB48" i="9"/>
  <c r="BB49" i="9"/>
  <c r="BB50" i="9"/>
  <c r="BB51" i="9"/>
  <c r="BB52" i="9"/>
  <c r="BB53" i="9"/>
  <c r="BB54" i="9"/>
  <c r="BB55" i="9"/>
  <c r="BB56" i="9"/>
  <c r="BB57" i="9"/>
  <c r="BB58" i="9"/>
  <c r="BB59" i="9"/>
  <c r="BB60" i="9"/>
  <c r="BB61" i="9"/>
  <c r="BB62" i="9"/>
  <c r="BB63" i="9"/>
  <c r="BB64" i="9"/>
  <c r="BB66" i="9"/>
  <c r="BB67" i="9"/>
  <c r="BB68" i="9"/>
  <c r="BB69" i="9"/>
  <c r="BB70" i="9"/>
  <c r="BB71" i="9"/>
  <c r="BB72" i="9"/>
  <c r="BB73" i="9"/>
  <c r="BB74" i="9"/>
  <c r="BB75" i="9"/>
  <c r="BB76" i="9"/>
  <c r="BB77" i="9"/>
  <c r="BB78" i="9"/>
  <c r="BB79" i="9"/>
  <c r="BB80" i="9"/>
  <c r="BB81" i="9"/>
  <c r="BB82" i="9"/>
  <c r="BB83" i="9"/>
  <c r="BB84" i="9"/>
  <c r="BB86" i="9"/>
  <c r="BB87" i="9"/>
  <c r="BB88" i="9"/>
  <c r="BB89" i="9"/>
  <c r="BB90" i="9"/>
  <c r="BB91" i="9"/>
  <c r="BB92" i="9"/>
  <c r="BB93" i="9"/>
  <c r="BB94" i="9"/>
  <c r="BB95" i="9"/>
  <c r="BB96" i="9"/>
  <c r="BB97" i="9"/>
  <c r="BB98" i="9"/>
  <c r="BB99" i="9"/>
  <c r="BB100" i="9"/>
  <c r="BB101" i="9"/>
  <c r="BB102" i="9"/>
  <c r="BB103" i="9"/>
  <c r="BB104" i="9"/>
  <c r="BB106" i="9"/>
  <c r="BB107" i="9"/>
  <c r="BB108" i="9"/>
  <c r="BB109" i="9"/>
  <c r="BB110" i="9"/>
  <c r="BB111" i="9"/>
  <c r="BB112" i="9"/>
  <c r="BB113" i="9"/>
  <c r="BB114" i="9"/>
  <c r="BB115" i="9"/>
  <c r="BB116" i="9"/>
  <c r="BB117" i="9"/>
  <c r="BB118" i="9"/>
  <c r="BB119" i="9"/>
  <c r="BB120" i="9"/>
  <c r="BB121" i="9"/>
  <c r="BB122" i="9"/>
  <c r="BB123" i="9"/>
  <c r="BB124" i="9"/>
  <c r="BB126" i="9"/>
  <c r="BB127" i="9"/>
  <c r="BB128" i="9"/>
  <c r="BB129" i="9"/>
  <c r="BB130" i="9"/>
  <c r="BB131" i="9"/>
  <c r="BB132" i="9"/>
  <c r="BB133" i="9"/>
  <c r="BB134" i="9"/>
  <c r="BB135" i="9"/>
  <c r="BB136" i="9"/>
  <c r="BB137" i="9"/>
  <c r="BB138" i="9"/>
  <c r="BB139" i="9"/>
  <c r="BB140" i="9"/>
  <c r="BB141" i="9"/>
  <c r="BB142" i="9"/>
  <c r="BB143" i="9"/>
  <c r="BB144" i="9"/>
  <c r="BB146" i="9"/>
  <c r="BB147" i="9"/>
  <c r="BB148" i="9"/>
  <c r="BB149" i="9"/>
  <c r="BB150" i="9"/>
  <c r="BB151" i="9"/>
  <c r="BB152" i="9"/>
  <c r="BB153" i="9"/>
  <c r="BB154" i="9"/>
  <c r="BB155" i="9"/>
  <c r="BB156" i="9"/>
  <c r="BB157" i="9"/>
  <c r="BB158" i="9"/>
  <c r="BB159" i="9"/>
  <c r="BB160" i="9"/>
  <c r="BB161" i="9"/>
  <c r="BB162" i="9"/>
  <c r="BB163" i="9"/>
  <c r="BB164" i="9"/>
  <c r="BB166" i="9"/>
  <c r="BB167" i="9"/>
  <c r="BB168" i="9"/>
  <c r="BB169" i="9"/>
  <c r="BB170" i="9"/>
  <c r="BB171" i="9"/>
  <c r="BB172" i="9"/>
  <c r="BB173" i="9"/>
  <c r="BB174" i="9"/>
  <c r="BB175" i="9"/>
  <c r="BB176" i="9"/>
  <c r="BB177" i="9"/>
  <c r="BB178" i="9"/>
  <c r="BB179" i="9"/>
  <c r="BB180" i="9"/>
  <c r="BB181" i="9"/>
  <c r="BB182" i="9"/>
  <c r="BB183" i="9"/>
  <c r="BB184" i="9"/>
  <c r="BB226" i="9"/>
  <c r="BB227" i="9"/>
  <c r="BB228" i="9"/>
  <c r="BB229" i="9"/>
  <c r="BB230" i="9"/>
  <c r="BB231" i="9"/>
  <c r="BB232" i="9"/>
  <c r="BB233" i="9"/>
  <c r="BB234" i="9"/>
  <c r="BB235" i="9"/>
  <c r="BB236" i="9"/>
  <c r="BB237" i="9"/>
  <c r="BB238" i="9"/>
  <c r="BB239" i="9"/>
  <c r="BB240" i="9"/>
  <c r="BB241" i="9"/>
  <c r="BB242" i="9"/>
  <c r="BB243" i="9"/>
  <c r="BB244" i="9"/>
  <c r="BB246" i="9"/>
  <c r="BB247" i="9"/>
  <c r="BB248" i="9"/>
  <c r="BB249" i="9"/>
  <c r="BB250" i="9"/>
  <c r="BB251" i="9"/>
  <c r="BB252" i="9"/>
  <c r="BB253" i="9"/>
  <c r="BB254" i="9"/>
  <c r="BB255" i="9"/>
  <c r="BB256" i="9"/>
  <c r="BB257" i="9"/>
  <c r="BB258" i="9"/>
  <c r="BB259" i="9"/>
  <c r="BB260" i="9"/>
  <c r="BB261" i="9"/>
  <c r="BB262" i="9"/>
  <c r="BB263" i="9"/>
  <c r="BB264" i="9"/>
  <c r="BB266" i="9"/>
  <c r="BB267" i="9"/>
  <c r="BB268" i="9"/>
  <c r="BB269" i="9"/>
  <c r="BB270" i="9"/>
  <c r="BB271" i="9"/>
  <c r="BB272" i="9"/>
  <c r="BB273" i="9"/>
  <c r="BB274" i="9"/>
  <c r="BB275" i="9"/>
  <c r="BB276" i="9"/>
  <c r="BB277" i="9"/>
  <c r="BB278" i="9"/>
  <c r="BB279" i="9"/>
  <c r="BB280" i="9"/>
  <c r="BB281" i="9"/>
  <c r="BB282" i="9"/>
  <c r="BB283" i="9"/>
  <c r="BB284" i="9"/>
  <c r="BB286" i="9"/>
  <c r="BB287" i="9"/>
  <c r="BB288" i="9"/>
  <c r="BB289" i="9"/>
  <c r="BB290" i="9"/>
  <c r="BB291" i="9"/>
  <c r="BB292" i="9"/>
  <c r="BB293" i="9"/>
  <c r="BB294" i="9"/>
  <c r="BB295" i="9"/>
  <c r="BB296" i="9"/>
  <c r="BB297" i="9"/>
  <c r="BB298" i="9"/>
  <c r="BB299" i="9"/>
  <c r="BB300" i="9"/>
  <c r="BB301" i="9"/>
  <c r="BB302" i="9"/>
  <c r="BB303" i="9"/>
  <c r="BB304" i="9"/>
  <c r="BB306" i="9"/>
  <c r="BB307" i="9"/>
  <c r="BB308" i="9"/>
  <c r="BB309" i="9"/>
  <c r="BB310" i="9"/>
  <c r="BB311" i="9"/>
  <c r="BB312" i="9"/>
  <c r="BB313" i="9"/>
  <c r="BB314" i="9"/>
  <c r="BB315" i="9"/>
  <c r="BB316" i="9"/>
  <c r="BB317" i="9"/>
  <c r="BB318" i="9"/>
  <c r="BB319" i="9"/>
  <c r="BB320" i="9"/>
  <c r="BB321" i="9"/>
  <c r="BB322" i="9"/>
  <c r="BB323" i="9"/>
  <c r="BB324" i="9"/>
  <c r="BB326" i="9"/>
  <c r="BB327" i="9"/>
  <c r="BB328" i="9"/>
  <c r="BB329" i="9"/>
  <c r="BB330" i="9"/>
  <c r="BB331" i="9"/>
  <c r="BB332" i="9"/>
  <c r="BB333" i="9"/>
  <c r="BB334" i="9"/>
  <c r="BB335" i="9"/>
  <c r="BB336" i="9"/>
  <c r="BB337" i="9"/>
  <c r="BB338" i="9"/>
  <c r="BB339" i="9"/>
  <c r="BB340" i="9"/>
  <c r="BB341" i="9"/>
  <c r="BB342" i="9"/>
  <c r="BB343" i="9"/>
  <c r="BB344" i="9"/>
  <c r="BB346" i="9"/>
  <c r="BB347" i="9"/>
  <c r="BB348" i="9"/>
  <c r="BB349" i="9"/>
  <c r="BB350" i="9"/>
  <c r="BB351" i="9"/>
  <c r="BB352" i="9"/>
  <c r="BB353" i="9"/>
  <c r="BB354" i="9"/>
  <c r="BB355" i="9"/>
  <c r="BB356" i="9"/>
  <c r="BB357" i="9"/>
  <c r="BB358" i="9"/>
  <c r="BB359" i="9"/>
  <c r="BB360" i="9"/>
  <c r="BB361" i="9"/>
  <c r="BB362" i="9"/>
  <c r="BB363" i="9"/>
  <c r="BB364" i="9"/>
  <c r="BB366" i="9"/>
  <c r="BB367" i="9"/>
  <c r="BB368" i="9"/>
  <c r="BB369" i="9"/>
  <c r="BB370" i="9"/>
  <c r="BB371" i="9"/>
  <c r="BB372" i="9"/>
  <c r="BB373" i="9"/>
  <c r="BB374" i="9"/>
  <c r="BB375" i="9"/>
  <c r="BB376" i="9"/>
  <c r="BB377" i="9"/>
  <c r="BB378" i="9"/>
  <c r="BB379" i="9"/>
  <c r="BB380" i="9"/>
  <c r="BB381" i="9"/>
  <c r="BB382" i="9"/>
  <c r="BB383" i="9"/>
  <c r="BB384" i="9"/>
  <c r="BB386" i="9"/>
  <c r="BB387" i="9"/>
  <c r="BB388" i="9"/>
  <c r="BB389" i="9"/>
  <c r="BB390" i="9"/>
  <c r="BB391" i="9"/>
  <c r="BB392" i="9"/>
  <c r="BB393" i="9"/>
  <c r="BB394" i="9"/>
  <c r="BB395" i="9"/>
  <c r="BB396" i="9"/>
  <c r="BB397" i="9"/>
  <c r="BB398" i="9"/>
  <c r="BB399" i="9"/>
  <c r="BB400" i="9"/>
  <c r="BB401" i="9"/>
  <c r="BB402" i="9"/>
  <c r="BB403" i="9"/>
  <c r="BB404" i="9"/>
  <c r="BB406" i="9"/>
  <c r="BB407" i="9"/>
  <c r="BB408" i="9"/>
  <c r="BB409" i="9"/>
  <c r="BB410" i="9"/>
  <c r="BB411" i="9"/>
  <c r="BB412" i="9"/>
  <c r="BB413" i="9"/>
  <c r="BB414" i="9"/>
  <c r="BB415" i="9"/>
  <c r="BB416" i="9"/>
  <c r="BB417" i="9"/>
  <c r="BB418" i="9"/>
  <c r="BB419" i="9"/>
  <c r="BB420" i="9"/>
  <c r="BB421" i="9"/>
  <c r="BB422" i="9"/>
  <c r="BB423" i="9"/>
  <c r="BB424" i="9"/>
  <c r="BB426" i="9"/>
  <c r="BB427" i="9"/>
  <c r="BB428" i="9"/>
  <c r="BB429" i="9"/>
  <c r="BB430" i="9"/>
  <c r="BB431" i="9"/>
  <c r="BB432" i="9"/>
  <c r="BB433" i="9"/>
  <c r="BB434" i="9"/>
  <c r="BB435" i="9"/>
  <c r="BB436" i="9"/>
  <c r="BB437" i="9"/>
  <c r="BB438" i="9"/>
  <c r="BB439" i="9"/>
  <c r="BB440" i="9"/>
  <c r="BB441" i="9"/>
  <c r="BB442" i="9"/>
  <c r="BB443" i="9"/>
  <c r="BB444" i="9"/>
  <c r="BB446" i="9"/>
  <c r="BB447" i="9"/>
  <c r="BB448" i="9"/>
  <c r="BB449" i="9"/>
  <c r="BB450" i="9"/>
  <c r="BB451" i="9"/>
  <c r="BB452" i="9"/>
  <c r="BB453" i="9"/>
  <c r="BB454" i="9"/>
  <c r="BB455" i="9"/>
  <c r="BB456" i="9"/>
  <c r="BB457" i="9"/>
  <c r="BB458" i="9"/>
  <c r="BB459" i="9"/>
  <c r="BB460" i="9"/>
  <c r="BB461" i="9"/>
  <c r="BB462" i="9"/>
  <c r="BB463" i="9"/>
  <c r="BB464" i="9"/>
  <c r="BB466" i="9"/>
  <c r="BB467" i="9"/>
  <c r="BB468" i="9"/>
  <c r="BB469" i="9"/>
  <c r="BB470" i="9"/>
  <c r="BB471" i="9"/>
  <c r="BB472" i="9"/>
  <c r="BB473" i="9"/>
  <c r="BB474" i="9"/>
  <c r="BB475" i="9"/>
  <c r="BB476" i="9"/>
  <c r="BB477" i="9"/>
  <c r="BB478" i="9"/>
  <c r="BB479" i="9"/>
  <c r="BB480" i="9"/>
  <c r="BB481" i="9"/>
  <c r="BB482" i="9"/>
  <c r="BB483" i="9"/>
  <c r="BB484" i="9"/>
  <c r="BB486" i="9"/>
  <c r="BB487" i="9"/>
  <c r="BB488" i="9"/>
  <c r="BB489" i="9"/>
  <c r="BB490" i="9"/>
  <c r="BB491" i="9"/>
  <c r="BB492" i="9"/>
  <c r="BB493" i="9"/>
  <c r="BB494" i="9"/>
  <c r="BB495" i="9"/>
  <c r="BB496" i="9"/>
  <c r="BB497" i="9"/>
  <c r="BB498" i="9"/>
  <c r="BB499" i="9"/>
  <c r="BB500" i="9"/>
  <c r="BB501" i="9"/>
  <c r="BB502" i="9"/>
  <c r="BB503" i="9"/>
  <c r="BB504" i="9"/>
  <c r="BB506" i="9"/>
  <c r="BB507" i="9"/>
  <c r="BB508" i="9"/>
  <c r="BB509" i="9"/>
  <c r="BB510" i="9"/>
  <c r="BB511" i="9"/>
  <c r="BB512" i="9"/>
  <c r="BB513" i="9"/>
  <c r="BB514" i="9"/>
  <c r="BB515" i="9"/>
  <c r="BB516" i="9"/>
  <c r="BB517" i="9"/>
  <c r="BB518" i="9"/>
  <c r="BB519" i="9"/>
  <c r="BB520" i="9"/>
  <c r="BB521" i="9"/>
  <c r="BB522" i="9"/>
  <c r="BB523" i="9"/>
  <c r="BB524" i="9"/>
  <c r="BB526" i="9"/>
  <c r="BB527" i="9"/>
  <c r="BB528" i="9"/>
  <c r="BB529" i="9"/>
  <c r="BB530" i="9"/>
  <c r="BB531" i="9"/>
  <c r="BB532" i="9"/>
  <c r="BB533" i="9"/>
  <c r="BB534" i="9"/>
  <c r="BB535" i="9"/>
  <c r="BB536" i="9"/>
  <c r="BB537" i="9"/>
  <c r="BB538" i="9"/>
  <c r="BB539" i="9"/>
  <c r="BB540" i="9"/>
  <c r="BB541" i="9"/>
  <c r="BB542" i="9"/>
  <c r="BB543" i="9"/>
  <c r="BB544" i="9"/>
  <c r="BB546" i="9"/>
  <c r="BB547" i="9"/>
  <c r="BB548" i="9"/>
  <c r="BB549" i="9"/>
  <c r="BB550" i="9"/>
  <c r="BB551" i="9"/>
  <c r="BB552" i="9"/>
  <c r="BB553" i="9"/>
  <c r="BB554" i="9"/>
  <c r="BB555" i="9"/>
  <c r="BB556" i="9"/>
  <c r="BB557" i="9"/>
  <c r="BB558" i="9"/>
  <c r="BB559" i="9"/>
  <c r="BB560" i="9"/>
  <c r="BB561" i="9"/>
  <c r="BB562" i="9"/>
  <c r="BB563" i="9"/>
  <c r="BB564" i="9"/>
  <c r="BB566" i="9"/>
  <c r="BB567" i="9"/>
  <c r="BB568" i="9"/>
  <c r="BB569" i="9"/>
  <c r="BB570" i="9"/>
  <c r="BB571" i="9"/>
  <c r="BB572" i="9"/>
  <c r="BB573" i="9"/>
  <c r="BB574" i="9"/>
  <c r="BB575" i="9"/>
  <c r="BB576" i="9"/>
  <c r="BB577" i="9"/>
  <c r="BB578" i="9"/>
  <c r="BB579" i="9"/>
  <c r="BB580" i="9"/>
  <c r="BB581" i="9"/>
  <c r="BB582" i="9"/>
  <c r="BB583" i="9"/>
  <c r="BB584" i="9"/>
  <c r="BB586" i="9"/>
  <c r="BB587" i="9"/>
  <c r="BB588" i="9"/>
  <c r="BB589" i="9"/>
  <c r="BB590" i="9"/>
  <c r="BB591" i="9"/>
  <c r="BB592" i="9"/>
  <c r="BB593" i="9"/>
  <c r="BB594" i="9"/>
  <c r="BB595" i="9"/>
  <c r="BB596" i="9"/>
  <c r="BB597" i="9"/>
  <c r="BB598" i="9"/>
  <c r="BB599" i="9"/>
  <c r="BB600" i="9"/>
  <c r="BB601" i="9"/>
  <c r="BB602" i="9"/>
  <c r="BB603" i="9"/>
  <c r="BB604" i="9"/>
  <c r="BB24" i="9"/>
  <c r="BB23" i="9"/>
  <c r="BB22" i="9"/>
  <c r="BB21" i="9"/>
  <c r="BB20" i="9"/>
  <c r="BB19" i="9"/>
  <c r="BB18" i="9"/>
  <c r="BB17" i="9"/>
  <c r="BB16" i="9"/>
  <c r="BB15" i="9"/>
  <c r="BB14" i="9"/>
  <c r="BB13" i="9"/>
  <c r="BB12" i="9"/>
  <c r="BB11" i="9"/>
  <c r="BB10" i="9"/>
  <c r="BB9" i="9"/>
  <c r="BB8" i="9"/>
  <c r="BB7" i="9"/>
  <c r="BB6" i="9"/>
  <c r="F8" i="30"/>
  <c r="A8" i="30" s="1"/>
  <c r="AW10" i="9" s="1"/>
  <c r="AW125" i="9"/>
  <c r="AW126" i="9"/>
  <c r="AW127" i="9"/>
  <c r="AW128" i="9"/>
  <c r="AW129" i="9"/>
  <c r="AW130" i="9"/>
  <c r="AW131" i="9"/>
  <c r="AW132" i="9"/>
  <c r="AW133" i="9"/>
  <c r="AW134" i="9"/>
  <c r="AW135" i="9"/>
  <c r="AW136" i="9"/>
  <c r="AW137" i="9"/>
  <c r="AW138" i="9"/>
  <c r="AW139" i="9"/>
  <c r="AW140" i="9"/>
  <c r="AW141" i="9"/>
  <c r="AW142" i="9"/>
  <c r="AW143" i="9"/>
  <c r="AW144" i="9"/>
  <c r="AW145" i="9"/>
  <c r="AW146" i="9"/>
  <c r="AW147" i="9"/>
  <c r="AW148" i="9"/>
  <c r="AW149" i="9"/>
  <c r="AW150" i="9"/>
  <c r="AW151" i="9"/>
  <c r="AW152" i="9"/>
  <c r="AW153" i="9"/>
  <c r="AW154" i="9"/>
  <c r="AW155" i="9"/>
  <c r="AW156" i="9"/>
  <c r="AW157" i="9"/>
  <c r="AW158" i="9"/>
  <c r="AW159" i="9"/>
  <c r="AW160" i="9"/>
  <c r="AW161" i="9"/>
  <c r="AW162" i="9"/>
  <c r="AW163" i="9"/>
  <c r="AW164" i="9"/>
  <c r="AW165" i="9"/>
  <c r="AW166" i="9"/>
  <c r="AW167" i="9"/>
  <c r="AW168" i="9"/>
  <c r="AW169" i="9"/>
  <c r="AW170" i="9"/>
  <c r="AW171" i="9"/>
  <c r="AW172" i="9"/>
  <c r="AW173" i="9"/>
  <c r="AW174" i="9"/>
  <c r="AW175" i="9"/>
  <c r="AW176" i="9"/>
  <c r="AW177" i="9"/>
  <c r="AW178" i="9"/>
  <c r="AW179" i="9"/>
  <c r="AW180" i="9"/>
  <c r="AW181" i="9"/>
  <c r="AW182" i="9"/>
  <c r="AW183" i="9"/>
  <c r="AW184" i="9"/>
  <c r="AW245" i="9"/>
  <c r="AW246" i="9"/>
  <c r="AW247" i="9"/>
  <c r="AW248" i="9"/>
  <c r="AW249" i="9"/>
  <c r="AW250" i="9"/>
  <c r="AW251" i="9"/>
  <c r="AW252" i="9"/>
  <c r="AW253" i="9"/>
  <c r="AW254" i="9"/>
  <c r="AW255" i="9"/>
  <c r="AW256" i="9"/>
  <c r="AW257" i="9"/>
  <c r="AW258" i="9"/>
  <c r="AW259" i="9"/>
  <c r="AW260" i="9"/>
  <c r="AW261" i="9"/>
  <c r="AW262" i="9"/>
  <c r="AW263" i="9"/>
  <c r="AW264" i="9"/>
  <c r="AW285" i="9"/>
  <c r="AW286" i="9"/>
  <c r="AW287" i="9"/>
  <c r="AW288" i="9"/>
  <c r="AW289" i="9"/>
  <c r="AW290" i="9"/>
  <c r="AW291" i="9"/>
  <c r="AW292" i="9"/>
  <c r="AW293" i="9"/>
  <c r="AW294" i="9"/>
  <c r="AW295" i="9"/>
  <c r="AW296" i="9"/>
  <c r="AW297" i="9"/>
  <c r="AW298" i="9"/>
  <c r="AW299" i="9"/>
  <c r="AW300" i="9"/>
  <c r="AW301" i="9"/>
  <c r="AW302" i="9"/>
  <c r="AW303" i="9"/>
  <c r="AW304" i="9"/>
  <c r="AW305" i="9"/>
  <c r="AW306" i="9"/>
  <c r="AW307" i="9"/>
  <c r="AW308" i="9"/>
  <c r="AW309" i="9"/>
  <c r="AW310" i="9"/>
  <c r="AW311" i="9"/>
  <c r="AW312" i="9"/>
  <c r="AW313" i="9"/>
  <c r="AW314" i="9"/>
  <c r="AW315" i="9"/>
  <c r="AW316" i="9"/>
  <c r="AW317" i="9"/>
  <c r="AW318" i="9"/>
  <c r="AW319" i="9"/>
  <c r="AW320" i="9"/>
  <c r="AW321" i="9"/>
  <c r="AW322" i="9"/>
  <c r="AW323" i="9"/>
  <c r="AW324" i="9"/>
  <c r="AW425" i="9"/>
  <c r="AW426" i="9"/>
  <c r="AW427" i="9"/>
  <c r="AW428" i="9"/>
  <c r="AW429" i="9"/>
  <c r="AW430" i="9"/>
  <c r="AW431" i="9"/>
  <c r="AW432" i="9"/>
  <c r="AW433" i="9"/>
  <c r="AW434" i="9"/>
  <c r="AW435" i="9"/>
  <c r="AW436" i="9"/>
  <c r="AW437" i="9"/>
  <c r="AW438" i="9"/>
  <c r="AW439" i="9"/>
  <c r="AW440" i="9"/>
  <c r="AW441" i="9"/>
  <c r="AW442" i="9"/>
  <c r="AW443" i="9"/>
  <c r="AW444" i="9"/>
  <c r="AW445" i="9"/>
  <c r="AW446" i="9"/>
  <c r="AW447" i="9"/>
  <c r="AW448" i="9"/>
  <c r="AW449" i="9"/>
  <c r="AW450" i="9"/>
  <c r="AW451" i="9"/>
  <c r="AW452" i="9"/>
  <c r="AW453" i="9"/>
  <c r="AW454" i="9"/>
  <c r="AW455" i="9"/>
  <c r="AW456" i="9"/>
  <c r="AW457" i="9"/>
  <c r="AW458" i="9"/>
  <c r="AW459" i="9"/>
  <c r="AW460" i="9"/>
  <c r="AW461" i="9"/>
  <c r="AW462" i="9"/>
  <c r="AW463" i="9"/>
  <c r="AW464" i="9"/>
  <c r="AW465" i="9"/>
  <c r="AW466" i="9"/>
  <c r="AW467" i="9"/>
  <c r="AW468" i="9"/>
  <c r="AW469" i="9"/>
  <c r="AW470" i="9"/>
  <c r="AW471" i="9"/>
  <c r="AW472" i="9"/>
  <c r="AW473" i="9"/>
  <c r="AW474" i="9"/>
  <c r="AW475" i="9"/>
  <c r="AW476" i="9"/>
  <c r="AW477" i="9"/>
  <c r="AW478" i="9"/>
  <c r="AW479" i="9"/>
  <c r="AW480" i="9"/>
  <c r="AW481" i="9"/>
  <c r="AW482" i="9"/>
  <c r="AW483" i="9"/>
  <c r="AW484" i="9"/>
  <c r="AW485" i="9"/>
  <c r="AW486" i="9"/>
  <c r="AW487" i="9"/>
  <c r="AW488" i="9"/>
  <c r="AW489" i="9"/>
  <c r="AW490" i="9"/>
  <c r="AW491" i="9"/>
  <c r="AW492" i="9"/>
  <c r="AW493" i="9"/>
  <c r="AW494" i="9"/>
  <c r="AW495" i="9"/>
  <c r="AW496" i="9"/>
  <c r="AW497" i="9"/>
  <c r="AW498" i="9"/>
  <c r="AW499" i="9"/>
  <c r="AW500" i="9"/>
  <c r="AW501" i="9"/>
  <c r="AW502" i="9"/>
  <c r="AW503" i="9"/>
  <c r="AW504" i="9"/>
  <c r="AW505" i="9"/>
  <c r="AW506" i="9"/>
  <c r="AW507" i="9"/>
  <c r="AW508" i="9"/>
  <c r="AW509" i="9"/>
  <c r="AW510" i="9"/>
  <c r="AW511" i="9"/>
  <c r="AW512" i="9"/>
  <c r="AW513" i="9"/>
  <c r="AW514" i="9"/>
  <c r="AW515" i="9"/>
  <c r="AW516" i="9"/>
  <c r="AW517" i="9"/>
  <c r="AW518" i="9"/>
  <c r="AW519" i="9"/>
  <c r="AW520" i="9"/>
  <c r="AW521" i="9"/>
  <c r="AW522" i="9"/>
  <c r="AW523" i="9"/>
  <c r="AW524" i="9"/>
  <c r="AW525" i="9"/>
  <c r="AW526" i="9"/>
  <c r="AW527" i="9"/>
  <c r="AW528" i="9"/>
  <c r="AW529" i="9"/>
  <c r="AW530" i="9"/>
  <c r="AW531" i="9"/>
  <c r="AW532" i="9"/>
  <c r="AW533" i="9"/>
  <c r="AW534" i="9"/>
  <c r="AW535" i="9"/>
  <c r="AW536" i="9"/>
  <c r="AW537" i="9"/>
  <c r="AW538" i="9"/>
  <c r="AW539" i="9"/>
  <c r="AW540" i="9"/>
  <c r="AW541" i="9"/>
  <c r="AW542" i="9"/>
  <c r="AW543" i="9"/>
  <c r="AW544" i="9"/>
  <c r="AW545" i="9"/>
  <c r="AW546" i="9"/>
  <c r="AW547" i="9"/>
  <c r="AW548" i="9"/>
  <c r="AW549" i="9"/>
  <c r="AW550" i="9"/>
  <c r="AW551" i="9"/>
  <c r="AW552" i="9"/>
  <c r="AW553" i="9"/>
  <c r="AW554" i="9"/>
  <c r="AW555" i="9"/>
  <c r="AW556" i="9"/>
  <c r="AW557" i="9"/>
  <c r="AW558" i="9"/>
  <c r="AW559" i="9"/>
  <c r="AW560" i="9"/>
  <c r="AW561" i="9"/>
  <c r="AW562" i="9"/>
  <c r="AW563" i="9"/>
  <c r="AW564" i="9"/>
  <c r="AW565" i="9"/>
  <c r="AW566" i="9"/>
  <c r="AW567" i="9"/>
  <c r="AW568" i="9"/>
  <c r="AW569" i="9"/>
  <c r="AW570" i="9"/>
  <c r="AW571" i="9"/>
  <c r="AW572" i="9"/>
  <c r="AW573" i="9"/>
  <c r="AW574" i="9"/>
  <c r="AW575" i="9"/>
  <c r="AW576" i="9"/>
  <c r="AW577" i="9"/>
  <c r="AW578" i="9"/>
  <c r="AW579" i="9"/>
  <c r="AW580" i="9"/>
  <c r="AW581" i="9"/>
  <c r="AW582" i="9"/>
  <c r="AW583" i="9"/>
  <c r="AW584" i="9"/>
  <c r="AW585" i="9"/>
  <c r="AW586" i="9"/>
  <c r="AW587" i="9"/>
  <c r="AW588" i="9"/>
  <c r="AW589" i="9"/>
  <c r="AW590" i="9"/>
  <c r="AW591" i="9"/>
  <c r="AW592" i="9"/>
  <c r="AW593" i="9"/>
  <c r="AW594" i="9"/>
  <c r="AW595" i="9"/>
  <c r="AW596" i="9"/>
  <c r="AW597" i="9"/>
  <c r="AW598" i="9"/>
  <c r="AW599" i="9"/>
  <c r="AW600" i="9"/>
  <c r="AW601" i="9"/>
  <c r="AW602" i="9"/>
  <c r="AW603" i="9"/>
  <c r="AW604" i="9"/>
  <c r="BN84" i="9"/>
  <c r="AG84" i="9" s="1"/>
  <c r="AN84" i="9"/>
  <c r="AL84" i="9"/>
  <c r="AJ84" i="9"/>
  <c r="F84" i="9"/>
  <c r="C84" i="9"/>
  <c r="BN83" i="9"/>
  <c r="AG83" i="9" s="1"/>
  <c r="AN83" i="9"/>
  <c r="AL83" i="9"/>
  <c r="AJ83" i="9"/>
  <c r="F83" i="9"/>
  <c r="C83" i="9"/>
  <c r="BN82" i="9"/>
  <c r="AP82" i="9" s="1"/>
  <c r="AN82" i="9"/>
  <c r="AL82" i="9"/>
  <c r="AJ82" i="9"/>
  <c r="F82" i="9"/>
  <c r="C82" i="9"/>
  <c r="BN81" i="9"/>
  <c r="AG81" i="9" s="1"/>
  <c r="AN81" i="9"/>
  <c r="AL81" i="9"/>
  <c r="AJ81" i="9"/>
  <c r="F81" i="9"/>
  <c r="C81" i="9"/>
  <c r="BN80" i="9"/>
  <c r="AP80" i="9" s="1"/>
  <c r="AN80" i="9"/>
  <c r="AL80" i="9"/>
  <c r="AJ80" i="9"/>
  <c r="F80" i="9"/>
  <c r="C80" i="9"/>
  <c r="BN79" i="9"/>
  <c r="AG79" i="9" s="1"/>
  <c r="AN79" i="9"/>
  <c r="AL79" i="9"/>
  <c r="AJ79" i="9"/>
  <c r="F79" i="9"/>
  <c r="C79" i="9"/>
  <c r="BN78" i="9"/>
  <c r="AP78" i="9" s="1"/>
  <c r="AN78" i="9"/>
  <c r="AL78" i="9"/>
  <c r="AJ78" i="9"/>
  <c r="F78" i="9"/>
  <c r="C78" i="9"/>
  <c r="BN77" i="9"/>
  <c r="AG77" i="9" s="1"/>
  <c r="AN77" i="9"/>
  <c r="AL77" i="9"/>
  <c r="AJ77" i="9"/>
  <c r="F77" i="9"/>
  <c r="C77" i="9"/>
  <c r="BN76" i="9"/>
  <c r="AG76" i="9" s="1"/>
  <c r="AN76" i="9"/>
  <c r="AL76" i="9"/>
  <c r="AJ76" i="9"/>
  <c r="F76" i="9"/>
  <c r="C76" i="9"/>
  <c r="BN75" i="9"/>
  <c r="AG75" i="9" s="1"/>
  <c r="AN75" i="9"/>
  <c r="AL75" i="9"/>
  <c r="AJ75" i="9"/>
  <c r="F75" i="9"/>
  <c r="C75" i="9"/>
  <c r="BN74" i="9"/>
  <c r="AG74" i="9" s="1"/>
  <c r="AN74" i="9"/>
  <c r="AL74" i="9"/>
  <c r="AJ74" i="9"/>
  <c r="F74" i="9"/>
  <c r="C74" i="9"/>
  <c r="BN73" i="9"/>
  <c r="AP73" i="9" s="1"/>
  <c r="AN73" i="9"/>
  <c r="AL73" i="9"/>
  <c r="AJ73" i="9"/>
  <c r="F73" i="9"/>
  <c r="C73" i="9"/>
  <c r="BN72" i="9"/>
  <c r="AN72" i="9"/>
  <c r="AL72" i="9"/>
  <c r="AJ72" i="9"/>
  <c r="F72" i="9"/>
  <c r="C72" i="9"/>
  <c r="BN71" i="9"/>
  <c r="AG71" i="9" s="1"/>
  <c r="AN71" i="9"/>
  <c r="AL71" i="9"/>
  <c r="AJ71" i="9"/>
  <c r="F71" i="9"/>
  <c r="C71" i="9"/>
  <c r="BN70" i="9"/>
  <c r="AP70" i="9" s="1"/>
  <c r="AN70" i="9"/>
  <c r="AL70" i="9"/>
  <c r="AJ70" i="9"/>
  <c r="F70" i="9"/>
  <c r="C70" i="9"/>
  <c r="BN69" i="9"/>
  <c r="AG69" i="9" s="1"/>
  <c r="AN69" i="9"/>
  <c r="AL69" i="9"/>
  <c r="AJ69" i="9"/>
  <c r="F69" i="9"/>
  <c r="C69" i="9"/>
  <c r="BN68" i="9"/>
  <c r="AP68" i="9" s="1"/>
  <c r="AN68" i="9"/>
  <c r="AL68" i="9"/>
  <c r="AJ68" i="9"/>
  <c r="F68" i="9"/>
  <c r="C68" i="9"/>
  <c r="BN67" i="9"/>
  <c r="AG67" i="9" s="1"/>
  <c r="AN67" i="9"/>
  <c r="AL67" i="9"/>
  <c r="AJ67" i="9"/>
  <c r="F67" i="9"/>
  <c r="C67" i="9"/>
  <c r="BN66" i="9"/>
  <c r="AP66" i="9" s="1"/>
  <c r="AN66" i="9"/>
  <c r="AL66" i="9"/>
  <c r="AJ66" i="9"/>
  <c r="F66" i="9"/>
  <c r="C66" i="9"/>
  <c r="BN65" i="9"/>
  <c r="AP65" i="9" s="1"/>
  <c r="AN65" i="9"/>
  <c r="AL65" i="9"/>
  <c r="AJ65" i="9"/>
  <c r="F65" i="9"/>
  <c r="C65" i="9"/>
  <c r="AN604" i="9"/>
  <c r="AN603" i="9"/>
  <c r="AN602" i="9"/>
  <c r="AN601" i="9"/>
  <c r="AN600" i="9"/>
  <c r="AN599" i="9"/>
  <c r="AN598" i="9"/>
  <c r="AN597" i="9"/>
  <c r="AN596" i="9"/>
  <c r="AN595" i="9"/>
  <c r="AN594" i="9"/>
  <c r="AN593" i="9"/>
  <c r="AN592" i="9"/>
  <c r="AN591" i="9"/>
  <c r="AN590" i="9"/>
  <c r="AN589" i="9"/>
  <c r="AN588" i="9"/>
  <c r="AN587" i="9"/>
  <c r="AN586" i="9"/>
  <c r="AN585" i="9"/>
  <c r="AN584" i="9"/>
  <c r="AN583" i="9"/>
  <c r="AN582" i="9"/>
  <c r="AN581" i="9"/>
  <c r="AN580" i="9"/>
  <c r="AN579" i="9"/>
  <c r="AN578" i="9"/>
  <c r="AN577" i="9"/>
  <c r="AN576" i="9"/>
  <c r="AN575" i="9"/>
  <c r="AN574" i="9"/>
  <c r="AN573" i="9"/>
  <c r="AN572" i="9"/>
  <c r="AN571" i="9"/>
  <c r="AN570" i="9"/>
  <c r="AN569" i="9"/>
  <c r="AN568" i="9"/>
  <c r="AN567" i="9"/>
  <c r="AN566" i="9"/>
  <c r="AN565" i="9"/>
  <c r="AN564" i="9"/>
  <c r="AN563" i="9"/>
  <c r="AN562" i="9"/>
  <c r="AN561" i="9"/>
  <c r="AN560" i="9"/>
  <c r="AN559" i="9"/>
  <c r="AN558" i="9"/>
  <c r="AN557" i="9"/>
  <c r="AN556" i="9"/>
  <c r="AN555" i="9"/>
  <c r="AN554" i="9"/>
  <c r="AN553" i="9"/>
  <c r="AN552" i="9"/>
  <c r="AN551" i="9"/>
  <c r="AN550" i="9"/>
  <c r="AN549" i="9"/>
  <c r="AN548" i="9"/>
  <c r="AN547" i="9"/>
  <c r="AN546" i="9"/>
  <c r="AN545" i="9"/>
  <c r="AN544" i="9"/>
  <c r="AN543" i="9"/>
  <c r="AN542" i="9"/>
  <c r="AN541" i="9"/>
  <c r="AN540" i="9"/>
  <c r="AN539" i="9"/>
  <c r="AN538" i="9"/>
  <c r="AN537" i="9"/>
  <c r="AN536" i="9"/>
  <c r="AN535" i="9"/>
  <c r="AN534" i="9"/>
  <c r="AN533" i="9"/>
  <c r="AN532" i="9"/>
  <c r="AN531" i="9"/>
  <c r="AN530" i="9"/>
  <c r="AN529" i="9"/>
  <c r="AN528" i="9"/>
  <c r="AN527" i="9"/>
  <c r="AN526" i="9"/>
  <c r="AN525" i="9"/>
  <c r="AN524" i="9"/>
  <c r="AN523" i="9"/>
  <c r="AN522" i="9"/>
  <c r="AN521" i="9"/>
  <c r="AN520" i="9"/>
  <c r="AN519" i="9"/>
  <c r="AN518" i="9"/>
  <c r="AN517" i="9"/>
  <c r="AN516" i="9"/>
  <c r="AN515" i="9"/>
  <c r="AN514" i="9"/>
  <c r="AN513" i="9"/>
  <c r="AN512" i="9"/>
  <c r="AN511" i="9"/>
  <c r="AN510" i="9"/>
  <c r="AN509" i="9"/>
  <c r="AN508" i="9"/>
  <c r="AN507" i="9"/>
  <c r="AN506" i="9"/>
  <c r="AN505" i="9"/>
  <c r="AN504" i="9"/>
  <c r="AN503" i="9"/>
  <c r="AN502" i="9"/>
  <c r="AN501" i="9"/>
  <c r="AN500" i="9"/>
  <c r="AN499" i="9"/>
  <c r="AN498" i="9"/>
  <c r="AN497" i="9"/>
  <c r="AN496" i="9"/>
  <c r="AN495" i="9"/>
  <c r="AN494" i="9"/>
  <c r="AN493" i="9"/>
  <c r="AN492" i="9"/>
  <c r="AN491" i="9"/>
  <c r="AN490" i="9"/>
  <c r="AN489" i="9"/>
  <c r="AN488" i="9"/>
  <c r="AN487" i="9"/>
  <c r="AN486" i="9"/>
  <c r="AN485" i="9"/>
  <c r="AN484" i="9"/>
  <c r="AN483" i="9"/>
  <c r="AN482" i="9"/>
  <c r="AN481" i="9"/>
  <c r="AN480" i="9"/>
  <c r="AN479" i="9"/>
  <c r="AN478" i="9"/>
  <c r="AN477" i="9"/>
  <c r="AN476" i="9"/>
  <c r="AN475" i="9"/>
  <c r="AN474" i="9"/>
  <c r="AN473" i="9"/>
  <c r="AN472" i="9"/>
  <c r="AN471" i="9"/>
  <c r="AN470" i="9"/>
  <c r="AN469" i="9"/>
  <c r="AN468" i="9"/>
  <c r="AN467" i="9"/>
  <c r="AN466" i="9"/>
  <c r="AN465" i="9"/>
  <c r="AN464" i="9"/>
  <c r="AN463" i="9"/>
  <c r="AN462" i="9"/>
  <c r="AN461" i="9"/>
  <c r="AN460" i="9"/>
  <c r="AN459" i="9"/>
  <c r="AN458" i="9"/>
  <c r="AN457" i="9"/>
  <c r="AN456" i="9"/>
  <c r="AN455" i="9"/>
  <c r="AN454" i="9"/>
  <c r="AN453" i="9"/>
  <c r="AN452" i="9"/>
  <c r="AN451" i="9"/>
  <c r="AN450" i="9"/>
  <c r="AN449" i="9"/>
  <c r="AN448" i="9"/>
  <c r="AN447" i="9"/>
  <c r="AN446" i="9"/>
  <c r="AN445" i="9"/>
  <c r="AN444" i="9"/>
  <c r="AN443" i="9"/>
  <c r="AN442" i="9"/>
  <c r="AN441" i="9"/>
  <c r="AN440" i="9"/>
  <c r="AN439" i="9"/>
  <c r="AN438" i="9"/>
  <c r="AN437" i="9"/>
  <c r="AN436" i="9"/>
  <c r="AN435" i="9"/>
  <c r="AN434" i="9"/>
  <c r="AN433" i="9"/>
  <c r="AN432" i="9"/>
  <c r="AN431" i="9"/>
  <c r="AN430" i="9"/>
  <c r="AN429" i="9"/>
  <c r="AN428" i="9"/>
  <c r="AN427" i="9"/>
  <c r="AN426" i="9"/>
  <c r="AN425" i="9"/>
  <c r="AN424" i="9"/>
  <c r="AN423" i="9"/>
  <c r="AN422" i="9"/>
  <c r="AN421" i="9"/>
  <c r="AN420" i="9"/>
  <c r="AN419" i="9"/>
  <c r="AN418" i="9"/>
  <c r="AN417" i="9"/>
  <c r="AN416" i="9"/>
  <c r="AN415" i="9"/>
  <c r="AN414" i="9"/>
  <c r="AN413" i="9"/>
  <c r="AN412" i="9"/>
  <c r="AN411" i="9"/>
  <c r="AN410" i="9"/>
  <c r="AN409" i="9"/>
  <c r="AN408" i="9"/>
  <c r="AN407" i="9"/>
  <c r="AN406" i="9"/>
  <c r="AN405" i="9"/>
  <c r="AN404" i="9"/>
  <c r="AN403" i="9"/>
  <c r="AN402" i="9"/>
  <c r="AN401" i="9"/>
  <c r="AN400" i="9"/>
  <c r="AN399" i="9"/>
  <c r="AN398" i="9"/>
  <c r="AN397" i="9"/>
  <c r="AN396" i="9"/>
  <c r="AN395" i="9"/>
  <c r="AN394" i="9"/>
  <c r="AN393" i="9"/>
  <c r="AN392" i="9"/>
  <c r="AN391" i="9"/>
  <c r="AN390" i="9"/>
  <c r="AN389" i="9"/>
  <c r="AN388" i="9"/>
  <c r="AN387" i="9"/>
  <c r="AN386" i="9"/>
  <c r="AN385" i="9"/>
  <c r="AN384" i="9"/>
  <c r="AN383" i="9"/>
  <c r="AN382" i="9"/>
  <c r="AN381" i="9"/>
  <c r="AN380" i="9"/>
  <c r="AN379" i="9"/>
  <c r="AN378" i="9"/>
  <c r="AN377" i="9"/>
  <c r="AN376" i="9"/>
  <c r="AN375" i="9"/>
  <c r="AN374" i="9"/>
  <c r="AN373" i="9"/>
  <c r="AN372" i="9"/>
  <c r="AN371" i="9"/>
  <c r="AN370" i="9"/>
  <c r="AN369" i="9"/>
  <c r="AN368" i="9"/>
  <c r="AN367" i="9"/>
  <c r="AN366" i="9"/>
  <c r="AN365" i="9"/>
  <c r="AN364" i="9"/>
  <c r="AN363" i="9"/>
  <c r="AN362" i="9"/>
  <c r="AN361" i="9"/>
  <c r="AN360" i="9"/>
  <c r="AN359" i="9"/>
  <c r="AN358" i="9"/>
  <c r="AN357" i="9"/>
  <c r="AN356" i="9"/>
  <c r="AN355" i="9"/>
  <c r="AN354" i="9"/>
  <c r="AN353" i="9"/>
  <c r="AN352" i="9"/>
  <c r="AN351" i="9"/>
  <c r="AN350" i="9"/>
  <c r="AN349" i="9"/>
  <c r="AN348" i="9"/>
  <c r="AN347" i="9"/>
  <c r="AN346" i="9"/>
  <c r="AN345" i="9"/>
  <c r="AN344" i="9"/>
  <c r="AN343" i="9"/>
  <c r="AN342" i="9"/>
  <c r="AN341" i="9"/>
  <c r="AN340" i="9"/>
  <c r="AN339" i="9"/>
  <c r="AN338" i="9"/>
  <c r="AN337" i="9"/>
  <c r="AN336" i="9"/>
  <c r="AN335" i="9"/>
  <c r="AN334" i="9"/>
  <c r="AN333" i="9"/>
  <c r="AN332" i="9"/>
  <c r="AN331" i="9"/>
  <c r="AN330" i="9"/>
  <c r="AN329" i="9"/>
  <c r="AN328" i="9"/>
  <c r="AN327" i="9"/>
  <c r="AN326" i="9"/>
  <c r="AN325" i="9"/>
  <c r="AN324" i="9"/>
  <c r="AN323" i="9"/>
  <c r="AN322" i="9"/>
  <c r="AN321" i="9"/>
  <c r="AN320" i="9"/>
  <c r="AN319" i="9"/>
  <c r="AN318" i="9"/>
  <c r="AN317" i="9"/>
  <c r="AN316" i="9"/>
  <c r="AN315" i="9"/>
  <c r="AN314" i="9"/>
  <c r="AN313" i="9"/>
  <c r="AN312" i="9"/>
  <c r="AN311" i="9"/>
  <c r="AN310" i="9"/>
  <c r="AN309" i="9"/>
  <c r="AN308" i="9"/>
  <c r="AN307" i="9"/>
  <c r="AN306" i="9"/>
  <c r="AN305" i="9"/>
  <c r="AN304" i="9"/>
  <c r="AN303" i="9"/>
  <c r="AN302" i="9"/>
  <c r="AN301" i="9"/>
  <c r="AN300" i="9"/>
  <c r="AN299" i="9"/>
  <c r="AN298" i="9"/>
  <c r="AN297" i="9"/>
  <c r="AN296" i="9"/>
  <c r="AN295" i="9"/>
  <c r="AN294" i="9"/>
  <c r="AN293" i="9"/>
  <c r="AN292" i="9"/>
  <c r="AN291" i="9"/>
  <c r="AN290" i="9"/>
  <c r="AN289" i="9"/>
  <c r="AN288" i="9"/>
  <c r="AN287" i="9"/>
  <c r="AN286" i="9"/>
  <c r="AN285" i="9"/>
  <c r="AN284" i="9"/>
  <c r="AN283" i="9"/>
  <c r="AN282" i="9"/>
  <c r="AN281" i="9"/>
  <c r="AN280" i="9"/>
  <c r="AN279" i="9"/>
  <c r="AN278" i="9"/>
  <c r="AN277" i="9"/>
  <c r="AN276" i="9"/>
  <c r="AN275" i="9"/>
  <c r="AN274" i="9"/>
  <c r="AN273" i="9"/>
  <c r="AN272" i="9"/>
  <c r="AN271" i="9"/>
  <c r="AN270" i="9"/>
  <c r="AN269" i="9"/>
  <c r="AN268" i="9"/>
  <c r="AN267" i="9"/>
  <c r="AN266" i="9"/>
  <c r="AN265" i="9"/>
  <c r="AN264" i="9"/>
  <c r="AN263" i="9"/>
  <c r="AN262" i="9"/>
  <c r="AN261" i="9"/>
  <c r="AN260" i="9"/>
  <c r="AN259" i="9"/>
  <c r="AN258" i="9"/>
  <c r="AN257" i="9"/>
  <c r="AN256" i="9"/>
  <c r="AN255" i="9"/>
  <c r="AN254" i="9"/>
  <c r="AN253" i="9"/>
  <c r="AN252" i="9"/>
  <c r="AN251" i="9"/>
  <c r="AN250" i="9"/>
  <c r="AN249" i="9"/>
  <c r="AN248" i="9"/>
  <c r="AN247" i="9"/>
  <c r="AN246" i="9"/>
  <c r="AN245" i="9"/>
  <c r="AN244" i="9"/>
  <c r="AN243" i="9"/>
  <c r="AN242" i="9"/>
  <c r="AN241" i="9"/>
  <c r="AN240" i="9"/>
  <c r="AN239" i="9"/>
  <c r="AN238" i="9"/>
  <c r="AN237" i="9"/>
  <c r="AN236" i="9"/>
  <c r="AN235" i="9"/>
  <c r="AN234" i="9"/>
  <c r="AN233" i="9"/>
  <c r="AN232" i="9"/>
  <c r="AN231" i="9"/>
  <c r="AN230" i="9"/>
  <c r="AN229" i="9"/>
  <c r="AN228" i="9"/>
  <c r="AN227" i="9"/>
  <c r="AN226" i="9"/>
  <c r="AN225" i="9"/>
  <c r="AN184" i="9"/>
  <c r="AN183" i="9"/>
  <c r="AN182" i="9"/>
  <c r="AN181" i="9"/>
  <c r="AN180" i="9"/>
  <c r="AN179" i="9"/>
  <c r="AN178" i="9"/>
  <c r="AN177" i="9"/>
  <c r="AN176" i="9"/>
  <c r="AN175" i="9"/>
  <c r="AN174" i="9"/>
  <c r="AN173" i="9"/>
  <c r="AN172" i="9"/>
  <c r="AN171" i="9"/>
  <c r="AN170" i="9"/>
  <c r="AN169" i="9"/>
  <c r="AN168" i="9"/>
  <c r="AN167" i="9"/>
  <c r="AN166" i="9"/>
  <c r="AN165" i="9"/>
  <c r="AN164" i="9"/>
  <c r="AN163" i="9"/>
  <c r="AN162" i="9"/>
  <c r="AN161" i="9"/>
  <c r="AN160" i="9"/>
  <c r="AN159" i="9"/>
  <c r="AN158" i="9"/>
  <c r="AN157" i="9"/>
  <c r="AN156" i="9"/>
  <c r="AN155" i="9"/>
  <c r="AN154" i="9"/>
  <c r="AN153" i="9"/>
  <c r="AN152" i="9"/>
  <c r="AN151" i="9"/>
  <c r="AN150" i="9"/>
  <c r="AN149" i="9"/>
  <c r="AN148" i="9"/>
  <c r="AN147" i="9"/>
  <c r="AN146" i="9"/>
  <c r="AN145" i="9"/>
  <c r="AN144" i="9"/>
  <c r="AN143" i="9"/>
  <c r="AN142" i="9"/>
  <c r="AN141" i="9"/>
  <c r="AN140" i="9"/>
  <c r="AN139" i="9"/>
  <c r="AN138" i="9"/>
  <c r="AN137" i="9"/>
  <c r="AN136" i="9"/>
  <c r="AN135" i="9"/>
  <c r="AN134" i="9"/>
  <c r="AN133" i="9"/>
  <c r="AN132" i="9"/>
  <c r="AN131" i="9"/>
  <c r="AN130" i="9"/>
  <c r="AN129" i="9"/>
  <c r="AN128" i="9"/>
  <c r="AN127" i="9"/>
  <c r="AN126" i="9"/>
  <c r="AN125" i="9"/>
  <c r="AN124" i="9"/>
  <c r="AN123" i="9"/>
  <c r="AN122" i="9"/>
  <c r="AN121" i="9"/>
  <c r="AN120" i="9"/>
  <c r="AN119" i="9"/>
  <c r="AN118" i="9"/>
  <c r="AN117" i="9"/>
  <c r="AN116" i="9"/>
  <c r="AN115" i="9"/>
  <c r="AN114" i="9"/>
  <c r="AN113" i="9"/>
  <c r="AN112" i="9"/>
  <c r="AN111" i="9"/>
  <c r="AN110" i="9"/>
  <c r="AN109" i="9"/>
  <c r="AN108" i="9"/>
  <c r="AN107" i="9"/>
  <c r="AN106" i="9"/>
  <c r="AN105" i="9"/>
  <c r="AN104" i="9"/>
  <c r="AN103" i="9"/>
  <c r="AN102" i="9"/>
  <c r="AN101" i="9"/>
  <c r="AN100" i="9"/>
  <c r="AN99" i="9"/>
  <c r="AN98" i="9"/>
  <c r="AN97" i="9"/>
  <c r="AN96" i="9"/>
  <c r="AN95" i="9"/>
  <c r="AN94" i="9"/>
  <c r="AN93" i="9"/>
  <c r="AN92" i="9"/>
  <c r="AN91" i="9"/>
  <c r="AN90" i="9"/>
  <c r="AN89" i="9"/>
  <c r="AN88" i="9"/>
  <c r="AN87" i="9"/>
  <c r="AN86" i="9"/>
  <c r="AN85" i="9"/>
  <c r="AN64" i="9"/>
  <c r="AN63" i="9"/>
  <c r="AN62" i="9"/>
  <c r="AN61" i="9"/>
  <c r="AN60" i="9"/>
  <c r="AN59" i="9"/>
  <c r="AN58" i="9"/>
  <c r="AN57" i="9"/>
  <c r="AN56" i="9"/>
  <c r="AN55" i="9"/>
  <c r="AN54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40" i="9"/>
  <c r="AN39" i="9"/>
  <c r="AN38" i="9"/>
  <c r="AN37" i="9"/>
  <c r="AN36" i="9"/>
  <c r="AN35" i="9"/>
  <c r="AN34" i="9"/>
  <c r="AN33" i="9"/>
  <c r="AN32" i="9"/>
  <c r="AN31" i="9"/>
  <c r="AN30" i="9"/>
  <c r="AN29" i="9"/>
  <c r="AN28" i="9"/>
  <c r="AN27" i="9"/>
  <c r="AN26" i="9"/>
  <c r="AN25" i="9"/>
  <c r="AN24" i="9"/>
  <c r="AN23" i="9"/>
  <c r="AN22" i="9"/>
  <c r="AN21" i="9"/>
  <c r="AN20" i="9"/>
  <c r="AN19" i="9"/>
  <c r="AN18" i="9"/>
  <c r="AN17" i="9"/>
  <c r="AN16" i="9"/>
  <c r="AN15" i="9"/>
  <c r="AN14" i="9"/>
  <c r="AN13" i="9"/>
  <c r="AN12" i="9"/>
  <c r="AN11" i="9"/>
  <c r="AN10" i="9"/>
  <c r="AN9" i="9"/>
  <c r="AN8" i="9"/>
  <c r="AN7" i="9"/>
  <c r="AN6" i="9"/>
  <c r="AN5" i="9"/>
  <c r="AL25" i="9"/>
  <c r="AL26" i="9"/>
  <c r="AL27" i="9"/>
  <c r="AL28" i="9"/>
  <c r="AL29" i="9"/>
  <c r="AL30" i="9"/>
  <c r="AL31" i="9"/>
  <c r="AL32" i="9"/>
  <c r="AL33" i="9"/>
  <c r="AL34" i="9"/>
  <c r="AL35" i="9"/>
  <c r="AL36" i="9"/>
  <c r="AL37" i="9"/>
  <c r="AL38" i="9"/>
  <c r="AL39" i="9"/>
  <c r="AL40" i="9"/>
  <c r="AL41" i="9"/>
  <c r="AL42" i="9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59" i="9"/>
  <c r="AL60" i="9"/>
  <c r="AL61" i="9"/>
  <c r="AL62" i="9"/>
  <c r="AL63" i="9"/>
  <c r="AL64" i="9"/>
  <c r="AL85" i="9"/>
  <c r="AL86" i="9"/>
  <c r="AL87" i="9"/>
  <c r="AL88" i="9"/>
  <c r="AL89" i="9"/>
  <c r="AL90" i="9"/>
  <c r="AL91" i="9"/>
  <c r="AL92" i="9"/>
  <c r="AL93" i="9"/>
  <c r="AL94" i="9"/>
  <c r="AL95" i="9"/>
  <c r="AL96" i="9"/>
  <c r="AL97" i="9"/>
  <c r="AL98" i="9"/>
  <c r="AL99" i="9"/>
  <c r="AL100" i="9"/>
  <c r="AL101" i="9"/>
  <c r="AL102" i="9"/>
  <c r="AL103" i="9"/>
  <c r="AL104" i="9"/>
  <c r="AL105" i="9"/>
  <c r="AL106" i="9"/>
  <c r="AL107" i="9"/>
  <c r="AL108" i="9"/>
  <c r="AL109" i="9"/>
  <c r="AL110" i="9"/>
  <c r="AL111" i="9"/>
  <c r="AL112" i="9"/>
  <c r="AL113" i="9"/>
  <c r="AL114" i="9"/>
  <c r="AL115" i="9"/>
  <c r="AL116" i="9"/>
  <c r="AL117" i="9"/>
  <c r="AL118" i="9"/>
  <c r="AL119" i="9"/>
  <c r="AL120" i="9"/>
  <c r="AL121" i="9"/>
  <c r="AL122" i="9"/>
  <c r="AL123" i="9"/>
  <c r="AL124" i="9"/>
  <c r="AL125" i="9"/>
  <c r="AL126" i="9"/>
  <c r="AL127" i="9"/>
  <c r="AL128" i="9"/>
  <c r="AL129" i="9"/>
  <c r="AL130" i="9"/>
  <c r="AL131" i="9"/>
  <c r="AL132" i="9"/>
  <c r="AL133" i="9"/>
  <c r="AL134" i="9"/>
  <c r="AL135" i="9"/>
  <c r="AL136" i="9"/>
  <c r="AL137" i="9"/>
  <c r="AL138" i="9"/>
  <c r="AL139" i="9"/>
  <c r="AL140" i="9"/>
  <c r="AL141" i="9"/>
  <c r="AL142" i="9"/>
  <c r="AL143" i="9"/>
  <c r="AL144" i="9"/>
  <c r="AL145" i="9"/>
  <c r="AL146" i="9"/>
  <c r="AL147" i="9"/>
  <c r="AL148" i="9"/>
  <c r="AL149" i="9"/>
  <c r="AL150" i="9"/>
  <c r="AL151" i="9"/>
  <c r="AL152" i="9"/>
  <c r="AL153" i="9"/>
  <c r="AL154" i="9"/>
  <c r="AL155" i="9"/>
  <c r="AL156" i="9"/>
  <c r="AL157" i="9"/>
  <c r="AL158" i="9"/>
  <c r="AL159" i="9"/>
  <c r="AL160" i="9"/>
  <c r="AL161" i="9"/>
  <c r="AL162" i="9"/>
  <c r="AL163" i="9"/>
  <c r="AL164" i="9"/>
  <c r="AL165" i="9"/>
  <c r="AL166" i="9"/>
  <c r="AL167" i="9"/>
  <c r="AL168" i="9"/>
  <c r="AL169" i="9"/>
  <c r="AL170" i="9"/>
  <c r="AL171" i="9"/>
  <c r="AL172" i="9"/>
  <c r="AL173" i="9"/>
  <c r="AL174" i="9"/>
  <c r="AL175" i="9"/>
  <c r="AL176" i="9"/>
  <c r="AL177" i="9"/>
  <c r="AL178" i="9"/>
  <c r="AL179" i="9"/>
  <c r="AL180" i="9"/>
  <c r="AL181" i="9"/>
  <c r="AL182" i="9"/>
  <c r="AL183" i="9"/>
  <c r="AL184" i="9"/>
  <c r="AL225" i="9"/>
  <c r="AL226" i="9"/>
  <c r="AL227" i="9"/>
  <c r="AL228" i="9"/>
  <c r="AL229" i="9"/>
  <c r="AL230" i="9"/>
  <c r="AL231" i="9"/>
  <c r="AL232" i="9"/>
  <c r="AL233" i="9"/>
  <c r="AL234" i="9"/>
  <c r="AL235" i="9"/>
  <c r="AL236" i="9"/>
  <c r="AL237" i="9"/>
  <c r="AL238" i="9"/>
  <c r="AL239" i="9"/>
  <c r="AL240" i="9"/>
  <c r="AL241" i="9"/>
  <c r="AL242" i="9"/>
  <c r="AL243" i="9"/>
  <c r="AL244" i="9"/>
  <c r="AL245" i="9"/>
  <c r="AL246" i="9"/>
  <c r="AL247" i="9"/>
  <c r="AL248" i="9"/>
  <c r="AL249" i="9"/>
  <c r="AL250" i="9"/>
  <c r="AL251" i="9"/>
  <c r="AL252" i="9"/>
  <c r="AL253" i="9"/>
  <c r="AL254" i="9"/>
  <c r="AL255" i="9"/>
  <c r="AL256" i="9"/>
  <c r="AL257" i="9"/>
  <c r="AL258" i="9"/>
  <c r="AL259" i="9"/>
  <c r="AL260" i="9"/>
  <c r="AL261" i="9"/>
  <c r="AL262" i="9"/>
  <c r="AL263" i="9"/>
  <c r="AL264" i="9"/>
  <c r="AL265" i="9"/>
  <c r="AL266" i="9"/>
  <c r="AL267" i="9"/>
  <c r="AL268" i="9"/>
  <c r="AL269" i="9"/>
  <c r="AL270" i="9"/>
  <c r="AL271" i="9"/>
  <c r="AL272" i="9"/>
  <c r="AL273" i="9"/>
  <c r="AL274" i="9"/>
  <c r="AL275" i="9"/>
  <c r="AL276" i="9"/>
  <c r="AL277" i="9"/>
  <c r="AL278" i="9"/>
  <c r="AL279" i="9"/>
  <c r="AL280" i="9"/>
  <c r="AL281" i="9"/>
  <c r="AL282" i="9"/>
  <c r="AL283" i="9"/>
  <c r="AL284" i="9"/>
  <c r="AL285" i="9"/>
  <c r="AL286" i="9"/>
  <c r="AL287" i="9"/>
  <c r="AL288" i="9"/>
  <c r="AL289" i="9"/>
  <c r="AL290" i="9"/>
  <c r="AL291" i="9"/>
  <c r="AL292" i="9"/>
  <c r="AL293" i="9"/>
  <c r="AL294" i="9"/>
  <c r="AL295" i="9"/>
  <c r="AL296" i="9"/>
  <c r="AL297" i="9"/>
  <c r="AL298" i="9"/>
  <c r="AL299" i="9"/>
  <c r="AL300" i="9"/>
  <c r="AL301" i="9"/>
  <c r="AL302" i="9"/>
  <c r="AL303" i="9"/>
  <c r="AL304" i="9"/>
  <c r="AL305" i="9"/>
  <c r="AL306" i="9"/>
  <c r="AL307" i="9"/>
  <c r="AL308" i="9"/>
  <c r="AL309" i="9"/>
  <c r="AL310" i="9"/>
  <c r="AL311" i="9"/>
  <c r="AL312" i="9"/>
  <c r="AL313" i="9"/>
  <c r="AL314" i="9"/>
  <c r="AL315" i="9"/>
  <c r="AL316" i="9"/>
  <c r="AL317" i="9"/>
  <c r="AL318" i="9"/>
  <c r="AL319" i="9"/>
  <c r="AL320" i="9"/>
  <c r="AL321" i="9"/>
  <c r="AL322" i="9"/>
  <c r="AL323" i="9"/>
  <c r="AL324" i="9"/>
  <c r="AL325" i="9"/>
  <c r="AL326" i="9"/>
  <c r="AL327" i="9"/>
  <c r="AL328" i="9"/>
  <c r="AL329" i="9"/>
  <c r="AL330" i="9"/>
  <c r="AL331" i="9"/>
  <c r="AL332" i="9"/>
  <c r="AL333" i="9"/>
  <c r="AL334" i="9"/>
  <c r="AL335" i="9"/>
  <c r="AL336" i="9"/>
  <c r="AL337" i="9"/>
  <c r="AL338" i="9"/>
  <c r="AL339" i="9"/>
  <c r="AL340" i="9"/>
  <c r="AL341" i="9"/>
  <c r="AL342" i="9"/>
  <c r="AL343" i="9"/>
  <c r="AL344" i="9"/>
  <c r="AL345" i="9"/>
  <c r="AL346" i="9"/>
  <c r="AL347" i="9"/>
  <c r="AL348" i="9"/>
  <c r="AL349" i="9"/>
  <c r="AL350" i="9"/>
  <c r="AL351" i="9"/>
  <c r="AL352" i="9"/>
  <c r="AL353" i="9"/>
  <c r="AL354" i="9"/>
  <c r="AL355" i="9"/>
  <c r="AL356" i="9"/>
  <c r="AL357" i="9"/>
  <c r="AL358" i="9"/>
  <c r="AL359" i="9"/>
  <c r="AL360" i="9"/>
  <c r="AL361" i="9"/>
  <c r="AL362" i="9"/>
  <c r="AL363" i="9"/>
  <c r="AL364" i="9"/>
  <c r="AL365" i="9"/>
  <c r="AL366" i="9"/>
  <c r="AL367" i="9"/>
  <c r="AL368" i="9"/>
  <c r="AL369" i="9"/>
  <c r="AL370" i="9"/>
  <c r="AL371" i="9"/>
  <c r="AL372" i="9"/>
  <c r="AL373" i="9"/>
  <c r="AL374" i="9"/>
  <c r="AL375" i="9"/>
  <c r="AL376" i="9"/>
  <c r="AL377" i="9"/>
  <c r="AL378" i="9"/>
  <c r="AL379" i="9"/>
  <c r="AL380" i="9"/>
  <c r="AL381" i="9"/>
  <c r="AL382" i="9"/>
  <c r="AL383" i="9"/>
  <c r="AL384" i="9"/>
  <c r="AL385" i="9"/>
  <c r="AL386" i="9"/>
  <c r="AL387" i="9"/>
  <c r="AL388" i="9"/>
  <c r="AL389" i="9"/>
  <c r="AL390" i="9"/>
  <c r="AL391" i="9"/>
  <c r="AL392" i="9"/>
  <c r="AL393" i="9"/>
  <c r="AL394" i="9"/>
  <c r="AL395" i="9"/>
  <c r="AL396" i="9"/>
  <c r="AL397" i="9"/>
  <c r="AL398" i="9"/>
  <c r="AL399" i="9"/>
  <c r="AL400" i="9"/>
  <c r="AL401" i="9"/>
  <c r="AL402" i="9"/>
  <c r="AL403" i="9"/>
  <c r="AL404" i="9"/>
  <c r="AL405" i="9"/>
  <c r="AL406" i="9"/>
  <c r="AL407" i="9"/>
  <c r="AL408" i="9"/>
  <c r="AL409" i="9"/>
  <c r="AL410" i="9"/>
  <c r="AL411" i="9"/>
  <c r="AL412" i="9"/>
  <c r="AL413" i="9"/>
  <c r="AL414" i="9"/>
  <c r="AL415" i="9"/>
  <c r="AL416" i="9"/>
  <c r="AL417" i="9"/>
  <c r="AL418" i="9"/>
  <c r="AL419" i="9"/>
  <c r="AL420" i="9"/>
  <c r="AL421" i="9"/>
  <c r="AL422" i="9"/>
  <c r="AL423" i="9"/>
  <c r="AL424" i="9"/>
  <c r="AL425" i="9"/>
  <c r="AL426" i="9"/>
  <c r="AL427" i="9"/>
  <c r="AL428" i="9"/>
  <c r="AL429" i="9"/>
  <c r="AL430" i="9"/>
  <c r="AL431" i="9"/>
  <c r="AL432" i="9"/>
  <c r="AL433" i="9"/>
  <c r="AL434" i="9"/>
  <c r="AL435" i="9"/>
  <c r="AL436" i="9"/>
  <c r="AL437" i="9"/>
  <c r="AL438" i="9"/>
  <c r="AL439" i="9"/>
  <c r="AL440" i="9"/>
  <c r="AL441" i="9"/>
  <c r="AL442" i="9"/>
  <c r="AL443" i="9"/>
  <c r="AL444" i="9"/>
  <c r="AL445" i="9"/>
  <c r="AL446" i="9"/>
  <c r="AL447" i="9"/>
  <c r="AL448" i="9"/>
  <c r="AL449" i="9"/>
  <c r="AL450" i="9"/>
  <c r="AL451" i="9"/>
  <c r="AL452" i="9"/>
  <c r="AL453" i="9"/>
  <c r="AL454" i="9"/>
  <c r="AL455" i="9"/>
  <c r="AL456" i="9"/>
  <c r="AL457" i="9"/>
  <c r="AL458" i="9"/>
  <c r="AL459" i="9"/>
  <c r="AL460" i="9"/>
  <c r="AL461" i="9"/>
  <c r="AL462" i="9"/>
  <c r="AL463" i="9"/>
  <c r="AL464" i="9"/>
  <c r="AL465" i="9"/>
  <c r="AL466" i="9"/>
  <c r="AL467" i="9"/>
  <c r="AL468" i="9"/>
  <c r="AL469" i="9"/>
  <c r="AL470" i="9"/>
  <c r="AL471" i="9"/>
  <c r="AL472" i="9"/>
  <c r="AL473" i="9"/>
  <c r="AL474" i="9"/>
  <c r="AL475" i="9"/>
  <c r="AL476" i="9"/>
  <c r="AL477" i="9"/>
  <c r="AL478" i="9"/>
  <c r="AL479" i="9"/>
  <c r="AL480" i="9"/>
  <c r="AL481" i="9"/>
  <c r="AL482" i="9"/>
  <c r="AL483" i="9"/>
  <c r="AL484" i="9"/>
  <c r="AL485" i="9"/>
  <c r="AL486" i="9"/>
  <c r="AL487" i="9"/>
  <c r="AL488" i="9"/>
  <c r="AL489" i="9"/>
  <c r="AL490" i="9"/>
  <c r="AL491" i="9"/>
  <c r="AL492" i="9"/>
  <c r="AL493" i="9"/>
  <c r="AL494" i="9"/>
  <c r="AL495" i="9"/>
  <c r="AL496" i="9"/>
  <c r="AL497" i="9"/>
  <c r="AL498" i="9"/>
  <c r="AL499" i="9"/>
  <c r="AL500" i="9"/>
  <c r="AL501" i="9"/>
  <c r="AL502" i="9"/>
  <c r="AL503" i="9"/>
  <c r="AL504" i="9"/>
  <c r="AL505" i="9"/>
  <c r="AL506" i="9"/>
  <c r="AL507" i="9"/>
  <c r="AL508" i="9"/>
  <c r="AL509" i="9"/>
  <c r="AL510" i="9"/>
  <c r="AL511" i="9"/>
  <c r="AL512" i="9"/>
  <c r="AL513" i="9"/>
  <c r="AL514" i="9"/>
  <c r="AL515" i="9"/>
  <c r="AL516" i="9"/>
  <c r="AL517" i="9"/>
  <c r="AL518" i="9"/>
  <c r="AL519" i="9"/>
  <c r="AL520" i="9"/>
  <c r="AL521" i="9"/>
  <c r="AL522" i="9"/>
  <c r="AL523" i="9"/>
  <c r="AL524" i="9"/>
  <c r="AL525" i="9"/>
  <c r="AL526" i="9"/>
  <c r="AL527" i="9"/>
  <c r="AL528" i="9"/>
  <c r="AL529" i="9"/>
  <c r="AL530" i="9"/>
  <c r="AL531" i="9"/>
  <c r="AL532" i="9"/>
  <c r="AL533" i="9"/>
  <c r="AL534" i="9"/>
  <c r="AL535" i="9"/>
  <c r="AL536" i="9"/>
  <c r="AL537" i="9"/>
  <c r="AL538" i="9"/>
  <c r="AL539" i="9"/>
  <c r="AL540" i="9"/>
  <c r="AL541" i="9"/>
  <c r="AL542" i="9"/>
  <c r="AL543" i="9"/>
  <c r="AL544" i="9"/>
  <c r="AL545" i="9"/>
  <c r="AL546" i="9"/>
  <c r="AL547" i="9"/>
  <c r="AL548" i="9"/>
  <c r="AL549" i="9"/>
  <c r="AL550" i="9"/>
  <c r="AL551" i="9"/>
  <c r="AL552" i="9"/>
  <c r="AL553" i="9"/>
  <c r="AL554" i="9"/>
  <c r="AL555" i="9"/>
  <c r="AL556" i="9"/>
  <c r="AL557" i="9"/>
  <c r="AL558" i="9"/>
  <c r="AL559" i="9"/>
  <c r="AL560" i="9"/>
  <c r="AL561" i="9"/>
  <c r="AL562" i="9"/>
  <c r="AL563" i="9"/>
  <c r="AL564" i="9"/>
  <c r="AL565" i="9"/>
  <c r="AL566" i="9"/>
  <c r="AL567" i="9"/>
  <c r="AL568" i="9"/>
  <c r="AL569" i="9"/>
  <c r="AL570" i="9"/>
  <c r="AL571" i="9"/>
  <c r="AL572" i="9"/>
  <c r="AL573" i="9"/>
  <c r="AL574" i="9"/>
  <c r="AL575" i="9"/>
  <c r="AL576" i="9"/>
  <c r="AL577" i="9"/>
  <c r="AL578" i="9"/>
  <c r="AL579" i="9"/>
  <c r="AL580" i="9"/>
  <c r="AL581" i="9"/>
  <c r="AL582" i="9"/>
  <c r="AL583" i="9"/>
  <c r="AL584" i="9"/>
  <c r="AL585" i="9"/>
  <c r="AL586" i="9"/>
  <c r="AL587" i="9"/>
  <c r="AL588" i="9"/>
  <c r="AL589" i="9"/>
  <c r="AL590" i="9"/>
  <c r="AL591" i="9"/>
  <c r="AL592" i="9"/>
  <c r="AL593" i="9"/>
  <c r="AL594" i="9"/>
  <c r="AL595" i="9"/>
  <c r="AL596" i="9"/>
  <c r="AL597" i="9"/>
  <c r="AL598" i="9"/>
  <c r="AL599" i="9"/>
  <c r="AL600" i="9"/>
  <c r="AL601" i="9"/>
  <c r="AL602" i="9"/>
  <c r="AL603" i="9"/>
  <c r="AL604" i="9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5" i="9"/>
  <c r="Z65" i="9" l="1"/>
  <c r="Z73" i="9"/>
  <c r="Z81" i="9"/>
  <c r="Z66" i="9"/>
  <c r="Z74" i="9"/>
  <c r="Z82" i="9"/>
  <c r="Z67" i="9"/>
  <c r="Z75" i="9"/>
  <c r="Z83" i="9"/>
  <c r="Z68" i="9"/>
  <c r="Z76" i="9"/>
  <c r="Z84" i="9"/>
  <c r="Z70" i="9"/>
  <c r="Z79" i="9"/>
  <c r="Z72" i="9"/>
  <c r="Z69" i="9"/>
  <c r="Z77" i="9"/>
  <c r="Z78" i="9"/>
  <c r="Z71" i="9"/>
  <c r="Z80" i="9"/>
  <c r="AH579" i="9"/>
  <c r="AH403" i="9"/>
  <c r="AH577" i="9"/>
  <c r="AH553" i="9"/>
  <c r="AH433" i="9"/>
  <c r="AH572" i="9"/>
  <c r="AH500" i="9"/>
  <c r="AH595" i="9"/>
  <c r="AH539" i="9"/>
  <c r="AH515" i="9"/>
  <c r="AH459" i="9"/>
  <c r="AH547" i="9"/>
  <c r="AH499" i="9"/>
  <c r="AH475" i="9"/>
  <c r="AH458" i="9"/>
  <c r="AH590" i="9"/>
  <c r="AH558" i="9"/>
  <c r="AH502" i="9"/>
  <c r="AH430" i="9"/>
  <c r="AH406" i="9"/>
  <c r="AH319" i="9"/>
  <c r="AH287" i="9"/>
  <c r="AH603" i="9"/>
  <c r="AH531" i="9"/>
  <c r="AH483" i="9"/>
  <c r="AH597" i="9"/>
  <c r="AH589" i="9"/>
  <c r="AH533" i="9"/>
  <c r="AH599" i="9"/>
  <c r="AH575" i="9"/>
  <c r="AH551" i="9"/>
  <c r="AH527" i="9"/>
  <c r="AH379" i="9"/>
  <c r="AH331" i="9"/>
  <c r="AH323" i="9"/>
  <c r="AH299" i="9"/>
  <c r="AH390" i="9"/>
  <c r="AH604" i="9"/>
  <c r="AH596" i="9"/>
  <c r="AH556" i="9"/>
  <c r="AH548" i="9"/>
  <c r="AH540" i="9"/>
  <c r="AH532" i="9"/>
  <c r="AH516" i="9"/>
  <c r="AH492" i="9"/>
  <c r="AH484" i="9"/>
  <c r="AH476" i="9"/>
  <c r="AH428" i="9"/>
  <c r="AH387" i="9"/>
  <c r="AH375" i="9"/>
  <c r="AH303" i="9"/>
  <c r="AH288" i="9"/>
  <c r="AH535" i="9"/>
  <c r="AH471" i="9"/>
  <c r="AH447" i="9"/>
  <c r="AH423" i="9"/>
  <c r="AH307" i="9"/>
  <c r="AH413" i="9"/>
  <c r="AH563" i="9"/>
  <c r="AH350" i="9"/>
  <c r="AH567" i="9"/>
  <c r="AH511" i="9"/>
  <c r="AH487" i="9"/>
  <c r="AH455" i="9"/>
  <c r="AH355" i="9"/>
  <c r="AH469" i="9"/>
  <c r="AH453" i="9"/>
  <c r="AH561" i="9"/>
  <c r="AH521" i="9"/>
  <c r="AH489" i="9"/>
  <c r="AH481" i="9"/>
  <c r="AH457" i="9"/>
  <c r="AH417" i="9"/>
  <c r="AH381" i="9"/>
  <c r="AH397" i="9"/>
  <c r="AH361" i="9"/>
  <c r="AH330" i="9"/>
  <c r="AH297" i="9"/>
  <c r="AH452" i="9"/>
  <c r="AH436" i="9"/>
  <c r="AH412" i="9"/>
  <c r="AH384" i="9"/>
  <c r="AH368" i="9"/>
  <c r="AH336" i="9"/>
  <c r="AH443" i="9"/>
  <c r="AH419" i="9"/>
  <c r="AH395" i="9"/>
  <c r="AH367" i="9"/>
  <c r="AH335" i="9"/>
  <c r="AH357" i="9"/>
  <c r="AH349" i="9"/>
  <c r="AH301" i="9"/>
  <c r="AH296" i="9"/>
  <c r="AH451" i="9"/>
  <c r="AH427" i="9"/>
  <c r="AH460" i="9"/>
  <c r="AH444" i="9"/>
  <c r="AH420" i="9"/>
  <c r="AH404" i="9"/>
  <c r="AH360" i="9"/>
  <c r="AH344" i="9"/>
  <c r="AH320" i="9"/>
  <c r="AH312" i="9"/>
  <c r="AH383" i="9"/>
  <c r="AH327" i="9"/>
  <c r="AH311" i="9"/>
  <c r="AH295" i="9"/>
  <c r="AH77" i="9"/>
  <c r="AH351" i="9"/>
  <c r="BG234" i="9"/>
  <c r="BG194" i="9"/>
  <c r="AH343" i="9"/>
  <c r="AH435" i="9"/>
  <c r="AH524" i="9"/>
  <c r="AH482" i="9"/>
  <c r="AH75" i="9"/>
  <c r="AH588" i="9"/>
  <c r="AH382" i="9"/>
  <c r="AH580" i="9"/>
  <c r="AH573" i="9"/>
  <c r="AH564" i="9"/>
  <c r="AH508" i="9"/>
  <c r="AH501" i="9"/>
  <c r="AH477" i="9"/>
  <c r="AH468" i="9"/>
  <c r="AH461" i="9"/>
  <c r="AH421" i="9"/>
  <c r="AH396" i="9"/>
  <c r="AH388" i="9"/>
  <c r="AH377" i="9"/>
  <c r="AH369" i="9"/>
  <c r="AH352" i="9"/>
  <c r="AH329" i="9"/>
  <c r="AH321" i="9"/>
  <c r="AH313" i="9"/>
  <c r="AH304" i="9"/>
  <c r="AH359" i="9"/>
  <c r="AH411" i="9"/>
  <c r="AG82" i="9"/>
  <c r="AH82" i="9" s="1"/>
  <c r="AH602" i="9"/>
  <c r="AH586" i="9"/>
  <c r="AH570" i="9"/>
  <c r="AH546" i="9"/>
  <c r="AH530" i="9"/>
  <c r="AH514" i="9"/>
  <c r="AH498" i="9"/>
  <c r="AH474" i="9"/>
  <c r="AH442" i="9"/>
  <c r="AH426" i="9"/>
  <c r="AH394" i="9"/>
  <c r="AH334" i="9"/>
  <c r="AH318" i="9"/>
  <c r="AH593" i="9"/>
  <c r="AH569" i="9"/>
  <c r="AH537" i="9"/>
  <c r="AH529" i="9"/>
  <c r="AH513" i="9"/>
  <c r="AH497" i="9"/>
  <c r="AH449" i="9"/>
  <c r="AH409" i="9"/>
  <c r="AH401" i="9"/>
  <c r="AH393" i="9"/>
  <c r="AH341" i="9"/>
  <c r="AH333" i="9"/>
  <c r="AH594" i="9"/>
  <c r="AH578" i="9"/>
  <c r="AH554" i="9"/>
  <c r="AH506" i="9"/>
  <c r="AH466" i="9"/>
  <c r="AH450" i="9"/>
  <c r="AH434" i="9"/>
  <c r="AH418" i="9"/>
  <c r="AH402" i="9"/>
  <c r="AH386" i="9"/>
  <c r="AH374" i="9"/>
  <c r="AH310" i="9"/>
  <c r="AH294" i="9"/>
  <c r="A77" i="9"/>
  <c r="AH522" i="9"/>
  <c r="AH407" i="9"/>
  <c r="AP72" i="9"/>
  <c r="AG72" i="9"/>
  <c r="AH72" i="9" s="1"/>
  <c r="AG68" i="9"/>
  <c r="AH68" i="9" s="1"/>
  <c r="AG66" i="9"/>
  <c r="AH67" i="9" s="1"/>
  <c r="A68" i="9"/>
  <c r="A76" i="9"/>
  <c r="AG73" i="9"/>
  <c r="AH74" i="9" s="1"/>
  <c r="AG65" i="9"/>
  <c r="AH65" i="9" s="1"/>
  <c r="AG80" i="9"/>
  <c r="AH81" i="9" s="1"/>
  <c r="AG78" i="9"/>
  <c r="AH79" i="9" s="1"/>
  <c r="AG70" i="9"/>
  <c r="AH71" i="9" s="1"/>
  <c r="BG390" i="9"/>
  <c r="AH478" i="9"/>
  <c r="AH479" i="9"/>
  <c r="AH399" i="9"/>
  <c r="AH398" i="9"/>
  <c r="AH363" i="9"/>
  <c r="AH362" i="9"/>
  <c r="AH339" i="9"/>
  <c r="AH338" i="9"/>
  <c r="AH598" i="9"/>
  <c r="AH582" i="9"/>
  <c r="AH566" i="9"/>
  <c r="AH550" i="9"/>
  <c r="AH542" i="9"/>
  <c r="AH518" i="9"/>
  <c r="AH510" i="9"/>
  <c r="AH494" i="9"/>
  <c r="AH470" i="9"/>
  <c r="AH462" i="9"/>
  <c r="AH438" i="9"/>
  <c r="AH422" i="9"/>
  <c r="AH414" i="9"/>
  <c r="AH370" i="9"/>
  <c r="AH354" i="9"/>
  <c r="AH346" i="9"/>
  <c r="AH322" i="9"/>
  <c r="AH314" i="9"/>
  <c r="AH306" i="9"/>
  <c r="AH298" i="9"/>
  <c r="AH290" i="9"/>
  <c r="AH591" i="9"/>
  <c r="AH446" i="9"/>
  <c r="AH526" i="9"/>
  <c r="AH454" i="9"/>
  <c r="AH574" i="9"/>
  <c r="AH378" i="9"/>
  <c r="AH503" i="9"/>
  <c r="AH289" i="9"/>
  <c r="AH541" i="9"/>
  <c r="AH581" i="9"/>
  <c r="AH509" i="9"/>
  <c r="AH441" i="9"/>
  <c r="AH358" i="9"/>
  <c r="AH486" i="9"/>
  <c r="AH353" i="9"/>
  <c r="AH437" i="9"/>
  <c r="AH328" i="9"/>
  <c r="AH376" i="9"/>
  <c r="AH302" i="9"/>
  <c r="AH534" i="9"/>
  <c r="AH286" i="9"/>
  <c r="AH405" i="9"/>
  <c r="AH429" i="9"/>
  <c r="AH585" i="9"/>
  <c r="AH337" i="9"/>
  <c r="AH371" i="9"/>
  <c r="AH565" i="9"/>
  <c r="AH309" i="9"/>
  <c r="AH385" i="9"/>
  <c r="AH473" i="9"/>
  <c r="AH601" i="9"/>
  <c r="AH342" i="9"/>
  <c r="AH410" i="9"/>
  <c r="AH544" i="9"/>
  <c r="AH520" i="9"/>
  <c r="AH488" i="9"/>
  <c r="AH464" i="9"/>
  <c r="AH440" i="9"/>
  <c r="AH416" i="9"/>
  <c r="AH392" i="9"/>
  <c r="AH364" i="9"/>
  <c r="AH340" i="9"/>
  <c r="AH316" i="9"/>
  <c r="AH292" i="9"/>
  <c r="AH425" i="9"/>
  <c r="AH291" i="9"/>
  <c r="AH366" i="9"/>
  <c r="AH439" i="9"/>
  <c r="AH465" i="9"/>
  <c r="AH325" i="9"/>
  <c r="AH415" i="9"/>
  <c r="AH491" i="9"/>
  <c r="AH505" i="9"/>
  <c r="AH543" i="9"/>
  <c r="AH555" i="9"/>
  <c r="AH538" i="9"/>
  <c r="AH600" i="9"/>
  <c r="AH592" i="9"/>
  <c r="AH584" i="9"/>
  <c r="AH576" i="9"/>
  <c r="AH568" i="9"/>
  <c r="AH560" i="9"/>
  <c r="AH536" i="9"/>
  <c r="AH512" i="9"/>
  <c r="AH496" i="9"/>
  <c r="AH472" i="9"/>
  <c r="AH448" i="9"/>
  <c r="AH424" i="9"/>
  <c r="AH400" i="9"/>
  <c r="AH372" i="9"/>
  <c r="AH348" i="9"/>
  <c r="AH324" i="9"/>
  <c r="AH300" i="9"/>
  <c r="AH76" i="9"/>
  <c r="AH463" i="9"/>
  <c r="AH315" i="9"/>
  <c r="AH347" i="9"/>
  <c r="AH391" i="9"/>
  <c r="AH519" i="9"/>
  <c r="AH545" i="9"/>
  <c r="AH583" i="9"/>
  <c r="AH373" i="9"/>
  <c r="AH552" i="9"/>
  <c r="AH528" i="9"/>
  <c r="AH504" i="9"/>
  <c r="AH480" i="9"/>
  <c r="AH456" i="9"/>
  <c r="AH432" i="9"/>
  <c r="AH408" i="9"/>
  <c r="AH380" i="9"/>
  <c r="AH356" i="9"/>
  <c r="AH332" i="9"/>
  <c r="AH308" i="9"/>
  <c r="AH84" i="9"/>
  <c r="AH431" i="9"/>
  <c r="AH495" i="9"/>
  <c r="AH507" i="9"/>
  <c r="AH559" i="9"/>
  <c r="AH571" i="9"/>
  <c r="A84" i="9"/>
  <c r="AP77" i="9"/>
  <c r="A74" i="9"/>
  <c r="A75" i="9"/>
  <c r="A79" i="9"/>
  <c r="AP71" i="9"/>
  <c r="AP84" i="9"/>
  <c r="A71" i="9"/>
  <c r="A70" i="9"/>
  <c r="AP81" i="9"/>
  <c r="AP69" i="9"/>
  <c r="AP75" i="9"/>
  <c r="AP76" i="9"/>
  <c r="A78" i="9"/>
  <c r="A82" i="9"/>
  <c r="AP74" i="9"/>
  <c r="AP83" i="9"/>
  <c r="AP67" i="9"/>
  <c r="A69" i="9"/>
  <c r="AP79" i="9"/>
  <c r="A66" i="9"/>
  <c r="A72" i="9"/>
  <c r="A83" i="9"/>
  <c r="A67" i="9"/>
  <c r="A80" i="9"/>
  <c r="AW32" i="9"/>
  <c r="AW31" i="9"/>
  <c r="AW42" i="9"/>
  <c r="AW50" i="9"/>
  <c r="AW58" i="9"/>
  <c r="AW366" i="9"/>
  <c r="AW374" i="9"/>
  <c r="AW382" i="9"/>
  <c r="AW19" i="9"/>
  <c r="AW11" i="9"/>
  <c r="AW35" i="9"/>
  <c r="AW52" i="9"/>
  <c r="AW376" i="9"/>
  <c r="AW17" i="9"/>
  <c r="AW36" i="9"/>
  <c r="AW53" i="9"/>
  <c r="AW369" i="9"/>
  <c r="AW24" i="9"/>
  <c r="AW8" i="9"/>
  <c r="AW37" i="9"/>
  <c r="AW54" i="9"/>
  <c r="AW378" i="9"/>
  <c r="AW23" i="9"/>
  <c r="AW7" i="9"/>
  <c r="AW49" i="9"/>
  <c r="AW373" i="9"/>
  <c r="AW12" i="9"/>
  <c r="AW33" i="9"/>
  <c r="AW43" i="9"/>
  <c r="AW51" i="9"/>
  <c r="AW59" i="9"/>
  <c r="AW367" i="9"/>
  <c r="AW375" i="9"/>
  <c r="AW383" i="9"/>
  <c r="AW18" i="9"/>
  <c r="AW44" i="9"/>
  <c r="AW60" i="9"/>
  <c r="AW368" i="9"/>
  <c r="AW384" i="9"/>
  <c r="AW9" i="9"/>
  <c r="AW25" i="9"/>
  <c r="AW45" i="9"/>
  <c r="AW61" i="9"/>
  <c r="AW377" i="9"/>
  <c r="AW16" i="9"/>
  <c r="AW27" i="9"/>
  <c r="AW46" i="9"/>
  <c r="AW62" i="9"/>
  <c r="AW370" i="9"/>
  <c r="AW15" i="9"/>
  <c r="AW30" i="9"/>
  <c r="AW57" i="9"/>
  <c r="AW381" i="9"/>
  <c r="AW20" i="9"/>
  <c r="AW28" i="9"/>
  <c r="AW38" i="9"/>
  <c r="AW47" i="9"/>
  <c r="AW55" i="9"/>
  <c r="AW63" i="9"/>
  <c r="AW371" i="9"/>
  <c r="AW379" i="9"/>
  <c r="AW22" i="9"/>
  <c r="AW14" i="9"/>
  <c r="AW6" i="9"/>
  <c r="AW29" i="9"/>
  <c r="AW39" i="9"/>
  <c r="AW48" i="9"/>
  <c r="AW56" i="9"/>
  <c r="AW64" i="9"/>
  <c r="AW372" i="9"/>
  <c r="AW380" i="9"/>
  <c r="AW21" i="9"/>
  <c r="AW13" i="9"/>
  <c r="AW5" i="9"/>
  <c r="AW41" i="9"/>
  <c r="AW365" i="9"/>
  <c r="BG512" i="9"/>
  <c r="BG272" i="9"/>
  <c r="BG550" i="9"/>
  <c r="BG589" i="9"/>
  <c r="BG604" i="9"/>
  <c r="BG318" i="9"/>
  <c r="BG254" i="9"/>
  <c r="AW34" i="9"/>
  <c r="AW26" i="9"/>
  <c r="AW40" i="9"/>
  <c r="A65" i="9"/>
  <c r="A73" i="9"/>
  <c r="A81" i="9"/>
  <c r="F6" i="30"/>
  <c r="F7" i="30"/>
  <c r="F9" i="30"/>
  <c r="F10" i="30"/>
  <c r="A10" i="30" s="1"/>
  <c r="F11" i="30"/>
  <c r="A11" i="30" s="1"/>
  <c r="AW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G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J604" i="9"/>
  <c r="AJ603" i="9"/>
  <c r="AJ602" i="9"/>
  <c r="AJ601" i="9"/>
  <c r="AJ600" i="9"/>
  <c r="AJ599" i="9"/>
  <c r="AJ598" i="9"/>
  <c r="AJ597" i="9"/>
  <c r="AJ596" i="9"/>
  <c r="AJ595" i="9"/>
  <c r="AJ594" i="9"/>
  <c r="AJ593" i="9"/>
  <c r="AJ592" i="9"/>
  <c r="AJ591" i="9"/>
  <c r="AJ590" i="9"/>
  <c r="AJ589" i="9"/>
  <c r="AJ588" i="9"/>
  <c r="AJ587" i="9"/>
  <c r="AJ586" i="9"/>
  <c r="AJ585" i="9"/>
  <c r="AJ584" i="9"/>
  <c r="AJ583" i="9"/>
  <c r="AJ582" i="9"/>
  <c r="AJ581" i="9"/>
  <c r="AJ580" i="9"/>
  <c r="AJ579" i="9"/>
  <c r="AJ578" i="9"/>
  <c r="AJ577" i="9"/>
  <c r="AJ576" i="9"/>
  <c r="AJ575" i="9"/>
  <c r="AJ574" i="9"/>
  <c r="AJ573" i="9"/>
  <c r="AJ572" i="9"/>
  <c r="AJ571" i="9"/>
  <c r="AJ570" i="9"/>
  <c r="AJ569" i="9"/>
  <c r="AJ568" i="9"/>
  <c r="AJ567" i="9"/>
  <c r="AJ566" i="9"/>
  <c r="AJ565" i="9"/>
  <c r="AJ564" i="9"/>
  <c r="AJ563" i="9"/>
  <c r="AJ562" i="9"/>
  <c r="AJ561" i="9"/>
  <c r="AJ560" i="9"/>
  <c r="AJ559" i="9"/>
  <c r="AJ558" i="9"/>
  <c r="AJ557" i="9"/>
  <c r="AJ556" i="9"/>
  <c r="AJ555" i="9"/>
  <c r="AJ554" i="9"/>
  <c r="AJ553" i="9"/>
  <c r="AJ552" i="9"/>
  <c r="AJ551" i="9"/>
  <c r="AJ550" i="9"/>
  <c r="AJ549" i="9"/>
  <c r="AJ548" i="9"/>
  <c r="AJ547" i="9"/>
  <c r="AJ546" i="9"/>
  <c r="AJ545" i="9"/>
  <c r="AJ544" i="9"/>
  <c r="AJ543" i="9"/>
  <c r="AJ542" i="9"/>
  <c r="AJ541" i="9"/>
  <c r="AJ540" i="9"/>
  <c r="AJ539" i="9"/>
  <c r="AJ538" i="9"/>
  <c r="AJ537" i="9"/>
  <c r="AJ536" i="9"/>
  <c r="AJ535" i="9"/>
  <c r="AJ534" i="9"/>
  <c r="AJ533" i="9"/>
  <c r="AJ532" i="9"/>
  <c r="AJ531" i="9"/>
  <c r="AJ530" i="9"/>
  <c r="AJ529" i="9"/>
  <c r="AJ528" i="9"/>
  <c r="AJ527" i="9"/>
  <c r="AJ526" i="9"/>
  <c r="AJ525" i="9"/>
  <c r="AJ524" i="9"/>
  <c r="AJ523" i="9"/>
  <c r="AJ522" i="9"/>
  <c r="AJ521" i="9"/>
  <c r="AJ520" i="9"/>
  <c r="AJ519" i="9"/>
  <c r="AJ518" i="9"/>
  <c r="AJ517" i="9"/>
  <c r="AJ516" i="9"/>
  <c r="AJ515" i="9"/>
  <c r="AJ514" i="9"/>
  <c r="AJ513" i="9"/>
  <c r="AJ512" i="9"/>
  <c r="AJ511" i="9"/>
  <c r="AJ510" i="9"/>
  <c r="AJ509" i="9"/>
  <c r="AJ508" i="9"/>
  <c r="AJ507" i="9"/>
  <c r="AJ506" i="9"/>
  <c r="AJ505" i="9"/>
  <c r="AJ504" i="9"/>
  <c r="AJ503" i="9"/>
  <c r="AJ502" i="9"/>
  <c r="AJ501" i="9"/>
  <c r="AJ500" i="9"/>
  <c r="AJ499" i="9"/>
  <c r="AJ498" i="9"/>
  <c r="AJ497" i="9"/>
  <c r="AJ496" i="9"/>
  <c r="AJ495" i="9"/>
  <c r="AJ494" i="9"/>
  <c r="AJ493" i="9"/>
  <c r="AJ492" i="9"/>
  <c r="AJ491" i="9"/>
  <c r="AJ490" i="9"/>
  <c r="AJ489" i="9"/>
  <c r="AJ488" i="9"/>
  <c r="AJ487" i="9"/>
  <c r="AJ486" i="9"/>
  <c r="AJ485" i="9"/>
  <c r="AJ484" i="9"/>
  <c r="AJ483" i="9"/>
  <c r="AJ482" i="9"/>
  <c r="AJ481" i="9"/>
  <c r="AJ480" i="9"/>
  <c r="AJ479" i="9"/>
  <c r="AJ478" i="9"/>
  <c r="AJ477" i="9"/>
  <c r="AJ476" i="9"/>
  <c r="AJ475" i="9"/>
  <c r="AJ474" i="9"/>
  <c r="AJ473" i="9"/>
  <c r="AJ472" i="9"/>
  <c r="AJ471" i="9"/>
  <c r="AJ470" i="9"/>
  <c r="AJ469" i="9"/>
  <c r="AJ468" i="9"/>
  <c r="AJ467" i="9"/>
  <c r="AJ466" i="9"/>
  <c r="AJ465" i="9"/>
  <c r="AJ464" i="9"/>
  <c r="AJ463" i="9"/>
  <c r="AJ462" i="9"/>
  <c r="AJ461" i="9"/>
  <c r="AJ460" i="9"/>
  <c r="AJ459" i="9"/>
  <c r="AJ458" i="9"/>
  <c r="AJ457" i="9"/>
  <c r="AJ456" i="9"/>
  <c r="AJ455" i="9"/>
  <c r="AJ454" i="9"/>
  <c r="AJ453" i="9"/>
  <c r="AJ452" i="9"/>
  <c r="AJ451" i="9"/>
  <c r="AJ450" i="9"/>
  <c r="AJ449" i="9"/>
  <c r="AJ448" i="9"/>
  <c r="AJ447" i="9"/>
  <c r="AJ446" i="9"/>
  <c r="AJ445" i="9"/>
  <c r="AJ444" i="9"/>
  <c r="AJ443" i="9"/>
  <c r="AJ442" i="9"/>
  <c r="AJ441" i="9"/>
  <c r="AJ440" i="9"/>
  <c r="AJ439" i="9"/>
  <c r="AJ438" i="9"/>
  <c r="AJ437" i="9"/>
  <c r="AJ436" i="9"/>
  <c r="AJ435" i="9"/>
  <c r="AJ434" i="9"/>
  <c r="AJ433" i="9"/>
  <c r="AJ432" i="9"/>
  <c r="AJ431" i="9"/>
  <c r="AJ430" i="9"/>
  <c r="AJ429" i="9"/>
  <c r="AJ428" i="9"/>
  <c r="AJ427" i="9"/>
  <c r="AJ426" i="9"/>
  <c r="AJ425" i="9"/>
  <c r="AJ424" i="9"/>
  <c r="AJ423" i="9"/>
  <c r="AJ422" i="9"/>
  <c r="AJ421" i="9"/>
  <c r="AJ420" i="9"/>
  <c r="AJ419" i="9"/>
  <c r="AJ418" i="9"/>
  <c r="AJ417" i="9"/>
  <c r="AJ416" i="9"/>
  <c r="AJ415" i="9"/>
  <c r="AJ414" i="9"/>
  <c r="AJ413" i="9"/>
  <c r="AJ412" i="9"/>
  <c r="AJ411" i="9"/>
  <c r="AJ410" i="9"/>
  <c r="AJ409" i="9"/>
  <c r="AJ408" i="9"/>
  <c r="AJ407" i="9"/>
  <c r="AJ406" i="9"/>
  <c r="AJ405" i="9"/>
  <c r="AJ404" i="9"/>
  <c r="AJ403" i="9"/>
  <c r="AJ402" i="9"/>
  <c r="AJ401" i="9"/>
  <c r="AJ400" i="9"/>
  <c r="AJ399" i="9"/>
  <c r="AJ398" i="9"/>
  <c r="AJ397" i="9"/>
  <c r="AJ396" i="9"/>
  <c r="AJ395" i="9"/>
  <c r="AJ394" i="9"/>
  <c r="AJ393" i="9"/>
  <c r="AJ392" i="9"/>
  <c r="AJ391" i="9"/>
  <c r="AJ390" i="9"/>
  <c r="AJ389" i="9"/>
  <c r="AJ388" i="9"/>
  <c r="AJ387" i="9"/>
  <c r="AJ386" i="9"/>
  <c r="AJ385" i="9"/>
  <c r="AJ384" i="9"/>
  <c r="AJ383" i="9"/>
  <c r="AJ382" i="9"/>
  <c r="AJ381" i="9"/>
  <c r="AJ380" i="9"/>
  <c r="AJ379" i="9"/>
  <c r="AJ378" i="9"/>
  <c r="AJ377" i="9"/>
  <c r="AJ376" i="9"/>
  <c r="AJ375" i="9"/>
  <c r="AJ374" i="9"/>
  <c r="AJ373" i="9"/>
  <c r="AJ372" i="9"/>
  <c r="AJ371" i="9"/>
  <c r="AJ370" i="9"/>
  <c r="AJ369" i="9"/>
  <c r="AJ368" i="9"/>
  <c r="AJ367" i="9"/>
  <c r="AJ366" i="9"/>
  <c r="AJ365" i="9"/>
  <c r="AJ364" i="9"/>
  <c r="AJ363" i="9"/>
  <c r="AJ362" i="9"/>
  <c r="AJ361" i="9"/>
  <c r="AJ360" i="9"/>
  <c r="AJ359" i="9"/>
  <c r="AJ358" i="9"/>
  <c r="AJ357" i="9"/>
  <c r="AJ356" i="9"/>
  <c r="AJ355" i="9"/>
  <c r="AJ354" i="9"/>
  <c r="AJ353" i="9"/>
  <c r="AJ352" i="9"/>
  <c r="AJ351" i="9"/>
  <c r="AJ350" i="9"/>
  <c r="AJ349" i="9"/>
  <c r="AJ348" i="9"/>
  <c r="AJ347" i="9"/>
  <c r="AJ346" i="9"/>
  <c r="AJ345" i="9"/>
  <c r="AJ344" i="9"/>
  <c r="AJ343" i="9"/>
  <c r="AJ342" i="9"/>
  <c r="AJ341" i="9"/>
  <c r="AJ340" i="9"/>
  <c r="AJ339" i="9"/>
  <c r="AJ338" i="9"/>
  <c r="AJ337" i="9"/>
  <c r="AJ336" i="9"/>
  <c r="AJ335" i="9"/>
  <c r="AJ334" i="9"/>
  <c r="AJ333" i="9"/>
  <c r="AJ332" i="9"/>
  <c r="AJ331" i="9"/>
  <c r="AJ330" i="9"/>
  <c r="AJ329" i="9"/>
  <c r="AJ328" i="9"/>
  <c r="AJ327" i="9"/>
  <c r="AJ326" i="9"/>
  <c r="AJ325" i="9"/>
  <c r="AJ324" i="9"/>
  <c r="AJ323" i="9"/>
  <c r="AJ322" i="9"/>
  <c r="AJ321" i="9"/>
  <c r="AJ320" i="9"/>
  <c r="AJ319" i="9"/>
  <c r="AJ318" i="9"/>
  <c r="AJ317" i="9"/>
  <c r="AJ316" i="9"/>
  <c r="AJ315" i="9"/>
  <c r="AJ314" i="9"/>
  <c r="AJ313" i="9"/>
  <c r="AJ312" i="9"/>
  <c r="AJ311" i="9"/>
  <c r="AJ310" i="9"/>
  <c r="AJ309" i="9"/>
  <c r="AJ308" i="9"/>
  <c r="AJ307" i="9"/>
  <c r="AJ306" i="9"/>
  <c r="AJ305" i="9"/>
  <c r="AJ304" i="9"/>
  <c r="AJ303" i="9"/>
  <c r="AJ302" i="9"/>
  <c r="AJ301" i="9"/>
  <c r="AJ300" i="9"/>
  <c r="AJ299" i="9"/>
  <c r="AJ298" i="9"/>
  <c r="AJ297" i="9"/>
  <c r="AJ296" i="9"/>
  <c r="AJ295" i="9"/>
  <c r="AJ294" i="9"/>
  <c r="AJ293" i="9"/>
  <c r="AJ292" i="9"/>
  <c r="AJ291" i="9"/>
  <c r="AJ290" i="9"/>
  <c r="AJ289" i="9"/>
  <c r="AJ288" i="9"/>
  <c r="AJ287" i="9"/>
  <c r="AJ286" i="9"/>
  <c r="AJ285" i="9"/>
  <c r="BB185" i="9" l="1"/>
  <c r="BB205" i="9"/>
  <c r="W417" i="9"/>
  <c r="W409" i="9"/>
  <c r="Z369" i="9"/>
  <c r="Z377" i="9"/>
  <c r="W423" i="9"/>
  <c r="W407" i="9"/>
  <c r="Z379" i="9"/>
  <c r="Z365" i="9"/>
  <c r="Z381" i="9"/>
  <c r="W412" i="9"/>
  <c r="Z374" i="9"/>
  <c r="Z375" i="9"/>
  <c r="W410" i="9"/>
  <c r="Z368" i="9"/>
  <c r="W424" i="9"/>
  <c r="W416" i="9"/>
  <c r="W408" i="9"/>
  <c r="Z370" i="9"/>
  <c r="Z378" i="9"/>
  <c r="W415" i="9"/>
  <c r="Z371" i="9"/>
  <c r="Z382" i="9"/>
  <c r="W419" i="9"/>
  <c r="Z367" i="9"/>
  <c r="Z376" i="9"/>
  <c r="W422" i="9"/>
  <c r="W414" i="9"/>
  <c r="W406" i="9"/>
  <c r="Z372" i="9"/>
  <c r="Z380" i="9"/>
  <c r="W421" i="9"/>
  <c r="W413" i="9"/>
  <c r="W405" i="9"/>
  <c r="Z373" i="9"/>
  <c r="W420" i="9"/>
  <c r="Z366" i="9"/>
  <c r="W411" i="9"/>
  <c r="Z383" i="9"/>
  <c r="W418" i="9"/>
  <c r="Z384" i="9"/>
  <c r="AW223" i="9"/>
  <c r="AW224" i="9"/>
  <c r="Z385" i="9"/>
  <c r="Z393" i="9"/>
  <c r="Z401" i="9"/>
  <c r="Z387" i="9"/>
  <c r="Z403" i="9"/>
  <c r="Z389" i="9"/>
  <c r="Z390" i="9"/>
  <c r="Z399" i="9"/>
  <c r="Z400" i="9"/>
  <c r="Z386" i="9"/>
  <c r="Z394" i="9"/>
  <c r="Z402" i="9"/>
  <c r="Z395" i="9"/>
  <c r="Z388" i="9"/>
  <c r="Z396" i="9"/>
  <c r="Z404" i="9"/>
  <c r="Z397" i="9"/>
  <c r="Z398" i="9"/>
  <c r="Z391" i="9"/>
  <c r="Z392" i="9"/>
  <c r="Z409" i="9"/>
  <c r="Z417" i="9"/>
  <c r="Z420" i="9"/>
  <c r="Z405" i="9"/>
  <c r="Z406" i="9"/>
  <c r="Z415" i="9"/>
  <c r="Z408" i="9"/>
  <c r="Z410" i="9"/>
  <c r="Z418" i="9"/>
  <c r="Z412" i="9"/>
  <c r="Z421" i="9"/>
  <c r="Z414" i="9"/>
  <c r="Z424" i="9"/>
  <c r="Z411" i="9"/>
  <c r="Z419" i="9"/>
  <c r="Z413" i="9"/>
  <c r="Z422" i="9"/>
  <c r="Z407" i="9"/>
  <c r="Z423" i="9"/>
  <c r="Z416" i="9"/>
  <c r="AW220" i="9"/>
  <c r="AR223" i="9"/>
  <c r="AW217" i="9"/>
  <c r="AR224" i="9"/>
  <c r="AW216" i="9"/>
  <c r="AW221" i="9"/>
  <c r="AW218" i="9"/>
  <c r="AW219" i="9"/>
  <c r="AW222" i="9"/>
  <c r="Z358" i="9"/>
  <c r="Z351" i="9"/>
  <c r="Z359" i="9"/>
  <c r="Z362" i="9"/>
  <c r="Z363" i="9"/>
  <c r="Z357" i="9"/>
  <c r="Z350" i="9"/>
  <c r="Z352" i="9"/>
  <c r="Z360" i="9"/>
  <c r="Z354" i="9"/>
  <c r="Z347" i="9"/>
  <c r="Z356" i="9"/>
  <c r="Z349" i="9"/>
  <c r="Z345" i="9"/>
  <c r="Z353" i="9"/>
  <c r="Z361" i="9"/>
  <c r="Z346" i="9"/>
  <c r="Z355" i="9"/>
  <c r="Z348" i="9"/>
  <c r="Z364" i="9"/>
  <c r="Z329" i="9"/>
  <c r="Z337" i="9"/>
  <c r="Z331" i="9"/>
  <c r="Z332" i="9"/>
  <c r="Z333" i="9"/>
  <c r="Z326" i="9"/>
  <c r="Z343" i="9"/>
  <c r="Z328" i="9"/>
  <c r="Z330" i="9"/>
  <c r="Z338" i="9"/>
  <c r="Z339" i="9"/>
  <c r="Z340" i="9"/>
  <c r="Z325" i="9"/>
  <c r="Z342" i="9"/>
  <c r="Z335" i="9"/>
  <c r="Z344" i="9"/>
  <c r="Z341" i="9"/>
  <c r="Z334" i="9"/>
  <c r="Z327" i="9"/>
  <c r="Z336" i="9"/>
  <c r="Z89" i="9"/>
  <c r="Z97" i="9"/>
  <c r="Z102" i="9"/>
  <c r="Z95" i="9"/>
  <c r="Z88" i="9"/>
  <c r="Z90" i="9"/>
  <c r="Z98" i="9"/>
  <c r="Z91" i="9"/>
  <c r="Z99" i="9"/>
  <c r="Z94" i="9"/>
  <c r="Z103" i="9"/>
  <c r="Z96" i="9"/>
  <c r="Z92" i="9"/>
  <c r="Z100" i="9"/>
  <c r="Z85" i="9"/>
  <c r="Z93" i="9"/>
  <c r="Z101" i="9"/>
  <c r="Z86" i="9"/>
  <c r="Z87" i="9"/>
  <c r="Z104" i="9"/>
  <c r="W101" i="9"/>
  <c r="W93" i="9"/>
  <c r="W85" i="9"/>
  <c r="Z109" i="9"/>
  <c r="Z117" i="9"/>
  <c r="W91" i="9"/>
  <c r="Z119" i="9"/>
  <c r="Z106" i="9"/>
  <c r="W95" i="9"/>
  <c r="W86" i="9"/>
  <c r="W100" i="9"/>
  <c r="W92" i="9"/>
  <c r="Z110" i="9"/>
  <c r="Z118" i="9"/>
  <c r="W99" i="9"/>
  <c r="Z111" i="9"/>
  <c r="W88" i="9"/>
  <c r="W87" i="9"/>
  <c r="Z107" i="9"/>
  <c r="W94" i="9"/>
  <c r="Z108" i="9"/>
  <c r="W98" i="9"/>
  <c r="W90" i="9"/>
  <c r="Z112" i="9"/>
  <c r="Z120" i="9"/>
  <c r="W97" i="9"/>
  <c r="Z105" i="9"/>
  <c r="Z121" i="9"/>
  <c r="W104" i="9"/>
  <c r="Z122" i="9"/>
  <c r="W103" i="9"/>
  <c r="Z115" i="9"/>
  <c r="Z116" i="9"/>
  <c r="W89" i="9"/>
  <c r="Z113" i="9"/>
  <c r="W96" i="9"/>
  <c r="Z114" i="9"/>
  <c r="Z123" i="9"/>
  <c r="W102" i="9"/>
  <c r="Z124" i="9"/>
  <c r="AR222" i="9"/>
  <c r="AR217" i="9"/>
  <c r="AR212" i="9"/>
  <c r="AR206" i="9"/>
  <c r="AR219" i="9"/>
  <c r="AR213" i="9"/>
  <c r="AR208" i="9"/>
  <c r="AR209" i="9"/>
  <c r="AR221" i="9"/>
  <c r="AR211" i="9"/>
  <c r="AR218" i="9"/>
  <c r="AR207" i="9"/>
  <c r="AR215" i="9"/>
  <c r="AR210" i="9"/>
  <c r="AR205" i="9"/>
  <c r="AR216" i="9"/>
  <c r="AR220" i="9"/>
  <c r="AR214" i="9"/>
  <c r="W357" i="9"/>
  <c r="W349" i="9"/>
  <c r="W354" i="9"/>
  <c r="W353" i="9"/>
  <c r="W350" i="9"/>
  <c r="W364" i="9"/>
  <c r="W356" i="9"/>
  <c r="W348" i="9"/>
  <c r="W346" i="9"/>
  <c r="W361" i="9"/>
  <c r="W352" i="9"/>
  <c r="W359" i="9"/>
  <c r="W358" i="9"/>
  <c r="W363" i="9"/>
  <c r="W355" i="9"/>
  <c r="W347" i="9"/>
  <c r="W362" i="9"/>
  <c r="W345" i="9"/>
  <c r="W360" i="9"/>
  <c r="W351" i="9"/>
  <c r="W341" i="9"/>
  <c r="W333" i="9"/>
  <c r="W325" i="9"/>
  <c r="W339" i="9"/>
  <c r="W328" i="9"/>
  <c r="W343" i="9"/>
  <c r="W342" i="9"/>
  <c r="W340" i="9"/>
  <c r="W332" i="9"/>
  <c r="W331" i="9"/>
  <c r="W336" i="9"/>
  <c r="W327" i="9"/>
  <c r="W334" i="9"/>
  <c r="W338" i="9"/>
  <c r="W330" i="9"/>
  <c r="W337" i="9"/>
  <c r="W329" i="9"/>
  <c r="W344" i="9"/>
  <c r="W335" i="9"/>
  <c r="W326" i="9"/>
  <c r="W121" i="9"/>
  <c r="W113" i="9"/>
  <c r="W105" i="9"/>
  <c r="W118" i="9"/>
  <c r="W120" i="9"/>
  <c r="W112" i="9"/>
  <c r="W117" i="9"/>
  <c r="W106" i="9"/>
  <c r="W119" i="9"/>
  <c r="W111" i="9"/>
  <c r="W110" i="9"/>
  <c r="W109" i="9"/>
  <c r="W114" i="9"/>
  <c r="W124" i="9"/>
  <c r="W116" i="9"/>
  <c r="W108" i="9"/>
  <c r="W123" i="9"/>
  <c r="W115" i="9"/>
  <c r="W107" i="9"/>
  <c r="W122" i="9"/>
  <c r="W401" i="9"/>
  <c r="W393" i="9"/>
  <c r="W385" i="9"/>
  <c r="W399" i="9"/>
  <c r="W388" i="9"/>
  <c r="W387" i="9"/>
  <c r="W394" i="9"/>
  <c r="W400" i="9"/>
  <c r="W392" i="9"/>
  <c r="W391" i="9"/>
  <c r="W396" i="9"/>
  <c r="W395" i="9"/>
  <c r="W398" i="9"/>
  <c r="W390" i="9"/>
  <c r="W397" i="9"/>
  <c r="W389" i="9"/>
  <c r="W404" i="9"/>
  <c r="W403" i="9"/>
  <c r="W402" i="9"/>
  <c r="W386" i="9"/>
  <c r="Z170" i="9"/>
  <c r="Z178" i="9"/>
  <c r="Z181" i="9"/>
  <c r="Z182" i="9"/>
  <c r="Z183" i="9"/>
  <c r="Z168" i="9"/>
  <c r="Z169" i="9"/>
  <c r="Z171" i="9"/>
  <c r="Z179" i="9"/>
  <c r="Z165" i="9"/>
  <c r="Z174" i="9"/>
  <c r="Z175" i="9"/>
  <c r="Z184" i="9"/>
  <c r="Z177" i="9"/>
  <c r="Z172" i="9"/>
  <c r="Z180" i="9"/>
  <c r="Z173" i="9"/>
  <c r="Z166" i="9"/>
  <c r="Z167" i="9"/>
  <c r="Z176" i="9"/>
  <c r="AH66" i="9"/>
  <c r="AH83" i="9"/>
  <c r="AW197" i="9"/>
  <c r="AR203" i="9"/>
  <c r="AW201" i="9"/>
  <c r="AW199" i="9"/>
  <c r="AW202" i="9"/>
  <c r="AW200" i="9"/>
  <c r="AW198" i="9"/>
  <c r="AW196" i="9"/>
  <c r="AR204" i="9"/>
  <c r="AR195" i="9"/>
  <c r="AR187" i="9"/>
  <c r="AR201" i="9"/>
  <c r="AR193" i="9"/>
  <c r="AR185" i="9"/>
  <c r="AR200" i="9"/>
  <c r="AR198" i="9"/>
  <c r="AR196" i="9"/>
  <c r="AR190" i="9"/>
  <c r="AR188" i="9"/>
  <c r="AR202" i="9"/>
  <c r="AR194" i="9"/>
  <c r="AR186" i="9"/>
  <c r="AR197" i="9"/>
  <c r="AR189" i="9"/>
  <c r="AR199" i="9"/>
  <c r="AR191" i="9"/>
  <c r="AR192" i="9"/>
  <c r="AW203" i="9"/>
  <c r="AW204" i="9"/>
  <c r="AH69" i="9"/>
  <c r="AH80" i="9"/>
  <c r="AH78" i="9"/>
  <c r="AH70" i="9"/>
  <c r="AH73" i="9"/>
  <c r="AW79" i="9"/>
  <c r="AW81" i="9"/>
  <c r="AW80" i="9"/>
  <c r="AW82" i="9"/>
  <c r="AW83" i="9"/>
  <c r="AW84" i="9"/>
  <c r="AW78" i="9"/>
  <c r="BG565" i="9"/>
  <c r="BG545" i="9"/>
  <c r="BG585" i="9"/>
  <c r="AR379" i="9"/>
  <c r="AR381" i="9"/>
  <c r="AR383" i="9"/>
  <c r="AR380" i="9"/>
  <c r="AR384" i="9"/>
  <c r="AR382" i="9"/>
  <c r="AW103" i="9"/>
  <c r="AW119" i="9"/>
  <c r="AW241" i="9"/>
  <c r="AW283" i="9"/>
  <c r="AW102" i="9"/>
  <c r="AW104" i="9"/>
  <c r="AW120" i="9"/>
  <c r="AW240" i="9"/>
  <c r="AW121" i="9"/>
  <c r="AW99" i="9"/>
  <c r="AW100" i="9"/>
  <c r="AW244" i="9"/>
  <c r="AW284" i="9"/>
  <c r="AW122" i="9"/>
  <c r="AW242" i="9"/>
  <c r="AW282" i="9"/>
  <c r="AW123" i="9"/>
  <c r="AW243" i="9"/>
  <c r="AW124" i="9"/>
  <c r="AW101" i="9"/>
  <c r="BB45" i="9"/>
  <c r="BB85" i="9"/>
  <c r="BB125" i="9"/>
  <c r="BB165" i="9"/>
  <c r="BB245" i="9"/>
  <c r="BB285" i="9"/>
  <c r="BB325" i="9"/>
  <c r="BB365" i="9"/>
  <c r="BB385" i="9"/>
  <c r="BB425" i="9"/>
  <c r="BB465" i="9"/>
  <c r="BB505" i="9"/>
  <c r="BB545" i="9"/>
  <c r="BB585" i="9"/>
  <c r="BB5" i="9"/>
  <c r="BB25" i="9"/>
  <c r="BB65" i="9"/>
  <c r="BB105" i="9"/>
  <c r="BB145" i="9"/>
  <c r="BB225" i="9"/>
  <c r="BB265" i="9"/>
  <c r="BB305" i="9"/>
  <c r="BB345" i="9"/>
  <c r="BB405" i="9"/>
  <c r="BB445" i="9"/>
  <c r="BB485" i="9"/>
  <c r="BB525" i="9"/>
  <c r="BB565" i="9"/>
  <c r="AW87" i="9"/>
  <c r="AW95" i="9"/>
  <c r="AW111" i="9"/>
  <c r="AW231" i="9"/>
  <c r="AW239" i="9"/>
  <c r="AW271" i="9"/>
  <c r="AW279" i="9"/>
  <c r="AW113" i="9"/>
  <c r="AW225" i="9"/>
  <c r="AW273" i="9"/>
  <c r="AW91" i="9"/>
  <c r="AW107" i="9"/>
  <c r="AW115" i="9"/>
  <c r="AW227" i="9"/>
  <c r="AW267" i="9"/>
  <c r="AW92" i="9"/>
  <c r="AW108" i="9"/>
  <c r="AW116" i="9"/>
  <c r="AW236" i="9"/>
  <c r="AW276" i="9"/>
  <c r="AW93" i="9"/>
  <c r="AW117" i="9"/>
  <c r="AW229" i="9"/>
  <c r="AW86" i="9"/>
  <c r="AW278" i="9"/>
  <c r="AW88" i="9"/>
  <c r="AW96" i="9"/>
  <c r="AW112" i="9"/>
  <c r="AW232" i="9"/>
  <c r="AW272" i="9"/>
  <c r="AW280" i="9"/>
  <c r="AW89" i="9"/>
  <c r="AW97" i="9"/>
  <c r="AW105" i="9"/>
  <c r="AW233" i="9"/>
  <c r="AW265" i="9"/>
  <c r="AW281" i="9"/>
  <c r="AW235" i="9"/>
  <c r="AW275" i="9"/>
  <c r="AW85" i="9"/>
  <c r="AW109" i="9"/>
  <c r="AW277" i="9"/>
  <c r="AW94" i="9"/>
  <c r="AW110" i="9"/>
  <c r="AW230" i="9"/>
  <c r="AW90" i="9"/>
  <c r="AW98" i="9"/>
  <c r="AW106" i="9"/>
  <c r="AW114" i="9"/>
  <c r="AW226" i="9"/>
  <c r="AW234" i="9"/>
  <c r="AW266" i="9"/>
  <c r="AW274" i="9"/>
  <c r="AW228" i="9"/>
  <c r="AW268" i="9"/>
  <c r="AW237" i="9"/>
  <c r="AW269" i="9"/>
  <c r="AW118" i="9"/>
  <c r="AW238" i="9"/>
  <c r="AW270" i="9"/>
  <c r="BG485" i="9"/>
  <c r="BG465" i="9"/>
  <c r="BG505" i="9"/>
  <c r="AW71" i="9"/>
  <c r="AW65" i="9"/>
  <c r="AW67" i="9"/>
  <c r="AW68" i="9"/>
  <c r="AW77" i="9"/>
  <c r="AW72" i="9"/>
  <c r="AW73" i="9"/>
  <c r="AW75" i="9"/>
  <c r="AW76" i="9"/>
  <c r="AW70" i="9"/>
  <c r="AW66" i="9"/>
  <c r="AW74" i="9"/>
  <c r="AW69" i="9"/>
  <c r="AW329" i="9"/>
  <c r="AW337" i="9"/>
  <c r="AW345" i="9"/>
  <c r="AW353" i="9"/>
  <c r="AW361" i="9"/>
  <c r="AW389" i="9"/>
  <c r="AW397" i="9"/>
  <c r="AW330" i="9"/>
  <c r="AW338" i="9"/>
  <c r="AW346" i="9"/>
  <c r="AW354" i="9"/>
  <c r="AW362" i="9"/>
  <c r="AW390" i="9"/>
  <c r="AW398" i="9"/>
  <c r="AW331" i="9"/>
  <c r="AW339" i="9"/>
  <c r="AW347" i="9"/>
  <c r="AW355" i="9"/>
  <c r="AW363" i="9"/>
  <c r="AW391" i="9"/>
  <c r="AW399" i="9"/>
  <c r="AW332" i="9"/>
  <c r="AW340" i="9"/>
  <c r="AW348" i="9"/>
  <c r="AW356" i="9"/>
  <c r="AW364" i="9"/>
  <c r="AW392" i="9"/>
  <c r="AW400" i="9"/>
  <c r="AW325" i="9"/>
  <c r="AW333" i="9"/>
  <c r="AW341" i="9"/>
  <c r="AW349" i="9"/>
  <c r="AW357" i="9"/>
  <c r="AW385" i="9"/>
  <c r="AW393" i="9"/>
  <c r="AW401" i="9"/>
  <c r="AW326" i="9"/>
  <c r="AW334" i="9"/>
  <c r="AW342" i="9"/>
  <c r="AW350" i="9"/>
  <c r="AW358" i="9"/>
  <c r="AW386" i="9"/>
  <c r="AW394" i="9"/>
  <c r="AW402" i="9"/>
  <c r="AW327" i="9"/>
  <c r="AW335" i="9"/>
  <c r="AW343" i="9"/>
  <c r="AW351" i="9"/>
  <c r="AW359" i="9"/>
  <c r="AW387" i="9"/>
  <c r="AW395" i="9"/>
  <c r="AW403" i="9"/>
  <c r="AW360" i="9"/>
  <c r="AW388" i="9"/>
  <c r="AW396" i="9"/>
  <c r="AW404" i="9"/>
  <c r="AW328" i="9"/>
  <c r="AW336" i="9"/>
  <c r="AW344" i="9"/>
  <c r="AW352" i="9"/>
  <c r="AW405" i="9"/>
  <c r="AW413" i="9"/>
  <c r="AW421" i="9"/>
  <c r="AW406" i="9"/>
  <c r="AW414" i="9"/>
  <c r="AW422" i="9"/>
  <c r="AW407" i="9"/>
  <c r="AW415" i="9"/>
  <c r="AW423" i="9"/>
  <c r="AW408" i="9"/>
  <c r="AW416" i="9"/>
  <c r="AW424" i="9"/>
  <c r="AW409" i="9"/>
  <c r="AW417" i="9"/>
  <c r="AW410" i="9"/>
  <c r="AW411" i="9"/>
  <c r="AW419" i="9"/>
  <c r="AW412" i="9"/>
  <c r="AW420" i="9"/>
  <c r="AR127" i="9"/>
  <c r="AR135" i="9"/>
  <c r="AR143" i="9"/>
  <c r="AR327" i="9"/>
  <c r="AR335" i="9"/>
  <c r="AR343" i="9"/>
  <c r="AR435" i="9"/>
  <c r="AR443" i="9"/>
  <c r="AR130" i="9"/>
  <c r="AR338" i="9"/>
  <c r="AR128" i="9"/>
  <c r="AR136" i="9"/>
  <c r="AR144" i="9"/>
  <c r="AR328" i="9"/>
  <c r="AR336" i="9"/>
  <c r="AR344" i="9"/>
  <c r="AR436" i="9"/>
  <c r="AR444" i="9"/>
  <c r="AR330" i="9"/>
  <c r="AR129" i="9"/>
  <c r="AR137" i="9"/>
  <c r="AR329" i="9"/>
  <c r="AR337" i="9"/>
  <c r="AR437" i="9"/>
  <c r="AR138" i="9"/>
  <c r="AR438" i="9"/>
  <c r="AR131" i="9"/>
  <c r="AR139" i="9"/>
  <c r="AR331" i="9"/>
  <c r="AR339" i="9"/>
  <c r="AR439" i="9"/>
  <c r="AR126" i="9"/>
  <c r="AR340" i="9"/>
  <c r="AR442" i="9"/>
  <c r="AR134" i="9"/>
  <c r="AR432" i="9"/>
  <c r="AR326" i="9"/>
  <c r="AR433" i="9"/>
  <c r="AR334" i="9"/>
  <c r="AR132" i="9"/>
  <c r="AR341" i="9"/>
  <c r="AR133" i="9"/>
  <c r="AR342" i="9"/>
  <c r="AR325" i="9"/>
  <c r="AR140" i="9"/>
  <c r="AR141" i="9"/>
  <c r="AR332" i="9"/>
  <c r="AR434" i="9"/>
  <c r="AR142" i="9"/>
  <c r="AR333" i="9"/>
  <c r="AR440" i="9"/>
  <c r="AR125" i="9"/>
  <c r="AR441" i="9"/>
  <c r="AR151" i="9"/>
  <c r="AR159" i="9"/>
  <c r="AR167" i="9"/>
  <c r="AR175" i="9"/>
  <c r="AR183" i="9"/>
  <c r="AR231" i="9"/>
  <c r="AR239" i="9"/>
  <c r="AR247" i="9"/>
  <c r="AR255" i="9"/>
  <c r="AR263" i="9"/>
  <c r="AR271" i="9"/>
  <c r="AR279" i="9"/>
  <c r="AR287" i="9"/>
  <c r="AR295" i="9"/>
  <c r="AR303" i="9"/>
  <c r="AR311" i="9"/>
  <c r="AR319" i="9"/>
  <c r="AR451" i="9"/>
  <c r="AR459" i="9"/>
  <c r="AR467" i="9"/>
  <c r="AR475" i="9"/>
  <c r="AR483" i="9"/>
  <c r="AR491" i="9"/>
  <c r="AR499" i="9"/>
  <c r="AR507" i="9"/>
  <c r="AR515" i="9"/>
  <c r="AR523" i="9"/>
  <c r="AR531" i="9"/>
  <c r="AR539" i="9"/>
  <c r="AR547" i="9"/>
  <c r="AR555" i="9"/>
  <c r="AR563" i="9"/>
  <c r="AR571" i="9"/>
  <c r="AR579" i="9"/>
  <c r="AR587" i="9"/>
  <c r="AR595" i="9"/>
  <c r="AR603" i="9"/>
  <c r="AR154" i="9"/>
  <c r="AR178" i="9"/>
  <c r="AR242" i="9"/>
  <c r="AR266" i="9"/>
  <c r="AR290" i="9"/>
  <c r="AR314" i="9"/>
  <c r="AR454" i="9"/>
  <c r="AR478" i="9"/>
  <c r="AR502" i="9"/>
  <c r="AR526" i="9"/>
  <c r="AR152" i="9"/>
  <c r="AR160" i="9"/>
  <c r="AR168" i="9"/>
  <c r="AR176" i="9"/>
  <c r="AR184" i="9"/>
  <c r="AR232" i="9"/>
  <c r="AR240" i="9"/>
  <c r="AR248" i="9"/>
  <c r="AR256" i="9"/>
  <c r="AR264" i="9"/>
  <c r="AR272" i="9"/>
  <c r="AR280" i="9"/>
  <c r="AR288" i="9"/>
  <c r="AR296" i="9"/>
  <c r="AR304" i="9"/>
  <c r="AR312" i="9"/>
  <c r="AR320" i="9"/>
  <c r="AR452" i="9"/>
  <c r="AR460" i="9"/>
  <c r="AR468" i="9"/>
  <c r="AR476" i="9"/>
  <c r="AR484" i="9"/>
  <c r="AR492" i="9"/>
  <c r="AR500" i="9"/>
  <c r="AR508" i="9"/>
  <c r="AR516" i="9"/>
  <c r="AR524" i="9"/>
  <c r="AR532" i="9"/>
  <c r="AR540" i="9"/>
  <c r="AR548" i="9"/>
  <c r="AR556" i="9"/>
  <c r="AR564" i="9"/>
  <c r="AR572" i="9"/>
  <c r="AR580" i="9"/>
  <c r="AR588" i="9"/>
  <c r="AR596" i="9"/>
  <c r="AR604" i="9"/>
  <c r="AR146" i="9"/>
  <c r="AR170" i="9"/>
  <c r="AR234" i="9"/>
  <c r="AR258" i="9"/>
  <c r="AR282" i="9"/>
  <c r="AR306" i="9"/>
  <c r="AR446" i="9"/>
  <c r="AR462" i="9"/>
  <c r="AR486" i="9"/>
  <c r="AR510" i="9"/>
  <c r="AR534" i="9"/>
  <c r="AR145" i="9"/>
  <c r="AR153" i="9"/>
  <c r="AR161" i="9"/>
  <c r="AR169" i="9"/>
  <c r="AR177" i="9"/>
  <c r="AR225" i="9"/>
  <c r="AR233" i="9"/>
  <c r="AR241" i="9"/>
  <c r="AR249" i="9"/>
  <c r="AR257" i="9"/>
  <c r="AR265" i="9"/>
  <c r="AR273" i="9"/>
  <c r="AR281" i="9"/>
  <c r="AR289" i="9"/>
  <c r="AR297" i="9"/>
  <c r="AR305" i="9"/>
  <c r="AR313" i="9"/>
  <c r="AR321" i="9"/>
  <c r="AR445" i="9"/>
  <c r="AR453" i="9"/>
  <c r="AR461" i="9"/>
  <c r="AR469" i="9"/>
  <c r="AR477" i="9"/>
  <c r="AR485" i="9"/>
  <c r="AR493" i="9"/>
  <c r="AR501" i="9"/>
  <c r="AR509" i="9"/>
  <c r="AR517" i="9"/>
  <c r="AR525" i="9"/>
  <c r="AR533" i="9"/>
  <c r="AR541" i="9"/>
  <c r="AR549" i="9"/>
  <c r="AR557" i="9"/>
  <c r="AR565" i="9"/>
  <c r="AR573" i="9"/>
  <c r="AR581" i="9"/>
  <c r="AR589" i="9"/>
  <c r="AR597" i="9"/>
  <c r="AR162" i="9"/>
  <c r="AR226" i="9"/>
  <c r="AR250" i="9"/>
  <c r="AR274" i="9"/>
  <c r="AR298" i="9"/>
  <c r="AR322" i="9"/>
  <c r="AR470" i="9"/>
  <c r="AR494" i="9"/>
  <c r="AR518" i="9"/>
  <c r="AR147" i="9"/>
  <c r="AR155" i="9"/>
  <c r="AR163" i="9"/>
  <c r="AR171" i="9"/>
  <c r="AR179" i="9"/>
  <c r="AR227" i="9"/>
  <c r="AR235" i="9"/>
  <c r="AR243" i="9"/>
  <c r="AR251" i="9"/>
  <c r="AR259" i="9"/>
  <c r="AR267" i="9"/>
  <c r="AR275" i="9"/>
  <c r="AR283" i="9"/>
  <c r="AR291" i="9"/>
  <c r="AR299" i="9"/>
  <c r="AR307" i="9"/>
  <c r="AR315" i="9"/>
  <c r="AR323" i="9"/>
  <c r="AR447" i="9"/>
  <c r="AR455" i="9"/>
  <c r="AR463" i="9"/>
  <c r="AR471" i="9"/>
  <c r="AR479" i="9"/>
  <c r="AR487" i="9"/>
  <c r="AR495" i="9"/>
  <c r="AR503" i="9"/>
  <c r="AR511" i="9"/>
  <c r="AR519" i="9"/>
  <c r="AR527" i="9"/>
  <c r="AR535" i="9"/>
  <c r="AR543" i="9"/>
  <c r="AR551" i="9"/>
  <c r="AR559" i="9"/>
  <c r="AR567" i="9"/>
  <c r="AR575" i="9"/>
  <c r="AR583" i="9"/>
  <c r="AR591" i="9"/>
  <c r="AR599" i="9"/>
  <c r="AR149" i="9"/>
  <c r="AR172" i="9"/>
  <c r="AR230" i="9"/>
  <c r="AR253" i="9"/>
  <c r="AR276" i="9"/>
  <c r="AR294" i="9"/>
  <c r="AR317" i="9"/>
  <c r="AR465" i="9"/>
  <c r="AR488" i="9"/>
  <c r="AR506" i="9"/>
  <c r="AR529" i="9"/>
  <c r="AR546" i="9"/>
  <c r="AR562" i="9"/>
  <c r="AR578" i="9"/>
  <c r="AR594" i="9"/>
  <c r="AR550" i="9"/>
  <c r="AR598" i="9"/>
  <c r="AR238" i="9"/>
  <c r="AR302" i="9"/>
  <c r="AR514" i="9"/>
  <c r="AR569" i="9"/>
  <c r="AR158" i="9"/>
  <c r="AR262" i="9"/>
  <c r="AR497" i="9"/>
  <c r="AR554" i="9"/>
  <c r="AR602" i="9"/>
  <c r="AR505" i="9"/>
  <c r="AR577" i="9"/>
  <c r="AR150" i="9"/>
  <c r="AR173" i="9"/>
  <c r="AR236" i="9"/>
  <c r="AR254" i="9"/>
  <c r="AR277" i="9"/>
  <c r="AR300" i="9"/>
  <c r="AR318" i="9"/>
  <c r="AR448" i="9"/>
  <c r="AR466" i="9"/>
  <c r="AR489" i="9"/>
  <c r="AR512" i="9"/>
  <c r="AR530" i="9"/>
  <c r="AR566" i="9"/>
  <c r="AR582" i="9"/>
  <c r="AR180" i="9"/>
  <c r="AR284" i="9"/>
  <c r="AR473" i="9"/>
  <c r="AR537" i="9"/>
  <c r="AR585" i="9"/>
  <c r="AR181" i="9"/>
  <c r="AR285" i="9"/>
  <c r="AR474" i="9"/>
  <c r="AR538" i="9"/>
  <c r="AR586" i="9"/>
  <c r="AR316" i="9"/>
  <c r="AR482" i="9"/>
  <c r="AR561" i="9"/>
  <c r="AR156" i="9"/>
  <c r="AR174" i="9"/>
  <c r="AR237" i="9"/>
  <c r="AR260" i="9"/>
  <c r="AR278" i="9"/>
  <c r="AR301" i="9"/>
  <c r="AR324" i="9"/>
  <c r="AR449" i="9"/>
  <c r="AR472" i="9"/>
  <c r="AR490" i="9"/>
  <c r="AR513" i="9"/>
  <c r="AR536" i="9"/>
  <c r="AR552" i="9"/>
  <c r="AR568" i="9"/>
  <c r="AR584" i="9"/>
  <c r="AR600" i="9"/>
  <c r="AR157" i="9"/>
  <c r="AR261" i="9"/>
  <c r="AR450" i="9"/>
  <c r="AR496" i="9"/>
  <c r="AR553" i="9"/>
  <c r="AR601" i="9"/>
  <c r="AR244" i="9"/>
  <c r="AR308" i="9"/>
  <c r="AR456" i="9"/>
  <c r="AR520" i="9"/>
  <c r="AR570" i="9"/>
  <c r="AR464" i="9"/>
  <c r="AR545" i="9"/>
  <c r="AR164" i="9"/>
  <c r="AR182" i="9"/>
  <c r="AR245" i="9"/>
  <c r="AR268" i="9"/>
  <c r="AR286" i="9"/>
  <c r="AR309" i="9"/>
  <c r="AR457" i="9"/>
  <c r="AR480" i="9"/>
  <c r="AR498" i="9"/>
  <c r="AR521" i="9"/>
  <c r="AR542" i="9"/>
  <c r="AR558" i="9"/>
  <c r="AR574" i="9"/>
  <c r="AR590" i="9"/>
  <c r="AR165" i="9"/>
  <c r="AR228" i="9"/>
  <c r="AR246" i="9"/>
  <c r="AR269" i="9"/>
  <c r="AR292" i="9"/>
  <c r="AR310" i="9"/>
  <c r="AR458" i="9"/>
  <c r="AR481" i="9"/>
  <c r="AR504" i="9"/>
  <c r="AR522" i="9"/>
  <c r="AR544" i="9"/>
  <c r="AR560" i="9"/>
  <c r="AR576" i="9"/>
  <c r="AR592" i="9"/>
  <c r="AR148" i="9"/>
  <c r="AR166" i="9"/>
  <c r="AR229" i="9"/>
  <c r="AR252" i="9"/>
  <c r="AR270" i="9"/>
  <c r="AR293" i="9"/>
  <c r="AR528" i="9"/>
  <c r="AR593" i="9"/>
  <c r="AR87" i="9"/>
  <c r="AR95" i="9"/>
  <c r="AR103" i="9"/>
  <c r="AR111" i="9"/>
  <c r="AR119" i="9"/>
  <c r="AR411" i="9"/>
  <c r="AR419" i="9"/>
  <c r="AR106" i="9"/>
  <c r="AR406" i="9"/>
  <c r="AR88" i="9"/>
  <c r="AR96" i="9"/>
  <c r="AR104" i="9"/>
  <c r="AR112" i="9"/>
  <c r="AR120" i="9"/>
  <c r="AR412" i="9"/>
  <c r="AR420" i="9"/>
  <c r="AR98" i="9"/>
  <c r="AR122" i="9"/>
  <c r="AR422" i="9"/>
  <c r="AR89" i="9"/>
  <c r="AR97" i="9"/>
  <c r="AR105" i="9"/>
  <c r="AR113" i="9"/>
  <c r="AR121" i="9"/>
  <c r="AR405" i="9"/>
  <c r="AR413" i="9"/>
  <c r="AR421" i="9"/>
  <c r="AR90" i="9"/>
  <c r="AR114" i="9"/>
  <c r="AR414" i="9"/>
  <c r="AR91" i="9"/>
  <c r="AR99" i="9"/>
  <c r="AR107" i="9"/>
  <c r="AR115" i="9"/>
  <c r="AR123" i="9"/>
  <c r="AR407" i="9"/>
  <c r="AR415" i="9"/>
  <c r="AR423" i="9"/>
  <c r="AR85" i="9"/>
  <c r="AR108" i="9"/>
  <c r="AR424" i="9"/>
  <c r="AR94" i="9"/>
  <c r="AR86" i="9"/>
  <c r="AR109" i="9"/>
  <c r="AR116" i="9"/>
  <c r="AR117" i="9"/>
  <c r="AR410" i="9"/>
  <c r="AR92" i="9"/>
  <c r="AR110" i="9"/>
  <c r="AR408" i="9"/>
  <c r="AR93" i="9"/>
  <c r="AR409" i="9"/>
  <c r="AR100" i="9"/>
  <c r="AR118" i="9"/>
  <c r="AR416" i="9"/>
  <c r="AR101" i="9"/>
  <c r="AR124" i="9"/>
  <c r="AR417" i="9"/>
  <c r="AR102" i="9"/>
  <c r="AR418" i="9"/>
  <c r="AR351" i="9"/>
  <c r="AR359" i="9"/>
  <c r="AR387" i="9"/>
  <c r="AR395" i="9"/>
  <c r="AR403" i="9"/>
  <c r="AR427" i="9"/>
  <c r="AR430" i="9"/>
  <c r="AR352" i="9"/>
  <c r="AR360" i="9"/>
  <c r="AR388" i="9"/>
  <c r="AR396" i="9"/>
  <c r="AR404" i="9"/>
  <c r="AR428" i="9"/>
  <c r="AR354" i="9"/>
  <c r="AR345" i="9"/>
  <c r="AR353" i="9"/>
  <c r="AR361" i="9"/>
  <c r="AR389" i="9"/>
  <c r="AR397" i="9"/>
  <c r="AR429" i="9"/>
  <c r="AR346" i="9"/>
  <c r="AR362" i="9"/>
  <c r="AR390" i="9"/>
  <c r="AR398" i="9"/>
  <c r="AR347" i="9"/>
  <c r="AR355" i="9"/>
  <c r="AR363" i="9"/>
  <c r="AR391" i="9"/>
  <c r="AR399" i="9"/>
  <c r="AR431" i="9"/>
  <c r="AR358" i="9"/>
  <c r="AR401" i="9"/>
  <c r="AR364" i="9"/>
  <c r="AR402" i="9"/>
  <c r="AR425" i="9"/>
  <c r="AR348" i="9"/>
  <c r="AR349" i="9"/>
  <c r="AR385" i="9"/>
  <c r="AR426" i="9"/>
  <c r="AR386" i="9"/>
  <c r="AR392" i="9"/>
  <c r="AR357" i="9"/>
  <c r="AR350" i="9"/>
  <c r="AR393" i="9"/>
  <c r="AR356" i="9"/>
  <c r="AR394" i="9"/>
  <c r="AR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N264" i="9"/>
  <c r="AG264" i="9" s="1"/>
  <c r="AJ264" i="9"/>
  <c r="F264" i="9"/>
  <c r="C264" i="9"/>
  <c r="BN263" i="9"/>
  <c r="AG263" i="9" s="1"/>
  <c r="AJ263" i="9"/>
  <c r="F263" i="9"/>
  <c r="C263" i="9"/>
  <c r="BN262" i="9"/>
  <c r="AG262" i="9" s="1"/>
  <c r="AJ262" i="9"/>
  <c r="F262" i="9"/>
  <c r="C262" i="9"/>
  <c r="BN261" i="9"/>
  <c r="AG261" i="9" s="1"/>
  <c r="AJ261" i="9"/>
  <c r="F261" i="9"/>
  <c r="C261" i="9"/>
  <c r="BN260" i="9"/>
  <c r="AG260" i="9" s="1"/>
  <c r="AJ260" i="9"/>
  <c r="F260" i="9"/>
  <c r="C260" i="9"/>
  <c r="BN259" i="9"/>
  <c r="AG259" i="9" s="1"/>
  <c r="AJ259" i="9"/>
  <c r="F259" i="9"/>
  <c r="C259" i="9"/>
  <c r="BN258" i="9"/>
  <c r="AG258" i="9" s="1"/>
  <c r="AJ258" i="9"/>
  <c r="F258" i="9"/>
  <c r="C258" i="9"/>
  <c r="BN257" i="9"/>
  <c r="AG257" i="9" s="1"/>
  <c r="AJ257" i="9"/>
  <c r="F257" i="9"/>
  <c r="C257" i="9"/>
  <c r="BN256" i="9"/>
  <c r="AG256" i="9" s="1"/>
  <c r="AJ256" i="9"/>
  <c r="F256" i="9"/>
  <c r="C256" i="9"/>
  <c r="BN255" i="9"/>
  <c r="AG255" i="9" s="1"/>
  <c r="AJ255" i="9"/>
  <c r="F255" i="9"/>
  <c r="C255" i="9"/>
  <c r="BN254" i="9"/>
  <c r="AG254" i="9" s="1"/>
  <c r="AJ254" i="9"/>
  <c r="F254" i="9"/>
  <c r="C254" i="9"/>
  <c r="BN253" i="9"/>
  <c r="AG253" i="9" s="1"/>
  <c r="AJ253" i="9"/>
  <c r="F253" i="9"/>
  <c r="C253" i="9"/>
  <c r="BN252" i="9"/>
  <c r="AG252" i="9" s="1"/>
  <c r="AJ252" i="9"/>
  <c r="F252" i="9"/>
  <c r="C252" i="9"/>
  <c r="BN251" i="9"/>
  <c r="AG251" i="9" s="1"/>
  <c r="AJ251" i="9"/>
  <c r="F251" i="9"/>
  <c r="C251" i="9"/>
  <c r="BN250" i="9"/>
  <c r="AG250" i="9" s="1"/>
  <c r="AJ250" i="9"/>
  <c r="F250" i="9"/>
  <c r="C250" i="9"/>
  <c r="BN249" i="9"/>
  <c r="AG249" i="9" s="1"/>
  <c r="AJ249" i="9"/>
  <c r="F249" i="9"/>
  <c r="C249" i="9"/>
  <c r="BN248" i="9"/>
  <c r="AG248" i="9" s="1"/>
  <c r="AJ248" i="9"/>
  <c r="F248" i="9"/>
  <c r="C248" i="9"/>
  <c r="BN247" i="9"/>
  <c r="AG247" i="9" s="1"/>
  <c r="AJ247" i="9"/>
  <c r="F247" i="9"/>
  <c r="C247" i="9"/>
  <c r="BN246" i="9"/>
  <c r="AG246" i="9" s="1"/>
  <c r="AJ246" i="9"/>
  <c r="F246" i="9"/>
  <c r="C246" i="9"/>
  <c r="BN245" i="9"/>
  <c r="AG245" i="9" s="1"/>
  <c r="AJ245" i="9"/>
  <c r="F245" i="9"/>
  <c r="C245" i="9"/>
  <c r="A598" i="9" l="1"/>
  <c r="A590" i="9"/>
  <c r="A318" i="9"/>
  <c r="A602" i="9"/>
  <c r="A594" i="9"/>
  <c r="A586" i="9"/>
  <c r="AH248" i="9"/>
  <c r="AH256" i="9"/>
  <c r="AH252" i="9"/>
  <c r="AH258" i="9"/>
  <c r="AH260" i="9"/>
  <c r="AH250" i="9"/>
  <c r="AH254" i="9"/>
  <c r="AH262" i="9"/>
  <c r="AH257" i="9"/>
  <c r="AH261" i="9"/>
  <c r="AH259" i="9"/>
  <c r="AH264" i="9"/>
  <c r="AH263" i="9"/>
  <c r="AH255" i="9"/>
  <c r="AH246" i="9"/>
  <c r="AH245" i="9"/>
  <c r="AH247" i="9"/>
  <c r="AH249" i="9"/>
  <c r="AH251" i="9"/>
  <c r="AH253" i="9"/>
  <c r="AP262" i="9"/>
  <c r="AP246" i="9"/>
  <c r="AP254" i="9"/>
  <c r="AP260" i="9"/>
  <c r="A425" i="9"/>
  <c r="A409" i="9"/>
  <c r="A365" i="9"/>
  <c r="AP245" i="9"/>
  <c r="AP253" i="9"/>
  <c r="AP261" i="9"/>
  <c r="AP248" i="9"/>
  <c r="AP252" i="9"/>
  <c r="AP258" i="9"/>
  <c r="AP247" i="9"/>
  <c r="AP251" i="9"/>
  <c r="AP257" i="9"/>
  <c r="AP263" i="9"/>
  <c r="AP250" i="9"/>
  <c r="AP256" i="9"/>
  <c r="AP264" i="9"/>
  <c r="A473" i="9"/>
  <c r="AP249" i="9"/>
  <c r="AP255" i="9"/>
  <c r="AP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J21" i="9"/>
  <c r="BN21" i="9"/>
  <c r="AG21" i="9" s="1"/>
  <c r="C22" i="9"/>
  <c r="F22" i="9"/>
  <c r="AJ22" i="9"/>
  <c r="BN22" i="9"/>
  <c r="AG22" i="9" s="1"/>
  <c r="C23" i="9"/>
  <c r="F23" i="9"/>
  <c r="AJ23" i="9"/>
  <c r="BN23" i="9"/>
  <c r="AG23" i="9" s="1"/>
  <c r="C24" i="9"/>
  <c r="F24" i="9"/>
  <c r="AJ24" i="9"/>
  <c r="BN24" i="9"/>
  <c r="AG24" i="9" s="1"/>
  <c r="AH23" i="9" l="1"/>
  <c r="AH22" i="9"/>
  <c r="AH24" i="9"/>
  <c r="AP23" i="9"/>
  <c r="AP24" i="9"/>
  <c r="AP22" i="9"/>
  <c r="AP21" i="9"/>
  <c r="A22" i="9"/>
  <c r="A21" i="9"/>
  <c r="A23" i="9"/>
  <c r="A24" i="9"/>
  <c r="A9" i="30" l="1"/>
  <c r="A7" i="30"/>
  <c r="A6" i="30"/>
  <c r="A5" i="30"/>
  <c r="BN284" i="9"/>
  <c r="AG284" i="9" s="1"/>
  <c r="AJ284" i="9"/>
  <c r="F284" i="9"/>
  <c r="C284" i="9"/>
  <c r="BN283" i="9"/>
  <c r="AG283" i="9" s="1"/>
  <c r="AJ283" i="9"/>
  <c r="F283" i="9"/>
  <c r="C283" i="9"/>
  <c r="BN282" i="9"/>
  <c r="AG282" i="9" s="1"/>
  <c r="AJ282" i="9"/>
  <c r="F282" i="9"/>
  <c r="C282" i="9"/>
  <c r="BN281" i="9"/>
  <c r="AG281" i="9" s="1"/>
  <c r="AJ281" i="9"/>
  <c r="F281" i="9"/>
  <c r="C281" i="9"/>
  <c r="BN280" i="9"/>
  <c r="AG280" i="9" s="1"/>
  <c r="AJ280" i="9"/>
  <c r="F280" i="9"/>
  <c r="C280" i="9"/>
  <c r="BN279" i="9"/>
  <c r="AG279" i="9" s="1"/>
  <c r="AJ279" i="9"/>
  <c r="F279" i="9"/>
  <c r="C279" i="9"/>
  <c r="BN278" i="9"/>
  <c r="AG278" i="9" s="1"/>
  <c r="AJ278" i="9"/>
  <c r="F278" i="9"/>
  <c r="C278" i="9"/>
  <c r="BN277" i="9"/>
  <c r="AG277" i="9" s="1"/>
  <c r="AJ277" i="9"/>
  <c r="F277" i="9"/>
  <c r="C277" i="9"/>
  <c r="BN276" i="9"/>
  <c r="AG276" i="9" s="1"/>
  <c r="AJ276" i="9"/>
  <c r="F276" i="9"/>
  <c r="C276" i="9"/>
  <c r="BN275" i="9"/>
  <c r="AG275" i="9" s="1"/>
  <c r="AJ275" i="9"/>
  <c r="F275" i="9"/>
  <c r="C275" i="9"/>
  <c r="BN274" i="9"/>
  <c r="AG274" i="9" s="1"/>
  <c r="AJ274" i="9"/>
  <c r="F274" i="9"/>
  <c r="C274" i="9"/>
  <c r="BN273" i="9"/>
  <c r="AG273" i="9" s="1"/>
  <c r="AJ273" i="9"/>
  <c r="F273" i="9"/>
  <c r="C273" i="9"/>
  <c r="BN272" i="9"/>
  <c r="AG272" i="9" s="1"/>
  <c r="AJ272" i="9"/>
  <c r="F272" i="9"/>
  <c r="C272" i="9"/>
  <c r="BN271" i="9"/>
  <c r="AG271" i="9" s="1"/>
  <c r="AJ271" i="9"/>
  <c r="F271" i="9"/>
  <c r="C271" i="9"/>
  <c r="BN270" i="9"/>
  <c r="AG270" i="9" s="1"/>
  <c r="AJ270" i="9"/>
  <c r="F270" i="9"/>
  <c r="C270" i="9"/>
  <c r="BN269" i="9"/>
  <c r="AG269" i="9" s="1"/>
  <c r="AJ269" i="9"/>
  <c r="F269" i="9"/>
  <c r="C269" i="9"/>
  <c r="BN268" i="9"/>
  <c r="AG268" i="9" s="1"/>
  <c r="AJ268" i="9"/>
  <c r="F268" i="9"/>
  <c r="C268" i="9"/>
  <c r="BN267" i="9"/>
  <c r="AG267" i="9" s="1"/>
  <c r="AJ267" i="9"/>
  <c r="F267" i="9"/>
  <c r="C267" i="9"/>
  <c r="BN266" i="9"/>
  <c r="AG266" i="9" s="1"/>
  <c r="AJ266" i="9"/>
  <c r="F266" i="9"/>
  <c r="C266" i="9"/>
  <c r="BN265" i="9"/>
  <c r="AG265" i="9" s="1"/>
  <c r="AJ265" i="9"/>
  <c r="F265" i="9"/>
  <c r="C265" i="9"/>
  <c r="BN244" i="9"/>
  <c r="AG244" i="9" s="1"/>
  <c r="AJ244" i="9"/>
  <c r="F244" i="9"/>
  <c r="C244" i="9"/>
  <c r="BN243" i="9"/>
  <c r="AG243" i="9" s="1"/>
  <c r="AJ243" i="9"/>
  <c r="F243" i="9"/>
  <c r="C243" i="9"/>
  <c r="BN242" i="9"/>
  <c r="AG242" i="9" s="1"/>
  <c r="AJ242" i="9"/>
  <c r="F242" i="9"/>
  <c r="C242" i="9"/>
  <c r="BN241" i="9"/>
  <c r="AG241" i="9" s="1"/>
  <c r="AJ241" i="9"/>
  <c r="F241" i="9"/>
  <c r="C241" i="9"/>
  <c r="BN240" i="9"/>
  <c r="AG240" i="9" s="1"/>
  <c r="AJ240" i="9"/>
  <c r="F240" i="9"/>
  <c r="C240" i="9"/>
  <c r="BN239" i="9"/>
  <c r="AG239" i="9" s="1"/>
  <c r="AJ239" i="9"/>
  <c r="F239" i="9"/>
  <c r="C239" i="9"/>
  <c r="BN238" i="9"/>
  <c r="AG238" i="9" s="1"/>
  <c r="AJ238" i="9"/>
  <c r="F238" i="9"/>
  <c r="C238" i="9"/>
  <c r="BN237" i="9"/>
  <c r="AG237" i="9" s="1"/>
  <c r="AJ237" i="9"/>
  <c r="F237" i="9"/>
  <c r="C237" i="9"/>
  <c r="BN236" i="9"/>
  <c r="AG236" i="9" s="1"/>
  <c r="AJ236" i="9"/>
  <c r="F236" i="9"/>
  <c r="C236" i="9"/>
  <c r="BN235" i="9"/>
  <c r="AG235" i="9" s="1"/>
  <c r="AJ235" i="9"/>
  <c r="F235" i="9"/>
  <c r="C235" i="9"/>
  <c r="BN234" i="9"/>
  <c r="AG234" i="9" s="1"/>
  <c r="AJ234" i="9"/>
  <c r="F234" i="9"/>
  <c r="C234" i="9"/>
  <c r="BN233" i="9"/>
  <c r="AG233" i="9" s="1"/>
  <c r="AJ233" i="9"/>
  <c r="F233" i="9"/>
  <c r="C233" i="9"/>
  <c r="BN232" i="9"/>
  <c r="AG232" i="9" s="1"/>
  <c r="AJ232" i="9"/>
  <c r="F232" i="9"/>
  <c r="C232" i="9"/>
  <c r="BN231" i="9"/>
  <c r="AG231" i="9" s="1"/>
  <c r="AJ231" i="9"/>
  <c r="F231" i="9"/>
  <c r="C231" i="9"/>
  <c r="BN230" i="9"/>
  <c r="AG230" i="9" s="1"/>
  <c r="AJ230" i="9"/>
  <c r="F230" i="9"/>
  <c r="C230" i="9"/>
  <c r="BN229" i="9"/>
  <c r="AG229" i="9" s="1"/>
  <c r="AJ229" i="9"/>
  <c r="F229" i="9"/>
  <c r="C229" i="9"/>
  <c r="BN228" i="9"/>
  <c r="AG228" i="9" s="1"/>
  <c r="AJ228" i="9"/>
  <c r="F228" i="9"/>
  <c r="C228" i="9"/>
  <c r="BN227" i="9"/>
  <c r="AG227" i="9" s="1"/>
  <c r="AJ227" i="9"/>
  <c r="F227" i="9"/>
  <c r="C227" i="9"/>
  <c r="BN226" i="9"/>
  <c r="AG226" i="9" s="1"/>
  <c r="AJ226" i="9"/>
  <c r="F226" i="9"/>
  <c r="C226" i="9"/>
  <c r="BN225" i="9"/>
  <c r="AG225" i="9" s="1"/>
  <c r="AJ225" i="9"/>
  <c r="F225" i="9"/>
  <c r="C225" i="9"/>
  <c r="BN184" i="9"/>
  <c r="AG184" i="9" s="1"/>
  <c r="AJ184" i="9"/>
  <c r="F184" i="9"/>
  <c r="C184" i="9"/>
  <c r="BN183" i="9"/>
  <c r="AG183" i="9" s="1"/>
  <c r="AJ183" i="9"/>
  <c r="F183" i="9"/>
  <c r="C183" i="9"/>
  <c r="BN182" i="9"/>
  <c r="AG182" i="9" s="1"/>
  <c r="AJ182" i="9"/>
  <c r="F182" i="9"/>
  <c r="C182" i="9"/>
  <c r="BN181" i="9"/>
  <c r="AG181" i="9" s="1"/>
  <c r="AJ181" i="9"/>
  <c r="F181" i="9"/>
  <c r="C181" i="9"/>
  <c r="BN180" i="9"/>
  <c r="AG180" i="9" s="1"/>
  <c r="AJ180" i="9"/>
  <c r="F180" i="9"/>
  <c r="C180" i="9"/>
  <c r="BN179" i="9"/>
  <c r="AG179" i="9" s="1"/>
  <c r="AJ179" i="9"/>
  <c r="F179" i="9"/>
  <c r="C179" i="9"/>
  <c r="BN178" i="9"/>
  <c r="AG178" i="9" s="1"/>
  <c r="AJ178" i="9"/>
  <c r="F178" i="9"/>
  <c r="C178" i="9"/>
  <c r="BN177" i="9"/>
  <c r="AG177" i="9" s="1"/>
  <c r="AJ177" i="9"/>
  <c r="F177" i="9"/>
  <c r="C177" i="9"/>
  <c r="BN176" i="9"/>
  <c r="AG176" i="9" s="1"/>
  <c r="AJ176" i="9"/>
  <c r="F176" i="9"/>
  <c r="C176" i="9"/>
  <c r="BN175" i="9"/>
  <c r="AG175" i="9" s="1"/>
  <c r="AJ175" i="9"/>
  <c r="F175" i="9"/>
  <c r="C175" i="9"/>
  <c r="BN174" i="9"/>
  <c r="AG174" i="9" s="1"/>
  <c r="AJ174" i="9"/>
  <c r="F174" i="9"/>
  <c r="C174" i="9"/>
  <c r="BN173" i="9"/>
  <c r="AG173" i="9" s="1"/>
  <c r="AJ173" i="9"/>
  <c r="F173" i="9"/>
  <c r="C173" i="9"/>
  <c r="BN172" i="9"/>
  <c r="AG172" i="9" s="1"/>
  <c r="AJ172" i="9"/>
  <c r="F172" i="9"/>
  <c r="C172" i="9"/>
  <c r="BN171" i="9"/>
  <c r="AG171" i="9" s="1"/>
  <c r="AJ171" i="9"/>
  <c r="F171" i="9"/>
  <c r="C171" i="9"/>
  <c r="BN170" i="9"/>
  <c r="AG170" i="9" s="1"/>
  <c r="AJ170" i="9"/>
  <c r="F170" i="9"/>
  <c r="C170" i="9"/>
  <c r="BN169" i="9"/>
  <c r="AG169" i="9" s="1"/>
  <c r="AJ169" i="9"/>
  <c r="F169" i="9"/>
  <c r="C169" i="9"/>
  <c r="BN168" i="9"/>
  <c r="AG168" i="9" s="1"/>
  <c r="AJ168" i="9"/>
  <c r="F168" i="9"/>
  <c r="C168" i="9"/>
  <c r="BN167" i="9"/>
  <c r="AG167" i="9" s="1"/>
  <c r="AJ167" i="9"/>
  <c r="F167" i="9"/>
  <c r="C167" i="9"/>
  <c r="BN166" i="9"/>
  <c r="AG166" i="9" s="1"/>
  <c r="AJ166" i="9"/>
  <c r="F166" i="9"/>
  <c r="C166" i="9"/>
  <c r="BN165" i="9"/>
  <c r="AG165" i="9" s="1"/>
  <c r="AJ165" i="9"/>
  <c r="F165" i="9"/>
  <c r="C165" i="9"/>
  <c r="BN164" i="9"/>
  <c r="AG164" i="9" s="1"/>
  <c r="AJ164" i="9"/>
  <c r="F164" i="9"/>
  <c r="C164" i="9"/>
  <c r="BN163" i="9"/>
  <c r="AG163" i="9" s="1"/>
  <c r="AJ163" i="9"/>
  <c r="F163" i="9"/>
  <c r="C163" i="9"/>
  <c r="BN162" i="9"/>
  <c r="AG162" i="9" s="1"/>
  <c r="AJ162" i="9"/>
  <c r="F162" i="9"/>
  <c r="C162" i="9"/>
  <c r="BN161" i="9"/>
  <c r="AG161" i="9" s="1"/>
  <c r="AJ161" i="9"/>
  <c r="F161" i="9"/>
  <c r="C161" i="9"/>
  <c r="BN160" i="9"/>
  <c r="AG160" i="9" s="1"/>
  <c r="AJ160" i="9"/>
  <c r="F160" i="9"/>
  <c r="C160" i="9"/>
  <c r="BN159" i="9"/>
  <c r="AG159" i="9" s="1"/>
  <c r="AJ159" i="9"/>
  <c r="F159" i="9"/>
  <c r="C159" i="9"/>
  <c r="BN158" i="9"/>
  <c r="AG158" i="9" s="1"/>
  <c r="AJ158" i="9"/>
  <c r="F158" i="9"/>
  <c r="C158" i="9"/>
  <c r="BN157" i="9"/>
  <c r="AG157" i="9" s="1"/>
  <c r="AJ157" i="9"/>
  <c r="F157" i="9"/>
  <c r="C157" i="9"/>
  <c r="BN156" i="9"/>
  <c r="AG156" i="9" s="1"/>
  <c r="AJ156" i="9"/>
  <c r="F156" i="9"/>
  <c r="C156" i="9"/>
  <c r="BN155" i="9"/>
  <c r="AG155" i="9" s="1"/>
  <c r="AJ155" i="9"/>
  <c r="F155" i="9"/>
  <c r="C155" i="9"/>
  <c r="BN154" i="9"/>
  <c r="AG154" i="9" s="1"/>
  <c r="AJ154" i="9"/>
  <c r="F154" i="9"/>
  <c r="C154" i="9"/>
  <c r="BN153" i="9"/>
  <c r="AG153" i="9" s="1"/>
  <c r="AJ153" i="9"/>
  <c r="F153" i="9"/>
  <c r="C153" i="9"/>
  <c r="BN152" i="9"/>
  <c r="AG152" i="9" s="1"/>
  <c r="AJ152" i="9"/>
  <c r="F152" i="9"/>
  <c r="C152" i="9"/>
  <c r="BN151" i="9"/>
  <c r="AG151" i="9" s="1"/>
  <c r="AJ151" i="9"/>
  <c r="F151" i="9"/>
  <c r="C151" i="9"/>
  <c r="BN150" i="9"/>
  <c r="AG150" i="9" s="1"/>
  <c r="AJ150" i="9"/>
  <c r="F150" i="9"/>
  <c r="C150" i="9"/>
  <c r="BN149" i="9"/>
  <c r="AG149" i="9" s="1"/>
  <c r="AJ149" i="9"/>
  <c r="F149" i="9"/>
  <c r="C149" i="9"/>
  <c r="BN148" i="9"/>
  <c r="AG148" i="9" s="1"/>
  <c r="AJ148" i="9"/>
  <c r="F148" i="9"/>
  <c r="C148" i="9"/>
  <c r="BN147" i="9"/>
  <c r="AG147" i="9" s="1"/>
  <c r="AJ147" i="9"/>
  <c r="F147" i="9"/>
  <c r="C147" i="9"/>
  <c r="BN146" i="9"/>
  <c r="AG146" i="9" s="1"/>
  <c r="AJ146" i="9"/>
  <c r="F146" i="9"/>
  <c r="C146" i="9"/>
  <c r="BN145" i="9"/>
  <c r="AG145" i="9" s="1"/>
  <c r="AJ145" i="9"/>
  <c r="F145" i="9"/>
  <c r="C145" i="9"/>
  <c r="BN144" i="9"/>
  <c r="AG144" i="9" s="1"/>
  <c r="AJ144" i="9"/>
  <c r="F144" i="9"/>
  <c r="C144" i="9"/>
  <c r="BN143" i="9"/>
  <c r="AG143" i="9" s="1"/>
  <c r="AJ143" i="9"/>
  <c r="F143" i="9"/>
  <c r="C143" i="9"/>
  <c r="BN142" i="9"/>
  <c r="AG142" i="9" s="1"/>
  <c r="AJ142" i="9"/>
  <c r="F142" i="9"/>
  <c r="C142" i="9"/>
  <c r="BN141" i="9"/>
  <c r="AG141" i="9" s="1"/>
  <c r="AJ141" i="9"/>
  <c r="F141" i="9"/>
  <c r="C141" i="9"/>
  <c r="BN140" i="9"/>
  <c r="AG140" i="9" s="1"/>
  <c r="AJ140" i="9"/>
  <c r="F140" i="9"/>
  <c r="C140" i="9"/>
  <c r="BN139" i="9"/>
  <c r="AG139" i="9" s="1"/>
  <c r="AJ139" i="9"/>
  <c r="F139" i="9"/>
  <c r="C139" i="9"/>
  <c r="BN138" i="9"/>
  <c r="AG138" i="9" s="1"/>
  <c r="AJ138" i="9"/>
  <c r="F138" i="9"/>
  <c r="C138" i="9"/>
  <c r="BN137" i="9"/>
  <c r="AG137" i="9" s="1"/>
  <c r="AJ137" i="9"/>
  <c r="F137" i="9"/>
  <c r="C137" i="9"/>
  <c r="BN136" i="9"/>
  <c r="AG136" i="9" s="1"/>
  <c r="AJ136" i="9"/>
  <c r="F136" i="9"/>
  <c r="C136" i="9"/>
  <c r="BN135" i="9"/>
  <c r="AG135" i="9" s="1"/>
  <c r="AJ135" i="9"/>
  <c r="F135" i="9"/>
  <c r="C135" i="9"/>
  <c r="BN134" i="9"/>
  <c r="AG134" i="9" s="1"/>
  <c r="AJ134" i="9"/>
  <c r="F134" i="9"/>
  <c r="C134" i="9"/>
  <c r="BN133" i="9"/>
  <c r="AG133" i="9" s="1"/>
  <c r="AJ133" i="9"/>
  <c r="F133" i="9"/>
  <c r="C133" i="9"/>
  <c r="BN132" i="9"/>
  <c r="AG132" i="9" s="1"/>
  <c r="AJ132" i="9"/>
  <c r="F132" i="9"/>
  <c r="C132" i="9"/>
  <c r="BN131" i="9"/>
  <c r="AG131" i="9" s="1"/>
  <c r="AJ131" i="9"/>
  <c r="F131" i="9"/>
  <c r="C131" i="9"/>
  <c r="BN130" i="9"/>
  <c r="AG130" i="9" s="1"/>
  <c r="AJ130" i="9"/>
  <c r="F130" i="9"/>
  <c r="C130" i="9"/>
  <c r="BN129" i="9"/>
  <c r="AG129" i="9" s="1"/>
  <c r="AJ129" i="9"/>
  <c r="F129" i="9"/>
  <c r="C129" i="9"/>
  <c r="BN128" i="9"/>
  <c r="AG128" i="9" s="1"/>
  <c r="AJ128" i="9"/>
  <c r="F128" i="9"/>
  <c r="C128" i="9"/>
  <c r="BN127" i="9"/>
  <c r="AG127" i="9" s="1"/>
  <c r="AJ127" i="9"/>
  <c r="F127" i="9"/>
  <c r="C127" i="9"/>
  <c r="BN126" i="9"/>
  <c r="AG126" i="9" s="1"/>
  <c r="AJ126" i="9"/>
  <c r="F126" i="9"/>
  <c r="C126" i="9"/>
  <c r="BN125" i="9"/>
  <c r="AG125" i="9" s="1"/>
  <c r="AJ125" i="9"/>
  <c r="F125" i="9"/>
  <c r="C125" i="9"/>
  <c r="BN124" i="9"/>
  <c r="AG124" i="9" s="1"/>
  <c r="AJ124" i="9"/>
  <c r="F124" i="9"/>
  <c r="C124" i="9"/>
  <c r="BN123" i="9"/>
  <c r="AG123" i="9" s="1"/>
  <c r="AJ123" i="9"/>
  <c r="F123" i="9"/>
  <c r="C123" i="9"/>
  <c r="BN122" i="9"/>
  <c r="AG122" i="9" s="1"/>
  <c r="AJ122" i="9"/>
  <c r="F122" i="9"/>
  <c r="C122" i="9"/>
  <c r="BN121" i="9"/>
  <c r="AG121" i="9" s="1"/>
  <c r="AJ121" i="9"/>
  <c r="F121" i="9"/>
  <c r="C121" i="9"/>
  <c r="BN120" i="9"/>
  <c r="AG120" i="9" s="1"/>
  <c r="AJ120" i="9"/>
  <c r="F120" i="9"/>
  <c r="C120" i="9"/>
  <c r="BN119" i="9"/>
  <c r="AG119" i="9" s="1"/>
  <c r="AJ119" i="9"/>
  <c r="F119" i="9"/>
  <c r="C119" i="9"/>
  <c r="BN118" i="9"/>
  <c r="AG118" i="9" s="1"/>
  <c r="AJ118" i="9"/>
  <c r="F118" i="9"/>
  <c r="C118" i="9"/>
  <c r="BN117" i="9"/>
  <c r="AG117" i="9" s="1"/>
  <c r="AJ117" i="9"/>
  <c r="F117" i="9"/>
  <c r="C117" i="9"/>
  <c r="BN116" i="9"/>
  <c r="AG116" i="9" s="1"/>
  <c r="AJ116" i="9"/>
  <c r="F116" i="9"/>
  <c r="C116" i="9"/>
  <c r="BN115" i="9"/>
  <c r="AG115" i="9" s="1"/>
  <c r="AJ115" i="9"/>
  <c r="F115" i="9"/>
  <c r="C115" i="9"/>
  <c r="BN114" i="9"/>
  <c r="AG114" i="9" s="1"/>
  <c r="AJ114" i="9"/>
  <c r="F114" i="9"/>
  <c r="C114" i="9"/>
  <c r="BN113" i="9"/>
  <c r="AG113" i="9" s="1"/>
  <c r="AJ113" i="9"/>
  <c r="F113" i="9"/>
  <c r="C113" i="9"/>
  <c r="BN112" i="9"/>
  <c r="AG112" i="9" s="1"/>
  <c r="AJ112" i="9"/>
  <c r="F112" i="9"/>
  <c r="C112" i="9"/>
  <c r="BN111" i="9"/>
  <c r="AG111" i="9" s="1"/>
  <c r="AJ111" i="9"/>
  <c r="F111" i="9"/>
  <c r="C111" i="9"/>
  <c r="BN110" i="9"/>
  <c r="AG110" i="9" s="1"/>
  <c r="AJ110" i="9"/>
  <c r="F110" i="9"/>
  <c r="C110" i="9"/>
  <c r="BN109" i="9"/>
  <c r="AG109" i="9" s="1"/>
  <c r="AJ109" i="9"/>
  <c r="F109" i="9"/>
  <c r="C109" i="9"/>
  <c r="BN108" i="9"/>
  <c r="AG108" i="9" s="1"/>
  <c r="AJ108" i="9"/>
  <c r="F108" i="9"/>
  <c r="C108" i="9"/>
  <c r="BN107" i="9"/>
  <c r="AG107" i="9" s="1"/>
  <c r="AJ107" i="9"/>
  <c r="F107" i="9"/>
  <c r="C107" i="9"/>
  <c r="BN106" i="9"/>
  <c r="AG106" i="9" s="1"/>
  <c r="AJ106" i="9"/>
  <c r="F106" i="9"/>
  <c r="C106" i="9"/>
  <c r="BN105" i="9"/>
  <c r="AG105" i="9" s="1"/>
  <c r="AH105" i="9" s="1"/>
  <c r="AJ105" i="9"/>
  <c r="F105" i="9"/>
  <c r="C105" i="9"/>
  <c r="BN104" i="9"/>
  <c r="AG104" i="9" s="1"/>
  <c r="AJ104" i="9"/>
  <c r="F104" i="9"/>
  <c r="C104" i="9"/>
  <c r="BN103" i="9"/>
  <c r="AG103" i="9" s="1"/>
  <c r="AJ103" i="9"/>
  <c r="F103" i="9"/>
  <c r="C103" i="9"/>
  <c r="BN102" i="9"/>
  <c r="AG102" i="9" s="1"/>
  <c r="AJ102" i="9"/>
  <c r="F102" i="9"/>
  <c r="C102" i="9"/>
  <c r="BN101" i="9"/>
  <c r="AG101" i="9" s="1"/>
  <c r="AJ101" i="9"/>
  <c r="F101" i="9"/>
  <c r="C101" i="9"/>
  <c r="BN100" i="9"/>
  <c r="AG100" i="9" s="1"/>
  <c r="AJ100" i="9"/>
  <c r="F100" i="9"/>
  <c r="C100" i="9"/>
  <c r="BN99" i="9"/>
  <c r="AG99" i="9" s="1"/>
  <c r="AJ99" i="9"/>
  <c r="F99" i="9"/>
  <c r="C99" i="9"/>
  <c r="BN98" i="9"/>
  <c r="AG98" i="9" s="1"/>
  <c r="AJ98" i="9"/>
  <c r="F98" i="9"/>
  <c r="C98" i="9"/>
  <c r="BN97" i="9"/>
  <c r="AG97" i="9" s="1"/>
  <c r="AJ97" i="9"/>
  <c r="F97" i="9"/>
  <c r="C97" i="9"/>
  <c r="BN96" i="9"/>
  <c r="AG96" i="9" s="1"/>
  <c r="AJ96" i="9"/>
  <c r="F96" i="9"/>
  <c r="C96" i="9"/>
  <c r="BN95" i="9"/>
  <c r="AG95" i="9" s="1"/>
  <c r="AJ95" i="9"/>
  <c r="F95" i="9"/>
  <c r="C95" i="9"/>
  <c r="BN94" i="9"/>
  <c r="AG94" i="9" s="1"/>
  <c r="AJ94" i="9"/>
  <c r="F94" i="9"/>
  <c r="C94" i="9"/>
  <c r="BN93" i="9"/>
  <c r="AG93" i="9" s="1"/>
  <c r="AJ93" i="9"/>
  <c r="F93" i="9"/>
  <c r="C93" i="9"/>
  <c r="BN92" i="9"/>
  <c r="AG92" i="9" s="1"/>
  <c r="AJ92" i="9"/>
  <c r="F92" i="9"/>
  <c r="C92" i="9"/>
  <c r="BN91" i="9"/>
  <c r="AG91" i="9" s="1"/>
  <c r="AJ91" i="9"/>
  <c r="F91" i="9"/>
  <c r="C91" i="9"/>
  <c r="BN90" i="9"/>
  <c r="AG90" i="9" s="1"/>
  <c r="AJ90" i="9"/>
  <c r="F90" i="9"/>
  <c r="C90" i="9"/>
  <c r="BN89" i="9"/>
  <c r="AG89" i="9" s="1"/>
  <c r="AJ89" i="9"/>
  <c r="F89" i="9"/>
  <c r="C89" i="9"/>
  <c r="BN88" i="9"/>
  <c r="AG88" i="9" s="1"/>
  <c r="AJ88" i="9"/>
  <c r="F88" i="9"/>
  <c r="C88" i="9"/>
  <c r="BN87" i="9"/>
  <c r="AG87" i="9" s="1"/>
  <c r="AJ87" i="9"/>
  <c r="F87" i="9"/>
  <c r="C87" i="9"/>
  <c r="BN86" i="9"/>
  <c r="AG86" i="9" s="1"/>
  <c r="AJ86" i="9"/>
  <c r="F86" i="9"/>
  <c r="C86" i="9"/>
  <c r="BN85" i="9"/>
  <c r="AG85" i="9" s="1"/>
  <c r="AJ85" i="9"/>
  <c r="F85" i="9"/>
  <c r="C85" i="9"/>
  <c r="BN64" i="9"/>
  <c r="AG64" i="9" s="1"/>
  <c r="AJ64" i="9"/>
  <c r="F64" i="9"/>
  <c r="C64" i="9"/>
  <c r="BN63" i="9"/>
  <c r="AG63" i="9" s="1"/>
  <c r="AJ63" i="9"/>
  <c r="F63" i="9"/>
  <c r="C63" i="9"/>
  <c r="BN62" i="9"/>
  <c r="AG62" i="9" s="1"/>
  <c r="AJ62" i="9"/>
  <c r="F62" i="9"/>
  <c r="C62" i="9"/>
  <c r="BN61" i="9"/>
  <c r="AG61" i="9" s="1"/>
  <c r="AJ61" i="9"/>
  <c r="F61" i="9"/>
  <c r="C61" i="9"/>
  <c r="BN60" i="9"/>
  <c r="AG60" i="9" s="1"/>
  <c r="AJ60" i="9"/>
  <c r="F60" i="9"/>
  <c r="C60" i="9"/>
  <c r="BN59" i="9"/>
  <c r="AG59" i="9" s="1"/>
  <c r="AJ59" i="9"/>
  <c r="F59" i="9"/>
  <c r="C59" i="9"/>
  <c r="BN58" i="9"/>
  <c r="AG58" i="9" s="1"/>
  <c r="AJ58" i="9"/>
  <c r="F58" i="9"/>
  <c r="C58" i="9"/>
  <c r="BN57" i="9"/>
  <c r="AG57" i="9" s="1"/>
  <c r="AJ57" i="9"/>
  <c r="F57" i="9"/>
  <c r="C57" i="9"/>
  <c r="BN56" i="9"/>
  <c r="AG56" i="9" s="1"/>
  <c r="AJ56" i="9"/>
  <c r="F56" i="9"/>
  <c r="C56" i="9"/>
  <c r="BN55" i="9"/>
  <c r="AG55" i="9" s="1"/>
  <c r="AJ55" i="9"/>
  <c r="F55" i="9"/>
  <c r="C55" i="9"/>
  <c r="BN54" i="9"/>
  <c r="AG54" i="9" s="1"/>
  <c r="AJ54" i="9"/>
  <c r="F54" i="9"/>
  <c r="C54" i="9"/>
  <c r="BN53" i="9"/>
  <c r="AG53" i="9" s="1"/>
  <c r="AJ53" i="9"/>
  <c r="F53" i="9"/>
  <c r="C53" i="9"/>
  <c r="BN52" i="9"/>
  <c r="AG52" i="9" s="1"/>
  <c r="AJ52" i="9"/>
  <c r="F52" i="9"/>
  <c r="C52" i="9"/>
  <c r="BN51" i="9"/>
  <c r="AG51" i="9" s="1"/>
  <c r="AJ51" i="9"/>
  <c r="F51" i="9"/>
  <c r="C51" i="9"/>
  <c r="BN50" i="9"/>
  <c r="AG50" i="9" s="1"/>
  <c r="AJ50" i="9"/>
  <c r="F50" i="9"/>
  <c r="C50" i="9"/>
  <c r="BN49" i="9"/>
  <c r="AG49" i="9" s="1"/>
  <c r="AJ49" i="9"/>
  <c r="F49" i="9"/>
  <c r="C49" i="9"/>
  <c r="BN48" i="9"/>
  <c r="AG48" i="9" s="1"/>
  <c r="AJ48" i="9"/>
  <c r="F48" i="9"/>
  <c r="C48" i="9"/>
  <c r="BN47" i="9"/>
  <c r="AG47" i="9" s="1"/>
  <c r="AJ47" i="9"/>
  <c r="F47" i="9"/>
  <c r="C47" i="9"/>
  <c r="BN46" i="9"/>
  <c r="AG46" i="9" s="1"/>
  <c r="AJ46" i="9"/>
  <c r="F46" i="9"/>
  <c r="C46" i="9"/>
  <c r="BN45" i="9"/>
  <c r="AG45" i="9" s="1"/>
  <c r="AJ45" i="9"/>
  <c r="F45" i="9"/>
  <c r="C45" i="9"/>
  <c r="BN44" i="9"/>
  <c r="AG44" i="9" s="1"/>
  <c r="AJ44" i="9"/>
  <c r="F44" i="9"/>
  <c r="C44" i="9"/>
  <c r="BN43" i="9"/>
  <c r="AG43" i="9" s="1"/>
  <c r="AJ43" i="9"/>
  <c r="F43" i="9"/>
  <c r="C43" i="9"/>
  <c r="BN42" i="9"/>
  <c r="AG42" i="9" s="1"/>
  <c r="AJ42" i="9"/>
  <c r="F42" i="9"/>
  <c r="C42" i="9"/>
  <c r="BN41" i="9"/>
  <c r="AG41" i="9" s="1"/>
  <c r="AJ41" i="9"/>
  <c r="F41" i="9"/>
  <c r="C41" i="9"/>
  <c r="BN40" i="9"/>
  <c r="AG40" i="9" s="1"/>
  <c r="AJ40" i="9"/>
  <c r="F40" i="9"/>
  <c r="C40" i="9"/>
  <c r="BN39" i="9"/>
  <c r="AG39" i="9" s="1"/>
  <c r="AJ39" i="9"/>
  <c r="F39" i="9"/>
  <c r="C39" i="9"/>
  <c r="BN38" i="9"/>
  <c r="AG38" i="9" s="1"/>
  <c r="AJ38" i="9"/>
  <c r="F38" i="9"/>
  <c r="C38" i="9"/>
  <c r="BN37" i="9"/>
  <c r="AG37" i="9" s="1"/>
  <c r="AJ37" i="9"/>
  <c r="F37" i="9"/>
  <c r="C37" i="9"/>
  <c r="BN36" i="9"/>
  <c r="AG36" i="9" s="1"/>
  <c r="AJ36" i="9"/>
  <c r="F36" i="9"/>
  <c r="C36" i="9"/>
  <c r="BN35" i="9"/>
  <c r="AG35" i="9" s="1"/>
  <c r="AJ35" i="9"/>
  <c r="F35" i="9"/>
  <c r="C35" i="9"/>
  <c r="BN34" i="9"/>
  <c r="AG34" i="9" s="1"/>
  <c r="AJ34" i="9"/>
  <c r="F34" i="9"/>
  <c r="C34" i="9"/>
  <c r="BN33" i="9"/>
  <c r="AG33" i="9" s="1"/>
  <c r="AJ33" i="9"/>
  <c r="F33" i="9"/>
  <c r="C33" i="9"/>
  <c r="BN32" i="9"/>
  <c r="AG32" i="9" s="1"/>
  <c r="AJ32" i="9"/>
  <c r="F32" i="9"/>
  <c r="C32" i="9"/>
  <c r="BN31" i="9"/>
  <c r="AG31" i="9" s="1"/>
  <c r="AJ31" i="9"/>
  <c r="F31" i="9"/>
  <c r="C31" i="9"/>
  <c r="BN30" i="9"/>
  <c r="AG30" i="9" s="1"/>
  <c r="AJ30" i="9"/>
  <c r="F30" i="9"/>
  <c r="C30" i="9"/>
  <c r="BN29" i="9"/>
  <c r="AG29" i="9" s="1"/>
  <c r="AJ29" i="9"/>
  <c r="F29" i="9"/>
  <c r="C29" i="9"/>
  <c r="BN28" i="9"/>
  <c r="AG28" i="9" s="1"/>
  <c r="AJ28" i="9"/>
  <c r="F28" i="9"/>
  <c r="C28" i="9"/>
  <c r="BN27" i="9"/>
  <c r="AG27" i="9" s="1"/>
  <c r="AJ27" i="9"/>
  <c r="F27" i="9"/>
  <c r="C27" i="9"/>
  <c r="BN26" i="9"/>
  <c r="AG26" i="9" s="1"/>
  <c r="AJ26" i="9"/>
  <c r="F26" i="9"/>
  <c r="C26" i="9"/>
  <c r="BN25" i="9"/>
  <c r="AG25" i="9" s="1"/>
  <c r="AH25" i="9" s="1"/>
  <c r="AJ25" i="9"/>
  <c r="F25" i="9"/>
  <c r="C25" i="9"/>
  <c r="BN20" i="9"/>
  <c r="AG20" i="9" s="1"/>
  <c r="AH21" i="9" s="1"/>
  <c r="AJ20" i="9"/>
  <c r="F20" i="9"/>
  <c r="C20" i="9"/>
  <c r="BN19" i="9"/>
  <c r="AG19" i="9" s="1"/>
  <c r="AJ19" i="9"/>
  <c r="F19" i="9"/>
  <c r="C19" i="9"/>
  <c r="BN18" i="9"/>
  <c r="AG18" i="9" s="1"/>
  <c r="AJ18" i="9"/>
  <c r="F18" i="9"/>
  <c r="C18" i="9"/>
  <c r="BN17" i="9"/>
  <c r="AG17" i="9" s="1"/>
  <c r="AJ17" i="9"/>
  <c r="F17" i="9"/>
  <c r="C17" i="9"/>
  <c r="BN16" i="9"/>
  <c r="AG16" i="9" s="1"/>
  <c r="AJ16" i="9"/>
  <c r="F16" i="9"/>
  <c r="C16" i="9"/>
  <c r="BN15" i="9"/>
  <c r="AG15" i="9" s="1"/>
  <c r="AJ15" i="9"/>
  <c r="F15" i="9"/>
  <c r="C15" i="9"/>
  <c r="BN14" i="9"/>
  <c r="AG14" i="9" s="1"/>
  <c r="AJ14" i="9"/>
  <c r="F14" i="9"/>
  <c r="C14" i="9"/>
  <c r="BN13" i="9"/>
  <c r="AG13" i="9" s="1"/>
  <c r="AJ13" i="9"/>
  <c r="F13" i="9"/>
  <c r="C13" i="9"/>
  <c r="BN12" i="9"/>
  <c r="AG12" i="9" s="1"/>
  <c r="AJ12" i="9"/>
  <c r="F12" i="9"/>
  <c r="C12" i="9"/>
  <c r="BN11" i="9"/>
  <c r="AG11" i="9" s="1"/>
  <c r="AJ11" i="9"/>
  <c r="F11" i="9"/>
  <c r="C11" i="9"/>
  <c r="BN10" i="9"/>
  <c r="AG10" i="9" s="1"/>
  <c r="AJ10" i="9"/>
  <c r="F10" i="9"/>
  <c r="C10" i="9"/>
  <c r="BN9" i="9"/>
  <c r="AG9" i="9" s="1"/>
  <c r="AJ9" i="9"/>
  <c r="F9" i="9"/>
  <c r="C9" i="9"/>
  <c r="BN8" i="9"/>
  <c r="AG8" i="9" s="1"/>
  <c r="AJ8" i="9"/>
  <c r="F8" i="9"/>
  <c r="C8" i="9"/>
  <c r="BN7" i="9"/>
  <c r="AG7" i="9" s="1"/>
  <c r="AJ7" i="9"/>
  <c r="F7" i="9"/>
  <c r="C7" i="9"/>
  <c r="BN6" i="9"/>
  <c r="AG6" i="9" s="1"/>
  <c r="AJ6" i="9"/>
  <c r="F6" i="9"/>
  <c r="C6" i="9"/>
  <c r="BN5" i="9"/>
  <c r="AG5" i="9" s="1"/>
  <c r="AJ5" i="9"/>
  <c r="F5" i="9"/>
  <c r="C5" i="9"/>
  <c r="Z9" i="9" l="1"/>
  <c r="Z17" i="9"/>
  <c r="Z11" i="9"/>
  <c r="Z20" i="9"/>
  <c r="Z13" i="9"/>
  <c r="Z5" i="9"/>
  <c r="Z6" i="9"/>
  <c r="Z22" i="9"/>
  <c r="Z7" i="9"/>
  <c r="Z15" i="9"/>
  <c r="Z8" i="9"/>
  <c r="Z16" i="9"/>
  <c r="Z24" i="9"/>
  <c r="Z10" i="9"/>
  <c r="Z18" i="9"/>
  <c r="Z19" i="9"/>
  <c r="Z12" i="9"/>
  <c r="Z21" i="9"/>
  <c r="Z14" i="9"/>
  <c r="Z23" i="9"/>
  <c r="AR10" i="9"/>
  <c r="W177" i="9"/>
  <c r="W169" i="9"/>
  <c r="Z125" i="9"/>
  <c r="Z133" i="9"/>
  <c r="Z141" i="9"/>
  <c r="Z149" i="9"/>
  <c r="Z157" i="9"/>
  <c r="W183" i="9"/>
  <c r="W167" i="9"/>
  <c r="Z127" i="9"/>
  <c r="Z143" i="9"/>
  <c r="Z159" i="9"/>
  <c r="W182" i="9"/>
  <c r="W166" i="9"/>
  <c r="Z128" i="9"/>
  <c r="Z144" i="9"/>
  <c r="Z160" i="9"/>
  <c r="W181" i="9"/>
  <c r="Z129" i="9"/>
  <c r="Z145" i="9"/>
  <c r="Z161" i="9"/>
  <c r="W184" i="9"/>
  <c r="W176" i="9"/>
  <c r="W168" i="9"/>
  <c r="Z126" i="9"/>
  <c r="Z134" i="9"/>
  <c r="Z142" i="9"/>
  <c r="Z150" i="9"/>
  <c r="Z158" i="9"/>
  <c r="W175" i="9"/>
  <c r="Z135" i="9"/>
  <c r="Z151" i="9"/>
  <c r="W174" i="9"/>
  <c r="Z136" i="9"/>
  <c r="Z152" i="9"/>
  <c r="W173" i="9"/>
  <c r="W165" i="9"/>
  <c r="Z137" i="9"/>
  <c r="Z153" i="9"/>
  <c r="W180" i="9"/>
  <c r="W172" i="9"/>
  <c r="Z130" i="9"/>
  <c r="Z138" i="9"/>
  <c r="Z146" i="9"/>
  <c r="Z154" i="9"/>
  <c r="Z162" i="9"/>
  <c r="W179" i="9"/>
  <c r="W171" i="9"/>
  <c r="Z131" i="9"/>
  <c r="Z139" i="9"/>
  <c r="Z147" i="9"/>
  <c r="Z155" i="9"/>
  <c r="Z163" i="9"/>
  <c r="W178" i="9"/>
  <c r="W170" i="9"/>
  <c r="Z132" i="9"/>
  <c r="Z140" i="9"/>
  <c r="Z148" i="9"/>
  <c r="Z156" i="9"/>
  <c r="Z164" i="9"/>
  <c r="Z45" i="9"/>
  <c r="Z53" i="9"/>
  <c r="Z61" i="9"/>
  <c r="Z55" i="9"/>
  <c r="Z64" i="9"/>
  <c r="Z50" i="9"/>
  <c r="Z46" i="9"/>
  <c r="Z54" i="9"/>
  <c r="Z62" i="9"/>
  <c r="Z47" i="9"/>
  <c r="Z63" i="9"/>
  <c r="Z48" i="9"/>
  <c r="Z49" i="9"/>
  <c r="Z51" i="9"/>
  <c r="Z52" i="9"/>
  <c r="Z56" i="9"/>
  <c r="Z57" i="9"/>
  <c r="Z58" i="9"/>
  <c r="Z59" i="9"/>
  <c r="Z60" i="9"/>
  <c r="Z25" i="9"/>
  <c r="Z33" i="9"/>
  <c r="Z41" i="9"/>
  <c r="Z44" i="9"/>
  <c r="Z29" i="9"/>
  <c r="Z26" i="9"/>
  <c r="Z34" i="9"/>
  <c r="Z42" i="9"/>
  <c r="Z36" i="9"/>
  <c r="Z40" i="9"/>
  <c r="Z27" i="9"/>
  <c r="Z35" i="9"/>
  <c r="Z43" i="9"/>
  <c r="Z28" i="9"/>
  <c r="Z37" i="9"/>
  <c r="Z30" i="9"/>
  <c r="Z38" i="9"/>
  <c r="Z31" i="9"/>
  <c r="Z39" i="9"/>
  <c r="Z32" i="9"/>
  <c r="AH20" i="9"/>
  <c r="AH30" i="9"/>
  <c r="AH36" i="9"/>
  <c r="AH44" i="9"/>
  <c r="AH50" i="9"/>
  <c r="AH52" i="9"/>
  <c r="AH54" i="9"/>
  <c r="AH56" i="9"/>
  <c r="AH58" i="9"/>
  <c r="AH60" i="9"/>
  <c r="AH62" i="9"/>
  <c r="AH64" i="9"/>
  <c r="AH90" i="9"/>
  <c r="AH92" i="9"/>
  <c r="AH94" i="9"/>
  <c r="AH96" i="9"/>
  <c r="AH100" i="9"/>
  <c r="AH102" i="9"/>
  <c r="AH104" i="9"/>
  <c r="AH108" i="9"/>
  <c r="AH110" i="9"/>
  <c r="AH114" i="9"/>
  <c r="AH116" i="9"/>
  <c r="AH122" i="9"/>
  <c r="AH124" i="9"/>
  <c r="AH128" i="9"/>
  <c r="AH130" i="9"/>
  <c r="AH132" i="9"/>
  <c r="AH134" i="9"/>
  <c r="AH136" i="9"/>
  <c r="AH137" i="9"/>
  <c r="AH140" i="9"/>
  <c r="AH142" i="9"/>
  <c r="AH144" i="9"/>
  <c r="AH148" i="9"/>
  <c r="AH150" i="9"/>
  <c r="AH152" i="9"/>
  <c r="AH154" i="9"/>
  <c r="AH156" i="9"/>
  <c r="AH158" i="9"/>
  <c r="AH160" i="9"/>
  <c r="AH162" i="9"/>
  <c r="AH164" i="9"/>
  <c r="AH168" i="9"/>
  <c r="AH170" i="9"/>
  <c r="AH172" i="9"/>
  <c r="AH174" i="9"/>
  <c r="AH180" i="9"/>
  <c r="AH182" i="9"/>
  <c r="AH184" i="9"/>
  <c r="AH228" i="9"/>
  <c r="AH230" i="9"/>
  <c r="AH232" i="9"/>
  <c r="AH234" i="9"/>
  <c r="AH236" i="9"/>
  <c r="AH238" i="9"/>
  <c r="AH240" i="9"/>
  <c r="AH242" i="9"/>
  <c r="AH244" i="9"/>
  <c r="AH268" i="9"/>
  <c r="AH272" i="9"/>
  <c r="AH274" i="9"/>
  <c r="AH276" i="9"/>
  <c r="AH278" i="9"/>
  <c r="AH280" i="9"/>
  <c r="AH284" i="9"/>
  <c r="AH32" i="9"/>
  <c r="AH38" i="9"/>
  <c r="AH48" i="9"/>
  <c r="AH28" i="9"/>
  <c r="AH34" i="9"/>
  <c r="AH42" i="9"/>
  <c r="AH269" i="9"/>
  <c r="AH270" i="9"/>
  <c r="AH7" i="9"/>
  <c r="AH11" i="9"/>
  <c r="AH15" i="9"/>
  <c r="AH19" i="9"/>
  <c r="AH265" i="9"/>
  <c r="AH266" i="9"/>
  <c r="AH9" i="9"/>
  <c r="AH13" i="9"/>
  <c r="AH17" i="9"/>
  <c r="AH267" i="9"/>
  <c r="AH271" i="9"/>
  <c r="AH273" i="9"/>
  <c r="AH275" i="9"/>
  <c r="AH277" i="9"/>
  <c r="AH279" i="9"/>
  <c r="AH281" i="9"/>
  <c r="AH282" i="9"/>
  <c r="AH283" i="9"/>
  <c r="AH6" i="9"/>
  <c r="AH5" i="9"/>
  <c r="AH10" i="9"/>
  <c r="AH14" i="9"/>
  <c r="AH18" i="9"/>
  <c r="AH45" i="9"/>
  <c r="AH46" i="9"/>
  <c r="AH86" i="9"/>
  <c r="AH85" i="9"/>
  <c r="AH97" i="9"/>
  <c r="AH98" i="9"/>
  <c r="AH226" i="9"/>
  <c r="AH225" i="9"/>
  <c r="AH8" i="9"/>
  <c r="AH12" i="9"/>
  <c r="AH16" i="9"/>
  <c r="AH117" i="9"/>
  <c r="AH118" i="9"/>
  <c r="AH126" i="9"/>
  <c r="AH125" i="9"/>
  <c r="AH145" i="9"/>
  <c r="AH146" i="9"/>
  <c r="AH166" i="9"/>
  <c r="AH165" i="9"/>
  <c r="AH26" i="9"/>
  <c r="AH27" i="9"/>
  <c r="AH29" i="9"/>
  <c r="AH31" i="9"/>
  <c r="AH33" i="9"/>
  <c r="AH35" i="9"/>
  <c r="AH37" i="9"/>
  <c r="AH39" i="9"/>
  <c r="AH40" i="9"/>
  <c r="AH41" i="9"/>
  <c r="AH43" i="9"/>
  <c r="AH47" i="9"/>
  <c r="AH49" i="9"/>
  <c r="AH51" i="9"/>
  <c r="AH53" i="9"/>
  <c r="AH55" i="9"/>
  <c r="AH57" i="9"/>
  <c r="AH59" i="9"/>
  <c r="AH61" i="9"/>
  <c r="AH63" i="9"/>
  <c r="AH87" i="9"/>
  <c r="AH88" i="9"/>
  <c r="AH89" i="9"/>
  <c r="AH91" i="9"/>
  <c r="AH93" i="9"/>
  <c r="AH95" i="9"/>
  <c r="AH99" i="9"/>
  <c r="AH101" i="9"/>
  <c r="AH103" i="9"/>
  <c r="AH106" i="9"/>
  <c r="AH107" i="9"/>
  <c r="AH109" i="9"/>
  <c r="AH111" i="9"/>
  <c r="AH112" i="9"/>
  <c r="AH113" i="9"/>
  <c r="AH115" i="9"/>
  <c r="AH119" i="9"/>
  <c r="AH120" i="9"/>
  <c r="AH121" i="9"/>
  <c r="AH123" i="9"/>
  <c r="AH127" i="9"/>
  <c r="AH129" i="9"/>
  <c r="AH131" i="9"/>
  <c r="AH133" i="9"/>
  <c r="AH135" i="9"/>
  <c r="AH138" i="9"/>
  <c r="AH139" i="9"/>
  <c r="AH141" i="9"/>
  <c r="AH143" i="9"/>
  <c r="AH147" i="9"/>
  <c r="AH149" i="9"/>
  <c r="AH151" i="9"/>
  <c r="AH153" i="9"/>
  <c r="AH155" i="9"/>
  <c r="AH157" i="9"/>
  <c r="AH159" i="9"/>
  <c r="AH161" i="9"/>
  <c r="AH163" i="9"/>
  <c r="AH167" i="9"/>
  <c r="AH169" i="9"/>
  <c r="AH171" i="9"/>
  <c r="AH173" i="9"/>
  <c r="AH175" i="9"/>
  <c r="AH176" i="9"/>
  <c r="AH177" i="9"/>
  <c r="AH178" i="9"/>
  <c r="AH179" i="9"/>
  <c r="AH181" i="9"/>
  <c r="AH183" i="9"/>
  <c r="AH227" i="9"/>
  <c r="AH229" i="9"/>
  <c r="AH231" i="9"/>
  <c r="AH233" i="9"/>
  <c r="AH235" i="9"/>
  <c r="AH237" i="9"/>
  <c r="AH239" i="9"/>
  <c r="AH241" i="9"/>
  <c r="AH243" i="9"/>
  <c r="AP8" i="9"/>
  <c r="AP16" i="9"/>
  <c r="AP28" i="9"/>
  <c r="AP36" i="9"/>
  <c r="AP44" i="9"/>
  <c r="AP52" i="9"/>
  <c r="AP60" i="9"/>
  <c r="AP92" i="9"/>
  <c r="AP102" i="9"/>
  <c r="AP110" i="9"/>
  <c r="AP120" i="9"/>
  <c r="AP130" i="9"/>
  <c r="AP140" i="9"/>
  <c r="AP148" i="9"/>
  <c r="AP156" i="9"/>
  <c r="AP164" i="9"/>
  <c r="AP172" i="9"/>
  <c r="AP180" i="9"/>
  <c r="AP230" i="9"/>
  <c r="AP240" i="9"/>
  <c r="AP270" i="9"/>
  <c r="AP280" i="9"/>
  <c r="AP10" i="9"/>
  <c r="AP18" i="9"/>
  <c r="AP30" i="9"/>
  <c r="AP38" i="9"/>
  <c r="AP46" i="9"/>
  <c r="AP56" i="9"/>
  <c r="AP86" i="9"/>
  <c r="AP94" i="9"/>
  <c r="AP100" i="9"/>
  <c r="AP108" i="9"/>
  <c r="AP116" i="9"/>
  <c r="AP124" i="9"/>
  <c r="AP132" i="9"/>
  <c r="AP138" i="9"/>
  <c r="AP146" i="9"/>
  <c r="AP154" i="9"/>
  <c r="AP162" i="9"/>
  <c r="AP170" i="9"/>
  <c r="AP178" i="9"/>
  <c r="AP226" i="9"/>
  <c r="AP234" i="9"/>
  <c r="AP242" i="9"/>
  <c r="AP266" i="9"/>
  <c r="AP272" i="9"/>
  <c r="AP278" i="9"/>
  <c r="AP5" i="9"/>
  <c r="AP11" i="9"/>
  <c r="AP17" i="9"/>
  <c r="AP27" i="9"/>
  <c r="AP33" i="9"/>
  <c r="AP39" i="9"/>
  <c r="AP45" i="9"/>
  <c r="AP51" i="9"/>
  <c r="AP57" i="9"/>
  <c r="AP63" i="9"/>
  <c r="AP89" i="9"/>
  <c r="AP95" i="9"/>
  <c r="AP101" i="9"/>
  <c r="AP107" i="9"/>
  <c r="AP115" i="9"/>
  <c r="AP121" i="9"/>
  <c r="AP127" i="9"/>
  <c r="AP133" i="9"/>
  <c r="AP139" i="9"/>
  <c r="AP145" i="9"/>
  <c r="AP151" i="9"/>
  <c r="AP157" i="9"/>
  <c r="AP163" i="9"/>
  <c r="AP169" i="9"/>
  <c r="AP175" i="9"/>
  <c r="AP181" i="9"/>
  <c r="AP227" i="9"/>
  <c r="AP233" i="9"/>
  <c r="AP239" i="9"/>
  <c r="AP265" i="9"/>
  <c r="AP271" i="9"/>
  <c r="AP275" i="9"/>
  <c r="AP281" i="9"/>
  <c r="AP12" i="9"/>
  <c r="AP26" i="9"/>
  <c r="AP34" i="9"/>
  <c r="AP42" i="9"/>
  <c r="AP50" i="9"/>
  <c r="AP58" i="9"/>
  <c r="AP64" i="9"/>
  <c r="AP90" i="9"/>
  <c r="AP96" i="9"/>
  <c r="AP104" i="9"/>
  <c r="AP112" i="9"/>
  <c r="AP118" i="9"/>
  <c r="AP126" i="9"/>
  <c r="AP134" i="9"/>
  <c r="AP142" i="9"/>
  <c r="AP150" i="9"/>
  <c r="AP158" i="9"/>
  <c r="AP166" i="9"/>
  <c r="AP174" i="9"/>
  <c r="AP182" i="9"/>
  <c r="AP228" i="9"/>
  <c r="AP236" i="9"/>
  <c r="AP244" i="9"/>
  <c r="AP274" i="9"/>
  <c r="AP282" i="9"/>
  <c r="AP7" i="9"/>
  <c r="AP13" i="9"/>
  <c r="AP25" i="9"/>
  <c r="AP31" i="9"/>
  <c r="AP37" i="9"/>
  <c r="AP43" i="9"/>
  <c r="AP49" i="9"/>
  <c r="AP55" i="9"/>
  <c r="AP61" i="9"/>
  <c r="AP87" i="9"/>
  <c r="AP93" i="9"/>
  <c r="AP99" i="9"/>
  <c r="AP105" i="9"/>
  <c r="AP111" i="9"/>
  <c r="AP117" i="9"/>
  <c r="AP123" i="9"/>
  <c r="AP129" i="9"/>
  <c r="AP135" i="9"/>
  <c r="AP141" i="9"/>
  <c r="AP147" i="9"/>
  <c r="AP153" i="9"/>
  <c r="AP159" i="9"/>
  <c r="AP165" i="9"/>
  <c r="AP171" i="9"/>
  <c r="AP177" i="9"/>
  <c r="AP183" i="9"/>
  <c r="AP229" i="9"/>
  <c r="AP235" i="9"/>
  <c r="AP241" i="9"/>
  <c r="AP267" i="9"/>
  <c r="AP273" i="9"/>
  <c r="AP277" i="9"/>
  <c r="AP283" i="9"/>
  <c r="AP6" i="9"/>
  <c r="AP14" i="9"/>
  <c r="AP20" i="9"/>
  <c r="AP32" i="9"/>
  <c r="AP40" i="9"/>
  <c r="AP48" i="9"/>
  <c r="AP54" i="9"/>
  <c r="AP62" i="9"/>
  <c r="AP88" i="9"/>
  <c r="AP98" i="9"/>
  <c r="AP106" i="9"/>
  <c r="AP114" i="9"/>
  <c r="AP122" i="9"/>
  <c r="AP128" i="9"/>
  <c r="AP136" i="9"/>
  <c r="AP144" i="9"/>
  <c r="AP152" i="9"/>
  <c r="AP160" i="9"/>
  <c r="AP168" i="9"/>
  <c r="AP176" i="9"/>
  <c r="AP184" i="9"/>
  <c r="AP232" i="9"/>
  <c r="AP238" i="9"/>
  <c r="AP268" i="9"/>
  <c r="AP276" i="9"/>
  <c r="AP284" i="9"/>
  <c r="AP9" i="9"/>
  <c r="AP15" i="9"/>
  <c r="AP19" i="9"/>
  <c r="AP29" i="9"/>
  <c r="AP35" i="9"/>
  <c r="AP41" i="9"/>
  <c r="AP47" i="9"/>
  <c r="AP53" i="9"/>
  <c r="AP59" i="9"/>
  <c r="AP85" i="9"/>
  <c r="AP91" i="9"/>
  <c r="AP97" i="9"/>
  <c r="AP103" i="9"/>
  <c r="AP109" i="9"/>
  <c r="AP113" i="9"/>
  <c r="AP119" i="9"/>
  <c r="AP125" i="9"/>
  <c r="AP131" i="9"/>
  <c r="AP137" i="9"/>
  <c r="AP143" i="9"/>
  <c r="AP149" i="9"/>
  <c r="AP155" i="9"/>
  <c r="AP161" i="9"/>
  <c r="AP167" i="9"/>
  <c r="AP173" i="9"/>
  <c r="AP179" i="9"/>
  <c r="AP225" i="9"/>
  <c r="AP231" i="9"/>
  <c r="AP237" i="9"/>
  <c r="AP243" i="9"/>
  <c r="AP269" i="9"/>
  <c r="AP279" i="9"/>
  <c r="AR367" i="9"/>
  <c r="AR375" i="9"/>
  <c r="AR368" i="9"/>
  <c r="AR376" i="9"/>
  <c r="AR369" i="9"/>
  <c r="AR377" i="9"/>
  <c r="AR370" i="9"/>
  <c r="AR378" i="9"/>
  <c r="AR371" i="9"/>
  <c r="AR372" i="9"/>
  <c r="AR365" i="9"/>
  <c r="AR366" i="9"/>
  <c r="AR373" i="9"/>
  <c r="AR374" i="9"/>
  <c r="AR79" i="9"/>
  <c r="AR77" i="9"/>
  <c r="AR67" i="9"/>
  <c r="AR65" i="9"/>
  <c r="AR51" i="9"/>
  <c r="AR59" i="9"/>
  <c r="AR27" i="9"/>
  <c r="AR35" i="9"/>
  <c r="AR43" i="9"/>
  <c r="AR12" i="9"/>
  <c r="AR20" i="9"/>
  <c r="AR70" i="9"/>
  <c r="AR75" i="9"/>
  <c r="AR73" i="9"/>
  <c r="AR52" i="9"/>
  <c r="AR60" i="9"/>
  <c r="AR28" i="9"/>
  <c r="AR36" i="9"/>
  <c r="AR44" i="9"/>
  <c r="AR13" i="9"/>
  <c r="AR21" i="9"/>
  <c r="AR68" i="9"/>
  <c r="AR83" i="9"/>
  <c r="AR81" i="9"/>
  <c r="AR45" i="9"/>
  <c r="AR53" i="9"/>
  <c r="AR61" i="9"/>
  <c r="AR29" i="9"/>
  <c r="AR37" i="9"/>
  <c r="AR6" i="9"/>
  <c r="AR14" i="9"/>
  <c r="AR22" i="9"/>
  <c r="AR78" i="9"/>
  <c r="AR76" i="9"/>
  <c r="AR72" i="9"/>
  <c r="AR66" i="9"/>
  <c r="AR47" i="9"/>
  <c r="AR55" i="9"/>
  <c r="AR63" i="9"/>
  <c r="AR31" i="9"/>
  <c r="AR39" i="9"/>
  <c r="AR8" i="9"/>
  <c r="AR16" i="9"/>
  <c r="AR24" i="9"/>
  <c r="AR50" i="9"/>
  <c r="AR26" i="9"/>
  <c r="AR42" i="9"/>
  <c r="AR19" i="9"/>
  <c r="AR7" i="9"/>
  <c r="AR57" i="9"/>
  <c r="AR41" i="9"/>
  <c r="AR54" i="9"/>
  <c r="AR30" i="9"/>
  <c r="AR23" i="9"/>
  <c r="AR80" i="9"/>
  <c r="AR33" i="9"/>
  <c r="AR34" i="9"/>
  <c r="AR25" i="9"/>
  <c r="AR56" i="9"/>
  <c r="AR32" i="9"/>
  <c r="AR9" i="9"/>
  <c r="AR5" i="9"/>
  <c r="AR58" i="9"/>
  <c r="AR11" i="9"/>
  <c r="AR49" i="9"/>
  <c r="AR84" i="9"/>
  <c r="AR82" i="9"/>
  <c r="AR69" i="9"/>
  <c r="AR46" i="9"/>
  <c r="AR62" i="9"/>
  <c r="AR38" i="9"/>
  <c r="AR15" i="9"/>
  <c r="AR74" i="9"/>
  <c r="AR71" i="9"/>
  <c r="AR48" i="9"/>
  <c r="AR64" i="9"/>
  <c r="AR40" i="9"/>
  <c r="AR17" i="9"/>
  <c r="AR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<sst xmlns="http://schemas.openxmlformats.org/spreadsheetml/2006/main" count="5778" uniqueCount="1161">
  <si>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</si>
  <si>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</si>
  <si>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</si>
  <si>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</si>
  <si>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</si>
  <si>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</si>
  <si>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</si>
  <si>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</si>
  <si>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</si>
  <si>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</si>
  <si>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</si>
  <si>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</si>
  <si>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</si>
  <si>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</si>
  <si>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</si>
  <si>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</si>
  <si>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</si>
  <si>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</si>
  <si>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</si>
  <si>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</si>
  <si>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</si>
  <si>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</si>
  <si>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</si>
  <si>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</si>
  <si>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</si>
  <si>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</si>
  <si>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</si>
  <si>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</si>
  <si>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</si>
  <si>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</si>
  <si>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</si>
  <si>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</si>
  <si>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</si>
  <si>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</si>
  <si>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</si>
  <si>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</si>
  <si>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</si>
  <si>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</si>
  <si>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</si>
  <si>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</si>
  <si>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</si>
  <si>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</si>
  <si>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</si>
  <si>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</si>
  <si>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</si>
  <si>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</si>
  <si>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</si>
  <si>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</si>
  <si>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</si>
  <si>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</si>
  <si>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</si>
  <si>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</si>
  <si>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</si>
  <si>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</si>
  <si>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</si>
  <si>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</si>
  <si>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</si>
  <si>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</si>
  <si>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</si>
  <si>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</si>
  <si>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</si>
  <si>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</si>
  <si>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</si>
  <si>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</si>
  <si>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</si>
  <si>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</si>
  <si>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</si>
  <si>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</si>
  <si>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</si>
  <si>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</si>
  <si>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</si>
  <si>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</si>
  <si>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</si>
  <si>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</si>
  <si>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</si>
  <si>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</si>
  <si>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</si>
  <si>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</si>
  <si>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</si>
  <si>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</si>
  <si>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</si>
  <si>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</si>
  <si>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</si>
  <si>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</si>
  <si>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</si>
  <si>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</si>
  <si>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</si>
  <si>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</si>
  <si>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</si>
  <si>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</si>
  <si>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</si>
  <si>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</si>
  <si>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</si>
  <si>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</si>
  <si>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</si>
  <si>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</si>
  <si>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</si>
  <si>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</si>
  <si>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</si>
  <si>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</si>
  <si>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</si>
  <si>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</si>
  <si>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</si>
  <si>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</si>
  <si>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</si>
  <si>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</si>
  <si>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</si>
  <si>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</si>
  <si>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</si>
  <si>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</si>
  <si>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</si>
  <si>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</si>
  <si>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</si>
  <si>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</si>
  <si>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</si>
  <si>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</si>
  <si>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</si>
  <si>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</si>
  <si>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</si>
  <si>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</si>
  <si>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</si>
  <si>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</si>
  <si>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</si>
  <si>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</si>
  <si>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</si>
  <si>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</si>
  <si>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</si>
  <si>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</si>
  <si>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</si>
  <si>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</si>
  <si>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</si>
  <si>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</si>
  <si>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</si>
  <si>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</si>
  <si>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</si>
  <si>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</si>
  <si>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</si>
  <si>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</si>
  <si>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</si>
  <si>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</si>
  <si>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</si>
  <si>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</si>
  <si>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</si>
  <si>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</si>
  <si>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</si>
  <si>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</si>
  <si>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</si>
  <si>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</si>
  <si>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</si>
  <si>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</si>
  <si>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</si>
  <si>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</si>
  <si>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</si>
  <si>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</si>
  <si>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</si>
  <si>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</si>
  <si>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</si>
  <si>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</si>
  <si>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</si>
  <si>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</si>
  <si>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</si>
  <si>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</si>
  <si>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</si>
  <si>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</si>
  <si>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</si>
  <si>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</si>
  <si>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</si>
  <si>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</si>
  <si>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</si>
  <si>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</si>
  <si>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</si>
  <si>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</si>
  <si>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</si>
  <si>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</si>
  <si>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</si>
  <si>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</si>
  <si>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</si>
  <si>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</si>
  <si>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</si>
  <si>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</si>
  <si>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</si>
  <si>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</si>
  <si>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</si>
  <si>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</si>
  <si>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</si>
  <si>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</si>
  <si>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</si>
  <si>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</si>
  <si>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</si>
  <si>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</si>
  <si>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</si>
  <si>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</si>
  <si>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</si>
  <si>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</si>
  <si>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</si>
  <si>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</si>
  <si>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</si>
  <si>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</si>
  <si>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</si>
  <si>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</si>
  <si>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</si>
  <si>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</si>
  <si>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</si>
  <si>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</si>
  <si>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</si>
  <si>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</si>
  <si>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</si>
  <si>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</si>
  <si>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</si>
  <si>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</si>
  <si>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</si>
  <si>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</si>
  <si>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</si>
  <si>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</si>
  <si>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</si>
  <si>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</si>
  <si>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</si>
  <si>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</si>
  <si>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</si>
  <si>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</si>
  <si>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</si>
  <si>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</si>
  <si>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</si>
  <si>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</si>
  <si>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</si>
  <si>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</si>
  <si>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</si>
  <si>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</si>
  <si>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</si>
  <si>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</si>
  <si>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</si>
  <si>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</si>
  <si>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</si>
  <si>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</si>
  <si>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</si>
  <si>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</si>
  <si>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</si>
  <si>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</si>
  <si>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</si>
  <si>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</si>
  <si>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</si>
  <si>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</si>
  <si>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</si>
  <si>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</si>
  <si>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</si>
  <si>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</si>
  <si>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</si>
  <si>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</si>
  <si>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</si>
  <si>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</si>
  <si>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</si>
  <si>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</si>
  <si>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</si>
  <si>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</si>
  <si>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</si>
  <si>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</si>
  <si>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</si>
  <si>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</si>
  <si>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</si>
  <si>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</si>
  <si>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</si>
  <si>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</si>
  <si>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</si>
  <si>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</si>
  <si>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</si>
  <si>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</si>
  <si>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</si>
  <si>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</si>
  <si>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</si>
  <si>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</si>
  <si>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</si>
  <si>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</si>
  <si>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</si>
  <si>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</si>
  <si>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</si>
  <si>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</si>
  <si>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</si>
  <si>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</si>
  <si>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</si>
  <si>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</si>
  <si>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</si>
  <si>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</si>
  <si>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</si>
  <si>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</si>
  <si>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</si>
  <si>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</si>
  <si>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</si>
  <si>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</si>
  <si>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</si>
  <si>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</si>
  <si>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</si>
  <si>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</si>
  <si>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</si>
  <si>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</si>
  <si>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</si>
  <si>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</si>
  <si>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</si>
  <si>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</si>
  <si>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</si>
  <si>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</si>
  <si>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</si>
  <si>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</si>
  <si>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</si>
  <si>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</si>
  <si>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</si>
  <si>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</si>
  <si>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</si>
  <si>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</si>
  <si>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</si>
  <si>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</si>
  <si>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</si>
  <si>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</si>
  <si>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</si>
  <si>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</si>
  <si>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</si>
  <si>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</si>
  <si>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</si>
  <si>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</si>
  <si>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</si>
  <si>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</si>
  <si>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</si>
  <si>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</si>
  <si>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</si>
  <si>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</si>
  <si>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</si>
  <si>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</si>
  <si>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</si>
  <si>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</si>
  <si>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</si>
  <si>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</si>
  <si>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</si>
  <si>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</si>
  <si>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</si>
  <si>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</si>
  <si>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</si>
  <si>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</si>
  <si>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</si>
  <si>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</si>
  <si>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</si>
  <si>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</si>
  <si>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</si>
  <si>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</si>
  <si>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</si>
  <si>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</si>
  <si>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</si>
  <si>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</si>
  <si>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</si>
  <si>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</si>
  <si>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</si>
  <si>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</si>
  <si>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</si>
  <si>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</si>
  <si>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</si>
  <si>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</si>
  <si>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</si>
  <si>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</si>
  <si>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</si>
  <si>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</si>
  <si>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</si>
  <si>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</si>
  <si>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</si>
  <si>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</si>
  <si>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</si>
  <si>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</si>
  <si>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</si>
  <si>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</si>
  <si>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</si>
  <si>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</si>
  <si>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</si>
  <si>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</si>
  <si>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</si>
  <si>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</si>
  <si>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</si>
  <si>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</si>
  <si>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</si>
  <si>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</si>
  <si>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</si>
  <si>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</si>
  <si>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</si>
  <si>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</si>
  <si>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</si>
  <si>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</si>
  <si>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</si>
  <si>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</si>
  <si>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</si>
  <si>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</si>
  <si>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</si>
  <si>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</si>
  <si>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</si>
  <si>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</si>
  <si>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</si>
  <si>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</si>
  <si>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</si>
  <si>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</si>
  <si>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</si>
  <si>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</si>
  <si>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</si>
  <si>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</si>
  <si>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</si>
  <si>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</si>
  <si>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</si>
  <si>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</si>
  <si>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</si>
  <si>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</si>
  <si>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</si>
  <si>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</si>
  <si>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</si>
  <si>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</si>
  <si>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</si>
  <si>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</si>
  <si>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</si>
  <si>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</si>
  <si>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</si>
  <si>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</si>
  <si>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</si>
  <si>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</si>
  <si>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</si>
  <si>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</si>
  <si>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</si>
  <si>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</si>
  <si>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</si>
  <si>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</si>
  <si>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</si>
  <si>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</si>
  <si>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</si>
  <si>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</si>
  <si>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</si>
  <si>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</si>
  <si>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</si>
  <si>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</si>
  <si>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</si>
  <si>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</si>
  <si>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</si>
  <si>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</si>
  <si>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</si>
  <si>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</si>
  <si>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</si>
  <si>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</si>
  <si>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</si>
  <si>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</si>
  <si>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</si>
  <si>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</si>
  <si>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</si>
  <si>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</si>
  <si>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</si>
  <si>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</si>
  <si>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</si>
  <si>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</si>
  <si>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</si>
  <si>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</si>
  <si>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</si>
  <si>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</si>
  <si>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</si>
  <si>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</si>
  <si>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</si>
  <si>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</si>
  <si>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</si>
  <si>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</si>
  <si>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</si>
  <si>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</si>
  <si>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</si>
  <si>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</si>
  <si>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</si>
  <si>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</si>
  <si>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</si>
  <si>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</si>
  <si>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</si>
  <si>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</si>
  <si>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</si>
  <si>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</si>
  <si>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</si>
  <si>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</si>
  <si>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</si>
  <si>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</si>
  <si>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</si>
  <si>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</si>
  <si>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</si>
  <si>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</si>
  <si>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</si>
  <si>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</si>
  <si>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</si>
  <si>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</si>
  <si>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</si>
  <si>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</si>
  <si>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</si>
  <si>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</si>
  <si>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</si>
  <si>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</si>
  <si>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</si>
  <si>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</si>
  <si>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</si>
  <si>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</si>
  <si>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</si>
  <si>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</si>
  <si>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</si>
  <si>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</si>
  <si>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</si>
  <si>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</si>
  <si>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</si>
  <si>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</si>
  <si>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</si>
  <si>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</si>
  <si>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</si>
  <si>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</si>
  <si>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</si>
  <si>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</si>
  <si>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</si>
  <si>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</si>
  <si>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</si>
  <si>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</si>
  <si>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</si>
  <si>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</si>
  <si>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</si>
  <si>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</si>
  <si>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</si>
  <si>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</si>
  <si>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</si>
  <si>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</si>
  <si>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</si>
  <si>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</si>
  <si>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</si>
  <si>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</si>
  <si>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</si>
  <si>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</si>
  <si>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</si>
  <si>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</si>
  <si>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</si>
  <si>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</si>
  <si>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</si>
  <si>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</si>
  <si>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</si>
  <si>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</si>
  <si>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</si>
  <si>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</si>
  <si>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</si>
  <si>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</si>
  <si>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</si>
  <si>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</si>
  <si>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</si>
  <si>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</si>
  <si>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</si>
  <si>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</si>
  <si>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</si>
  <si>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</si>
  <si>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</si>
  <si>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</si>
  <si>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</si>
  <si>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</si>
  <si>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</si>
  <si>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</si>
  <si>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</si>
  <si>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</si>
  <si>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</si>
  <si>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</si>
  <si>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</si>
  <si>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</si>
  <si>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</si>
  <si>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</si>
  <si>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</si>
  <si>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</si>
  <si>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</si>
  <si>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</si>
  <si>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</si>
  <si>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</si>
  <si>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</si>
  <si>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</si>
  <si>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</si>
  <si>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</si>
  <si>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</si>
  <si>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</si>
  <si>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</si>
  <si>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</si>
  <si>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</si>
  <si>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</si>
  <si>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</si>
  <si>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</si>
  <si>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</si>
  <si>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</si>
  <si>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</si>
  <si>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</si>
  <si>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</si>
  <si>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</si>
  <si>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</si>
  <si>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</si>
  <si>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</si>
  <si>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</si>
  <si>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</si>
  <si>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</si>
  <si>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</si>
  <si>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</si>
  <si>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</si>
  <si>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</si>
  <si>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</si>
  <si>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</si>
  <si>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</si>
  <si>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</si>
  <si>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</si>
  <si>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</si>
  <si>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</si>
  <si>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</si>
  <si>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</si>
  <si>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</si>
  <si>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</si>
  <si>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</si>
  <si>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</si>
  <si>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</si>
  <si>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</si>
  <si>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</si>
  <si>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</si>
  <si>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</si>
  <si>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</si>
  <si>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</si>
  <si>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</si>
  <si>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</si>
  <si>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</si>
  <si>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</si>
  <si>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</si>
  <si>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</si>
  <si>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</si>
  <si>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</si>
  <si>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</si>
  <si>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</si>
  <si>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</si>
  <si>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</si>
  <si>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</si>
  <si>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</si>
  <si>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</si>
  <si>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</si>
  <si>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</si>
  <si>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</si>
  <si>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</si>
  <si>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</si>
  <si>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</si>
  <si>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</si>
  <si>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</si>
  <si>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</si>
  <si>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</si>
  <si>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</si>
  <si>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</si>
  <si>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ac_k5</t>
    <phoneticPr fontId="12" type="noConversion"/>
  </si>
  <si>
    <t>zombie_hp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</si>
  <si>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</si>
  <si>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</si>
  <si>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</si>
  <si>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</si>
  <si>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</si>
  <si>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</si>
  <si>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</si>
  <si>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</si>
  <si>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</si>
  <si>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</si>
  <si>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</si>
  <si>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</si>
  <si>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</si>
  <si>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</si>
  <si>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</si>
  <si>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</si>
  <si>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</si>
  <si>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</si>
  <si>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</si>
  <si>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</si>
  <si>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</si>
  <si>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</si>
  <si>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</si>
  <si>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</si>
  <si>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</si>
  <si>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</si>
  <si>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</si>
  <si>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</si>
  <si>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</si>
  <si>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</si>
  <si>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</si>
  <si>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</si>
  <si>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</si>
  <si>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</si>
  <si>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</si>
  <si>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</si>
  <si>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</si>
  <si>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</si>
  <si>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</si>
  <si>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</si>
  <si>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</si>
  <si>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</si>
  <si>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</si>
  <si>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</si>
  <si>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</si>
  <si>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</si>
  <si>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</si>
  <si>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</si>
  <si>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</si>
  <si>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</si>
  <si>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</si>
  <si>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</si>
  <si>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</si>
  <si>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</si>
  <si>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</si>
  <si>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</si>
  <si>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</si>
  <si>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</si>
  <si>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</si>
  <si>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</si>
  <si>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</si>
  <si>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</si>
  <si>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</si>
  <si>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</si>
  <si>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</si>
  <si>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</si>
  <si>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</si>
  <si>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</si>
  <si>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</si>
  <si>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</si>
  <si>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</si>
  <si>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</si>
  <si>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</si>
  <si>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</si>
  <si>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</si>
  <si>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</si>
  <si>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</si>
  <si>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</si>
  <si>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</si>
  <si>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</si>
  <si>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</si>
  <si>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</si>
  <si>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</si>
  <si>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</si>
  <si>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</si>
  <si>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</si>
  <si>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</si>
  <si>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</si>
  <si>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</si>
  <si>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</si>
  <si>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</si>
  <si>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</si>
  <si>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</si>
  <si>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</si>
  <si>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</si>
  <si>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</si>
  <si>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</si>
  <si>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</si>
  <si>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</si>
  <si>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</si>
  <si>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</si>
  <si>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</si>
  <si>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</si>
  <si>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</si>
  <si>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</si>
  <si>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</si>
  <si>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</si>
  <si>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</si>
  <si>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</si>
  <si>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</si>
  <si>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</si>
  <si>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</si>
  <si>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</si>
  <si>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</si>
  <si>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</si>
  <si>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</si>
  <si>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饿了？来碗米饭吧！</t>
    <phoneticPr fontId="12" type="noConversion"/>
  </si>
  <si>
    <t>妈妈从小教导，多吃蔬菜，否则容易营养不良</t>
    <phoneticPr fontId="12" type="noConversion"/>
  </si>
  <si>
    <t>哥吃的不是水果，是健康</t>
    <phoneticPr fontId="12" type="noConversion"/>
  </si>
  <si>
    <t>升级农作物，提高农作物产量必备</t>
    <phoneticPr fontId="12" type="noConversion"/>
  </si>
  <si>
    <t>谁喝谁知道</t>
    <phoneticPr fontId="12" type="noConversion"/>
  </si>
  <si>
    <t>良好的建材</t>
    <phoneticPr fontId="12" type="noConversion"/>
  </si>
  <si>
    <t>更良好的建材</t>
    <phoneticPr fontId="12" type="noConversion"/>
  </si>
  <si>
    <t>黑色液体黄金</t>
    <phoneticPr fontId="12" type="noConversion"/>
  </si>
  <si>
    <t>武器和建筑当中会大量用到</t>
    <phoneticPr fontId="12" type="noConversion"/>
  </si>
  <si>
    <t>末日世界，难免受伤，来个急救包吧！</t>
    <phoneticPr fontId="12" type="noConversion"/>
  </si>
  <si>
    <t>前庄园设计师写的日志，可用于还原庄园内建筑</t>
    <phoneticPr fontId="12" type="noConversion"/>
  </si>
  <si>
    <t>解锁墙上重机枪必备</t>
    <phoneticPr fontId="12" type="noConversion"/>
  </si>
  <si>
    <t>解锁墙上狙击枪必备</t>
    <phoneticPr fontId="12" type="noConversion"/>
  </si>
  <si>
    <t>解锁墙上机炮必备</t>
    <phoneticPr fontId="12" type="noConversion"/>
  </si>
  <si>
    <t>体会院士精神，学习杂交水稻，据说在后期大有用处</t>
    <phoneticPr fontId="12" type="noConversion"/>
  </si>
  <si>
    <t>学习制作化肥，技多不压身，未来一定会有用的</t>
    <phoneticPr fontId="12" type="noConversion"/>
  </si>
  <si>
    <t>学习养猪，未来一定会有用的</t>
    <phoneticPr fontId="12" type="noConversion"/>
  </si>
  <si>
    <t>学习仓储管理，未来一定会有用的</t>
    <phoneticPr fontId="12" type="noConversion"/>
  </si>
  <si>
    <t>石油大亨——洛克菲勒个人传记</t>
    <phoneticPr fontId="12" type="noConversion"/>
  </si>
  <si>
    <t>尼古拉.特斯拉个人传记，如果能领会里面的内容，或许会在电磁学上有所长进</t>
    <phoneticPr fontId="12" type="noConversion"/>
  </si>
  <si>
    <t>钢铁大亨卡耐基个人传记</t>
    <phoneticPr fontId="12" type="noConversion"/>
  </si>
  <si>
    <t>瞻仰大师风采，体会工匠精神</t>
    <phoneticPr fontId="12" type="noConversion"/>
  </si>
  <si>
    <t>学好土木工程，走遍天下都不怕</t>
    <phoneticPr fontId="12" type="noConversion"/>
  </si>
  <si>
    <t>看起来挺有用，但不知道具体有什么用</t>
    <phoneticPr fontId="12" type="noConversion"/>
  </si>
  <si>
    <t>英籍美国人海勒姆·史蒂文斯·马克沁于1883年发明了马克沁机枪，看看他的生平吧！说不定能学到什么</t>
    <phoneticPr fontId="12" type="noConversion"/>
  </si>
  <si>
    <t>由鲁道夫·赫斯执笔撰写，阿道夫.希特勒口授的一本关于希特勒自身的自传。记载了很多当年纳粹德国的秘密</t>
    <phoneticPr fontId="12" type="noConversion"/>
  </si>
  <si>
    <t>美国人理查·乔登·加特林在1860年设计了一款多管旋转机关枪，也许他不知道，他的这款设计将会改写未来战争格局</t>
    <phoneticPr fontId="12" type="noConversion"/>
  </si>
  <si>
    <t>摄影师朗尼·巴雷特于1981年开始设计一款大口径狙击步枪，并于第二年创立了巴雷特军火公司</t>
    <phoneticPr fontId="12" type="noConversion"/>
  </si>
  <si>
    <t>30多年前的一个知名主播写的指南，吃鸡是什么？没人知道</t>
    <phoneticPr fontId="12" type="noConversion"/>
  </si>
  <si>
    <t>保护头部，谁用谁知道</t>
    <phoneticPr fontId="12" type="noConversion"/>
  </si>
  <si>
    <t>携带方便，威力也还可以</t>
    <phoneticPr fontId="12" type="noConversion"/>
  </si>
  <si>
    <t>威力巨大，挨一枪身上就是一个窟窿，射速也非常恐怖</t>
    <phoneticPr fontId="12" type="noConversion"/>
  </si>
  <si>
    <t>没有什么问题是一挺机关枪不能解决的，如果有，就两挺</t>
    <phoneticPr fontId="12" type="noConversion"/>
  </si>
  <si>
    <t>劣质防弹衣，能防塑料子弹</t>
    <phoneticPr fontId="12" type="noConversion"/>
  </si>
  <si>
    <t>民用防弹衣，防个手枪，防个僵尸，问题都不大</t>
    <phoneticPr fontId="12" type="noConversion"/>
  </si>
  <si>
    <t>军用防弹衣，刀枪不入</t>
    <phoneticPr fontId="12" type="noConversion"/>
  </si>
  <si>
    <t>虽然不能防止被僵尸咬，但穿着还是挺舒服的</t>
    <phoneticPr fontId="12" type="noConversion"/>
  </si>
  <si>
    <t>一般的僵尸咬不穿，防护性还不错</t>
    <phoneticPr fontId="12" type="noConversion"/>
  </si>
  <si>
    <t>凯夫拉纤维制作的裤子，把腿伸长了给僵尸咬都只是挠痒痒</t>
    <phoneticPr fontId="12" type="noConversion"/>
  </si>
  <si>
    <t>产地：莆田</t>
    <phoneticPr fontId="12" type="noConversion"/>
  </si>
  <si>
    <t>产地：莆田，但质量确是精品中的精品</t>
    <phoneticPr fontId="12" type="noConversion"/>
  </si>
  <si>
    <t>“穿上之后，我感觉要飞起来了”——博尔特如是说道</t>
    <phoneticPr fontId="12" type="noConversion"/>
  </si>
  <si>
    <t>“研究表明，长期喝矿物质水能够让人更加健康”——专家如是说道</t>
    <phoneticPr fontId="12" type="noConversion"/>
  </si>
  <si>
    <t>吃一口，管一天。肥而不腻，肉质鲜嫩</t>
    <phoneticPr fontId="12" type="noConversion"/>
  </si>
  <si>
    <t>主要成分是 C4 ~C12 烃类，为混合烃类物品之一，加到汽车里跑得飞快</t>
    <phoneticPr fontId="12" type="noConversion"/>
  </si>
  <si>
    <t>比铁更硬，还不容易生锈，是上等的建筑和武器制作材料</t>
    <phoneticPr fontId="12" type="noConversion"/>
  </si>
  <si>
    <t>加工成木板的松木，是上等的建筑材料</t>
    <phoneticPr fontId="12" type="noConversion"/>
  </si>
  <si>
    <t>由水泥搅拌而来，但强度比水泥更高，是上等的建筑材料</t>
    <phoneticPr fontId="12" type="noConversion"/>
  </si>
  <si>
    <t>battery.prefab</t>
  </si>
  <si>
    <t>battery.prefab</t>
    <phoneticPr fontId="12" type="noConversion"/>
  </si>
  <si>
    <t>grainfarm.prefab</t>
    <phoneticPr fontId="12" type="noConversion"/>
  </si>
  <si>
    <t>fruitfarm.prefab</t>
    <phoneticPr fontId="12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</si>
  <si>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</si>
  <si>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</si>
  <si>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</si>
  <si>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</si>
  <si>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</si>
  <si>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</si>
  <si>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2" type="noConversion"/>
  </si>
  <si>
    <t>storehouse.prefab</t>
  </si>
  <si>
    <t>waterfactory.prefab</t>
  </si>
  <si>
    <t>watercollector.prefab</t>
  </si>
  <si>
    <t>well.prefab</t>
  </si>
  <si>
    <t>饲料研磨器</t>
    <phoneticPr fontId="12" type="noConversion"/>
  </si>
  <si>
    <t>利用风能，把草研磨成饲料，然后可以用来喂猪。环保节能，职业养猪人的选择，值得信赖</t>
    <phoneticPr fontId="12" type="noConversion"/>
  </si>
  <si>
    <t>feedfactory.prefab</t>
  </si>
  <si>
    <t>stockhouse.prefab</t>
  </si>
  <si>
    <t>gold_lim</t>
    <phoneticPr fontId="12" type="noConversion"/>
  </si>
  <si>
    <t>bw_lim</t>
    <phoneticPr fontId="12" type="noConversion"/>
  </si>
  <si>
    <t>gold_prop</t>
    <phoneticPr fontId="12" type="noConversion"/>
  </si>
  <si>
    <t>transit_depot</t>
    <phoneticPr fontId="12" type="noConversion"/>
  </si>
  <si>
    <t>big_warehouse</t>
    <phoneticPr fontId="12" type="noConversion"/>
  </si>
  <si>
    <t>黄金比例*100</t>
    <phoneticPr fontId="12" type="noConversion"/>
  </si>
  <si>
    <t>庄园等级</t>
    <phoneticPr fontId="12" type="noConversion"/>
  </si>
  <si>
    <t>required</t>
    <phoneticPr fontId="12" type="noConversion"/>
  </si>
  <si>
    <t>optional</t>
    <phoneticPr fontId="12" type="noConversion"/>
  </si>
  <si>
    <t>int32</t>
    <phoneticPr fontId="12" type="noConversion"/>
  </si>
  <si>
    <t>id</t>
    <phoneticPr fontId="12" type="noConversion"/>
  </si>
  <si>
    <t>领取类比例*100</t>
    <phoneticPr fontId="12" type="noConversion"/>
  </si>
  <si>
    <t>大仓库比例*100</t>
    <phoneticPr fontId="12" type="noConversion"/>
  </si>
  <si>
    <t>上限(单个资源）</t>
    <phoneticPr fontId="12" type="noConversion"/>
  </si>
  <si>
    <t>黄金上限</t>
    <phoneticPr fontId="12" type="noConversion"/>
  </si>
  <si>
    <t>rice</t>
    <phoneticPr fontId="12" type="noConversion"/>
  </si>
  <si>
    <t>vegetable</t>
    <phoneticPr fontId="12" type="noConversion"/>
  </si>
  <si>
    <t>fruit</t>
    <phoneticPr fontId="12" type="noConversion"/>
  </si>
  <si>
    <t>fertilizer</t>
    <phoneticPr fontId="12" type="noConversion"/>
  </si>
  <si>
    <t>water</t>
    <phoneticPr fontId="12" type="noConversion"/>
  </si>
  <si>
    <t>wood</t>
    <phoneticPr fontId="12" type="noConversion"/>
  </si>
  <si>
    <t>cement</t>
    <phoneticPr fontId="12" type="noConversion"/>
  </si>
  <si>
    <t>grass</t>
    <phoneticPr fontId="12" type="noConversion"/>
  </si>
  <si>
    <t>crudeoil</t>
    <phoneticPr fontId="12" type="noConversion"/>
  </si>
  <si>
    <t>iron</t>
    <phoneticPr fontId="12" type="noConversion"/>
  </si>
  <si>
    <t>aidkit</t>
    <phoneticPr fontId="12" type="noConversion"/>
  </si>
  <si>
    <t>book</t>
    <phoneticPr fontId="12" type="noConversion"/>
  </si>
  <si>
    <t>weapondrawing</t>
    <phoneticPr fontId="12" type="noConversion"/>
  </si>
  <si>
    <t>water2</t>
    <phoneticPr fontId="12" type="noConversion"/>
  </si>
  <si>
    <t>fodder</t>
    <phoneticPr fontId="12" type="noConversion"/>
  </si>
  <si>
    <t>pork</t>
    <phoneticPr fontId="12" type="noConversion"/>
  </si>
  <si>
    <t>gasoline</t>
    <phoneticPr fontId="12" type="noConversion"/>
  </si>
  <si>
    <t>steel</t>
    <phoneticPr fontId="12" type="noConversion"/>
  </si>
  <si>
    <t>plank</t>
    <phoneticPr fontId="12" type="noConversion"/>
  </si>
  <si>
    <t>concrete</t>
    <phoneticPr fontId="12" type="noConversion"/>
  </si>
  <si>
    <t>key_name</t>
    <phoneticPr fontId="12" type="noConversion"/>
  </si>
  <si>
    <t>string</t>
    <phoneticPr fontId="12" type="noConversion"/>
  </si>
  <si>
    <t>optional</t>
    <phoneticPr fontId="12" type="noConversion"/>
  </si>
  <si>
    <t>damikey</t>
    <phoneticPr fontId="12" type="noConversion"/>
  </si>
  <si>
    <t>shucaikey</t>
    <phoneticPr fontId="12" type="noConversion"/>
  </si>
  <si>
    <t>shuiguokey</t>
    <phoneticPr fontId="12" type="noConversion"/>
  </si>
  <si>
    <t>huafeikey</t>
    <phoneticPr fontId="12" type="noConversion"/>
  </si>
  <si>
    <t>shuikey</t>
    <phoneticPr fontId="12" type="noConversion"/>
  </si>
  <si>
    <t>songmukey</t>
    <phoneticPr fontId="12" type="noConversion"/>
  </si>
  <si>
    <t>shuinikey</t>
    <phoneticPr fontId="12" type="noConversion"/>
  </si>
  <si>
    <t>caokey</t>
    <phoneticPr fontId="12" type="noConversion"/>
  </si>
  <si>
    <t>yuanyoukey</t>
    <phoneticPr fontId="12" type="noConversion"/>
  </si>
  <si>
    <t>tiekey</t>
    <phoneticPr fontId="12" type="noConversion"/>
  </si>
  <si>
    <t>jijiubaokey</t>
    <phoneticPr fontId="12" type="noConversion"/>
  </si>
  <si>
    <t>rizhikey</t>
    <phoneticPr fontId="12" type="noConversion"/>
  </si>
  <si>
    <t>jiqiangtuzhikey</t>
    <phoneticPr fontId="12" type="noConversion"/>
  </si>
  <si>
    <t>jujituzhikey</t>
    <phoneticPr fontId="12" type="noConversion"/>
  </si>
  <si>
    <t>jipaotuzhikey</t>
    <phoneticPr fontId="12" type="noConversion"/>
  </si>
  <si>
    <t>yuanlongpingkey</t>
    <phoneticPr fontId="12" type="noConversion"/>
  </si>
  <si>
    <t>huafeigongyekey</t>
    <phoneticPr fontId="12" type="noConversion"/>
  </si>
  <si>
    <t>yangzhukey</t>
    <phoneticPr fontId="12" type="noConversion"/>
  </si>
  <si>
    <t>cangchukey</t>
    <phoneticPr fontId="12" type="noConversion"/>
  </si>
  <si>
    <t>tesilakey</t>
    <phoneticPr fontId="12" type="noConversion"/>
  </si>
  <si>
    <t>luokefeilekey</t>
    <phoneticPr fontId="12" type="noConversion"/>
  </si>
  <si>
    <t>kanaijikey</t>
    <phoneticPr fontId="12" type="noConversion"/>
  </si>
  <si>
    <t>lubankey</t>
    <phoneticPr fontId="12" type="noConversion"/>
  </si>
  <si>
    <t>tumukey</t>
    <phoneticPr fontId="12" type="noConversion"/>
  </si>
  <si>
    <t>fangdaokey</t>
    <phoneticPr fontId="12" type="noConversion"/>
  </si>
  <si>
    <t>makeqinkey</t>
    <phoneticPr fontId="12" type="noConversion"/>
  </si>
  <si>
    <t>wodefendoukey</t>
    <phoneticPr fontId="12" type="noConversion"/>
  </si>
  <si>
    <t>jiatelinkey</t>
    <phoneticPr fontId="12" type="noConversion"/>
  </si>
  <si>
    <t>wbaleitekey</t>
    <phoneticPr fontId="12" type="noConversion"/>
  </si>
  <si>
    <t>guanrenkey</t>
    <phoneticPr fontId="12" type="noConversion"/>
  </si>
  <si>
    <t>kuangquanshuikey</t>
    <phoneticPr fontId="12" type="noConversion"/>
  </si>
  <si>
    <t>siliaokey</t>
    <phoneticPr fontId="12" type="noConversion"/>
  </si>
  <si>
    <t>zhuroukey</t>
    <phoneticPr fontId="12" type="noConversion"/>
  </si>
  <si>
    <t>qiyoukey</t>
    <phoneticPr fontId="12" type="noConversion"/>
  </si>
  <si>
    <t>gangkey</t>
    <phoneticPr fontId="12" type="noConversion"/>
  </si>
  <si>
    <t>songmubankey</t>
    <phoneticPr fontId="12" type="noConversion"/>
  </si>
  <si>
    <t>hunningtukey</t>
    <phoneticPr fontId="12" type="noConversion"/>
  </si>
  <si>
    <t>int32</t>
    <phoneticPr fontId="12" type="noConversion"/>
  </si>
  <si>
    <t>图标名称</t>
    <phoneticPr fontId="12" type="noConversion"/>
  </si>
  <si>
    <t>event_icon</t>
    <phoneticPr fontId="12" type="noConversion"/>
  </si>
  <si>
    <t>对应key</t>
    <phoneticPr fontId="12" type="noConversion"/>
  </si>
  <si>
    <t>zombie_atk</t>
  </si>
  <si>
    <t>zombie_def</t>
  </si>
  <si>
    <t>zombie_hp</t>
  </si>
  <si>
    <t>zombie_num</t>
  </si>
  <si>
    <t>僵尸</t>
    <phoneticPr fontId="12" type="noConversion"/>
  </si>
  <si>
    <t>event_name</t>
    <phoneticPr fontId="12" type="noConversion"/>
  </si>
  <si>
    <t>事件名称</t>
    <phoneticPr fontId="12" type="noConversion"/>
  </si>
  <si>
    <t>事件描述</t>
    <phoneticPr fontId="12" type="noConversion"/>
  </si>
  <si>
    <t>内部描述</t>
    <phoneticPr fontId="12" type="noConversion"/>
  </si>
  <si>
    <t>event_desc</t>
    <phoneticPr fontId="12" type="noConversion"/>
  </si>
  <si>
    <t>僵尸聚集Ⅱ</t>
    <phoneticPr fontId="12" type="noConversion"/>
  </si>
  <si>
    <t>僵尸聚集Ⅲ</t>
    <phoneticPr fontId="12" type="noConversion"/>
  </si>
  <si>
    <t>僵尸变异Ⅱ</t>
    <phoneticPr fontId="12" type="noConversion"/>
  </si>
  <si>
    <t>僵尸变异Ⅲ</t>
    <phoneticPr fontId="12" type="noConversion"/>
  </si>
  <si>
    <t>僵尸事件→</t>
    <phoneticPr fontId="12" type="noConversion"/>
  </si>
  <si>
    <t>tax_coeff</t>
    <phoneticPr fontId="12" type="noConversion"/>
  </si>
  <si>
    <t>交易基础税率</t>
    <phoneticPr fontId="12" type="noConversion"/>
  </si>
  <si>
    <t>k1</t>
    <phoneticPr fontId="12" type="noConversion"/>
  </si>
  <si>
    <t>event_prob</t>
    <phoneticPr fontId="12" type="noConversion"/>
  </si>
  <si>
    <t>蝗灾Ⅰ</t>
    <phoneticPr fontId="12" type="noConversion"/>
  </si>
  <si>
    <t>蝗灾Ⅱ</t>
    <phoneticPr fontId="12" type="noConversion"/>
  </si>
  <si>
    <t>蝗灾Ⅲ</t>
    <phoneticPr fontId="12" type="noConversion"/>
  </si>
  <si>
    <t>旱灾Ⅰ</t>
    <phoneticPr fontId="12" type="noConversion"/>
  </si>
  <si>
    <t>旱灾Ⅱ</t>
    <phoneticPr fontId="12" type="noConversion"/>
  </si>
  <si>
    <t>旱灾Ⅲ</t>
    <phoneticPr fontId="12" type="noConversion"/>
  </si>
  <si>
    <t>持续时间（min）</t>
    <phoneticPr fontId="12" type="noConversion"/>
  </si>
  <si>
    <t>event_duration</t>
    <phoneticPr fontId="12" type="noConversion"/>
  </si>
  <si>
    <t>植物炭疽病Ⅰ</t>
    <phoneticPr fontId="12" type="noConversion"/>
  </si>
  <si>
    <t>植物炭疽病Ⅱ</t>
    <phoneticPr fontId="12" type="noConversion"/>
  </si>
  <si>
    <t>植物炭疽病Ⅲ</t>
    <phoneticPr fontId="12" type="noConversion"/>
  </si>
  <si>
    <t>流感Ⅰ</t>
    <phoneticPr fontId="12" type="noConversion"/>
  </si>
  <si>
    <t>流感Ⅱ</t>
    <phoneticPr fontId="12" type="noConversion"/>
  </si>
  <si>
    <t>流感Ⅲ</t>
    <phoneticPr fontId="12" type="noConversion"/>
  </si>
  <si>
    <t>player_attrkey</t>
    <phoneticPr fontId="12" type="noConversion"/>
  </si>
  <si>
    <t>healthkey</t>
    <phoneticPr fontId="12" type="noConversion"/>
  </si>
  <si>
    <t>moodkey</t>
    <phoneticPr fontId="12" type="noConversion"/>
  </si>
  <si>
    <t>healthkey</t>
    <phoneticPr fontId="12" type="noConversion"/>
  </si>
  <si>
    <t>moodkey</t>
    <phoneticPr fontId="12" type="noConversion"/>
  </si>
  <si>
    <t>leida_bldg</t>
  </si>
  <si>
    <t>功能类建筑→</t>
    <phoneticPr fontId="12" type="noConversion"/>
  </si>
  <si>
    <t>回复血量</t>
    <phoneticPr fontId="12" type="noConversion"/>
  </si>
  <si>
    <t>使用效果</t>
    <phoneticPr fontId="12" type="noConversion"/>
  </si>
  <si>
    <t>是否可直接使用（1可用，0不可用）</t>
    <phoneticPr fontId="12" type="noConversion"/>
  </si>
  <si>
    <t>人最好不要吃，但可加工为猪饲料</t>
    <phoneticPr fontId="12" type="noConversion"/>
  </si>
  <si>
    <t>猪猪最喜欢吃了，不推荐人吃</t>
    <phoneticPr fontId="12" type="noConversion"/>
  </si>
  <si>
    <t>回复饥饿*1000</t>
    <phoneticPr fontId="12" type="noConversion"/>
  </si>
  <si>
    <t>回复口渴*1000</t>
    <phoneticPr fontId="12" type="noConversion"/>
  </si>
  <si>
    <t>回复心情*1000</t>
    <phoneticPr fontId="12" type="noConversion"/>
  </si>
  <si>
    <t>可回复心情上限*100</t>
    <phoneticPr fontId="12" type="noConversion"/>
  </si>
  <si>
    <t>回复健康*1000</t>
    <phoneticPr fontId="12" type="noConversion"/>
  </si>
  <si>
    <t>可回复健康上限（比例）*100</t>
    <phoneticPr fontId="12" type="noConversion"/>
  </si>
  <si>
    <t>toukui1key</t>
    <phoneticPr fontId="12" type="noConversion"/>
  </si>
  <si>
    <t>toukui2key</t>
    <phoneticPr fontId="12" type="noConversion"/>
  </si>
  <si>
    <t>toukui3key</t>
    <phoneticPr fontId="12" type="noConversion"/>
  </si>
  <si>
    <t>shouqiang1key</t>
    <phoneticPr fontId="12" type="noConversion"/>
  </si>
  <si>
    <t>buqiang1key</t>
    <phoneticPr fontId="12" type="noConversion"/>
  </si>
  <si>
    <t>qingjiqiang1key</t>
    <phoneticPr fontId="12" type="noConversion"/>
  </si>
  <si>
    <t>fangdanyi1key</t>
    <phoneticPr fontId="12" type="noConversion"/>
  </si>
  <si>
    <t>fangdanyi2key</t>
    <phoneticPr fontId="12" type="noConversion"/>
  </si>
  <si>
    <t>fangdanyi3key</t>
    <phoneticPr fontId="12" type="noConversion"/>
  </si>
  <si>
    <t>kuzi1key</t>
    <phoneticPr fontId="12" type="noConversion"/>
  </si>
  <si>
    <t>kuzi2key</t>
    <phoneticPr fontId="12" type="noConversion"/>
  </si>
  <si>
    <t>kuzi3key</t>
    <phoneticPr fontId="12" type="noConversion"/>
  </si>
  <si>
    <t>xiezi1key</t>
    <phoneticPr fontId="12" type="noConversion"/>
  </si>
  <si>
    <t>xiezi2key</t>
    <phoneticPr fontId="12" type="noConversion"/>
  </si>
  <si>
    <t>xiezi3key</t>
    <phoneticPr fontId="12" type="noConversion"/>
  </si>
  <si>
    <t>kuangquanshuikey</t>
    <phoneticPr fontId="12" type="noConversion"/>
  </si>
  <si>
    <t>serviceable_rate</t>
    <phoneticPr fontId="12" type="noConversion"/>
  </si>
  <si>
    <t>价格*1000</t>
    <phoneticPr fontId="12" type="noConversion"/>
  </si>
  <si>
    <t>真实价格</t>
    <phoneticPr fontId="12" type="noConversion"/>
  </si>
  <si>
    <t>玩家可购买等级（玩家等级）（0代表不可用）</t>
    <phoneticPr fontId="12" type="noConversion"/>
  </si>
  <si>
    <t>int32</t>
    <phoneticPr fontId="12" type="noConversion"/>
  </si>
  <si>
    <t>每个道具价值黄金</t>
    <phoneticPr fontId="12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</si>
  <si>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</si>
  <si>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</si>
  <si>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</si>
  <si>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</si>
  <si>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</si>
  <si>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</si>
  <si>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</si>
  <si>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</si>
  <si>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</si>
  <si>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</si>
  <si>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</si>
  <si>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</si>
  <si>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</si>
  <si>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</si>
  <si>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</si>
  <si>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</si>
  <si>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</si>
  <si>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</si>
  <si>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2" type="noConversion"/>
  </si>
  <si>
    <t>临时容量key</t>
    <phoneticPr fontId="12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</si>
  <si>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</si>
  <si>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</si>
  <si>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</si>
  <si>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</si>
  <si>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</si>
  <si>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</si>
  <si>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</si>
  <si>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</si>
  <si>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</si>
  <si>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</si>
  <si>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</si>
  <si>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</si>
  <si>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</si>
  <si>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</si>
  <si>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</si>
  <si>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</si>
  <si>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</si>
  <si>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2" type="noConversion"/>
  </si>
  <si>
    <t>dami_bldgcap</t>
    <phoneticPr fontId="12" type="noConversion"/>
  </si>
  <si>
    <t>交易相关→</t>
    <phoneticPr fontId="12" type="noConversion"/>
  </si>
  <si>
    <t>僵尸聚集Ⅰ</t>
    <phoneticPr fontId="12" type="noConversion"/>
  </si>
  <si>
    <t>僵尸大量死亡Ⅰ</t>
    <phoneticPr fontId="12" type="noConversion"/>
  </si>
  <si>
    <t>僵尸大量死亡Ⅱ</t>
    <phoneticPr fontId="12" type="noConversion"/>
  </si>
  <si>
    <t>僵尸大量死亡Ⅲ</t>
    <phoneticPr fontId="12" type="noConversion"/>
  </si>
  <si>
    <t>僵尸变异Ⅰ</t>
    <phoneticPr fontId="12" type="noConversion"/>
  </si>
  <si>
    <t>水灾Ⅰ</t>
    <phoneticPr fontId="12" type="noConversion"/>
  </si>
  <si>
    <t>水灾Ⅱ</t>
    <phoneticPr fontId="12" type="noConversion"/>
  </si>
  <si>
    <t>水灾Ⅲ</t>
    <phoneticPr fontId="12" type="noConversion"/>
  </si>
  <si>
    <t>太阳电磁暴Ⅰ</t>
    <phoneticPr fontId="12" type="noConversion"/>
  </si>
  <si>
    <t>太阳电磁暴Ⅱ</t>
    <phoneticPr fontId="12" type="noConversion"/>
  </si>
  <si>
    <t>太阳电磁暴Ⅲ</t>
    <phoneticPr fontId="12" type="noConversion"/>
  </si>
  <si>
    <t>稻瘟病Ⅰ</t>
    <phoneticPr fontId="12" type="noConversion"/>
  </si>
  <si>
    <t>稻瘟病Ⅱ</t>
    <phoneticPr fontId="12" type="noConversion"/>
  </si>
  <si>
    <t>稻瘟病Ⅲ</t>
    <phoneticPr fontId="12" type="noConversion"/>
  </si>
  <si>
    <t>雾霾Ⅰ</t>
    <phoneticPr fontId="12" type="noConversion"/>
  </si>
  <si>
    <t>雾霾Ⅱ</t>
    <phoneticPr fontId="12" type="noConversion"/>
  </si>
  <si>
    <t>雾霾Ⅲ</t>
    <phoneticPr fontId="12" type="noConversion"/>
  </si>
  <si>
    <t>事件类型，
程序不用看
（1=僵尸类，
2=战争类
3=自然灾害类，
4=人类）</t>
    <phoneticPr fontId="12" type="noConversion"/>
  </si>
  <si>
    <t>事件详细小分类（此处同类型不能同时出现）</t>
    <phoneticPr fontId="12" type="noConversion"/>
  </si>
  <si>
    <t>攻击系数*100</t>
    <phoneticPr fontId="12" type="noConversion"/>
  </si>
  <si>
    <t>防御系数*100</t>
    <phoneticPr fontId="12" type="noConversion"/>
  </si>
  <si>
    <t>血量系数*100</t>
    <phoneticPr fontId="12" type="noConversion"/>
  </si>
  <si>
    <t>僵尸数量系数*100</t>
    <phoneticPr fontId="12" type="noConversion"/>
  </si>
  <si>
    <t>健康系数*100</t>
    <phoneticPr fontId="12" type="noConversion"/>
  </si>
  <si>
    <t>心情系数*100</t>
    <phoneticPr fontId="12" type="noConversion"/>
  </si>
  <si>
    <t>水稻种植场系数*100</t>
    <phoneticPr fontId="12" type="noConversion"/>
  </si>
  <si>
    <t>蔬菜种植场系数*100</t>
    <phoneticPr fontId="12" type="noConversion"/>
  </si>
  <si>
    <t>水果园系数*100</t>
    <phoneticPr fontId="12" type="noConversion"/>
  </si>
  <si>
    <t>井系数*100</t>
    <phoneticPr fontId="12" type="noConversion"/>
  </si>
  <si>
    <t>露水收集器系数*100</t>
    <phoneticPr fontId="12" type="noConversion"/>
  </si>
  <si>
    <t>松树林系数*100</t>
    <phoneticPr fontId="12" type="noConversion"/>
  </si>
  <si>
    <t>领取类产速→</t>
    <phoneticPr fontId="12" type="noConversion"/>
  </si>
  <si>
    <t>水稻种植场产速系数*100</t>
    <phoneticPr fontId="12" type="noConversion"/>
  </si>
  <si>
    <t>蔬菜种植场产速系数*100</t>
    <phoneticPr fontId="12" type="noConversion"/>
  </si>
  <si>
    <t>水果园产速系数*100</t>
    <phoneticPr fontId="12" type="noConversion"/>
  </si>
  <si>
    <t>井产速系数*100</t>
    <phoneticPr fontId="12" type="noConversion"/>
  </si>
  <si>
    <t>露水收集器产速系数*100</t>
    <phoneticPr fontId="12" type="noConversion"/>
  </si>
  <si>
    <t>松树林产速系数*100</t>
    <phoneticPr fontId="12" type="noConversion"/>
  </si>
  <si>
    <t>wuxiandian_bldg</t>
    <phoneticPr fontId="12" type="noConversion"/>
  </si>
  <si>
    <t>leida_bldg</t>
    <phoneticPr fontId="12" type="noConversion"/>
  </si>
  <si>
    <t>无线电提前接收系数*100</t>
    <phoneticPr fontId="12" type="noConversion"/>
  </si>
  <si>
    <t>雷达提前接收系数*100</t>
    <phoneticPr fontId="12" type="noConversion"/>
  </si>
  <si>
    <t>风力发电机</t>
    <phoneticPr fontId="12" type="noConversion"/>
  </si>
  <si>
    <t>fengli_bldgcap</t>
    <phoneticPr fontId="12" type="noConversion"/>
  </si>
  <si>
    <t>fengli_bldgspd</t>
    <phoneticPr fontId="12" type="noConversion"/>
  </si>
  <si>
    <t>风力发电机（原太阳能）产速系数*100</t>
    <phoneticPr fontId="12" type="noConversion"/>
  </si>
  <si>
    <t>交易税率系数*100</t>
    <phoneticPr fontId="12" type="noConversion"/>
  </si>
  <si>
    <t>大米*100</t>
    <phoneticPr fontId="12" type="noConversion"/>
  </si>
  <si>
    <t>蔬菜*100</t>
    <phoneticPr fontId="12" type="noConversion"/>
  </si>
  <si>
    <t>水果*100</t>
    <phoneticPr fontId="12" type="noConversion"/>
  </si>
  <si>
    <t>化肥*100</t>
    <phoneticPr fontId="12" type="noConversion"/>
  </si>
  <si>
    <t>纯净水*100</t>
    <phoneticPr fontId="12" type="noConversion"/>
  </si>
  <si>
    <t>松木*100</t>
    <phoneticPr fontId="12" type="noConversion"/>
  </si>
  <si>
    <t>水泥*100</t>
    <phoneticPr fontId="12" type="noConversion"/>
  </si>
  <si>
    <t>草*100</t>
    <phoneticPr fontId="12" type="noConversion"/>
  </si>
  <si>
    <t>原油*100</t>
    <phoneticPr fontId="12" type="noConversion"/>
  </si>
  <si>
    <t>铁*100</t>
    <phoneticPr fontId="12" type="noConversion"/>
  </si>
  <si>
    <t>急救包*100</t>
    <phoneticPr fontId="12" type="noConversion"/>
  </si>
  <si>
    <t>庄园日志*100</t>
    <phoneticPr fontId="12" type="noConversion"/>
  </si>
  <si>
    <t>重机枪图纸*100</t>
    <phoneticPr fontId="12" type="noConversion"/>
  </si>
  <si>
    <t>狙击枪图纸*100</t>
    <phoneticPr fontId="12" type="noConversion"/>
  </si>
  <si>
    <t>机炮设计图*100</t>
    <phoneticPr fontId="12" type="noConversion"/>
  </si>
  <si>
    <t>《袁隆平传》*100</t>
    <phoneticPr fontId="12" type="noConversion"/>
  </si>
  <si>
    <t>《化肥工业概论》*100</t>
    <phoneticPr fontId="12" type="noConversion"/>
  </si>
  <si>
    <t>《论如何养猪》*100</t>
    <phoneticPr fontId="12" type="noConversion"/>
  </si>
  <si>
    <t>《仓储管理》*100</t>
    <phoneticPr fontId="12" type="noConversion"/>
  </si>
  <si>
    <t>《特斯拉传》*100</t>
    <phoneticPr fontId="12" type="noConversion"/>
  </si>
  <si>
    <t>《洛克菲勒传》*100</t>
    <phoneticPr fontId="12" type="noConversion"/>
  </si>
  <si>
    <t>《卡耐基传》*100</t>
    <phoneticPr fontId="12" type="noConversion"/>
  </si>
  <si>
    <t>《鲁班传》*100</t>
    <phoneticPr fontId="12" type="noConversion"/>
  </si>
  <si>
    <t>《土木工程概论》*100</t>
    <phoneticPr fontId="12" type="noConversion"/>
  </si>
  <si>
    <t>《防盗门技术》*100</t>
    <phoneticPr fontId="12" type="noConversion"/>
  </si>
  <si>
    <t>《马克沁传》*100</t>
    <phoneticPr fontId="12" type="noConversion"/>
  </si>
  <si>
    <t>《我的奋斗》*100</t>
    <phoneticPr fontId="12" type="noConversion"/>
  </si>
  <si>
    <t>《加特林传》*100</t>
    <phoneticPr fontId="12" type="noConversion"/>
  </si>
  <si>
    <t>《巴雷特的笔记》*100</t>
    <phoneticPr fontId="12" type="noConversion"/>
  </si>
  <si>
    <t>《官人吃鸡指南》*100</t>
    <phoneticPr fontId="12" type="noConversion"/>
  </si>
  <si>
    <t>1级头盔*100</t>
    <phoneticPr fontId="12" type="noConversion"/>
  </si>
  <si>
    <t>2级头盔*100</t>
    <phoneticPr fontId="12" type="noConversion"/>
  </si>
  <si>
    <t>3级头盔*100</t>
    <phoneticPr fontId="12" type="noConversion"/>
  </si>
  <si>
    <t>手枪*100</t>
    <phoneticPr fontId="12" type="noConversion"/>
  </si>
  <si>
    <t>步枪*100</t>
    <phoneticPr fontId="12" type="noConversion"/>
  </si>
  <si>
    <t>轻机枪*100</t>
    <phoneticPr fontId="12" type="noConversion"/>
  </si>
  <si>
    <t>1级防弹衣*100</t>
    <phoneticPr fontId="12" type="noConversion"/>
  </si>
  <si>
    <t>2级防弹衣*100</t>
    <phoneticPr fontId="12" type="noConversion"/>
  </si>
  <si>
    <t>混凝土*100</t>
    <phoneticPr fontId="12" type="noConversion"/>
  </si>
  <si>
    <t>松木板*100</t>
    <phoneticPr fontId="12" type="noConversion"/>
  </si>
  <si>
    <t>钢*100</t>
    <phoneticPr fontId="12" type="noConversion"/>
  </si>
  <si>
    <t>汽油*100</t>
    <phoneticPr fontId="12" type="noConversion"/>
  </si>
  <si>
    <t>猪肉*100</t>
    <phoneticPr fontId="12" type="noConversion"/>
  </si>
  <si>
    <t>饲料*100</t>
    <phoneticPr fontId="12" type="noConversion"/>
  </si>
  <si>
    <t>矿物质水*100</t>
    <phoneticPr fontId="12" type="noConversion"/>
  </si>
  <si>
    <t>3级越野靴*100</t>
    <phoneticPr fontId="12" type="noConversion"/>
  </si>
  <si>
    <t>2级越野靴*100</t>
    <phoneticPr fontId="12" type="noConversion"/>
  </si>
  <si>
    <t>1级越野靴*100</t>
    <phoneticPr fontId="12" type="noConversion"/>
  </si>
  <si>
    <t>3级作训裤*100</t>
    <phoneticPr fontId="12" type="noConversion"/>
  </si>
  <si>
    <t>2级作训裤*100</t>
    <phoneticPr fontId="12" type="noConversion"/>
  </si>
  <si>
    <t>1级作训裤*100</t>
    <phoneticPr fontId="12" type="noConversion"/>
  </si>
  <si>
    <t>3级防弹衣*100</t>
    <phoneticPr fontId="12" type="noConversion"/>
  </si>
  <si>
    <t>小规模战争</t>
    <phoneticPr fontId="12" type="noConversion"/>
  </si>
  <si>
    <t>战争</t>
    <phoneticPr fontId="12" type="noConversion"/>
  </si>
  <si>
    <t>大规模战争</t>
    <phoneticPr fontId="12" type="noConversion"/>
  </si>
  <si>
    <t>大量影响僵尸数量</t>
    <phoneticPr fontId="12" type="noConversion"/>
  </si>
  <si>
    <t>大量影响交易税率</t>
    <phoneticPr fontId="12" type="noConversion"/>
  </si>
  <si>
    <t>中量影响交易价格</t>
    <phoneticPr fontId="12" type="noConversion"/>
  </si>
  <si>
    <t>event_unlock</t>
    <phoneticPr fontId="12" type="noConversion"/>
  </si>
  <si>
    <t>int32</t>
    <phoneticPr fontId="12" type="noConversion"/>
  </si>
  <si>
    <t>庄园多少级可起作用和可见</t>
    <phoneticPr fontId="12" type="noConversion"/>
  </si>
  <si>
    <t>每分钟发生概率*100000</t>
    <phoneticPr fontId="12" type="noConversion"/>
  </si>
  <si>
    <t>领取类临时仓库→
（只减扣/增加一次）</t>
    <phoneticPr fontId="12" type="noConversion"/>
  </si>
  <si>
    <t>风调雨顺Ⅰ</t>
    <phoneticPr fontId="12" type="noConversion"/>
  </si>
  <si>
    <t>风调雨顺Ⅱ</t>
    <phoneticPr fontId="12" type="noConversion"/>
  </si>
  <si>
    <t>风调雨顺Ⅲ</t>
    <phoneticPr fontId="12" type="noConversion"/>
  </si>
  <si>
    <t>世界和平Ⅰ</t>
    <phoneticPr fontId="12" type="noConversion"/>
  </si>
  <si>
    <t>世界和平Ⅱ</t>
    <phoneticPr fontId="12" type="noConversion"/>
  </si>
  <si>
    <t>世界和平Ⅲ</t>
    <phoneticPr fontId="12" type="noConversion"/>
  </si>
  <si>
    <t>备注：整点刷新，k4，单位：具体几点</t>
    <phoneticPr fontId="12" type="noConversion"/>
  </si>
  <si>
    <t>事件新闻描述</t>
    <phoneticPr fontId="12" type="noConversion"/>
  </si>
  <si>
    <t>event_news</t>
    <phoneticPr fontId="12" type="noConversion"/>
  </si>
  <si>
    <t>event_newsdetail</t>
    <phoneticPr fontId="12" type="noConversion"/>
  </si>
  <si>
    <t>大量僵尸在庄园周边集结</t>
    <phoneticPr fontId="12" type="noConversion"/>
  </si>
  <si>
    <t>事件新闻后果</t>
    <phoneticPr fontId="12" type="noConversion"/>
  </si>
  <si>
    <t>有可能会影响到僵尸的强度、武器的价格</t>
    <phoneticPr fontId="12" type="noConversion"/>
  </si>
  <si>
    <t>幸存者电台警示：将有大量..</t>
    <phoneticPr fontId="12" type="noConversion"/>
  </si>
  <si>
    <t>龙卷风Ⅰ</t>
    <phoneticPr fontId="12" type="noConversion"/>
  </si>
  <si>
    <t>龙卷风Ⅱ</t>
    <phoneticPr fontId="12" type="noConversion"/>
  </si>
  <si>
    <t>龙卷风Ⅲ</t>
    <phoneticPr fontId="12" type="noConversion"/>
  </si>
  <si>
    <t>con_prob</t>
    <phoneticPr fontId="12" type="noConversion"/>
  </si>
  <si>
    <t>任何条件</t>
    <phoneticPr fontId="12" type="noConversion"/>
  </si>
  <si>
    <t>出门探索</t>
    <phoneticPr fontId="12" type="noConversion"/>
  </si>
  <si>
    <t>每天平均发生次数</t>
    <phoneticPr fontId="12" type="noConversion"/>
  </si>
  <si>
    <t>时间持续期间平均发生次数</t>
    <phoneticPr fontId="12" type="noConversion"/>
  </si>
  <si>
    <t>任何条件（如果发生，只起一次作用，下同）</t>
    <phoneticPr fontId="12" type="noConversion"/>
  </si>
  <si>
    <t>人类病害★
（个人buff）
→</t>
    <phoneticPr fontId="12" type="noConversion"/>
  </si>
  <si>
    <t>个人buff发生条件</t>
    <phoneticPr fontId="12" type="noConversion"/>
  </si>
  <si>
    <t>条件成立个人buff每分钟发生概率*100000</t>
    <phoneticPr fontId="12" type="noConversion"/>
  </si>
  <si>
    <t>僵尸入侵概率系数*100</t>
    <phoneticPr fontId="12" type="noConversion"/>
  </si>
  <si>
    <t>inva_prob</t>
    <phoneticPr fontId="12" type="noConversion"/>
  </si>
  <si>
    <t>int32</t>
    <phoneticPr fontId="12" type="noConversion"/>
  </si>
  <si>
    <t>optional</t>
    <phoneticPr fontId="12" type="noConversion"/>
  </si>
  <si>
    <t>加工类资源价格系数→</t>
    <phoneticPr fontId="12" type="noConversion"/>
  </si>
  <si>
    <t>装备类价格系数→</t>
    <phoneticPr fontId="12" type="noConversion"/>
  </si>
  <si>
    <t>图纸类价格系数→</t>
    <phoneticPr fontId="12" type="noConversion"/>
  </si>
  <si>
    <t>领取类资源价格系数→</t>
    <phoneticPr fontId="12" type="noConversion"/>
  </si>
  <si>
    <t>商店可购买每日刷新时间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</si>
</sst>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7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top"/>
    </xf>
    <xf numFmtId="0" fontId="4" fillId="19" borderId="1" xfId="1" applyFont="1" applyFill="1" applyBorder="1" applyAlignment="1">
      <alignment horizontal="center" vertical="center"/>
    </xf>
    <xf numFmtId="0" fontId="4" fillId="19" borderId="0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 wrapText="1"/>
    </xf>
    <xf numFmtId="0" fontId="4" fillId="7" borderId="13" xfId="2" applyFont="1" applyFill="1" applyBorder="1" applyAlignment="1">
      <alignment horizontal="center" vertical="center"/>
    </xf>
    <xf numFmtId="0" fontId="4" fillId="7" borderId="13" xfId="3" applyFont="1" applyFill="1" applyBorder="1" applyAlignment="1">
      <alignment horizontal="center" vertical="center"/>
    </xf>
    <xf numFmtId="0" fontId="4" fillId="8" borderId="0" xfId="3" applyFont="1" applyFill="1" applyBorder="1" applyAlignment="1">
      <alignment horizontal="center" vertical="center"/>
    </xf>
    <xf numFmtId="0" fontId="4" fillId="16" borderId="0" xfId="1" applyFont="1" applyFill="1" applyBorder="1" applyAlignment="1">
      <alignment horizontal="center" vertical="center"/>
    </xf>
    <xf numFmtId="0" fontId="4" fillId="16" borderId="1" xfId="1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8" borderId="16" xfId="1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4" fillId="20" borderId="0" xfId="1" applyFont="1" applyFill="1" applyBorder="1" applyAlignment="1">
      <alignment horizontal="center" vertical="center"/>
    </xf>
    <xf numFmtId="0" fontId="4" fillId="20" borderId="13" xfId="0" applyFont="1" applyFill="1" applyBorder="1" applyAlignment="1">
      <alignment horizontal="center" vertical="center"/>
    </xf>
    <xf numFmtId="0" fontId="4" fillId="20" borderId="0" xfId="0" applyFont="1" applyFill="1" applyBorder="1" applyAlignment="1">
      <alignment horizontal="center" vertical="center"/>
    </xf>
    <xf numFmtId="10" fontId="4" fillId="8" borderId="0" xfId="1" applyNumberFormat="1" applyFont="1" applyFill="1" applyBorder="1" applyAlignment="1">
      <alignment horizontal="center" vertical="center"/>
    </xf>
    <xf numFmtId="10" fontId="4" fillId="8" borderId="1" xfId="1" applyNumberFormat="1" applyFont="1" applyFill="1" applyBorder="1" applyAlignment="1">
      <alignment horizontal="center" vertical="center"/>
    </xf>
    <xf numFmtId="10" fontId="4" fillId="8" borderId="0" xfId="0" applyNumberFormat="1" applyFont="1" applyFill="1" applyAlignment="1">
      <alignment horizontal="center" vertical="center"/>
    </xf>
    <xf numFmtId="0" fontId="4" fillId="7" borderId="13" xfId="1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7" borderId="15" xfId="1" applyFont="1" applyFill="1" applyBorder="1" applyAlignment="1">
      <alignment horizontal="center" vertical="center"/>
    </xf>
    <xf numFmtId="0" fontId="4" fillId="8" borderId="13" xfId="1" applyFont="1" applyFill="1" applyBorder="1" applyAlignment="1">
      <alignment horizontal="center" vertical="center"/>
    </xf>
    <xf numFmtId="0" fontId="4" fillId="8" borderId="15" xfId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9" borderId="15" xfId="1" applyFont="1" applyFill="1" applyBorder="1" applyAlignment="1">
      <alignment horizontal="center" vertical="center"/>
    </xf>
    <xf numFmtId="0" fontId="4" fillId="21" borderId="0" xfId="1" applyFont="1" applyFill="1" applyBorder="1" applyAlignment="1">
      <alignment horizontal="center" vertical="center"/>
    </xf>
    <xf numFmtId="0" fontId="4" fillId="21" borderId="1" xfId="1" applyFont="1" applyFill="1" applyBorder="1" applyAlignment="1">
      <alignment horizontal="center" vertical="center"/>
    </xf>
    <xf numFmtId="0" fontId="4" fillId="21" borderId="0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603</v>
      </c>
    </row>
    <row r="16" spans="1:7" x14ac:dyDescent="0.15">
      <c r="B16" s="44">
        <v>2</v>
      </c>
      <c r="D16" s="44" t="s">
        <v>258</v>
      </c>
      <c r="F16" s="44" t="s">
        <v>604</v>
      </c>
    </row>
    <row r="17" spans="2:6" x14ac:dyDescent="0.15">
      <c r="B17" s="44">
        <v>3</v>
      </c>
      <c r="D17" s="44" t="s">
        <v>257</v>
      </c>
      <c r="F17" s="44" t="s">
        <v>714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634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516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O605"/>
  <sheetViews>
    <sheetView topLeftCell="A292" zoomScaleNormal="100" workbookViewId="0">
      <selection activeCell="L316" sqref="L316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1" width="14.875" style="9" customWidth="1"/>
    <col min="12" max="13" width="21" style="9" customWidth="1"/>
    <col min="14" max="14" width="10" style="9" bestFit="1" customWidth="1"/>
    <col min="15" max="15" width="14.875" style="9" bestFit="1" customWidth="1"/>
    <col min="16" max="16" width="22.125" style="9" bestFit="1" customWidth="1"/>
    <col min="17" max="17" width="18.125" style="10" bestFit="1" customWidth="1"/>
    <col min="18" max="18" width="14.25" style="10" bestFit="1" customWidth="1"/>
    <col min="19" max="19" width="35" style="11" bestFit="1" customWidth="1"/>
    <col min="20" max="20" width="29.375" style="9" customWidth="1"/>
    <col min="21" max="21" width="5.625" style="77" bestFit="1" customWidth="1"/>
    <col min="22" max="22" width="21.125" style="85" bestFit="1" customWidth="1"/>
    <col min="23" max="23" width="27.25" style="9" bestFit="1" customWidth="1"/>
    <col min="24" max="24" width="27.25" style="11" bestFit="1" customWidth="1"/>
    <col min="25" max="25" width="21.125" style="85" bestFit="1" customWidth="1"/>
    <col min="26" max="26" width="27.25" style="9" bestFit="1" customWidth="1"/>
    <col min="27" max="27" width="5.625" style="77" bestFit="1" customWidth="1"/>
    <col min="28" max="28" width="27.25" style="9" bestFit="1" customWidth="1"/>
    <col min="29" max="29" width="21.125" style="9" bestFit="1" customWidth="1"/>
    <col min="30" max="30" width="5.625" style="77" bestFit="1" customWidth="1"/>
    <col min="31" max="31" width="21.125" style="9" bestFit="1" customWidth="1"/>
    <col min="32" max="32" width="5.625" style="77" bestFit="1" customWidth="1"/>
    <col min="33" max="33" width="21.125" style="56" bestFit="1" customWidth="1"/>
    <col min="34" max="34" width="21.125" style="10" bestFit="1" customWidth="1"/>
    <col min="35" max="35" width="5.625" style="77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1.375" style="11" bestFit="1" customWidth="1"/>
    <col min="41" max="41" width="15.625" style="10" bestFit="1" customWidth="1"/>
    <col min="42" max="42" width="12" style="56" bestFit="1" customWidth="1"/>
    <col min="43" max="43" width="17.125" style="11" bestFit="1" customWidth="1"/>
    <col min="44" max="44" width="12.875" style="11" bestFit="1" customWidth="1"/>
    <col min="45" max="45" width="10.25" style="10" bestFit="1" customWidth="1"/>
    <col min="46" max="46" width="16.375" style="11" bestFit="1" customWidth="1"/>
    <col min="47" max="47" width="15.625" style="10" bestFit="1" customWidth="1"/>
    <col min="48" max="48" width="17.125" style="11" bestFit="1" customWidth="1"/>
    <col min="49" max="49" width="12.875" style="11" bestFit="1" customWidth="1"/>
    <col min="50" max="50" width="10.25" style="10" bestFit="1" customWidth="1"/>
    <col min="51" max="51" width="16.375" style="11" bestFit="1" customWidth="1"/>
    <col min="52" max="52" width="15.625" style="10" bestFit="1" customWidth="1"/>
    <col min="53" max="53" width="17.125" style="11" bestFit="1" customWidth="1"/>
    <col min="54" max="54" width="12.875" style="11" bestFit="1" customWidth="1"/>
    <col min="55" max="55" width="10.25" style="10" bestFit="1" customWidth="1"/>
    <col min="56" max="56" width="16.375" style="11" bestFit="1" customWidth="1"/>
    <col min="57" max="57" width="15.625" style="10" bestFit="1" customWidth="1"/>
    <col min="58" max="58" width="17.125" style="11" bestFit="1" customWidth="1"/>
    <col min="59" max="59" width="12.875" style="11" bestFit="1" customWidth="1"/>
    <col min="60" max="60" width="10.25" style="10" bestFit="1" customWidth="1"/>
    <col min="61" max="61" width="16.375" style="11" bestFit="1" customWidth="1"/>
    <col min="62" max="62" width="15.625" style="10" bestFit="1" customWidth="1"/>
    <col min="63" max="63" width="17.125" style="11" bestFit="1" customWidth="1"/>
    <col min="64" max="64" width="10" style="11" bestFit="1" customWidth="1"/>
    <col min="65" max="65" width="9.875" style="10" bestFit="1" customWidth="1"/>
    <col min="66" max="66" width="16.375" style="11" bestFit="1" customWidth="1"/>
    <col min="67" max="67" width="9.875" style="10" bestFit="1" customWidth="1"/>
    <col min="68" max="16384" width="9.125" style="8"/>
  </cols>
  <sheetData>
    <row r="1" spans="1:67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861</v>
      </c>
      <c r="M1" s="9" t="s">
        <v>631</v>
      </c>
      <c r="N1" s="9" t="s">
        <v>60</v>
      </c>
      <c r="O1" s="9" t="s">
        <v>60</v>
      </c>
      <c r="P1" s="9" t="s">
        <v>60</v>
      </c>
      <c r="Q1" s="7"/>
      <c r="R1" s="7"/>
      <c r="S1" s="34" t="s">
        <v>60</v>
      </c>
      <c r="T1" s="9" t="s">
        <v>60</v>
      </c>
      <c r="W1" s="9" t="s">
        <v>60</v>
      </c>
      <c r="X1" s="11" t="s">
        <v>60</v>
      </c>
      <c r="Z1" s="9" t="s">
        <v>60</v>
      </c>
      <c r="AB1" s="9" t="s">
        <v>60</v>
      </c>
      <c r="AC1" s="9" t="s">
        <v>60</v>
      </c>
      <c r="AE1" s="9" t="s">
        <v>60</v>
      </c>
      <c r="AG1" s="56" t="s">
        <v>60</v>
      </c>
      <c r="AJ1" s="33" t="s">
        <v>60</v>
      </c>
      <c r="AK1" s="32"/>
      <c r="AL1" s="33" t="s">
        <v>60</v>
      </c>
      <c r="AM1" s="32"/>
      <c r="AN1" s="33" t="s">
        <v>60</v>
      </c>
      <c r="AO1" s="32"/>
      <c r="AP1" s="59" t="s">
        <v>64</v>
      </c>
      <c r="AQ1" s="33" t="s">
        <v>251</v>
      </c>
      <c r="AR1" s="33" t="s">
        <v>60</v>
      </c>
      <c r="AS1" s="32"/>
      <c r="AT1" s="33" t="s">
        <v>60</v>
      </c>
      <c r="AU1" s="32"/>
      <c r="AV1" s="33" t="s">
        <v>251</v>
      </c>
      <c r="AW1" s="33" t="s">
        <v>60</v>
      </c>
      <c r="AX1" s="32"/>
      <c r="AY1" s="33" t="s">
        <v>60</v>
      </c>
      <c r="AZ1" s="32"/>
      <c r="BA1" s="33" t="s">
        <v>251</v>
      </c>
      <c r="BB1" s="33" t="s">
        <v>60</v>
      </c>
      <c r="BC1" s="32"/>
      <c r="BD1" s="33" t="s">
        <v>60</v>
      </c>
      <c r="BE1" s="32"/>
      <c r="BF1" s="33" t="s">
        <v>251</v>
      </c>
      <c r="BG1" s="33" t="s">
        <v>60</v>
      </c>
      <c r="BH1" s="32"/>
      <c r="BI1" s="33" t="s">
        <v>60</v>
      </c>
      <c r="BJ1" s="32"/>
      <c r="BK1" s="33" t="s">
        <v>251</v>
      </c>
      <c r="BL1" s="33" t="s">
        <v>60</v>
      </c>
      <c r="BM1" s="32"/>
      <c r="BN1" s="33" t="s">
        <v>60</v>
      </c>
      <c r="BO1" s="32"/>
    </row>
    <row r="2" spans="1:67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860</v>
      </c>
      <c r="M2" s="9" t="s">
        <v>512</v>
      </c>
      <c r="N2" s="9" t="s">
        <v>61</v>
      </c>
      <c r="O2" s="9" t="s">
        <v>61</v>
      </c>
      <c r="P2" s="9" t="s">
        <v>62</v>
      </c>
      <c r="Q2" s="7"/>
      <c r="R2" s="7"/>
      <c r="S2" s="34" t="s">
        <v>62</v>
      </c>
      <c r="T2" s="9" t="s">
        <v>512</v>
      </c>
      <c r="W2" s="9" t="s">
        <v>534</v>
      </c>
      <c r="X2" s="11" t="s">
        <v>61</v>
      </c>
      <c r="Z2" s="9" t="s">
        <v>534</v>
      </c>
      <c r="AB2" s="9" t="s">
        <v>62</v>
      </c>
      <c r="AC2" s="9" t="s">
        <v>61</v>
      </c>
      <c r="AE2" s="9" t="s">
        <v>61</v>
      </c>
      <c r="AG2" s="56" t="s">
        <v>61</v>
      </c>
      <c r="AJ2" s="31" t="s">
        <v>61</v>
      </c>
      <c r="AK2" s="30"/>
      <c r="AL2" s="31" t="s">
        <v>61</v>
      </c>
      <c r="AM2" s="30"/>
      <c r="AN2" s="31" t="s">
        <v>61</v>
      </c>
      <c r="AO2" s="30"/>
      <c r="AP2" s="60">
        <v>5</v>
      </c>
      <c r="AQ2" s="31">
        <v>4</v>
      </c>
      <c r="AR2" s="31" t="s">
        <v>61</v>
      </c>
      <c r="AS2" s="30"/>
      <c r="AT2" s="31" t="s">
        <v>61</v>
      </c>
      <c r="AU2" s="30"/>
      <c r="AV2" s="31">
        <v>4</v>
      </c>
      <c r="AW2" s="31" t="s">
        <v>61</v>
      </c>
      <c r="AX2" s="30"/>
      <c r="AY2" s="31" t="s">
        <v>61</v>
      </c>
      <c r="AZ2" s="30"/>
      <c r="BA2" s="31">
        <v>4</v>
      </c>
      <c r="BB2" s="31" t="s">
        <v>61</v>
      </c>
      <c r="BC2" s="30"/>
      <c r="BD2" s="31" t="s">
        <v>61</v>
      </c>
      <c r="BE2" s="30"/>
      <c r="BF2" s="31">
        <v>4</v>
      </c>
      <c r="BG2" s="31" t="s">
        <v>61</v>
      </c>
      <c r="BH2" s="30"/>
      <c r="BI2" s="31" t="s">
        <v>61</v>
      </c>
      <c r="BJ2" s="30"/>
      <c r="BK2" s="31">
        <v>4</v>
      </c>
      <c r="BL2" s="31" t="s">
        <v>61</v>
      </c>
      <c r="BM2" s="30"/>
      <c r="BN2" s="31" t="s">
        <v>61</v>
      </c>
      <c r="BO2" s="30"/>
    </row>
    <row r="3" spans="1:67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994</v>
      </c>
      <c r="M3" s="9" t="s">
        <v>996</v>
      </c>
      <c r="N3" s="9" t="s">
        <v>341</v>
      </c>
      <c r="O3" s="9" t="s">
        <v>321</v>
      </c>
      <c r="P3" s="9" t="s">
        <v>247</v>
      </c>
      <c r="Q3" s="7"/>
      <c r="R3" s="7"/>
      <c r="S3" s="34" t="s">
        <v>322</v>
      </c>
      <c r="T3" s="9" t="s">
        <v>514</v>
      </c>
      <c r="W3" s="9" t="s">
        <v>561</v>
      </c>
      <c r="X3" s="11" t="s">
        <v>585</v>
      </c>
      <c r="Z3" s="9" t="s">
        <v>535</v>
      </c>
      <c r="AB3" s="9" t="s">
        <v>335</v>
      </c>
      <c r="AC3" s="9" t="s">
        <v>340</v>
      </c>
      <c r="AE3" s="9" t="s">
        <v>434</v>
      </c>
      <c r="AG3" s="56" t="s">
        <v>461</v>
      </c>
      <c r="AJ3" s="31" t="s">
        <v>246</v>
      </c>
      <c r="AK3" s="30"/>
      <c r="AL3" s="31" t="s">
        <v>436</v>
      </c>
      <c r="AM3" s="30"/>
      <c r="AN3" s="31" t="s">
        <v>515</v>
      </c>
      <c r="AO3" s="30"/>
      <c r="AP3" s="60" t="s">
        <v>252</v>
      </c>
      <c r="AQ3" s="31" t="s">
        <v>253</v>
      </c>
      <c r="AR3" s="31" t="s">
        <v>245</v>
      </c>
      <c r="AS3" s="30"/>
      <c r="AT3" s="31" t="s">
        <v>244</v>
      </c>
      <c r="AU3" s="30"/>
      <c r="AV3" s="31" t="s">
        <v>253</v>
      </c>
      <c r="AW3" s="31" t="s">
        <v>245</v>
      </c>
      <c r="AX3" s="30"/>
      <c r="AY3" s="31" t="s">
        <v>244</v>
      </c>
      <c r="AZ3" s="30"/>
      <c r="BA3" s="31" t="s">
        <v>253</v>
      </c>
      <c r="BB3" s="31" t="s">
        <v>245</v>
      </c>
      <c r="BC3" s="30"/>
      <c r="BD3" s="31" t="s">
        <v>244</v>
      </c>
      <c r="BE3" s="30"/>
      <c r="BF3" s="31" t="s">
        <v>253</v>
      </c>
      <c r="BG3" s="31" t="s">
        <v>245</v>
      </c>
      <c r="BH3" s="30"/>
      <c r="BI3" s="31" t="s">
        <v>244</v>
      </c>
      <c r="BJ3" s="30"/>
      <c r="BK3" s="31" t="s">
        <v>253</v>
      </c>
      <c r="BL3" s="31" t="s">
        <v>245</v>
      </c>
      <c r="BM3" s="30"/>
      <c r="BN3" s="31" t="s">
        <v>244</v>
      </c>
      <c r="BO3" s="30"/>
    </row>
    <row r="4" spans="1:67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586</v>
      </c>
      <c r="I4" s="27" t="s">
        <v>239</v>
      </c>
      <c r="J4" s="78" t="s">
        <v>354</v>
      </c>
      <c r="K4" s="27" t="s">
        <v>240</v>
      </c>
      <c r="L4" s="27" t="s">
        <v>995</v>
      </c>
      <c r="M4" s="27" t="s">
        <v>995</v>
      </c>
      <c r="N4" s="27" t="s">
        <v>342</v>
      </c>
      <c r="O4" s="27" t="s">
        <v>356</v>
      </c>
      <c r="P4" s="27" t="s">
        <v>238</v>
      </c>
      <c r="Q4" s="68" t="s">
        <v>353</v>
      </c>
      <c r="R4" s="68" t="s">
        <v>352</v>
      </c>
      <c r="S4" s="40" t="s">
        <v>323</v>
      </c>
      <c r="T4" s="9" t="s">
        <v>513</v>
      </c>
      <c r="U4" s="78" t="s">
        <v>583</v>
      </c>
      <c r="V4" s="86" t="s">
        <v>565</v>
      </c>
      <c r="W4" s="27" t="s">
        <v>563</v>
      </c>
      <c r="X4" s="89" t="s">
        <v>593</v>
      </c>
      <c r="Y4" s="86" t="s">
        <v>564</v>
      </c>
      <c r="Z4" s="27" t="s">
        <v>562</v>
      </c>
      <c r="AA4" s="78" t="s">
        <v>582</v>
      </c>
      <c r="AB4" s="27" t="s">
        <v>334</v>
      </c>
      <c r="AC4" s="27" t="s">
        <v>339</v>
      </c>
      <c r="AD4" s="78" t="s">
        <v>432</v>
      </c>
      <c r="AE4" s="27" t="s">
        <v>621</v>
      </c>
      <c r="AF4" s="78" t="s">
        <v>584</v>
      </c>
      <c r="AG4" s="90" t="s">
        <v>719</v>
      </c>
      <c r="AH4" s="91" t="s">
        <v>620</v>
      </c>
      <c r="AI4" s="78" t="s">
        <v>171</v>
      </c>
      <c r="AJ4" s="66" t="s">
        <v>318</v>
      </c>
      <c r="AK4" s="65" t="s">
        <v>433</v>
      </c>
      <c r="AL4" s="66" t="s">
        <v>435</v>
      </c>
      <c r="AM4" s="65" t="s">
        <v>437</v>
      </c>
      <c r="AN4" s="66" t="s">
        <v>443</v>
      </c>
      <c r="AO4" s="65" t="s">
        <v>444</v>
      </c>
      <c r="AP4" s="61"/>
      <c r="AQ4" s="24" t="s">
        <v>252</v>
      </c>
      <c r="AR4" s="24" t="s">
        <v>237</v>
      </c>
      <c r="AS4" s="23" t="s">
        <v>236</v>
      </c>
      <c r="AT4" s="25" t="s">
        <v>310</v>
      </c>
      <c r="AU4" s="26" t="s">
        <v>351</v>
      </c>
      <c r="AV4" s="24" t="s">
        <v>252</v>
      </c>
      <c r="AW4" s="24" t="s">
        <v>237</v>
      </c>
      <c r="AX4" s="23" t="s">
        <v>236</v>
      </c>
      <c r="AY4" s="25" t="s">
        <v>310</v>
      </c>
      <c r="AZ4" s="26" t="s">
        <v>351</v>
      </c>
      <c r="BA4" s="24" t="s">
        <v>252</v>
      </c>
      <c r="BB4" s="24" t="s">
        <v>237</v>
      </c>
      <c r="BC4" s="23" t="s">
        <v>236</v>
      </c>
      <c r="BD4" s="25" t="s">
        <v>310</v>
      </c>
      <c r="BE4" s="26" t="s">
        <v>351</v>
      </c>
      <c r="BF4" s="24" t="s">
        <v>252</v>
      </c>
      <c r="BG4" s="24" t="s">
        <v>237</v>
      </c>
      <c r="BH4" s="23" t="s">
        <v>236</v>
      </c>
      <c r="BI4" s="25" t="s">
        <v>310</v>
      </c>
      <c r="BJ4" s="26" t="s">
        <v>351</v>
      </c>
      <c r="BK4" s="24" t="s">
        <v>252</v>
      </c>
      <c r="BL4" s="24" t="s">
        <v>237</v>
      </c>
      <c r="BM4" s="23" t="s">
        <v>236</v>
      </c>
      <c r="BN4" s="25" t="s">
        <v>310</v>
      </c>
      <c r="BO4" s="26" t="s">
        <v>351</v>
      </c>
    </row>
    <row r="5" spans="1:67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594</v>
      </c>
      <c r="L5" s="16" t="s">
        <v>1014</v>
      </c>
      <c r="M5" s="16" t="s">
        <v>1013</v>
      </c>
      <c r="N5" s="16">
        <v>1</v>
      </c>
      <c r="O5" s="16">
        <v>15</v>
      </c>
      <c r="P5" s="16" t="s">
        <v>807</v>
      </c>
      <c r="Q5" s="17"/>
      <c r="R5" s="17"/>
      <c r="S5" s="18"/>
      <c r="T5" s="16" t="s">
        <v>731</v>
      </c>
      <c r="U5" s="79"/>
      <c r="V5" s="87"/>
      <c r="W5" s="16">
        <f ca="1">IFERROR(OFFSET(ITEM_RES!$A$5,MATCH(BUILDING!V5,ITEM_RES!$J$5:$J$226,0)-1,0),0)</f>
        <v>0</v>
      </c>
      <c r="X5" s="18"/>
      <c r="Y5" s="87" t="s">
        <v>566</v>
      </c>
      <c r="Z5" s="16">
        <f ca="1">IFERROR(OFFSET(ITEM_RES!$A$5,MATCH(BUILDING!Y5,ITEM_RES!$J$5:$J$226,0)-1,0),0)</f>
        <v>211010101</v>
      </c>
      <c r="AA5" s="79"/>
      <c r="AB5" s="16" t="s">
        <v>536</v>
      </c>
      <c r="AC5" s="16">
        <v>1</v>
      </c>
      <c r="AD5" s="79"/>
      <c r="AE5" s="16">
        <v>0</v>
      </c>
      <c r="AF5" s="79"/>
      <c r="AG5" s="57">
        <f>AM5*10+AO5+AT5+AY5+500*BD5+500*BI5+500*BN5</f>
        <v>605</v>
      </c>
      <c r="AH5" s="17">
        <f>AG5</f>
        <v>605</v>
      </c>
      <c r="AI5" s="79"/>
      <c r="AJ5" s="18">
        <f t="shared" ref="AJ5:AJ68" si="3">ROUND(AK5,0)</f>
        <v>5</v>
      </c>
      <c r="AK5" s="17">
        <v>5</v>
      </c>
      <c r="AL5" s="18">
        <f>ROUND(AM5,0)</f>
        <v>5</v>
      </c>
      <c r="AM5" s="17">
        <v>5</v>
      </c>
      <c r="AN5" s="18">
        <f>ROUND(AO5,0)</f>
        <v>5</v>
      </c>
      <c r="AO5" s="17">
        <v>5</v>
      </c>
      <c r="AP5" s="57">
        <f>(AT5&gt;0)*1+(AY5&gt;0)*1+(BD5&gt;0)*1+(BI5&gt;0)*1+(BN5&gt;0)*1</f>
        <v>3</v>
      </c>
      <c r="AQ5" s="18"/>
      <c r="AR5" s="18">
        <f ca="1">IFERROR(OFFSET(ITEM_RES!$A$1,MATCH(AS5,ITEM_RES!$J:$J,0)-1,0),0)</f>
        <v>211010501</v>
      </c>
      <c r="AS5" s="17" t="s">
        <v>445</v>
      </c>
      <c r="AT5" s="18">
        <v>25</v>
      </c>
      <c r="AU5" s="17"/>
      <c r="AV5" s="18"/>
      <c r="AW5" s="18">
        <f ca="1">IFERROR(OFFSET(ITEM_RES!$A$1,MATCH(AX5,ITEM_RES!$J:$J,0)-1,0),0)</f>
        <v>211020101</v>
      </c>
      <c r="AX5" s="17" t="s">
        <v>471</v>
      </c>
      <c r="AY5" s="18">
        <v>25</v>
      </c>
      <c r="AZ5" s="17"/>
      <c r="BA5" s="18"/>
      <c r="BB5" s="18">
        <f ca="1">IFERROR(OFFSET(ITEM_RES!$A$1,MATCH(BC5,ITEM_RES!$J:$J,0)-1,0),0)</f>
        <v>213010101</v>
      </c>
      <c r="BC5" s="17" t="s">
        <v>477</v>
      </c>
      <c r="BD5" s="18">
        <v>1</v>
      </c>
      <c r="BE5" s="17"/>
      <c r="BF5" s="18"/>
      <c r="BG5" s="18">
        <f ca="1">IFERROR(OFFSET(ITEM_RES!$A$1,MATCH(BH5,ITEM_RES!$J:$J,0)-1,0),0)</f>
        <v>0</v>
      </c>
      <c r="BH5" s="17"/>
      <c r="BI5" s="18"/>
      <c r="BJ5" s="17"/>
      <c r="BK5" s="18"/>
      <c r="BL5" s="18">
        <f ca="1">IFERROR(OFFSET(ITEM_RES!$A$1,MATCH(BM5,ITEM_RES!$J:$J,0)-1,0),0)</f>
        <v>0</v>
      </c>
      <c r="BM5" s="17"/>
      <c r="BN5" s="18">
        <f t="shared" ref="BN5:BN88" si="4">IF(BO5&lt;100,ROUND(BO5,1-LEN(ROUND(BO5,0))),ROUND(BO5,2-LEN(ROUND(BO5,0))))</f>
        <v>0</v>
      </c>
      <c r="BO5" s="17"/>
    </row>
    <row r="6" spans="1:67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594</v>
      </c>
      <c r="L6" s="9" t="s">
        <v>976</v>
      </c>
      <c r="M6" s="9" t="s">
        <v>997</v>
      </c>
      <c r="N6" s="9">
        <v>1</v>
      </c>
      <c r="O6" s="9">
        <v>15</v>
      </c>
      <c r="P6" s="9" t="s">
        <v>807</v>
      </c>
      <c r="T6" s="9" t="s">
        <v>726</v>
      </c>
      <c r="W6" s="9">
        <f ca="1">IFERROR(OFFSET(ITEM_RES!$A$5,MATCH(BUILDING!V6,ITEM_RES!$J$5:$J$226,0)-1,0),0)</f>
        <v>0</v>
      </c>
      <c r="Y6" s="85" t="s">
        <v>566</v>
      </c>
      <c r="Z6" s="9">
        <f ca="1">IFERROR(OFFSET(ITEM_RES!$A$5,MATCH(BUILDING!Y6,ITEM_RES!$J$5:$J$226,0)-1,0),0)</f>
        <v>211010101</v>
      </c>
      <c r="AB6" s="9" t="s">
        <v>536</v>
      </c>
      <c r="AC6" s="9">
        <v>2</v>
      </c>
      <c r="AE6" s="9">
        <v>200</v>
      </c>
      <c r="AG6" s="56">
        <f t="shared" ref="AG6:AG69" si="5">AM6*10+AO6+AT6+AY6+500*BD6+500*BI6+500*BN6</f>
        <v>210</v>
      </c>
      <c r="AH6" s="10">
        <f>AG5+AG6</f>
        <v>815</v>
      </c>
      <c r="AJ6" s="11">
        <f t="shared" si="3"/>
        <v>10</v>
      </c>
      <c r="AK6" s="10">
        <v>10</v>
      </c>
      <c r="AL6" s="11">
        <f t="shared" ref="AL6:AN89" si="6">ROUND(AM6,0)</f>
        <v>10</v>
      </c>
      <c r="AM6" s="10">
        <v>10</v>
      </c>
      <c r="AN6" s="11">
        <f t="shared" si="6"/>
        <v>10</v>
      </c>
      <c r="AO6" s="10">
        <v>10</v>
      </c>
      <c r="AP6" s="56">
        <f t="shared" ref="AP6:AP69" si="7">(AT6&gt;0)*1+(AY6&gt;0)*1+(BD6&gt;0)*1+(BI6&gt;0)*1+(BN6&gt;0)*1</f>
        <v>2</v>
      </c>
      <c r="AR6" s="11">
        <f ca="1">IFERROR(OFFSET(ITEM_RES!$A$1,MATCH(AS6,ITEM_RES!$J:$J,0)-1,0),0)</f>
        <v>211010501</v>
      </c>
      <c r="AS6" s="10" t="s">
        <v>445</v>
      </c>
      <c r="AT6" s="11">
        <v>50</v>
      </c>
      <c r="AW6" s="11">
        <f ca="1">IFERROR(OFFSET(ITEM_RES!$A$1,MATCH(AX6,ITEM_RES!$J:$J,0)-1,0),0)</f>
        <v>211020101</v>
      </c>
      <c r="AX6" s="10" t="s">
        <v>471</v>
      </c>
      <c r="AY6" s="11">
        <v>50</v>
      </c>
      <c r="BB6" s="11">
        <f ca="1">IFERROR(OFFSET(ITEM_RES!$A$1,MATCH(BC6,ITEM_RES!$J:$J,0)-1,0),0)</f>
        <v>0</v>
      </c>
      <c r="BG6" s="11">
        <f ca="1">IFERROR(OFFSET(ITEM_RES!$A$1,MATCH(BH6,ITEM_RES!$J:$J,0)-1,0),0)</f>
        <v>0</v>
      </c>
      <c r="BL6" s="11">
        <f ca="1">IFERROR(OFFSET(ITEM_RES!$A$1,MATCH(BM6,ITEM_RES!$J:$J,0)-1,0),0)</f>
        <v>0</v>
      </c>
      <c r="BN6" s="11">
        <f t="shared" si="4"/>
        <v>0</v>
      </c>
    </row>
    <row r="7" spans="1:67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594</v>
      </c>
      <c r="L7" s="9" t="s">
        <v>976</v>
      </c>
      <c r="M7" s="9" t="s">
        <v>997</v>
      </c>
      <c r="N7" s="9">
        <v>1</v>
      </c>
      <c r="O7" s="9">
        <v>15</v>
      </c>
      <c r="P7" s="9" t="s">
        <v>807</v>
      </c>
      <c r="T7" s="9" t="s">
        <v>726</v>
      </c>
      <c r="W7" s="9">
        <f ca="1">IFERROR(OFFSET(ITEM_RES!$A$5,MATCH(BUILDING!V7,ITEM_RES!$J$5:$J$226,0)-1,0),0)</f>
        <v>0</v>
      </c>
      <c r="Y7" s="85" t="s">
        <v>566</v>
      </c>
      <c r="Z7" s="9">
        <f ca="1">IFERROR(OFFSET(ITEM_RES!$A$5,MATCH(BUILDING!Y7,ITEM_RES!$J$5:$J$226,0)-1,0),0)</f>
        <v>211010101</v>
      </c>
      <c r="AB7" s="9" t="s">
        <v>536</v>
      </c>
      <c r="AC7" s="9">
        <v>3</v>
      </c>
      <c r="AE7" s="9">
        <v>600</v>
      </c>
      <c r="AG7" s="56">
        <f t="shared" si="5"/>
        <v>315</v>
      </c>
      <c r="AH7" s="10">
        <f t="shared" ref="AH7:AH24" si="8">AG6+AG7</f>
        <v>525</v>
      </c>
      <c r="AJ7" s="11">
        <f t="shared" si="3"/>
        <v>15</v>
      </c>
      <c r="AK7" s="10">
        <v>15</v>
      </c>
      <c r="AL7" s="11">
        <f t="shared" si="6"/>
        <v>15</v>
      </c>
      <c r="AM7" s="10">
        <v>15</v>
      </c>
      <c r="AN7" s="11">
        <f t="shared" si="6"/>
        <v>15</v>
      </c>
      <c r="AO7" s="10">
        <v>15</v>
      </c>
      <c r="AP7" s="56">
        <f t="shared" si="7"/>
        <v>2</v>
      </c>
      <c r="AR7" s="11">
        <f ca="1">IFERROR(OFFSET(ITEM_RES!$A$1,MATCH(AS7,ITEM_RES!$J:$J,0)-1,0),0)</f>
        <v>211010501</v>
      </c>
      <c r="AS7" s="10" t="s">
        <v>445</v>
      </c>
      <c r="AT7" s="11">
        <v>75</v>
      </c>
      <c r="AW7" s="11">
        <f ca="1">IFERROR(OFFSET(ITEM_RES!$A$1,MATCH(AX7,ITEM_RES!$J:$J,0)-1,0),0)</f>
        <v>211020101</v>
      </c>
      <c r="AX7" s="10" t="s">
        <v>471</v>
      </c>
      <c r="AY7" s="11">
        <v>75</v>
      </c>
      <c r="BB7" s="11">
        <f ca="1">IFERROR(OFFSET(ITEM_RES!$A$1,MATCH(BC7,ITEM_RES!$J:$J,0)-1,0),0)</f>
        <v>0</v>
      </c>
      <c r="BG7" s="11">
        <f ca="1">IFERROR(OFFSET(ITEM_RES!$A$1,MATCH(BH7,ITEM_RES!$J:$J,0)-1,0),0)</f>
        <v>0</v>
      </c>
      <c r="BL7" s="11">
        <f ca="1">IFERROR(OFFSET(ITEM_RES!$A$1,MATCH(BM7,ITEM_RES!$J:$J,0)-1,0),0)</f>
        <v>0</v>
      </c>
      <c r="BN7" s="11">
        <f t="shared" si="4"/>
        <v>0</v>
      </c>
    </row>
    <row r="8" spans="1:67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594</v>
      </c>
      <c r="L8" s="9" t="s">
        <v>976</v>
      </c>
      <c r="M8" s="9" t="s">
        <v>997</v>
      </c>
      <c r="N8" s="9">
        <v>1</v>
      </c>
      <c r="O8" s="9">
        <v>15</v>
      </c>
      <c r="P8" s="9" t="s">
        <v>807</v>
      </c>
      <c r="T8" s="9" t="s">
        <v>727</v>
      </c>
      <c r="W8" s="9">
        <f ca="1">IFERROR(OFFSET(ITEM_RES!$A$5,MATCH(BUILDING!V8,ITEM_RES!$J$5:$J$226,0)-1,0),0)</f>
        <v>0</v>
      </c>
      <c r="Y8" s="85" t="s">
        <v>566</v>
      </c>
      <c r="Z8" s="9">
        <f ca="1">IFERROR(OFFSET(ITEM_RES!$A$5,MATCH(BUILDING!Y8,ITEM_RES!$J$5:$J$226,0)-1,0),0)</f>
        <v>211010101</v>
      </c>
      <c r="AB8" s="9" t="s">
        <v>536</v>
      </c>
      <c r="AC8" s="9">
        <v>4</v>
      </c>
      <c r="AE8" s="9">
        <v>1000</v>
      </c>
      <c r="AG8" s="56">
        <f t="shared" si="5"/>
        <v>525</v>
      </c>
      <c r="AH8" s="10">
        <f t="shared" si="8"/>
        <v>840</v>
      </c>
      <c r="AJ8" s="11">
        <f t="shared" si="3"/>
        <v>20</v>
      </c>
      <c r="AK8" s="10">
        <v>20</v>
      </c>
      <c r="AL8" s="11">
        <f t="shared" si="6"/>
        <v>25</v>
      </c>
      <c r="AM8" s="10">
        <v>25</v>
      </c>
      <c r="AN8" s="11">
        <f t="shared" si="6"/>
        <v>25</v>
      </c>
      <c r="AO8" s="10">
        <v>25</v>
      </c>
      <c r="AP8" s="56">
        <f t="shared" si="7"/>
        <v>2</v>
      </c>
      <c r="AR8" s="11">
        <f ca="1">IFERROR(OFFSET(ITEM_RES!$A$1,MATCH(AS8,ITEM_RES!$J:$J,0)-1,0),0)</f>
        <v>211010501</v>
      </c>
      <c r="AS8" s="10" t="s">
        <v>445</v>
      </c>
      <c r="AT8" s="11">
        <v>125</v>
      </c>
      <c r="AW8" s="11">
        <f ca="1">IFERROR(OFFSET(ITEM_RES!$A$1,MATCH(AX8,ITEM_RES!$J:$J,0)-1,0),0)</f>
        <v>211020101</v>
      </c>
      <c r="AX8" s="10" t="s">
        <v>471</v>
      </c>
      <c r="AY8" s="11">
        <v>125</v>
      </c>
      <c r="BB8" s="11">
        <f ca="1">IFERROR(OFFSET(ITEM_RES!$A$1,MATCH(BC8,ITEM_RES!$J:$J,0)-1,0),0)</f>
        <v>0</v>
      </c>
      <c r="BG8" s="11">
        <f ca="1">IFERROR(OFFSET(ITEM_RES!$A$1,MATCH(BH8,ITEM_RES!$J:$J,0)-1,0),0)</f>
        <v>0</v>
      </c>
      <c r="BL8" s="11">
        <f ca="1">IFERROR(OFFSET(ITEM_RES!$A$1,MATCH(BM8,ITEM_RES!$J:$J,0)-1,0),0)</f>
        <v>0</v>
      </c>
      <c r="BN8" s="11">
        <f t="shared" si="4"/>
        <v>0</v>
      </c>
    </row>
    <row r="9" spans="1:67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594</v>
      </c>
      <c r="L9" s="9" t="s">
        <v>976</v>
      </c>
      <c r="M9" s="9" t="s">
        <v>997</v>
      </c>
      <c r="N9" s="9">
        <v>1</v>
      </c>
      <c r="O9" s="9">
        <v>15</v>
      </c>
      <c r="P9" s="9" t="s">
        <v>807</v>
      </c>
      <c r="T9" s="9" t="s">
        <v>727</v>
      </c>
      <c r="W9" s="9">
        <f ca="1">IFERROR(OFFSET(ITEM_RES!$A$5,MATCH(BUILDING!V9,ITEM_RES!$J$5:$J$226,0)-1,0),0)</f>
        <v>0</v>
      </c>
      <c r="Y9" s="85" t="s">
        <v>566</v>
      </c>
      <c r="Z9" s="9">
        <f ca="1">IFERROR(OFFSET(ITEM_RES!$A$5,MATCH(BUILDING!Y9,ITEM_RES!$J$5:$J$226,0)-1,0),0)</f>
        <v>211010101</v>
      </c>
      <c r="AB9" s="9" t="s">
        <v>536</v>
      </c>
      <c r="AC9" s="9">
        <v>5</v>
      </c>
      <c r="AE9" s="9">
        <v>1600</v>
      </c>
      <c r="AG9" s="56">
        <f t="shared" si="5"/>
        <v>840</v>
      </c>
      <c r="AH9" s="10">
        <f t="shared" si="8"/>
        <v>1365</v>
      </c>
      <c r="AJ9" s="11">
        <f t="shared" si="3"/>
        <v>25</v>
      </c>
      <c r="AK9" s="10">
        <v>25</v>
      </c>
      <c r="AL9" s="11">
        <f t="shared" si="6"/>
        <v>40</v>
      </c>
      <c r="AM9" s="10">
        <v>40</v>
      </c>
      <c r="AN9" s="11">
        <f t="shared" si="6"/>
        <v>40</v>
      </c>
      <c r="AO9" s="10">
        <v>40</v>
      </c>
      <c r="AP9" s="56">
        <f t="shared" si="7"/>
        <v>2</v>
      </c>
      <c r="AR9" s="11">
        <f ca="1">IFERROR(OFFSET(ITEM_RES!$A$1,MATCH(AS9,ITEM_RES!$J:$J,0)-1,0),0)</f>
        <v>211010501</v>
      </c>
      <c r="AS9" s="10" t="s">
        <v>445</v>
      </c>
      <c r="AT9" s="11">
        <v>200</v>
      </c>
      <c r="AW9" s="11">
        <f ca="1">IFERROR(OFFSET(ITEM_RES!$A$1,MATCH(AX9,ITEM_RES!$J:$J,0)-1,0),0)</f>
        <v>211020101</v>
      </c>
      <c r="AX9" s="10" t="s">
        <v>471</v>
      </c>
      <c r="AY9" s="11">
        <v>200</v>
      </c>
      <c r="BB9" s="11">
        <f ca="1">IFERROR(OFFSET(ITEM_RES!$A$1,MATCH(BC9,ITEM_RES!$J:$J,0)-1,0),0)</f>
        <v>0</v>
      </c>
      <c r="BG9" s="11">
        <f ca="1">IFERROR(OFFSET(ITEM_RES!$A$1,MATCH(BH9,ITEM_RES!$J:$J,0)-1,0),0)</f>
        <v>0</v>
      </c>
      <c r="BL9" s="11">
        <f ca="1">IFERROR(OFFSET(ITEM_RES!$A$1,MATCH(BM9,ITEM_RES!$J:$J,0)-1,0),0)</f>
        <v>0</v>
      </c>
      <c r="BN9" s="11">
        <f t="shared" si="4"/>
        <v>0</v>
      </c>
    </row>
    <row r="10" spans="1:67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594</v>
      </c>
      <c r="L10" s="9" t="s">
        <v>976</v>
      </c>
      <c r="M10" s="9" t="s">
        <v>997</v>
      </c>
      <c r="N10" s="9">
        <v>1</v>
      </c>
      <c r="O10" s="9">
        <v>15</v>
      </c>
      <c r="P10" s="9" t="s">
        <v>807</v>
      </c>
      <c r="T10" s="9" t="s">
        <v>727</v>
      </c>
      <c r="W10" s="9">
        <f ca="1">IFERROR(OFFSET(ITEM_RES!$A$5,MATCH(BUILDING!V10,ITEM_RES!$J$5:$J$226,0)-1,0),0)</f>
        <v>0</v>
      </c>
      <c r="Y10" s="85" t="s">
        <v>566</v>
      </c>
      <c r="Z10" s="9">
        <f ca="1">IFERROR(OFFSET(ITEM_RES!$A$5,MATCH(BUILDING!Y10,ITEM_RES!$J$5:$J$226,0)-1,0),0)</f>
        <v>211010101</v>
      </c>
      <c r="AB10" s="9" t="s">
        <v>536</v>
      </c>
      <c r="AC10" s="9">
        <v>6</v>
      </c>
      <c r="AE10" s="9">
        <v>2000</v>
      </c>
      <c r="AG10" s="56">
        <f t="shared" si="5"/>
        <v>1050</v>
      </c>
      <c r="AH10" s="10">
        <f t="shared" si="8"/>
        <v>1890</v>
      </c>
      <c r="AJ10" s="11">
        <f t="shared" si="3"/>
        <v>30</v>
      </c>
      <c r="AK10" s="10">
        <v>30</v>
      </c>
      <c r="AL10" s="11">
        <f t="shared" si="6"/>
        <v>50</v>
      </c>
      <c r="AM10" s="10">
        <v>50</v>
      </c>
      <c r="AN10" s="11">
        <f t="shared" si="6"/>
        <v>50</v>
      </c>
      <c r="AO10" s="10">
        <v>50</v>
      </c>
      <c r="AP10" s="56">
        <f t="shared" si="7"/>
        <v>2</v>
      </c>
      <c r="AR10" s="11">
        <f ca="1">IFERROR(OFFSET(ITEM_RES!$A$1,MATCH(AS10,ITEM_RES!$J:$J,0)-1,0),0)</f>
        <v>211010501</v>
      </c>
      <c r="AS10" s="10" t="s">
        <v>445</v>
      </c>
      <c r="AT10" s="11">
        <v>250</v>
      </c>
      <c r="AW10" s="11">
        <f ca="1">IFERROR(OFFSET(ITEM_RES!$A$1,MATCH(AX10,ITEM_RES!$J:$J,0)-1,0),0)</f>
        <v>211020101</v>
      </c>
      <c r="AX10" s="10" t="s">
        <v>471</v>
      </c>
      <c r="AY10" s="11">
        <v>250</v>
      </c>
      <c r="BB10" s="11">
        <f ca="1">IFERROR(OFFSET(ITEM_RES!$A$1,MATCH(BC10,ITEM_RES!$J:$J,0)-1,0),0)</f>
        <v>0</v>
      </c>
      <c r="BG10" s="11">
        <f ca="1">IFERROR(OFFSET(ITEM_RES!$A$1,MATCH(BH10,ITEM_RES!$J:$J,0)-1,0),0)</f>
        <v>0</v>
      </c>
      <c r="BL10" s="11">
        <f ca="1">IFERROR(OFFSET(ITEM_RES!$A$1,MATCH(BM10,ITEM_RES!$J:$J,0)-1,0),0)</f>
        <v>0</v>
      </c>
      <c r="BN10" s="11">
        <f t="shared" si="4"/>
        <v>0</v>
      </c>
    </row>
    <row r="11" spans="1:67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594</v>
      </c>
      <c r="L11" s="9" t="s">
        <v>976</v>
      </c>
      <c r="M11" s="9" t="s">
        <v>997</v>
      </c>
      <c r="N11" s="9">
        <v>1</v>
      </c>
      <c r="O11" s="9">
        <v>15</v>
      </c>
      <c r="P11" s="9" t="s">
        <v>807</v>
      </c>
      <c r="T11" s="9" t="s">
        <v>727</v>
      </c>
      <c r="W11" s="9">
        <f ca="1">IFERROR(OFFSET(ITEM_RES!$A$5,MATCH(BUILDING!V11,ITEM_RES!$J$5:$J$226,0)-1,0),0)</f>
        <v>0</v>
      </c>
      <c r="Y11" s="85" t="s">
        <v>566</v>
      </c>
      <c r="Z11" s="9">
        <f ca="1">IFERROR(OFFSET(ITEM_RES!$A$5,MATCH(BUILDING!Y11,ITEM_RES!$J$5:$J$226,0)-1,0),0)</f>
        <v>211010101</v>
      </c>
      <c r="AB11" s="9" t="s">
        <v>536</v>
      </c>
      <c r="AC11" s="9">
        <v>7</v>
      </c>
      <c r="AE11" s="9">
        <v>4000</v>
      </c>
      <c r="AG11" s="56">
        <f t="shared" si="5"/>
        <v>2100</v>
      </c>
      <c r="AH11" s="10">
        <f t="shared" si="8"/>
        <v>3150</v>
      </c>
      <c r="AJ11" s="11">
        <f t="shared" si="3"/>
        <v>35</v>
      </c>
      <c r="AK11" s="10">
        <v>35</v>
      </c>
      <c r="AL11" s="11">
        <f t="shared" si="6"/>
        <v>100</v>
      </c>
      <c r="AM11" s="10">
        <v>100</v>
      </c>
      <c r="AN11" s="11">
        <f t="shared" si="6"/>
        <v>100</v>
      </c>
      <c r="AO11" s="10">
        <v>100</v>
      </c>
      <c r="AP11" s="56">
        <f t="shared" si="7"/>
        <v>2</v>
      </c>
      <c r="AR11" s="11">
        <f ca="1">IFERROR(OFFSET(ITEM_RES!$A$1,MATCH(AS11,ITEM_RES!$J:$J,0)-1,0),0)</f>
        <v>211010501</v>
      </c>
      <c r="AS11" s="10" t="s">
        <v>445</v>
      </c>
      <c r="AT11" s="11">
        <v>500</v>
      </c>
      <c r="AW11" s="11">
        <f ca="1">IFERROR(OFFSET(ITEM_RES!$A$1,MATCH(AX11,ITEM_RES!$J:$J,0)-1,0),0)</f>
        <v>211020101</v>
      </c>
      <c r="AX11" s="10" t="s">
        <v>471</v>
      </c>
      <c r="AY11" s="11">
        <v>500</v>
      </c>
      <c r="BB11" s="11">
        <f ca="1">IFERROR(OFFSET(ITEM_RES!$A$1,MATCH(BC11,ITEM_RES!$J:$J,0)-1,0),0)</f>
        <v>0</v>
      </c>
      <c r="BG11" s="11">
        <f ca="1">IFERROR(OFFSET(ITEM_RES!$A$1,MATCH(BH11,ITEM_RES!$J:$J,0)-1,0),0)</f>
        <v>0</v>
      </c>
      <c r="BL11" s="11">
        <f ca="1">IFERROR(OFFSET(ITEM_RES!$A$1,MATCH(BM11,ITEM_RES!$J:$J,0)-1,0),0)</f>
        <v>0</v>
      </c>
      <c r="BN11" s="11">
        <f t="shared" si="4"/>
        <v>0</v>
      </c>
    </row>
    <row r="12" spans="1:67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594</v>
      </c>
      <c r="L12" s="9" t="s">
        <v>976</v>
      </c>
      <c r="M12" s="9" t="s">
        <v>997</v>
      </c>
      <c r="N12" s="9">
        <v>1</v>
      </c>
      <c r="O12" s="9">
        <v>15</v>
      </c>
      <c r="P12" s="9" t="s">
        <v>807</v>
      </c>
      <c r="T12" s="9" t="s">
        <v>727</v>
      </c>
      <c r="W12" s="9">
        <f ca="1">IFERROR(OFFSET(ITEM_RES!$A$5,MATCH(BUILDING!V12,ITEM_RES!$J$5:$J$226,0)-1,0),0)</f>
        <v>0</v>
      </c>
      <c r="Y12" s="85" t="s">
        <v>566</v>
      </c>
      <c r="Z12" s="9">
        <f ca="1">IFERROR(OFFSET(ITEM_RES!$A$5,MATCH(BUILDING!Y12,ITEM_RES!$J$5:$J$226,0)-1,0),0)</f>
        <v>211010101</v>
      </c>
      <c r="AB12" s="9" t="s">
        <v>536</v>
      </c>
      <c r="AC12" s="9">
        <v>8</v>
      </c>
      <c r="AE12" s="9">
        <v>4000</v>
      </c>
      <c r="AG12" s="56">
        <f t="shared" si="5"/>
        <v>2100</v>
      </c>
      <c r="AH12" s="10">
        <f t="shared" si="8"/>
        <v>4200</v>
      </c>
      <c r="AJ12" s="11">
        <f t="shared" si="3"/>
        <v>40</v>
      </c>
      <c r="AK12" s="10">
        <v>40</v>
      </c>
      <c r="AL12" s="11">
        <f t="shared" si="6"/>
        <v>100</v>
      </c>
      <c r="AM12" s="10">
        <v>100</v>
      </c>
      <c r="AN12" s="11">
        <f t="shared" si="6"/>
        <v>100</v>
      </c>
      <c r="AO12" s="10">
        <v>100</v>
      </c>
      <c r="AP12" s="56">
        <f t="shared" si="7"/>
        <v>2</v>
      </c>
      <c r="AR12" s="11">
        <f ca="1">IFERROR(OFFSET(ITEM_RES!$A$1,MATCH(AS12,ITEM_RES!$J:$J,0)-1,0),0)</f>
        <v>211010501</v>
      </c>
      <c r="AS12" s="10" t="s">
        <v>445</v>
      </c>
      <c r="AT12" s="11">
        <v>500</v>
      </c>
      <c r="AW12" s="11">
        <f ca="1">IFERROR(OFFSET(ITEM_RES!$A$1,MATCH(AX12,ITEM_RES!$J:$J,0)-1,0),0)</f>
        <v>211020101</v>
      </c>
      <c r="AX12" s="10" t="s">
        <v>471</v>
      </c>
      <c r="AY12" s="11">
        <v>500</v>
      </c>
      <c r="BB12" s="11">
        <f ca="1">IFERROR(OFFSET(ITEM_RES!$A$1,MATCH(BC12,ITEM_RES!$J:$J,0)-1,0),0)</f>
        <v>0</v>
      </c>
      <c r="BG12" s="11">
        <f ca="1">IFERROR(OFFSET(ITEM_RES!$A$1,MATCH(BH12,ITEM_RES!$J:$J,0)-1,0),0)</f>
        <v>0</v>
      </c>
      <c r="BL12" s="11">
        <f ca="1">IFERROR(OFFSET(ITEM_RES!$A$1,MATCH(BM12,ITEM_RES!$J:$J,0)-1,0),0)</f>
        <v>0</v>
      </c>
      <c r="BN12" s="11">
        <f t="shared" si="4"/>
        <v>0</v>
      </c>
    </row>
    <row r="13" spans="1:67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594</v>
      </c>
      <c r="L13" s="9" t="s">
        <v>976</v>
      </c>
      <c r="M13" s="9" t="s">
        <v>997</v>
      </c>
      <c r="N13" s="9">
        <v>1</v>
      </c>
      <c r="O13" s="9">
        <v>15</v>
      </c>
      <c r="P13" s="9" t="s">
        <v>807</v>
      </c>
      <c r="T13" s="9" t="s">
        <v>728</v>
      </c>
      <c r="W13" s="9">
        <f ca="1">IFERROR(OFFSET(ITEM_RES!$A$5,MATCH(BUILDING!V13,ITEM_RES!$J$5:$J$226,0)-1,0),0)</f>
        <v>0</v>
      </c>
      <c r="Y13" s="85" t="s">
        <v>566</v>
      </c>
      <c r="Z13" s="9">
        <f ca="1">IFERROR(OFFSET(ITEM_RES!$A$5,MATCH(BUILDING!Y13,ITEM_RES!$J$5:$J$226,0)-1,0),0)</f>
        <v>211010101</v>
      </c>
      <c r="AB13" s="9" t="s">
        <v>536</v>
      </c>
      <c r="AC13" s="9">
        <v>9</v>
      </c>
      <c r="AE13" s="9">
        <v>6000</v>
      </c>
      <c r="AG13" s="56">
        <f t="shared" si="5"/>
        <v>3150</v>
      </c>
      <c r="AH13" s="10">
        <f t="shared" si="8"/>
        <v>5250</v>
      </c>
      <c r="AJ13" s="11">
        <f t="shared" si="3"/>
        <v>45</v>
      </c>
      <c r="AK13" s="10">
        <v>45</v>
      </c>
      <c r="AL13" s="11">
        <f t="shared" si="6"/>
        <v>150</v>
      </c>
      <c r="AM13" s="10">
        <v>150</v>
      </c>
      <c r="AN13" s="11">
        <f t="shared" si="6"/>
        <v>150</v>
      </c>
      <c r="AO13" s="10">
        <v>150</v>
      </c>
      <c r="AP13" s="56">
        <f t="shared" si="7"/>
        <v>2</v>
      </c>
      <c r="AR13" s="11">
        <f ca="1">IFERROR(OFFSET(ITEM_RES!$A$1,MATCH(AS13,ITEM_RES!$J:$J,0)-1,0),0)</f>
        <v>211010501</v>
      </c>
      <c r="AS13" s="10" t="s">
        <v>445</v>
      </c>
      <c r="AT13" s="11">
        <v>750</v>
      </c>
      <c r="AW13" s="11">
        <f ca="1">IFERROR(OFFSET(ITEM_RES!$A$1,MATCH(AX13,ITEM_RES!$J:$J,0)-1,0),0)</f>
        <v>211020101</v>
      </c>
      <c r="AX13" s="10" t="s">
        <v>471</v>
      </c>
      <c r="AY13" s="11">
        <v>750</v>
      </c>
      <c r="BB13" s="11">
        <f ca="1">IFERROR(OFFSET(ITEM_RES!$A$1,MATCH(BC13,ITEM_RES!$J:$J,0)-1,0),0)</f>
        <v>0</v>
      </c>
      <c r="BG13" s="11">
        <f ca="1">IFERROR(OFFSET(ITEM_RES!$A$1,MATCH(BH13,ITEM_RES!$J:$J,0)-1,0),0)</f>
        <v>0</v>
      </c>
      <c r="BL13" s="11">
        <f ca="1">IFERROR(OFFSET(ITEM_RES!$A$1,MATCH(BM13,ITEM_RES!$J:$J,0)-1,0),0)</f>
        <v>0</v>
      </c>
      <c r="BN13" s="11">
        <f t="shared" si="4"/>
        <v>0</v>
      </c>
    </row>
    <row r="14" spans="1:67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594</v>
      </c>
      <c r="L14" s="9" t="s">
        <v>976</v>
      </c>
      <c r="M14" s="9" t="s">
        <v>997</v>
      </c>
      <c r="N14" s="9">
        <v>1</v>
      </c>
      <c r="O14" s="9">
        <v>15</v>
      </c>
      <c r="P14" s="9" t="s">
        <v>807</v>
      </c>
      <c r="T14" s="9" t="s">
        <v>728</v>
      </c>
      <c r="W14" s="9">
        <f ca="1">IFERROR(OFFSET(ITEM_RES!$A$5,MATCH(BUILDING!V14,ITEM_RES!$J$5:$J$226,0)-1,0),0)</f>
        <v>0</v>
      </c>
      <c r="Y14" s="85" t="s">
        <v>566</v>
      </c>
      <c r="Z14" s="9">
        <f ca="1">IFERROR(OFFSET(ITEM_RES!$A$5,MATCH(BUILDING!Y14,ITEM_RES!$J$5:$J$226,0)-1,0),0)</f>
        <v>211010101</v>
      </c>
      <c r="AB14" s="9" t="s">
        <v>536</v>
      </c>
      <c r="AC14" s="9">
        <v>10</v>
      </c>
      <c r="AE14" s="9">
        <v>8000</v>
      </c>
      <c r="AG14" s="56">
        <f t="shared" si="5"/>
        <v>4700</v>
      </c>
      <c r="AH14" s="10">
        <f t="shared" si="8"/>
        <v>7850</v>
      </c>
      <c r="AJ14" s="11">
        <f t="shared" si="3"/>
        <v>50</v>
      </c>
      <c r="AK14" s="10">
        <v>50</v>
      </c>
      <c r="AL14" s="11">
        <f t="shared" si="6"/>
        <v>200</v>
      </c>
      <c r="AM14" s="10">
        <v>200</v>
      </c>
      <c r="AN14" s="11">
        <f t="shared" si="6"/>
        <v>200</v>
      </c>
      <c r="AO14" s="10">
        <v>200</v>
      </c>
      <c r="AP14" s="56">
        <f t="shared" si="7"/>
        <v>3</v>
      </c>
      <c r="AR14" s="11">
        <f ca="1">IFERROR(OFFSET(ITEM_RES!$A$1,MATCH(AS14,ITEM_RES!$J:$J,0)-1,0),0)</f>
        <v>211010501</v>
      </c>
      <c r="AS14" s="10" t="s">
        <v>445</v>
      </c>
      <c r="AT14" s="11">
        <v>1000</v>
      </c>
      <c r="AW14" s="11">
        <f ca="1">IFERROR(OFFSET(ITEM_RES!$A$1,MATCH(AX14,ITEM_RES!$J:$J,0)-1,0),0)</f>
        <v>211020101</v>
      </c>
      <c r="AX14" s="10" t="s">
        <v>471</v>
      </c>
      <c r="AY14" s="11">
        <v>1000</v>
      </c>
      <c r="BB14" s="11">
        <f ca="1">IFERROR(OFFSET(ITEM_RES!$A$1,MATCH(BC14,ITEM_RES!$J:$J,0)-1,0),0)</f>
        <v>0</v>
      </c>
      <c r="BG14" s="11">
        <f ca="1">IFERROR(OFFSET(ITEM_RES!$A$1,MATCH(BH14,ITEM_RES!$J:$J,0)-1,0),0)</f>
        <v>213010501</v>
      </c>
      <c r="BH14" s="10" t="s">
        <v>484</v>
      </c>
      <c r="BI14" s="11">
        <v>1</v>
      </c>
      <c r="BL14" s="11">
        <f ca="1">IFERROR(OFFSET(ITEM_RES!$A$1,MATCH(BM14,ITEM_RES!$J:$J,0)-1,0),0)</f>
        <v>0</v>
      </c>
      <c r="BN14" s="11">
        <f t="shared" si="4"/>
        <v>0</v>
      </c>
    </row>
    <row r="15" spans="1:67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594</v>
      </c>
      <c r="L15" s="9" t="s">
        <v>976</v>
      </c>
      <c r="M15" s="9" t="s">
        <v>997</v>
      </c>
      <c r="N15" s="9">
        <v>1</v>
      </c>
      <c r="O15" s="9">
        <v>15</v>
      </c>
      <c r="P15" s="9" t="s">
        <v>807</v>
      </c>
      <c r="T15" s="9" t="s">
        <v>728</v>
      </c>
      <c r="W15" s="9">
        <f ca="1">IFERROR(OFFSET(ITEM_RES!$A$5,MATCH(BUILDING!V15,ITEM_RES!$J$5:$J$226,0)-1,0),0)</f>
        <v>0</v>
      </c>
      <c r="Y15" s="85" t="s">
        <v>566</v>
      </c>
      <c r="Z15" s="9">
        <f ca="1">IFERROR(OFFSET(ITEM_RES!$A$5,MATCH(BUILDING!Y15,ITEM_RES!$J$5:$J$226,0)-1,0),0)</f>
        <v>211010101</v>
      </c>
      <c r="AB15" s="9" t="s">
        <v>536</v>
      </c>
      <c r="AC15" s="9">
        <v>11</v>
      </c>
      <c r="AE15" s="9">
        <v>10000</v>
      </c>
      <c r="AG15" s="56">
        <f t="shared" si="5"/>
        <v>5250</v>
      </c>
      <c r="AH15" s="10">
        <f t="shared" si="8"/>
        <v>9950</v>
      </c>
      <c r="AJ15" s="11">
        <f t="shared" si="3"/>
        <v>55</v>
      </c>
      <c r="AK15" s="10">
        <v>55</v>
      </c>
      <c r="AL15" s="11">
        <f t="shared" si="6"/>
        <v>250</v>
      </c>
      <c r="AM15" s="10">
        <v>250</v>
      </c>
      <c r="AN15" s="11">
        <f t="shared" si="6"/>
        <v>250</v>
      </c>
      <c r="AO15" s="10">
        <v>250</v>
      </c>
      <c r="AP15" s="56">
        <f t="shared" si="7"/>
        <v>2</v>
      </c>
      <c r="AR15" s="11">
        <f ca="1">IFERROR(OFFSET(ITEM_RES!$A$1,MATCH(AS15,ITEM_RES!$J:$J,0)-1,0),0)</f>
        <v>211010501</v>
      </c>
      <c r="AS15" s="10" t="s">
        <v>445</v>
      </c>
      <c r="AT15" s="11">
        <v>1250</v>
      </c>
      <c r="AW15" s="11">
        <f ca="1">IFERROR(OFFSET(ITEM_RES!$A$1,MATCH(AX15,ITEM_RES!$J:$J,0)-1,0),0)</f>
        <v>211020101</v>
      </c>
      <c r="AX15" s="10" t="s">
        <v>471</v>
      </c>
      <c r="AY15" s="11">
        <v>1250</v>
      </c>
      <c r="BB15" s="11">
        <f ca="1">IFERROR(OFFSET(ITEM_RES!$A$1,MATCH(BC15,ITEM_RES!$J:$J,0)-1,0),0)</f>
        <v>0</v>
      </c>
      <c r="BG15" s="11">
        <f ca="1">IFERROR(OFFSET(ITEM_RES!$A$1,MATCH(BH15,ITEM_RES!$J:$J,0)-1,0),0)</f>
        <v>0</v>
      </c>
      <c r="BL15" s="11">
        <f ca="1">IFERROR(OFFSET(ITEM_RES!$A$1,MATCH(BM15,ITEM_RES!$J:$J,0)-1,0),0)</f>
        <v>0</v>
      </c>
      <c r="BN15" s="11">
        <f t="shared" si="4"/>
        <v>0</v>
      </c>
    </row>
    <row r="16" spans="1:67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594</v>
      </c>
      <c r="L16" s="9" t="s">
        <v>976</v>
      </c>
      <c r="M16" s="9" t="s">
        <v>997</v>
      </c>
      <c r="N16" s="9">
        <v>1</v>
      </c>
      <c r="O16" s="9">
        <v>15</v>
      </c>
      <c r="P16" s="9" t="s">
        <v>807</v>
      </c>
      <c r="T16" s="9" t="s">
        <v>728</v>
      </c>
      <c r="W16" s="9">
        <f ca="1">IFERROR(OFFSET(ITEM_RES!$A$5,MATCH(BUILDING!V16,ITEM_RES!$J$5:$J$226,0)-1,0),0)</f>
        <v>0</v>
      </c>
      <c r="Y16" s="85" t="s">
        <v>566</v>
      </c>
      <c r="Z16" s="9">
        <f ca="1">IFERROR(OFFSET(ITEM_RES!$A$5,MATCH(BUILDING!Y16,ITEM_RES!$J$5:$J$226,0)-1,0),0)</f>
        <v>211010101</v>
      </c>
      <c r="AB16" s="9" t="s">
        <v>536</v>
      </c>
      <c r="AC16" s="9">
        <v>12</v>
      </c>
      <c r="AE16" s="9">
        <v>12000</v>
      </c>
      <c r="AG16" s="56">
        <f t="shared" si="5"/>
        <v>6300</v>
      </c>
      <c r="AH16" s="10">
        <f t="shared" si="8"/>
        <v>11550</v>
      </c>
      <c r="AJ16" s="11">
        <f t="shared" si="3"/>
        <v>60</v>
      </c>
      <c r="AK16" s="10">
        <v>60</v>
      </c>
      <c r="AL16" s="11">
        <f t="shared" si="6"/>
        <v>300</v>
      </c>
      <c r="AM16" s="10">
        <v>300</v>
      </c>
      <c r="AN16" s="11">
        <f t="shared" si="6"/>
        <v>300</v>
      </c>
      <c r="AO16" s="10">
        <v>300</v>
      </c>
      <c r="AP16" s="56">
        <f t="shared" si="7"/>
        <v>2</v>
      </c>
      <c r="AR16" s="11">
        <f ca="1">IFERROR(OFFSET(ITEM_RES!$A$1,MATCH(AS16,ITEM_RES!$J:$J,0)-1,0),0)</f>
        <v>211010501</v>
      </c>
      <c r="AS16" s="10" t="s">
        <v>445</v>
      </c>
      <c r="AT16" s="11">
        <v>1500</v>
      </c>
      <c r="AW16" s="11">
        <f ca="1">IFERROR(OFFSET(ITEM_RES!$A$1,MATCH(AX16,ITEM_RES!$J:$J,0)-1,0),0)</f>
        <v>211020101</v>
      </c>
      <c r="AX16" s="10" t="s">
        <v>471</v>
      </c>
      <c r="AY16" s="11">
        <v>1500</v>
      </c>
      <c r="BB16" s="11">
        <f ca="1">IFERROR(OFFSET(ITEM_RES!$A$1,MATCH(BC16,ITEM_RES!$J:$J,0)-1,0),0)</f>
        <v>0</v>
      </c>
      <c r="BG16" s="11">
        <f ca="1">IFERROR(OFFSET(ITEM_RES!$A$1,MATCH(BH16,ITEM_RES!$J:$J,0)-1,0),0)</f>
        <v>0</v>
      </c>
      <c r="BL16" s="11">
        <f ca="1">IFERROR(OFFSET(ITEM_RES!$A$1,MATCH(BM16,ITEM_RES!$J:$J,0)-1,0),0)</f>
        <v>0</v>
      </c>
      <c r="BN16" s="11">
        <f t="shared" si="4"/>
        <v>0</v>
      </c>
    </row>
    <row r="17" spans="1:67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594</v>
      </c>
      <c r="L17" s="9" t="s">
        <v>976</v>
      </c>
      <c r="M17" s="9" t="s">
        <v>997</v>
      </c>
      <c r="N17" s="9">
        <v>1</v>
      </c>
      <c r="O17" s="9">
        <v>15</v>
      </c>
      <c r="P17" s="9" t="s">
        <v>807</v>
      </c>
      <c r="T17" s="9" t="s">
        <v>728</v>
      </c>
      <c r="W17" s="9">
        <f ca="1">IFERROR(OFFSET(ITEM_RES!$A$5,MATCH(BUILDING!V17,ITEM_RES!$J$5:$J$226,0)-1,0),0)</f>
        <v>0</v>
      </c>
      <c r="Y17" s="85" t="s">
        <v>566</v>
      </c>
      <c r="Z17" s="9">
        <f ca="1">IFERROR(OFFSET(ITEM_RES!$A$5,MATCH(BUILDING!Y17,ITEM_RES!$J$5:$J$226,0)-1,0),0)</f>
        <v>211010101</v>
      </c>
      <c r="AB17" s="9" t="s">
        <v>536</v>
      </c>
      <c r="AC17" s="9">
        <v>13</v>
      </c>
      <c r="AE17" s="9">
        <v>14000</v>
      </c>
      <c r="AG17" s="56">
        <f t="shared" si="5"/>
        <v>7350</v>
      </c>
      <c r="AH17" s="10">
        <f t="shared" si="8"/>
        <v>13650</v>
      </c>
      <c r="AJ17" s="11">
        <f t="shared" si="3"/>
        <v>65</v>
      </c>
      <c r="AK17" s="10">
        <v>65</v>
      </c>
      <c r="AL17" s="11">
        <f t="shared" si="6"/>
        <v>350</v>
      </c>
      <c r="AM17" s="10">
        <v>350</v>
      </c>
      <c r="AN17" s="11">
        <f t="shared" si="6"/>
        <v>350</v>
      </c>
      <c r="AO17" s="10">
        <v>350</v>
      </c>
      <c r="AP17" s="56">
        <f t="shared" si="7"/>
        <v>2</v>
      </c>
      <c r="AR17" s="11">
        <f ca="1">IFERROR(OFFSET(ITEM_RES!$A$1,MATCH(AS17,ITEM_RES!$J:$J,0)-1,0),0)</f>
        <v>211010501</v>
      </c>
      <c r="AS17" s="10" t="s">
        <v>445</v>
      </c>
      <c r="AT17" s="11">
        <v>1750</v>
      </c>
      <c r="AW17" s="11">
        <f ca="1">IFERROR(OFFSET(ITEM_RES!$A$1,MATCH(AX17,ITEM_RES!$J:$J,0)-1,0),0)</f>
        <v>211020101</v>
      </c>
      <c r="AX17" s="10" t="s">
        <v>471</v>
      </c>
      <c r="AY17" s="11">
        <v>1750</v>
      </c>
      <c r="BB17" s="11">
        <f ca="1">IFERROR(OFFSET(ITEM_RES!$A$1,MATCH(BC17,ITEM_RES!$J:$J,0)-1,0),0)</f>
        <v>0</v>
      </c>
      <c r="BG17" s="11">
        <f ca="1">IFERROR(OFFSET(ITEM_RES!$A$1,MATCH(BH17,ITEM_RES!$J:$J,0)-1,0),0)</f>
        <v>0</v>
      </c>
      <c r="BL17" s="11">
        <f ca="1">IFERROR(OFFSET(ITEM_RES!$A$1,MATCH(BM17,ITEM_RES!$J:$J,0)-1,0),0)</f>
        <v>0</v>
      </c>
      <c r="BN17" s="11">
        <f t="shared" si="4"/>
        <v>0</v>
      </c>
    </row>
    <row r="18" spans="1:67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594</v>
      </c>
      <c r="L18" s="9" t="s">
        <v>976</v>
      </c>
      <c r="M18" s="9" t="s">
        <v>997</v>
      </c>
      <c r="N18" s="9">
        <v>1</v>
      </c>
      <c r="O18" s="9">
        <v>15</v>
      </c>
      <c r="P18" s="9" t="s">
        <v>807</v>
      </c>
      <c r="T18" s="9" t="s">
        <v>728</v>
      </c>
      <c r="W18" s="9">
        <f ca="1">IFERROR(OFFSET(ITEM_RES!$A$5,MATCH(BUILDING!V18,ITEM_RES!$J$5:$J$226,0)-1,0),0)</f>
        <v>0</v>
      </c>
      <c r="Y18" s="85" t="s">
        <v>566</v>
      </c>
      <c r="Z18" s="9">
        <f ca="1">IFERROR(OFFSET(ITEM_RES!$A$5,MATCH(BUILDING!Y18,ITEM_RES!$J$5:$J$226,0)-1,0),0)</f>
        <v>211010101</v>
      </c>
      <c r="AB18" s="9" t="s">
        <v>536</v>
      </c>
      <c r="AC18" s="9">
        <v>14</v>
      </c>
      <c r="AE18" s="9">
        <v>18000</v>
      </c>
      <c r="AG18" s="56">
        <f t="shared" si="5"/>
        <v>9450</v>
      </c>
      <c r="AH18" s="10">
        <f t="shared" si="8"/>
        <v>16800</v>
      </c>
      <c r="AJ18" s="11">
        <f t="shared" si="3"/>
        <v>70</v>
      </c>
      <c r="AK18" s="10">
        <v>70</v>
      </c>
      <c r="AL18" s="11">
        <f t="shared" si="6"/>
        <v>450</v>
      </c>
      <c r="AM18" s="10">
        <v>450</v>
      </c>
      <c r="AN18" s="11">
        <f t="shared" si="6"/>
        <v>450</v>
      </c>
      <c r="AO18" s="10">
        <v>450</v>
      </c>
      <c r="AP18" s="56">
        <f t="shared" si="7"/>
        <v>2</v>
      </c>
      <c r="AR18" s="11">
        <f ca="1">IFERROR(OFFSET(ITEM_RES!$A$1,MATCH(AS18,ITEM_RES!$J:$J,0)-1,0),0)</f>
        <v>211010501</v>
      </c>
      <c r="AS18" s="10" t="s">
        <v>445</v>
      </c>
      <c r="AT18" s="11">
        <v>2250</v>
      </c>
      <c r="AW18" s="11">
        <f ca="1">IFERROR(OFFSET(ITEM_RES!$A$1,MATCH(AX18,ITEM_RES!$J:$J,0)-1,0),0)</f>
        <v>211020101</v>
      </c>
      <c r="AX18" s="10" t="s">
        <v>471</v>
      </c>
      <c r="AY18" s="11">
        <v>2250</v>
      </c>
      <c r="BB18" s="11">
        <f ca="1">IFERROR(OFFSET(ITEM_RES!$A$1,MATCH(BC18,ITEM_RES!$J:$J,0)-1,0),0)</f>
        <v>0</v>
      </c>
      <c r="BG18" s="11">
        <f ca="1">IFERROR(OFFSET(ITEM_RES!$A$1,MATCH(BH18,ITEM_RES!$J:$J,0)-1,0),0)</f>
        <v>0</v>
      </c>
      <c r="BL18" s="11">
        <f ca="1">IFERROR(OFFSET(ITEM_RES!$A$1,MATCH(BM18,ITEM_RES!$J:$J,0)-1,0),0)</f>
        <v>0</v>
      </c>
      <c r="BN18" s="11">
        <f t="shared" si="4"/>
        <v>0</v>
      </c>
    </row>
    <row r="19" spans="1:67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594</v>
      </c>
      <c r="L19" s="9" t="s">
        <v>976</v>
      </c>
      <c r="M19" s="9" t="s">
        <v>997</v>
      </c>
      <c r="N19" s="9">
        <v>1</v>
      </c>
      <c r="O19" s="9">
        <v>15</v>
      </c>
      <c r="P19" s="9" t="s">
        <v>807</v>
      </c>
      <c r="T19" s="9" t="s">
        <v>728</v>
      </c>
      <c r="W19" s="9">
        <f ca="1">IFERROR(OFFSET(ITEM_RES!$A$5,MATCH(BUILDING!V19,ITEM_RES!$J$5:$J$226,0)-1,0),0)</f>
        <v>0</v>
      </c>
      <c r="Y19" s="85" t="s">
        <v>566</v>
      </c>
      <c r="Z19" s="9">
        <f ca="1">IFERROR(OFFSET(ITEM_RES!$A$5,MATCH(BUILDING!Y19,ITEM_RES!$J$5:$J$226,0)-1,0),0)</f>
        <v>211010101</v>
      </c>
      <c r="AB19" s="9" t="s">
        <v>536</v>
      </c>
      <c r="AC19" s="9">
        <v>15</v>
      </c>
      <c r="AE19" s="9">
        <v>22000</v>
      </c>
      <c r="AG19" s="56">
        <f t="shared" si="5"/>
        <v>11550</v>
      </c>
      <c r="AH19" s="10">
        <f t="shared" si="8"/>
        <v>21000</v>
      </c>
      <c r="AJ19" s="11">
        <f t="shared" si="3"/>
        <v>75</v>
      </c>
      <c r="AK19" s="10">
        <v>75</v>
      </c>
      <c r="AL19" s="11">
        <f t="shared" si="6"/>
        <v>550</v>
      </c>
      <c r="AM19" s="10">
        <v>550</v>
      </c>
      <c r="AN19" s="11">
        <f t="shared" si="6"/>
        <v>550</v>
      </c>
      <c r="AO19" s="10">
        <v>550</v>
      </c>
      <c r="AP19" s="56">
        <f t="shared" si="7"/>
        <v>2</v>
      </c>
      <c r="AR19" s="11">
        <f ca="1">IFERROR(OFFSET(ITEM_RES!$A$1,MATCH(AS19,ITEM_RES!$J:$J,0)-1,0),0)</f>
        <v>211010501</v>
      </c>
      <c r="AS19" s="10" t="s">
        <v>445</v>
      </c>
      <c r="AT19" s="11">
        <v>2750</v>
      </c>
      <c r="AW19" s="11">
        <f ca="1">IFERROR(OFFSET(ITEM_RES!$A$1,MATCH(AX19,ITEM_RES!$J:$J,0)-1,0),0)</f>
        <v>211020101</v>
      </c>
      <c r="AX19" s="10" t="s">
        <v>471</v>
      </c>
      <c r="AY19" s="11">
        <v>2750</v>
      </c>
      <c r="BB19" s="11">
        <f ca="1">IFERROR(OFFSET(ITEM_RES!$A$1,MATCH(BC19,ITEM_RES!$J:$J,0)-1,0),0)</f>
        <v>0</v>
      </c>
      <c r="BG19" s="11">
        <f ca="1">IFERROR(OFFSET(ITEM_RES!$A$1,MATCH(BH19,ITEM_RES!$J:$J,0)-1,0),0)</f>
        <v>0</v>
      </c>
      <c r="BL19" s="11">
        <f ca="1">IFERROR(OFFSET(ITEM_RES!$A$1,MATCH(BM19,ITEM_RES!$J:$J,0)-1,0),0)</f>
        <v>0</v>
      </c>
      <c r="BN19" s="11">
        <f t="shared" si="4"/>
        <v>0</v>
      </c>
    </row>
    <row r="20" spans="1:67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594</v>
      </c>
      <c r="L20" s="9" t="s">
        <v>976</v>
      </c>
      <c r="M20" s="9" t="s">
        <v>997</v>
      </c>
      <c r="N20" s="9">
        <v>0</v>
      </c>
      <c r="O20" s="9">
        <v>15</v>
      </c>
      <c r="P20" s="9" t="s">
        <v>807</v>
      </c>
      <c r="T20" s="9" t="s">
        <v>729</v>
      </c>
      <c r="W20" s="9">
        <f ca="1">IFERROR(OFFSET(ITEM_RES!$A$5,MATCH(BUILDING!V20,ITEM_RES!$J$5:$J$226,0)-1,0),0)</f>
        <v>0</v>
      </c>
      <c r="Y20" s="85" t="s">
        <v>566</v>
      </c>
      <c r="Z20" s="9">
        <f ca="1">IFERROR(OFFSET(ITEM_RES!$A$5,MATCH(BUILDING!Y20,ITEM_RES!$J$5:$J$226,0)-1,0),0)</f>
        <v>211010101</v>
      </c>
      <c r="AB20" s="9" t="s">
        <v>536</v>
      </c>
      <c r="AC20" s="9">
        <v>16</v>
      </c>
      <c r="AE20" s="9">
        <v>28000</v>
      </c>
      <c r="AG20" s="56">
        <f t="shared" si="5"/>
        <v>14700</v>
      </c>
      <c r="AH20" s="10">
        <f t="shared" si="8"/>
        <v>26250</v>
      </c>
      <c r="AJ20" s="11">
        <f t="shared" si="3"/>
        <v>80</v>
      </c>
      <c r="AK20" s="10">
        <v>80</v>
      </c>
      <c r="AL20" s="11">
        <f t="shared" si="6"/>
        <v>700</v>
      </c>
      <c r="AM20" s="10">
        <v>700</v>
      </c>
      <c r="AN20" s="11">
        <f t="shared" si="6"/>
        <v>700</v>
      </c>
      <c r="AO20" s="10">
        <v>700</v>
      </c>
      <c r="AP20" s="56">
        <f t="shared" si="7"/>
        <v>2</v>
      </c>
      <c r="AR20" s="11">
        <f ca="1">IFERROR(OFFSET(ITEM_RES!$A$1,MATCH(AS20,ITEM_RES!$J:$J,0)-1,0),0)</f>
        <v>211010601</v>
      </c>
      <c r="AS20" s="10" t="s">
        <v>462</v>
      </c>
      <c r="AT20" s="11">
        <v>3500</v>
      </c>
      <c r="AW20" s="11">
        <f ca="1">IFERROR(OFFSET(ITEM_RES!$A$1,MATCH(AX20,ITEM_RES!$J:$J,0)-1,0),0)</f>
        <v>211020101</v>
      </c>
      <c r="AX20" s="10" t="s">
        <v>471</v>
      </c>
      <c r="AY20" s="11">
        <v>3500</v>
      </c>
      <c r="BB20" s="11">
        <f ca="1">IFERROR(OFFSET(ITEM_RES!$A$1,MATCH(BC20,ITEM_RES!$J:$J,0)-1,0),0)</f>
        <v>0</v>
      </c>
      <c r="BG20" s="11">
        <f ca="1">IFERROR(OFFSET(ITEM_RES!$A$1,MATCH(BH20,ITEM_RES!$J:$J,0)-1,0),0)</f>
        <v>0</v>
      </c>
      <c r="BL20" s="11">
        <f ca="1">IFERROR(OFFSET(ITEM_RES!$A$1,MATCH(BM20,ITEM_RES!$J:$J,0)-1,0),0)</f>
        <v>0</v>
      </c>
      <c r="BN20" s="11">
        <f t="shared" si="4"/>
        <v>0</v>
      </c>
    </row>
    <row r="21" spans="1:67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594</v>
      </c>
      <c r="L21" s="9" t="s">
        <v>976</v>
      </c>
      <c r="M21" s="9" t="s">
        <v>997</v>
      </c>
      <c r="N21" s="9">
        <v>0</v>
      </c>
      <c r="O21" s="9">
        <v>15</v>
      </c>
      <c r="P21" s="9" t="s">
        <v>807</v>
      </c>
      <c r="T21" s="9" t="s">
        <v>729</v>
      </c>
      <c r="W21" s="9">
        <f ca="1">IFERROR(OFFSET(ITEM_RES!$A$5,MATCH(BUILDING!V21,ITEM_RES!$J$5:$J$226,0)-1,0),0)</f>
        <v>0</v>
      </c>
      <c r="Y21" s="85" t="s">
        <v>566</v>
      </c>
      <c r="Z21" s="9">
        <f ca="1">IFERROR(OFFSET(ITEM_RES!$A$5,MATCH(BUILDING!Y21,ITEM_RES!$J$5:$J$226,0)-1,0),0)</f>
        <v>211010101</v>
      </c>
      <c r="AB21" s="9" t="s">
        <v>536</v>
      </c>
      <c r="AC21" s="9">
        <v>17</v>
      </c>
      <c r="AE21" s="9">
        <v>34000</v>
      </c>
      <c r="AG21" s="56">
        <f t="shared" si="5"/>
        <v>17850</v>
      </c>
      <c r="AH21" s="10">
        <f t="shared" si="8"/>
        <v>32550</v>
      </c>
      <c r="AJ21" s="11">
        <f t="shared" si="3"/>
        <v>85</v>
      </c>
      <c r="AK21" s="10">
        <v>85</v>
      </c>
      <c r="AL21" s="11">
        <f t="shared" si="6"/>
        <v>850</v>
      </c>
      <c r="AM21" s="10">
        <v>850</v>
      </c>
      <c r="AN21" s="11">
        <f t="shared" si="6"/>
        <v>850</v>
      </c>
      <c r="AO21" s="10">
        <v>850</v>
      </c>
      <c r="AP21" s="56">
        <f t="shared" si="7"/>
        <v>2</v>
      </c>
      <c r="AR21" s="11">
        <f ca="1">IFERROR(OFFSET(ITEM_RES!$A$1,MATCH(AS21,ITEM_RES!$J:$J,0)-1,0),0)</f>
        <v>211010601</v>
      </c>
      <c r="AS21" s="10" t="s">
        <v>462</v>
      </c>
      <c r="AT21" s="11">
        <v>4250</v>
      </c>
      <c r="AW21" s="11">
        <f ca="1">IFERROR(OFFSET(ITEM_RES!$A$1,MATCH(AX21,ITEM_RES!$J:$J,0)-1,0),0)</f>
        <v>211020101</v>
      </c>
      <c r="AX21" s="10" t="s">
        <v>471</v>
      </c>
      <c r="AY21" s="11">
        <v>4250</v>
      </c>
      <c r="BB21" s="11">
        <f ca="1">IFERROR(OFFSET(ITEM_RES!$A$1,MATCH(BC21,ITEM_RES!$J:$J,0)-1,0),0)</f>
        <v>0</v>
      </c>
      <c r="BG21" s="11">
        <f ca="1">IFERROR(OFFSET(ITEM_RES!$A$1,MATCH(BH21,ITEM_RES!$J:$J,0)-1,0),0)</f>
        <v>0</v>
      </c>
      <c r="BL21" s="11">
        <f ca="1">IFERROR(OFFSET(ITEM_RES!$A$1,MATCH(BM21,ITEM_RES!$J:$J,0)-1,0),0)</f>
        <v>0</v>
      </c>
      <c r="BN21" s="11">
        <f t="shared" si="4"/>
        <v>0</v>
      </c>
    </row>
    <row r="22" spans="1:67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594</v>
      </c>
      <c r="L22" s="9" t="s">
        <v>976</v>
      </c>
      <c r="M22" s="9" t="s">
        <v>997</v>
      </c>
      <c r="N22" s="9">
        <v>0</v>
      </c>
      <c r="O22" s="9">
        <v>15</v>
      </c>
      <c r="P22" s="9" t="s">
        <v>807</v>
      </c>
      <c r="T22" s="9" t="s">
        <v>729</v>
      </c>
      <c r="W22" s="9">
        <f ca="1">IFERROR(OFFSET(ITEM_RES!$A$5,MATCH(BUILDING!V22,ITEM_RES!$J$5:$J$226,0)-1,0),0)</f>
        <v>0</v>
      </c>
      <c r="Y22" s="85" t="s">
        <v>566</v>
      </c>
      <c r="Z22" s="9">
        <f ca="1">IFERROR(OFFSET(ITEM_RES!$A$5,MATCH(BUILDING!Y22,ITEM_RES!$J$5:$J$226,0)-1,0),0)</f>
        <v>211010101</v>
      </c>
      <c r="AB22" s="9" t="s">
        <v>536</v>
      </c>
      <c r="AC22" s="9">
        <v>18</v>
      </c>
      <c r="AE22" s="9">
        <v>42000</v>
      </c>
      <c r="AG22" s="56">
        <f t="shared" si="5"/>
        <v>22050</v>
      </c>
      <c r="AH22" s="10">
        <f t="shared" si="8"/>
        <v>39900</v>
      </c>
      <c r="AJ22" s="11">
        <f t="shared" si="3"/>
        <v>90</v>
      </c>
      <c r="AK22" s="10">
        <v>90</v>
      </c>
      <c r="AL22" s="11">
        <f t="shared" si="6"/>
        <v>1050</v>
      </c>
      <c r="AM22" s="10">
        <v>1050</v>
      </c>
      <c r="AN22" s="11">
        <f t="shared" si="6"/>
        <v>1050</v>
      </c>
      <c r="AO22" s="10">
        <v>1050</v>
      </c>
      <c r="AP22" s="56">
        <f t="shared" si="7"/>
        <v>2</v>
      </c>
      <c r="AR22" s="11">
        <f ca="1">IFERROR(OFFSET(ITEM_RES!$A$1,MATCH(AS22,ITEM_RES!$J:$J,0)-1,0),0)</f>
        <v>211010601</v>
      </c>
      <c r="AS22" s="10" t="s">
        <v>462</v>
      </c>
      <c r="AT22" s="11">
        <v>5250</v>
      </c>
      <c r="AW22" s="11">
        <f ca="1">IFERROR(OFFSET(ITEM_RES!$A$1,MATCH(AX22,ITEM_RES!$J:$J,0)-1,0),0)</f>
        <v>211020101</v>
      </c>
      <c r="AX22" s="10" t="s">
        <v>471</v>
      </c>
      <c r="AY22" s="11">
        <v>5250</v>
      </c>
      <c r="BB22" s="11">
        <f ca="1">IFERROR(OFFSET(ITEM_RES!$A$1,MATCH(BC22,ITEM_RES!$J:$J,0)-1,0),0)</f>
        <v>0</v>
      </c>
      <c r="BG22" s="11">
        <f ca="1">IFERROR(OFFSET(ITEM_RES!$A$1,MATCH(BH22,ITEM_RES!$J:$J,0)-1,0),0)</f>
        <v>0</v>
      </c>
      <c r="BL22" s="11">
        <f ca="1">IFERROR(OFFSET(ITEM_RES!$A$1,MATCH(BM22,ITEM_RES!$J:$J,0)-1,0),0)</f>
        <v>0</v>
      </c>
      <c r="BN22" s="11">
        <f t="shared" si="4"/>
        <v>0</v>
      </c>
    </row>
    <row r="23" spans="1:67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594</v>
      </c>
      <c r="L23" s="9" t="s">
        <v>976</v>
      </c>
      <c r="M23" s="9" t="s">
        <v>997</v>
      </c>
      <c r="N23" s="9">
        <v>0</v>
      </c>
      <c r="O23" s="9">
        <v>15</v>
      </c>
      <c r="P23" s="9" t="s">
        <v>807</v>
      </c>
      <c r="T23" s="9" t="s">
        <v>729</v>
      </c>
      <c r="W23" s="9">
        <f ca="1">IFERROR(OFFSET(ITEM_RES!$A$5,MATCH(BUILDING!V23,ITEM_RES!$J$5:$J$226,0)-1,0),0)</f>
        <v>0</v>
      </c>
      <c r="Y23" s="85" t="s">
        <v>566</v>
      </c>
      <c r="Z23" s="9">
        <f ca="1">IFERROR(OFFSET(ITEM_RES!$A$5,MATCH(BUILDING!Y23,ITEM_RES!$J$5:$J$226,0)-1,0),0)</f>
        <v>211010101</v>
      </c>
      <c r="AB23" s="9" t="s">
        <v>536</v>
      </c>
      <c r="AC23" s="9">
        <v>19</v>
      </c>
      <c r="AE23" s="9">
        <v>50000</v>
      </c>
      <c r="AG23" s="56">
        <f t="shared" si="5"/>
        <v>26250</v>
      </c>
      <c r="AH23" s="10">
        <f t="shared" si="8"/>
        <v>48300</v>
      </c>
      <c r="AJ23" s="11">
        <f t="shared" si="3"/>
        <v>95</v>
      </c>
      <c r="AK23" s="10">
        <v>95</v>
      </c>
      <c r="AL23" s="11">
        <f t="shared" si="6"/>
        <v>1250</v>
      </c>
      <c r="AM23" s="10">
        <v>1250</v>
      </c>
      <c r="AN23" s="11">
        <f t="shared" si="6"/>
        <v>1250</v>
      </c>
      <c r="AO23" s="10">
        <v>1250</v>
      </c>
      <c r="AP23" s="56">
        <f t="shared" si="7"/>
        <v>2</v>
      </c>
      <c r="AR23" s="11">
        <f ca="1">IFERROR(OFFSET(ITEM_RES!$A$1,MATCH(AS23,ITEM_RES!$J:$J,0)-1,0),0)</f>
        <v>211010601</v>
      </c>
      <c r="AS23" s="10" t="s">
        <v>462</v>
      </c>
      <c r="AT23" s="11">
        <v>6250</v>
      </c>
      <c r="AW23" s="11">
        <f ca="1">IFERROR(OFFSET(ITEM_RES!$A$1,MATCH(AX23,ITEM_RES!$J:$J,0)-1,0),0)</f>
        <v>211020101</v>
      </c>
      <c r="AX23" s="10" t="s">
        <v>471</v>
      </c>
      <c r="AY23" s="11">
        <v>6250</v>
      </c>
      <c r="BB23" s="11">
        <f ca="1">IFERROR(OFFSET(ITEM_RES!$A$1,MATCH(BC23,ITEM_RES!$J:$J,0)-1,0),0)</f>
        <v>0</v>
      </c>
      <c r="BG23" s="11">
        <f ca="1">IFERROR(OFFSET(ITEM_RES!$A$1,MATCH(BH23,ITEM_RES!$J:$J,0)-1,0),0)</f>
        <v>0</v>
      </c>
      <c r="BL23" s="11">
        <f ca="1">IFERROR(OFFSET(ITEM_RES!$A$1,MATCH(BM23,ITEM_RES!$J:$J,0)-1,0),0)</f>
        <v>0</v>
      </c>
      <c r="BN23" s="11">
        <f t="shared" si="4"/>
        <v>0</v>
      </c>
    </row>
    <row r="24" spans="1:67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594</v>
      </c>
      <c r="L24" s="9" t="s">
        <v>976</v>
      </c>
      <c r="M24" s="9" t="s">
        <v>997</v>
      </c>
      <c r="N24" s="9">
        <v>0</v>
      </c>
      <c r="O24" s="9">
        <v>15</v>
      </c>
      <c r="P24" s="9" t="s">
        <v>807</v>
      </c>
      <c r="T24" s="9" t="s">
        <v>730</v>
      </c>
      <c r="W24" s="9">
        <f ca="1">IFERROR(OFFSET(ITEM_RES!$A$5,MATCH(BUILDING!V24,ITEM_RES!$J$5:$J$226,0)-1,0),0)</f>
        <v>0</v>
      </c>
      <c r="Y24" s="85" t="s">
        <v>566</v>
      </c>
      <c r="Z24" s="9">
        <f ca="1">IFERROR(OFFSET(ITEM_RES!$A$5,MATCH(BUILDING!Y24,ITEM_RES!$J$5:$J$226,0)-1,0),0)</f>
        <v>211010101</v>
      </c>
      <c r="AB24" s="9" t="s">
        <v>536</v>
      </c>
      <c r="AC24" s="9">
        <v>20</v>
      </c>
      <c r="AE24" s="9">
        <v>60000</v>
      </c>
      <c r="AG24" s="56">
        <f t="shared" si="5"/>
        <v>31500</v>
      </c>
      <c r="AH24" s="10">
        <f t="shared" si="8"/>
        <v>57750</v>
      </c>
      <c r="AJ24" s="11">
        <f t="shared" si="3"/>
        <v>100</v>
      </c>
      <c r="AK24" s="10">
        <v>100</v>
      </c>
      <c r="AL24" s="11">
        <f t="shared" si="6"/>
        <v>1500</v>
      </c>
      <c r="AM24" s="10">
        <v>1500</v>
      </c>
      <c r="AN24" s="11">
        <f t="shared" si="6"/>
        <v>1500</v>
      </c>
      <c r="AO24" s="10">
        <v>1500</v>
      </c>
      <c r="AP24" s="56">
        <f t="shared" si="7"/>
        <v>2</v>
      </c>
      <c r="AR24" s="11">
        <f ca="1">IFERROR(OFFSET(ITEM_RES!$A$1,MATCH(AS24,ITEM_RES!$J:$J,0)-1,0),0)</f>
        <v>211010601</v>
      </c>
      <c r="AS24" s="10" t="s">
        <v>462</v>
      </c>
      <c r="AT24" s="11">
        <v>7500</v>
      </c>
      <c r="AW24" s="11">
        <f ca="1">IFERROR(OFFSET(ITEM_RES!$A$1,MATCH(AX24,ITEM_RES!$J:$J,0)-1,0),0)</f>
        <v>211020101</v>
      </c>
      <c r="AX24" s="10" t="s">
        <v>471</v>
      </c>
      <c r="AY24" s="11">
        <v>7500</v>
      </c>
      <c r="BB24" s="11">
        <f ca="1">IFERROR(OFFSET(ITEM_RES!$A$1,MATCH(BC24,ITEM_RES!$J:$J,0)-1,0),0)</f>
        <v>0</v>
      </c>
      <c r="BG24" s="11">
        <f ca="1">IFERROR(OFFSET(ITEM_RES!$A$1,MATCH(BH24,ITEM_RES!$J:$J,0)-1,0),0)</f>
        <v>0</v>
      </c>
      <c r="BL24" s="11">
        <f ca="1">IFERROR(OFFSET(ITEM_RES!$A$1,MATCH(BM24,ITEM_RES!$J:$J,0)-1,0),0)</f>
        <v>0</v>
      </c>
      <c r="BN24" s="11">
        <f t="shared" si="4"/>
        <v>0</v>
      </c>
    </row>
    <row r="25" spans="1:67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595</v>
      </c>
      <c r="L25" s="16" t="s">
        <v>977</v>
      </c>
      <c r="M25" s="16" t="s">
        <v>998</v>
      </c>
      <c r="N25" s="16">
        <v>1</v>
      </c>
      <c r="O25" s="16">
        <v>15</v>
      </c>
      <c r="P25" s="16" t="s">
        <v>809</v>
      </c>
      <c r="Q25" s="17"/>
      <c r="R25" s="17"/>
      <c r="S25" s="18"/>
      <c r="T25" s="16" t="s">
        <v>732</v>
      </c>
      <c r="U25" s="79"/>
      <c r="V25" s="87"/>
      <c r="W25" s="16">
        <f ca="1">IFERROR(OFFSET(ITEM_RES!$A$5,MATCH(BUILDING!V25,ITEM_RES!$J$5:$J$226,0)-1,0),0)</f>
        <v>0</v>
      </c>
      <c r="X25" s="18"/>
      <c r="Y25" s="87" t="s">
        <v>567</v>
      </c>
      <c r="Z25" s="16">
        <f ca="1">IFERROR(OFFSET(ITEM_RES!$A$5,MATCH(BUILDING!Y25,ITEM_RES!$J$5:$J$226,0)-1,0),0)</f>
        <v>211010201</v>
      </c>
      <c r="AA25" s="79"/>
      <c r="AB25" s="16" t="s">
        <v>537</v>
      </c>
      <c r="AC25" s="16">
        <v>1</v>
      </c>
      <c r="AD25" s="79"/>
      <c r="AE25" s="16">
        <v>0</v>
      </c>
      <c r="AF25" s="79"/>
      <c r="AG25" s="57">
        <f t="shared" si="5"/>
        <v>605</v>
      </c>
      <c r="AH25" s="17">
        <f>AG25</f>
        <v>605</v>
      </c>
      <c r="AI25" s="79"/>
      <c r="AJ25" s="18">
        <f t="shared" si="3"/>
        <v>5</v>
      </c>
      <c r="AK25" s="17">
        <v>5</v>
      </c>
      <c r="AL25" s="18">
        <f t="shared" si="6"/>
        <v>5</v>
      </c>
      <c r="AM25" s="17">
        <v>5</v>
      </c>
      <c r="AN25" s="18">
        <f t="shared" si="6"/>
        <v>5</v>
      </c>
      <c r="AO25" s="17">
        <v>5</v>
      </c>
      <c r="AP25" s="57">
        <f t="shared" si="7"/>
        <v>3</v>
      </c>
      <c r="AQ25" s="18"/>
      <c r="AR25" s="18">
        <f ca="1">IFERROR(OFFSET(ITEM_RES!$A$1,MATCH(AS25,ITEM_RES!$J:$J,0)-1,0),0)</f>
        <v>211010501</v>
      </c>
      <c r="AS25" s="17" t="s">
        <v>446</v>
      </c>
      <c r="AT25" s="18">
        <v>25</v>
      </c>
      <c r="AU25" s="17"/>
      <c r="AV25" s="18"/>
      <c r="AW25" s="18">
        <f ca="1">IFERROR(OFFSET(ITEM_RES!$A$1,MATCH(AX25,ITEM_RES!$J:$J,0)-1,0),0)</f>
        <v>211020101</v>
      </c>
      <c r="AX25" s="17" t="s">
        <v>471</v>
      </c>
      <c r="AY25" s="18">
        <v>25</v>
      </c>
      <c r="AZ25" s="17"/>
      <c r="BA25" s="18"/>
      <c r="BB25" s="18">
        <f ca="1">IFERROR(OFFSET(ITEM_RES!$A$1,MATCH(BC25,ITEM_RES!$J:$J,0)-1,0),0)</f>
        <v>213010101</v>
      </c>
      <c r="BC25" s="17" t="s">
        <v>477</v>
      </c>
      <c r="BD25" s="18">
        <v>1</v>
      </c>
      <c r="BE25" s="17"/>
      <c r="BF25" s="18"/>
      <c r="BG25" s="18">
        <f ca="1">IFERROR(OFFSET(ITEM_RES!$A$1,MATCH(BH25,ITEM_RES!$J:$J,0)-1,0),0)</f>
        <v>0</v>
      </c>
      <c r="BH25" s="17"/>
      <c r="BI25" s="18"/>
      <c r="BJ25" s="17"/>
      <c r="BK25" s="18"/>
      <c r="BL25" s="18">
        <f ca="1">IFERROR(OFFSET(ITEM_RES!$A$1,MATCH(BM25,ITEM_RES!$J:$J,0)-1,0),0)</f>
        <v>0</v>
      </c>
      <c r="BM25" s="17"/>
      <c r="BN25" s="18">
        <f t="shared" si="4"/>
        <v>0</v>
      </c>
      <c r="BO25" s="17"/>
    </row>
    <row r="26" spans="1:67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 t="s">
        <v>977</v>
      </c>
      <c r="M26" s="9" t="s">
        <v>998</v>
      </c>
      <c r="N26" s="9">
        <v>1</v>
      </c>
      <c r="O26" s="9">
        <v>15</v>
      </c>
      <c r="P26" s="9" t="s">
        <v>809</v>
      </c>
      <c r="T26" s="9" t="s">
        <v>732</v>
      </c>
      <c r="W26" s="9">
        <f ca="1">IFERROR(OFFSET(ITEM_RES!$A$5,MATCH(BUILDING!V26,ITEM_RES!$J$5:$J$226,0)-1,0),0)</f>
        <v>0</v>
      </c>
      <c r="Y26" s="85" t="s">
        <v>567</v>
      </c>
      <c r="Z26" s="9">
        <f ca="1">IFERROR(OFFSET(ITEM_RES!$A$5,MATCH(BUILDING!Y26,ITEM_RES!$J$5:$J$226,0)-1,0),0)</f>
        <v>211010201</v>
      </c>
      <c r="AB26" s="9" t="s">
        <v>537</v>
      </c>
      <c r="AC26" s="9">
        <v>2</v>
      </c>
      <c r="AE26" s="9">
        <v>200</v>
      </c>
      <c r="AG26" s="56">
        <f t="shared" si="5"/>
        <v>210</v>
      </c>
      <c r="AH26" s="10">
        <f>AG25+AG26</f>
        <v>815</v>
      </c>
      <c r="AJ26" s="11">
        <f t="shared" si="3"/>
        <v>10</v>
      </c>
      <c r="AK26" s="10">
        <v>10</v>
      </c>
      <c r="AL26" s="11">
        <f t="shared" si="6"/>
        <v>10</v>
      </c>
      <c r="AM26" s="10">
        <v>10</v>
      </c>
      <c r="AN26" s="11">
        <f t="shared" si="6"/>
        <v>10</v>
      </c>
      <c r="AO26" s="10">
        <v>10</v>
      </c>
      <c r="AP26" s="56">
        <f t="shared" si="7"/>
        <v>2</v>
      </c>
      <c r="AR26" s="11">
        <f ca="1">IFERROR(OFFSET(ITEM_RES!$A$1,MATCH(AS26,ITEM_RES!$J:$J,0)-1,0),0)</f>
        <v>211010501</v>
      </c>
      <c r="AS26" s="10" t="s">
        <v>446</v>
      </c>
      <c r="AT26" s="11">
        <v>50</v>
      </c>
      <c r="AW26" s="11">
        <f ca="1">IFERROR(OFFSET(ITEM_RES!$A$1,MATCH(AX26,ITEM_RES!$J:$J,0)-1,0),0)</f>
        <v>211020101</v>
      </c>
      <c r="AX26" s="10" t="s">
        <v>471</v>
      </c>
      <c r="AY26" s="11">
        <v>50</v>
      </c>
      <c r="BB26" s="11">
        <f ca="1">IFERROR(OFFSET(ITEM_RES!$A$1,MATCH(BC26,ITEM_RES!$J:$J,0)-1,0),0)</f>
        <v>0</v>
      </c>
      <c r="BG26" s="11">
        <f ca="1">IFERROR(OFFSET(ITEM_RES!$A$1,MATCH(BH26,ITEM_RES!$J:$J,0)-1,0),0)</f>
        <v>0</v>
      </c>
      <c r="BL26" s="11">
        <f ca="1">IFERROR(OFFSET(ITEM_RES!$A$1,MATCH(BM26,ITEM_RES!$J:$J,0)-1,0),0)</f>
        <v>0</v>
      </c>
      <c r="BN26" s="11">
        <f t="shared" si="4"/>
        <v>0</v>
      </c>
    </row>
    <row r="27" spans="1:67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 t="s">
        <v>977</v>
      </c>
      <c r="M27" s="9" t="s">
        <v>998</v>
      </c>
      <c r="N27" s="9">
        <v>1</v>
      </c>
      <c r="O27" s="9">
        <v>15</v>
      </c>
      <c r="P27" s="9" t="s">
        <v>809</v>
      </c>
      <c r="T27" s="9" t="s">
        <v>732</v>
      </c>
      <c r="W27" s="9">
        <f ca="1">IFERROR(OFFSET(ITEM_RES!$A$5,MATCH(BUILDING!V27,ITEM_RES!$J$5:$J$226,0)-1,0),0)</f>
        <v>0</v>
      </c>
      <c r="Y27" s="85" t="s">
        <v>567</v>
      </c>
      <c r="Z27" s="9">
        <f ca="1">IFERROR(OFFSET(ITEM_RES!$A$5,MATCH(BUILDING!Y27,ITEM_RES!$J$5:$J$226,0)-1,0),0)</f>
        <v>211010201</v>
      </c>
      <c r="AB27" s="9" t="s">
        <v>537</v>
      </c>
      <c r="AC27" s="9">
        <v>3</v>
      </c>
      <c r="AE27" s="9">
        <v>600</v>
      </c>
      <c r="AG27" s="56">
        <f t="shared" si="5"/>
        <v>315</v>
      </c>
      <c r="AH27" s="10">
        <f t="shared" ref="AH27:AH44" si="9">AG26+AG27</f>
        <v>525</v>
      </c>
      <c r="AJ27" s="11">
        <f t="shared" si="3"/>
        <v>15</v>
      </c>
      <c r="AK27" s="10">
        <v>15</v>
      </c>
      <c r="AL27" s="11">
        <f t="shared" si="6"/>
        <v>15</v>
      </c>
      <c r="AM27" s="10">
        <v>15</v>
      </c>
      <c r="AN27" s="11">
        <f t="shared" si="6"/>
        <v>15</v>
      </c>
      <c r="AO27" s="10">
        <v>15</v>
      </c>
      <c r="AP27" s="56">
        <f t="shared" si="7"/>
        <v>2</v>
      </c>
      <c r="AR27" s="11">
        <f ca="1">IFERROR(OFFSET(ITEM_RES!$A$1,MATCH(AS27,ITEM_RES!$J:$J,0)-1,0),0)</f>
        <v>211010501</v>
      </c>
      <c r="AS27" s="10" t="s">
        <v>446</v>
      </c>
      <c r="AT27" s="11">
        <v>75</v>
      </c>
      <c r="AW27" s="11">
        <f ca="1">IFERROR(OFFSET(ITEM_RES!$A$1,MATCH(AX27,ITEM_RES!$J:$J,0)-1,0),0)</f>
        <v>211020101</v>
      </c>
      <c r="AX27" s="10" t="s">
        <v>471</v>
      </c>
      <c r="AY27" s="11">
        <v>75</v>
      </c>
      <c r="BB27" s="11">
        <f ca="1">IFERROR(OFFSET(ITEM_RES!$A$1,MATCH(BC27,ITEM_RES!$J:$J,0)-1,0),0)</f>
        <v>0</v>
      </c>
      <c r="BG27" s="11">
        <f ca="1">IFERROR(OFFSET(ITEM_RES!$A$1,MATCH(BH27,ITEM_RES!$J:$J,0)-1,0),0)</f>
        <v>0</v>
      </c>
      <c r="BL27" s="11">
        <f ca="1">IFERROR(OFFSET(ITEM_RES!$A$1,MATCH(BM27,ITEM_RES!$J:$J,0)-1,0),0)</f>
        <v>0</v>
      </c>
      <c r="BN27" s="11">
        <f t="shared" si="4"/>
        <v>0</v>
      </c>
    </row>
    <row r="28" spans="1:67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 t="s">
        <v>977</v>
      </c>
      <c r="M28" s="9" t="s">
        <v>998</v>
      </c>
      <c r="N28" s="9">
        <v>1</v>
      </c>
      <c r="O28" s="9">
        <v>15</v>
      </c>
      <c r="P28" s="9" t="s">
        <v>809</v>
      </c>
      <c r="T28" s="9" t="s">
        <v>732</v>
      </c>
      <c r="W28" s="9">
        <f ca="1">IFERROR(OFFSET(ITEM_RES!$A$5,MATCH(BUILDING!V28,ITEM_RES!$J$5:$J$226,0)-1,0),0)</f>
        <v>0</v>
      </c>
      <c r="Y28" s="85" t="s">
        <v>567</v>
      </c>
      <c r="Z28" s="9">
        <f ca="1">IFERROR(OFFSET(ITEM_RES!$A$5,MATCH(BUILDING!Y28,ITEM_RES!$J$5:$J$226,0)-1,0),0)</f>
        <v>211010201</v>
      </c>
      <c r="AB28" s="9" t="s">
        <v>537</v>
      </c>
      <c r="AC28" s="9">
        <v>4</v>
      </c>
      <c r="AE28" s="9">
        <v>1000</v>
      </c>
      <c r="AG28" s="56">
        <f t="shared" si="5"/>
        <v>525</v>
      </c>
      <c r="AH28" s="10">
        <f t="shared" si="9"/>
        <v>840</v>
      </c>
      <c r="AJ28" s="11">
        <f t="shared" si="3"/>
        <v>20</v>
      </c>
      <c r="AK28" s="10">
        <v>20</v>
      </c>
      <c r="AL28" s="11">
        <f t="shared" si="6"/>
        <v>25</v>
      </c>
      <c r="AM28" s="10">
        <v>25</v>
      </c>
      <c r="AN28" s="11">
        <f t="shared" si="6"/>
        <v>25</v>
      </c>
      <c r="AO28" s="10">
        <v>25</v>
      </c>
      <c r="AP28" s="56">
        <f t="shared" si="7"/>
        <v>2</v>
      </c>
      <c r="AR28" s="11">
        <f ca="1">IFERROR(OFFSET(ITEM_RES!$A$1,MATCH(AS28,ITEM_RES!$J:$J,0)-1,0),0)</f>
        <v>211010501</v>
      </c>
      <c r="AS28" s="10" t="s">
        <v>446</v>
      </c>
      <c r="AT28" s="11">
        <v>125</v>
      </c>
      <c r="AW28" s="11">
        <f ca="1">IFERROR(OFFSET(ITEM_RES!$A$1,MATCH(AX28,ITEM_RES!$J:$J,0)-1,0),0)</f>
        <v>211020101</v>
      </c>
      <c r="AX28" s="10" t="s">
        <v>471</v>
      </c>
      <c r="AY28" s="11">
        <v>125</v>
      </c>
      <c r="BB28" s="11">
        <f ca="1">IFERROR(OFFSET(ITEM_RES!$A$1,MATCH(BC28,ITEM_RES!$J:$J,0)-1,0),0)</f>
        <v>0</v>
      </c>
      <c r="BG28" s="11">
        <f ca="1">IFERROR(OFFSET(ITEM_RES!$A$1,MATCH(BH28,ITEM_RES!$J:$J,0)-1,0),0)</f>
        <v>0</v>
      </c>
      <c r="BL28" s="11">
        <f ca="1">IFERROR(OFFSET(ITEM_RES!$A$1,MATCH(BM28,ITEM_RES!$J:$J,0)-1,0),0)</f>
        <v>0</v>
      </c>
      <c r="BN28" s="11">
        <f t="shared" si="4"/>
        <v>0</v>
      </c>
    </row>
    <row r="29" spans="1:67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 t="s">
        <v>977</v>
      </c>
      <c r="M29" s="9" t="s">
        <v>998</v>
      </c>
      <c r="N29" s="9">
        <v>1</v>
      </c>
      <c r="O29" s="9">
        <v>15</v>
      </c>
      <c r="P29" s="9" t="s">
        <v>809</v>
      </c>
      <c r="T29" s="9" t="s">
        <v>732</v>
      </c>
      <c r="W29" s="9">
        <f ca="1">IFERROR(OFFSET(ITEM_RES!$A$5,MATCH(BUILDING!V29,ITEM_RES!$J$5:$J$226,0)-1,0),0)</f>
        <v>0</v>
      </c>
      <c r="Y29" s="85" t="s">
        <v>567</v>
      </c>
      <c r="Z29" s="9">
        <f ca="1">IFERROR(OFFSET(ITEM_RES!$A$5,MATCH(BUILDING!Y29,ITEM_RES!$J$5:$J$226,0)-1,0),0)</f>
        <v>211010201</v>
      </c>
      <c r="AB29" s="9" t="s">
        <v>537</v>
      </c>
      <c r="AC29" s="9">
        <v>5</v>
      </c>
      <c r="AE29" s="9">
        <v>1600</v>
      </c>
      <c r="AG29" s="56">
        <f t="shared" si="5"/>
        <v>840</v>
      </c>
      <c r="AH29" s="10">
        <f t="shared" si="9"/>
        <v>1365</v>
      </c>
      <c r="AJ29" s="11">
        <f t="shared" si="3"/>
        <v>25</v>
      </c>
      <c r="AK29" s="10">
        <v>25</v>
      </c>
      <c r="AL29" s="11">
        <f t="shared" si="6"/>
        <v>40</v>
      </c>
      <c r="AM29" s="10">
        <v>40</v>
      </c>
      <c r="AN29" s="11">
        <f t="shared" si="6"/>
        <v>40</v>
      </c>
      <c r="AO29" s="10">
        <v>40</v>
      </c>
      <c r="AP29" s="56">
        <f t="shared" si="7"/>
        <v>2</v>
      </c>
      <c r="AR29" s="11">
        <f ca="1">IFERROR(OFFSET(ITEM_RES!$A$1,MATCH(AS29,ITEM_RES!$J:$J,0)-1,0),0)</f>
        <v>211010501</v>
      </c>
      <c r="AS29" s="10" t="s">
        <v>446</v>
      </c>
      <c r="AT29" s="11">
        <v>200</v>
      </c>
      <c r="AW29" s="11">
        <f ca="1">IFERROR(OFFSET(ITEM_RES!$A$1,MATCH(AX29,ITEM_RES!$J:$J,0)-1,0),0)</f>
        <v>211020101</v>
      </c>
      <c r="AX29" s="10" t="s">
        <v>471</v>
      </c>
      <c r="AY29" s="11">
        <v>200</v>
      </c>
      <c r="BB29" s="11">
        <f ca="1">IFERROR(OFFSET(ITEM_RES!$A$1,MATCH(BC29,ITEM_RES!$J:$J,0)-1,0),0)</f>
        <v>0</v>
      </c>
      <c r="BG29" s="11">
        <f ca="1">IFERROR(OFFSET(ITEM_RES!$A$1,MATCH(BH29,ITEM_RES!$J:$J,0)-1,0),0)</f>
        <v>0</v>
      </c>
      <c r="BL29" s="11">
        <f ca="1">IFERROR(OFFSET(ITEM_RES!$A$1,MATCH(BM29,ITEM_RES!$J:$J,0)-1,0),0)</f>
        <v>0</v>
      </c>
      <c r="BN29" s="11">
        <f t="shared" si="4"/>
        <v>0</v>
      </c>
    </row>
    <row r="30" spans="1:67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 t="s">
        <v>977</v>
      </c>
      <c r="M30" s="9" t="s">
        <v>998</v>
      </c>
      <c r="N30" s="9">
        <v>1</v>
      </c>
      <c r="O30" s="9">
        <v>15</v>
      </c>
      <c r="P30" s="9" t="s">
        <v>809</v>
      </c>
      <c r="T30" s="9" t="s">
        <v>732</v>
      </c>
      <c r="W30" s="9">
        <f ca="1">IFERROR(OFFSET(ITEM_RES!$A$5,MATCH(BUILDING!V30,ITEM_RES!$J$5:$J$226,0)-1,0),0)</f>
        <v>0</v>
      </c>
      <c r="Y30" s="85" t="s">
        <v>567</v>
      </c>
      <c r="Z30" s="9">
        <f ca="1">IFERROR(OFFSET(ITEM_RES!$A$5,MATCH(BUILDING!Y30,ITEM_RES!$J$5:$J$226,0)-1,0),0)</f>
        <v>211010201</v>
      </c>
      <c r="AB30" s="9" t="s">
        <v>537</v>
      </c>
      <c r="AC30" s="9">
        <v>6</v>
      </c>
      <c r="AE30" s="9">
        <v>2000</v>
      </c>
      <c r="AG30" s="56">
        <f t="shared" si="5"/>
        <v>1050</v>
      </c>
      <c r="AH30" s="10">
        <f t="shared" si="9"/>
        <v>1890</v>
      </c>
      <c r="AJ30" s="11">
        <f t="shared" si="3"/>
        <v>30</v>
      </c>
      <c r="AK30" s="10">
        <v>30</v>
      </c>
      <c r="AL30" s="11">
        <f t="shared" si="6"/>
        <v>50</v>
      </c>
      <c r="AM30" s="10">
        <v>50</v>
      </c>
      <c r="AN30" s="11">
        <f t="shared" si="6"/>
        <v>50</v>
      </c>
      <c r="AO30" s="10">
        <v>50</v>
      </c>
      <c r="AP30" s="56">
        <f t="shared" si="7"/>
        <v>2</v>
      </c>
      <c r="AR30" s="11">
        <f ca="1">IFERROR(OFFSET(ITEM_RES!$A$1,MATCH(AS30,ITEM_RES!$J:$J,0)-1,0),0)</f>
        <v>211010501</v>
      </c>
      <c r="AS30" s="10" t="s">
        <v>446</v>
      </c>
      <c r="AT30" s="11">
        <v>250</v>
      </c>
      <c r="AW30" s="11">
        <f ca="1">IFERROR(OFFSET(ITEM_RES!$A$1,MATCH(AX30,ITEM_RES!$J:$J,0)-1,0),0)</f>
        <v>211020101</v>
      </c>
      <c r="AX30" s="10" t="s">
        <v>471</v>
      </c>
      <c r="AY30" s="11">
        <v>250</v>
      </c>
      <c r="BB30" s="11">
        <f ca="1">IFERROR(OFFSET(ITEM_RES!$A$1,MATCH(BC30,ITEM_RES!$J:$J,0)-1,0),0)</f>
        <v>0</v>
      </c>
      <c r="BG30" s="11">
        <f ca="1">IFERROR(OFFSET(ITEM_RES!$A$1,MATCH(BH30,ITEM_RES!$J:$J,0)-1,0),0)</f>
        <v>0</v>
      </c>
      <c r="BL30" s="11">
        <f ca="1">IFERROR(OFFSET(ITEM_RES!$A$1,MATCH(BM30,ITEM_RES!$J:$J,0)-1,0),0)</f>
        <v>0</v>
      </c>
      <c r="BN30" s="11">
        <f t="shared" si="4"/>
        <v>0</v>
      </c>
    </row>
    <row r="31" spans="1:67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 t="s">
        <v>977</v>
      </c>
      <c r="M31" s="9" t="s">
        <v>998</v>
      </c>
      <c r="N31" s="9">
        <v>1</v>
      </c>
      <c r="O31" s="9">
        <v>15</v>
      </c>
      <c r="P31" s="9" t="s">
        <v>809</v>
      </c>
      <c r="T31" s="9" t="s">
        <v>732</v>
      </c>
      <c r="W31" s="9">
        <f ca="1">IFERROR(OFFSET(ITEM_RES!$A$5,MATCH(BUILDING!V31,ITEM_RES!$J$5:$J$226,0)-1,0),0)</f>
        <v>0</v>
      </c>
      <c r="Y31" s="85" t="s">
        <v>567</v>
      </c>
      <c r="Z31" s="9">
        <f ca="1">IFERROR(OFFSET(ITEM_RES!$A$5,MATCH(BUILDING!Y31,ITEM_RES!$J$5:$J$226,0)-1,0),0)</f>
        <v>211010201</v>
      </c>
      <c r="AB31" s="9" t="s">
        <v>537</v>
      </c>
      <c r="AC31" s="9">
        <v>7</v>
      </c>
      <c r="AE31" s="9">
        <v>4000</v>
      </c>
      <c r="AG31" s="56">
        <f t="shared" si="5"/>
        <v>2100</v>
      </c>
      <c r="AH31" s="10">
        <f t="shared" si="9"/>
        <v>3150</v>
      </c>
      <c r="AJ31" s="11">
        <f t="shared" si="3"/>
        <v>35</v>
      </c>
      <c r="AK31" s="10">
        <v>35</v>
      </c>
      <c r="AL31" s="11">
        <f t="shared" si="6"/>
        <v>100</v>
      </c>
      <c r="AM31" s="10">
        <v>100</v>
      </c>
      <c r="AN31" s="11">
        <f t="shared" si="6"/>
        <v>100</v>
      </c>
      <c r="AO31" s="10">
        <v>100</v>
      </c>
      <c r="AP31" s="56">
        <f t="shared" si="7"/>
        <v>2</v>
      </c>
      <c r="AR31" s="11">
        <f ca="1">IFERROR(OFFSET(ITEM_RES!$A$1,MATCH(AS31,ITEM_RES!$J:$J,0)-1,0),0)</f>
        <v>211010501</v>
      </c>
      <c r="AS31" s="10" t="s">
        <v>446</v>
      </c>
      <c r="AT31" s="11">
        <v>500</v>
      </c>
      <c r="AW31" s="11">
        <f ca="1">IFERROR(OFFSET(ITEM_RES!$A$1,MATCH(AX31,ITEM_RES!$J:$J,0)-1,0),0)</f>
        <v>211020101</v>
      </c>
      <c r="AX31" s="10" t="s">
        <v>471</v>
      </c>
      <c r="AY31" s="11">
        <v>500</v>
      </c>
      <c r="BB31" s="11">
        <f ca="1">IFERROR(OFFSET(ITEM_RES!$A$1,MATCH(BC31,ITEM_RES!$J:$J,0)-1,0),0)</f>
        <v>0</v>
      </c>
      <c r="BG31" s="11">
        <f ca="1">IFERROR(OFFSET(ITEM_RES!$A$1,MATCH(BH31,ITEM_RES!$J:$J,0)-1,0),0)</f>
        <v>0</v>
      </c>
      <c r="BL31" s="11">
        <f ca="1">IFERROR(OFFSET(ITEM_RES!$A$1,MATCH(BM31,ITEM_RES!$J:$J,0)-1,0),0)</f>
        <v>0</v>
      </c>
      <c r="BN31" s="11">
        <f t="shared" si="4"/>
        <v>0</v>
      </c>
    </row>
    <row r="32" spans="1:67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 t="s">
        <v>977</v>
      </c>
      <c r="M32" s="9" t="s">
        <v>998</v>
      </c>
      <c r="N32" s="9">
        <v>1</v>
      </c>
      <c r="O32" s="9">
        <v>15</v>
      </c>
      <c r="P32" s="9" t="s">
        <v>809</v>
      </c>
      <c r="T32" s="9" t="s">
        <v>732</v>
      </c>
      <c r="W32" s="9">
        <f ca="1">IFERROR(OFFSET(ITEM_RES!$A$5,MATCH(BUILDING!V32,ITEM_RES!$J$5:$J$226,0)-1,0),0)</f>
        <v>0</v>
      </c>
      <c r="Y32" s="85" t="s">
        <v>567</v>
      </c>
      <c r="Z32" s="9">
        <f ca="1">IFERROR(OFFSET(ITEM_RES!$A$5,MATCH(BUILDING!Y32,ITEM_RES!$J$5:$J$226,0)-1,0),0)</f>
        <v>211010201</v>
      </c>
      <c r="AB32" s="9" t="s">
        <v>537</v>
      </c>
      <c r="AC32" s="9">
        <v>8</v>
      </c>
      <c r="AE32" s="9">
        <v>4000</v>
      </c>
      <c r="AG32" s="56">
        <f t="shared" si="5"/>
        <v>2100</v>
      </c>
      <c r="AH32" s="10">
        <f t="shared" si="9"/>
        <v>4200</v>
      </c>
      <c r="AJ32" s="11">
        <f t="shared" si="3"/>
        <v>40</v>
      </c>
      <c r="AK32" s="10">
        <v>40</v>
      </c>
      <c r="AL32" s="11">
        <f t="shared" si="6"/>
        <v>100</v>
      </c>
      <c r="AM32" s="10">
        <v>100</v>
      </c>
      <c r="AN32" s="11">
        <f t="shared" si="6"/>
        <v>100</v>
      </c>
      <c r="AO32" s="10">
        <v>100</v>
      </c>
      <c r="AP32" s="56">
        <f t="shared" si="7"/>
        <v>2</v>
      </c>
      <c r="AR32" s="11">
        <f ca="1">IFERROR(OFFSET(ITEM_RES!$A$1,MATCH(AS32,ITEM_RES!$J:$J,0)-1,0),0)</f>
        <v>211010501</v>
      </c>
      <c r="AS32" s="10" t="s">
        <v>446</v>
      </c>
      <c r="AT32" s="11">
        <v>500</v>
      </c>
      <c r="AW32" s="11">
        <f ca="1">IFERROR(OFFSET(ITEM_RES!$A$1,MATCH(AX32,ITEM_RES!$J:$J,0)-1,0),0)</f>
        <v>211020101</v>
      </c>
      <c r="AX32" s="10" t="s">
        <v>471</v>
      </c>
      <c r="AY32" s="11">
        <v>500</v>
      </c>
      <c r="BB32" s="11">
        <f ca="1">IFERROR(OFFSET(ITEM_RES!$A$1,MATCH(BC32,ITEM_RES!$J:$J,0)-1,0),0)</f>
        <v>0</v>
      </c>
      <c r="BG32" s="11">
        <f ca="1">IFERROR(OFFSET(ITEM_RES!$A$1,MATCH(BH32,ITEM_RES!$J:$J,0)-1,0),0)</f>
        <v>0</v>
      </c>
      <c r="BL32" s="11">
        <f ca="1">IFERROR(OFFSET(ITEM_RES!$A$1,MATCH(BM32,ITEM_RES!$J:$J,0)-1,0),0)</f>
        <v>0</v>
      </c>
      <c r="BN32" s="11">
        <f t="shared" si="4"/>
        <v>0</v>
      </c>
    </row>
    <row r="33" spans="1:67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 t="s">
        <v>977</v>
      </c>
      <c r="M33" s="9" t="s">
        <v>998</v>
      </c>
      <c r="N33" s="9">
        <v>1</v>
      </c>
      <c r="O33" s="9">
        <v>15</v>
      </c>
      <c r="P33" s="9" t="s">
        <v>809</v>
      </c>
      <c r="T33" s="9" t="s">
        <v>732</v>
      </c>
      <c r="W33" s="9">
        <f ca="1">IFERROR(OFFSET(ITEM_RES!$A$5,MATCH(BUILDING!V33,ITEM_RES!$J$5:$J$226,0)-1,0),0)</f>
        <v>0</v>
      </c>
      <c r="Y33" s="85" t="s">
        <v>567</v>
      </c>
      <c r="Z33" s="9">
        <f ca="1">IFERROR(OFFSET(ITEM_RES!$A$5,MATCH(BUILDING!Y33,ITEM_RES!$J$5:$J$226,0)-1,0),0)</f>
        <v>211010201</v>
      </c>
      <c r="AB33" s="9" t="s">
        <v>537</v>
      </c>
      <c r="AC33" s="9">
        <v>9</v>
      </c>
      <c r="AE33" s="9">
        <v>6000</v>
      </c>
      <c r="AG33" s="56">
        <f t="shared" si="5"/>
        <v>3150</v>
      </c>
      <c r="AH33" s="10">
        <f t="shared" si="9"/>
        <v>5250</v>
      </c>
      <c r="AJ33" s="11">
        <f t="shared" si="3"/>
        <v>45</v>
      </c>
      <c r="AK33" s="10">
        <v>45</v>
      </c>
      <c r="AL33" s="11">
        <f t="shared" si="6"/>
        <v>150</v>
      </c>
      <c r="AM33" s="10">
        <v>150</v>
      </c>
      <c r="AN33" s="11">
        <f t="shared" si="6"/>
        <v>150</v>
      </c>
      <c r="AO33" s="10">
        <v>150</v>
      </c>
      <c r="AP33" s="56">
        <f t="shared" si="7"/>
        <v>2</v>
      </c>
      <c r="AR33" s="11">
        <f ca="1">IFERROR(OFFSET(ITEM_RES!$A$1,MATCH(AS33,ITEM_RES!$J:$J,0)-1,0),0)</f>
        <v>211010501</v>
      </c>
      <c r="AS33" s="10" t="s">
        <v>446</v>
      </c>
      <c r="AT33" s="11">
        <v>750</v>
      </c>
      <c r="AW33" s="11">
        <f ca="1">IFERROR(OFFSET(ITEM_RES!$A$1,MATCH(AX33,ITEM_RES!$J:$J,0)-1,0),0)</f>
        <v>211020101</v>
      </c>
      <c r="AX33" s="10" t="s">
        <v>471</v>
      </c>
      <c r="AY33" s="11">
        <v>750</v>
      </c>
      <c r="BB33" s="11">
        <f ca="1">IFERROR(OFFSET(ITEM_RES!$A$1,MATCH(BC33,ITEM_RES!$J:$J,0)-1,0),0)</f>
        <v>0</v>
      </c>
      <c r="BG33" s="11">
        <f ca="1">IFERROR(OFFSET(ITEM_RES!$A$1,MATCH(BH33,ITEM_RES!$J:$J,0)-1,0),0)</f>
        <v>0</v>
      </c>
      <c r="BL33" s="11">
        <f ca="1">IFERROR(OFFSET(ITEM_RES!$A$1,MATCH(BM33,ITEM_RES!$J:$J,0)-1,0),0)</f>
        <v>0</v>
      </c>
      <c r="BN33" s="11">
        <f t="shared" si="4"/>
        <v>0</v>
      </c>
    </row>
    <row r="34" spans="1:67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 t="s">
        <v>977</v>
      </c>
      <c r="M34" s="9" t="s">
        <v>998</v>
      </c>
      <c r="N34" s="9">
        <v>1</v>
      </c>
      <c r="O34" s="9">
        <v>15</v>
      </c>
      <c r="P34" s="9" t="s">
        <v>809</v>
      </c>
      <c r="T34" s="9" t="s">
        <v>732</v>
      </c>
      <c r="W34" s="9">
        <f ca="1">IFERROR(OFFSET(ITEM_RES!$A$5,MATCH(BUILDING!V34,ITEM_RES!$J$5:$J$226,0)-1,0),0)</f>
        <v>0</v>
      </c>
      <c r="Y34" s="85" t="s">
        <v>567</v>
      </c>
      <c r="Z34" s="9">
        <f ca="1">IFERROR(OFFSET(ITEM_RES!$A$5,MATCH(BUILDING!Y34,ITEM_RES!$J$5:$J$226,0)-1,0),0)</f>
        <v>211010201</v>
      </c>
      <c r="AB34" s="9" t="s">
        <v>537</v>
      </c>
      <c r="AC34" s="9">
        <v>10</v>
      </c>
      <c r="AE34" s="9">
        <v>8000</v>
      </c>
      <c r="AG34" s="56">
        <f t="shared" si="5"/>
        <v>4200</v>
      </c>
      <c r="AH34" s="10">
        <f t="shared" si="9"/>
        <v>7350</v>
      </c>
      <c r="AJ34" s="11">
        <f t="shared" si="3"/>
        <v>50</v>
      </c>
      <c r="AK34" s="10">
        <v>50</v>
      </c>
      <c r="AL34" s="11">
        <f t="shared" si="6"/>
        <v>200</v>
      </c>
      <c r="AM34" s="10">
        <v>200</v>
      </c>
      <c r="AN34" s="11">
        <f t="shared" si="6"/>
        <v>200</v>
      </c>
      <c r="AO34" s="10">
        <v>200</v>
      </c>
      <c r="AP34" s="56">
        <f t="shared" si="7"/>
        <v>2</v>
      </c>
      <c r="AR34" s="11">
        <f ca="1">IFERROR(OFFSET(ITEM_RES!$A$1,MATCH(AS34,ITEM_RES!$J:$J,0)-1,0),0)</f>
        <v>211010501</v>
      </c>
      <c r="AS34" s="10" t="s">
        <v>446</v>
      </c>
      <c r="AT34" s="11">
        <v>1000</v>
      </c>
      <c r="AW34" s="11">
        <f ca="1">IFERROR(OFFSET(ITEM_RES!$A$1,MATCH(AX34,ITEM_RES!$J:$J,0)-1,0),0)</f>
        <v>211020101</v>
      </c>
      <c r="AX34" s="10" t="s">
        <v>471</v>
      </c>
      <c r="AY34" s="11">
        <v>1000</v>
      </c>
      <c r="BB34" s="11">
        <f ca="1">IFERROR(OFFSET(ITEM_RES!$A$1,MATCH(BC34,ITEM_RES!$J:$J,0)-1,0),0)</f>
        <v>0</v>
      </c>
      <c r="BG34" s="11">
        <f ca="1">IFERROR(OFFSET(ITEM_RES!$A$1,MATCH(BH34,ITEM_RES!$J:$J,0)-1,0),0)</f>
        <v>0</v>
      </c>
      <c r="BL34" s="11">
        <f ca="1">IFERROR(OFFSET(ITEM_RES!$A$1,MATCH(BM34,ITEM_RES!$J:$J,0)-1,0),0)</f>
        <v>0</v>
      </c>
      <c r="BN34" s="11">
        <f t="shared" si="4"/>
        <v>0</v>
      </c>
    </row>
    <row r="35" spans="1:67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L35" s="9" t="s">
        <v>977</v>
      </c>
      <c r="M35" s="9" t="s">
        <v>998</v>
      </c>
      <c r="N35" s="9">
        <v>1</v>
      </c>
      <c r="O35" s="9">
        <v>15</v>
      </c>
      <c r="P35" s="9" t="s">
        <v>809</v>
      </c>
      <c r="T35" s="9" t="s">
        <v>732</v>
      </c>
      <c r="W35" s="9">
        <f ca="1">IFERROR(OFFSET(ITEM_RES!$A$5,MATCH(BUILDING!V35,ITEM_RES!$J$5:$J$226,0)-1,0),0)</f>
        <v>0</v>
      </c>
      <c r="Y35" s="85" t="s">
        <v>567</v>
      </c>
      <c r="Z35" s="9">
        <f ca="1">IFERROR(OFFSET(ITEM_RES!$A$5,MATCH(BUILDING!Y35,ITEM_RES!$J$5:$J$226,0)-1,0),0)</f>
        <v>211010201</v>
      </c>
      <c r="AB35" s="9" t="s">
        <v>537</v>
      </c>
      <c r="AC35" s="9">
        <v>11</v>
      </c>
      <c r="AE35" s="9">
        <v>10000</v>
      </c>
      <c r="AG35" s="56">
        <f t="shared" si="5"/>
        <v>5250</v>
      </c>
      <c r="AH35" s="10">
        <f t="shared" si="9"/>
        <v>9450</v>
      </c>
      <c r="AJ35" s="11">
        <f t="shared" si="3"/>
        <v>55</v>
      </c>
      <c r="AK35" s="10">
        <v>55</v>
      </c>
      <c r="AL35" s="11">
        <f t="shared" si="6"/>
        <v>250</v>
      </c>
      <c r="AM35" s="10">
        <v>250</v>
      </c>
      <c r="AN35" s="11">
        <f t="shared" si="6"/>
        <v>250</v>
      </c>
      <c r="AO35" s="10">
        <v>250</v>
      </c>
      <c r="AP35" s="56">
        <f t="shared" si="7"/>
        <v>2</v>
      </c>
      <c r="AR35" s="11">
        <f ca="1">IFERROR(OFFSET(ITEM_RES!$A$1,MATCH(AS35,ITEM_RES!$J:$J,0)-1,0),0)</f>
        <v>211010501</v>
      </c>
      <c r="AS35" s="10" t="s">
        <v>446</v>
      </c>
      <c r="AT35" s="11">
        <v>1250</v>
      </c>
      <c r="AW35" s="11">
        <f ca="1">IFERROR(OFFSET(ITEM_RES!$A$1,MATCH(AX35,ITEM_RES!$J:$J,0)-1,0),0)</f>
        <v>211020101</v>
      </c>
      <c r="AX35" s="10" t="s">
        <v>471</v>
      </c>
      <c r="AY35" s="11">
        <v>1250</v>
      </c>
      <c r="BB35" s="11">
        <f ca="1">IFERROR(OFFSET(ITEM_RES!$A$1,MATCH(BC35,ITEM_RES!$J:$J,0)-1,0),0)</f>
        <v>0</v>
      </c>
      <c r="BG35" s="11">
        <f ca="1">IFERROR(OFFSET(ITEM_RES!$A$1,MATCH(BH35,ITEM_RES!$J:$J,0)-1,0),0)</f>
        <v>0</v>
      </c>
      <c r="BL35" s="11">
        <f ca="1">IFERROR(OFFSET(ITEM_RES!$A$1,MATCH(BM35,ITEM_RES!$J:$J,0)-1,0),0)</f>
        <v>0</v>
      </c>
      <c r="BN35" s="11">
        <f t="shared" si="4"/>
        <v>0</v>
      </c>
    </row>
    <row r="36" spans="1:67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 t="s">
        <v>977</v>
      </c>
      <c r="M36" s="9" t="s">
        <v>998</v>
      </c>
      <c r="N36" s="9">
        <v>1</v>
      </c>
      <c r="O36" s="9">
        <v>15</v>
      </c>
      <c r="P36" s="9" t="s">
        <v>809</v>
      </c>
      <c r="T36" s="9" t="s">
        <v>732</v>
      </c>
      <c r="W36" s="9">
        <f ca="1">IFERROR(OFFSET(ITEM_RES!$A$5,MATCH(BUILDING!V36,ITEM_RES!$J$5:$J$226,0)-1,0),0)</f>
        <v>0</v>
      </c>
      <c r="Y36" s="85" t="s">
        <v>567</v>
      </c>
      <c r="Z36" s="9">
        <f ca="1">IFERROR(OFFSET(ITEM_RES!$A$5,MATCH(BUILDING!Y36,ITEM_RES!$J$5:$J$226,0)-1,0),0)</f>
        <v>211010201</v>
      </c>
      <c r="AB36" s="9" t="s">
        <v>537</v>
      </c>
      <c r="AC36" s="9">
        <v>12</v>
      </c>
      <c r="AE36" s="9">
        <v>12000</v>
      </c>
      <c r="AG36" s="56">
        <f t="shared" si="5"/>
        <v>6300</v>
      </c>
      <c r="AH36" s="10">
        <f t="shared" si="9"/>
        <v>11550</v>
      </c>
      <c r="AJ36" s="11">
        <f t="shared" si="3"/>
        <v>60</v>
      </c>
      <c r="AK36" s="10">
        <v>60</v>
      </c>
      <c r="AL36" s="11">
        <f t="shared" si="6"/>
        <v>300</v>
      </c>
      <c r="AM36" s="10">
        <v>300</v>
      </c>
      <c r="AN36" s="11">
        <f t="shared" si="6"/>
        <v>300</v>
      </c>
      <c r="AO36" s="10">
        <v>300</v>
      </c>
      <c r="AP36" s="56">
        <f t="shared" si="7"/>
        <v>2</v>
      </c>
      <c r="AR36" s="11">
        <f ca="1">IFERROR(OFFSET(ITEM_RES!$A$1,MATCH(AS36,ITEM_RES!$J:$J,0)-1,0),0)</f>
        <v>211010501</v>
      </c>
      <c r="AS36" s="10" t="s">
        <v>446</v>
      </c>
      <c r="AT36" s="11">
        <v>1500</v>
      </c>
      <c r="AW36" s="11">
        <f ca="1">IFERROR(OFFSET(ITEM_RES!$A$1,MATCH(AX36,ITEM_RES!$J:$J,0)-1,0),0)</f>
        <v>211020101</v>
      </c>
      <c r="AX36" s="10" t="s">
        <v>471</v>
      </c>
      <c r="AY36" s="11">
        <v>1500</v>
      </c>
      <c r="BB36" s="11">
        <f ca="1">IFERROR(OFFSET(ITEM_RES!$A$1,MATCH(BC36,ITEM_RES!$J:$J,0)-1,0),0)</f>
        <v>0</v>
      </c>
      <c r="BG36" s="11">
        <f ca="1">IFERROR(OFFSET(ITEM_RES!$A$1,MATCH(BH36,ITEM_RES!$J:$J,0)-1,0),0)</f>
        <v>0</v>
      </c>
      <c r="BL36" s="11">
        <f ca="1">IFERROR(OFFSET(ITEM_RES!$A$1,MATCH(BM36,ITEM_RES!$J:$J,0)-1,0),0)</f>
        <v>0</v>
      </c>
      <c r="BN36" s="11">
        <f t="shared" si="4"/>
        <v>0</v>
      </c>
    </row>
    <row r="37" spans="1:67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 t="s">
        <v>977</v>
      </c>
      <c r="M37" s="9" t="s">
        <v>998</v>
      </c>
      <c r="N37" s="9">
        <v>1</v>
      </c>
      <c r="O37" s="9">
        <v>15</v>
      </c>
      <c r="P37" s="9" t="s">
        <v>809</v>
      </c>
      <c r="T37" s="9" t="s">
        <v>732</v>
      </c>
      <c r="W37" s="9">
        <f ca="1">IFERROR(OFFSET(ITEM_RES!$A$5,MATCH(BUILDING!V37,ITEM_RES!$J$5:$J$226,0)-1,0),0)</f>
        <v>0</v>
      </c>
      <c r="Y37" s="85" t="s">
        <v>567</v>
      </c>
      <c r="Z37" s="9">
        <f ca="1">IFERROR(OFFSET(ITEM_RES!$A$5,MATCH(BUILDING!Y37,ITEM_RES!$J$5:$J$226,0)-1,0),0)</f>
        <v>211010201</v>
      </c>
      <c r="AB37" s="9" t="s">
        <v>537</v>
      </c>
      <c r="AC37" s="9">
        <v>13</v>
      </c>
      <c r="AE37" s="9">
        <v>14000</v>
      </c>
      <c r="AG37" s="56">
        <f t="shared" si="5"/>
        <v>7350</v>
      </c>
      <c r="AH37" s="10">
        <f t="shared" si="9"/>
        <v>13650</v>
      </c>
      <c r="AJ37" s="11">
        <f t="shared" si="3"/>
        <v>65</v>
      </c>
      <c r="AK37" s="10">
        <v>65</v>
      </c>
      <c r="AL37" s="11">
        <f t="shared" si="6"/>
        <v>350</v>
      </c>
      <c r="AM37" s="10">
        <v>350</v>
      </c>
      <c r="AN37" s="11">
        <f t="shared" si="6"/>
        <v>350</v>
      </c>
      <c r="AO37" s="10">
        <v>350</v>
      </c>
      <c r="AP37" s="56">
        <f t="shared" si="7"/>
        <v>2</v>
      </c>
      <c r="AR37" s="11">
        <f ca="1">IFERROR(OFFSET(ITEM_RES!$A$1,MATCH(AS37,ITEM_RES!$J:$J,0)-1,0),0)</f>
        <v>211010501</v>
      </c>
      <c r="AS37" s="10" t="s">
        <v>446</v>
      </c>
      <c r="AT37" s="11">
        <v>1750</v>
      </c>
      <c r="AW37" s="11">
        <f ca="1">IFERROR(OFFSET(ITEM_RES!$A$1,MATCH(AX37,ITEM_RES!$J:$J,0)-1,0),0)</f>
        <v>211020101</v>
      </c>
      <c r="AX37" s="10" t="s">
        <v>471</v>
      </c>
      <c r="AY37" s="11">
        <v>1750</v>
      </c>
      <c r="BB37" s="11">
        <f ca="1">IFERROR(OFFSET(ITEM_RES!$A$1,MATCH(BC37,ITEM_RES!$J:$J,0)-1,0),0)</f>
        <v>0</v>
      </c>
      <c r="BG37" s="11">
        <f ca="1">IFERROR(OFFSET(ITEM_RES!$A$1,MATCH(BH37,ITEM_RES!$J:$J,0)-1,0),0)</f>
        <v>0</v>
      </c>
      <c r="BL37" s="11">
        <f ca="1">IFERROR(OFFSET(ITEM_RES!$A$1,MATCH(BM37,ITEM_RES!$J:$J,0)-1,0),0)</f>
        <v>0</v>
      </c>
      <c r="BN37" s="11">
        <f t="shared" si="4"/>
        <v>0</v>
      </c>
    </row>
    <row r="38" spans="1:67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 t="s">
        <v>977</v>
      </c>
      <c r="M38" s="9" t="s">
        <v>998</v>
      </c>
      <c r="N38" s="9">
        <v>1</v>
      </c>
      <c r="O38" s="9">
        <v>15</v>
      </c>
      <c r="P38" s="9" t="s">
        <v>809</v>
      </c>
      <c r="T38" s="9" t="s">
        <v>732</v>
      </c>
      <c r="W38" s="9">
        <f ca="1">IFERROR(OFFSET(ITEM_RES!$A$5,MATCH(BUILDING!V38,ITEM_RES!$J$5:$J$226,0)-1,0),0)</f>
        <v>0</v>
      </c>
      <c r="Y38" s="85" t="s">
        <v>567</v>
      </c>
      <c r="Z38" s="9">
        <f ca="1">IFERROR(OFFSET(ITEM_RES!$A$5,MATCH(BUILDING!Y38,ITEM_RES!$J$5:$J$226,0)-1,0),0)</f>
        <v>211010201</v>
      </c>
      <c r="AB38" s="9" t="s">
        <v>537</v>
      </c>
      <c r="AC38" s="9">
        <v>14</v>
      </c>
      <c r="AE38" s="9">
        <v>18000</v>
      </c>
      <c r="AG38" s="56">
        <f t="shared" si="5"/>
        <v>9450</v>
      </c>
      <c r="AH38" s="10">
        <f t="shared" si="9"/>
        <v>16800</v>
      </c>
      <c r="AJ38" s="11">
        <f t="shared" si="3"/>
        <v>70</v>
      </c>
      <c r="AK38" s="10">
        <v>70</v>
      </c>
      <c r="AL38" s="11">
        <f t="shared" si="6"/>
        <v>450</v>
      </c>
      <c r="AM38" s="10">
        <v>450</v>
      </c>
      <c r="AN38" s="11">
        <f t="shared" si="6"/>
        <v>450</v>
      </c>
      <c r="AO38" s="10">
        <v>450</v>
      </c>
      <c r="AP38" s="56">
        <f t="shared" si="7"/>
        <v>2</v>
      </c>
      <c r="AR38" s="11">
        <f ca="1">IFERROR(OFFSET(ITEM_RES!$A$1,MATCH(AS38,ITEM_RES!$J:$J,0)-1,0),0)</f>
        <v>211010501</v>
      </c>
      <c r="AS38" s="10" t="s">
        <v>446</v>
      </c>
      <c r="AT38" s="11">
        <v>2250</v>
      </c>
      <c r="AW38" s="11">
        <f ca="1">IFERROR(OFFSET(ITEM_RES!$A$1,MATCH(AX38,ITEM_RES!$J:$J,0)-1,0),0)</f>
        <v>211020101</v>
      </c>
      <c r="AX38" s="10" t="s">
        <v>471</v>
      </c>
      <c r="AY38" s="11">
        <v>2250</v>
      </c>
      <c r="BB38" s="11">
        <f ca="1">IFERROR(OFFSET(ITEM_RES!$A$1,MATCH(BC38,ITEM_RES!$J:$J,0)-1,0),0)</f>
        <v>0</v>
      </c>
      <c r="BG38" s="11">
        <f ca="1">IFERROR(OFFSET(ITEM_RES!$A$1,MATCH(BH38,ITEM_RES!$J:$J,0)-1,0),0)</f>
        <v>0</v>
      </c>
      <c r="BL38" s="11">
        <f ca="1">IFERROR(OFFSET(ITEM_RES!$A$1,MATCH(BM38,ITEM_RES!$J:$J,0)-1,0),0)</f>
        <v>0</v>
      </c>
      <c r="BN38" s="11">
        <f t="shared" si="4"/>
        <v>0</v>
      </c>
    </row>
    <row r="39" spans="1:67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 t="s">
        <v>977</v>
      </c>
      <c r="M39" s="9" t="s">
        <v>998</v>
      </c>
      <c r="N39" s="9">
        <v>1</v>
      </c>
      <c r="O39" s="9">
        <v>15</v>
      </c>
      <c r="P39" s="9" t="s">
        <v>809</v>
      </c>
      <c r="T39" s="9" t="s">
        <v>732</v>
      </c>
      <c r="W39" s="9">
        <f ca="1">IFERROR(OFFSET(ITEM_RES!$A$5,MATCH(BUILDING!V39,ITEM_RES!$J$5:$J$226,0)-1,0),0)</f>
        <v>0</v>
      </c>
      <c r="Y39" s="85" t="s">
        <v>567</v>
      </c>
      <c r="Z39" s="9">
        <f ca="1">IFERROR(OFFSET(ITEM_RES!$A$5,MATCH(BUILDING!Y39,ITEM_RES!$J$5:$J$226,0)-1,0),0)</f>
        <v>211010201</v>
      </c>
      <c r="AB39" s="9" t="s">
        <v>537</v>
      </c>
      <c r="AC39" s="9">
        <v>15</v>
      </c>
      <c r="AE39" s="9">
        <v>22000</v>
      </c>
      <c r="AG39" s="56">
        <f t="shared" si="5"/>
        <v>11550</v>
      </c>
      <c r="AH39" s="10">
        <f t="shared" si="9"/>
        <v>21000</v>
      </c>
      <c r="AJ39" s="11">
        <f t="shared" si="3"/>
        <v>75</v>
      </c>
      <c r="AK39" s="10">
        <v>75</v>
      </c>
      <c r="AL39" s="11">
        <f t="shared" si="6"/>
        <v>550</v>
      </c>
      <c r="AM39" s="10">
        <v>550</v>
      </c>
      <c r="AN39" s="11">
        <f t="shared" si="6"/>
        <v>550</v>
      </c>
      <c r="AO39" s="10">
        <v>550</v>
      </c>
      <c r="AP39" s="56">
        <f t="shared" si="7"/>
        <v>2</v>
      </c>
      <c r="AR39" s="11">
        <f ca="1">IFERROR(OFFSET(ITEM_RES!$A$1,MATCH(AS39,ITEM_RES!$J:$J,0)-1,0),0)</f>
        <v>211010601</v>
      </c>
      <c r="AS39" s="10" t="s">
        <v>462</v>
      </c>
      <c r="AT39" s="11">
        <v>2750</v>
      </c>
      <c r="AW39" s="11">
        <f ca="1">IFERROR(OFFSET(ITEM_RES!$A$1,MATCH(AX39,ITEM_RES!$J:$J,0)-1,0),0)</f>
        <v>211020101</v>
      </c>
      <c r="AX39" s="10" t="s">
        <v>471</v>
      </c>
      <c r="AY39" s="11">
        <v>2750</v>
      </c>
      <c r="BB39" s="11">
        <f ca="1">IFERROR(OFFSET(ITEM_RES!$A$1,MATCH(BC39,ITEM_RES!$J:$J,0)-1,0),0)</f>
        <v>0</v>
      </c>
      <c r="BG39" s="11">
        <f ca="1">IFERROR(OFFSET(ITEM_RES!$A$1,MATCH(BH39,ITEM_RES!$J:$J,0)-1,0),0)</f>
        <v>0</v>
      </c>
      <c r="BL39" s="11">
        <f ca="1">IFERROR(OFFSET(ITEM_RES!$A$1,MATCH(BM39,ITEM_RES!$J:$J,0)-1,0),0)</f>
        <v>0</v>
      </c>
      <c r="BN39" s="11">
        <f t="shared" si="4"/>
        <v>0</v>
      </c>
    </row>
    <row r="40" spans="1:67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 t="s">
        <v>977</v>
      </c>
      <c r="M40" s="9" t="s">
        <v>998</v>
      </c>
      <c r="N40" s="9">
        <v>0</v>
      </c>
      <c r="O40" s="9">
        <v>15</v>
      </c>
      <c r="P40" s="9" t="s">
        <v>809</v>
      </c>
      <c r="T40" s="9" t="s">
        <v>732</v>
      </c>
      <c r="W40" s="9">
        <f ca="1">IFERROR(OFFSET(ITEM_RES!$A$5,MATCH(BUILDING!V40,ITEM_RES!$J$5:$J$226,0)-1,0),0)</f>
        <v>0</v>
      </c>
      <c r="Y40" s="85" t="s">
        <v>567</v>
      </c>
      <c r="Z40" s="9">
        <f ca="1">IFERROR(OFFSET(ITEM_RES!$A$5,MATCH(BUILDING!Y40,ITEM_RES!$J$5:$J$226,0)-1,0),0)</f>
        <v>211010201</v>
      </c>
      <c r="AB40" s="9" t="s">
        <v>537</v>
      </c>
      <c r="AC40" s="9">
        <v>16</v>
      </c>
      <c r="AE40" s="9">
        <v>28000</v>
      </c>
      <c r="AG40" s="56">
        <f t="shared" si="5"/>
        <v>14700</v>
      </c>
      <c r="AH40" s="10">
        <f t="shared" si="9"/>
        <v>26250</v>
      </c>
      <c r="AJ40" s="11">
        <f t="shared" si="3"/>
        <v>80</v>
      </c>
      <c r="AK40" s="10">
        <v>80</v>
      </c>
      <c r="AL40" s="11">
        <f t="shared" si="6"/>
        <v>700</v>
      </c>
      <c r="AM40" s="10">
        <v>700</v>
      </c>
      <c r="AN40" s="11">
        <f t="shared" si="6"/>
        <v>700</v>
      </c>
      <c r="AO40" s="10">
        <v>700</v>
      </c>
      <c r="AP40" s="56">
        <f t="shared" si="7"/>
        <v>2</v>
      </c>
      <c r="AR40" s="11">
        <f ca="1">IFERROR(OFFSET(ITEM_RES!$A$1,MATCH(AS40,ITEM_RES!$J:$J,0)-1,0),0)</f>
        <v>211010601</v>
      </c>
      <c r="AS40" s="10" t="s">
        <v>462</v>
      </c>
      <c r="AT40" s="11">
        <v>3500</v>
      </c>
      <c r="AW40" s="11">
        <f ca="1">IFERROR(OFFSET(ITEM_RES!$A$1,MATCH(AX40,ITEM_RES!$J:$J,0)-1,0),0)</f>
        <v>211020101</v>
      </c>
      <c r="AX40" s="10" t="s">
        <v>471</v>
      </c>
      <c r="AY40" s="11">
        <v>3500</v>
      </c>
      <c r="BB40" s="11">
        <f ca="1">IFERROR(OFFSET(ITEM_RES!$A$1,MATCH(BC40,ITEM_RES!$J:$J,0)-1,0),0)</f>
        <v>0</v>
      </c>
      <c r="BG40" s="11">
        <f ca="1">IFERROR(OFFSET(ITEM_RES!$A$1,MATCH(BH40,ITEM_RES!$J:$J,0)-1,0),0)</f>
        <v>0</v>
      </c>
      <c r="BL40" s="11">
        <f ca="1">IFERROR(OFFSET(ITEM_RES!$A$1,MATCH(BM40,ITEM_RES!$J:$J,0)-1,0),0)</f>
        <v>0</v>
      </c>
      <c r="BN40" s="11">
        <f t="shared" si="4"/>
        <v>0</v>
      </c>
    </row>
    <row r="41" spans="1:67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 t="s">
        <v>977</v>
      </c>
      <c r="M41" s="9" t="s">
        <v>998</v>
      </c>
      <c r="N41" s="9">
        <v>0</v>
      </c>
      <c r="O41" s="9">
        <v>15</v>
      </c>
      <c r="P41" s="9" t="s">
        <v>809</v>
      </c>
      <c r="T41" s="9" t="s">
        <v>732</v>
      </c>
      <c r="W41" s="9">
        <f ca="1">IFERROR(OFFSET(ITEM_RES!$A$5,MATCH(BUILDING!V41,ITEM_RES!$J$5:$J$226,0)-1,0),0)</f>
        <v>0</v>
      </c>
      <c r="Y41" s="85" t="s">
        <v>567</v>
      </c>
      <c r="Z41" s="9">
        <f ca="1">IFERROR(OFFSET(ITEM_RES!$A$5,MATCH(BUILDING!Y41,ITEM_RES!$J$5:$J$226,0)-1,0),0)</f>
        <v>211010201</v>
      </c>
      <c r="AB41" s="9" t="s">
        <v>537</v>
      </c>
      <c r="AC41" s="9">
        <v>17</v>
      </c>
      <c r="AE41" s="9">
        <v>34000</v>
      </c>
      <c r="AG41" s="56">
        <f t="shared" si="5"/>
        <v>17850</v>
      </c>
      <c r="AH41" s="10">
        <f t="shared" si="9"/>
        <v>32550</v>
      </c>
      <c r="AJ41" s="11">
        <f t="shared" si="3"/>
        <v>85</v>
      </c>
      <c r="AK41" s="10">
        <v>85</v>
      </c>
      <c r="AL41" s="11">
        <f t="shared" si="6"/>
        <v>850</v>
      </c>
      <c r="AM41" s="10">
        <v>850</v>
      </c>
      <c r="AN41" s="11">
        <f t="shared" si="6"/>
        <v>850</v>
      </c>
      <c r="AO41" s="10">
        <v>850</v>
      </c>
      <c r="AP41" s="56">
        <f t="shared" si="7"/>
        <v>2</v>
      </c>
      <c r="AR41" s="11">
        <f ca="1">IFERROR(OFFSET(ITEM_RES!$A$1,MATCH(AS41,ITEM_RES!$J:$J,0)-1,0),0)</f>
        <v>211010601</v>
      </c>
      <c r="AS41" s="10" t="s">
        <v>462</v>
      </c>
      <c r="AT41" s="11">
        <v>4250</v>
      </c>
      <c r="AW41" s="11">
        <f ca="1">IFERROR(OFFSET(ITEM_RES!$A$1,MATCH(AX41,ITEM_RES!$J:$J,0)-1,0),0)</f>
        <v>211020101</v>
      </c>
      <c r="AX41" s="10" t="s">
        <v>471</v>
      </c>
      <c r="AY41" s="11">
        <v>4250</v>
      </c>
      <c r="BB41" s="11">
        <f ca="1">IFERROR(OFFSET(ITEM_RES!$A$1,MATCH(BC41,ITEM_RES!$J:$J,0)-1,0),0)</f>
        <v>0</v>
      </c>
      <c r="BG41" s="11">
        <f ca="1">IFERROR(OFFSET(ITEM_RES!$A$1,MATCH(BH41,ITEM_RES!$J:$J,0)-1,0),0)</f>
        <v>0</v>
      </c>
      <c r="BL41" s="11">
        <f ca="1">IFERROR(OFFSET(ITEM_RES!$A$1,MATCH(BM41,ITEM_RES!$J:$J,0)-1,0),0)</f>
        <v>0</v>
      </c>
      <c r="BN41" s="11">
        <f t="shared" si="4"/>
        <v>0</v>
      </c>
    </row>
    <row r="42" spans="1:67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 t="s">
        <v>977</v>
      </c>
      <c r="M42" s="9" t="s">
        <v>998</v>
      </c>
      <c r="N42" s="9">
        <v>0</v>
      </c>
      <c r="O42" s="9">
        <v>15</v>
      </c>
      <c r="P42" s="9" t="s">
        <v>809</v>
      </c>
      <c r="T42" s="9" t="s">
        <v>732</v>
      </c>
      <c r="W42" s="9">
        <f ca="1">IFERROR(OFFSET(ITEM_RES!$A$5,MATCH(BUILDING!V42,ITEM_RES!$J$5:$J$226,0)-1,0),0)</f>
        <v>0</v>
      </c>
      <c r="Y42" s="85" t="s">
        <v>567</v>
      </c>
      <c r="Z42" s="9">
        <f ca="1">IFERROR(OFFSET(ITEM_RES!$A$5,MATCH(BUILDING!Y42,ITEM_RES!$J$5:$J$226,0)-1,0),0)</f>
        <v>211010201</v>
      </c>
      <c r="AB42" s="9" t="s">
        <v>537</v>
      </c>
      <c r="AC42" s="9">
        <v>18</v>
      </c>
      <c r="AE42" s="9">
        <v>42000</v>
      </c>
      <c r="AG42" s="56">
        <f t="shared" si="5"/>
        <v>22050</v>
      </c>
      <c r="AH42" s="10">
        <f t="shared" si="9"/>
        <v>39900</v>
      </c>
      <c r="AJ42" s="11">
        <f t="shared" si="3"/>
        <v>90</v>
      </c>
      <c r="AK42" s="10">
        <v>90</v>
      </c>
      <c r="AL42" s="11">
        <f t="shared" si="6"/>
        <v>1050</v>
      </c>
      <c r="AM42" s="10">
        <v>1050</v>
      </c>
      <c r="AN42" s="11">
        <f t="shared" si="6"/>
        <v>1050</v>
      </c>
      <c r="AO42" s="10">
        <v>1050</v>
      </c>
      <c r="AP42" s="56">
        <f t="shared" si="7"/>
        <v>2</v>
      </c>
      <c r="AR42" s="11">
        <f ca="1">IFERROR(OFFSET(ITEM_RES!$A$1,MATCH(AS42,ITEM_RES!$J:$J,0)-1,0),0)</f>
        <v>211010601</v>
      </c>
      <c r="AS42" s="10" t="s">
        <v>462</v>
      </c>
      <c r="AT42" s="11">
        <v>5250</v>
      </c>
      <c r="AW42" s="11">
        <f ca="1">IFERROR(OFFSET(ITEM_RES!$A$1,MATCH(AX42,ITEM_RES!$J:$J,0)-1,0),0)</f>
        <v>211020101</v>
      </c>
      <c r="AX42" s="10" t="s">
        <v>471</v>
      </c>
      <c r="AY42" s="11">
        <v>5250</v>
      </c>
      <c r="BB42" s="11">
        <f ca="1">IFERROR(OFFSET(ITEM_RES!$A$1,MATCH(BC42,ITEM_RES!$J:$J,0)-1,0),0)</f>
        <v>0</v>
      </c>
      <c r="BG42" s="11">
        <f ca="1">IFERROR(OFFSET(ITEM_RES!$A$1,MATCH(BH42,ITEM_RES!$J:$J,0)-1,0),0)</f>
        <v>0</v>
      </c>
      <c r="BL42" s="11">
        <f ca="1">IFERROR(OFFSET(ITEM_RES!$A$1,MATCH(BM42,ITEM_RES!$J:$J,0)-1,0),0)</f>
        <v>0</v>
      </c>
      <c r="BN42" s="11">
        <f t="shared" si="4"/>
        <v>0</v>
      </c>
    </row>
    <row r="43" spans="1:67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 t="s">
        <v>977</v>
      </c>
      <c r="M43" s="9" t="s">
        <v>998</v>
      </c>
      <c r="N43" s="9">
        <v>0</v>
      </c>
      <c r="O43" s="9">
        <v>15</v>
      </c>
      <c r="P43" s="9" t="s">
        <v>809</v>
      </c>
      <c r="T43" s="9" t="s">
        <v>732</v>
      </c>
      <c r="W43" s="9">
        <f ca="1">IFERROR(OFFSET(ITEM_RES!$A$5,MATCH(BUILDING!V43,ITEM_RES!$J$5:$J$226,0)-1,0),0)</f>
        <v>0</v>
      </c>
      <c r="Y43" s="85" t="s">
        <v>567</v>
      </c>
      <c r="Z43" s="9">
        <f ca="1">IFERROR(OFFSET(ITEM_RES!$A$5,MATCH(BUILDING!Y43,ITEM_RES!$J$5:$J$226,0)-1,0),0)</f>
        <v>211010201</v>
      </c>
      <c r="AB43" s="9" t="s">
        <v>537</v>
      </c>
      <c r="AC43" s="9">
        <v>19</v>
      </c>
      <c r="AE43" s="9">
        <v>50000</v>
      </c>
      <c r="AG43" s="56">
        <f t="shared" si="5"/>
        <v>26250</v>
      </c>
      <c r="AH43" s="10">
        <f t="shared" si="9"/>
        <v>48300</v>
      </c>
      <c r="AJ43" s="11">
        <f t="shared" si="3"/>
        <v>95</v>
      </c>
      <c r="AK43" s="10">
        <v>95</v>
      </c>
      <c r="AL43" s="11">
        <f t="shared" si="6"/>
        <v>1250</v>
      </c>
      <c r="AM43" s="10">
        <v>1250</v>
      </c>
      <c r="AN43" s="11">
        <f t="shared" si="6"/>
        <v>1250</v>
      </c>
      <c r="AO43" s="10">
        <v>1250</v>
      </c>
      <c r="AP43" s="56">
        <f t="shared" si="7"/>
        <v>2</v>
      </c>
      <c r="AR43" s="11">
        <f ca="1">IFERROR(OFFSET(ITEM_RES!$A$1,MATCH(AS43,ITEM_RES!$J:$J,0)-1,0),0)</f>
        <v>211010601</v>
      </c>
      <c r="AS43" s="10" t="s">
        <v>462</v>
      </c>
      <c r="AT43" s="11">
        <v>6250</v>
      </c>
      <c r="AW43" s="11">
        <f ca="1">IFERROR(OFFSET(ITEM_RES!$A$1,MATCH(AX43,ITEM_RES!$J:$J,0)-1,0),0)</f>
        <v>211020101</v>
      </c>
      <c r="AX43" s="10" t="s">
        <v>471</v>
      </c>
      <c r="AY43" s="11">
        <v>6250</v>
      </c>
      <c r="BB43" s="11">
        <f ca="1">IFERROR(OFFSET(ITEM_RES!$A$1,MATCH(BC43,ITEM_RES!$J:$J,0)-1,0),0)</f>
        <v>0</v>
      </c>
      <c r="BG43" s="11">
        <f ca="1">IFERROR(OFFSET(ITEM_RES!$A$1,MATCH(BH43,ITEM_RES!$J:$J,0)-1,0),0)</f>
        <v>0</v>
      </c>
      <c r="BL43" s="11">
        <f ca="1">IFERROR(OFFSET(ITEM_RES!$A$1,MATCH(BM43,ITEM_RES!$J:$J,0)-1,0),0)</f>
        <v>0</v>
      </c>
      <c r="BN43" s="11">
        <f t="shared" si="4"/>
        <v>0</v>
      </c>
    </row>
    <row r="44" spans="1:67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 t="s">
        <v>977</v>
      </c>
      <c r="M44" s="9" t="s">
        <v>998</v>
      </c>
      <c r="N44" s="9">
        <v>0</v>
      </c>
      <c r="O44" s="9">
        <v>15</v>
      </c>
      <c r="P44" s="9" t="s">
        <v>809</v>
      </c>
      <c r="T44" s="9" t="s">
        <v>732</v>
      </c>
      <c r="W44" s="9">
        <f ca="1">IFERROR(OFFSET(ITEM_RES!$A$5,MATCH(BUILDING!V44,ITEM_RES!$J$5:$J$226,0)-1,0),0)</f>
        <v>0</v>
      </c>
      <c r="Y44" s="85" t="s">
        <v>567</v>
      </c>
      <c r="Z44" s="9">
        <f ca="1">IFERROR(OFFSET(ITEM_RES!$A$5,MATCH(BUILDING!Y44,ITEM_RES!$J$5:$J$226,0)-1,0),0)</f>
        <v>211010201</v>
      </c>
      <c r="AB44" s="9" t="s">
        <v>537</v>
      </c>
      <c r="AC44" s="9">
        <v>20</v>
      </c>
      <c r="AE44" s="9">
        <v>60000</v>
      </c>
      <c r="AG44" s="56">
        <f t="shared" si="5"/>
        <v>31500</v>
      </c>
      <c r="AH44" s="10">
        <f t="shared" si="9"/>
        <v>57750</v>
      </c>
      <c r="AJ44" s="11">
        <f t="shared" si="3"/>
        <v>100</v>
      </c>
      <c r="AK44" s="10">
        <v>100</v>
      </c>
      <c r="AL44" s="11">
        <f t="shared" si="6"/>
        <v>1500</v>
      </c>
      <c r="AM44" s="10">
        <v>1500</v>
      </c>
      <c r="AN44" s="11">
        <f t="shared" si="6"/>
        <v>1500</v>
      </c>
      <c r="AO44" s="10">
        <v>1500</v>
      </c>
      <c r="AP44" s="56">
        <f t="shared" si="7"/>
        <v>2</v>
      </c>
      <c r="AR44" s="11">
        <f ca="1">IFERROR(OFFSET(ITEM_RES!$A$1,MATCH(AS44,ITEM_RES!$J:$J,0)-1,0),0)</f>
        <v>211010601</v>
      </c>
      <c r="AS44" s="10" t="s">
        <v>462</v>
      </c>
      <c r="AT44" s="11">
        <v>7500</v>
      </c>
      <c r="AW44" s="11">
        <f ca="1">IFERROR(OFFSET(ITEM_RES!$A$1,MATCH(AX44,ITEM_RES!$J:$J,0)-1,0),0)</f>
        <v>211020101</v>
      </c>
      <c r="AX44" s="10" t="s">
        <v>471</v>
      </c>
      <c r="AY44" s="11">
        <v>7500</v>
      </c>
      <c r="BB44" s="11">
        <f ca="1">IFERROR(OFFSET(ITEM_RES!$A$1,MATCH(BC44,ITEM_RES!$J:$J,0)-1,0),0)</f>
        <v>0</v>
      </c>
      <c r="BG44" s="11">
        <f ca="1">IFERROR(OFFSET(ITEM_RES!$A$1,MATCH(BH44,ITEM_RES!$J:$J,0)-1,0),0)</f>
        <v>0</v>
      </c>
      <c r="BL44" s="11">
        <f ca="1">IFERROR(OFFSET(ITEM_RES!$A$1,MATCH(BM44,ITEM_RES!$J:$J,0)-1,0),0)</f>
        <v>0</v>
      </c>
      <c r="BN44" s="11">
        <f t="shared" si="4"/>
        <v>0</v>
      </c>
    </row>
    <row r="45" spans="1:67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 t="s">
        <v>978</v>
      </c>
      <c r="M45" s="16" t="s">
        <v>999</v>
      </c>
      <c r="N45" s="16">
        <v>1</v>
      </c>
      <c r="O45" s="16">
        <v>15</v>
      </c>
      <c r="P45" s="16" t="s">
        <v>808</v>
      </c>
      <c r="Q45" s="17"/>
      <c r="R45" s="17"/>
      <c r="S45" s="18"/>
      <c r="T45" s="16" t="s">
        <v>733</v>
      </c>
      <c r="U45" s="79"/>
      <c r="V45" s="87"/>
      <c r="W45" s="16">
        <f ca="1">IFERROR(OFFSET(ITEM_RES!$A$5,MATCH(BUILDING!V45,ITEM_RES!$J$5:$J$226,0)-1,0),0)</f>
        <v>0</v>
      </c>
      <c r="X45" s="18"/>
      <c r="Y45" s="87" t="s">
        <v>568</v>
      </c>
      <c r="Z45" s="16">
        <f ca="1">IFERROR(OFFSET(ITEM_RES!$A$5,MATCH(BUILDING!Y45,ITEM_RES!$J$5:$J$226,0)-1,0),0)</f>
        <v>211010301</v>
      </c>
      <c r="AA45" s="79"/>
      <c r="AB45" s="16" t="s">
        <v>538</v>
      </c>
      <c r="AC45" s="16">
        <v>1</v>
      </c>
      <c r="AD45" s="79"/>
      <c r="AE45" s="16">
        <v>0</v>
      </c>
      <c r="AF45" s="79"/>
      <c r="AG45" s="57">
        <f t="shared" si="5"/>
        <v>605</v>
      </c>
      <c r="AH45" s="17">
        <f>AG45</f>
        <v>605</v>
      </c>
      <c r="AI45" s="79"/>
      <c r="AJ45" s="18">
        <f t="shared" si="3"/>
        <v>5</v>
      </c>
      <c r="AK45" s="17">
        <v>5</v>
      </c>
      <c r="AL45" s="18">
        <f t="shared" si="6"/>
        <v>5</v>
      </c>
      <c r="AM45" s="17">
        <v>5</v>
      </c>
      <c r="AN45" s="18">
        <f t="shared" si="6"/>
        <v>5</v>
      </c>
      <c r="AO45" s="17">
        <v>5</v>
      </c>
      <c r="AP45" s="57">
        <f t="shared" si="7"/>
        <v>3</v>
      </c>
      <c r="AQ45" s="18"/>
      <c r="AR45" s="18">
        <f ca="1">IFERROR(OFFSET(ITEM_RES!$A$1,MATCH(AS45,ITEM_RES!$J:$J,0)-1,0),0)</f>
        <v>211010501</v>
      </c>
      <c r="AS45" s="17" t="s">
        <v>447</v>
      </c>
      <c r="AT45" s="18">
        <v>25</v>
      </c>
      <c r="AU45" s="17"/>
      <c r="AV45" s="18"/>
      <c r="AW45" s="18">
        <f ca="1">IFERROR(OFFSET(ITEM_RES!$A$1,MATCH(AX45,ITEM_RES!$J:$J,0)-1,0),0)</f>
        <v>211020101</v>
      </c>
      <c r="AX45" s="17" t="s">
        <v>471</v>
      </c>
      <c r="AY45" s="18">
        <v>25</v>
      </c>
      <c r="AZ45" s="17"/>
      <c r="BA45" s="18"/>
      <c r="BB45" s="18">
        <f ca="1">IFERROR(OFFSET(ITEM_RES!$A$1,MATCH(BC45,ITEM_RES!$J:$J,0)-1,0),0)</f>
        <v>213010101</v>
      </c>
      <c r="BC45" s="17" t="s">
        <v>477</v>
      </c>
      <c r="BD45" s="18">
        <v>1</v>
      </c>
      <c r="BE45" s="17"/>
      <c r="BF45" s="18"/>
      <c r="BG45" s="18">
        <f ca="1">IFERROR(OFFSET(ITEM_RES!$A$1,MATCH(BH45,ITEM_RES!$J:$J,0)-1,0),0)</f>
        <v>0</v>
      </c>
      <c r="BH45" s="17"/>
      <c r="BI45" s="18"/>
      <c r="BJ45" s="17"/>
      <c r="BK45" s="18"/>
      <c r="BL45" s="18">
        <f ca="1">IFERROR(OFFSET(ITEM_RES!$A$1,MATCH(BM45,ITEM_RES!$J:$J,0)-1,0),0)</f>
        <v>0</v>
      </c>
      <c r="BM45" s="17"/>
      <c r="BN45" s="18">
        <f t="shared" si="4"/>
        <v>0</v>
      </c>
      <c r="BO45" s="17"/>
    </row>
    <row r="46" spans="1:67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 t="s">
        <v>978</v>
      </c>
      <c r="M46" s="9" t="s">
        <v>999</v>
      </c>
      <c r="N46" s="9">
        <v>1</v>
      </c>
      <c r="O46" s="9">
        <v>15</v>
      </c>
      <c r="P46" s="9" t="s">
        <v>808</v>
      </c>
      <c r="T46" s="9" t="s">
        <v>733</v>
      </c>
      <c r="W46" s="9">
        <f ca="1">IFERROR(OFFSET(ITEM_RES!$A$5,MATCH(BUILDING!V46,ITEM_RES!$J$5:$J$226,0)-1,0),0)</f>
        <v>0</v>
      </c>
      <c r="Y46" s="85" t="s">
        <v>568</v>
      </c>
      <c r="Z46" s="9">
        <f ca="1">IFERROR(OFFSET(ITEM_RES!$A$5,MATCH(BUILDING!Y46,ITEM_RES!$J$5:$J$226,0)-1,0),0)</f>
        <v>211010301</v>
      </c>
      <c r="AB46" s="9" t="s">
        <v>538</v>
      </c>
      <c r="AC46" s="9">
        <v>2</v>
      </c>
      <c r="AE46" s="9">
        <v>800</v>
      </c>
      <c r="AG46" s="56">
        <f t="shared" si="5"/>
        <v>210</v>
      </c>
      <c r="AH46" s="10">
        <f>AG45+AG46</f>
        <v>815</v>
      </c>
      <c r="AJ46" s="11">
        <f t="shared" si="3"/>
        <v>10</v>
      </c>
      <c r="AK46" s="10">
        <v>10</v>
      </c>
      <c r="AL46" s="11">
        <f t="shared" si="6"/>
        <v>10</v>
      </c>
      <c r="AM46" s="10">
        <v>10</v>
      </c>
      <c r="AN46" s="11">
        <f t="shared" si="6"/>
        <v>10</v>
      </c>
      <c r="AO46" s="10">
        <v>10</v>
      </c>
      <c r="AP46" s="56">
        <f t="shared" si="7"/>
        <v>2</v>
      </c>
      <c r="AR46" s="11">
        <f ca="1">IFERROR(OFFSET(ITEM_RES!$A$1,MATCH(AS46,ITEM_RES!$J:$J,0)-1,0),0)</f>
        <v>211010501</v>
      </c>
      <c r="AS46" s="10" t="s">
        <v>447</v>
      </c>
      <c r="AT46" s="11">
        <v>50</v>
      </c>
      <c r="AW46" s="11">
        <f ca="1">IFERROR(OFFSET(ITEM_RES!$A$1,MATCH(AX46,ITEM_RES!$J:$J,0)-1,0),0)</f>
        <v>211020101</v>
      </c>
      <c r="AX46" s="10" t="s">
        <v>471</v>
      </c>
      <c r="AY46" s="11">
        <v>50</v>
      </c>
      <c r="BB46" s="11">
        <f ca="1">IFERROR(OFFSET(ITEM_RES!$A$1,MATCH(BC46,ITEM_RES!$J:$J,0)-1,0),0)</f>
        <v>0</v>
      </c>
      <c r="BG46" s="11">
        <f ca="1">IFERROR(OFFSET(ITEM_RES!$A$1,MATCH(BH46,ITEM_RES!$J:$J,0)-1,0),0)</f>
        <v>0</v>
      </c>
      <c r="BL46" s="11">
        <f ca="1">IFERROR(OFFSET(ITEM_RES!$A$1,MATCH(BM46,ITEM_RES!$J:$J,0)-1,0),0)</f>
        <v>0</v>
      </c>
      <c r="BN46" s="11">
        <f t="shared" si="4"/>
        <v>0</v>
      </c>
    </row>
    <row r="47" spans="1:67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 t="s">
        <v>978</v>
      </c>
      <c r="M47" s="9" t="s">
        <v>999</v>
      </c>
      <c r="N47" s="9">
        <v>1</v>
      </c>
      <c r="O47" s="9">
        <v>15</v>
      </c>
      <c r="P47" s="9" t="s">
        <v>808</v>
      </c>
      <c r="T47" s="9" t="s">
        <v>733</v>
      </c>
      <c r="W47" s="9">
        <f ca="1">IFERROR(OFFSET(ITEM_RES!$A$5,MATCH(BUILDING!V47,ITEM_RES!$J$5:$J$226,0)-1,0),0)</f>
        <v>0</v>
      </c>
      <c r="Y47" s="85" t="s">
        <v>568</v>
      </c>
      <c r="Z47" s="9">
        <f ca="1">IFERROR(OFFSET(ITEM_RES!$A$5,MATCH(BUILDING!Y47,ITEM_RES!$J$5:$J$226,0)-1,0),0)</f>
        <v>211010301</v>
      </c>
      <c r="AB47" s="9" t="s">
        <v>538</v>
      </c>
      <c r="AC47" s="9">
        <v>3</v>
      </c>
      <c r="AE47" s="9">
        <v>1200</v>
      </c>
      <c r="AG47" s="56">
        <f t="shared" si="5"/>
        <v>315</v>
      </c>
      <c r="AH47" s="10">
        <f t="shared" ref="AH47:AH64" si="10">AG46+AG47</f>
        <v>525</v>
      </c>
      <c r="AJ47" s="11">
        <f t="shared" si="3"/>
        <v>15</v>
      </c>
      <c r="AK47" s="10">
        <v>15</v>
      </c>
      <c r="AL47" s="11">
        <f t="shared" si="6"/>
        <v>15</v>
      </c>
      <c r="AM47" s="10">
        <v>15</v>
      </c>
      <c r="AN47" s="11">
        <f t="shared" si="6"/>
        <v>15</v>
      </c>
      <c r="AO47" s="10">
        <v>15</v>
      </c>
      <c r="AP47" s="56">
        <f t="shared" si="7"/>
        <v>2</v>
      </c>
      <c r="AR47" s="11">
        <f ca="1">IFERROR(OFFSET(ITEM_RES!$A$1,MATCH(AS47,ITEM_RES!$J:$J,0)-1,0),0)</f>
        <v>211010501</v>
      </c>
      <c r="AS47" s="10" t="s">
        <v>447</v>
      </c>
      <c r="AT47" s="11">
        <v>75</v>
      </c>
      <c r="AW47" s="11">
        <f ca="1">IFERROR(OFFSET(ITEM_RES!$A$1,MATCH(AX47,ITEM_RES!$J:$J,0)-1,0),0)</f>
        <v>211020101</v>
      </c>
      <c r="AX47" s="10" t="s">
        <v>471</v>
      </c>
      <c r="AY47" s="11">
        <v>75</v>
      </c>
      <c r="BB47" s="11">
        <f ca="1">IFERROR(OFFSET(ITEM_RES!$A$1,MATCH(BC47,ITEM_RES!$J:$J,0)-1,0),0)</f>
        <v>0</v>
      </c>
      <c r="BG47" s="11">
        <f ca="1">IFERROR(OFFSET(ITEM_RES!$A$1,MATCH(BH47,ITEM_RES!$J:$J,0)-1,0),0)</f>
        <v>0</v>
      </c>
      <c r="BL47" s="11">
        <f ca="1">IFERROR(OFFSET(ITEM_RES!$A$1,MATCH(BM47,ITEM_RES!$J:$J,0)-1,0),0)</f>
        <v>0</v>
      </c>
      <c r="BN47" s="11">
        <f t="shared" si="4"/>
        <v>0</v>
      </c>
    </row>
    <row r="48" spans="1:67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 t="s">
        <v>978</v>
      </c>
      <c r="M48" s="9" t="s">
        <v>999</v>
      </c>
      <c r="N48" s="9">
        <v>1</v>
      </c>
      <c r="O48" s="9">
        <v>15</v>
      </c>
      <c r="P48" s="9" t="s">
        <v>808</v>
      </c>
      <c r="T48" s="9" t="s">
        <v>733</v>
      </c>
      <c r="W48" s="9">
        <f ca="1">IFERROR(OFFSET(ITEM_RES!$A$5,MATCH(BUILDING!V48,ITEM_RES!$J$5:$J$226,0)-1,0),0)</f>
        <v>0</v>
      </c>
      <c r="Y48" s="85" t="s">
        <v>568</v>
      </c>
      <c r="Z48" s="9">
        <f ca="1">IFERROR(OFFSET(ITEM_RES!$A$5,MATCH(BUILDING!Y48,ITEM_RES!$J$5:$J$226,0)-1,0),0)</f>
        <v>211010301</v>
      </c>
      <c r="AB48" s="9" t="s">
        <v>538</v>
      </c>
      <c r="AC48" s="9">
        <v>4</v>
      </c>
      <c r="AE48" s="9">
        <v>2000</v>
      </c>
      <c r="AG48" s="56">
        <f t="shared" si="5"/>
        <v>525</v>
      </c>
      <c r="AH48" s="10">
        <f t="shared" si="10"/>
        <v>840</v>
      </c>
      <c r="AJ48" s="11">
        <f t="shared" si="3"/>
        <v>20</v>
      </c>
      <c r="AK48" s="10">
        <v>20</v>
      </c>
      <c r="AL48" s="11">
        <f t="shared" si="6"/>
        <v>25</v>
      </c>
      <c r="AM48" s="10">
        <v>25</v>
      </c>
      <c r="AN48" s="11">
        <f t="shared" si="6"/>
        <v>25</v>
      </c>
      <c r="AO48" s="10">
        <v>25</v>
      </c>
      <c r="AP48" s="56">
        <f t="shared" si="7"/>
        <v>2</v>
      </c>
      <c r="AR48" s="11">
        <f ca="1">IFERROR(OFFSET(ITEM_RES!$A$1,MATCH(AS48,ITEM_RES!$J:$J,0)-1,0),0)</f>
        <v>211010501</v>
      </c>
      <c r="AS48" s="10" t="s">
        <v>447</v>
      </c>
      <c r="AT48" s="11">
        <v>125</v>
      </c>
      <c r="AW48" s="11">
        <f ca="1">IFERROR(OFFSET(ITEM_RES!$A$1,MATCH(AX48,ITEM_RES!$J:$J,0)-1,0),0)</f>
        <v>211020101</v>
      </c>
      <c r="AX48" s="10" t="s">
        <v>471</v>
      </c>
      <c r="AY48" s="11">
        <v>125</v>
      </c>
      <c r="BB48" s="11">
        <f ca="1">IFERROR(OFFSET(ITEM_RES!$A$1,MATCH(BC48,ITEM_RES!$J:$J,0)-1,0),0)</f>
        <v>0</v>
      </c>
      <c r="BG48" s="11">
        <f ca="1">IFERROR(OFFSET(ITEM_RES!$A$1,MATCH(BH48,ITEM_RES!$J:$J,0)-1,0),0)</f>
        <v>0</v>
      </c>
      <c r="BL48" s="11">
        <f ca="1">IFERROR(OFFSET(ITEM_RES!$A$1,MATCH(BM48,ITEM_RES!$J:$J,0)-1,0),0)</f>
        <v>0</v>
      </c>
      <c r="BN48" s="11">
        <f t="shared" si="4"/>
        <v>0</v>
      </c>
    </row>
    <row r="49" spans="1:66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 t="s">
        <v>978</v>
      </c>
      <c r="M49" s="9" t="s">
        <v>999</v>
      </c>
      <c r="N49" s="9">
        <v>1</v>
      </c>
      <c r="O49" s="9">
        <v>15</v>
      </c>
      <c r="P49" s="9" t="s">
        <v>808</v>
      </c>
      <c r="T49" s="9" t="s">
        <v>733</v>
      </c>
      <c r="W49" s="9">
        <f ca="1">IFERROR(OFFSET(ITEM_RES!$A$5,MATCH(BUILDING!V49,ITEM_RES!$J$5:$J$226,0)-1,0),0)</f>
        <v>0</v>
      </c>
      <c r="Y49" s="85" t="s">
        <v>568</v>
      </c>
      <c r="Z49" s="9">
        <f ca="1">IFERROR(OFFSET(ITEM_RES!$A$5,MATCH(BUILDING!Y49,ITEM_RES!$J$5:$J$226,0)-1,0),0)</f>
        <v>211010301</v>
      </c>
      <c r="AB49" s="9" t="s">
        <v>538</v>
      </c>
      <c r="AC49" s="9">
        <v>5</v>
      </c>
      <c r="AE49" s="9">
        <v>3200</v>
      </c>
      <c r="AG49" s="56">
        <f t="shared" si="5"/>
        <v>840</v>
      </c>
      <c r="AH49" s="10">
        <f t="shared" si="10"/>
        <v>1365</v>
      </c>
      <c r="AJ49" s="11">
        <f t="shared" si="3"/>
        <v>25</v>
      </c>
      <c r="AK49" s="10">
        <v>25</v>
      </c>
      <c r="AL49" s="11">
        <f t="shared" si="6"/>
        <v>40</v>
      </c>
      <c r="AM49" s="10">
        <v>40</v>
      </c>
      <c r="AN49" s="11">
        <f t="shared" si="6"/>
        <v>40</v>
      </c>
      <c r="AO49" s="10">
        <v>40</v>
      </c>
      <c r="AP49" s="56">
        <f t="shared" si="7"/>
        <v>2</v>
      </c>
      <c r="AR49" s="11">
        <f ca="1">IFERROR(OFFSET(ITEM_RES!$A$1,MATCH(AS49,ITEM_RES!$J:$J,0)-1,0),0)</f>
        <v>211010501</v>
      </c>
      <c r="AS49" s="10" t="s">
        <v>447</v>
      </c>
      <c r="AT49" s="11">
        <v>200</v>
      </c>
      <c r="AW49" s="11">
        <f ca="1">IFERROR(OFFSET(ITEM_RES!$A$1,MATCH(AX49,ITEM_RES!$J:$J,0)-1,0),0)</f>
        <v>211020101</v>
      </c>
      <c r="AX49" s="10" t="s">
        <v>471</v>
      </c>
      <c r="AY49" s="11">
        <v>200</v>
      </c>
      <c r="BB49" s="11">
        <f ca="1">IFERROR(OFFSET(ITEM_RES!$A$1,MATCH(BC49,ITEM_RES!$J:$J,0)-1,0),0)</f>
        <v>0</v>
      </c>
      <c r="BG49" s="11">
        <f ca="1">IFERROR(OFFSET(ITEM_RES!$A$1,MATCH(BH49,ITEM_RES!$J:$J,0)-1,0),0)</f>
        <v>0</v>
      </c>
      <c r="BL49" s="11">
        <f ca="1">IFERROR(OFFSET(ITEM_RES!$A$1,MATCH(BM49,ITEM_RES!$J:$J,0)-1,0),0)</f>
        <v>0</v>
      </c>
      <c r="BN49" s="11">
        <f t="shared" si="4"/>
        <v>0</v>
      </c>
    </row>
    <row r="50" spans="1:66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 t="s">
        <v>978</v>
      </c>
      <c r="M50" s="9" t="s">
        <v>999</v>
      </c>
      <c r="N50" s="9">
        <v>1</v>
      </c>
      <c r="O50" s="9">
        <v>15</v>
      </c>
      <c r="P50" s="9" t="s">
        <v>808</v>
      </c>
      <c r="T50" s="9" t="s">
        <v>733</v>
      </c>
      <c r="W50" s="9">
        <f ca="1">IFERROR(OFFSET(ITEM_RES!$A$5,MATCH(BUILDING!V50,ITEM_RES!$J$5:$J$226,0)-1,0),0)</f>
        <v>0</v>
      </c>
      <c r="Y50" s="85" t="s">
        <v>568</v>
      </c>
      <c r="Z50" s="9">
        <f ca="1">IFERROR(OFFSET(ITEM_RES!$A$5,MATCH(BUILDING!Y50,ITEM_RES!$J$5:$J$226,0)-1,0),0)</f>
        <v>211010301</v>
      </c>
      <c r="AB50" s="9" t="s">
        <v>538</v>
      </c>
      <c r="AC50" s="9">
        <v>6</v>
      </c>
      <c r="AE50" s="9">
        <v>4000</v>
      </c>
      <c r="AG50" s="56">
        <f t="shared" si="5"/>
        <v>1050</v>
      </c>
      <c r="AH50" s="10">
        <f t="shared" si="10"/>
        <v>1890</v>
      </c>
      <c r="AJ50" s="11">
        <f t="shared" si="3"/>
        <v>30</v>
      </c>
      <c r="AK50" s="10">
        <v>30</v>
      </c>
      <c r="AL50" s="11">
        <f t="shared" si="6"/>
        <v>50</v>
      </c>
      <c r="AM50" s="10">
        <v>50</v>
      </c>
      <c r="AN50" s="11">
        <f t="shared" si="6"/>
        <v>50</v>
      </c>
      <c r="AO50" s="10">
        <v>50</v>
      </c>
      <c r="AP50" s="56">
        <f t="shared" si="7"/>
        <v>2</v>
      </c>
      <c r="AR50" s="11">
        <f ca="1">IFERROR(OFFSET(ITEM_RES!$A$1,MATCH(AS50,ITEM_RES!$J:$J,0)-1,0),0)</f>
        <v>211010501</v>
      </c>
      <c r="AS50" s="10" t="s">
        <v>447</v>
      </c>
      <c r="AT50" s="11">
        <v>250</v>
      </c>
      <c r="AW50" s="11">
        <f ca="1">IFERROR(OFFSET(ITEM_RES!$A$1,MATCH(AX50,ITEM_RES!$J:$J,0)-1,0),0)</f>
        <v>211020101</v>
      </c>
      <c r="AX50" s="10" t="s">
        <v>471</v>
      </c>
      <c r="AY50" s="11">
        <v>250</v>
      </c>
      <c r="BB50" s="11">
        <f ca="1">IFERROR(OFFSET(ITEM_RES!$A$1,MATCH(BC50,ITEM_RES!$J:$J,0)-1,0),0)</f>
        <v>0</v>
      </c>
      <c r="BG50" s="11">
        <f ca="1">IFERROR(OFFSET(ITEM_RES!$A$1,MATCH(BH50,ITEM_RES!$J:$J,0)-1,0),0)</f>
        <v>0</v>
      </c>
      <c r="BL50" s="11">
        <f ca="1">IFERROR(OFFSET(ITEM_RES!$A$1,MATCH(BM50,ITEM_RES!$J:$J,0)-1,0),0)</f>
        <v>0</v>
      </c>
      <c r="BN50" s="11">
        <f t="shared" si="4"/>
        <v>0</v>
      </c>
    </row>
    <row r="51" spans="1:66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 t="s">
        <v>978</v>
      </c>
      <c r="M51" s="9" t="s">
        <v>999</v>
      </c>
      <c r="N51" s="9">
        <v>1</v>
      </c>
      <c r="O51" s="9">
        <v>15</v>
      </c>
      <c r="P51" s="9" t="s">
        <v>808</v>
      </c>
      <c r="T51" s="9" t="s">
        <v>733</v>
      </c>
      <c r="W51" s="9">
        <f ca="1">IFERROR(OFFSET(ITEM_RES!$A$5,MATCH(BUILDING!V51,ITEM_RES!$J$5:$J$226,0)-1,0),0)</f>
        <v>0</v>
      </c>
      <c r="Y51" s="85" t="s">
        <v>568</v>
      </c>
      <c r="Z51" s="9">
        <f ca="1">IFERROR(OFFSET(ITEM_RES!$A$5,MATCH(BUILDING!Y51,ITEM_RES!$J$5:$J$226,0)-1,0),0)</f>
        <v>211010301</v>
      </c>
      <c r="AB51" s="9" t="s">
        <v>538</v>
      </c>
      <c r="AC51" s="9">
        <v>7</v>
      </c>
      <c r="AE51" s="9">
        <v>8000</v>
      </c>
      <c r="AG51" s="56">
        <f t="shared" si="5"/>
        <v>2100</v>
      </c>
      <c r="AH51" s="10">
        <f t="shared" si="10"/>
        <v>3150</v>
      </c>
      <c r="AJ51" s="11">
        <f t="shared" si="3"/>
        <v>35</v>
      </c>
      <c r="AK51" s="10">
        <v>35</v>
      </c>
      <c r="AL51" s="11">
        <f t="shared" si="6"/>
        <v>100</v>
      </c>
      <c r="AM51" s="10">
        <v>100</v>
      </c>
      <c r="AN51" s="11">
        <f t="shared" si="6"/>
        <v>100</v>
      </c>
      <c r="AO51" s="10">
        <v>100</v>
      </c>
      <c r="AP51" s="56">
        <f t="shared" si="7"/>
        <v>2</v>
      </c>
      <c r="AR51" s="11">
        <f ca="1">IFERROR(OFFSET(ITEM_RES!$A$1,MATCH(AS51,ITEM_RES!$J:$J,0)-1,0),0)</f>
        <v>211010501</v>
      </c>
      <c r="AS51" s="10" t="s">
        <v>447</v>
      </c>
      <c r="AT51" s="11">
        <v>500</v>
      </c>
      <c r="AW51" s="11">
        <f ca="1">IFERROR(OFFSET(ITEM_RES!$A$1,MATCH(AX51,ITEM_RES!$J:$J,0)-1,0),0)</f>
        <v>211020101</v>
      </c>
      <c r="AX51" s="10" t="s">
        <v>471</v>
      </c>
      <c r="AY51" s="11">
        <v>500</v>
      </c>
      <c r="BB51" s="11">
        <f ca="1">IFERROR(OFFSET(ITEM_RES!$A$1,MATCH(BC51,ITEM_RES!$J:$J,0)-1,0),0)</f>
        <v>0</v>
      </c>
      <c r="BG51" s="11">
        <f ca="1">IFERROR(OFFSET(ITEM_RES!$A$1,MATCH(BH51,ITEM_RES!$J:$J,0)-1,0),0)</f>
        <v>0</v>
      </c>
      <c r="BL51" s="11">
        <f ca="1">IFERROR(OFFSET(ITEM_RES!$A$1,MATCH(BM51,ITEM_RES!$J:$J,0)-1,0),0)</f>
        <v>0</v>
      </c>
      <c r="BN51" s="11">
        <f t="shared" si="4"/>
        <v>0</v>
      </c>
    </row>
    <row r="52" spans="1:66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 t="s">
        <v>978</v>
      </c>
      <c r="M52" s="9" t="s">
        <v>999</v>
      </c>
      <c r="N52" s="9">
        <v>1</v>
      </c>
      <c r="O52" s="9">
        <v>15</v>
      </c>
      <c r="P52" s="9" t="s">
        <v>808</v>
      </c>
      <c r="T52" s="9" t="s">
        <v>733</v>
      </c>
      <c r="W52" s="9">
        <f ca="1">IFERROR(OFFSET(ITEM_RES!$A$5,MATCH(BUILDING!V52,ITEM_RES!$J$5:$J$226,0)-1,0),0)</f>
        <v>0</v>
      </c>
      <c r="Y52" s="85" t="s">
        <v>568</v>
      </c>
      <c r="Z52" s="9">
        <f ca="1">IFERROR(OFFSET(ITEM_RES!$A$5,MATCH(BUILDING!Y52,ITEM_RES!$J$5:$J$226,0)-1,0),0)</f>
        <v>211010301</v>
      </c>
      <c r="AB52" s="9" t="s">
        <v>538</v>
      </c>
      <c r="AC52" s="9">
        <v>8</v>
      </c>
      <c r="AE52" s="9">
        <v>8000</v>
      </c>
      <c r="AG52" s="56">
        <f t="shared" si="5"/>
        <v>2100</v>
      </c>
      <c r="AH52" s="10">
        <f t="shared" si="10"/>
        <v>4200</v>
      </c>
      <c r="AJ52" s="11">
        <f t="shared" si="3"/>
        <v>40</v>
      </c>
      <c r="AK52" s="10">
        <v>40</v>
      </c>
      <c r="AL52" s="11">
        <f t="shared" si="6"/>
        <v>100</v>
      </c>
      <c r="AM52" s="10">
        <v>100</v>
      </c>
      <c r="AN52" s="11">
        <f t="shared" si="6"/>
        <v>100</v>
      </c>
      <c r="AO52" s="10">
        <v>100</v>
      </c>
      <c r="AP52" s="56">
        <f t="shared" si="7"/>
        <v>2</v>
      </c>
      <c r="AR52" s="11">
        <f ca="1">IFERROR(OFFSET(ITEM_RES!$A$1,MATCH(AS52,ITEM_RES!$J:$J,0)-1,0),0)</f>
        <v>211010501</v>
      </c>
      <c r="AS52" s="10" t="s">
        <v>447</v>
      </c>
      <c r="AT52" s="11">
        <v>500</v>
      </c>
      <c r="AW52" s="11">
        <f ca="1">IFERROR(OFFSET(ITEM_RES!$A$1,MATCH(AX52,ITEM_RES!$J:$J,0)-1,0),0)</f>
        <v>211020101</v>
      </c>
      <c r="AX52" s="10" t="s">
        <v>471</v>
      </c>
      <c r="AY52" s="11">
        <v>500</v>
      </c>
      <c r="BB52" s="11">
        <f ca="1">IFERROR(OFFSET(ITEM_RES!$A$1,MATCH(BC52,ITEM_RES!$J:$J,0)-1,0),0)</f>
        <v>0</v>
      </c>
      <c r="BG52" s="11">
        <f ca="1">IFERROR(OFFSET(ITEM_RES!$A$1,MATCH(BH52,ITEM_RES!$J:$J,0)-1,0),0)</f>
        <v>0</v>
      </c>
      <c r="BL52" s="11">
        <f ca="1">IFERROR(OFFSET(ITEM_RES!$A$1,MATCH(BM52,ITEM_RES!$J:$J,0)-1,0),0)</f>
        <v>0</v>
      </c>
      <c r="BN52" s="11">
        <f t="shared" si="4"/>
        <v>0</v>
      </c>
    </row>
    <row r="53" spans="1:66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L53" s="9" t="s">
        <v>978</v>
      </c>
      <c r="M53" s="9" t="s">
        <v>999</v>
      </c>
      <c r="N53" s="9">
        <v>1</v>
      </c>
      <c r="O53" s="9">
        <v>15</v>
      </c>
      <c r="P53" s="9" t="s">
        <v>808</v>
      </c>
      <c r="T53" s="9" t="s">
        <v>733</v>
      </c>
      <c r="W53" s="9">
        <f ca="1">IFERROR(OFFSET(ITEM_RES!$A$5,MATCH(BUILDING!V53,ITEM_RES!$J$5:$J$226,0)-1,0),0)</f>
        <v>0</v>
      </c>
      <c r="Y53" s="85" t="s">
        <v>568</v>
      </c>
      <c r="Z53" s="9">
        <f ca="1">IFERROR(OFFSET(ITEM_RES!$A$5,MATCH(BUILDING!Y53,ITEM_RES!$J$5:$J$226,0)-1,0),0)</f>
        <v>211010301</v>
      </c>
      <c r="AB53" s="9" t="s">
        <v>538</v>
      </c>
      <c r="AC53" s="9">
        <v>9</v>
      </c>
      <c r="AE53" s="9">
        <v>12000</v>
      </c>
      <c r="AG53" s="56">
        <f t="shared" si="5"/>
        <v>3150</v>
      </c>
      <c r="AH53" s="10">
        <f t="shared" si="10"/>
        <v>5250</v>
      </c>
      <c r="AJ53" s="11">
        <f t="shared" si="3"/>
        <v>45</v>
      </c>
      <c r="AK53" s="10">
        <v>45</v>
      </c>
      <c r="AL53" s="11">
        <f t="shared" si="6"/>
        <v>150</v>
      </c>
      <c r="AM53" s="10">
        <v>150</v>
      </c>
      <c r="AN53" s="11">
        <f t="shared" si="6"/>
        <v>150</v>
      </c>
      <c r="AO53" s="10">
        <v>150</v>
      </c>
      <c r="AP53" s="56">
        <f t="shared" si="7"/>
        <v>2</v>
      </c>
      <c r="AR53" s="11">
        <f ca="1">IFERROR(OFFSET(ITEM_RES!$A$1,MATCH(AS53,ITEM_RES!$J:$J,0)-1,0),0)</f>
        <v>211010501</v>
      </c>
      <c r="AS53" s="10" t="s">
        <v>447</v>
      </c>
      <c r="AT53" s="11">
        <v>750</v>
      </c>
      <c r="AW53" s="11">
        <f ca="1">IFERROR(OFFSET(ITEM_RES!$A$1,MATCH(AX53,ITEM_RES!$J:$J,0)-1,0),0)</f>
        <v>211020101</v>
      </c>
      <c r="AX53" s="10" t="s">
        <v>471</v>
      </c>
      <c r="AY53" s="11">
        <v>750</v>
      </c>
      <c r="BB53" s="11">
        <f ca="1">IFERROR(OFFSET(ITEM_RES!$A$1,MATCH(BC53,ITEM_RES!$J:$J,0)-1,0),0)</f>
        <v>0</v>
      </c>
      <c r="BG53" s="11">
        <f ca="1">IFERROR(OFFSET(ITEM_RES!$A$1,MATCH(BH53,ITEM_RES!$J:$J,0)-1,0),0)</f>
        <v>0</v>
      </c>
      <c r="BL53" s="11">
        <f ca="1">IFERROR(OFFSET(ITEM_RES!$A$1,MATCH(BM53,ITEM_RES!$J:$J,0)-1,0),0)</f>
        <v>0</v>
      </c>
      <c r="BN53" s="11">
        <f t="shared" si="4"/>
        <v>0</v>
      </c>
    </row>
    <row r="54" spans="1:66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 t="s">
        <v>978</v>
      </c>
      <c r="M54" s="9" t="s">
        <v>999</v>
      </c>
      <c r="N54" s="9">
        <v>1</v>
      </c>
      <c r="O54" s="9">
        <v>15</v>
      </c>
      <c r="P54" s="9" t="s">
        <v>808</v>
      </c>
      <c r="T54" s="9" t="s">
        <v>733</v>
      </c>
      <c r="W54" s="9">
        <f ca="1">IFERROR(OFFSET(ITEM_RES!$A$5,MATCH(BUILDING!V54,ITEM_RES!$J$5:$J$226,0)-1,0),0)</f>
        <v>0</v>
      </c>
      <c r="Y54" s="85" t="s">
        <v>568</v>
      </c>
      <c r="Z54" s="9">
        <f ca="1">IFERROR(OFFSET(ITEM_RES!$A$5,MATCH(BUILDING!Y54,ITEM_RES!$J$5:$J$226,0)-1,0),0)</f>
        <v>211010301</v>
      </c>
      <c r="AB54" s="9" t="s">
        <v>538</v>
      </c>
      <c r="AC54" s="9">
        <v>10</v>
      </c>
      <c r="AE54" s="9">
        <v>16000</v>
      </c>
      <c r="AG54" s="56">
        <f t="shared" si="5"/>
        <v>4200</v>
      </c>
      <c r="AH54" s="10">
        <f t="shared" si="10"/>
        <v>7350</v>
      </c>
      <c r="AJ54" s="11">
        <f t="shared" si="3"/>
        <v>50</v>
      </c>
      <c r="AK54" s="10">
        <v>50</v>
      </c>
      <c r="AL54" s="11">
        <f t="shared" si="6"/>
        <v>200</v>
      </c>
      <c r="AM54" s="10">
        <v>200</v>
      </c>
      <c r="AN54" s="11">
        <f t="shared" si="6"/>
        <v>200</v>
      </c>
      <c r="AO54" s="10">
        <v>200</v>
      </c>
      <c r="AP54" s="56">
        <f t="shared" si="7"/>
        <v>2</v>
      </c>
      <c r="AR54" s="11">
        <f ca="1">IFERROR(OFFSET(ITEM_RES!$A$1,MATCH(AS54,ITEM_RES!$J:$J,0)-1,0),0)</f>
        <v>211010501</v>
      </c>
      <c r="AS54" s="10" t="s">
        <v>447</v>
      </c>
      <c r="AT54" s="11">
        <v>1000</v>
      </c>
      <c r="AW54" s="11">
        <f ca="1">IFERROR(OFFSET(ITEM_RES!$A$1,MATCH(AX54,ITEM_RES!$J:$J,0)-1,0),0)</f>
        <v>211020101</v>
      </c>
      <c r="AX54" s="10" t="s">
        <v>471</v>
      </c>
      <c r="AY54" s="11">
        <v>1000</v>
      </c>
      <c r="BB54" s="11">
        <f ca="1">IFERROR(OFFSET(ITEM_RES!$A$1,MATCH(BC54,ITEM_RES!$J:$J,0)-1,0),0)</f>
        <v>0</v>
      </c>
      <c r="BG54" s="11">
        <f ca="1">IFERROR(OFFSET(ITEM_RES!$A$1,MATCH(BH54,ITEM_RES!$J:$J,0)-1,0),0)</f>
        <v>0</v>
      </c>
      <c r="BL54" s="11">
        <f ca="1">IFERROR(OFFSET(ITEM_RES!$A$1,MATCH(BM54,ITEM_RES!$J:$J,0)-1,0),0)</f>
        <v>0</v>
      </c>
      <c r="BN54" s="11">
        <f t="shared" si="4"/>
        <v>0</v>
      </c>
    </row>
    <row r="55" spans="1:66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 t="s">
        <v>978</v>
      </c>
      <c r="M55" s="9" t="s">
        <v>999</v>
      </c>
      <c r="N55" s="9">
        <v>1</v>
      </c>
      <c r="O55" s="9">
        <v>15</v>
      </c>
      <c r="P55" s="9" t="s">
        <v>808</v>
      </c>
      <c r="T55" s="9" t="s">
        <v>733</v>
      </c>
      <c r="W55" s="9">
        <f ca="1">IFERROR(OFFSET(ITEM_RES!$A$5,MATCH(BUILDING!V55,ITEM_RES!$J$5:$J$226,0)-1,0),0)</f>
        <v>0</v>
      </c>
      <c r="Y55" s="85" t="s">
        <v>568</v>
      </c>
      <c r="Z55" s="9">
        <f ca="1">IFERROR(OFFSET(ITEM_RES!$A$5,MATCH(BUILDING!Y55,ITEM_RES!$J$5:$J$226,0)-1,0),0)</f>
        <v>211010301</v>
      </c>
      <c r="AB55" s="9" t="s">
        <v>538</v>
      </c>
      <c r="AC55" s="9">
        <v>11</v>
      </c>
      <c r="AE55" s="9">
        <v>20000</v>
      </c>
      <c r="AG55" s="56">
        <f t="shared" si="5"/>
        <v>5250</v>
      </c>
      <c r="AH55" s="10">
        <f t="shared" si="10"/>
        <v>9450</v>
      </c>
      <c r="AJ55" s="11">
        <f t="shared" si="3"/>
        <v>55</v>
      </c>
      <c r="AK55" s="10">
        <v>55</v>
      </c>
      <c r="AL55" s="11">
        <f t="shared" si="6"/>
        <v>250</v>
      </c>
      <c r="AM55" s="10">
        <v>250</v>
      </c>
      <c r="AN55" s="11">
        <f t="shared" si="6"/>
        <v>250</v>
      </c>
      <c r="AO55" s="10">
        <v>250</v>
      </c>
      <c r="AP55" s="56">
        <f t="shared" si="7"/>
        <v>2</v>
      </c>
      <c r="AR55" s="11">
        <f ca="1">IFERROR(OFFSET(ITEM_RES!$A$1,MATCH(AS55,ITEM_RES!$J:$J,0)-1,0),0)</f>
        <v>211010501</v>
      </c>
      <c r="AS55" s="10" t="s">
        <v>447</v>
      </c>
      <c r="AT55" s="11">
        <v>1250</v>
      </c>
      <c r="AW55" s="11">
        <f ca="1">IFERROR(OFFSET(ITEM_RES!$A$1,MATCH(AX55,ITEM_RES!$J:$J,0)-1,0),0)</f>
        <v>211020101</v>
      </c>
      <c r="AX55" s="10" t="s">
        <v>471</v>
      </c>
      <c r="AY55" s="11">
        <v>1250</v>
      </c>
      <c r="BB55" s="11">
        <f ca="1">IFERROR(OFFSET(ITEM_RES!$A$1,MATCH(BC55,ITEM_RES!$J:$J,0)-1,0),0)</f>
        <v>0</v>
      </c>
      <c r="BG55" s="11">
        <f ca="1">IFERROR(OFFSET(ITEM_RES!$A$1,MATCH(BH55,ITEM_RES!$J:$J,0)-1,0),0)</f>
        <v>0</v>
      </c>
      <c r="BL55" s="11">
        <f ca="1">IFERROR(OFFSET(ITEM_RES!$A$1,MATCH(BM55,ITEM_RES!$J:$J,0)-1,0),0)</f>
        <v>0</v>
      </c>
      <c r="BN55" s="11">
        <f t="shared" si="4"/>
        <v>0</v>
      </c>
    </row>
    <row r="56" spans="1:66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 t="s">
        <v>978</v>
      </c>
      <c r="M56" s="9" t="s">
        <v>999</v>
      </c>
      <c r="N56" s="9">
        <v>1</v>
      </c>
      <c r="O56" s="9">
        <v>15</v>
      </c>
      <c r="P56" s="9" t="s">
        <v>808</v>
      </c>
      <c r="T56" s="9" t="s">
        <v>733</v>
      </c>
      <c r="W56" s="9">
        <f ca="1">IFERROR(OFFSET(ITEM_RES!$A$5,MATCH(BUILDING!V56,ITEM_RES!$J$5:$J$226,0)-1,0),0)</f>
        <v>0</v>
      </c>
      <c r="Y56" s="85" t="s">
        <v>568</v>
      </c>
      <c r="Z56" s="9">
        <f ca="1">IFERROR(OFFSET(ITEM_RES!$A$5,MATCH(BUILDING!Y56,ITEM_RES!$J$5:$J$226,0)-1,0),0)</f>
        <v>211010301</v>
      </c>
      <c r="AB56" s="9" t="s">
        <v>538</v>
      </c>
      <c r="AC56" s="9">
        <v>12</v>
      </c>
      <c r="AE56" s="9">
        <v>24000</v>
      </c>
      <c r="AG56" s="56">
        <f t="shared" si="5"/>
        <v>6300</v>
      </c>
      <c r="AH56" s="10">
        <f t="shared" si="10"/>
        <v>11550</v>
      </c>
      <c r="AJ56" s="11">
        <f t="shared" si="3"/>
        <v>60</v>
      </c>
      <c r="AK56" s="10">
        <v>60</v>
      </c>
      <c r="AL56" s="11">
        <f t="shared" si="6"/>
        <v>300</v>
      </c>
      <c r="AM56" s="10">
        <v>300</v>
      </c>
      <c r="AN56" s="11">
        <f t="shared" si="6"/>
        <v>300</v>
      </c>
      <c r="AO56" s="10">
        <v>300</v>
      </c>
      <c r="AP56" s="56">
        <f t="shared" si="7"/>
        <v>2</v>
      </c>
      <c r="AR56" s="11">
        <f ca="1">IFERROR(OFFSET(ITEM_RES!$A$1,MATCH(AS56,ITEM_RES!$J:$J,0)-1,0),0)</f>
        <v>211010501</v>
      </c>
      <c r="AS56" s="10" t="s">
        <v>447</v>
      </c>
      <c r="AT56" s="11">
        <v>1500</v>
      </c>
      <c r="AW56" s="11">
        <f ca="1">IFERROR(OFFSET(ITEM_RES!$A$1,MATCH(AX56,ITEM_RES!$J:$J,0)-1,0),0)</f>
        <v>211020101</v>
      </c>
      <c r="AX56" s="10" t="s">
        <v>471</v>
      </c>
      <c r="AY56" s="11">
        <v>1500</v>
      </c>
      <c r="BB56" s="11">
        <f ca="1">IFERROR(OFFSET(ITEM_RES!$A$1,MATCH(BC56,ITEM_RES!$J:$J,0)-1,0),0)</f>
        <v>0</v>
      </c>
      <c r="BG56" s="11">
        <f ca="1">IFERROR(OFFSET(ITEM_RES!$A$1,MATCH(BH56,ITEM_RES!$J:$J,0)-1,0),0)</f>
        <v>0</v>
      </c>
      <c r="BL56" s="11">
        <f ca="1">IFERROR(OFFSET(ITEM_RES!$A$1,MATCH(BM56,ITEM_RES!$J:$J,0)-1,0),0)</f>
        <v>0</v>
      </c>
      <c r="BN56" s="11">
        <f t="shared" si="4"/>
        <v>0</v>
      </c>
    </row>
    <row r="57" spans="1:66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 t="s">
        <v>978</v>
      </c>
      <c r="M57" s="9" t="s">
        <v>999</v>
      </c>
      <c r="N57" s="9">
        <v>1</v>
      </c>
      <c r="O57" s="9">
        <v>15</v>
      </c>
      <c r="P57" s="9" t="s">
        <v>808</v>
      </c>
      <c r="T57" s="9" t="s">
        <v>733</v>
      </c>
      <c r="W57" s="9">
        <f ca="1">IFERROR(OFFSET(ITEM_RES!$A$5,MATCH(BUILDING!V57,ITEM_RES!$J$5:$J$226,0)-1,0),0)</f>
        <v>0</v>
      </c>
      <c r="Y57" s="85" t="s">
        <v>568</v>
      </c>
      <c r="Z57" s="9">
        <f ca="1">IFERROR(OFFSET(ITEM_RES!$A$5,MATCH(BUILDING!Y57,ITEM_RES!$J$5:$J$226,0)-1,0),0)</f>
        <v>211010301</v>
      </c>
      <c r="AB57" s="9" t="s">
        <v>538</v>
      </c>
      <c r="AC57" s="9">
        <v>13</v>
      </c>
      <c r="AE57" s="9">
        <v>28000</v>
      </c>
      <c r="AG57" s="56">
        <f t="shared" si="5"/>
        <v>7350</v>
      </c>
      <c r="AH57" s="10">
        <f t="shared" si="10"/>
        <v>13650</v>
      </c>
      <c r="AJ57" s="11">
        <f t="shared" si="3"/>
        <v>65</v>
      </c>
      <c r="AK57" s="10">
        <v>65</v>
      </c>
      <c r="AL57" s="11">
        <f t="shared" si="6"/>
        <v>350</v>
      </c>
      <c r="AM57" s="10">
        <v>350</v>
      </c>
      <c r="AN57" s="11">
        <f t="shared" si="6"/>
        <v>350</v>
      </c>
      <c r="AO57" s="10">
        <v>350</v>
      </c>
      <c r="AP57" s="56">
        <f t="shared" si="7"/>
        <v>2</v>
      </c>
      <c r="AR57" s="11">
        <f ca="1">IFERROR(OFFSET(ITEM_RES!$A$1,MATCH(AS57,ITEM_RES!$J:$J,0)-1,0),0)</f>
        <v>211010501</v>
      </c>
      <c r="AS57" s="10" t="s">
        <v>447</v>
      </c>
      <c r="AT57" s="11">
        <v>1750</v>
      </c>
      <c r="AW57" s="11">
        <f ca="1">IFERROR(OFFSET(ITEM_RES!$A$1,MATCH(AX57,ITEM_RES!$J:$J,0)-1,0),0)</f>
        <v>211020101</v>
      </c>
      <c r="AX57" s="10" t="s">
        <v>471</v>
      </c>
      <c r="AY57" s="11">
        <v>1750</v>
      </c>
      <c r="BB57" s="11">
        <f ca="1">IFERROR(OFFSET(ITEM_RES!$A$1,MATCH(BC57,ITEM_RES!$J:$J,0)-1,0),0)</f>
        <v>0</v>
      </c>
      <c r="BG57" s="11">
        <f ca="1">IFERROR(OFFSET(ITEM_RES!$A$1,MATCH(BH57,ITEM_RES!$J:$J,0)-1,0),0)</f>
        <v>0</v>
      </c>
      <c r="BL57" s="11">
        <f ca="1">IFERROR(OFFSET(ITEM_RES!$A$1,MATCH(BM57,ITEM_RES!$J:$J,0)-1,0),0)</f>
        <v>0</v>
      </c>
      <c r="BN57" s="11">
        <f t="shared" si="4"/>
        <v>0</v>
      </c>
    </row>
    <row r="58" spans="1:66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 t="s">
        <v>978</v>
      </c>
      <c r="M58" s="9" t="s">
        <v>999</v>
      </c>
      <c r="N58" s="9">
        <v>1</v>
      </c>
      <c r="O58" s="9">
        <v>15</v>
      </c>
      <c r="P58" s="9" t="s">
        <v>808</v>
      </c>
      <c r="T58" s="9" t="s">
        <v>733</v>
      </c>
      <c r="W58" s="9">
        <f ca="1">IFERROR(OFFSET(ITEM_RES!$A$5,MATCH(BUILDING!V58,ITEM_RES!$J$5:$J$226,0)-1,0),0)</f>
        <v>0</v>
      </c>
      <c r="Y58" s="85" t="s">
        <v>568</v>
      </c>
      <c r="Z58" s="9">
        <f ca="1">IFERROR(OFFSET(ITEM_RES!$A$5,MATCH(BUILDING!Y58,ITEM_RES!$J$5:$J$226,0)-1,0),0)</f>
        <v>211010301</v>
      </c>
      <c r="AB58" s="9" t="s">
        <v>538</v>
      </c>
      <c r="AC58" s="9">
        <v>14</v>
      </c>
      <c r="AE58" s="9">
        <v>36000</v>
      </c>
      <c r="AG58" s="56">
        <f t="shared" si="5"/>
        <v>9450</v>
      </c>
      <c r="AH58" s="10">
        <f t="shared" si="10"/>
        <v>16800</v>
      </c>
      <c r="AJ58" s="11">
        <f t="shared" si="3"/>
        <v>70</v>
      </c>
      <c r="AK58" s="10">
        <v>70</v>
      </c>
      <c r="AL58" s="11">
        <f t="shared" si="6"/>
        <v>450</v>
      </c>
      <c r="AM58" s="10">
        <v>450</v>
      </c>
      <c r="AN58" s="11">
        <f t="shared" si="6"/>
        <v>450</v>
      </c>
      <c r="AO58" s="10">
        <v>450</v>
      </c>
      <c r="AP58" s="56">
        <f t="shared" si="7"/>
        <v>2</v>
      </c>
      <c r="AR58" s="11">
        <f ca="1">IFERROR(OFFSET(ITEM_RES!$A$1,MATCH(AS58,ITEM_RES!$J:$J,0)-1,0),0)</f>
        <v>211010601</v>
      </c>
      <c r="AS58" s="10" t="s">
        <v>462</v>
      </c>
      <c r="AT58" s="11">
        <v>2250</v>
      </c>
      <c r="AW58" s="11">
        <f ca="1">IFERROR(OFFSET(ITEM_RES!$A$1,MATCH(AX58,ITEM_RES!$J:$J,0)-1,0),0)</f>
        <v>211020101</v>
      </c>
      <c r="AX58" s="10" t="s">
        <v>471</v>
      </c>
      <c r="AY58" s="11">
        <v>2250</v>
      </c>
      <c r="BB58" s="11">
        <f ca="1">IFERROR(OFFSET(ITEM_RES!$A$1,MATCH(BC58,ITEM_RES!$J:$J,0)-1,0),0)</f>
        <v>0</v>
      </c>
      <c r="BG58" s="11">
        <f ca="1">IFERROR(OFFSET(ITEM_RES!$A$1,MATCH(BH58,ITEM_RES!$J:$J,0)-1,0),0)</f>
        <v>0</v>
      </c>
      <c r="BL58" s="11">
        <f ca="1">IFERROR(OFFSET(ITEM_RES!$A$1,MATCH(BM58,ITEM_RES!$J:$J,0)-1,0),0)</f>
        <v>0</v>
      </c>
      <c r="BN58" s="11">
        <f t="shared" si="4"/>
        <v>0</v>
      </c>
    </row>
    <row r="59" spans="1:66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 t="s">
        <v>978</v>
      </c>
      <c r="M59" s="9" t="s">
        <v>999</v>
      </c>
      <c r="N59" s="9">
        <v>1</v>
      </c>
      <c r="O59" s="9">
        <v>15</v>
      </c>
      <c r="P59" s="9" t="s">
        <v>808</v>
      </c>
      <c r="T59" s="9" t="s">
        <v>733</v>
      </c>
      <c r="W59" s="9">
        <f ca="1">IFERROR(OFFSET(ITEM_RES!$A$5,MATCH(BUILDING!V59,ITEM_RES!$J$5:$J$226,0)-1,0),0)</f>
        <v>0</v>
      </c>
      <c r="Y59" s="85" t="s">
        <v>568</v>
      </c>
      <c r="Z59" s="9">
        <f ca="1">IFERROR(OFFSET(ITEM_RES!$A$5,MATCH(BUILDING!Y59,ITEM_RES!$J$5:$J$226,0)-1,0),0)</f>
        <v>211010301</v>
      </c>
      <c r="AB59" s="9" t="s">
        <v>538</v>
      </c>
      <c r="AC59" s="9">
        <v>15</v>
      </c>
      <c r="AE59" s="9">
        <v>44000</v>
      </c>
      <c r="AG59" s="56">
        <f t="shared" si="5"/>
        <v>11550</v>
      </c>
      <c r="AH59" s="10">
        <f t="shared" si="10"/>
        <v>21000</v>
      </c>
      <c r="AJ59" s="11">
        <f t="shared" si="3"/>
        <v>75</v>
      </c>
      <c r="AK59" s="10">
        <v>75</v>
      </c>
      <c r="AL59" s="11">
        <f t="shared" si="6"/>
        <v>550</v>
      </c>
      <c r="AM59" s="10">
        <v>550</v>
      </c>
      <c r="AN59" s="11">
        <f t="shared" si="6"/>
        <v>550</v>
      </c>
      <c r="AO59" s="10">
        <v>550</v>
      </c>
      <c r="AP59" s="56">
        <f t="shared" si="7"/>
        <v>2</v>
      </c>
      <c r="AR59" s="11">
        <f ca="1">IFERROR(OFFSET(ITEM_RES!$A$1,MATCH(AS59,ITEM_RES!$J:$J,0)-1,0),0)</f>
        <v>211010601</v>
      </c>
      <c r="AS59" s="10" t="s">
        <v>462</v>
      </c>
      <c r="AT59" s="11">
        <v>2750</v>
      </c>
      <c r="AW59" s="11">
        <f ca="1">IFERROR(OFFSET(ITEM_RES!$A$1,MATCH(AX59,ITEM_RES!$J:$J,0)-1,0),0)</f>
        <v>211020101</v>
      </c>
      <c r="AX59" s="10" t="s">
        <v>471</v>
      </c>
      <c r="AY59" s="11">
        <v>2750</v>
      </c>
      <c r="BB59" s="11">
        <f ca="1">IFERROR(OFFSET(ITEM_RES!$A$1,MATCH(BC59,ITEM_RES!$J:$J,0)-1,0),0)</f>
        <v>0</v>
      </c>
      <c r="BG59" s="11">
        <f ca="1">IFERROR(OFFSET(ITEM_RES!$A$1,MATCH(BH59,ITEM_RES!$J:$J,0)-1,0),0)</f>
        <v>0</v>
      </c>
      <c r="BL59" s="11">
        <f ca="1">IFERROR(OFFSET(ITEM_RES!$A$1,MATCH(BM59,ITEM_RES!$J:$J,0)-1,0),0)</f>
        <v>0</v>
      </c>
      <c r="BN59" s="11">
        <f t="shared" si="4"/>
        <v>0</v>
      </c>
    </row>
    <row r="60" spans="1:66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 t="s">
        <v>978</v>
      </c>
      <c r="M60" s="9" t="s">
        <v>999</v>
      </c>
      <c r="N60" s="9">
        <v>0</v>
      </c>
      <c r="O60" s="9">
        <v>15</v>
      </c>
      <c r="P60" s="9" t="s">
        <v>808</v>
      </c>
      <c r="T60" s="9" t="s">
        <v>733</v>
      </c>
      <c r="W60" s="9">
        <f ca="1">IFERROR(OFFSET(ITEM_RES!$A$5,MATCH(BUILDING!V60,ITEM_RES!$J$5:$J$226,0)-1,0),0)</f>
        <v>0</v>
      </c>
      <c r="Y60" s="85" t="s">
        <v>568</v>
      </c>
      <c r="Z60" s="9">
        <f ca="1">IFERROR(OFFSET(ITEM_RES!$A$5,MATCH(BUILDING!Y60,ITEM_RES!$J$5:$J$226,0)-1,0),0)</f>
        <v>211010301</v>
      </c>
      <c r="AB60" s="9" t="s">
        <v>538</v>
      </c>
      <c r="AC60" s="9">
        <v>16</v>
      </c>
      <c r="AE60" s="9">
        <v>56000</v>
      </c>
      <c r="AG60" s="56">
        <f t="shared" si="5"/>
        <v>14700</v>
      </c>
      <c r="AH60" s="10">
        <f t="shared" si="10"/>
        <v>26250</v>
      </c>
      <c r="AJ60" s="11">
        <f t="shared" si="3"/>
        <v>80</v>
      </c>
      <c r="AK60" s="10">
        <v>80</v>
      </c>
      <c r="AL60" s="11">
        <f t="shared" si="6"/>
        <v>700</v>
      </c>
      <c r="AM60" s="10">
        <v>700</v>
      </c>
      <c r="AN60" s="11">
        <f t="shared" si="6"/>
        <v>700</v>
      </c>
      <c r="AO60" s="10">
        <v>700</v>
      </c>
      <c r="AP60" s="56">
        <f t="shared" si="7"/>
        <v>2</v>
      </c>
      <c r="AR60" s="11">
        <f ca="1">IFERROR(OFFSET(ITEM_RES!$A$1,MATCH(AS60,ITEM_RES!$J:$J,0)-1,0),0)</f>
        <v>211010601</v>
      </c>
      <c r="AS60" s="10" t="s">
        <v>462</v>
      </c>
      <c r="AT60" s="11">
        <v>3500</v>
      </c>
      <c r="AW60" s="11">
        <f ca="1">IFERROR(OFFSET(ITEM_RES!$A$1,MATCH(AX60,ITEM_RES!$J:$J,0)-1,0),0)</f>
        <v>211020101</v>
      </c>
      <c r="AX60" s="10" t="s">
        <v>471</v>
      </c>
      <c r="AY60" s="11">
        <v>3500</v>
      </c>
      <c r="BB60" s="11">
        <f ca="1">IFERROR(OFFSET(ITEM_RES!$A$1,MATCH(BC60,ITEM_RES!$J:$J,0)-1,0),0)</f>
        <v>0</v>
      </c>
      <c r="BG60" s="11">
        <f ca="1">IFERROR(OFFSET(ITEM_RES!$A$1,MATCH(BH60,ITEM_RES!$J:$J,0)-1,0),0)</f>
        <v>0</v>
      </c>
      <c r="BL60" s="11">
        <f ca="1">IFERROR(OFFSET(ITEM_RES!$A$1,MATCH(BM60,ITEM_RES!$J:$J,0)-1,0),0)</f>
        <v>0</v>
      </c>
      <c r="BN60" s="11">
        <f t="shared" si="4"/>
        <v>0</v>
      </c>
    </row>
    <row r="61" spans="1:66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 t="s">
        <v>978</v>
      </c>
      <c r="M61" s="9" t="s">
        <v>999</v>
      </c>
      <c r="N61" s="9">
        <v>0</v>
      </c>
      <c r="O61" s="9">
        <v>15</v>
      </c>
      <c r="P61" s="9" t="s">
        <v>808</v>
      </c>
      <c r="T61" s="9" t="s">
        <v>733</v>
      </c>
      <c r="W61" s="9">
        <f ca="1">IFERROR(OFFSET(ITEM_RES!$A$5,MATCH(BUILDING!V61,ITEM_RES!$J$5:$J$226,0)-1,0),0)</f>
        <v>0</v>
      </c>
      <c r="Y61" s="85" t="s">
        <v>568</v>
      </c>
      <c r="Z61" s="9">
        <f ca="1">IFERROR(OFFSET(ITEM_RES!$A$5,MATCH(BUILDING!Y61,ITEM_RES!$J$5:$J$226,0)-1,0),0)</f>
        <v>211010301</v>
      </c>
      <c r="AB61" s="9" t="s">
        <v>538</v>
      </c>
      <c r="AC61" s="9">
        <v>17</v>
      </c>
      <c r="AE61" s="9">
        <v>68000</v>
      </c>
      <c r="AG61" s="56">
        <f t="shared" si="5"/>
        <v>17850</v>
      </c>
      <c r="AH61" s="10">
        <f t="shared" si="10"/>
        <v>32550</v>
      </c>
      <c r="AJ61" s="11">
        <f t="shared" si="3"/>
        <v>85</v>
      </c>
      <c r="AK61" s="10">
        <v>85</v>
      </c>
      <c r="AL61" s="11">
        <f t="shared" si="6"/>
        <v>850</v>
      </c>
      <c r="AM61" s="10">
        <v>850</v>
      </c>
      <c r="AN61" s="11">
        <f t="shared" si="6"/>
        <v>850</v>
      </c>
      <c r="AO61" s="10">
        <v>850</v>
      </c>
      <c r="AP61" s="56">
        <f t="shared" si="7"/>
        <v>2</v>
      </c>
      <c r="AR61" s="11">
        <f ca="1">IFERROR(OFFSET(ITEM_RES!$A$1,MATCH(AS61,ITEM_RES!$J:$J,0)-1,0),0)</f>
        <v>211010601</v>
      </c>
      <c r="AS61" s="10" t="s">
        <v>462</v>
      </c>
      <c r="AT61" s="11">
        <v>4250</v>
      </c>
      <c r="AW61" s="11">
        <f ca="1">IFERROR(OFFSET(ITEM_RES!$A$1,MATCH(AX61,ITEM_RES!$J:$J,0)-1,0),0)</f>
        <v>211020101</v>
      </c>
      <c r="AX61" s="10" t="s">
        <v>471</v>
      </c>
      <c r="AY61" s="11">
        <v>4250</v>
      </c>
      <c r="BB61" s="11">
        <f ca="1">IFERROR(OFFSET(ITEM_RES!$A$1,MATCH(BC61,ITEM_RES!$J:$J,0)-1,0),0)</f>
        <v>0</v>
      </c>
      <c r="BG61" s="11">
        <f ca="1">IFERROR(OFFSET(ITEM_RES!$A$1,MATCH(BH61,ITEM_RES!$J:$J,0)-1,0),0)</f>
        <v>0</v>
      </c>
      <c r="BL61" s="11">
        <f ca="1">IFERROR(OFFSET(ITEM_RES!$A$1,MATCH(BM61,ITEM_RES!$J:$J,0)-1,0),0)</f>
        <v>0</v>
      </c>
      <c r="BN61" s="11">
        <f t="shared" si="4"/>
        <v>0</v>
      </c>
    </row>
    <row r="62" spans="1:66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 t="s">
        <v>978</v>
      </c>
      <c r="M62" s="9" t="s">
        <v>999</v>
      </c>
      <c r="N62" s="9">
        <v>0</v>
      </c>
      <c r="O62" s="9">
        <v>15</v>
      </c>
      <c r="P62" s="9" t="s">
        <v>808</v>
      </c>
      <c r="T62" s="9" t="s">
        <v>733</v>
      </c>
      <c r="W62" s="9">
        <f ca="1">IFERROR(OFFSET(ITEM_RES!$A$5,MATCH(BUILDING!V62,ITEM_RES!$J$5:$J$226,0)-1,0),0)</f>
        <v>0</v>
      </c>
      <c r="Y62" s="85" t="s">
        <v>568</v>
      </c>
      <c r="Z62" s="9">
        <f ca="1">IFERROR(OFFSET(ITEM_RES!$A$5,MATCH(BUILDING!Y62,ITEM_RES!$J$5:$J$226,0)-1,0),0)</f>
        <v>211010301</v>
      </c>
      <c r="AB62" s="9" t="s">
        <v>538</v>
      </c>
      <c r="AC62" s="9">
        <v>18</v>
      </c>
      <c r="AE62" s="9">
        <v>84000</v>
      </c>
      <c r="AG62" s="56">
        <f t="shared" si="5"/>
        <v>22050</v>
      </c>
      <c r="AH62" s="10">
        <f t="shared" si="10"/>
        <v>39900</v>
      </c>
      <c r="AJ62" s="11">
        <f t="shared" si="3"/>
        <v>90</v>
      </c>
      <c r="AK62" s="10">
        <v>90</v>
      </c>
      <c r="AL62" s="11">
        <f t="shared" si="6"/>
        <v>1050</v>
      </c>
      <c r="AM62" s="10">
        <v>1050</v>
      </c>
      <c r="AN62" s="11">
        <f t="shared" si="6"/>
        <v>1050</v>
      </c>
      <c r="AO62" s="10">
        <v>1050</v>
      </c>
      <c r="AP62" s="56">
        <f t="shared" si="7"/>
        <v>2</v>
      </c>
      <c r="AR62" s="11">
        <f ca="1">IFERROR(OFFSET(ITEM_RES!$A$1,MATCH(AS62,ITEM_RES!$J:$J,0)-1,0),0)</f>
        <v>211010601</v>
      </c>
      <c r="AS62" s="10" t="s">
        <v>462</v>
      </c>
      <c r="AT62" s="11">
        <v>5250</v>
      </c>
      <c r="AW62" s="11">
        <f ca="1">IFERROR(OFFSET(ITEM_RES!$A$1,MATCH(AX62,ITEM_RES!$J:$J,0)-1,0),0)</f>
        <v>211020101</v>
      </c>
      <c r="AX62" s="10" t="s">
        <v>471</v>
      </c>
      <c r="AY62" s="11">
        <v>5250</v>
      </c>
      <c r="BB62" s="11">
        <f ca="1">IFERROR(OFFSET(ITEM_RES!$A$1,MATCH(BC62,ITEM_RES!$J:$J,0)-1,0),0)</f>
        <v>0</v>
      </c>
      <c r="BG62" s="11">
        <f ca="1">IFERROR(OFFSET(ITEM_RES!$A$1,MATCH(BH62,ITEM_RES!$J:$J,0)-1,0),0)</f>
        <v>0</v>
      </c>
      <c r="BL62" s="11">
        <f ca="1">IFERROR(OFFSET(ITEM_RES!$A$1,MATCH(BM62,ITEM_RES!$J:$J,0)-1,0),0)</f>
        <v>0</v>
      </c>
      <c r="BN62" s="11">
        <f t="shared" si="4"/>
        <v>0</v>
      </c>
    </row>
    <row r="63" spans="1:66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 t="s">
        <v>978</v>
      </c>
      <c r="M63" s="9" t="s">
        <v>999</v>
      </c>
      <c r="N63" s="9">
        <v>0</v>
      </c>
      <c r="O63" s="9">
        <v>15</v>
      </c>
      <c r="P63" s="9" t="s">
        <v>808</v>
      </c>
      <c r="T63" s="9" t="s">
        <v>733</v>
      </c>
      <c r="W63" s="9">
        <f ca="1">IFERROR(OFFSET(ITEM_RES!$A$5,MATCH(BUILDING!V63,ITEM_RES!$J$5:$J$226,0)-1,0),0)</f>
        <v>0</v>
      </c>
      <c r="Y63" s="85" t="s">
        <v>568</v>
      </c>
      <c r="Z63" s="9">
        <f ca="1">IFERROR(OFFSET(ITEM_RES!$A$5,MATCH(BUILDING!Y63,ITEM_RES!$J$5:$J$226,0)-1,0),0)</f>
        <v>211010301</v>
      </c>
      <c r="AB63" s="9" t="s">
        <v>538</v>
      </c>
      <c r="AC63" s="9">
        <v>19</v>
      </c>
      <c r="AE63" s="9">
        <v>100000</v>
      </c>
      <c r="AG63" s="56">
        <f t="shared" si="5"/>
        <v>26250</v>
      </c>
      <c r="AH63" s="10">
        <f t="shared" si="10"/>
        <v>48300</v>
      </c>
      <c r="AJ63" s="11">
        <f t="shared" si="3"/>
        <v>95</v>
      </c>
      <c r="AK63" s="10">
        <v>95</v>
      </c>
      <c r="AL63" s="11">
        <f t="shared" si="6"/>
        <v>1250</v>
      </c>
      <c r="AM63" s="10">
        <v>1250</v>
      </c>
      <c r="AN63" s="11">
        <f t="shared" si="6"/>
        <v>1250</v>
      </c>
      <c r="AO63" s="10">
        <v>1250</v>
      </c>
      <c r="AP63" s="56">
        <f t="shared" si="7"/>
        <v>2</v>
      </c>
      <c r="AR63" s="11">
        <f ca="1">IFERROR(OFFSET(ITEM_RES!$A$1,MATCH(AS63,ITEM_RES!$J:$J,0)-1,0),0)</f>
        <v>211010601</v>
      </c>
      <c r="AS63" s="10" t="s">
        <v>462</v>
      </c>
      <c r="AT63" s="11">
        <v>6250</v>
      </c>
      <c r="AW63" s="11">
        <f ca="1">IFERROR(OFFSET(ITEM_RES!$A$1,MATCH(AX63,ITEM_RES!$J:$J,0)-1,0),0)</f>
        <v>211020101</v>
      </c>
      <c r="AX63" s="10" t="s">
        <v>471</v>
      </c>
      <c r="AY63" s="11">
        <v>6250</v>
      </c>
      <c r="BB63" s="11">
        <f ca="1">IFERROR(OFFSET(ITEM_RES!$A$1,MATCH(BC63,ITEM_RES!$J:$J,0)-1,0),0)</f>
        <v>0</v>
      </c>
      <c r="BG63" s="11">
        <f ca="1">IFERROR(OFFSET(ITEM_RES!$A$1,MATCH(BH63,ITEM_RES!$J:$J,0)-1,0),0)</f>
        <v>0</v>
      </c>
      <c r="BL63" s="11">
        <f ca="1">IFERROR(OFFSET(ITEM_RES!$A$1,MATCH(BM63,ITEM_RES!$J:$J,0)-1,0),0)</f>
        <v>0</v>
      </c>
      <c r="BN63" s="11">
        <f t="shared" si="4"/>
        <v>0</v>
      </c>
    </row>
    <row r="64" spans="1:66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 t="s">
        <v>978</v>
      </c>
      <c r="M64" s="9" t="s">
        <v>999</v>
      </c>
      <c r="N64" s="9">
        <v>0</v>
      </c>
      <c r="O64" s="9">
        <v>15</v>
      </c>
      <c r="P64" s="9" t="s">
        <v>808</v>
      </c>
      <c r="T64" s="9" t="s">
        <v>733</v>
      </c>
      <c r="W64" s="9">
        <f ca="1">IFERROR(OFFSET(ITEM_RES!$A$5,MATCH(BUILDING!V64,ITEM_RES!$J$5:$J$226,0)-1,0),0)</f>
        <v>0</v>
      </c>
      <c r="Y64" s="85" t="s">
        <v>568</v>
      </c>
      <c r="Z64" s="9">
        <f ca="1">IFERROR(OFFSET(ITEM_RES!$A$5,MATCH(BUILDING!Y64,ITEM_RES!$J$5:$J$226,0)-1,0),0)</f>
        <v>211010301</v>
      </c>
      <c r="AB64" s="9" t="s">
        <v>538</v>
      </c>
      <c r="AC64" s="9">
        <v>20</v>
      </c>
      <c r="AE64" s="9">
        <v>120000</v>
      </c>
      <c r="AG64" s="56">
        <f t="shared" si="5"/>
        <v>31500</v>
      </c>
      <c r="AH64" s="10">
        <f t="shared" si="10"/>
        <v>57750</v>
      </c>
      <c r="AJ64" s="11">
        <f t="shared" si="3"/>
        <v>100</v>
      </c>
      <c r="AK64" s="10">
        <v>100</v>
      </c>
      <c r="AL64" s="11">
        <f t="shared" si="6"/>
        <v>1500</v>
      </c>
      <c r="AM64" s="10">
        <v>1500</v>
      </c>
      <c r="AN64" s="11">
        <f t="shared" si="6"/>
        <v>1500</v>
      </c>
      <c r="AO64" s="10">
        <v>1500</v>
      </c>
      <c r="AP64" s="56">
        <f t="shared" si="7"/>
        <v>2</v>
      </c>
      <c r="AR64" s="11">
        <f ca="1">IFERROR(OFFSET(ITEM_RES!$A$1,MATCH(AS64,ITEM_RES!$J:$J,0)-1,0),0)</f>
        <v>211010601</v>
      </c>
      <c r="AS64" s="10" t="s">
        <v>462</v>
      </c>
      <c r="AT64" s="11">
        <v>7500</v>
      </c>
      <c r="AW64" s="11">
        <f ca="1">IFERROR(OFFSET(ITEM_RES!$A$1,MATCH(AX64,ITEM_RES!$J:$J,0)-1,0),0)</f>
        <v>211020101</v>
      </c>
      <c r="AX64" s="10" t="s">
        <v>471</v>
      </c>
      <c r="AY64" s="11">
        <v>7500</v>
      </c>
      <c r="BB64" s="11">
        <f ca="1">IFERROR(OFFSET(ITEM_RES!$A$1,MATCH(BC64,ITEM_RES!$J:$J,0)-1,0),0)</f>
        <v>0</v>
      </c>
      <c r="BG64" s="11">
        <f ca="1">IFERROR(OFFSET(ITEM_RES!$A$1,MATCH(BH64,ITEM_RES!$J:$J,0)-1,0),0)</f>
        <v>0</v>
      </c>
      <c r="BL64" s="11">
        <f ca="1">IFERROR(OFFSET(ITEM_RES!$A$1,MATCH(BM64,ITEM_RES!$J:$J,0)-1,0),0)</f>
        <v>0</v>
      </c>
      <c r="BN64" s="11">
        <f t="shared" si="4"/>
        <v>0</v>
      </c>
    </row>
    <row r="65" spans="1:67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79"/>
      <c r="H65" s="16">
        <v>1</v>
      </c>
      <c r="I65" s="16">
        <v>1</v>
      </c>
      <c r="J65" s="79"/>
      <c r="K65" s="16" t="s">
        <v>459</v>
      </c>
      <c r="L65" s="16" t="s">
        <v>979</v>
      </c>
      <c r="M65" s="16" t="s">
        <v>1000</v>
      </c>
      <c r="N65" s="16">
        <v>1</v>
      </c>
      <c r="O65" s="16">
        <v>15</v>
      </c>
      <c r="P65" s="16"/>
      <c r="Q65" s="17"/>
      <c r="R65" s="17"/>
      <c r="S65" s="18"/>
      <c r="T65" s="16" t="s">
        <v>734</v>
      </c>
      <c r="U65" s="79"/>
      <c r="V65" s="87"/>
      <c r="W65" s="16">
        <f ca="1">IFERROR(OFFSET(ITEM_RES!$A$5,MATCH(BUILDING!V65,ITEM_RES!$J$5:$J$226,0)-1,0),0)</f>
        <v>0</v>
      </c>
      <c r="X65" s="18"/>
      <c r="Y65" s="87" t="s">
        <v>569</v>
      </c>
      <c r="Z65" s="16">
        <f ca="1">IFERROR(OFFSET(ITEM_RES!$A$5,MATCH(BUILDING!Y65,ITEM_RES!$J$5:$J$226,0)-1,0),0)</f>
        <v>211020101</v>
      </c>
      <c r="AA65" s="79"/>
      <c r="AB65" s="16" t="s">
        <v>539</v>
      </c>
      <c r="AC65" s="16">
        <v>1</v>
      </c>
      <c r="AD65" s="79"/>
      <c r="AE65" s="16">
        <v>400</v>
      </c>
      <c r="AF65" s="79"/>
      <c r="AG65" s="57">
        <f t="shared" si="5"/>
        <v>605</v>
      </c>
      <c r="AH65" s="17">
        <f>AG65</f>
        <v>605</v>
      </c>
      <c r="AI65" s="79"/>
      <c r="AJ65" s="18">
        <f t="shared" si="3"/>
        <v>5</v>
      </c>
      <c r="AK65" s="17">
        <v>5</v>
      </c>
      <c r="AL65" s="18">
        <f t="shared" ref="AL65" si="14">ROUND(AM65,0)</f>
        <v>5</v>
      </c>
      <c r="AM65" s="17">
        <v>5</v>
      </c>
      <c r="AN65" s="18">
        <f t="shared" ref="AN65" si="15">ROUND(AO65,0)</f>
        <v>5</v>
      </c>
      <c r="AO65" s="17">
        <v>5</v>
      </c>
      <c r="AP65" s="57">
        <f t="shared" si="7"/>
        <v>3</v>
      </c>
      <c r="AQ65" s="18"/>
      <c r="AR65" s="18">
        <f ca="1">IFERROR(OFFSET(ITEM_RES!$A$1,MATCH(AS65,ITEM_RES!$J:$J,0)-1,0),0)</f>
        <v>211010501</v>
      </c>
      <c r="AS65" s="17" t="s">
        <v>445</v>
      </c>
      <c r="AT65" s="18">
        <v>25</v>
      </c>
      <c r="AU65" s="17"/>
      <c r="AV65" s="18"/>
      <c r="AW65" s="18">
        <f ca="1">IFERROR(OFFSET(ITEM_RES!$A$1,MATCH(AX65,ITEM_RES!$J:$J,0)-1,0),0)</f>
        <v>211020801</v>
      </c>
      <c r="AX65" s="17" t="s">
        <v>456</v>
      </c>
      <c r="AY65" s="18">
        <v>25</v>
      </c>
      <c r="AZ65" s="17"/>
      <c r="BA65" s="18"/>
      <c r="BB65" s="18">
        <f ca="1">IFERROR(OFFSET(ITEM_RES!$A$1,MATCH(BC65,ITEM_RES!$J:$J,0)-1,0),0)</f>
        <v>213010101</v>
      </c>
      <c r="BC65" s="17" t="s">
        <v>477</v>
      </c>
      <c r="BD65" s="18">
        <v>1</v>
      </c>
      <c r="BE65" s="17"/>
      <c r="BF65" s="18"/>
      <c r="BG65" s="18">
        <f ca="1">IFERROR(OFFSET(ITEM_RES!$A$1,MATCH(BH65,ITEM_RES!$J:$J,0)-1,0),0)</f>
        <v>0</v>
      </c>
      <c r="BH65" s="17"/>
      <c r="BI65" s="18"/>
      <c r="BJ65" s="17"/>
      <c r="BK65" s="18"/>
      <c r="BL65" s="18">
        <f ca="1">IFERROR(OFFSET(ITEM_RES!$A$1,MATCH(BM65,ITEM_RES!$J:$J,0)-1,0),0)</f>
        <v>0</v>
      </c>
      <c r="BM65" s="17"/>
      <c r="BN65" s="18">
        <f t="shared" si="4"/>
        <v>0</v>
      </c>
      <c r="BO65" s="17"/>
    </row>
    <row r="66" spans="1:67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459</v>
      </c>
      <c r="L66" s="9" t="s">
        <v>979</v>
      </c>
      <c r="M66" s="9" t="s">
        <v>1000</v>
      </c>
      <c r="N66" s="9">
        <v>1</v>
      </c>
      <c r="O66" s="9">
        <v>15</v>
      </c>
      <c r="T66" s="9" t="s">
        <v>734</v>
      </c>
      <c r="W66" s="9">
        <f ca="1">IFERROR(OFFSET(ITEM_RES!$A$5,MATCH(BUILDING!V66,ITEM_RES!$J$5:$J$226,0)-1,0),0)</f>
        <v>0</v>
      </c>
      <c r="Y66" s="85" t="s">
        <v>569</v>
      </c>
      <c r="Z66" s="9">
        <f ca="1">IFERROR(OFFSET(ITEM_RES!$A$5,MATCH(BUILDING!Y66,ITEM_RES!$J$5:$J$226,0)-1,0),0)</f>
        <v>211020101</v>
      </c>
      <c r="AB66" s="9" t="s">
        <v>539</v>
      </c>
      <c r="AC66" s="9">
        <v>2</v>
      </c>
      <c r="AE66" s="9">
        <v>800</v>
      </c>
      <c r="AG66" s="56">
        <f t="shared" si="5"/>
        <v>210</v>
      </c>
      <c r="AH66" s="10">
        <f>AG65+AG66</f>
        <v>815</v>
      </c>
      <c r="AJ66" s="11">
        <f t="shared" si="3"/>
        <v>10</v>
      </c>
      <c r="AK66" s="10">
        <v>10</v>
      </c>
      <c r="AL66" s="11">
        <f t="shared" ref="AL66" si="16">ROUND(AM66,0)</f>
        <v>10</v>
      </c>
      <c r="AM66" s="10">
        <v>10</v>
      </c>
      <c r="AN66" s="11">
        <f t="shared" ref="AN66" si="17">ROUND(AO66,0)</f>
        <v>10</v>
      </c>
      <c r="AO66" s="10">
        <v>10</v>
      </c>
      <c r="AP66" s="56">
        <f t="shared" si="7"/>
        <v>2</v>
      </c>
      <c r="AR66" s="11">
        <f ca="1">IFERROR(OFFSET(ITEM_RES!$A$1,MATCH(AS66,ITEM_RES!$J:$J,0)-1,0),0)</f>
        <v>211010501</v>
      </c>
      <c r="AS66" s="10" t="s">
        <v>447</v>
      </c>
      <c r="AT66" s="11">
        <v>50</v>
      </c>
      <c r="AW66" s="11">
        <f ca="1">IFERROR(OFFSET(ITEM_RES!$A$1,MATCH(AX66,ITEM_RES!$J:$J,0)-1,0),0)</f>
        <v>211020801</v>
      </c>
      <c r="AX66" s="10" t="s">
        <v>456</v>
      </c>
      <c r="AY66" s="11">
        <v>50</v>
      </c>
      <c r="BB66" s="11">
        <f ca="1">IFERROR(OFFSET(ITEM_RES!$A$1,MATCH(BC66,ITEM_RES!$J:$J,0)-1,0),0)</f>
        <v>0</v>
      </c>
      <c r="BG66" s="11">
        <f ca="1">IFERROR(OFFSET(ITEM_RES!$A$1,MATCH(BH66,ITEM_RES!$J:$J,0)-1,0),0)</f>
        <v>0</v>
      </c>
      <c r="BL66" s="11">
        <f ca="1">IFERROR(OFFSET(ITEM_RES!$A$1,MATCH(BM66,ITEM_RES!$J:$J,0)-1,0),0)</f>
        <v>0</v>
      </c>
      <c r="BN66" s="11">
        <f t="shared" si="4"/>
        <v>0</v>
      </c>
    </row>
    <row r="67" spans="1:67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459</v>
      </c>
      <c r="L67" s="9" t="s">
        <v>979</v>
      </c>
      <c r="M67" s="9" t="s">
        <v>1000</v>
      </c>
      <c r="N67" s="9">
        <v>1</v>
      </c>
      <c r="O67" s="9">
        <v>15</v>
      </c>
      <c r="T67" s="9" t="s">
        <v>734</v>
      </c>
      <c r="W67" s="9">
        <f ca="1">IFERROR(OFFSET(ITEM_RES!$A$5,MATCH(BUILDING!V67,ITEM_RES!$J$5:$J$226,0)-1,0),0)</f>
        <v>0</v>
      </c>
      <c r="Y67" s="85" t="s">
        <v>569</v>
      </c>
      <c r="Z67" s="9">
        <f ca="1">IFERROR(OFFSET(ITEM_RES!$A$5,MATCH(BUILDING!Y67,ITEM_RES!$J$5:$J$226,0)-1,0),0)</f>
        <v>211020101</v>
      </c>
      <c r="AB67" s="9" t="s">
        <v>539</v>
      </c>
      <c r="AC67" s="9">
        <v>3</v>
      </c>
      <c r="AE67" s="9">
        <v>1200</v>
      </c>
      <c r="AG67" s="56">
        <f t="shared" si="5"/>
        <v>315</v>
      </c>
      <c r="AH67" s="10">
        <f t="shared" ref="AH67:AH84" si="18">AG66+AG67</f>
        <v>525</v>
      </c>
      <c r="AJ67" s="11">
        <f t="shared" si="3"/>
        <v>15</v>
      </c>
      <c r="AK67" s="10">
        <v>15</v>
      </c>
      <c r="AL67" s="11">
        <f t="shared" ref="AL67" si="19">ROUND(AM67,0)</f>
        <v>15</v>
      </c>
      <c r="AM67" s="10">
        <v>15</v>
      </c>
      <c r="AN67" s="11">
        <f t="shared" ref="AN67" si="20">ROUND(AO67,0)</f>
        <v>15</v>
      </c>
      <c r="AO67" s="10">
        <v>15</v>
      </c>
      <c r="AP67" s="56">
        <f t="shared" si="7"/>
        <v>2</v>
      </c>
      <c r="AR67" s="11">
        <f ca="1">IFERROR(OFFSET(ITEM_RES!$A$1,MATCH(AS67,ITEM_RES!$J:$J,0)-1,0),0)</f>
        <v>211010501</v>
      </c>
      <c r="AS67" s="10" t="s">
        <v>447</v>
      </c>
      <c r="AT67" s="11">
        <v>75</v>
      </c>
      <c r="AW67" s="11">
        <f ca="1">IFERROR(OFFSET(ITEM_RES!$A$1,MATCH(AX67,ITEM_RES!$J:$J,0)-1,0),0)</f>
        <v>211020801</v>
      </c>
      <c r="AX67" s="10" t="s">
        <v>456</v>
      </c>
      <c r="AY67" s="11">
        <v>75</v>
      </c>
      <c r="BB67" s="11">
        <f ca="1">IFERROR(OFFSET(ITEM_RES!$A$1,MATCH(BC67,ITEM_RES!$J:$J,0)-1,0),0)</f>
        <v>0</v>
      </c>
      <c r="BG67" s="11">
        <f ca="1">IFERROR(OFFSET(ITEM_RES!$A$1,MATCH(BH67,ITEM_RES!$J:$J,0)-1,0),0)</f>
        <v>0</v>
      </c>
      <c r="BL67" s="11">
        <f ca="1">IFERROR(OFFSET(ITEM_RES!$A$1,MATCH(BM67,ITEM_RES!$J:$J,0)-1,0),0)</f>
        <v>0</v>
      </c>
      <c r="BN67" s="11">
        <f t="shared" si="4"/>
        <v>0</v>
      </c>
    </row>
    <row r="68" spans="1:67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459</v>
      </c>
      <c r="L68" s="9" t="s">
        <v>979</v>
      </c>
      <c r="M68" s="9" t="s">
        <v>1000</v>
      </c>
      <c r="N68" s="9">
        <v>1</v>
      </c>
      <c r="O68" s="9">
        <v>15</v>
      </c>
      <c r="T68" s="9" t="s">
        <v>734</v>
      </c>
      <c r="W68" s="9">
        <f ca="1">IFERROR(OFFSET(ITEM_RES!$A$5,MATCH(BUILDING!V68,ITEM_RES!$J$5:$J$226,0)-1,0),0)</f>
        <v>0</v>
      </c>
      <c r="Y68" s="85" t="s">
        <v>569</v>
      </c>
      <c r="Z68" s="9">
        <f ca="1">IFERROR(OFFSET(ITEM_RES!$A$5,MATCH(BUILDING!Y68,ITEM_RES!$J$5:$J$226,0)-1,0),0)</f>
        <v>211020101</v>
      </c>
      <c r="AB68" s="9" t="s">
        <v>539</v>
      </c>
      <c r="AC68" s="9">
        <v>4</v>
      </c>
      <c r="AE68" s="9">
        <v>2000</v>
      </c>
      <c r="AG68" s="56">
        <f t="shared" si="5"/>
        <v>525</v>
      </c>
      <c r="AH68" s="10">
        <f t="shared" si="18"/>
        <v>840</v>
      </c>
      <c r="AJ68" s="11">
        <f t="shared" si="3"/>
        <v>20</v>
      </c>
      <c r="AK68" s="10">
        <v>20</v>
      </c>
      <c r="AL68" s="11">
        <f t="shared" ref="AL68" si="21">ROUND(AM68,0)</f>
        <v>25</v>
      </c>
      <c r="AM68" s="10">
        <v>25</v>
      </c>
      <c r="AN68" s="11">
        <f t="shared" ref="AN68" si="22">ROUND(AO68,0)</f>
        <v>25</v>
      </c>
      <c r="AO68" s="10">
        <v>25</v>
      </c>
      <c r="AP68" s="56">
        <f t="shared" si="7"/>
        <v>2</v>
      </c>
      <c r="AR68" s="11">
        <f ca="1">IFERROR(OFFSET(ITEM_RES!$A$1,MATCH(AS68,ITEM_RES!$J:$J,0)-1,0),0)</f>
        <v>211010501</v>
      </c>
      <c r="AS68" s="10" t="s">
        <v>447</v>
      </c>
      <c r="AT68" s="11">
        <v>125</v>
      </c>
      <c r="AW68" s="11">
        <f ca="1">IFERROR(OFFSET(ITEM_RES!$A$1,MATCH(AX68,ITEM_RES!$J:$J,0)-1,0),0)</f>
        <v>211020801</v>
      </c>
      <c r="AX68" s="10" t="s">
        <v>456</v>
      </c>
      <c r="AY68" s="11">
        <v>125</v>
      </c>
      <c r="BB68" s="11">
        <f ca="1">IFERROR(OFFSET(ITEM_RES!$A$1,MATCH(BC68,ITEM_RES!$J:$J,0)-1,0),0)</f>
        <v>0</v>
      </c>
      <c r="BG68" s="11">
        <f ca="1">IFERROR(OFFSET(ITEM_RES!$A$1,MATCH(BH68,ITEM_RES!$J:$J,0)-1,0),0)</f>
        <v>0</v>
      </c>
      <c r="BL68" s="11">
        <f ca="1">IFERROR(OFFSET(ITEM_RES!$A$1,MATCH(BM68,ITEM_RES!$J:$J,0)-1,0),0)</f>
        <v>0</v>
      </c>
      <c r="BN68" s="11">
        <f t="shared" si="4"/>
        <v>0</v>
      </c>
    </row>
    <row r="69" spans="1:67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459</v>
      </c>
      <c r="L69" s="9" t="s">
        <v>979</v>
      </c>
      <c r="M69" s="9" t="s">
        <v>1000</v>
      </c>
      <c r="N69" s="9">
        <v>1</v>
      </c>
      <c r="O69" s="9">
        <v>15</v>
      </c>
      <c r="T69" s="9" t="s">
        <v>734</v>
      </c>
      <c r="W69" s="9">
        <f ca="1">IFERROR(OFFSET(ITEM_RES!$A$5,MATCH(BUILDING!V69,ITEM_RES!$J$5:$J$226,0)-1,0),0)</f>
        <v>0</v>
      </c>
      <c r="Y69" s="85" t="s">
        <v>569</v>
      </c>
      <c r="Z69" s="9">
        <f ca="1">IFERROR(OFFSET(ITEM_RES!$A$5,MATCH(BUILDING!Y69,ITEM_RES!$J$5:$J$226,0)-1,0),0)</f>
        <v>211020101</v>
      </c>
      <c r="AB69" s="9" t="s">
        <v>539</v>
      </c>
      <c r="AC69" s="9">
        <v>5</v>
      </c>
      <c r="AE69" s="9">
        <v>3200</v>
      </c>
      <c r="AG69" s="56">
        <f t="shared" si="5"/>
        <v>840</v>
      </c>
      <c r="AH69" s="10">
        <f t="shared" si="18"/>
        <v>1365</v>
      </c>
      <c r="AJ69" s="11">
        <f t="shared" ref="AJ69:AJ132" si="23">ROUND(AK69,0)</f>
        <v>25</v>
      </c>
      <c r="AK69" s="10">
        <v>25</v>
      </c>
      <c r="AL69" s="11">
        <f t="shared" ref="AL69" si="24">ROUND(AM69,0)</f>
        <v>40</v>
      </c>
      <c r="AM69" s="10">
        <v>40</v>
      </c>
      <c r="AN69" s="11">
        <f t="shared" ref="AN69" si="25">ROUND(AO69,0)</f>
        <v>40</v>
      </c>
      <c r="AO69" s="10">
        <v>40</v>
      </c>
      <c r="AP69" s="56">
        <f t="shared" si="7"/>
        <v>2</v>
      </c>
      <c r="AR69" s="11">
        <f ca="1">IFERROR(OFFSET(ITEM_RES!$A$1,MATCH(AS69,ITEM_RES!$J:$J,0)-1,0),0)</f>
        <v>211010501</v>
      </c>
      <c r="AS69" s="10" t="s">
        <v>447</v>
      </c>
      <c r="AT69" s="11">
        <v>200</v>
      </c>
      <c r="AW69" s="11">
        <f ca="1">IFERROR(OFFSET(ITEM_RES!$A$1,MATCH(AX69,ITEM_RES!$J:$J,0)-1,0),0)</f>
        <v>211020801</v>
      </c>
      <c r="AX69" s="10" t="s">
        <v>456</v>
      </c>
      <c r="AY69" s="11">
        <v>200</v>
      </c>
      <c r="BB69" s="11">
        <f ca="1">IFERROR(OFFSET(ITEM_RES!$A$1,MATCH(BC69,ITEM_RES!$J:$J,0)-1,0),0)</f>
        <v>0</v>
      </c>
      <c r="BG69" s="11">
        <f ca="1">IFERROR(OFFSET(ITEM_RES!$A$1,MATCH(BH69,ITEM_RES!$J:$J,0)-1,0),0)</f>
        <v>0</v>
      </c>
      <c r="BL69" s="11">
        <f ca="1">IFERROR(OFFSET(ITEM_RES!$A$1,MATCH(BM69,ITEM_RES!$J:$J,0)-1,0),0)</f>
        <v>0</v>
      </c>
      <c r="BN69" s="11">
        <f t="shared" si="4"/>
        <v>0</v>
      </c>
    </row>
    <row r="70" spans="1:67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459</v>
      </c>
      <c r="L70" s="9" t="s">
        <v>979</v>
      </c>
      <c r="M70" s="9" t="s">
        <v>1000</v>
      </c>
      <c r="N70" s="9">
        <v>1</v>
      </c>
      <c r="O70" s="9">
        <v>15</v>
      </c>
      <c r="T70" s="9" t="s">
        <v>734</v>
      </c>
      <c r="W70" s="9">
        <f ca="1">IFERROR(OFFSET(ITEM_RES!$A$5,MATCH(BUILDING!V70,ITEM_RES!$J$5:$J$226,0)-1,0),0)</f>
        <v>0</v>
      </c>
      <c r="Y70" s="85" t="s">
        <v>569</v>
      </c>
      <c r="Z70" s="9">
        <f ca="1">IFERROR(OFFSET(ITEM_RES!$A$5,MATCH(BUILDING!Y70,ITEM_RES!$J$5:$J$226,0)-1,0),0)</f>
        <v>211020101</v>
      </c>
      <c r="AB70" s="9" t="s">
        <v>539</v>
      </c>
      <c r="AC70" s="9">
        <v>6</v>
      </c>
      <c r="AE70" s="9">
        <v>4000</v>
      </c>
      <c r="AG70" s="56">
        <f t="shared" ref="AG70:AG133" si="26">AM70*10+AO70+AT70+AY70+500*BD70+500*BI70+500*BN70</f>
        <v>1050</v>
      </c>
      <c r="AH70" s="10">
        <f t="shared" si="18"/>
        <v>1890</v>
      </c>
      <c r="AJ70" s="11">
        <f t="shared" si="23"/>
        <v>30</v>
      </c>
      <c r="AK70" s="10">
        <v>30</v>
      </c>
      <c r="AL70" s="11">
        <f t="shared" ref="AL70" si="27">ROUND(AM70,0)</f>
        <v>50</v>
      </c>
      <c r="AM70" s="10">
        <v>50</v>
      </c>
      <c r="AN70" s="11">
        <f t="shared" ref="AN70" si="28">ROUND(AO70,0)</f>
        <v>50</v>
      </c>
      <c r="AO70" s="10">
        <v>50</v>
      </c>
      <c r="AP70" s="56">
        <f t="shared" ref="AP70:AP133" si="29">(AT70&gt;0)*1+(AY70&gt;0)*1+(BD70&gt;0)*1+(BI70&gt;0)*1+(BN70&gt;0)*1</f>
        <v>2</v>
      </c>
      <c r="AR70" s="11">
        <f ca="1">IFERROR(OFFSET(ITEM_RES!$A$1,MATCH(AS70,ITEM_RES!$J:$J,0)-1,0),0)</f>
        <v>211010501</v>
      </c>
      <c r="AS70" s="10" t="s">
        <v>447</v>
      </c>
      <c r="AT70" s="11">
        <v>250</v>
      </c>
      <c r="AW70" s="11">
        <f ca="1">IFERROR(OFFSET(ITEM_RES!$A$1,MATCH(AX70,ITEM_RES!$J:$J,0)-1,0),0)</f>
        <v>211020801</v>
      </c>
      <c r="AX70" s="10" t="s">
        <v>456</v>
      </c>
      <c r="AY70" s="11">
        <v>250</v>
      </c>
      <c r="BB70" s="11">
        <f ca="1">IFERROR(OFFSET(ITEM_RES!$A$1,MATCH(BC70,ITEM_RES!$J:$J,0)-1,0),0)</f>
        <v>0</v>
      </c>
      <c r="BG70" s="11">
        <f ca="1">IFERROR(OFFSET(ITEM_RES!$A$1,MATCH(BH70,ITEM_RES!$J:$J,0)-1,0),0)</f>
        <v>0</v>
      </c>
      <c r="BL70" s="11">
        <f ca="1">IFERROR(OFFSET(ITEM_RES!$A$1,MATCH(BM70,ITEM_RES!$J:$J,0)-1,0),0)</f>
        <v>0</v>
      </c>
      <c r="BN70" s="11">
        <f t="shared" si="4"/>
        <v>0</v>
      </c>
    </row>
    <row r="71" spans="1:67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459</v>
      </c>
      <c r="L71" s="9" t="s">
        <v>979</v>
      </c>
      <c r="M71" s="9" t="s">
        <v>1000</v>
      </c>
      <c r="N71" s="9">
        <v>1</v>
      </c>
      <c r="O71" s="9">
        <v>15</v>
      </c>
      <c r="T71" s="9" t="s">
        <v>734</v>
      </c>
      <c r="W71" s="9">
        <f ca="1">IFERROR(OFFSET(ITEM_RES!$A$5,MATCH(BUILDING!V71,ITEM_RES!$J$5:$J$226,0)-1,0),0)</f>
        <v>0</v>
      </c>
      <c r="Y71" s="85" t="s">
        <v>569</v>
      </c>
      <c r="Z71" s="9">
        <f ca="1">IFERROR(OFFSET(ITEM_RES!$A$5,MATCH(BUILDING!Y71,ITEM_RES!$J$5:$J$226,0)-1,0),0)</f>
        <v>211020101</v>
      </c>
      <c r="AB71" s="9" t="s">
        <v>539</v>
      </c>
      <c r="AC71" s="9">
        <v>7</v>
      </c>
      <c r="AE71" s="9">
        <v>8000</v>
      </c>
      <c r="AG71" s="56">
        <f t="shared" si="26"/>
        <v>2100</v>
      </c>
      <c r="AH71" s="10">
        <f t="shared" si="18"/>
        <v>3150</v>
      </c>
      <c r="AJ71" s="11">
        <f t="shared" si="23"/>
        <v>35</v>
      </c>
      <c r="AK71" s="10">
        <v>35</v>
      </c>
      <c r="AL71" s="11">
        <f t="shared" ref="AL71" si="30">ROUND(AM71,0)</f>
        <v>100</v>
      </c>
      <c r="AM71" s="10">
        <v>100</v>
      </c>
      <c r="AN71" s="11">
        <f t="shared" ref="AN71" si="31">ROUND(AO71,0)</f>
        <v>100</v>
      </c>
      <c r="AO71" s="10">
        <v>100</v>
      </c>
      <c r="AP71" s="56">
        <f t="shared" si="29"/>
        <v>2</v>
      </c>
      <c r="AR71" s="11">
        <f ca="1">IFERROR(OFFSET(ITEM_RES!$A$1,MATCH(AS71,ITEM_RES!$J:$J,0)-1,0),0)</f>
        <v>211010501</v>
      </c>
      <c r="AS71" s="10" t="s">
        <v>447</v>
      </c>
      <c r="AT71" s="11">
        <v>500</v>
      </c>
      <c r="AW71" s="11">
        <f ca="1">IFERROR(OFFSET(ITEM_RES!$A$1,MATCH(AX71,ITEM_RES!$J:$J,0)-1,0),0)</f>
        <v>211020801</v>
      </c>
      <c r="AX71" s="10" t="s">
        <v>456</v>
      </c>
      <c r="AY71" s="11">
        <v>500</v>
      </c>
      <c r="BB71" s="11">
        <f ca="1">IFERROR(OFFSET(ITEM_RES!$A$1,MATCH(BC71,ITEM_RES!$J:$J,0)-1,0),0)</f>
        <v>0</v>
      </c>
      <c r="BG71" s="11">
        <f ca="1">IFERROR(OFFSET(ITEM_RES!$A$1,MATCH(BH71,ITEM_RES!$J:$J,0)-1,0),0)</f>
        <v>0</v>
      </c>
      <c r="BL71" s="11">
        <f ca="1">IFERROR(OFFSET(ITEM_RES!$A$1,MATCH(BM71,ITEM_RES!$J:$J,0)-1,0),0)</f>
        <v>0</v>
      </c>
      <c r="BN71" s="11">
        <f t="shared" si="4"/>
        <v>0</v>
      </c>
    </row>
    <row r="72" spans="1:67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459</v>
      </c>
      <c r="L72" s="9" t="s">
        <v>979</v>
      </c>
      <c r="M72" s="9" t="s">
        <v>1000</v>
      </c>
      <c r="N72" s="9">
        <v>1</v>
      </c>
      <c r="O72" s="9">
        <v>15</v>
      </c>
      <c r="T72" s="9" t="s">
        <v>734</v>
      </c>
      <c r="W72" s="9">
        <f ca="1">IFERROR(OFFSET(ITEM_RES!$A$5,MATCH(BUILDING!V72,ITEM_RES!$J$5:$J$226,0)-1,0),0)</f>
        <v>0</v>
      </c>
      <c r="Y72" s="85" t="s">
        <v>569</v>
      </c>
      <c r="Z72" s="9">
        <f ca="1">IFERROR(OFFSET(ITEM_RES!$A$5,MATCH(BUILDING!Y72,ITEM_RES!$J$5:$J$226,0)-1,0),0)</f>
        <v>211020101</v>
      </c>
      <c r="AB72" s="9" t="s">
        <v>539</v>
      </c>
      <c r="AC72" s="9">
        <v>8</v>
      </c>
      <c r="AE72" s="9">
        <v>8000</v>
      </c>
      <c r="AG72" s="56">
        <f t="shared" si="26"/>
        <v>2100</v>
      </c>
      <c r="AH72" s="10">
        <f t="shared" si="18"/>
        <v>4200</v>
      </c>
      <c r="AJ72" s="11">
        <f t="shared" si="23"/>
        <v>40</v>
      </c>
      <c r="AK72" s="10">
        <v>40</v>
      </c>
      <c r="AL72" s="11">
        <f t="shared" ref="AL72" si="32">ROUND(AM72,0)</f>
        <v>100</v>
      </c>
      <c r="AM72" s="10">
        <v>100</v>
      </c>
      <c r="AN72" s="11">
        <f t="shared" ref="AN72" si="33">ROUND(AO72,0)</f>
        <v>100</v>
      </c>
      <c r="AO72" s="10">
        <v>100</v>
      </c>
      <c r="AP72" s="56">
        <f t="shared" si="29"/>
        <v>2</v>
      </c>
      <c r="AR72" s="11">
        <f ca="1">IFERROR(OFFSET(ITEM_RES!$A$1,MATCH(AS72,ITEM_RES!$J:$J,0)-1,0),0)</f>
        <v>211010501</v>
      </c>
      <c r="AS72" s="10" t="s">
        <v>447</v>
      </c>
      <c r="AT72" s="11">
        <v>500</v>
      </c>
      <c r="AW72" s="11">
        <f ca="1">IFERROR(OFFSET(ITEM_RES!$A$1,MATCH(AX72,ITEM_RES!$J:$J,0)-1,0),0)</f>
        <v>211020801</v>
      </c>
      <c r="AX72" s="10" t="s">
        <v>456</v>
      </c>
      <c r="AY72" s="11">
        <v>500</v>
      </c>
      <c r="BB72" s="11">
        <f ca="1">IFERROR(OFFSET(ITEM_RES!$A$1,MATCH(BC72,ITEM_RES!$J:$J,0)-1,0),0)</f>
        <v>0</v>
      </c>
      <c r="BG72" s="11">
        <f ca="1">IFERROR(OFFSET(ITEM_RES!$A$1,MATCH(BH72,ITEM_RES!$J:$J,0)-1,0),0)</f>
        <v>0</v>
      </c>
      <c r="BL72" s="11">
        <f ca="1">IFERROR(OFFSET(ITEM_RES!$A$1,MATCH(BM72,ITEM_RES!$J:$J,0)-1,0),0)</f>
        <v>0</v>
      </c>
      <c r="BN72" s="11">
        <f t="shared" si="4"/>
        <v>0</v>
      </c>
    </row>
    <row r="73" spans="1:67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459</v>
      </c>
      <c r="L73" s="9" t="s">
        <v>979</v>
      </c>
      <c r="M73" s="9" t="s">
        <v>1000</v>
      </c>
      <c r="N73" s="9">
        <v>1</v>
      </c>
      <c r="O73" s="9">
        <v>15</v>
      </c>
      <c r="T73" s="9" t="s">
        <v>734</v>
      </c>
      <c r="W73" s="9">
        <f ca="1">IFERROR(OFFSET(ITEM_RES!$A$5,MATCH(BUILDING!V73,ITEM_RES!$J$5:$J$226,0)-1,0),0)</f>
        <v>0</v>
      </c>
      <c r="Y73" s="85" t="s">
        <v>569</v>
      </c>
      <c r="Z73" s="9">
        <f ca="1">IFERROR(OFFSET(ITEM_RES!$A$5,MATCH(BUILDING!Y73,ITEM_RES!$J$5:$J$226,0)-1,0),0)</f>
        <v>211020101</v>
      </c>
      <c r="AB73" s="9" t="s">
        <v>539</v>
      </c>
      <c r="AC73" s="9">
        <v>9</v>
      </c>
      <c r="AE73" s="9">
        <v>12000</v>
      </c>
      <c r="AG73" s="56">
        <f t="shared" si="26"/>
        <v>3150</v>
      </c>
      <c r="AH73" s="10">
        <f t="shared" si="18"/>
        <v>5250</v>
      </c>
      <c r="AJ73" s="11">
        <f t="shared" si="23"/>
        <v>45</v>
      </c>
      <c r="AK73" s="10">
        <v>45</v>
      </c>
      <c r="AL73" s="11">
        <f t="shared" ref="AL73" si="34">ROUND(AM73,0)</f>
        <v>150</v>
      </c>
      <c r="AM73" s="10">
        <v>150</v>
      </c>
      <c r="AN73" s="11">
        <f t="shared" ref="AN73" si="35">ROUND(AO73,0)</f>
        <v>150</v>
      </c>
      <c r="AO73" s="10">
        <v>150</v>
      </c>
      <c r="AP73" s="56">
        <f t="shared" si="29"/>
        <v>2</v>
      </c>
      <c r="AR73" s="11">
        <f ca="1">IFERROR(OFFSET(ITEM_RES!$A$1,MATCH(AS73,ITEM_RES!$J:$J,0)-1,0),0)</f>
        <v>211010501</v>
      </c>
      <c r="AS73" s="10" t="s">
        <v>447</v>
      </c>
      <c r="AT73" s="11">
        <v>750</v>
      </c>
      <c r="AW73" s="11">
        <f ca="1">IFERROR(OFFSET(ITEM_RES!$A$1,MATCH(AX73,ITEM_RES!$J:$J,0)-1,0),0)</f>
        <v>211020801</v>
      </c>
      <c r="AX73" s="10" t="s">
        <v>456</v>
      </c>
      <c r="AY73" s="11">
        <v>750</v>
      </c>
      <c r="BB73" s="11">
        <f ca="1">IFERROR(OFFSET(ITEM_RES!$A$1,MATCH(BC73,ITEM_RES!$J:$J,0)-1,0),0)</f>
        <v>0</v>
      </c>
      <c r="BG73" s="11">
        <f ca="1">IFERROR(OFFSET(ITEM_RES!$A$1,MATCH(BH73,ITEM_RES!$J:$J,0)-1,0),0)</f>
        <v>0</v>
      </c>
      <c r="BL73" s="11">
        <f ca="1">IFERROR(OFFSET(ITEM_RES!$A$1,MATCH(BM73,ITEM_RES!$J:$J,0)-1,0),0)</f>
        <v>0</v>
      </c>
      <c r="BN73" s="11">
        <f t="shared" si="4"/>
        <v>0</v>
      </c>
    </row>
    <row r="74" spans="1:67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459</v>
      </c>
      <c r="L74" s="9" t="s">
        <v>979</v>
      </c>
      <c r="M74" s="9" t="s">
        <v>1000</v>
      </c>
      <c r="N74" s="9">
        <v>1</v>
      </c>
      <c r="O74" s="9">
        <v>15</v>
      </c>
      <c r="T74" s="9" t="s">
        <v>734</v>
      </c>
      <c r="W74" s="9">
        <f ca="1">IFERROR(OFFSET(ITEM_RES!$A$5,MATCH(BUILDING!V74,ITEM_RES!$J$5:$J$226,0)-1,0),0)</f>
        <v>0</v>
      </c>
      <c r="Y74" s="85" t="s">
        <v>569</v>
      </c>
      <c r="Z74" s="9">
        <f ca="1">IFERROR(OFFSET(ITEM_RES!$A$5,MATCH(BUILDING!Y74,ITEM_RES!$J$5:$J$226,0)-1,0),0)</f>
        <v>211020101</v>
      </c>
      <c r="AB74" s="9" t="s">
        <v>539</v>
      </c>
      <c r="AC74" s="9">
        <v>10</v>
      </c>
      <c r="AE74" s="9">
        <v>16000</v>
      </c>
      <c r="AG74" s="56">
        <f t="shared" si="26"/>
        <v>4200</v>
      </c>
      <c r="AH74" s="10">
        <f t="shared" si="18"/>
        <v>7350</v>
      </c>
      <c r="AJ74" s="11">
        <f t="shared" si="23"/>
        <v>50</v>
      </c>
      <c r="AK74" s="10">
        <v>50</v>
      </c>
      <c r="AL74" s="11">
        <f t="shared" ref="AL74" si="36">ROUND(AM74,0)</f>
        <v>200</v>
      </c>
      <c r="AM74" s="10">
        <v>200</v>
      </c>
      <c r="AN74" s="11">
        <f t="shared" ref="AN74" si="37">ROUND(AO74,0)</f>
        <v>200</v>
      </c>
      <c r="AO74" s="10">
        <v>200</v>
      </c>
      <c r="AP74" s="56">
        <f t="shared" si="29"/>
        <v>2</v>
      </c>
      <c r="AR74" s="11">
        <f ca="1">IFERROR(OFFSET(ITEM_RES!$A$1,MATCH(AS74,ITEM_RES!$J:$J,0)-1,0),0)</f>
        <v>211010501</v>
      </c>
      <c r="AS74" s="10" t="s">
        <v>447</v>
      </c>
      <c r="AT74" s="11">
        <v>1000</v>
      </c>
      <c r="AW74" s="11">
        <f ca="1">IFERROR(OFFSET(ITEM_RES!$A$1,MATCH(AX74,ITEM_RES!$J:$J,0)-1,0),0)</f>
        <v>211020801</v>
      </c>
      <c r="AX74" s="10" t="s">
        <v>456</v>
      </c>
      <c r="AY74" s="11">
        <v>1000</v>
      </c>
      <c r="BB74" s="11">
        <f ca="1">IFERROR(OFFSET(ITEM_RES!$A$1,MATCH(BC74,ITEM_RES!$J:$J,0)-1,0),0)</f>
        <v>0</v>
      </c>
      <c r="BG74" s="11">
        <f ca="1">IFERROR(OFFSET(ITEM_RES!$A$1,MATCH(BH74,ITEM_RES!$J:$J,0)-1,0),0)</f>
        <v>0</v>
      </c>
      <c r="BL74" s="11">
        <f ca="1">IFERROR(OFFSET(ITEM_RES!$A$1,MATCH(BM74,ITEM_RES!$J:$J,0)-1,0),0)</f>
        <v>0</v>
      </c>
      <c r="BN74" s="11">
        <f t="shared" si="4"/>
        <v>0</v>
      </c>
    </row>
    <row r="75" spans="1:67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459</v>
      </c>
      <c r="L75" s="9" t="s">
        <v>979</v>
      </c>
      <c r="M75" s="9" t="s">
        <v>1000</v>
      </c>
      <c r="N75" s="9">
        <v>1</v>
      </c>
      <c r="O75" s="9">
        <v>15</v>
      </c>
      <c r="T75" s="9" t="s">
        <v>734</v>
      </c>
      <c r="W75" s="9">
        <f ca="1">IFERROR(OFFSET(ITEM_RES!$A$5,MATCH(BUILDING!V75,ITEM_RES!$J$5:$J$226,0)-1,0),0)</f>
        <v>0</v>
      </c>
      <c r="Y75" s="85" t="s">
        <v>569</v>
      </c>
      <c r="Z75" s="9">
        <f ca="1">IFERROR(OFFSET(ITEM_RES!$A$5,MATCH(BUILDING!Y75,ITEM_RES!$J$5:$J$226,0)-1,0),0)</f>
        <v>211020101</v>
      </c>
      <c r="AB75" s="9" t="s">
        <v>539</v>
      </c>
      <c r="AC75" s="9">
        <v>11</v>
      </c>
      <c r="AE75" s="9">
        <v>20000</v>
      </c>
      <c r="AG75" s="56">
        <f t="shared" si="26"/>
        <v>5750</v>
      </c>
      <c r="AH75" s="10">
        <f t="shared" si="18"/>
        <v>9950</v>
      </c>
      <c r="AJ75" s="11">
        <f t="shared" si="23"/>
        <v>55</v>
      </c>
      <c r="AK75" s="10">
        <v>55</v>
      </c>
      <c r="AL75" s="11">
        <f t="shared" ref="AL75" si="38">ROUND(AM75,0)</f>
        <v>250</v>
      </c>
      <c r="AM75" s="10">
        <v>250</v>
      </c>
      <c r="AN75" s="11">
        <f t="shared" ref="AN75" si="39">ROUND(AO75,0)</f>
        <v>250</v>
      </c>
      <c r="AO75" s="10">
        <v>250</v>
      </c>
      <c r="AP75" s="56">
        <f t="shared" si="29"/>
        <v>3</v>
      </c>
      <c r="AR75" s="11">
        <f ca="1">IFERROR(OFFSET(ITEM_RES!$A$1,MATCH(AS75,ITEM_RES!$J:$J,0)-1,0),0)</f>
        <v>211010501</v>
      </c>
      <c r="AS75" s="10" t="s">
        <v>447</v>
      </c>
      <c r="AT75" s="11">
        <v>1250</v>
      </c>
      <c r="AW75" s="11">
        <f ca="1">IFERROR(OFFSET(ITEM_RES!$A$1,MATCH(AX75,ITEM_RES!$J:$J,0)-1,0),0)</f>
        <v>211020801</v>
      </c>
      <c r="AX75" s="10" t="s">
        <v>456</v>
      </c>
      <c r="AY75" s="11">
        <v>1250</v>
      </c>
      <c r="BB75" s="11">
        <f ca="1">IFERROR(OFFSET(ITEM_RES!$A$1,MATCH(BC75,ITEM_RES!$J:$J,0)-1,0),0)</f>
        <v>0</v>
      </c>
      <c r="BG75" s="11">
        <f ca="1">IFERROR(OFFSET(ITEM_RES!$A$1,MATCH(BH75,ITEM_RES!$J:$J,0)-1,0),0)</f>
        <v>213010601</v>
      </c>
      <c r="BH75" s="10" t="s">
        <v>485</v>
      </c>
      <c r="BI75" s="11">
        <v>1</v>
      </c>
      <c r="BL75" s="11">
        <f ca="1">IFERROR(OFFSET(ITEM_RES!$A$1,MATCH(BM75,ITEM_RES!$J:$J,0)-1,0),0)</f>
        <v>0</v>
      </c>
      <c r="BN75" s="11">
        <f t="shared" si="4"/>
        <v>0</v>
      </c>
    </row>
    <row r="76" spans="1:67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459</v>
      </c>
      <c r="L76" s="9" t="s">
        <v>979</v>
      </c>
      <c r="M76" s="9" t="s">
        <v>1000</v>
      </c>
      <c r="N76" s="9">
        <v>1</v>
      </c>
      <c r="O76" s="9">
        <v>15</v>
      </c>
      <c r="T76" s="9" t="s">
        <v>734</v>
      </c>
      <c r="W76" s="9">
        <f ca="1">IFERROR(OFFSET(ITEM_RES!$A$5,MATCH(BUILDING!V76,ITEM_RES!$J$5:$J$226,0)-1,0),0)</f>
        <v>0</v>
      </c>
      <c r="Y76" s="85" t="s">
        <v>569</v>
      </c>
      <c r="Z76" s="9">
        <f ca="1">IFERROR(OFFSET(ITEM_RES!$A$5,MATCH(BUILDING!Y76,ITEM_RES!$J$5:$J$226,0)-1,0),0)</f>
        <v>211020101</v>
      </c>
      <c r="AB76" s="9" t="s">
        <v>539</v>
      </c>
      <c r="AC76" s="9">
        <v>12</v>
      </c>
      <c r="AE76" s="9">
        <v>24000</v>
      </c>
      <c r="AG76" s="56">
        <f t="shared" si="26"/>
        <v>6300</v>
      </c>
      <c r="AH76" s="10">
        <f t="shared" si="18"/>
        <v>12050</v>
      </c>
      <c r="AJ76" s="11">
        <f t="shared" si="23"/>
        <v>60</v>
      </c>
      <c r="AK76" s="10">
        <v>60</v>
      </c>
      <c r="AL76" s="11">
        <f t="shared" ref="AL76" si="40">ROUND(AM76,0)</f>
        <v>300</v>
      </c>
      <c r="AM76" s="10">
        <v>300</v>
      </c>
      <c r="AN76" s="11">
        <f t="shared" ref="AN76" si="41">ROUND(AO76,0)</f>
        <v>300</v>
      </c>
      <c r="AO76" s="10">
        <v>300</v>
      </c>
      <c r="AP76" s="56">
        <f t="shared" si="29"/>
        <v>2</v>
      </c>
      <c r="AR76" s="11">
        <f ca="1">IFERROR(OFFSET(ITEM_RES!$A$1,MATCH(AS76,ITEM_RES!$J:$J,0)-1,0),0)</f>
        <v>211010501</v>
      </c>
      <c r="AS76" s="10" t="s">
        <v>447</v>
      </c>
      <c r="AT76" s="11">
        <v>1500</v>
      </c>
      <c r="AW76" s="11">
        <f ca="1">IFERROR(OFFSET(ITEM_RES!$A$1,MATCH(AX76,ITEM_RES!$J:$J,0)-1,0),0)</f>
        <v>211020801</v>
      </c>
      <c r="AX76" s="10" t="s">
        <v>456</v>
      </c>
      <c r="AY76" s="11">
        <v>1500</v>
      </c>
      <c r="BB76" s="11">
        <f ca="1">IFERROR(OFFSET(ITEM_RES!$A$1,MATCH(BC76,ITEM_RES!$J:$J,0)-1,0),0)</f>
        <v>0</v>
      </c>
      <c r="BG76" s="11">
        <f ca="1">IFERROR(OFFSET(ITEM_RES!$A$1,MATCH(BH76,ITEM_RES!$J:$J,0)-1,0),0)</f>
        <v>0</v>
      </c>
      <c r="BL76" s="11">
        <f ca="1">IFERROR(OFFSET(ITEM_RES!$A$1,MATCH(BM76,ITEM_RES!$J:$J,0)-1,0),0)</f>
        <v>0</v>
      </c>
      <c r="BN76" s="11">
        <f t="shared" si="4"/>
        <v>0</v>
      </c>
    </row>
    <row r="77" spans="1:67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459</v>
      </c>
      <c r="L77" s="9" t="s">
        <v>979</v>
      </c>
      <c r="M77" s="9" t="s">
        <v>1000</v>
      </c>
      <c r="N77" s="9">
        <v>1</v>
      </c>
      <c r="O77" s="9">
        <v>15</v>
      </c>
      <c r="T77" s="9" t="s">
        <v>734</v>
      </c>
      <c r="W77" s="9">
        <f ca="1">IFERROR(OFFSET(ITEM_RES!$A$5,MATCH(BUILDING!V77,ITEM_RES!$J$5:$J$226,0)-1,0),0)</f>
        <v>0</v>
      </c>
      <c r="Y77" s="85" t="s">
        <v>569</v>
      </c>
      <c r="Z77" s="9">
        <f ca="1">IFERROR(OFFSET(ITEM_RES!$A$5,MATCH(BUILDING!Y77,ITEM_RES!$J$5:$J$226,0)-1,0),0)</f>
        <v>211020101</v>
      </c>
      <c r="AB77" s="9" t="s">
        <v>539</v>
      </c>
      <c r="AC77" s="9">
        <v>13</v>
      </c>
      <c r="AE77" s="9">
        <v>28000</v>
      </c>
      <c r="AG77" s="56">
        <f t="shared" si="26"/>
        <v>7350</v>
      </c>
      <c r="AH77" s="10">
        <f t="shared" si="18"/>
        <v>13650</v>
      </c>
      <c r="AJ77" s="11">
        <f t="shared" si="23"/>
        <v>65</v>
      </c>
      <c r="AK77" s="10">
        <v>65</v>
      </c>
      <c r="AL77" s="11">
        <f t="shared" ref="AL77" si="42">ROUND(AM77,0)</f>
        <v>350</v>
      </c>
      <c r="AM77" s="10">
        <v>350</v>
      </c>
      <c r="AN77" s="11">
        <f t="shared" ref="AN77" si="43">ROUND(AO77,0)</f>
        <v>350</v>
      </c>
      <c r="AO77" s="10">
        <v>350</v>
      </c>
      <c r="AP77" s="56">
        <f t="shared" si="29"/>
        <v>2</v>
      </c>
      <c r="AR77" s="11">
        <f ca="1">IFERROR(OFFSET(ITEM_RES!$A$1,MATCH(AS77,ITEM_RES!$J:$J,0)-1,0),0)</f>
        <v>211010501</v>
      </c>
      <c r="AS77" s="10" t="s">
        <v>447</v>
      </c>
      <c r="AT77" s="11">
        <v>1750</v>
      </c>
      <c r="AW77" s="11">
        <f ca="1">IFERROR(OFFSET(ITEM_RES!$A$1,MATCH(AX77,ITEM_RES!$J:$J,0)-1,0),0)</f>
        <v>211020801</v>
      </c>
      <c r="AX77" s="10" t="s">
        <v>456</v>
      </c>
      <c r="AY77" s="11">
        <v>1750</v>
      </c>
      <c r="BB77" s="11">
        <f ca="1">IFERROR(OFFSET(ITEM_RES!$A$1,MATCH(BC77,ITEM_RES!$J:$J,0)-1,0),0)</f>
        <v>0</v>
      </c>
      <c r="BG77" s="11">
        <f ca="1">IFERROR(OFFSET(ITEM_RES!$A$1,MATCH(BH77,ITEM_RES!$J:$J,0)-1,0),0)</f>
        <v>0</v>
      </c>
      <c r="BL77" s="11">
        <f ca="1">IFERROR(OFFSET(ITEM_RES!$A$1,MATCH(BM77,ITEM_RES!$J:$J,0)-1,0),0)</f>
        <v>0</v>
      </c>
      <c r="BN77" s="11">
        <f t="shared" si="4"/>
        <v>0</v>
      </c>
    </row>
    <row r="78" spans="1:67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459</v>
      </c>
      <c r="L78" s="9" t="s">
        <v>979</v>
      </c>
      <c r="M78" s="9" t="s">
        <v>1000</v>
      </c>
      <c r="N78" s="9">
        <v>1</v>
      </c>
      <c r="O78" s="9">
        <v>15</v>
      </c>
      <c r="T78" s="9" t="s">
        <v>734</v>
      </c>
      <c r="W78" s="9">
        <f ca="1">IFERROR(OFFSET(ITEM_RES!$A$5,MATCH(BUILDING!V78,ITEM_RES!$J$5:$J$226,0)-1,0),0)</f>
        <v>0</v>
      </c>
      <c r="Y78" s="85" t="s">
        <v>569</v>
      </c>
      <c r="Z78" s="9">
        <f ca="1">IFERROR(OFFSET(ITEM_RES!$A$5,MATCH(BUILDING!Y78,ITEM_RES!$J$5:$J$226,0)-1,0),0)</f>
        <v>211020101</v>
      </c>
      <c r="AB78" s="9" t="s">
        <v>539</v>
      </c>
      <c r="AC78" s="9">
        <v>14</v>
      </c>
      <c r="AE78" s="9">
        <v>36000</v>
      </c>
      <c r="AG78" s="56">
        <f t="shared" si="26"/>
        <v>9450</v>
      </c>
      <c r="AH78" s="10">
        <f t="shared" si="18"/>
        <v>16800</v>
      </c>
      <c r="AJ78" s="11">
        <f t="shared" si="23"/>
        <v>70</v>
      </c>
      <c r="AK78" s="10">
        <v>70</v>
      </c>
      <c r="AL78" s="11">
        <f t="shared" ref="AL78" si="44">ROUND(AM78,0)</f>
        <v>450</v>
      </c>
      <c r="AM78" s="10">
        <v>450</v>
      </c>
      <c r="AN78" s="11">
        <f t="shared" ref="AN78" si="45">ROUND(AO78,0)</f>
        <v>450</v>
      </c>
      <c r="AO78" s="10">
        <v>450</v>
      </c>
      <c r="AP78" s="56">
        <f t="shared" si="29"/>
        <v>2</v>
      </c>
      <c r="AR78" s="11">
        <f ca="1">IFERROR(OFFSET(ITEM_RES!$A$1,MATCH(AS78,ITEM_RES!$J:$J,0)-1,0),0)</f>
        <v>211010501</v>
      </c>
      <c r="AS78" s="10" t="s">
        <v>447</v>
      </c>
      <c r="AT78" s="11">
        <v>2250</v>
      </c>
      <c r="AW78" s="11">
        <f ca="1">IFERROR(OFFSET(ITEM_RES!$A$1,MATCH(AX78,ITEM_RES!$J:$J,0)-1,0),0)</f>
        <v>211020901</v>
      </c>
      <c r="AX78" s="10" t="s">
        <v>467</v>
      </c>
      <c r="AY78" s="11">
        <v>2250</v>
      </c>
      <c r="BB78" s="11">
        <f ca="1">IFERROR(OFFSET(ITEM_RES!$A$1,MATCH(BC78,ITEM_RES!$J:$J,0)-1,0),0)</f>
        <v>0</v>
      </c>
      <c r="BG78" s="11">
        <f ca="1">IFERROR(OFFSET(ITEM_RES!$A$1,MATCH(BH78,ITEM_RES!$J:$J,0)-1,0),0)</f>
        <v>0</v>
      </c>
      <c r="BL78" s="11">
        <f ca="1">IFERROR(OFFSET(ITEM_RES!$A$1,MATCH(BM78,ITEM_RES!$J:$J,0)-1,0),0)</f>
        <v>0</v>
      </c>
      <c r="BN78" s="11">
        <f t="shared" si="4"/>
        <v>0</v>
      </c>
    </row>
    <row r="79" spans="1:67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459</v>
      </c>
      <c r="L79" s="9" t="s">
        <v>979</v>
      </c>
      <c r="M79" s="9" t="s">
        <v>1000</v>
      </c>
      <c r="N79" s="9">
        <v>1</v>
      </c>
      <c r="O79" s="9">
        <v>15</v>
      </c>
      <c r="T79" s="9" t="s">
        <v>734</v>
      </c>
      <c r="W79" s="9">
        <f ca="1">IFERROR(OFFSET(ITEM_RES!$A$5,MATCH(BUILDING!V79,ITEM_RES!$J$5:$J$226,0)-1,0),0)</f>
        <v>0</v>
      </c>
      <c r="Y79" s="85" t="s">
        <v>569</v>
      </c>
      <c r="Z79" s="9">
        <f ca="1">IFERROR(OFFSET(ITEM_RES!$A$5,MATCH(BUILDING!Y79,ITEM_RES!$J$5:$J$226,0)-1,0),0)</f>
        <v>211020101</v>
      </c>
      <c r="AB79" s="9" t="s">
        <v>539</v>
      </c>
      <c r="AC79" s="9">
        <v>15</v>
      </c>
      <c r="AE79" s="9">
        <v>44000</v>
      </c>
      <c r="AG79" s="56">
        <f t="shared" si="26"/>
        <v>11550</v>
      </c>
      <c r="AH79" s="10">
        <f t="shared" si="18"/>
        <v>21000</v>
      </c>
      <c r="AJ79" s="11">
        <f t="shared" si="23"/>
        <v>75</v>
      </c>
      <c r="AK79" s="10">
        <v>75</v>
      </c>
      <c r="AL79" s="11">
        <f t="shared" ref="AL79" si="46">ROUND(AM79,0)</f>
        <v>550</v>
      </c>
      <c r="AM79" s="10">
        <v>550</v>
      </c>
      <c r="AN79" s="11">
        <f t="shared" ref="AN79" si="47">ROUND(AO79,0)</f>
        <v>550</v>
      </c>
      <c r="AO79" s="10">
        <v>550</v>
      </c>
      <c r="AP79" s="56">
        <f t="shared" si="29"/>
        <v>2</v>
      </c>
      <c r="AR79" s="11">
        <f ca="1">IFERROR(OFFSET(ITEM_RES!$A$1,MATCH(AS79,ITEM_RES!$J:$J,0)-1,0),0)</f>
        <v>211010501</v>
      </c>
      <c r="AS79" s="10" t="s">
        <v>447</v>
      </c>
      <c r="AT79" s="11">
        <v>2750</v>
      </c>
      <c r="AW79" s="11">
        <f ca="1">IFERROR(OFFSET(ITEM_RES!$A$1,MATCH(AX79,ITEM_RES!$J:$J,0)-1,0),0)</f>
        <v>211020901</v>
      </c>
      <c r="AX79" s="10" t="s">
        <v>467</v>
      </c>
      <c r="AY79" s="11">
        <v>2750</v>
      </c>
      <c r="BB79" s="11">
        <f ca="1">IFERROR(OFFSET(ITEM_RES!$A$1,MATCH(BC79,ITEM_RES!$J:$J,0)-1,0),0)</f>
        <v>0</v>
      </c>
      <c r="BG79" s="11">
        <f ca="1">IFERROR(OFFSET(ITEM_RES!$A$1,MATCH(BH79,ITEM_RES!$J:$J,0)-1,0),0)</f>
        <v>0</v>
      </c>
      <c r="BL79" s="11">
        <f ca="1">IFERROR(OFFSET(ITEM_RES!$A$1,MATCH(BM79,ITEM_RES!$J:$J,0)-1,0),0)</f>
        <v>0</v>
      </c>
      <c r="BN79" s="11">
        <f t="shared" si="4"/>
        <v>0</v>
      </c>
    </row>
    <row r="80" spans="1:67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459</v>
      </c>
      <c r="L80" s="9" t="s">
        <v>979</v>
      </c>
      <c r="M80" s="9" t="s">
        <v>1000</v>
      </c>
      <c r="N80" s="9">
        <v>0</v>
      </c>
      <c r="O80" s="9">
        <v>15</v>
      </c>
      <c r="T80" s="9" t="s">
        <v>734</v>
      </c>
      <c r="W80" s="9">
        <f ca="1">IFERROR(OFFSET(ITEM_RES!$A$5,MATCH(BUILDING!V80,ITEM_RES!$J$5:$J$226,0)-1,0),0)</f>
        <v>0</v>
      </c>
      <c r="Y80" s="85" t="s">
        <v>569</v>
      </c>
      <c r="Z80" s="9">
        <f ca="1">IFERROR(OFFSET(ITEM_RES!$A$5,MATCH(BUILDING!Y80,ITEM_RES!$J$5:$J$226,0)-1,0),0)</f>
        <v>211020101</v>
      </c>
      <c r="AB80" s="9" t="s">
        <v>539</v>
      </c>
      <c r="AC80" s="9">
        <v>16</v>
      </c>
      <c r="AE80" s="9">
        <v>56000</v>
      </c>
      <c r="AG80" s="56">
        <f t="shared" si="26"/>
        <v>14700</v>
      </c>
      <c r="AH80" s="10">
        <f t="shared" si="18"/>
        <v>26250</v>
      </c>
      <c r="AJ80" s="11">
        <f t="shared" si="23"/>
        <v>80</v>
      </c>
      <c r="AK80" s="10">
        <v>80</v>
      </c>
      <c r="AL80" s="11">
        <f t="shared" ref="AL80" si="48">ROUND(AM80,0)</f>
        <v>700</v>
      </c>
      <c r="AM80" s="10">
        <v>700</v>
      </c>
      <c r="AN80" s="11">
        <f t="shared" ref="AN80" si="49">ROUND(AO80,0)</f>
        <v>700</v>
      </c>
      <c r="AO80" s="10">
        <v>700</v>
      </c>
      <c r="AP80" s="56">
        <f t="shared" si="29"/>
        <v>2</v>
      </c>
      <c r="AR80" s="11">
        <f ca="1">IFERROR(OFFSET(ITEM_RES!$A$1,MATCH(AS80,ITEM_RES!$J:$J,0)-1,0),0)</f>
        <v>211010501</v>
      </c>
      <c r="AS80" s="10" t="s">
        <v>447</v>
      </c>
      <c r="AT80" s="11">
        <v>3500</v>
      </c>
      <c r="AW80" s="11">
        <f ca="1">IFERROR(OFFSET(ITEM_RES!$A$1,MATCH(AX80,ITEM_RES!$J:$J,0)-1,0),0)</f>
        <v>211020901</v>
      </c>
      <c r="AX80" s="10" t="s">
        <v>467</v>
      </c>
      <c r="AY80" s="11">
        <v>3500</v>
      </c>
      <c r="BB80" s="11">
        <f ca="1">IFERROR(OFFSET(ITEM_RES!$A$1,MATCH(BC80,ITEM_RES!$J:$J,0)-1,0),0)</f>
        <v>0</v>
      </c>
      <c r="BG80" s="11">
        <f ca="1">IFERROR(OFFSET(ITEM_RES!$A$1,MATCH(BH80,ITEM_RES!$J:$J,0)-1,0),0)</f>
        <v>0</v>
      </c>
      <c r="BL80" s="11">
        <f ca="1">IFERROR(OFFSET(ITEM_RES!$A$1,MATCH(BM80,ITEM_RES!$J:$J,0)-1,0),0)</f>
        <v>0</v>
      </c>
      <c r="BN80" s="11">
        <f t="shared" si="4"/>
        <v>0</v>
      </c>
    </row>
    <row r="81" spans="1:67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459</v>
      </c>
      <c r="L81" s="9" t="s">
        <v>979</v>
      </c>
      <c r="M81" s="9" t="s">
        <v>1000</v>
      </c>
      <c r="N81" s="9">
        <v>0</v>
      </c>
      <c r="O81" s="9">
        <v>15</v>
      </c>
      <c r="T81" s="9" t="s">
        <v>734</v>
      </c>
      <c r="W81" s="9">
        <f ca="1">IFERROR(OFFSET(ITEM_RES!$A$5,MATCH(BUILDING!V81,ITEM_RES!$J$5:$J$226,0)-1,0),0)</f>
        <v>0</v>
      </c>
      <c r="Y81" s="85" t="s">
        <v>569</v>
      </c>
      <c r="Z81" s="9">
        <f ca="1">IFERROR(OFFSET(ITEM_RES!$A$5,MATCH(BUILDING!Y81,ITEM_RES!$J$5:$J$226,0)-1,0),0)</f>
        <v>211020101</v>
      </c>
      <c r="AB81" s="9" t="s">
        <v>539</v>
      </c>
      <c r="AC81" s="9">
        <v>17</v>
      </c>
      <c r="AE81" s="9">
        <v>68000</v>
      </c>
      <c r="AG81" s="56">
        <f t="shared" si="26"/>
        <v>17850</v>
      </c>
      <c r="AH81" s="10">
        <f t="shared" si="18"/>
        <v>32550</v>
      </c>
      <c r="AJ81" s="11">
        <f t="shared" si="23"/>
        <v>85</v>
      </c>
      <c r="AK81" s="10">
        <v>85</v>
      </c>
      <c r="AL81" s="11">
        <f t="shared" ref="AL81" si="50">ROUND(AM81,0)</f>
        <v>850</v>
      </c>
      <c r="AM81" s="10">
        <v>850</v>
      </c>
      <c r="AN81" s="11">
        <f t="shared" ref="AN81" si="51">ROUND(AO81,0)</f>
        <v>850</v>
      </c>
      <c r="AO81" s="10">
        <v>850</v>
      </c>
      <c r="AP81" s="56">
        <f t="shared" si="29"/>
        <v>2</v>
      </c>
      <c r="AR81" s="11">
        <f ca="1">IFERROR(OFFSET(ITEM_RES!$A$1,MATCH(AS81,ITEM_RES!$J:$J,0)-1,0),0)</f>
        <v>211010501</v>
      </c>
      <c r="AS81" s="10" t="s">
        <v>447</v>
      </c>
      <c r="AT81" s="11">
        <v>4250</v>
      </c>
      <c r="AW81" s="11">
        <f ca="1">IFERROR(OFFSET(ITEM_RES!$A$1,MATCH(AX81,ITEM_RES!$J:$J,0)-1,0),0)</f>
        <v>211020901</v>
      </c>
      <c r="AX81" s="10" t="s">
        <v>467</v>
      </c>
      <c r="AY81" s="11">
        <v>4250</v>
      </c>
      <c r="BB81" s="11">
        <f ca="1">IFERROR(OFFSET(ITEM_RES!$A$1,MATCH(BC81,ITEM_RES!$J:$J,0)-1,0),0)</f>
        <v>0</v>
      </c>
      <c r="BG81" s="11">
        <f ca="1">IFERROR(OFFSET(ITEM_RES!$A$1,MATCH(BH81,ITEM_RES!$J:$J,0)-1,0),0)</f>
        <v>0</v>
      </c>
      <c r="BL81" s="11">
        <f ca="1">IFERROR(OFFSET(ITEM_RES!$A$1,MATCH(BM81,ITEM_RES!$J:$J,0)-1,0),0)</f>
        <v>0</v>
      </c>
      <c r="BN81" s="11">
        <f t="shared" si="4"/>
        <v>0</v>
      </c>
    </row>
    <row r="82" spans="1:67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459</v>
      </c>
      <c r="L82" s="9" t="s">
        <v>979</v>
      </c>
      <c r="M82" s="9" t="s">
        <v>1000</v>
      </c>
      <c r="N82" s="9">
        <v>0</v>
      </c>
      <c r="O82" s="9">
        <v>15</v>
      </c>
      <c r="T82" s="9" t="s">
        <v>734</v>
      </c>
      <c r="W82" s="9">
        <f ca="1">IFERROR(OFFSET(ITEM_RES!$A$5,MATCH(BUILDING!V82,ITEM_RES!$J$5:$J$226,0)-1,0),0)</f>
        <v>0</v>
      </c>
      <c r="Y82" s="85" t="s">
        <v>569</v>
      </c>
      <c r="Z82" s="9">
        <f ca="1">IFERROR(OFFSET(ITEM_RES!$A$5,MATCH(BUILDING!Y82,ITEM_RES!$J$5:$J$226,0)-1,0),0)</f>
        <v>211020101</v>
      </c>
      <c r="AB82" s="9" t="s">
        <v>539</v>
      </c>
      <c r="AC82" s="9">
        <v>18</v>
      </c>
      <c r="AE82" s="9">
        <v>84000</v>
      </c>
      <c r="AG82" s="56">
        <f t="shared" si="26"/>
        <v>22050</v>
      </c>
      <c r="AH82" s="10">
        <f t="shared" si="18"/>
        <v>39900</v>
      </c>
      <c r="AJ82" s="11">
        <f t="shared" si="23"/>
        <v>90</v>
      </c>
      <c r="AK82" s="10">
        <v>90</v>
      </c>
      <c r="AL82" s="11">
        <f t="shared" ref="AL82" si="52">ROUND(AM82,0)</f>
        <v>1050</v>
      </c>
      <c r="AM82" s="10">
        <v>1050</v>
      </c>
      <c r="AN82" s="11">
        <f t="shared" ref="AN82" si="53">ROUND(AO82,0)</f>
        <v>1050</v>
      </c>
      <c r="AO82" s="10">
        <v>1050</v>
      </c>
      <c r="AP82" s="56">
        <f t="shared" si="29"/>
        <v>2</v>
      </c>
      <c r="AR82" s="11">
        <f ca="1">IFERROR(OFFSET(ITEM_RES!$A$1,MATCH(AS82,ITEM_RES!$J:$J,0)-1,0),0)</f>
        <v>211010501</v>
      </c>
      <c r="AS82" s="10" t="s">
        <v>447</v>
      </c>
      <c r="AT82" s="11">
        <v>5250</v>
      </c>
      <c r="AW82" s="11">
        <f ca="1">IFERROR(OFFSET(ITEM_RES!$A$1,MATCH(AX82,ITEM_RES!$J:$J,0)-1,0),0)</f>
        <v>211020901</v>
      </c>
      <c r="AX82" s="10" t="s">
        <v>467</v>
      </c>
      <c r="AY82" s="11">
        <v>5250</v>
      </c>
      <c r="BB82" s="11">
        <f ca="1">IFERROR(OFFSET(ITEM_RES!$A$1,MATCH(BC82,ITEM_RES!$J:$J,0)-1,0),0)</f>
        <v>0</v>
      </c>
      <c r="BG82" s="11">
        <f ca="1">IFERROR(OFFSET(ITEM_RES!$A$1,MATCH(BH82,ITEM_RES!$J:$J,0)-1,0),0)</f>
        <v>0</v>
      </c>
      <c r="BL82" s="11">
        <f ca="1">IFERROR(OFFSET(ITEM_RES!$A$1,MATCH(BM82,ITEM_RES!$J:$J,0)-1,0),0)</f>
        <v>0</v>
      </c>
      <c r="BN82" s="11">
        <f t="shared" si="4"/>
        <v>0</v>
      </c>
    </row>
    <row r="83" spans="1:67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459</v>
      </c>
      <c r="L83" s="9" t="s">
        <v>979</v>
      </c>
      <c r="M83" s="9" t="s">
        <v>1000</v>
      </c>
      <c r="N83" s="9">
        <v>0</v>
      </c>
      <c r="O83" s="9">
        <v>15</v>
      </c>
      <c r="T83" s="9" t="s">
        <v>734</v>
      </c>
      <c r="W83" s="9">
        <f ca="1">IFERROR(OFFSET(ITEM_RES!$A$5,MATCH(BUILDING!V83,ITEM_RES!$J$5:$J$226,0)-1,0),0)</f>
        <v>0</v>
      </c>
      <c r="Y83" s="85" t="s">
        <v>569</v>
      </c>
      <c r="Z83" s="9">
        <f ca="1">IFERROR(OFFSET(ITEM_RES!$A$5,MATCH(BUILDING!Y83,ITEM_RES!$J$5:$J$226,0)-1,0),0)</f>
        <v>211020101</v>
      </c>
      <c r="AB83" s="9" t="s">
        <v>539</v>
      </c>
      <c r="AC83" s="9">
        <v>19</v>
      </c>
      <c r="AE83" s="9">
        <v>100000</v>
      </c>
      <c r="AG83" s="56">
        <f t="shared" si="26"/>
        <v>26250</v>
      </c>
      <c r="AH83" s="10">
        <f t="shared" si="18"/>
        <v>48300</v>
      </c>
      <c r="AJ83" s="11">
        <f t="shared" si="23"/>
        <v>95</v>
      </c>
      <c r="AK83" s="10">
        <v>95</v>
      </c>
      <c r="AL83" s="11">
        <f t="shared" ref="AL83" si="54">ROUND(AM83,0)</f>
        <v>1250</v>
      </c>
      <c r="AM83" s="10">
        <v>1250</v>
      </c>
      <c r="AN83" s="11">
        <f t="shared" ref="AN83" si="55">ROUND(AO83,0)</f>
        <v>1250</v>
      </c>
      <c r="AO83" s="10">
        <v>1250</v>
      </c>
      <c r="AP83" s="56">
        <f t="shared" si="29"/>
        <v>2</v>
      </c>
      <c r="AR83" s="11">
        <f ca="1">IFERROR(OFFSET(ITEM_RES!$A$1,MATCH(AS83,ITEM_RES!$J:$J,0)-1,0),0)</f>
        <v>211010501</v>
      </c>
      <c r="AS83" s="10" t="s">
        <v>447</v>
      </c>
      <c r="AT83" s="11">
        <v>6250</v>
      </c>
      <c r="AW83" s="11">
        <f ca="1">IFERROR(OFFSET(ITEM_RES!$A$1,MATCH(AX83,ITEM_RES!$J:$J,0)-1,0),0)</f>
        <v>211020901</v>
      </c>
      <c r="AX83" s="10" t="s">
        <v>467</v>
      </c>
      <c r="AY83" s="11">
        <v>6250</v>
      </c>
      <c r="BB83" s="11">
        <f ca="1">IFERROR(OFFSET(ITEM_RES!$A$1,MATCH(BC83,ITEM_RES!$J:$J,0)-1,0),0)</f>
        <v>0</v>
      </c>
      <c r="BG83" s="11">
        <f ca="1">IFERROR(OFFSET(ITEM_RES!$A$1,MATCH(BH83,ITEM_RES!$J:$J,0)-1,0),0)</f>
        <v>0</v>
      </c>
      <c r="BL83" s="11">
        <f ca="1">IFERROR(OFFSET(ITEM_RES!$A$1,MATCH(BM83,ITEM_RES!$J:$J,0)-1,0),0)</f>
        <v>0</v>
      </c>
      <c r="BN83" s="11">
        <f t="shared" si="4"/>
        <v>0</v>
      </c>
    </row>
    <row r="84" spans="1:67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459</v>
      </c>
      <c r="L84" s="9" t="s">
        <v>979</v>
      </c>
      <c r="M84" s="9" t="s">
        <v>1000</v>
      </c>
      <c r="N84" s="9">
        <v>0</v>
      </c>
      <c r="O84" s="9">
        <v>15</v>
      </c>
      <c r="T84" s="9" t="s">
        <v>734</v>
      </c>
      <c r="W84" s="9">
        <f ca="1">IFERROR(OFFSET(ITEM_RES!$A$5,MATCH(BUILDING!V84,ITEM_RES!$J$5:$J$226,0)-1,0),0)</f>
        <v>0</v>
      </c>
      <c r="Y84" s="85" t="s">
        <v>569</v>
      </c>
      <c r="Z84" s="9">
        <f ca="1">IFERROR(OFFSET(ITEM_RES!$A$5,MATCH(BUILDING!Y84,ITEM_RES!$J$5:$J$226,0)-1,0),0)</f>
        <v>211020101</v>
      </c>
      <c r="AB84" s="9" t="s">
        <v>539</v>
      </c>
      <c r="AC84" s="9">
        <v>20</v>
      </c>
      <c r="AE84" s="9">
        <v>120000</v>
      </c>
      <c r="AG84" s="56">
        <f t="shared" si="26"/>
        <v>31500</v>
      </c>
      <c r="AH84" s="10">
        <f t="shared" si="18"/>
        <v>57750</v>
      </c>
      <c r="AJ84" s="11">
        <f t="shared" si="23"/>
        <v>100</v>
      </c>
      <c r="AK84" s="10">
        <v>100</v>
      </c>
      <c r="AL84" s="11">
        <f t="shared" ref="AL84" si="56">ROUND(AM84,0)</f>
        <v>1500</v>
      </c>
      <c r="AM84" s="10">
        <v>1500</v>
      </c>
      <c r="AN84" s="11">
        <f t="shared" ref="AN84" si="57">ROUND(AO84,0)</f>
        <v>1500</v>
      </c>
      <c r="AO84" s="10">
        <v>1500</v>
      </c>
      <c r="AP84" s="56">
        <f t="shared" si="29"/>
        <v>2</v>
      </c>
      <c r="AR84" s="11">
        <f ca="1">IFERROR(OFFSET(ITEM_RES!$A$1,MATCH(AS84,ITEM_RES!$J:$J,0)-1,0),0)</f>
        <v>211010501</v>
      </c>
      <c r="AS84" s="10" t="s">
        <v>445</v>
      </c>
      <c r="AT84" s="11">
        <v>7500</v>
      </c>
      <c r="AW84" s="11">
        <f ca="1">IFERROR(OFFSET(ITEM_RES!$A$1,MATCH(AX84,ITEM_RES!$J:$J,0)-1,0),0)</f>
        <v>211020901</v>
      </c>
      <c r="AX84" s="10" t="s">
        <v>467</v>
      </c>
      <c r="AY84" s="11">
        <v>7500</v>
      </c>
      <c r="BB84" s="11">
        <f ca="1">IFERROR(OFFSET(ITEM_RES!$A$1,MATCH(BC84,ITEM_RES!$J:$J,0)-1,0),0)</f>
        <v>0</v>
      </c>
      <c r="BG84" s="11">
        <f ca="1">IFERROR(OFFSET(ITEM_RES!$A$1,MATCH(BH84,ITEM_RES!$J:$J,0)-1,0),0)</f>
        <v>0</v>
      </c>
      <c r="BL84" s="11">
        <f ca="1">IFERROR(OFFSET(ITEM_RES!$A$1,MATCH(BM84,ITEM_RES!$J:$J,0)-1,0),0)</f>
        <v>0</v>
      </c>
      <c r="BN84" s="11">
        <f t="shared" si="4"/>
        <v>0</v>
      </c>
    </row>
    <row r="85" spans="1:67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67" t="s">
        <v>980</v>
      </c>
      <c r="M85" s="67" t="s">
        <v>1001</v>
      </c>
      <c r="N85" s="16">
        <v>1</v>
      </c>
      <c r="O85" s="16">
        <v>15</v>
      </c>
      <c r="P85" s="16" t="s">
        <v>823</v>
      </c>
      <c r="Q85" s="17"/>
      <c r="R85" s="17"/>
      <c r="S85" s="18"/>
      <c r="T85" s="16" t="s">
        <v>756</v>
      </c>
      <c r="U85" s="79"/>
      <c r="V85" s="87" t="s">
        <v>571</v>
      </c>
      <c r="W85" s="16">
        <f ca="1">IFERROR(OFFSET(ITEM_RES!$A$5,MATCH(BUILDING!V85,ITEM_RES!$J$5:$J$226,0)-1,0),0)</f>
        <v>211021101</v>
      </c>
      <c r="X85" s="18">
        <v>100</v>
      </c>
      <c r="Y85" s="87" t="s">
        <v>570</v>
      </c>
      <c r="Z85" s="16">
        <f ca="1">IFERROR(OFFSET(ITEM_RES!$A$5,MATCH(BUILDING!Y85,ITEM_RES!$J$5:$J$226,0)-1,0),0)</f>
        <v>211010401</v>
      </c>
      <c r="AA85" s="79"/>
      <c r="AB85" s="16" t="s">
        <v>540</v>
      </c>
      <c r="AC85" s="16">
        <v>1</v>
      </c>
      <c r="AD85" s="79"/>
      <c r="AE85" s="16">
        <v>0</v>
      </c>
      <c r="AF85" s="79"/>
      <c r="AG85" s="57">
        <f t="shared" si="26"/>
        <v>605</v>
      </c>
      <c r="AH85" s="17">
        <f>AG85</f>
        <v>605</v>
      </c>
      <c r="AI85" s="79"/>
      <c r="AJ85" s="18">
        <f t="shared" si="23"/>
        <v>5</v>
      </c>
      <c r="AK85" s="17">
        <v>5</v>
      </c>
      <c r="AL85" s="18">
        <f t="shared" si="6"/>
        <v>5</v>
      </c>
      <c r="AM85" s="17">
        <v>5</v>
      </c>
      <c r="AN85" s="18">
        <f t="shared" si="6"/>
        <v>5</v>
      </c>
      <c r="AO85" s="17">
        <v>5</v>
      </c>
      <c r="AP85" s="57">
        <f t="shared" si="29"/>
        <v>3</v>
      </c>
      <c r="AQ85" s="18"/>
      <c r="AR85" s="18">
        <f ca="1">IFERROR(OFFSET(ITEM_RES!$A$1,MATCH(AS85,ITEM_RES!$J:$J,0)-1,0),0)</f>
        <v>211020201</v>
      </c>
      <c r="AS85" s="17" t="s">
        <v>449</v>
      </c>
      <c r="AT85" s="18">
        <v>25</v>
      </c>
      <c r="AU85" s="17"/>
      <c r="AV85" s="18"/>
      <c r="AW85" s="18">
        <f ca="1">IFERROR(OFFSET(ITEM_RES!$A$1,MATCH(AX85,ITEM_RES!$J:$J,0)-1,0),0)</f>
        <v>211020401</v>
      </c>
      <c r="AX85" s="17" t="s">
        <v>455</v>
      </c>
      <c r="AY85" s="18">
        <v>25</v>
      </c>
      <c r="AZ85" s="17"/>
      <c r="BA85" s="18"/>
      <c r="BB85" s="18">
        <f ca="1">IFERROR(OFFSET(ITEM_RES!$A$1,MATCH(BC85,ITEM_RES!$J:$J,0)-1,0),0)</f>
        <v>213010101</v>
      </c>
      <c r="BC85" s="17" t="s">
        <v>477</v>
      </c>
      <c r="BD85" s="18">
        <v>1</v>
      </c>
      <c r="BE85" s="17"/>
      <c r="BF85" s="18"/>
      <c r="BG85" s="18">
        <f ca="1">IFERROR(OFFSET(ITEM_RES!$A$1,MATCH(BH85,ITEM_RES!$J:$J,0)-1,0),0)</f>
        <v>0</v>
      </c>
      <c r="BH85" s="17"/>
      <c r="BI85" s="18"/>
      <c r="BJ85" s="17"/>
      <c r="BK85" s="18"/>
      <c r="BL85" s="18">
        <f ca="1">IFERROR(OFFSET(ITEM_RES!$A$1,MATCH(BM85,ITEM_RES!$J:$J,0)-1,0),0)</f>
        <v>0</v>
      </c>
      <c r="BM85" s="17"/>
      <c r="BN85" s="18">
        <f t="shared" si="4"/>
        <v>0</v>
      </c>
      <c r="BO85" s="17"/>
    </row>
    <row r="86" spans="1:67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L86" s="9" t="s">
        <v>980</v>
      </c>
      <c r="M86" s="9" t="s">
        <v>1001</v>
      </c>
      <c r="N86" s="9">
        <v>1</v>
      </c>
      <c r="O86" s="9">
        <v>15</v>
      </c>
      <c r="P86" s="9" t="s">
        <v>823</v>
      </c>
      <c r="T86" s="9" t="s">
        <v>756</v>
      </c>
      <c r="V86" s="85" t="s">
        <v>571</v>
      </c>
      <c r="W86" s="9">
        <f ca="1">IFERROR(OFFSET(ITEM_RES!$A$5,MATCH(BUILDING!V86,ITEM_RES!$J$5:$J$226,0)-1,0),0)</f>
        <v>211021101</v>
      </c>
      <c r="X86" s="11">
        <v>100</v>
      </c>
      <c r="Y86" s="85" t="s">
        <v>570</v>
      </c>
      <c r="Z86" s="9">
        <f ca="1">IFERROR(OFFSET(ITEM_RES!$A$5,MATCH(BUILDING!Y86,ITEM_RES!$J$5:$J$226,0)-1,0),0)</f>
        <v>211010401</v>
      </c>
      <c r="AB86" s="9" t="s">
        <v>540</v>
      </c>
      <c r="AC86" s="9">
        <v>2</v>
      </c>
      <c r="AE86" s="9">
        <v>800</v>
      </c>
      <c r="AG86" s="56">
        <f t="shared" si="26"/>
        <v>210</v>
      </c>
      <c r="AH86" s="10">
        <f>AG85+AG86</f>
        <v>815</v>
      </c>
      <c r="AJ86" s="11">
        <f t="shared" si="23"/>
        <v>10</v>
      </c>
      <c r="AK86" s="10">
        <v>10</v>
      </c>
      <c r="AL86" s="11">
        <f t="shared" si="6"/>
        <v>10</v>
      </c>
      <c r="AM86" s="10">
        <v>10</v>
      </c>
      <c r="AN86" s="11">
        <f t="shared" si="6"/>
        <v>10</v>
      </c>
      <c r="AO86" s="10">
        <v>10</v>
      </c>
      <c r="AP86" s="56">
        <f t="shared" si="29"/>
        <v>2</v>
      </c>
      <c r="AR86" s="11">
        <f ca="1">IFERROR(OFFSET(ITEM_RES!$A$1,MATCH(AS86,ITEM_RES!$J:$J,0)-1,0),0)</f>
        <v>211020201</v>
      </c>
      <c r="AS86" s="10" t="s">
        <v>450</v>
      </c>
      <c r="AT86" s="11">
        <v>50</v>
      </c>
      <c r="AW86" s="11">
        <f ca="1">IFERROR(OFFSET(ITEM_RES!$A$1,MATCH(AX86,ITEM_RES!$J:$J,0)-1,0),0)</f>
        <v>211020401</v>
      </c>
      <c r="AX86" s="10" t="s">
        <v>455</v>
      </c>
      <c r="AY86" s="11">
        <v>50</v>
      </c>
      <c r="BB86" s="11">
        <f ca="1">IFERROR(OFFSET(ITEM_RES!$A$1,MATCH(BC86,ITEM_RES!$J:$J,0)-1,0),0)</f>
        <v>0</v>
      </c>
      <c r="BG86" s="11">
        <f ca="1">IFERROR(OFFSET(ITEM_RES!$A$1,MATCH(BH86,ITEM_RES!$J:$J,0)-1,0),0)</f>
        <v>0</v>
      </c>
      <c r="BL86" s="11">
        <f ca="1">IFERROR(OFFSET(ITEM_RES!$A$1,MATCH(BM86,ITEM_RES!$J:$J,0)-1,0),0)</f>
        <v>0</v>
      </c>
      <c r="BN86" s="11">
        <f t="shared" si="4"/>
        <v>0</v>
      </c>
    </row>
    <row r="87" spans="1:67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L87" s="9" t="s">
        <v>980</v>
      </c>
      <c r="M87" s="9" t="s">
        <v>1001</v>
      </c>
      <c r="N87" s="9">
        <v>1</v>
      </c>
      <c r="O87" s="9">
        <v>15</v>
      </c>
      <c r="P87" s="9" t="s">
        <v>823</v>
      </c>
      <c r="T87" s="9" t="s">
        <v>756</v>
      </c>
      <c r="V87" s="85" t="s">
        <v>571</v>
      </c>
      <c r="W87" s="9">
        <f ca="1">IFERROR(OFFSET(ITEM_RES!$A$5,MATCH(BUILDING!V87,ITEM_RES!$J$5:$J$226,0)-1,0),0)</f>
        <v>211021101</v>
      </c>
      <c r="X87" s="11">
        <v>100</v>
      </c>
      <c r="Y87" s="85" t="s">
        <v>570</v>
      </c>
      <c r="Z87" s="9">
        <f ca="1">IFERROR(OFFSET(ITEM_RES!$A$5,MATCH(BUILDING!Y87,ITEM_RES!$J$5:$J$226,0)-1,0),0)</f>
        <v>211010401</v>
      </c>
      <c r="AB87" s="9" t="s">
        <v>540</v>
      </c>
      <c r="AC87" s="9">
        <v>3</v>
      </c>
      <c r="AE87" s="9">
        <v>1200</v>
      </c>
      <c r="AG87" s="56">
        <f t="shared" si="26"/>
        <v>315</v>
      </c>
      <c r="AH87" s="10">
        <f t="shared" ref="AH87:AH104" si="58">AG86+AG87</f>
        <v>525</v>
      </c>
      <c r="AJ87" s="11">
        <f t="shared" si="23"/>
        <v>15</v>
      </c>
      <c r="AK87" s="10">
        <v>15</v>
      </c>
      <c r="AL87" s="11">
        <f t="shared" si="6"/>
        <v>15</v>
      </c>
      <c r="AM87" s="10">
        <v>15</v>
      </c>
      <c r="AN87" s="11">
        <f t="shared" si="6"/>
        <v>15</v>
      </c>
      <c r="AO87" s="10">
        <v>15</v>
      </c>
      <c r="AP87" s="56">
        <f t="shared" si="29"/>
        <v>2</v>
      </c>
      <c r="AR87" s="11">
        <f ca="1">IFERROR(OFFSET(ITEM_RES!$A$1,MATCH(AS87,ITEM_RES!$J:$J,0)-1,0),0)</f>
        <v>211020201</v>
      </c>
      <c r="AS87" s="10" t="s">
        <v>449</v>
      </c>
      <c r="AT87" s="11">
        <v>75</v>
      </c>
      <c r="AW87" s="11">
        <f ca="1">IFERROR(OFFSET(ITEM_RES!$A$1,MATCH(AX87,ITEM_RES!$J:$J,0)-1,0),0)</f>
        <v>211020401</v>
      </c>
      <c r="AX87" s="10" t="s">
        <v>455</v>
      </c>
      <c r="AY87" s="11">
        <v>75</v>
      </c>
      <c r="BB87" s="11">
        <f ca="1">IFERROR(OFFSET(ITEM_RES!$A$1,MATCH(BC87,ITEM_RES!$J:$J,0)-1,0),0)</f>
        <v>0</v>
      </c>
      <c r="BG87" s="11">
        <f ca="1">IFERROR(OFFSET(ITEM_RES!$A$1,MATCH(BH87,ITEM_RES!$J:$J,0)-1,0),0)</f>
        <v>0</v>
      </c>
      <c r="BL87" s="11">
        <f ca="1">IFERROR(OFFSET(ITEM_RES!$A$1,MATCH(BM87,ITEM_RES!$J:$J,0)-1,0),0)</f>
        <v>0</v>
      </c>
      <c r="BN87" s="11">
        <f t="shared" si="4"/>
        <v>0</v>
      </c>
    </row>
    <row r="88" spans="1:67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L88" s="9" t="s">
        <v>980</v>
      </c>
      <c r="M88" s="9" t="s">
        <v>1001</v>
      </c>
      <c r="N88" s="9">
        <v>1</v>
      </c>
      <c r="O88" s="9">
        <v>15</v>
      </c>
      <c r="P88" s="9" t="s">
        <v>823</v>
      </c>
      <c r="T88" s="9" t="s">
        <v>756</v>
      </c>
      <c r="V88" s="85" t="s">
        <v>571</v>
      </c>
      <c r="W88" s="9">
        <f ca="1">IFERROR(OFFSET(ITEM_RES!$A$5,MATCH(BUILDING!V88,ITEM_RES!$J$5:$J$226,0)-1,0),0)</f>
        <v>211021101</v>
      </c>
      <c r="X88" s="11">
        <v>100</v>
      </c>
      <c r="Y88" s="85" t="s">
        <v>570</v>
      </c>
      <c r="Z88" s="9">
        <f ca="1">IFERROR(OFFSET(ITEM_RES!$A$5,MATCH(BUILDING!Y88,ITEM_RES!$J$5:$J$226,0)-1,0),0)</f>
        <v>211010401</v>
      </c>
      <c r="AB88" s="9" t="s">
        <v>540</v>
      </c>
      <c r="AC88" s="9">
        <v>4</v>
      </c>
      <c r="AE88" s="9">
        <v>2000</v>
      </c>
      <c r="AG88" s="56">
        <f t="shared" si="26"/>
        <v>525</v>
      </c>
      <c r="AH88" s="10">
        <f t="shared" si="58"/>
        <v>840</v>
      </c>
      <c r="AJ88" s="11">
        <f t="shared" si="23"/>
        <v>20</v>
      </c>
      <c r="AK88" s="10">
        <v>20</v>
      </c>
      <c r="AL88" s="11">
        <f t="shared" si="6"/>
        <v>25</v>
      </c>
      <c r="AM88" s="10">
        <v>25</v>
      </c>
      <c r="AN88" s="11">
        <f t="shared" si="6"/>
        <v>25</v>
      </c>
      <c r="AO88" s="10">
        <v>25</v>
      </c>
      <c r="AP88" s="56">
        <f t="shared" si="29"/>
        <v>2</v>
      </c>
      <c r="AR88" s="11">
        <f ca="1">IFERROR(OFFSET(ITEM_RES!$A$1,MATCH(AS88,ITEM_RES!$J:$J,0)-1,0),0)</f>
        <v>211020201</v>
      </c>
      <c r="AS88" s="10" t="s">
        <v>450</v>
      </c>
      <c r="AT88" s="11">
        <v>125</v>
      </c>
      <c r="AW88" s="11">
        <f ca="1">IFERROR(OFFSET(ITEM_RES!$A$1,MATCH(AX88,ITEM_RES!$J:$J,0)-1,0),0)</f>
        <v>211020401</v>
      </c>
      <c r="AX88" s="10" t="s">
        <v>455</v>
      </c>
      <c r="AY88" s="11">
        <v>125</v>
      </c>
      <c r="BB88" s="11">
        <f ca="1">IFERROR(OFFSET(ITEM_RES!$A$1,MATCH(BC88,ITEM_RES!$J:$J,0)-1,0),0)</f>
        <v>0</v>
      </c>
      <c r="BG88" s="11">
        <f ca="1">IFERROR(OFFSET(ITEM_RES!$A$1,MATCH(BH88,ITEM_RES!$J:$J,0)-1,0),0)</f>
        <v>0</v>
      </c>
      <c r="BL88" s="11">
        <f ca="1">IFERROR(OFFSET(ITEM_RES!$A$1,MATCH(BM88,ITEM_RES!$J:$J,0)-1,0),0)</f>
        <v>0</v>
      </c>
      <c r="BN88" s="11">
        <f t="shared" si="4"/>
        <v>0</v>
      </c>
    </row>
    <row r="89" spans="1:67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L89" s="9" t="s">
        <v>980</v>
      </c>
      <c r="M89" s="9" t="s">
        <v>1001</v>
      </c>
      <c r="N89" s="9">
        <v>1</v>
      </c>
      <c r="O89" s="9">
        <v>15</v>
      </c>
      <c r="P89" s="9" t="s">
        <v>823</v>
      </c>
      <c r="T89" s="9" t="s">
        <v>756</v>
      </c>
      <c r="V89" s="85" t="s">
        <v>571</v>
      </c>
      <c r="W89" s="9">
        <f ca="1">IFERROR(OFFSET(ITEM_RES!$A$5,MATCH(BUILDING!V89,ITEM_RES!$J$5:$J$226,0)-1,0),0)</f>
        <v>211021101</v>
      </c>
      <c r="X89" s="11">
        <v>100</v>
      </c>
      <c r="Y89" s="85" t="s">
        <v>570</v>
      </c>
      <c r="Z89" s="9">
        <f ca="1">IFERROR(OFFSET(ITEM_RES!$A$5,MATCH(BUILDING!Y89,ITEM_RES!$J$5:$J$226,0)-1,0),0)</f>
        <v>211010401</v>
      </c>
      <c r="AB89" s="9" t="s">
        <v>540</v>
      </c>
      <c r="AC89" s="9">
        <v>5</v>
      </c>
      <c r="AE89" s="9">
        <v>3200</v>
      </c>
      <c r="AG89" s="56">
        <f t="shared" si="26"/>
        <v>840</v>
      </c>
      <c r="AH89" s="10">
        <f t="shared" si="58"/>
        <v>1365</v>
      </c>
      <c r="AJ89" s="11">
        <f t="shared" si="23"/>
        <v>25</v>
      </c>
      <c r="AK89" s="10">
        <v>25</v>
      </c>
      <c r="AL89" s="11">
        <f t="shared" si="6"/>
        <v>40</v>
      </c>
      <c r="AM89" s="10">
        <v>40</v>
      </c>
      <c r="AN89" s="11">
        <f t="shared" si="6"/>
        <v>40</v>
      </c>
      <c r="AO89" s="10">
        <v>40</v>
      </c>
      <c r="AP89" s="56">
        <f t="shared" si="29"/>
        <v>2</v>
      </c>
      <c r="AR89" s="11">
        <f ca="1">IFERROR(OFFSET(ITEM_RES!$A$1,MATCH(AS89,ITEM_RES!$J:$J,0)-1,0),0)</f>
        <v>211020201</v>
      </c>
      <c r="AS89" s="10" t="s">
        <v>449</v>
      </c>
      <c r="AT89" s="11">
        <v>200</v>
      </c>
      <c r="AW89" s="11">
        <f ca="1">IFERROR(OFFSET(ITEM_RES!$A$1,MATCH(AX89,ITEM_RES!$J:$J,0)-1,0),0)</f>
        <v>211020401</v>
      </c>
      <c r="AX89" s="10" t="s">
        <v>455</v>
      </c>
      <c r="AY89" s="11">
        <v>200</v>
      </c>
      <c r="BB89" s="11">
        <f ca="1">IFERROR(OFFSET(ITEM_RES!$A$1,MATCH(BC89,ITEM_RES!$J:$J,0)-1,0),0)</f>
        <v>0</v>
      </c>
      <c r="BG89" s="11">
        <f ca="1">IFERROR(OFFSET(ITEM_RES!$A$1,MATCH(BH89,ITEM_RES!$J:$J,0)-1,0),0)</f>
        <v>0</v>
      </c>
      <c r="BL89" s="11">
        <f ca="1">IFERROR(OFFSET(ITEM_RES!$A$1,MATCH(BM89,ITEM_RES!$J:$J,0)-1,0),0)</f>
        <v>0</v>
      </c>
      <c r="BN89" s="11">
        <f t="shared" ref="BN89:BN152" si="62">IF(BO89&lt;100,ROUND(BO89,1-LEN(ROUND(BO89,0))),ROUND(BO89,2-LEN(ROUND(BO89,0))))</f>
        <v>0</v>
      </c>
    </row>
    <row r="90" spans="1:67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L90" s="9" t="s">
        <v>980</v>
      </c>
      <c r="M90" s="9" t="s">
        <v>1001</v>
      </c>
      <c r="N90" s="9">
        <v>1</v>
      </c>
      <c r="O90" s="9">
        <v>15</v>
      </c>
      <c r="P90" s="9" t="s">
        <v>823</v>
      </c>
      <c r="T90" s="9" t="s">
        <v>756</v>
      </c>
      <c r="V90" s="85" t="s">
        <v>571</v>
      </c>
      <c r="W90" s="9">
        <f ca="1">IFERROR(OFFSET(ITEM_RES!$A$5,MATCH(BUILDING!V90,ITEM_RES!$J$5:$J$226,0)-1,0),0)</f>
        <v>211021101</v>
      </c>
      <c r="X90" s="11">
        <v>100</v>
      </c>
      <c r="Y90" s="85" t="s">
        <v>570</v>
      </c>
      <c r="Z90" s="9">
        <f ca="1">IFERROR(OFFSET(ITEM_RES!$A$5,MATCH(BUILDING!Y90,ITEM_RES!$J$5:$J$226,0)-1,0),0)</f>
        <v>211010401</v>
      </c>
      <c r="AB90" s="9" t="s">
        <v>540</v>
      </c>
      <c r="AC90" s="9">
        <v>6</v>
      </c>
      <c r="AE90" s="9">
        <v>4000</v>
      </c>
      <c r="AG90" s="56">
        <f t="shared" si="26"/>
        <v>1050</v>
      </c>
      <c r="AH90" s="10">
        <f t="shared" si="58"/>
        <v>1890</v>
      </c>
      <c r="AJ90" s="11">
        <f t="shared" si="23"/>
        <v>30</v>
      </c>
      <c r="AK90" s="10">
        <v>30</v>
      </c>
      <c r="AL90" s="11">
        <f t="shared" ref="AL90:AN153" si="63">ROUND(AM90,0)</f>
        <v>50</v>
      </c>
      <c r="AM90" s="10">
        <v>50</v>
      </c>
      <c r="AN90" s="11">
        <f t="shared" si="63"/>
        <v>50</v>
      </c>
      <c r="AO90" s="10">
        <v>50</v>
      </c>
      <c r="AP90" s="56">
        <f t="shared" si="29"/>
        <v>2</v>
      </c>
      <c r="AR90" s="11">
        <f ca="1">IFERROR(OFFSET(ITEM_RES!$A$1,MATCH(AS90,ITEM_RES!$J:$J,0)-1,0),0)</f>
        <v>211020201</v>
      </c>
      <c r="AS90" s="10" t="s">
        <v>450</v>
      </c>
      <c r="AT90" s="11">
        <v>250</v>
      </c>
      <c r="AW90" s="11">
        <f ca="1">IFERROR(OFFSET(ITEM_RES!$A$1,MATCH(AX90,ITEM_RES!$J:$J,0)-1,0),0)</f>
        <v>211020401</v>
      </c>
      <c r="AX90" s="10" t="s">
        <v>455</v>
      </c>
      <c r="AY90" s="11">
        <v>250</v>
      </c>
      <c r="BB90" s="11">
        <f ca="1">IFERROR(OFFSET(ITEM_RES!$A$1,MATCH(BC90,ITEM_RES!$J:$J,0)-1,0),0)</f>
        <v>0</v>
      </c>
      <c r="BG90" s="11">
        <f ca="1">IFERROR(OFFSET(ITEM_RES!$A$1,MATCH(BH90,ITEM_RES!$J:$J,0)-1,0),0)</f>
        <v>0</v>
      </c>
      <c r="BL90" s="11">
        <f ca="1">IFERROR(OFFSET(ITEM_RES!$A$1,MATCH(BM90,ITEM_RES!$J:$J,0)-1,0),0)</f>
        <v>0</v>
      </c>
      <c r="BN90" s="11">
        <f t="shared" si="62"/>
        <v>0</v>
      </c>
    </row>
    <row r="91" spans="1:67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L91" s="9" t="s">
        <v>980</v>
      </c>
      <c r="M91" s="9" t="s">
        <v>1001</v>
      </c>
      <c r="N91" s="9">
        <v>1</v>
      </c>
      <c r="O91" s="9">
        <v>15</v>
      </c>
      <c r="P91" s="9" t="s">
        <v>823</v>
      </c>
      <c r="T91" s="9" t="s">
        <v>756</v>
      </c>
      <c r="V91" s="85" t="s">
        <v>571</v>
      </c>
      <c r="W91" s="9">
        <f ca="1">IFERROR(OFFSET(ITEM_RES!$A$5,MATCH(BUILDING!V91,ITEM_RES!$J$5:$J$226,0)-1,0),0)</f>
        <v>211021101</v>
      </c>
      <c r="X91" s="11">
        <v>100</v>
      </c>
      <c r="Y91" s="85" t="s">
        <v>570</v>
      </c>
      <c r="Z91" s="9">
        <f ca="1">IFERROR(OFFSET(ITEM_RES!$A$5,MATCH(BUILDING!Y91,ITEM_RES!$J$5:$J$226,0)-1,0),0)</f>
        <v>211010401</v>
      </c>
      <c r="AB91" s="9" t="s">
        <v>540</v>
      </c>
      <c r="AC91" s="9">
        <v>7</v>
      </c>
      <c r="AE91" s="9">
        <v>8000</v>
      </c>
      <c r="AG91" s="56">
        <f t="shared" si="26"/>
        <v>2100</v>
      </c>
      <c r="AH91" s="10">
        <f t="shared" si="58"/>
        <v>3150</v>
      </c>
      <c r="AJ91" s="11">
        <f t="shared" si="23"/>
        <v>35</v>
      </c>
      <c r="AK91" s="10">
        <v>35</v>
      </c>
      <c r="AL91" s="11">
        <f t="shared" si="63"/>
        <v>100</v>
      </c>
      <c r="AM91" s="10">
        <v>100</v>
      </c>
      <c r="AN91" s="11">
        <f t="shared" si="63"/>
        <v>100</v>
      </c>
      <c r="AO91" s="10">
        <v>100</v>
      </c>
      <c r="AP91" s="56">
        <f t="shared" si="29"/>
        <v>2</v>
      </c>
      <c r="AR91" s="11">
        <f ca="1">IFERROR(OFFSET(ITEM_RES!$A$1,MATCH(AS91,ITEM_RES!$J:$J,0)-1,0),0)</f>
        <v>211020201</v>
      </c>
      <c r="AS91" s="10" t="s">
        <v>450</v>
      </c>
      <c r="AT91" s="11">
        <v>500</v>
      </c>
      <c r="AW91" s="11">
        <f ca="1">IFERROR(OFFSET(ITEM_RES!$A$1,MATCH(AX91,ITEM_RES!$J:$J,0)-1,0),0)</f>
        <v>211020401</v>
      </c>
      <c r="AX91" s="10" t="s">
        <v>455</v>
      </c>
      <c r="AY91" s="11">
        <v>500</v>
      </c>
      <c r="BB91" s="11">
        <f ca="1">IFERROR(OFFSET(ITEM_RES!$A$1,MATCH(BC91,ITEM_RES!$J:$J,0)-1,0),0)</f>
        <v>0</v>
      </c>
      <c r="BG91" s="11">
        <f ca="1">IFERROR(OFFSET(ITEM_RES!$A$1,MATCH(BH91,ITEM_RES!$J:$J,0)-1,0),0)</f>
        <v>0</v>
      </c>
      <c r="BL91" s="11">
        <f ca="1">IFERROR(OFFSET(ITEM_RES!$A$1,MATCH(BM91,ITEM_RES!$J:$J,0)-1,0),0)</f>
        <v>0</v>
      </c>
      <c r="BN91" s="11">
        <f t="shared" si="62"/>
        <v>0</v>
      </c>
    </row>
    <row r="92" spans="1:67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L92" s="9" t="s">
        <v>980</v>
      </c>
      <c r="M92" s="9" t="s">
        <v>1001</v>
      </c>
      <c r="N92" s="9">
        <v>1</v>
      </c>
      <c r="O92" s="9">
        <v>15</v>
      </c>
      <c r="P92" s="9" t="s">
        <v>823</v>
      </c>
      <c r="T92" s="9" t="s">
        <v>756</v>
      </c>
      <c r="V92" s="85" t="s">
        <v>571</v>
      </c>
      <c r="W92" s="9">
        <f ca="1">IFERROR(OFFSET(ITEM_RES!$A$5,MATCH(BUILDING!V92,ITEM_RES!$J$5:$J$226,0)-1,0),0)</f>
        <v>211021101</v>
      </c>
      <c r="X92" s="11">
        <v>100</v>
      </c>
      <c r="Y92" s="85" t="s">
        <v>570</v>
      </c>
      <c r="Z92" s="9">
        <f ca="1">IFERROR(OFFSET(ITEM_RES!$A$5,MATCH(BUILDING!Y92,ITEM_RES!$J$5:$J$226,0)-1,0),0)</f>
        <v>211010401</v>
      </c>
      <c r="AB92" s="9" t="s">
        <v>540</v>
      </c>
      <c r="AC92" s="9">
        <v>8</v>
      </c>
      <c r="AE92" s="9">
        <v>8000</v>
      </c>
      <c r="AG92" s="56">
        <f t="shared" si="26"/>
        <v>2100</v>
      </c>
      <c r="AH92" s="10">
        <f t="shared" si="58"/>
        <v>4200</v>
      </c>
      <c r="AJ92" s="11">
        <f t="shared" si="23"/>
        <v>40</v>
      </c>
      <c r="AK92" s="10">
        <v>40</v>
      </c>
      <c r="AL92" s="11">
        <f t="shared" si="63"/>
        <v>100</v>
      </c>
      <c r="AM92" s="10">
        <v>100</v>
      </c>
      <c r="AN92" s="11">
        <f t="shared" si="63"/>
        <v>100</v>
      </c>
      <c r="AO92" s="10">
        <v>100</v>
      </c>
      <c r="AP92" s="56">
        <f t="shared" si="29"/>
        <v>2</v>
      </c>
      <c r="AR92" s="11">
        <f ca="1">IFERROR(OFFSET(ITEM_RES!$A$1,MATCH(AS92,ITEM_RES!$J:$J,0)-1,0),0)</f>
        <v>211020301</v>
      </c>
      <c r="AS92" s="10" t="s">
        <v>475</v>
      </c>
      <c r="AT92" s="11">
        <v>500</v>
      </c>
      <c r="AW92" s="11">
        <f ca="1">IFERROR(OFFSET(ITEM_RES!$A$1,MATCH(AX92,ITEM_RES!$J:$J,0)-1,0),0)</f>
        <v>211020401</v>
      </c>
      <c r="AX92" s="10" t="s">
        <v>455</v>
      </c>
      <c r="AY92" s="11">
        <v>500</v>
      </c>
      <c r="BB92" s="11">
        <f ca="1">IFERROR(OFFSET(ITEM_RES!$A$1,MATCH(BC92,ITEM_RES!$J:$J,0)-1,0),0)</f>
        <v>0</v>
      </c>
      <c r="BG92" s="11">
        <f ca="1">IFERROR(OFFSET(ITEM_RES!$A$1,MATCH(BH92,ITEM_RES!$J:$J,0)-1,0),0)</f>
        <v>0</v>
      </c>
      <c r="BL92" s="11">
        <f ca="1">IFERROR(OFFSET(ITEM_RES!$A$1,MATCH(BM92,ITEM_RES!$J:$J,0)-1,0),0)</f>
        <v>0</v>
      </c>
      <c r="BN92" s="11">
        <f t="shared" si="62"/>
        <v>0</v>
      </c>
    </row>
    <row r="93" spans="1:67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L93" s="9" t="s">
        <v>980</v>
      </c>
      <c r="M93" s="9" t="s">
        <v>1001</v>
      </c>
      <c r="N93" s="9">
        <v>1</v>
      </c>
      <c r="O93" s="9">
        <v>15</v>
      </c>
      <c r="P93" s="9" t="s">
        <v>823</v>
      </c>
      <c r="T93" s="9" t="s">
        <v>756</v>
      </c>
      <c r="V93" s="85" t="s">
        <v>571</v>
      </c>
      <c r="W93" s="9">
        <f ca="1">IFERROR(OFFSET(ITEM_RES!$A$5,MATCH(BUILDING!V93,ITEM_RES!$J$5:$J$226,0)-1,0),0)</f>
        <v>211021101</v>
      </c>
      <c r="X93" s="11">
        <v>100</v>
      </c>
      <c r="Y93" s="85" t="s">
        <v>570</v>
      </c>
      <c r="Z93" s="9">
        <f ca="1">IFERROR(OFFSET(ITEM_RES!$A$5,MATCH(BUILDING!Y93,ITEM_RES!$J$5:$J$226,0)-1,0),0)</f>
        <v>211010401</v>
      </c>
      <c r="AB93" s="9" t="s">
        <v>540</v>
      </c>
      <c r="AC93" s="9">
        <v>9</v>
      </c>
      <c r="AE93" s="9">
        <v>12000</v>
      </c>
      <c r="AG93" s="56">
        <f t="shared" si="26"/>
        <v>3150</v>
      </c>
      <c r="AH93" s="10">
        <f t="shared" si="58"/>
        <v>5250</v>
      </c>
      <c r="AJ93" s="11">
        <f t="shared" si="23"/>
        <v>45</v>
      </c>
      <c r="AK93" s="10">
        <v>45</v>
      </c>
      <c r="AL93" s="11">
        <f t="shared" si="63"/>
        <v>150</v>
      </c>
      <c r="AM93" s="10">
        <v>150</v>
      </c>
      <c r="AN93" s="11">
        <f t="shared" si="63"/>
        <v>150</v>
      </c>
      <c r="AO93" s="10">
        <v>150</v>
      </c>
      <c r="AP93" s="56">
        <f t="shared" si="29"/>
        <v>2</v>
      </c>
      <c r="AR93" s="11">
        <f ca="1">IFERROR(OFFSET(ITEM_RES!$A$1,MATCH(AS93,ITEM_RES!$J:$J,0)-1,0),0)</f>
        <v>211020301</v>
      </c>
      <c r="AS93" s="10" t="s">
        <v>475</v>
      </c>
      <c r="AT93" s="11">
        <v>750</v>
      </c>
      <c r="AW93" s="11">
        <f ca="1">IFERROR(OFFSET(ITEM_RES!$A$1,MATCH(AX93,ITEM_RES!$J:$J,0)-1,0),0)</f>
        <v>211020401</v>
      </c>
      <c r="AX93" s="10" t="s">
        <v>455</v>
      </c>
      <c r="AY93" s="11">
        <v>750</v>
      </c>
      <c r="BB93" s="11">
        <f ca="1">IFERROR(OFFSET(ITEM_RES!$A$1,MATCH(BC93,ITEM_RES!$J:$J,0)-1,0),0)</f>
        <v>0</v>
      </c>
      <c r="BG93" s="11">
        <f ca="1">IFERROR(OFFSET(ITEM_RES!$A$1,MATCH(BH93,ITEM_RES!$J:$J,0)-1,0),0)</f>
        <v>0</v>
      </c>
      <c r="BL93" s="11">
        <f ca="1">IFERROR(OFFSET(ITEM_RES!$A$1,MATCH(BM93,ITEM_RES!$J:$J,0)-1,0),0)</f>
        <v>0</v>
      </c>
      <c r="BN93" s="11">
        <f t="shared" si="62"/>
        <v>0</v>
      </c>
    </row>
    <row r="94" spans="1:67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L94" s="9" t="s">
        <v>980</v>
      </c>
      <c r="M94" s="9" t="s">
        <v>1001</v>
      </c>
      <c r="N94" s="9">
        <v>1</v>
      </c>
      <c r="O94" s="9">
        <v>15</v>
      </c>
      <c r="P94" s="9" t="s">
        <v>823</v>
      </c>
      <c r="T94" s="9" t="s">
        <v>756</v>
      </c>
      <c r="V94" s="85" t="s">
        <v>571</v>
      </c>
      <c r="W94" s="9">
        <f ca="1">IFERROR(OFFSET(ITEM_RES!$A$5,MATCH(BUILDING!V94,ITEM_RES!$J$5:$J$226,0)-1,0),0)</f>
        <v>211021101</v>
      </c>
      <c r="X94" s="11">
        <v>100</v>
      </c>
      <c r="Y94" s="85" t="s">
        <v>570</v>
      </c>
      <c r="Z94" s="9">
        <f ca="1">IFERROR(OFFSET(ITEM_RES!$A$5,MATCH(BUILDING!Y94,ITEM_RES!$J$5:$J$226,0)-1,0),0)</f>
        <v>211010401</v>
      </c>
      <c r="AB94" s="9" t="s">
        <v>540</v>
      </c>
      <c r="AC94" s="9">
        <v>10</v>
      </c>
      <c r="AE94" s="9">
        <v>16000</v>
      </c>
      <c r="AG94" s="56">
        <f t="shared" si="26"/>
        <v>4200</v>
      </c>
      <c r="AH94" s="10">
        <f t="shared" si="58"/>
        <v>7350</v>
      </c>
      <c r="AJ94" s="11">
        <f t="shared" si="23"/>
        <v>50</v>
      </c>
      <c r="AK94" s="10">
        <v>50</v>
      </c>
      <c r="AL94" s="11">
        <f t="shared" si="63"/>
        <v>200</v>
      </c>
      <c r="AM94" s="10">
        <v>200</v>
      </c>
      <c r="AN94" s="11">
        <f t="shared" si="63"/>
        <v>200</v>
      </c>
      <c r="AO94" s="10">
        <v>200</v>
      </c>
      <c r="AP94" s="56">
        <f t="shared" si="29"/>
        <v>2</v>
      </c>
      <c r="AR94" s="11">
        <f ca="1">IFERROR(OFFSET(ITEM_RES!$A$1,MATCH(AS94,ITEM_RES!$J:$J,0)-1,0),0)</f>
        <v>211020301</v>
      </c>
      <c r="AS94" s="10" t="s">
        <v>475</v>
      </c>
      <c r="AT94" s="11">
        <v>1000</v>
      </c>
      <c r="AW94" s="11">
        <f ca="1">IFERROR(OFFSET(ITEM_RES!$A$1,MATCH(AX94,ITEM_RES!$J:$J,0)-1,0),0)</f>
        <v>211020401</v>
      </c>
      <c r="AX94" s="10" t="s">
        <v>455</v>
      </c>
      <c r="AY94" s="11">
        <v>1000</v>
      </c>
      <c r="BB94" s="11">
        <f ca="1">IFERROR(OFFSET(ITEM_RES!$A$1,MATCH(BC94,ITEM_RES!$J:$J,0)-1,0),0)</f>
        <v>0</v>
      </c>
      <c r="BG94" s="11">
        <f ca="1">IFERROR(OFFSET(ITEM_RES!$A$1,MATCH(BH94,ITEM_RES!$J:$J,0)-1,0),0)</f>
        <v>0</v>
      </c>
      <c r="BL94" s="11">
        <f ca="1">IFERROR(OFFSET(ITEM_RES!$A$1,MATCH(BM94,ITEM_RES!$J:$J,0)-1,0),0)</f>
        <v>0</v>
      </c>
      <c r="BN94" s="11">
        <f t="shared" si="62"/>
        <v>0</v>
      </c>
    </row>
    <row r="95" spans="1:67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L95" s="9" t="s">
        <v>980</v>
      </c>
      <c r="M95" s="9" t="s">
        <v>1001</v>
      </c>
      <c r="N95" s="9">
        <v>1</v>
      </c>
      <c r="O95" s="9">
        <v>15</v>
      </c>
      <c r="P95" s="9" t="s">
        <v>823</v>
      </c>
      <c r="T95" s="9" t="s">
        <v>756</v>
      </c>
      <c r="V95" s="85" t="s">
        <v>571</v>
      </c>
      <c r="W95" s="9">
        <f ca="1">IFERROR(OFFSET(ITEM_RES!$A$5,MATCH(BUILDING!V95,ITEM_RES!$J$5:$J$226,0)-1,0),0)</f>
        <v>211021101</v>
      </c>
      <c r="X95" s="11">
        <v>100</v>
      </c>
      <c r="Y95" s="85" t="s">
        <v>570</v>
      </c>
      <c r="Z95" s="9">
        <f ca="1">IFERROR(OFFSET(ITEM_RES!$A$5,MATCH(BUILDING!Y95,ITEM_RES!$J$5:$J$226,0)-1,0),0)</f>
        <v>211010401</v>
      </c>
      <c r="AB95" s="9" t="s">
        <v>540</v>
      </c>
      <c r="AC95" s="9">
        <v>11</v>
      </c>
      <c r="AE95" s="9">
        <v>20000</v>
      </c>
      <c r="AG95" s="56">
        <f t="shared" si="26"/>
        <v>5250</v>
      </c>
      <c r="AH95" s="10">
        <f t="shared" si="58"/>
        <v>9450</v>
      </c>
      <c r="AJ95" s="11">
        <f t="shared" si="23"/>
        <v>55</v>
      </c>
      <c r="AK95" s="10">
        <v>55</v>
      </c>
      <c r="AL95" s="11">
        <f t="shared" si="63"/>
        <v>250</v>
      </c>
      <c r="AM95" s="10">
        <v>250</v>
      </c>
      <c r="AN95" s="11">
        <f t="shared" si="63"/>
        <v>250</v>
      </c>
      <c r="AO95" s="10">
        <v>250</v>
      </c>
      <c r="AP95" s="56">
        <f t="shared" si="29"/>
        <v>2</v>
      </c>
      <c r="AR95" s="11">
        <f ca="1">IFERROR(OFFSET(ITEM_RES!$A$1,MATCH(AS95,ITEM_RES!$J:$J,0)-1,0),0)</f>
        <v>0</v>
      </c>
      <c r="AS95" s="10" t="s">
        <v>464</v>
      </c>
      <c r="AT95" s="11">
        <v>1250</v>
      </c>
      <c r="AW95" s="11">
        <f ca="1">IFERROR(OFFSET(ITEM_RES!$A$1,MATCH(AX95,ITEM_RES!$J:$J,0)-1,0),0)</f>
        <v>211020401</v>
      </c>
      <c r="AX95" s="10" t="s">
        <v>455</v>
      </c>
      <c r="AY95" s="11">
        <v>1250</v>
      </c>
      <c r="BB95" s="11">
        <f ca="1">IFERROR(OFFSET(ITEM_RES!$A$1,MATCH(BC95,ITEM_RES!$J:$J,0)-1,0),0)</f>
        <v>0</v>
      </c>
      <c r="BG95" s="11">
        <f ca="1">IFERROR(OFFSET(ITEM_RES!$A$1,MATCH(BH95,ITEM_RES!$J:$J,0)-1,0),0)</f>
        <v>0</v>
      </c>
      <c r="BL95" s="11">
        <f ca="1">IFERROR(OFFSET(ITEM_RES!$A$1,MATCH(BM95,ITEM_RES!$J:$J,0)-1,0),0)</f>
        <v>0</v>
      </c>
      <c r="BN95" s="11">
        <f t="shared" si="62"/>
        <v>0</v>
      </c>
    </row>
    <row r="96" spans="1:67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L96" s="9" t="s">
        <v>980</v>
      </c>
      <c r="M96" s="9" t="s">
        <v>1001</v>
      </c>
      <c r="N96" s="9">
        <v>1</v>
      </c>
      <c r="O96" s="9">
        <v>15</v>
      </c>
      <c r="P96" s="9" t="s">
        <v>823</v>
      </c>
      <c r="T96" s="9" t="s">
        <v>756</v>
      </c>
      <c r="V96" s="85" t="s">
        <v>571</v>
      </c>
      <c r="W96" s="9">
        <f ca="1">IFERROR(OFFSET(ITEM_RES!$A$5,MATCH(BUILDING!V96,ITEM_RES!$J$5:$J$226,0)-1,0),0)</f>
        <v>211021101</v>
      </c>
      <c r="X96" s="11">
        <v>100</v>
      </c>
      <c r="Y96" s="85" t="s">
        <v>570</v>
      </c>
      <c r="Z96" s="9">
        <f ca="1">IFERROR(OFFSET(ITEM_RES!$A$5,MATCH(BUILDING!Y96,ITEM_RES!$J$5:$J$226,0)-1,0),0)</f>
        <v>211010401</v>
      </c>
      <c r="AB96" s="9" t="s">
        <v>540</v>
      </c>
      <c r="AC96" s="9">
        <v>12</v>
      </c>
      <c r="AE96" s="9">
        <v>24000</v>
      </c>
      <c r="AG96" s="56">
        <f t="shared" si="26"/>
        <v>6800</v>
      </c>
      <c r="AH96" s="10">
        <f t="shared" si="58"/>
        <v>12050</v>
      </c>
      <c r="AJ96" s="11">
        <f t="shared" si="23"/>
        <v>60</v>
      </c>
      <c r="AK96" s="10">
        <v>60</v>
      </c>
      <c r="AL96" s="11">
        <f t="shared" si="63"/>
        <v>300</v>
      </c>
      <c r="AM96" s="10">
        <v>300</v>
      </c>
      <c r="AN96" s="11">
        <f t="shared" si="63"/>
        <v>300</v>
      </c>
      <c r="AO96" s="10">
        <v>300</v>
      </c>
      <c r="AP96" s="56">
        <f t="shared" si="29"/>
        <v>3</v>
      </c>
      <c r="AR96" s="11">
        <f ca="1">IFERROR(OFFSET(ITEM_RES!$A$1,MATCH(AS96,ITEM_RES!$J:$J,0)-1,0),0)</f>
        <v>0</v>
      </c>
      <c r="AS96" s="10" t="s">
        <v>464</v>
      </c>
      <c r="AT96" s="11">
        <v>1500</v>
      </c>
      <c r="AW96" s="11">
        <f ca="1">IFERROR(OFFSET(ITEM_RES!$A$1,MATCH(AX96,ITEM_RES!$J:$J,0)-1,0),0)</f>
        <v>211020401</v>
      </c>
      <c r="AX96" s="10" t="s">
        <v>455</v>
      </c>
      <c r="AY96" s="11">
        <v>1500</v>
      </c>
      <c r="BB96" s="11">
        <f ca="1">IFERROR(OFFSET(ITEM_RES!$A$1,MATCH(BC96,ITEM_RES!$J:$J,0)-1,0),0)</f>
        <v>0</v>
      </c>
      <c r="BG96" s="11">
        <f ca="1">IFERROR(OFFSET(ITEM_RES!$A$1,MATCH(BH96,ITEM_RES!$J:$J,0)-1,0),0)</f>
        <v>213010701</v>
      </c>
      <c r="BH96" s="10" t="s">
        <v>486</v>
      </c>
      <c r="BI96" s="11">
        <v>1</v>
      </c>
      <c r="BL96" s="11">
        <f ca="1">IFERROR(OFFSET(ITEM_RES!$A$1,MATCH(BM96,ITEM_RES!$J:$J,0)-1,0),0)</f>
        <v>0</v>
      </c>
      <c r="BN96" s="11">
        <f t="shared" si="62"/>
        <v>0</v>
      </c>
    </row>
    <row r="97" spans="1:67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L97" s="9" t="s">
        <v>980</v>
      </c>
      <c r="M97" s="9" t="s">
        <v>1001</v>
      </c>
      <c r="N97" s="9">
        <v>1</v>
      </c>
      <c r="O97" s="9">
        <v>15</v>
      </c>
      <c r="P97" s="9" t="s">
        <v>823</v>
      </c>
      <c r="T97" s="9" t="s">
        <v>756</v>
      </c>
      <c r="V97" s="85" t="s">
        <v>571</v>
      </c>
      <c r="W97" s="9">
        <f ca="1">IFERROR(OFFSET(ITEM_RES!$A$5,MATCH(BUILDING!V97,ITEM_RES!$J$5:$J$226,0)-1,0),0)</f>
        <v>211021101</v>
      </c>
      <c r="X97" s="11">
        <v>100</v>
      </c>
      <c r="Y97" s="85" t="s">
        <v>570</v>
      </c>
      <c r="Z97" s="9">
        <f ca="1">IFERROR(OFFSET(ITEM_RES!$A$5,MATCH(BUILDING!Y97,ITEM_RES!$J$5:$J$226,0)-1,0),0)</f>
        <v>211010401</v>
      </c>
      <c r="AB97" s="9" t="s">
        <v>540</v>
      </c>
      <c r="AC97" s="9">
        <v>13</v>
      </c>
      <c r="AE97" s="9">
        <v>28000</v>
      </c>
      <c r="AG97" s="56">
        <f t="shared" si="26"/>
        <v>7350</v>
      </c>
      <c r="AH97" s="10">
        <f t="shared" si="58"/>
        <v>14150</v>
      </c>
      <c r="AJ97" s="11">
        <f t="shared" si="23"/>
        <v>65</v>
      </c>
      <c r="AK97" s="10">
        <v>65</v>
      </c>
      <c r="AL97" s="11">
        <f t="shared" si="63"/>
        <v>350</v>
      </c>
      <c r="AM97" s="10">
        <v>350</v>
      </c>
      <c r="AN97" s="11">
        <f t="shared" si="63"/>
        <v>350</v>
      </c>
      <c r="AO97" s="10">
        <v>350</v>
      </c>
      <c r="AP97" s="56">
        <f t="shared" si="29"/>
        <v>2</v>
      </c>
      <c r="AR97" s="11">
        <f ca="1">IFERROR(OFFSET(ITEM_RES!$A$1,MATCH(AS97,ITEM_RES!$J:$J,0)-1,0),0)</f>
        <v>0</v>
      </c>
      <c r="AS97" s="10" t="s">
        <v>464</v>
      </c>
      <c r="AT97" s="11">
        <v>1750</v>
      </c>
      <c r="AW97" s="11">
        <f ca="1">IFERROR(OFFSET(ITEM_RES!$A$1,MATCH(AX97,ITEM_RES!$J:$J,0)-1,0),0)</f>
        <v>211020401</v>
      </c>
      <c r="AX97" s="10" t="s">
        <v>455</v>
      </c>
      <c r="AY97" s="11">
        <v>1750</v>
      </c>
      <c r="BB97" s="11">
        <f ca="1">IFERROR(OFFSET(ITEM_RES!$A$1,MATCH(BC97,ITEM_RES!$J:$J,0)-1,0),0)</f>
        <v>0</v>
      </c>
      <c r="BG97" s="11">
        <f ca="1">IFERROR(OFFSET(ITEM_RES!$A$1,MATCH(BH97,ITEM_RES!$J:$J,0)-1,0),0)</f>
        <v>0</v>
      </c>
      <c r="BL97" s="11">
        <f ca="1">IFERROR(OFFSET(ITEM_RES!$A$1,MATCH(BM97,ITEM_RES!$J:$J,0)-1,0),0)</f>
        <v>0</v>
      </c>
      <c r="BN97" s="11">
        <f t="shared" si="62"/>
        <v>0</v>
      </c>
    </row>
    <row r="98" spans="1:67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L98" s="9" t="s">
        <v>980</v>
      </c>
      <c r="M98" s="9" t="s">
        <v>1001</v>
      </c>
      <c r="N98" s="9">
        <v>1</v>
      </c>
      <c r="O98" s="9">
        <v>15</v>
      </c>
      <c r="P98" s="9" t="s">
        <v>823</v>
      </c>
      <c r="T98" s="9" t="s">
        <v>756</v>
      </c>
      <c r="V98" s="85" t="s">
        <v>571</v>
      </c>
      <c r="W98" s="9">
        <f ca="1">IFERROR(OFFSET(ITEM_RES!$A$5,MATCH(BUILDING!V98,ITEM_RES!$J$5:$J$226,0)-1,0),0)</f>
        <v>211021101</v>
      </c>
      <c r="X98" s="11">
        <v>100</v>
      </c>
      <c r="Y98" s="85" t="s">
        <v>570</v>
      </c>
      <c r="Z98" s="9">
        <f ca="1">IFERROR(OFFSET(ITEM_RES!$A$5,MATCH(BUILDING!Y98,ITEM_RES!$J$5:$J$226,0)-1,0),0)</f>
        <v>211010401</v>
      </c>
      <c r="AB98" s="9" t="s">
        <v>540</v>
      </c>
      <c r="AC98" s="9">
        <v>14</v>
      </c>
      <c r="AE98" s="9">
        <v>36000</v>
      </c>
      <c r="AG98" s="56">
        <f t="shared" si="26"/>
        <v>9450</v>
      </c>
      <c r="AH98" s="10">
        <f t="shared" si="58"/>
        <v>16800</v>
      </c>
      <c r="AJ98" s="11">
        <f t="shared" si="23"/>
        <v>70</v>
      </c>
      <c r="AK98" s="10">
        <v>70</v>
      </c>
      <c r="AL98" s="11">
        <f t="shared" si="63"/>
        <v>450</v>
      </c>
      <c r="AM98" s="10">
        <v>450</v>
      </c>
      <c r="AN98" s="11">
        <f t="shared" si="63"/>
        <v>450</v>
      </c>
      <c r="AO98" s="10">
        <v>450</v>
      </c>
      <c r="AP98" s="56">
        <f t="shared" si="29"/>
        <v>2</v>
      </c>
      <c r="AR98" s="11">
        <f ca="1">IFERROR(OFFSET(ITEM_RES!$A$1,MATCH(AS98,ITEM_RES!$J:$J,0)-1,0),0)</f>
        <v>0</v>
      </c>
      <c r="AS98" s="10" t="s">
        <v>464</v>
      </c>
      <c r="AT98" s="11">
        <v>2250</v>
      </c>
      <c r="AW98" s="11">
        <f ca="1">IFERROR(OFFSET(ITEM_RES!$A$1,MATCH(AX98,ITEM_RES!$J:$J,0)-1,0),0)</f>
        <v>211020401</v>
      </c>
      <c r="AX98" s="10" t="s">
        <v>455</v>
      </c>
      <c r="AY98" s="11">
        <v>2250</v>
      </c>
      <c r="BB98" s="11">
        <f ca="1">IFERROR(OFFSET(ITEM_RES!$A$1,MATCH(BC98,ITEM_RES!$J:$J,0)-1,0),0)</f>
        <v>0</v>
      </c>
      <c r="BG98" s="11">
        <f ca="1">IFERROR(OFFSET(ITEM_RES!$A$1,MATCH(BH98,ITEM_RES!$J:$J,0)-1,0),0)</f>
        <v>0</v>
      </c>
      <c r="BL98" s="11">
        <f ca="1">IFERROR(OFFSET(ITEM_RES!$A$1,MATCH(BM98,ITEM_RES!$J:$J,0)-1,0),0)</f>
        <v>0</v>
      </c>
      <c r="BN98" s="11">
        <f t="shared" si="62"/>
        <v>0</v>
      </c>
    </row>
    <row r="99" spans="1:67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L99" s="9" t="s">
        <v>980</v>
      </c>
      <c r="M99" s="9" t="s">
        <v>1001</v>
      </c>
      <c r="N99" s="9">
        <v>1</v>
      </c>
      <c r="O99" s="9">
        <v>15</v>
      </c>
      <c r="P99" s="9" t="s">
        <v>823</v>
      </c>
      <c r="T99" s="9" t="s">
        <v>756</v>
      </c>
      <c r="V99" s="85" t="s">
        <v>571</v>
      </c>
      <c r="W99" s="9">
        <f ca="1">IFERROR(OFFSET(ITEM_RES!$A$5,MATCH(BUILDING!V99,ITEM_RES!$J$5:$J$226,0)-1,0),0)</f>
        <v>211021101</v>
      </c>
      <c r="X99" s="11">
        <v>100</v>
      </c>
      <c r="Y99" s="85" t="s">
        <v>570</v>
      </c>
      <c r="Z99" s="9">
        <f ca="1">IFERROR(OFFSET(ITEM_RES!$A$5,MATCH(BUILDING!Y99,ITEM_RES!$J$5:$J$226,0)-1,0),0)</f>
        <v>211010401</v>
      </c>
      <c r="AB99" s="9" t="s">
        <v>540</v>
      </c>
      <c r="AC99" s="9">
        <v>15</v>
      </c>
      <c r="AE99" s="9">
        <v>44000</v>
      </c>
      <c r="AG99" s="56">
        <f t="shared" si="26"/>
        <v>11550</v>
      </c>
      <c r="AH99" s="10">
        <f t="shared" si="58"/>
        <v>21000</v>
      </c>
      <c r="AJ99" s="11">
        <f t="shared" si="23"/>
        <v>75</v>
      </c>
      <c r="AK99" s="10">
        <v>75</v>
      </c>
      <c r="AL99" s="11">
        <f t="shared" si="63"/>
        <v>550</v>
      </c>
      <c r="AM99" s="10">
        <v>550</v>
      </c>
      <c r="AN99" s="11">
        <f t="shared" si="63"/>
        <v>550</v>
      </c>
      <c r="AO99" s="10">
        <v>550</v>
      </c>
      <c r="AP99" s="56">
        <f t="shared" si="29"/>
        <v>2</v>
      </c>
      <c r="AR99" s="11">
        <f ca="1">IFERROR(OFFSET(ITEM_RES!$A$1,MATCH(AS99,ITEM_RES!$J:$J,0)-1,0),0)</f>
        <v>0</v>
      </c>
      <c r="AS99" s="10" t="s">
        <v>464</v>
      </c>
      <c r="AT99" s="11">
        <v>2750</v>
      </c>
      <c r="AW99" s="11">
        <f ca="1">IFERROR(OFFSET(ITEM_RES!$A$1,MATCH(AX99,ITEM_RES!$J:$J,0)-1,0),0)</f>
        <v>211020501</v>
      </c>
      <c r="AX99" s="10" t="s">
        <v>451</v>
      </c>
      <c r="AY99" s="11">
        <v>2750</v>
      </c>
      <c r="BB99" s="11">
        <f ca="1">IFERROR(OFFSET(ITEM_RES!$A$1,MATCH(BC99,ITEM_RES!$J:$J,0)-1,0),0)</f>
        <v>0</v>
      </c>
      <c r="BG99" s="11">
        <f ca="1">IFERROR(OFFSET(ITEM_RES!$A$1,MATCH(BH99,ITEM_RES!$J:$J,0)-1,0),0)</f>
        <v>0</v>
      </c>
      <c r="BL99" s="11">
        <f ca="1">IFERROR(OFFSET(ITEM_RES!$A$1,MATCH(BM99,ITEM_RES!$J:$J,0)-1,0),0)</f>
        <v>0</v>
      </c>
      <c r="BN99" s="11">
        <f t="shared" si="62"/>
        <v>0</v>
      </c>
    </row>
    <row r="100" spans="1:67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L100" s="9" t="s">
        <v>980</v>
      </c>
      <c r="M100" s="9" t="s">
        <v>1001</v>
      </c>
      <c r="N100" s="9">
        <v>0</v>
      </c>
      <c r="O100" s="9">
        <v>15</v>
      </c>
      <c r="P100" s="9" t="s">
        <v>823</v>
      </c>
      <c r="T100" s="9" t="s">
        <v>756</v>
      </c>
      <c r="V100" s="85" t="s">
        <v>571</v>
      </c>
      <c r="W100" s="9">
        <f ca="1">IFERROR(OFFSET(ITEM_RES!$A$5,MATCH(BUILDING!V100,ITEM_RES!$J$5:$J$226,0)-1,0),0)</f>
        <v>211021101</v>
      </c>
      <c r="X100" s="11">
        <v>100</v>
      </c>
      <c r="Y100" s="85" t="s">
        <v>570</v>
      </c>
      <c r="Z100" s="9">
        <f ca="1">IFERROR(OFFSET(ITEM_RES!$A$5,MATCH(BUILDING!Y100,ITEM_RES!$J$5:$J$226,0)-1,0),0)</f>
        <v>211010401</v>
      </c>
      <c r="AB100" s="9" t="s">
        <v>540</v>
      </c>
      <c r="AC100" s="9">
        <v>16</v>
      </c>
      <c r="AE100" s="9">
        <v>56000</v>
      </c>
      <c r="AG100" s="56">
        <f t="shared" si="26"/>
        <v>14700</v>
      </c>
      <c r="AH100" s="10">
        <f t="shared" si="58"/>
        <v>26250</v>
      </c>
      <c r="AJ100" s="11">
        <f t="shared" si="23"/>
        <v>80</v>
      </c>
      <c r="AK100" s="10">
        <v>80</v>
      </c>
      <c r="AL100" s="11">
        <f t="shared" si="63"/>
        <v>700</v>
      </c>
      <c r="AM100" s="10">
        <v>700</v>
      </c>
      <c r="AN100" s="11">
        <f t="shared" si="63"/>
        <v>700</v>
      </c>
      <c r="AO100" s="10">
        <v>700</v>
      </c>
      <c r="AP100" s="56">
        <f t="shared" si="29"/>
        <v>2</v>
      </c>
      <c r="AR100" s="11">
        <f ca="1">IFERROR(OFFSET(ITEM_RES!$A$1,MATCH(AS100,ITEM_RES!$J:$J,0)-1,0),0)</f>
        <v>0</v>
      </c>
      <c r="AS100" s="10" t="s">
        <v>464</v>
      </c>
      <c r="AT100" s="11">
        <v>3500</v>
      </c>
      <c r="AW100" s="11">
        <f ca="1">IFERROR(OFFSET(ITEM_RES!$A$1,MATCH(AX100,ITEM_RES!$J:$J,0)-1,0),0)</f>
        <v>211020501</v>
      </c>
      <c r="AX100" s="10" t="s">
        <v>451</v>
      </c>
      <c r="AY100" s="11">
        <v>3500</v>
      </c>
      <c r="BB100" s="11">
        <f ca="1">IFERROR(OFFSET(ITEM_RES!$A$1,MATCH(BC100,ITEM_RES!$J:$J,0)-1,0),0)</f>
        <v>0</v>
      </c>
      <c r="BG100" s="11">
        <f ca="1">IFERROR(OFFSET(ITEM_RES!$A$1,MATCH(BH100,ITEM_RES!$J:$J,0)-1,0),0)</f>
        <v>0</v>
      </c>
      <c r="BL100" s="11">
        <f ca="1">IFERROR(OFFSET(ITEM_RES!$A$1,MATCH(BM100,ITEM_RES!$J:$J,0)-1,0),0)</f>
        <v>0</v>
      </c>
      <c r="BN100" s="11">
        <f t="shared" si="62"/>
        <v>0</v>
      </c>
    </row>
    <row r="101" spans="1:67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L101" s="9" t="s">
        <v>980</v>
      </c>
      <c r="M101" s="9" t="s">
        <v>1001</v>
      </c>
      <c r="N101" s="9">
        <v>0</v>
      </c>
      <c r="O101" s="9">
        <v>15</v>
      </c>
      <c r="P101" s="9" t="s">
        <v>823</v>
      </c>
      <c r="T101" s="9" t="s">
        <v>756</v>
      </c>
      <c r="V101" s="85" t="s">
        <v>571</v>
      </c>
      <c r="W101" s="9">
        <f ca="1">IFERROR(OFFSET(ITEM_RES!$A$5,MATCH(BUILDING!V101,ITEM_RES!$J$5:$J$226,0)-1,0),0)</f>
        <v>211021101</v>
      </c>
      <c r="X101" s="11">
        <v>100</v>
      </c>
      <c r="Y101" s="85" t="s">
        <v>570</v>
      </c>
      <c r="Z101" s="9">
        <f ca="1">IFERROR(OFFSET(ITEM_RES!$A$5,MATCH(BUILDING!Y101,ITEM_RES!$J$5:$J$226,0)-1,0),0)</f>
        <v>211010401</v>
      </c>
      <c r="AB101" s="9" t="s">
        <v>540</v>
      </c>
      <c r="AC101" s="9">
        <v>17</v>
      </c>
      <c r="AE101" s="9">
        <v>68000</v>
      </c>
      <c r="AG101" s="56">
        <f t="shared" si="26"/>
        <v>17850</v>
      </c>
      <c r="AH101" s="10">
        <f t="shared" si="58"/>
        <v>32550</v>
      </c>
      <c r="AJ101" s="11">
        <f t="shared" si="23"/>
        <v>85</v>
      </c>
      <c r="AK101" s="10">
        <v>85</v>
      </c>
      <c r="AL101" s="11">
        <f t="shared" si="63"/>
        <v>850</v>
      </c>
      <c r="AM101" s="10">
        <v>850</v>
      </c>
      <c r="AN101" s="11">
        <f t="shared" si="63"/>
        <v>850</v>
      </c>
      <c r="AO101" s="10">
        <v>850</v>
      </c>
      <c r="AP101" s="56">
        <f t="shared" si="29"/>
        <v>2</v>
      </c>
      <c r="AR101" s="11">
        <f ca="1">IFERROR(OFFSET(ITEM_RES!$A$1,MATCH(AS101,ITEM_RES!$J:$J,0)-1,0),0)</f>
        <v>0</v>
      </c>
      <c r="AS101" s="10" t="s">
        <v>464</v>
      </c>
      <c r="AT101" s="11">
        <v>4250</v>
      </c>
      <c r="AW101" s="11">
        <f ca="1">IFERROR(OFFSET(ITEM_RES!$A$1,MATCH(AX101,ITEM_RES!$J:$J,0)-1,0),0)</f>
        <v>211020501</v>
      </c>
      <c r="AX101" s="10" t="s">
        <v>451</v>
      </c>
      <c r="AY101" s="11">
        <v>4250</v>
      </c>
      <c r="BB101" s="11">
        <f ca="1">IFERROR(OFFSET(ITEM_RES!$A$1,MATCH(BC101,ITEM_RES!$J:$J,0)-1,0),0)</f>
        <v>0</v>
      </c>
      <c r="BG101" s="11">
        <f ca="1">IFERROR(OFFSET(ITEM_RES!$A$1,MATCH(BH101,ITEM_RES!$J:$J,0)-1,0),0)</f>
        <v>0</v>
      </c>
      <c r="BL101" s="11">
        <f ca="1">IFERROR(OFFSET(ITEM_RES!$A$1,MATCH(BM101,ITEM_RES!$J:$J,0)-1,0),0)</f>
        <v>0</v>
      </c>
      <c r="BN101" s="11">
        <f t="shared" si="62"/>
        <v>0</v>
      </c>
    </row>
    <row r="102" spans="1:67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L102" s="9" t="s">
        <v>980</v>
      </c>
      <c r="M102" s="9" t="s">
        <v>1001</v>
      </c>
      <c r="N102" s="9">
        <v>0</v>
      </c>
      <c r="O102" s="9">
        <v>15</v>
      </c>
      <c r="P102" s="9" t="s">
        <v>823</v>
      </c>
      <c r="T102" s="9" t="s">
        <v>756</v>
      </c>
      <c r="V102" s="85" t="s">
        <v>571</v>
      </c>
      <c r="W102" s="9">
        <f ca="1">IFERROR(OFFSET(ITEM_RES!$A$5,MATCH(BUILDING!V102,ITEM_RES!$J$5:$J$226,0)-1,0),0)</f>
        <v>211021101</v>
      </c>
      <c r="X102" s="11">
        <v>100</v>
      </c>
      <c r="Y102" s="85" t="s">
        <v>570</v>
      </c>
      <c r="Z102" s="9">
        <f ca="1">IFERROR(OFFSET(ITEM_RES!$A$5,MATCH(BUILDING!Y102,ITEM_RES!$J$5:$J$226,0)-1,0),0)</f>
        <v>211010401</v>
      </c>
      <c r="AB102" s="9" t="s">
        <v>540</v>
      </c>
      <c r="AC102" s="9">
        <v>18</v>
      </c>
      <c r="AE102" s="9">
        <v>84000</v>
      </c>
      <c r="AG102" s="56">
        <f t="shared" si="26"/>
        <v>22050</v>
      </c>
      <c r="AH102" s="10">
        <f t="shared" si="58"/>
        <v>39900</v>
      </c>
      <c r="AJ102" s="11">
        <f t="shared" si="23"/>
        <v>90</v>
      </c>
      <c r="AK102" s="10">
        <v>90</v>
      </c>
      <c r="AL102" s="11">
        <f t="shared" si="63"/>
        <v>1050</v>
      </c>
      <c r="AM102" s="10">
        <v>1050</v>
      </c>
      <c r="AN102" s="11">
        <f t="shared" si="63"/>
        <v>1050</v>
      </c>
      <c r="AO102" s="10">
        <v>1050</v>
      </c>
      <c r="AP102" s="56">
        <f t="shared" si="29"/>
        <v>2</v>
      </c>
      <c r="AR102" s="11">
        <f ca="1">IFERROR(OFFSET(ITEM_RES!$A$1,MATCH(AS102,ITEM_RES!$J:$J,0)-1,0),0)</f>
        <v>0</v>
      </c>
      <c r="AS102" s="10" t="s">
        <v>476</v>
      </c>
      <c r="AT102" s="11">
        <v>5250</v>
      </c>
      <c r="AW102" s="11">
        <f ca="1">IFERROR(OFFSET(ITEM_RES!$A$1,MATCH(AX102,ITEM_RES!$J:$J,0)-1,0),0)</f>
        <v>211020501</v>
      </c>
      <c r="AX102" s="10" t="s">
        <v>451</v>
      </c>
      <c r="AY102" s="11">
        <v>5250</v>
      </c>
      <c r="BB102" s="11">
        <f ca="1">IFERROR(OFFSET(ITEM_RES!$A$1,MATCH(BC102,ITEM_RES!$J:$J,0)-1,0),0)</f>
        <v>0</v>
      </c>
      <c r="BG102" s="11">
        <f ca="1">IFERROR(OFFSET(ITEM_RES!$A$1,MATCH(BH102,ITEM_RES!$J:$J,0)-1,0),0)</f>
        <v>0</v>
      </c>
      <c r="BL102" s="11">
        <f ca="1">IFERROR(OFFSET(ITEM_RES!$A$1,MATCH(BM102,ITEM_RES!$J:$J,0)-1,0),0)</f>
        <v>0</v>
      </c>
      <c r="BN102" s="11">
        <f t="shared" si="62"/>
        <v>0</v>
      </c>
    </row>
    <row r="103" spans="1:67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L103" s="9" t="s">
        <v>980</v>
      </c>
      <c r="M103" s="9" t="s">
        <v>1001</v>
      </c>
      <c r="N103" s="9">
        <v>0</v>
      </c>
      <c r="O103" s="9">
        <v>15</v>
      </c>
      <c r="P103" s="9" t="s">
        <v>823</v>
      </c>
      <c r="T103" s="9" t="s">
        <v>756</v>
      </c>
      <c r="V103" s="85" t="s">
        <v>571</v>
      </c>
      <c r="W103" s="9">
        <f ca="1">IFERROR(OFFSET(ITEM_RES!$A$5,MATCH(BUILDING!V103,ITEM_RES!$J$5:$J$226,0)-1,0),0)</f>
        <v>211021101</v>
      </c>
      <c r="X103" s="11">
        <v>100</v>
      </c>
      <c r="Y103" s="85" t="s">
        <v>570</v>
      </c>
      <c r="Z103" s="9">
        <f ca="1">IFERROR(OFFSET(ITEM_RES!$A$5,MATCH(BUILDING!Y103,ITEM_RES!$J$5:$J$226,0)-1,0),0)</f>
        <v>211010401</v>
      </c>
      <c r="AB103" s="9" t="s">
        <v>540</v>
      </c>
      <c r="AC103" s="9">
        <v>19</v>
      </c>
      <c r="AE103" s="9">
        <v>100000</v>
      </c>
      <c r="AG103" s="56">
        <f t="shared" si="26"/>
        <v>26250</v>
      </c>
      <c r="AH103" s="10">
        <f t="shared" si="58"/>
        <v>48300</v>
      </c>
      <c r="AJ103" s="11">
        <f t="shared" si="23"/>
        <v>95</v>
      </c>
      <c r="AK103" s="10">
        <v>95</v>
      </c>
      <c r="AL103" s="11">
        <f t="shared" si="63"/>
        <v>1250</v>
      </c>
      <c r="AM103" s="10">
        <v>1250</v>
      </c>
      <c r="AN103" s="11">
        <f t="shared" si="63"/>
        <v>1250</v>
      </c>
      <c r="AO103" s="10">
        <v>1250</v>
      </c>
      <c r="AP103" s="56">
        <f t="shared" si="29"/>
        <v>2</v>
      </c>
      <c r="AR103" s="11">
        <f ca="1">IFERROR(OFFSET(ITEM_RES!$A$1,MATCH(AS103,ITEM_RES!$J:$J,0)-1,0),0)</f>
        <v>0</v>
      </c>
      <c r="AS103" s="10" t="s">
        <v>476</v>
      </c>
      <c r="AT103" s="11">
        <v>6250</v>
      </c>
      <c r="AW103" s="11">
        <f ca="1">IFERROR(OFFSET(ITEM_RES!$A$1,MATCH(AX103,ITEM_RES!$J:$J,0)-1,0),0)</f>
        <v>211020501</v>
      </c>
      <c r="AX103" s="10" t="s">
        <v>451</v>
      </c>
      <c r="AY103" s="11">
        <v>6250</v>
      </c>
      <c r="BB103" s="11">
        <f ca="1">IFERROR(OFFSET(ITEM_RES!$A$1,MATCH(BC103,ITEM_RES!$J:$J,0)-1,0),0)</f>
        <v>0</v>
      </c>
      <c r="BG103" s="11">
        <f ca="1">IFERROR(OFFSET(ITEM_RES!$A$1,MATCH(BH103,ITEM_RES!$J:$J,0)-1,0),0)</f>
        <v>0</v>
      </c>
      <c r="BL103" s="11">
        <f ca="1">IFERROR(OFFSET(ITEM_RES!$A$1,MATCH(BM103,ITEM_RES!$J:$J,0)-1,0),0)</f>
        <v>0</v>
      </c>
      <c r="BN103" s="11">
        <f t="shared" si="62"/>
        <v>0</v>
      </c>
    </row>
    <row r="104" spans="1:67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L104" s="9" t="s">
        <v>980</v>
      </c>
      <c r="M104" s="9" t="s">
        <v>1001</v>
      </c>
      <c r="N104" s="9">
        <v>0</v>
      </c>
      <c r="O104" s="9">
        <v>15</v>
      </c>
      <c r="P104" s="9" t="s">
        <v>823</v>
      </c>
      <c r="T104" s="9" t="s">
        <v>756</v>
      </c>
      <c r="V104" s="85" t="s">
        <v>571</v>
      </c>
      <c r="W104" s="9">
        <f ca="1">IFERROR(OFFSET(ITEM_RES!$A$5,MATCH(BUILDING!V104,ITEM_RES!$J$5:$J$226,0)-1,0),0)</f>
        <v>211021101</v>
      </c>
      <c r="X104" s="11">
        <v>100</v>
      </c>
      <c r="Y104" s="85" t="s">
        <v>570</v>
      </c>
      <c r="Z104" s="9">
        <f ca="1">IFERROR(OFFSET(ITEM_RES!$A$5,MATCH(BUILDING!Y104,ITEM_RES!$J$5:$J$226,0)-1,0),0)</f>
        <v>211010401</v>
      </c>
      <c r="AB104" s="9" t="s">
        <v>540</v>
      </c>
      <c r="AC104" s="9">
        <v>20</v>
      </c>
      <c r="AE104" s="9">
        <v>120000</v>
      </c>
      <c r="AG104" s="56">
        <f t="shared" si="26"/>
        <v>31500</v>
      </c>
      <c r="AH104" s="10">
        <f t="shared" si="58"/>
        <v>57750</v>
      </c>
      <c r="AJ104" s="11">
        <f t="shared" si="23"/>
        <v>100</v>
      </c>
      <c r="AK104" s="10">
        <v>100</v>
      </c>
      <c r="AL104" s="11">
        <f t="shared" si="63"/>
        <v>1500</v>
      </c>
      <c r="AM104" s="10">
        <v>1500</v>
      </c>
      <c r="AN104" s="11">
        <f t="shared" si="63"/>
        <v>1500</v>
      </c>
      <c r="AO104" s="10">
        <v>1500</v>
      </c>
      <c r="AP104" s="56">
        <f t="shared" si="29"/>
        <v>2</v>
      </c>
      <c r="AR104" s="11">
        <f ca="1">IFERROR(OFFSET(ITEM_RES!$A$1,MATCH(AS104,ITEM_RES!$J:$J,0)-1,0),0)</f>
        <v>0</v>
      </c>
      <c r="AS104" s="10" t="s">
        <v>476</v>
      </c>
      <c r="AT104" s="11">
        <v>7500</v>
      </c>
      <c r="AW104" s="11">
        <f ca="1">IFERROR(OFFSET(ITEM_RES!$A$1,MATCH(AX104,ITEM_RES!$J:$J,0)-1,0),0)</f>
        <v>211020501</v>
      </c>
      <c r="AX104" s="10" t="s">
        <v>451</v>
      </c>
      <c r="AY104" s="11">
        <v>7500</v>
      </c>
      <c r="BB104" s="11">
        <f ca="1">IFERROR(OFFSET(ITEM_RES!$A$1,MATCH(BC104,ITEM_RES!$J:$J,0)-1,0),0)</f>
        <v>0</v>
      </c>
      <c r="BG104" s="11">
        <f ca="1">IFERROR(OFFSET(ITEM_RES!$A$1,MATCH(BH104,ITEM_RES!$J:$J,0)-1,0),0)</f>
        <v>0</v>
      </c>
      <c r="BL104" s="11">
        <f ca="1">IFERROR(OFFSET(ITEM_RES!$A$1,MATCH(BM104,ITEM_RES!$J:$J,0)-1,0),0)</f>
        <v>0</v>
      </c>
      <c r="BN104" s="11">
        <f t="shared" si="62"/>
        <v>0</v>
      </c>
    </row>
    <row r="105" spans="1:67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820</v>
      </c>
      <c r="L105" s="67" t="s">
        <v>981</v>
      </c>
      <c r="M105" s="67" t="s">
        <v>1002</v>
      </c>
      <c r="N105" s="16">
        <v>1</v>
      </c>
      <c r="O105" s="16">
        <v>15</v>
      </c>
      <c r="P105" s="16" t="s">
        <v>822</v>
      </c>
      <c r="Q105" s="17"/>
      <c r="R105" s="17"/>
      <c r="S105" s="18"/>
      <c r="T105" s="16" t="s">
        <v>821</v>
      </c>
      <c r="U105" s="79"/>
      <c r="V105" s="87" t="s">
        <v>578</v>
      </c>
      <c r="W105" s="16">
        <f ca="1">IFERROR(OFFSET(ITEM_RES!$A$5,MATCH(BUILDING!V105,ITEM_RES!$J$5:$J$226,0)-1,0),0)</f>
        <v>211021001</v>
      </c>
      <c r="X105" s="18">
        <v>10</v>
      </c>
      <c r="Y105" s="87" t="s">
        <v>571</v>
      </c>
      <c r="Z105" s="16">
        <f ca="1">IFERROR(OFFSET(ITEM_RES!$A$5,MATCH(BUILDING!Y105,ITEM_RES!$J$5:$J$226,0)-1,0),0)</f>
        <v>211021101</v>
      </c>
      <c r="AA105" s="79"/>
      <c r="AB105" s="16" t="s">
        <v>541</v>
      </c>
      <c r="AC105" s="16">
        <v>1</v>
      </c>
      <c r="AD105" s="79"/>
      <c r="AE105" s="16">
        <v>0</v>
      </c>
      <c r="AF105" s="79"/>
      <c r="AG105" s="57">
        <f t="shared" si="26"/>
        <v>605</v>
      </c>
      <c r="AH105" s="17">
        <f>AG105</f>
        <v>605</v>
      </c>
      <c r="AI105" s="79"/>
      <c r="AJ105" s="18">
        <f t="shared" si="23"/>
        <v>5</v>
      </c>
      <c r="AK105" s="17">
        <v>5</v>
      </c>
      <c r="AL105" s="18">
        <f t="shared" si="63"/>
        <v>5</v>
      </c>
      <c r="AM105" s="17">
        <v>5</v>
      </c>
      <c r="AN105" s="18">
        <f t="shared" si="63"/>
        <v>5</v>
      </c>
      <c r="AO105" s="17">
        <v>5</v>
      </c>
      <c r="AP105" s="57">
        <f t="shared" si="29"/>
        <v>3</v>
      </c>
      <c r="AQ105" s="18"/>
      <c r="AR105" s="18">
        <f ca="1">IFERROR(OFFSET(ITEM_RES!$A$1,MATCH(AS105,ITEM_RES!$J:$J,0)-1,0),0)</f>
        <v>211020201</v>
      </c>
      <c r="AS105" s="17" t="s">
        <v>449</v>
      </c>
      <c r="AT105" s="18">
        <v>25</v>
      </c>
      <c r="AU105" s="17"/>
      <c r="AV105" s="18"/>
      <c r="AW105" s="18">
        <f ca="1">IFERROR(OFFSET(ITEM_RES!$A$1,MATCH(AX105,ITEM_RES!$J:$J,0)-1,0),0)</f>
        <v>211020401</v>
      </c>
      <c r="AX105" s="17" t="s">
        <v>440</v>
      </c>
      <c r="AY105" s="18">
        <v>25</v>
      </c>
      <c r="AZ105" s="17"/>
      <c r="BA105" s="18"/>
      <c r="BB105" s="18">
        <f ca="1">IFERROR(OFFSET(ITEM_RES!$A$1,MATCH(BC105,ITEM_RES!$J:$J,0)-1,0),0)</f>
        <v>213010101</v>
      </c>
      <c r="BC105" s="17" t="s">
        <v>477</v>
      </c>
      <c r="BD105" s="18">
        <v>1</v>
      </c>
      <c r="BE105" s="17"/>
      <c r="BF105" s="18"/>
      <c r="BG105" s="18">
        <f ca="1">IFERROR(OFFSET(ITEM_RES!$A$1,MATCH(BH105,ITEM_RES!$J:$J,0)-1,0),0)</f>
        <v>0</v>
      </c>
      <c r="BH105" s="17"/>
      <c r="BI105" s="18"/>
      <c r="BJ105" s="17"/>
      <c r="BK105" s="18"/>
      <c r="BL105" s="18">
        <f ca="1">IFERROR(OFFSET(ITEM_RES!$A$1,MATCH(BM105,ITEM_RES!$J:$J,0)-1,0),0)</f>
        <v>0</v>
      </c>
      <c r="BM105" s="17"/>
      <c r="BN105" s="18">
        <f t="shared" si="62"/>
        <v>0</v>
      </c>
      <c r="BO105" s="17"/>
    </row>
    <row r="106" spans="1:67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820</v>
      </c>
      <c r="L106" s="9" t="s">
        <v>981</v>
      </c>
      <c r="M106" s="9" t="s">
        <v>1002</v>
      </c>
      <c r="N106" s="9">
        <v>1</v>
      </c>
      <c r="O106" s="9">
        <v>15</v>
      </c>
      <c r="P106" s="9" t="s">
        <v>822</v>
      </c>
      <c r="T106" s="9" t="s">
        <v>821</v>
      </c>
      <c r="V106" s="85" t="s">
        <v>420</v>
      </c>
      <c r="W106" s="9">
        <f ca="1">IFERROR(OFFSET(ITEM_RES!$A$5,MATCH(BUILDING!V106,ITEM_RES!$J$5:$J$226,0)-1,0),0)</f>
        <v>211021001</v>
      </c>
      <c r="X106" s="11">
        <v>10</v>
      </c>
      <c r="Y106" s="85" t="s">
        <v>571</v>
      </c>
      <c r="Z106" s="9">
        <f ca="1">IFERROR(OFFSET(ITEM_RES!$A$5,MATCH(BUILDING!Y106,ITEM_RES!$J$5:$J$226,0)-1,0),0)</f>
        <v>211021101</v>
      </c>
      <c r="AB106" s="9" t="s">
        <v>541</v>
      </c>
      <c r="AC106" s="9">
        <v>2</v>
      </c>
      <c r="AE106" s="9">
        <v>800</v>
      </c>
      <c r="AG106" s="56">
        <f t="shared" si="26"/>
        <v>210</v>
      </c>
      <c r="AH106" s="10">
        <f>AG105+AG106</f>
        <v>815</v>
      </c>
      <c r="AJ106" s="11">
        <f t="shared" si="23"/>
        <v>10</v>
      </c>
      <c r="AK106" s="10">
        <v>10</v>
      </c>
      <c r="AL106" s="11">
        <f t="shared" si="63"/>
        <v>10</v>
      </c>
      <c r="AM106" s="10">
        <v>10</v>
      </c>
      <c r="AN106" s="11">
        <f t="shared" si="63"/>
        <v>10</v>
      </c>
      <c r="AO106" s="10">
        <v>10</v>
      </c>
      <c r="AP106" s="56">
        <f t="shared" si="29"/>
        <v>2</v>
      </c>
      <c r="AR106" s="11">
        <f ca="1">IFERROR(OFFSET(ITEM_RES!$A$1,MATCH(AS106,ITEM_RES!$J:$J,0)-1,0),0)</f>
        <v>211020201</v>
      </c>
      <c r="AS106" s="10" t="s">
        <v>450</v>
      </c>
      <c r="AT106" s="11">
        <v>50</v>
      </c>
      <c r="AW106" s="11">
        <f ca="1">IFERROR(OFFSET(ITEM_RES!$A$1,MATCH(AX106,ITEM_RES!$J:$J,0)-1,0),0)</f>
        <v>211020401</v>
      </c>
      <c r="AX106" s="10" t="s">
        <v>440</v>
      </c>
      <c r="AY106" s="11">
        <v>50</v>
      </c>
      <c r="BB106" s="11">
        <f ca="1">IFERROR(OFFSET(ITEM_RES!$A$1,MATCH(BC106,ITEM_RES!$J:$J,0)-1,0),0)</f>
        <v>0</v>
      </c>
      <c r="BG106" s="11">
        <f ca="1">IFERROR(OFFSET(ITEM_RES!$A$1,MATCH(BH106,ITEM_RES!$J:$J,0)-1,0),0)</f>
        <v>0</v>
      </c>
      <c r="BL106" s="11">
        <f ca="1">IFERROR(OFFSET(ITEM_RES!$A$1,MATCH(BM106,ITEM_RES!$J:$J,0)-1,0),0)</f>
        <v>0</v>
      </c>
      <c r="BN106" s="11">
        <f t="shared" si="62"/>
        <v>0</v>
      </c>
    </row>
    <row r="107" spans="1:67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820</v>
      </c>
      <c r="L107" s="9" t="s">
        <v>981</v>
      </c>
      <c r="M107" s="9" t="s">
        <v>1002</v>
      </c>
      <c r="N107" s="9">
        <v>1</v>
      </c>
      <c r="O107" s="9">
        <v>15</v>
      </c>
      <c r="P107" s="9" t="s">
        <v>822</v>
      </c>
      <c r="T107" s="9" t="s">
        <v>821</v>
      </c>
      <c r="V107" s="85" t="s">
        <v>420</v>
      </c>
      <c r="W107" s="9">
        <f ca="1">IFERROR(OFFSET(ITEM_RES!$A$5,MATCH(BUILDING!V107,ITEM_RES!$J$5:$J$226,0)-1,0),0)</f>
        <v>211021001</v>
      </c>
      <c r="X107" s="11">
        <v>10</v>
      </c>
      <c r="Y107" s="85" t="s">
        <v>571</v>
      </c>
      <c r="Z107" s="9">
        <f ca="1">IFERROR(OFFSET(ITEM_RES!$A$5,MATCH(BUILDING!Y107,ITEM_RES!$J$5:$J$226,0)-1,0),0)</f>
        <v>211021101</v>
      </c>
      <c r="AB107" s="9" t="s">
        <v>541</v>
      </c>
      <c r="AC107" s="9">
        <v>3</v>
      </c>
      <c r="AE107" s="9">
        <v>1200</v>
      </c>
      <c r="AG107" s="56">
        <f t="shared" si="26"/>
        <v>315</v>
      </c>
      <c r="AH107" s="10">
        <f t="shared" ref="AH107:AH124" si="64">AG106+AG107</f>
        <v>525</v>
      </c>
      <c r="AJ107" s="11">
        <f t="shared" si="23"/>
        <v>15</v>
      </c>
      <c r="AK107" s="10">
        <v>15</v>
      </c>
      <c r="AL107" s="11">
        <f t="shared" si="63"/>
        <v>15</v>
      </c>
      <c r="AM107" s="10">
        <v>15</v>
      </c>
      <c r="AN107" s="11">
        <f t="shared" si="63"/>
        <v>15</v>
      </c>
      <c r="AO107" s="10">
        <v>15</v>
      </c>
      <c r="AP107" s="56">
        <f t="shared" si="29"/>
        <v>2</v>
      </c>
      <c r="AR107" s="11">
        <f ca="1">IFERROR(OFFSET(ITEM_RES!$A$1,MATCH(AS107,ITEM_RES!$J:$J,0)-1,0),0)</f>
        <v>211020201</v>
      </c>
      <c r="AS107" s="10" t="s">
        <v>449</v>
      </c>
      <c r="AT107" s="11">
        <v>75</v>
      </c>
      <c r="AW107" s="11">
        <f ca="1">IFERROR(OFFSET(ITEM_RES!$A$1,MATCH(AX107,ITEM_RES!$J:$J,0)-1,0),0)</f>
        <v>211020401</v>
      </c>
      <c r="AX107" s="10" t="s">
        <v>440</v>
      </c>
      <c r="AY107" s="11">
        <v>75</v>
      </c>
      <c r="BB107" s="11">
        <f ca="1">IFERROR(OFFSET(ITEM_RES!$A$1,MATCH(BC107,ITEM_RES!$J:$J,0)-1,0),0)</f>
        <v>0</v>
      </c>
      <c r="BG107" s="11">
        <f ca="1">IFERROR(OFFSET(ITEM_RES!$A$1,MATCH(BH107,ITEM_RES!$J:$J,0)-1,0),0)</f>
        <v>0</v>
      </c>
      <c r="BL107" s="11">
        <f ca="1">IFERROR(OFFSET(ITEM_RES!$A$1,MATCH(BM107,ITEM_RES!$J:$J,0)-1,0),0)</f>
        <v>0</v>
      </c>
      <c r="BN107" s="11">
        <f t="shared" si="62"/>
        <v>0</v>
      </c>
    </row>
    <row r="108" spans="1:67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820</v>
      </c>
      <c r="L108" s="9" t="s">
        <v>981</v>
      </c>
      <c r="M108" s="9" t="s">
        <v>1002</v>
      </c>
      <c r="N108" s="9">
        <v>1</v>
      </c>
      <c r="O108" s="9">
        <v>15</v>
      </c>
      <c r="P108" s="9" t="s">
        <v>822</v>
      </c>
      <c r="T108" s="9" t="s">
        <v>821</v>
      </c>
      <c r="V108" s="85" t="s">
        <v>420</v>
      </c>
      <c r="W108" s="9">
        <f ca="1">IFERROR(OFFSET(ITEM_RES!$A$5,MATCH(BUILDING!V108,ITEM_RES!$J$5:$J$226,0)-1,0),0)</f>
        <v>211021001</v>
      </c>
      <c r="X108" s="11">
        <v>10</v>
      </c>
      <c r="Y108" s="85" t="s">
        <v>571</v>
      </c>
      <c r="Z108" s="9">
        <f ca="1">IFERROR(OFFSET(ITEM_RES!$A$5,MATCH(BUILDING!Y108,ITEM_RES!$J$5:$J$226,0)-1,0),0)</f>
        <v>211021101</v>
      </c>
      <c r="AB108" s="9" t="s">
        <v>541</v>
      </c>
      <c r="AC108" s="9">
        <v>4</v>
      </c>
      <c r="AE108" s="9">
        <v>2000</v>
      </c>
      <c r="AG108" s="56">
        <f t="shared" si="26"/>
        <v>525</v>
      </c>
      <c r="AH108" s="10">
        <f t="shared" si="64"/>
        <v>840</v>
      </c>
      <c r="AJ108" s="11">
        <f t="shared" si="23"/>
        <v>20</v>
      </c>
      <c r="AK108" s="10">
        <v>20</v>
      </c>
      <c r="AL108" s="11">
        <f t="shared" si="63"/>
        <v>25</v>
      </c>
      <c r="AM108" s="10">
        <v>25</v>
      </c>
      <c r="AN108" s="11">
        <f t="shared" si="63"/>
        <v>25</v>
      </c>
      <c r="AO108" s="10">
        <v>25</v>
      </c>
      <c r="AP108" s="56">
        <f t="shared" si="29"/>
        <v>2</v>
      </c>
      <c r="AR108" s="11">
        <f ca="1">IFERROR(OFFSET(ITEM_RES!$A$1,MATCH(AS108,ITEM_RES!$J:$J,0)-1,0),0)</f>
        <v>211020201</v>
      </c>
      <c r="AS108" s="10" t="s">
        <v>450</v>
      </c>
      <c r="AT108" s="11">
        <v>125</v>
      </c>
      <c r="AW108" s="11">
        <f ca="1">IFERROR(OFFSET(ITEM_RES!$A$1,MATCH(AX108,ITEM_RES!$J:$J,0)-1,0),0)</f>
        <v>211020401</v>
      </c>
      <c r="AX108" s="10" t="s">
        <v>440</v>
      </c>
      <c r="AY108" s="11">
        <v>125</v>
      </c>
      <c r="BB108" s="11">
        <f ca="1">IFERROR(OFFSET(ITEM_RES!$A$1,MATCH(BC108,ITEM_RES!$J:$J,0)-1,0),0)</f>
        <v>0</v>
      </c>
      <c r="BG108" s="11">
        <f ca="1">IFERROR(OFFSET(ITEM_RES!$A$1,MATCH(BH108,ITEM_RES!$J:$J,0)-1,0),0)</f>
        <v>0</v>
      </c>
      <c r="BL108" s="11">
        <f ca="1">IFERROR(OFFSET(ITEM_RES!$A$1,MATCH(BM108,ITEM_RES!$J:$J,0)-1,0),0)</f>
        <v>0</v>
      </c>
      <c r="BN108" s="11">
        <f t="shared" si="62"/>
        <v>0</v>
      </c>
    </row>
    <row r="109" spans="1:67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820</v>
      </c>
      <c r="L109" s="9" t="s">
        <v>981</v>
      </c>
      <c r="M109" s="9" t="s">
        <v>1002</v>
      </c>
      <c r="N109" s="9">
        <v>1</v>
      </c>
      <c r="O109" s="9">
        <v>15</v>
      </c>
      <c r="P109" s="9" t="s">
        <v>822</v>
      </c>
      <c r="T109" s="9" t="s">
        <v>821</v>
      </c>
      <c r="V109" s="85" t="s">
        <v>420</v>
      </c>
      <c r="W109" s="9">
        <f ca="1">IFERROR(OFFSET(ITEM_RES!$A$5,MATCH(BUILDING!V109,ITEM_RES!$J$5:$J$226,0)-1,0),0)</f>
        <v>211021001</v>
      </c>
      <c r="X109" s="11">
        <v>10</v>
      </c>
      <c r="Y109" s="85" t="s">
        <v>571</v>
      </c>
      <c r="Z109" s="9">
        <f ca="1">IFERROR(OFFSET(ITEM_RES!$A$5,MATCH(BUILDING!Y109,ITEM_RES!$J$5:$J$226,0)-1,0),0)</f>
        <v>211021101</v>
      </c>
      <c r="AB109" s="9" t="s">
        <v>541</v>
      </c>
      <c r="AC109" s="9">
        <v>5</v>
      </c>
      <c r="AE109" s="9">
        <v>3200</v>
      </c>
      <c r="AG109" s="56">
        <f t="shared" si="26"/>
        <v>840</v>
      </c>
      <c r="AH109" s="10">
        <f t="shared" si="64"/>
        <v>1365</v>
      </c>
      <c r="AJ109" s="11">
        <f t="shared" si="23"/>
        <v>25</v>
      </c>
      <c r="AK109" s="10">
        <v>25</v>
      </c>
      <c r="AL109" s="11">
        <f t="shared" si="63"/>
        <v>40</v>
      </c>
      <c r="AM109" s="10">
        <v>40</v>
      </c>
      <c r="AN109" s="11">
        <f t="shared" si="63"/>
        <v>40</v>
      </c>
      <c r="AO109" s="10">
        <v>40</v>
      </c>
      <c r="AP109" s="56">
        <f t="shared" si="29"/>
        <v>2</v>
      </c>
      <c r="AR109" s="11">
        <f ca="1">IFERROR(OFFSET(ITEM_RES!$A$1,MATCH(AS109,ITEM_RES!$J:$J,0)-1,0),0)</f>
        <v>211020201</v>
      </c>
      <c r="AS109" s="10" t="s">
        <v>449</v>
      </c>
      <c r="AT109" s="11">
        <v>200</v>
      </c>
      <c r="AW109" s="11">
        <f ca="1">IFERROR(OFFSET(ITEM_RES!$A$1,MATCH(AX109,ITEM_RES!$J:$J,0)-1,0),0)</f>
        <v>211020401</v>
      </c>
      <c r="AX109" s="10" t="s">
        <v>440</v>
      </c>
      <c r="AY109" s="11">
        <v>200</v>
      </c>
      <c r="BB109" s="11">
        <f ca="1">IFERROR(OFFSET(ITEM_RES!$A$1,MATCH(BC109,ITEM_RES!$J:$J,0)-1,0),0)</f>
        <v>0</v>
      </c>
      <c r="BG109" s="11">
        <f ca="1">IFERROR(OFFSET(ITEM_RES!$A$1,MATCH(BH109,ITEM_RES!$J:$J,0)-1,0),0)</f>
        <v>0</v>
      </c>
      <c r="BL109" s="11">
        <f ca="1">IFERROR(OFFSET(ITEM_RES!$A$1,MATCH(BM109,ITEM_RES!$J:$J,0)-1,0),0)</f>
        <v>0</v>
      </c>
      <c r="BN109" s="11">
        <f t="shared" si="62"/>
        <v>0</v>
      </c>
    </row>
    <row r="110" spans="1:67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820</v>
      </c>
      <c r="L110" s="9" t="s">
        <v>981</v>
      </c>
      <c r="M110" s="9" t="s">
        <v>1002</v>
      </c>
      <c r="N110" s="9">
        <v>1</v>
      </c>
      <c r="O110" s="9">
        <v>15</v>
      </c>
      <c r="P110" s="9" t="s">
        <v>822</v>
      </c>
      <c r="T110" s="9" t="s">
        <v>821</v>
      </c>
      <c r="V110" s="85" t="s">
        <v>420</v>
      </c>
      <c r="W110" s="9">
        <f ca="1">IFERROR(OFFSET(ITEM_RES!$A$5,MATCH(BUILDING!V110,ITEM_RES!$J$5:$J$226,0)-1,0),0)</f>
        <v>211021001</v>
      </c>
      <c r="X110" s="11">
        <v>10</v>
      </c>
      <c r="Y110" s="85" t="s">
        <v>571</v>
      </c>
      <c r="Z110" s="9">
        <f ca="1">IFERROR(OFFSET(ITEM_RES!$A$5,MATCH(BUILDING!Y110,ITEM_RES!$J$5:$J$226,0)-1,0),0)</f>
        <v>211021101</v>
      </c>
      <c r="AB110" s="9" t="s">
        <v>541</v>
      </c>
      <c r="AC110" s="9">
        <v>6</v>
      </c>
      <c r="AE110" s="9">
        <v>4000</v>
      </c>
      <c r="AG110" s="56">
        <f t="shared" si="26"/>
        <v>1050</v>
      </c>
      <c r="AH110" s="10">
        <f t="shared" si="64"/>
        <v>1890</v>
      </c>
      <c r="AJ110" s="11">
        <f t="shared" si="23"/>
        <v>30</v>
      </c>
      <c r="AK110" s="10">
        <v>30</v>
      </c>
      <c r="AL110" s="11">
        <f t="shared" si="63"/>
        <v>50</v>
      </c>
      <c r="AM110" s="10">
        <v>50</v>
      </c>
      <c r="AN110" s="11">
        <f t="shared" si="63"/>
        <v>50</v>
      </c>
      <c r="AO110" s="10">
        <v>50</v>
      </c>
      <c r="AP110" s="56">
        <f t="shared" si="29"/>
        <v>2</v>
      </c>
      <c r="AR110" s="11">
        <f ca="1">IFERROR(OFFSET(ITEM_RES!$A$1,MATCH(AS110,ITEM_RES!$J:$J,0)-1,0),0)</f>
        <v>211020201</v>
      </c>
      <c r="AS110" s="10" t="s">
        <v>450</v>
      </c>
      <c r="AT110" s="11">
        <v>250</v>
      </c>
      <c r="AW110" s="11">
        <f ca="1">IFERROR(OFFSET(ITEM_RES!$A$1,MATCH(AX110,ITEM_RES!$J:$J,0)-1,0),0)</f>
        <v>211020401</v>
      </c>
      <c r="AX110" s="10" t="s">
        <v>440</v>
      </c>
      <c r="AY110" s="11">
        <v>250</v>
      </c>
      <c r="BB110" s="11">
        <f ca="1">IFERROR(OFFSET(ITEM_RES!$A$1,MATCH(BC110,ITEM_RES!$J:$J,0)-1,0),0)</f>
        <v>0</v>
      </c>
      <c r="BG110" s="11">
        <f ca="1">IFERROR(OFFSET(ITEM_RES!$A$1,MATCH(BH110,ITEM_RES!$J:$J,0)-1,0),0)</f>
        <v>0</v>
      </c>
      <c r="BL110" s="11">
        <f ca="1">IFERROR(OFFSET(ITEM_RES!$A$1,MATCH(BM110,ITEM_RES!$J:$J,0)-1,0),0)</f>
        <v>0</v>
      </c>
      <c r="BN110" s="11">
        <f t="shared" si="62"/>
        <v>0</v>
      </c>
    </row>
    <row r="111" spans="1:67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820</v>
      </c>
      <c r="L111" s="9" t="s">
        <v>981</v>
      </c>
      <c r="M111" s="9" t="s">
        <v>1002</v>
      </c>
      <c r="N111" s="9">
        <v>1</v>
      </c>
      <c r="O111" s="9">
        <v>15</v>
      </c>
      <c r="P111" s="9" t="s">
        <v>822</v>
      </c>
      <c r="T111" s="9" t="s">
        <v>821</v>
      </c>
      <c r="V111" s="85" t="s">
        <v>420</v>
      </c>
      <c r="W111" s="9">
        <f ca="1">IFERROR(OFFSET(ITEM_RES!$A$5,MATCH(BUILDING!V111,ITEM_RES!$J$5:$J$226,0)-1,0),0)</f>
        <v>211021001</v>
      </c>
      <c r="X111" s="11">
        <v>10</v>
      </c>
      <c r="Y111" s="85" t="s">
        <v>571</v>
      </c>
      <c r="Z111" s="9">
        <f ca="1">IFERROR(OFFSET(ITEM_RES!$A$5,MATCH(BUILDING!Y111,ITEM_RES!$J$5:$J$226,0)-1,0),0)</f>
        <v>211021101</v>
      </c>
      <c r="AB111" s="9" t="s">
        <v>541</v>
      </c>
      <c r="AC111" s="9">
        <v>7</v>
      </c>
      <c r="AE111" s="9">
        <v>8000</v>
      </c>
      <c r="AG111" s="56">
        <f t="shared" si="26"/>
        <v>2100</v>
      </c>
      <c r="AH111" s="10">
        <f t="shared" si="64"/>
        <v>3150</v>
      </c>
      <c r="AJ111" s="11">
        <f t="shared" si="23"/>
        <v>35</v>
      </c>
      <c r="AK111" s="10">
        <v>35</v>
      </c>
      <c r="AL111" s="11">
        <f t="shared" si="63"/>
        <v>100</v>
      </c>
      <c r="AM111" s="10">
        <v>100</v>
      </c>
      <c r="AN111" s="11">
        <f t="shared" si="63"/>
        <v>100</v>
      </c>
      <c r="AO111" s="10">
        <v>100</v>
      </c>
      <c r="AP111" s="56">
        <f t="shared" si="29"/>
        <v>2</v>
      </c>
      <c r="AR111" s="11">
        <f ca="1">IFERROR(OFFSET(ITEM_RES!$A$1,MATCH(AS111,ITEM_RES!$J:$J,0)-1,0),0)</f>
        <v>211020201</v>
      </c>
      <c r="AS111" s="10" t="s">
        <v>449</v>
      </c>
      <c r="AT111" s="11">
        <v>500</v>
      </c>
      <c r="AW111" s="11">
        <f ca="1">IFERROR(OFFSET(ITEM_RES!$A$1,MATCH(AX111,ITEM_RES!$J:$J,0)-1,0),0)</f>
        <v>211020401</v>
      </c>
      <c r="AX111" s="10" t="s">
        <v>440</v>
      </c>
      <c r="AY111" s="11">
        <v>500</v>
      </c>
      <c r="BB111" s="11">
        <f ca="1">IFERROR(OFFSET(ITEM_RES!$A$1,MATCH(BC111,ITEM_RES!$J:$J,0)-1,0),0)</f>
        <v>0</v>
      </c>
      <c r="BG111" s="11">
        <f ca="1">IFERROR(OFFSET(ITEM_RES!$A$1,MATCH(BH111,ITEM_RES!$J:$J,0)-1,0),0)</f>
        <v>0</v>
      </c>
      <c r="BL111" s="11">
        <f ca="1">IFERROR(OFFSET(ITEM_RES!$A$1,MATCH(BM111,ITEM_RES!$J:$J,0)-1,0),0)</f>
        <v>0</v>
      </c>
      <c r="BN111" s="11">
        <f t="shared" si="62"/>
        <v>0</v>
      </c>
    </row>
    <row r="112" spans="1:67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820</v>
      </c>
      <c r="L112" s="9" t="s">
        <v>981</v>
      </c>
      <c r="M112" s="9" t="s">
        <v>1002</v>
      </c>
      <c r="N112" s="9">
        <v>1</v>
      </c>
      <c r="O112" s="9">
        <v>15</v>
      </c>
      <c r="P112" s="9" t="s">
        <v>822</v>
      </c>
      <c r="T112" s="9" t="s">
        <v>821</v>
      </c>
      <c r="V112" s="85" t="s">
        <v>420</v>
      </c>
      <c r="W112" s="9">
        <f ca="1">IFERROR(OFFSET(ITEM_RES!$A$5,MATCH(BUILDING!V112,ITEM_RES!$J$5:$J$226,0)-1,0),0)</f>
        <v>211021001</v>
      </c>
      <c r="X112" s="11">
        <v>10</v>
      </c>
      <c r="Y112" s="85" t="s">
        <v>571</v>
      </c>
      <c r="Z112" s="9">
        <f ca="1">IFERROR(OFFSET(ITEM_RES!$A$5,MATCH(BUILDING!Y112,ITEM_RES!$J$5:$J$226,0)-1,0),0)</f>
        <v>211021101</v>
      </c>
      <c r="AB112" s="9" t="s">
        <v>541</v>
      </c>
      <c r="AC112" s="9">
        <v>8</v>
      </c>
      <c r="AE112" s="9">
        <v>8000</v>
      </c>
      <c r="AG112" s="56">
        <f t="shared" si="26"/>
        <v>2100</v>
      </c>
      <c r="AH112" s="10">
        <f t="shared" si="64"/>
        <v>4200</v>
      </c>
      <c r="AJ112" s="11">
        <f t="shared" si="23"/>
        <v>40</v>
      </c>
      <c r="AK112" s="10">
        <v>40</v>
      </c>
      <c r="AL112" s="11">
        <f t="shared" si="63"/>
        <v>100</v>
      </c>
      <c r="AM112" s="10">
        <v>100</v>
      </c>
      <c r="AN112" s="11">
        <f t="shared" si="63"/>
        <v>100</v>
      </c>
      <c r="AO112" s="10">
        <v>100</v>
      </c>
      <c r="AP112" s="56">
        <f t="shared" si="29"/>
        <v>2</v>
      </c>
      <c r="AR112" s="11">
        <f ca="1">IFERROR(OFFSET(ITEM_RES!$A$1,MATCH(AS112,ITEM_RES!$J:$J,0)-1,0),0)</f>
        <v>211020201</v>
      </c>
      <c r="AS112" s="10" t="s">
        <v>450</v>
      </c>
      <c r="AT112" s="11">
        <v>500</v>
      </c>
      <c r="AW112" s="11">
        <f ca="1">IFERROR(OFFSET(ITEM_RES!$A$1,MATCH(AX112,ITEM_RES!$J:$J,0)-1,0),0)</f>
        <v>211020401</v>
      </c>
      <c r="AX112" s="10" t="s">
        <v>440</v>
      </c>
      <c r="AY112" s="11">
        <v>500</v>
      </c>
      <c r="BB112" s="11">
        <f ca="1">IFERROR(OFFSET(ITEM_RES!$A$1,MATCH(BC112,ITEM_RES!$J:$J,0)-1,0),0)</f>
        <v>0</v>
      </c>
      <c r="BG112" s="11">
        <f ca="1">IFERROR(OFFSET(ITEM_RES!$A$1,MATCH(BH112,ITEM_RES!$J:$J,0)-1,0),0)</f>
        <v>0</v>
      </c>
      <c r="BL112" s="11">
        <f ca="1">IFERROR(OFFSET(ITEM_RES!$A$1,MATCH(BM112,ITEM_RES!$J:$J,0)-1,0),0)</f>
        <v>0</v>
      </c>
      <c r="BN112" s="11">
        <f t="shared" si="62"/>
        <v>0</v>
      </c>
    </row>
    <row r="113" spans="1:67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820</v>
      </c>
      <c r="L113" s="9" t="s">
        <v>981</v>
      </c>
      <c r="M113" s="9" t="s">
        <v>1002</v>
      </c>
      <c r="N113" s="9">
        <v>1</v>
      </c>
      <c r="O113" s="9">
        <v>15</v>
      </c>
      <c r="P113" s="9" t="s">
        <v>822</v>
      </c>
      <c r="T113" s="9" t="s">
        <v>821</v>
      </c>
      <c r="V113" s="85" t="s">
        <v>420</v>
      </c>
      <c r="W113" s="9">
        <f ca="1">IFERROR(OFFSET(ITEM_RES!$A$5,MATCH(BUILDING!V113,ITEM_RES!$J$5:$J$226,0)-1,0),0)</f>
        <v>211021001</v>
      </c>
      <c r="X113" s="11">
        <v>10</v>
      </c>
      <c r="Y113" s="85" t="s">
        <v>571</v>
      </c>
      <c r="Z113" s="9">
        <f ca="1">IFERROR(OFFSET(ITEM_RES!$A$5,MATCH(BUILDING!Y113,ITEM_RES!$J$5:$J$226,0)-1,0),0)</f>
        <v>211021101</v>
      </c>
      <c r="AB113" s="9" t="s">
        <v>541</v>
      </c>
      <c r="AC113" s="9">
        <v>9</v>
      </c>
      <c r="AE113" s="9">
        <v>12000</v>
      </c>
      <c r="AG113" s="56">
        <f t="shared" si="26"/>
        <v>3150</v>
      </c>
      <c r="AH113" s="10">
        <f t="shared" si="64"/>
        <v>5250</v>
      </c>
      <c r="AJ113" s="11">
        <f t="shared" si="23"/>
        <v>45</v>
      </c>
      <c r="AK113" s="10">
        <v>45</v>
      </c>
      <c r="AL113" s="11">
        <f t="shared" si="63"/>
        <v>150</v>
      </c>
      <c r="AM113" s="10">
        <v>150</v>
      </c>
      <c r="AN113" s="11">
        <f t="shared" si="63"/>
        <v>150</v>
      </c>
      <c r="AO113" s="10">
        <v>150</v>
      </c>
      <c r="AP113" s="56">
        <f t="shared" si="29"/>
        <v>2</v>
      </c>
      <c r="AR113" s="11">
        <f ca="1">IFERROR(OFFSET(ITEM_RES!$A$1,MATCH(AS113,ITEM_RES!$J:$J,0)-1,0),0)</f>
        <v>211020201</v>
      </c>
      <c r="AS113" s="10" t="s">
        <v>449</v>
      </c>
      <c r="AT113" s="11">
        <v>750</v>
      </c>
      <c r="AW113" s="11">
        <f ca="1">IFERROR(OFFSET(ITEM_RES!$A$1,MATCH(AX113,ITEM_RES!$J:$J,0)-1,0),0)</f>
        <v>211020401</v>
      </c>
      <c r="AX113" s="10" t="s">
        <v>440</v>
      </c>
      <c r="AY113" s="11">
        <v>750</v>
      </c>
      <c r="BB113" s="11">
        <f ca="1">IFERROR(OFFSET(ITEM_RES!$A$1,MATCH(BC113,ITEM_RES!$J:$J,0)-1,0),0)</f>
        <v>0</v>
      </c>
      <c r="BG113" s="11">
        <f ca="1">IFERROR(OFFSET(ITEM_RES!$A$1,MATCH(BH113,ITEM_RES!$J:$J,0)-1,0),0)</f>
        <v>0</v>
      </c>
      <c r="BL113" s="11">
        <f ca="1">IFERROR(OFFSET(ITEM_RES!$A$1,MATCH(BM113,ITEM_RES!$J:$J,0)-1,0),0)</f>
        <v>0</v>
      </c>
      <c r="BN113" s="11">
        <f t="shared" si="62"/>
        <v>0</v>
      </c>
    </row>
    <row r="114" spans="1:67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820</v>
      </c>
      <c r="L114" s="9" t="s">
        <v>981</v>
      </c>
      <c r="M114" s="9" t="s">
        <v>1002</v>
      </c>
      <c r="N114" s="9">
        <v>1</v>
      </c>
      <c r="O114" s="9">
        <v>15</v>
      </c>
      <c r="P114" s="9" t="s">
        <v>822</v>
      </c>
      <c r="T114" s="9" t="s">
        <v>821</v>
      </c>
      <c r="V114" s="85" t="s">
        <v>420</v>
      </c>
      <c r="W114" s="9">
        <f ca="1">IFERROR(OFFSET(ITEM_RES!$A$5,MATCH(BUILDING!V114,ITEM_RES!$J$5:$J$226,0)-1,0),0)</f>
        <v>211021001</v>
      </c>
      <c r="X114" s="11">
        <v>10</v>
      </c>
      <c r="Y114" s="85" t="s">
        <v>571</v>
      </c>
      <c r="Z114" s="9">
        <f ca="1">IFERROR(OFFSET(ITEM_RES!$A$5,MATCH(BUILDING!Y114,ITEM_RES!$J$5:$J$226,0)-1,0),0)</f>
        <v>211021101</v>
      </c>
      <c r="AB114" s="9" t="s">
        <v>541</v>
      </c>
      <c r="AC114" s="9">
        <v>10</v>
      </c>
      <c r="AE114" s="9">
        <v>16000</v>
      </c>
      <c r="AG114" s="56">
        <f t="shared" si="26"/>
        <v>4200</v>
      </c>
      <c r="AH114" s="10">
        <f t="shared" si="64"/>
        <v>7350</v>
      </c>
      <c r="AJ114" s="11">
        <f t="shared" si="23"/>
        <v>50</v>
      </c>
      <c r="AK114" s="10">
        <v>50</v>
      </c>
      <c r="AL114" s="11">
        <f t="shared" si="63"/>
        <v>200</v>
      </c>
      <c r="AM114" s="10">
        <v>200</v>
      </c>
      <c r="AN114" s="11">
        <f t="shared" si="63"/>
        <v>200</v>
      </c>
      <c r="AO114" s="10">
        <v>200</v>
      </c>
      <c r="AP114" s="56">
        <f t="shared" si="29"/>
        <v>2</v>
      </c>
      <c r="AR114" s="11">
        <f ca="1">IFERROR(OFFSET(ITEM_RES!$A$1,MATCH(AS114,ITEM_RES!$J:$J,0)-1,0),0)</f>
        <v>211020201</v>
      </c>
      <c r="AS114" s="10" t="s">
        <v>450</v>
      </c>
      <c r="AT114" s="11">
        <v>1000</v>
      </c>
      <c r="AW114" s="11">
        <f ca="1">IFERROR(OFFSET(ITEM_RES!$A$1,MATCH(AX114,ITEM_RES!$J:$J,0)-1,0),0)</f>
        <v>211020401</v>
      </c>
      <c r="AX114" s="10" t="s">
        <v>440</v>
      </c>
      <c r="AY114" s="11">
        <v>1000</v>
      </c>
      <c r="BB114" s="11">
        <f ca="1">IFERROR(OFFSET(ITEM_RES!$A$1,MATCH(BC114,ITEM_RES!$J:$J,0)-1,0),0)</f>
        <v>0</v>
      </c>
      <c r="BG114" s="11">
        <f ca="1">IFERROR(OFFSET(ITEM_RES!$A$1,MATCH(BH114,ITEM_RES!$J:$J,0)-1,0),0)</f>
        <v>0</v>
      </c>
      <c r="BL114" s="11">
        <f ca="1">IFERROR(OFFSET(ITEM_RES!$A$1,MATCH(BM114,ITEM_RES!$J:$J,0)-1,0),0)</f>
        <v>0</v>
      </c>
      <c r="BN114" s="11">
        <f t="shared" si="62"/>
        <v>0</v>
      </c>
    </row>
    <row r="115" spans="1:67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820</v>
      </c>
      <c r="L115" s="9" t="s">
        <v>981</v>
      </c>
      <c r="M115" s="9" t="s">
        <v>1002</v>
      </c>
      <c r="N115" s="9">
        <v>1</v>
      </c>
      <c r="O115" s="9">
        <v>15</v>
      </c>
      <c r="P115" s="9" t="s">
        <v>822</v>
      </c>
      <c r="T115" s="9" t="s">
        <v>821</v>
      </c>
      <c r="V115" s="85" t="s">
        <v>420</v>
      </c>
      <c r="W115" s="9">
        <f ca="1">IFERROR(OFFSET(ITEM_RES!$A$5,MATCH(BUILDING!V115,ITEM_RES!$J$5:$J$226,0)-1,0),0)</f>
        <v>211021001</v>
      </c>
      <c r="X115" s="11">
        <v>10</v>
      </c>
      <c r="Y115" s="85" t="s">
        <v>571</v>
      </c>
      <c r="Z115" s="9">
        <f ca="1">IFERROR(OFFSET(ITEM_RES!$A$5,MATCH(BUILDING!Y115,ITEM_RES!$J$5:$J$226,0)-1,0),0)</f>
        <v>211021101</v>
      </c>
      <c r="AB115" s="9" t="s">
        <v>541</v>
      </c>
      <c r="AC115" s="9">
        <v>11</v>
      </c>
      <c r="AE115" s="9">
        <v>20000</v>
      </c>
      <c r="AG115" s="56">
        <f t="shared" si="26"/>
        <v>5250</v>
      </c>
      <c r="AH115" s="10">
        <f t="shared" si="64"/>
        <v>9450</v>
      </c>
      <c r="AJ115" s="11">
        <f t="shared" si="23"/>
        <v>55</v>
      </c>
      <c r="AK115" s="10">
        <v>55</v>
      </c>
      <c r="AL115" s="11">
        <f t="shared" si="63"/>
        <v>250</v>
      </c>
      <c r="AM115" s="10">
        <v>250</v>
      </c>
      <c r="AN115" s="11">
        <f t="shared" si="63"/>
        <v>250</v>
      </c>
      <c r="AO115" s="10">
        <v>250</v>
      </c>
      <c r="AP115" s="56">
        <f t="shared" si="29"/>
        <v>2</v>
      </c>
      <c r="AR115" s="11">
        <f ca="1">IFERROR(OFFSET(ITEM_RES!$A$1,MATCH(AS115,ITEM_RES!$J:$J,0)-1,0),0)</f>
        <v>211020301</v>
      </c>
      <c r="AS115" s="10" t="s">
        <v>475</v>
      </c>
      <c r="AT115" s="11">
        <v>1250</v>
      </c>
      <c r="AW115" s="11">
        <f ca="1">IFERROR(OFFSET(ITEM_RES!$A$1,MATCH(AX115,ITEM_RES!$J:$J,0)-1,0),0)</f>
        <v>211020401</v>
      </c>
      <c r="AX115" s="10" t="s">
        <v>440</v>
      </c>
      <c r="AY115" s="11">
        <v>1250</v>
      </c>
      <c r="BB115" s="11">
        <f ca="1">IFERROR(OFFSET(ITEM_RES!$A$1,MATCH(BC115,ITEM_RES!$J:$J,0)-1,0),0)</f>
        <v>0</v>
      </c>
      <c r="BG115" s="11">
        <f ca="1">IFERROR(OFFSET(ITEM_RES!$A$1,MATCH(BH115,ITEM_RES!$J:$J,0)-1,0),0)</f>
        <v>0</v>
      </c>
      <c r="BL115" s="11">
        <f ca="1">IFERROR(OFFSET(ITEM_RES!$A$1,MATCH(BM115,ITEM_RES!$J:$J,0)-1,0),0)</f>
        <v>0</v>
      </c>
      <c r="BN115" s="11">
        <f t="shared" si="62"/>
        <v>0</v>
      </c>
    </row>
    <row r="116" spans="1:67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820</v>
      </c>
      <c r="L116" s="9" t="s">
        <v>981</v>
      </c>
      <c r="M116" s="9" t="s">
        <v>1002</v>
      </c>
      <c r="N116" s="9">
        <v>1</v>
      </c>
      <c r="O116" s="9">
        <v>15</v>
      </c>
      <c r="P116" s="9" t="s">
        <v>822</v>
      </c>
      <c r="T116" s="9" t="s">
        <v>821</v>
      </c>
      <c r="V116" s="85" t="s">
        <v>420</v>
      </c>
      <c r="W116" s="9">
        <f ca="1">IFERROR(OFFSET(ITEM_RES!$A$5,MATCH(BUILDING!V116,ITEM_RES!$J$5:$J$226,0)-1,0),0)</f>
        <v>211021001</v>
      </c>
      <c r="X116" s="11">
        <v>10</v>
      </c>
      <c r="Y116" s="85" t="s">
        <v>571</v>
      </c>
      <c r="Z116" s="9">
        <f ca="1">IFERROR(OFFSET(ITEM_RES!$A$5,MATCH(BUILDING!Y116,ITEM_RES!$J$5:$J$226,0)-1,0),0)</f>
        <v>211021101</v>
      </c>
      <c r="AB116" s="9" t="s">
        <v>541</v>
      </c>
      <c r="AC116" s="9">
        <v>12</v>
      </c>
      <c r="AE116" s="9">
        <v>24000</v>
      </c>
      <c r="AG116" s="56">
        <f t="shared" si="26"/>
        <v>6300</v>
      </c>
      <c r="AH116" s="10">
        <f t="shared" si="64"/>
        <v>11550</v>
      </c>
      <c r="AJ116" s="11">
        <f t="shared" si="23"/>
        <v>60</v>
      </c>
      <c r="AK116" s="10">
        <v>60</v>
      </c>
      <c r="AL116" s="11">
        <f t="shared" si="63"/>
        <v>300</v>
      </c>
      <c r="AM116" s="10">
        <v>300</v>
      </c>
      <c r="AN116" s="11">
        <f t="shared" si="63"/>
        <v>300</v>
      </c>
      <c r="AO116" s="10">
        <v>300</v>
      </c>
      <c r="AP116" s="56">
        <f t="shared" si="29"/>
        <v>2</v>
      </c>
      <c r="AR116" s="11">
        <f ca="1">IFERROR(OFFSET(ITEM_RES!$A$1,MATCH(AS116,ITEM_RES!$J:$J,0)-1,0),0)</f>
        <v>211020301</v>
      </c>
      <c r="AS116" s="10" t="s">
        <v>475</v>
      </c>
      <c r="AT116" s="11">
        <v>1500</v>
      </c>
      <c r="AW116" s="11">
        <f ca="1">IFERROR(OFFSET(ITEM_RES!$A$1,MATCH(AX116,ITEM_RES!$J:$J,0)-1,0),0)</f>
        <v>211020401</v>
      </c>
      <c r="AX116" s="10" t="s">
        <v>440</v>
      </c>
      <c r="AY116" s="11">
        <v>1500</v>
      </c>
      <c r="BB116" s="11">
        <f ca="1">IFERROR(OFFSET(ITEM_RES!$A$1,MATCH(BC116,ITEM_RES!$J:$J,0)-1,0),0)</f>
        <v>0</v>
      </c>
      <c r="BG116" s="11">
        <f ca="1">IFERROR(OFFSET(ITEM_RES!$A$1,MATCH(BH116,ITEM_RES!$J:$J,0)-1,0),0)</f>
        <v>0</v>
      </c>
      <c r="BL116" s="11">
        <f ca="1">IFERROR(OFFSET(ITEM_RES!$A$1,MATCH(BM116,ITEM_RES!$J:$J,0)-1,0),0)</f>
        <v>0</v>
      </c>
      <c r="BN116" s="11">
        <f t="shared" si="62"/>
        <v>0</v>
      </c>
    </row>
    <row r="117" spans="1:67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820</v>
      </c>
      <c r="L117" s="9" t="s">
        <v>981</v>
      </c>
      <c r="M117" s="9" t="s">
        <v>1002</v>
      </c>
      <c r="N117" s="9">
        <v>1</v>
      </c>
      <c r="O117" s="9">
        <v>15</v>
      </c>
      <c r="P117" s="9" t="s">
        <v>822</v>
      </c>
      <c r="T117" s="9" t="s">
        <v>821</v>
      </c>
      <c r="V117" s="85" t="s">
        <v>420</v>
      </c>
      <c r="W117" s="9">
        <f ca="1">IFERROR(OFFSET(ITEM_RES!$A$5,MATCH(BUILDING!V117,ITEM_RES!$J$5:$J$226,0)-1,0),0)</f>
        <v>211021001</v>
      </c>
      <c r="X117" s="11">
        <v>10</v>
      </c>
      <c r="Y117" s="85" t="s">
        <v>571</v>
      </c>
      <c r="Z117" s="9">
        <f ca="1">IFERROR(OFFSET(ITEM_RES!$A$5,MATCH(BUILDING!Y117,ITEM_RES!$J$5:$J$226,0)-1,0),0)</f>
        <v>211021101</v>
      </c>
      <c r="AB117" s="9" t="s">
        <v>541</v>
      </c>
      <c r="AC117" s="9">
        <v>13</v>
      </c>
      <c r="AE117" s="9">
        <v>28000</v>
      </c>
      <c r="AG117" s="56">
        <f t="shared" si="26"/>
        <v>7350</v>
      </c>
      <c r="AH117" s="10">
        <f t="shared" si="64"/>
        <v>13650</v>
      </c>
      <c r="AJ117" s="11">
        <f t="shared" si="23"/>
        <v>65</v>
      </c>
      <c r="AK117" s="10">
        <v>65</v>
      </c>
      <c r="AL117" s="11">
        <f t="shared" si="63"/>
        <v>350</v>
      </c>
      <c r="AM117" s="10">
        <v>350</v>
      </c>
      <c r="AN117" s="11">
        <f t="shared" si="63"/>
        <v>350</v>
      </c>
      <c r="AO117" s="10">
        <v>350</v>
      </c>
      <c r="AP117" s="56">
        <f t="shared" si="29"/>
        <v>2</v>
      </c>
      <c r="AR117" s="11">
        <f ca="1">IFERROR(OFFSET(ITEM_RES!$A$1,MATCH(AS117,ITEM_RES!$J:$J,0)-1,0),0)</f>
        <v>211020301</v>
      </c>
      <c r="AS117" s="10" t="s">
        <v>475</v>
      </c>
      <c r="AT117" s="11">
        <v>1750</v>
      </c>
      <c r="AW117" s="11">
        <f ca="1">IFERROR(OFFSET(ITEM_RES!$A$1,MATCH(AX117,ITEM_RES!$J:$J,0)-1,0),0)</f>
        <v>211020401</v>
      </c>
      <c r="AX117" s="10" t="s">
        <v>440</v>
      </c>
      <c r="AY117" s="11">
        <v>1750</v>
      </c>
      <c r="BB117" s="11">
        <f ca="1">IFERROR(OFFSET(ITEM_RES!$A$1,MATCH(BC117,ITEM_RES!$J:$J,0)-1,0),0)</f>
        <v>0</v>
      </c>
      <c r="BG117" s="11">
        <f ca="1">IFERROR(OFFSET(ITEM_RES!$A$1,MATCH(BH117,ITEM_RES!$J:$J,0)-1,0),0)</f>
        <v>0</v>
      </c>
      <c r="BL117" s="11">
        <f ca="1">IFERROR(OFFSET(ITEM_RES!$A$1,MATCH(BM117,ITEM_RES!$J:$J,0)-1,0),0)</f>
        <v>0</v>
      </c>
      <c r="BN117" s="11">
        <f t="shared" si="62"/>
        <v>0</v>
      </c>
    </row>
    <row r="118" spans="1:67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820</v>
      </c>
      <c r="L118" s="9" t="s">
        <v>981</v>
      </c>
      <c r="M118" s="9" t="s">
        <v>1002</v>
      </c>
      <c r="N118" s="9">
        <v>1</v>
      </c>
      <c r="O118" s="9">
        <v>15</v>
      </c>
      <c r="P118" s="9" t="s">
        <v>822</v>
      </c>
      <c r="T118" s="9" t="s">
        <v>821</v>
      </c>
      <c r="V118" s="85" t="s">
        <v>420</v>
      </c>
      <c r="W118" s="9">
        <f ca="1">IFERROR(OFFSET(ITEM_RES!$A$5,MATCH(BUILDING!V118,ITEM_RES!$J$5:$J$226,0)-1,0),0)</f>
        <v>211021001</v>
      </c>
      <c r="X118" s="11">
        <v>10</v>
      </c>
      <c r="Y118" s="85" t="s">
        <v>571</v>
      </c>
      <c r="Z118" s="9">
        <f ca="1">IFERROR(OFFSET(ITEM_RES!$A$5,MATCH(BUILDING!Y118,ITEM_RES!$J$5:$J$226,0)-1,0),0)</f>
        <v>211021101</v>
      </c>
      <c r="AB118" s="9" t="s">
        <v>541</v>
      </c>
      <c r="AC118" s="9">
        <v>14</v>
      </c>
      <c r="AE118" s="9">
        <v>36000</v>
      </c>
      <c r="AG118" s="56">
        <f t="shared" si="26"/>
        <v>9450</v>
      </c>
      <c r="AH118" s="10">
        <f t="shared" si="64"/>
        <v>16800</v>
      </c>
      <c r="AJ118" s="11">
        <f t="shared" si="23"/>
        <v>70</v>
      </c>
      <c r="AK118" s="10">
        <v>70</v>
      </c>
      <c r="AL118" s="11">
        <f t="shared" si="63"/>
        <v>450</v>
      </c>
      <c r="AM118" s="10">
        <v>450</v>
      </c>
      <c r="AN118" s="11">
        <f t="shared" si="63"/>
        <v>450</v>
      </c>
      <c r="AO118" s="10">
        <v>450</v>
      </c>
      <c r="AP118" s="56">
        <f t="shared" si="29"/>
        <v>2</v>
      </c>
      <c r="AR118" s="11">
        <f ca="1">IFERROR(OFFSET(ITEM_RES!$A$1,MATCH(AS118,ITEM_RES!$J:$J,0)-1,0),0)</f>
        <v>211020301</v>
      </c>
      <c r="AS118" s="10" t="s">
        <v>475</v>
      </c>
      <c r="AT118" s="11">
        <v>2250</v>
      </c>
      <c r="AW118" s="11">
        <f ca="1">IFERROR(OFFSET(ITEM_RES!$A$1,MATCH(AX118,ITEM_RES!$J:$J,0)-1,0),0)</f>
        <v>211020401</v>
      </c>
      <c r="AX118" s="10" t="s">
        <v>440</v>
      </c>
      <c r="AY118" s="11">
        <v>2250</v>
      </c>
      <c r="BB118" s="11">
        <f ca="1">IFERROR(OFFSET(ITEM_RES!$A$1,MATCH(BC118,ITEM_RES!$J:$J,0)-1,0),0)</f>
        <v>0</v>
      </c>
      <c r="BG118" s="11">
        <f ca="1">IFERROR(OFFSET(ITEM_RES!$A$1,MATCH(BH118,ITEM_RES!$J:$J,0)-1,0),0)</f>
        <v>0</v>
      </c>
      <c r="BL118" s="11">
        <f ca="1">IFERROR(OFFSET(ITEM_RES!$A$1,MATCH(BM118,ITEM_RES!$J:$J,0)-1,0),0)</f>
        <v>0</v>
      </c>
      <c r="BN118" s="11">
        <f t="shared" si="62"/>
        <v>0</v>
      </c>
    </row>
    <row r="119" spans="1:67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820</v>
      </c>
      <c r="L119" s="9" t="s">
        <v>981</v>
      </c>
      <c r="M119" s="9" t="s">
        <v>1002</v>
      </c>
      <c r="N119" s="9">
        <v>1</v>
      </c>
      <c r="O119" s="9">
        <v>15</v>
      </c>
      <c r="P119" s="9" t="s">
        <v>822</v>
      </c>
      <c r="T119" s="9" t="s">
        <v>821</v>
      </c>
      <c r="V119" s="85" t="s">
        <v>420</v>
      </c>
      <c r="W119" s="9">
        <f ca="1">IFERROR(OFFSET(ITEM_RES!$A$5,MATCH(BUILDING!V119,ITEM_RES!$J$5:$J$226,0)-1,0),0)</f>
        <v>211021001</v>
      </c>
      <c r="X119" s="11">
        <v>10</v>
      </c>
      <c r="Y119" s="85" t="s">
        <v>571</v>
      </c>
      <c r="Z119" s="9">
        <f ca="1">IFERROR(OFFSET(ITEM_RES!$A$5,MATCH(BUILDING!Y119,ITEM_RES!$J$5:$J$226,0)-1,0),0)</f>
        <v>211021101</v>
      </c>
      <c r="AB119" s="9" t="s">
        <v>541</v>
      </c>
      <c r="AC119" s="9">
        <v>15</v>
      </c>
      <c r="AE119" s="9">
        <v>44000</v>
      </c>
      <c r="AG119" s="56">
        <f t="shared" si="26"/>
        <v>11550</v>
      </c>
      <c r="AH119" s="10">
        <f t="shared" si="64"/>
        <v>21000</v>
      </c>
      <c r="AJ119" s="11">
        <f t="shared" si="23"/>
        <v>75</v>
      </c>
      <c r="AK119" s="10">
        <v>75</v>
      </c>
      <c r="AL119" s="11">
        <f t="shared" si="63"/>
        <v>550</v>
      </c>
      <c r="AM119" s="10">
        <v>550</v>
      </c>
      <c r="AN119" s="11">
        <f t="shared" si="63"/>
        <v>550</v>
      </c>
      <c r="AO119" s="10">
        <v>550</v>
      </c>
      <c r="AP119" s="56">
        <f t="shared" si="29"/>
        <v>2</v>
      </c>
      <c r="AR119" s="11">
        <f ca="1">IFERROR(OFFSET(ITEM_RES!$A$1,MATCH(AS119,ITEM_RES!$J:$J,0)-1,0),0)</f>
        <v>211020301</v>
      </c>
      <c r="AS119" s="10" t="s">
        <v>475</v>
      </c>
      <c r="AT119" s="11">
        <v>2750</v>
      </c>
      <c r="AW119" s="11">
        <f ca="1">IFERROR(OFFSET(ITEM_RES!$A$1,MATCH(AX119,ITEM_RES!$J:$J,0)-1,0),0)</f>
        <v>211020501</v>
      </c>
      <c r="AX119" s="10" t="s">
        <v>441</v>
      </c>
      <c r="AY119" s="11">
        <v>2750</v>
      </c>
      <c r="BB119" s="11">
        <f ca="1">IFERROR(OFFSET(ITEM_RES!$A$1,MATCH(BC119,ITEM_RES!$J:$J,0)-1,0),0)</f>
        <v>0</v>
      </c>
      <c r="BG119" s="11">
        <f ca="1">IFERROR(OFFSET(ITEM_RES!$A$1,MATCH(BH119,ITEM_RES!$J:$J,0)-1,0),0)</f>
        <v>0</v>
      </c>
      <c r="BL119" s="11">
        <f ca="1">IFERROR(OFFSET(ITEM_RES!$A$1,MATCH(BM119,ITEM_RES!$J:$J,0)-1,0),0)</f>
        <v>0</v>
      </c>
      <c r="BN119" s="11">
        <f t="shared" si="62"/>
        <v>0</v>
      </c>
    </row>
    <row r="120" spans="1:67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820</v>
      </c>
      <c r="L120" s="9" t="s">
        <v>981</v>
      </c>
      <c r="M120" s="9" t="s">
        <v>1002</v>
      </c>
      <c r="N120" s="9">
        <v>0</v>
      </c>
      <c r="O120" s="9">
        <v>15</v>
      </c>
      <c r="P120" s="9" t="s">
        <v>822</v>
      </c>
      <c r="T120" s="9" t="s">
        <v>821</v>
      </c>
      <c r="V120" s="85" t="s">
        <v>420</v>
      </c>
      <c r="W120" s="9">
        <f ca="1">IFERROR(OFFSET(ITEM_RES!$A$5,MATCH(BUILDING!V120,ITEM_RES!$J$5:$J$226,0)-1,0),0)</f>
        <v>211021001</v>
      </c>
      <c r="X120" s="11">
        <v>10</v>
      </c>
      <c r="Y120" s="85" t="s">
        <v>571</v>
      </c>
      <c r="Z120" s="9">
        <f ca="1">IFERROR(OFFSET(ITEM_RES!$A$5,MATCH(BUILDING!Y120,ITEM_RES!$J$5:$J$226,0)-1,0),0)</f>
        <v>211021101</v>
      </c>
      <c r="AB120" s="9" t="s">
        <v>541</v>
      </c>
      <c r="AC120" s="9">
        <v>16</v>
      </c>
      <c r="AE120" s="9">
        <v>56000</v>
      </c>
      <c r="AG120" s="56">
        <f t="shared" si="26"/>
        <v>14700</v>
      </c>
      <c r="AH120" s="10">
        <f t="shared" si="64"/>
        <v>26250</v>
      </c>
      <c r="AJ120" s="11">
        <f t="shared" si="23"/>
        <v>80</v>
      </c>
      <c r="AK120" s="10">
        <v>80</v>
      </c>
      <c r="AL120" s="11">
        <f t="shared" si="63"/>
        <v>700</v>
      </c>
      <c r="AM120" s="10">
        <v>700</v>
      </c>
      <c r="AN120" s="11">
        <f t="shared" si="63"/>
        <v>700</v>
      </c>
      <c r="AO120" s="10">
        <v>700</v>
      </c>
      <c r="AP120" s="56">
        <f t="shared" si="29"/>
        <v>2</v>
      </c>
      <c r="AR120" s="11">
        <f ca="1">IFERROR(OFFSET(ITEM_RES!$A$1,MATCH(AS120,ITEM_RES!$J:$J,0)-1,0),0)</f>
        <v>211020301</v>
      </c>
      <c r="AS120" s="10" t="s">
        <v>475</v>
      </c>
      <c r="AT120" s="11">
        <v>3500</v>
      </c>
      <c r="AW120" s="11">
        <f ca="1">IFERROR(OFFSET(ITEM_RES!$A$1,MATCH(AX120,ITEM_RES!$J:$J,0)-1,0),0)</f>
        <v>211020501</v>
      </c>
      <c r="AX120" s="10" t="s">
        <v>441</v>
      </c>
      <c r="AY120" s="11">
        <v>3500</v>
      </c>
      <c r="BB120" s="11">
        <f ca="1">IFERROR(OFFSET(ITEM_RES!$A$1,MATCH(BC120,ITEM_RES!$J:$J,0)-1,0),0)</f>
        <v>0</v>
      </c>
      <c r="BG120" s="11">
        <f ca="1">IFERROR(OFFSET(ITEM_RES!$A$1,MATCH(BH120,ITEM_RES!$J:$J,0)-1,0),0)</f>
        <v>0</v>
      </c>
      <c r="BL120" s="11">
        <f ca="1">IFERROR(OFFSET(ITEM_RES!$A$1,MATCH(BM120,ITEM_RES!$J:$J,0)-1,0),0)</f>
        <v>0</v>
      </c>
      <c r="BN120" s="11">
        <f t="shared" si="62"/>
        <v>0</v>
      </c>
    </row>
    <row r="121" spans="1:67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820</v>
      </c>
      <c r="L121" s="9" t="s">
        <v>981</v>
      </c>
      <c r="M121" s="9" t="s">
        <v>1002</v>
      </c>
      <c r="N121" s="9">
        <v>0</v>
      </c>
      <c r="O121" s="9">
        <v>15</v>
      </c>
      <c r="P121" s="9" t="s">
        <v>822</v>
      </c>
      <c r="T121" s="9" t="s">
        <v>821</v>
      </c>
      <c r="V121" s="85" t="s">
        <v>420</v>
      </c>
      <c r="W121" s="9">
        <f ca="1">IFERROR(OFFSET(ITEM_RES!$A$5,MATCH(BUILDING!V121,ITEM_RES!$J$5:$J$226,0)-1,0),0)</f>
        <v>211021001</v>
      </c>
      <c r="X121" s="11">
        <v>10</v>
      </c>
      <c r="Y121" s="85" t="s">
        <v>571</v>
      </c>
      <c r="Z121" s="9">
        <f ca="1">IFERROR(OFFSET(ITEM_RES!$A$5,MATCH(BUILDING!Y121,ITEM_RES!$J$5:$J$226,0)-1,0),0)</f>
        <v>211021101</v>
      </c>
      <c r="AB121" s="9" t="s">
        <v>541</v>
      </c>
      <c r="AC121" s="9">
        <v>17</v>
      </c>
      <c r="AE121" s="9">
        <v>68000</v>
      </c>
      <c r="AG121" s="56">
        <f t="shared" si="26"/>
        <v>17850</v>
      </c>
      <c r="AH121" s="10">
        <f t="shared" si="64"/>
        <v>32550</v>
      </c>
      <c r="AJ121" s="11">
        <f t="shared" si="23"/>
        <v>85</v>
      </c>
      <c r="AK121" s="10">
        <v>85</v>
      </c>
      <c r="AL121" s="11">
        <f t="shared" si="63"/>
        <v>850</v>
      </c>
      <c r="AM121" s="10">
        <v>850</v>
      </c>
      <c r="AN121" s="11">
        <f t="shared" si="63"/>
        <v>850</v>
      </c>
      <c r="AO121" s="10">
        <v>850</v>
      </c>
      <c r="AP121" s="56">
        <f t="shared" si="29"/>
        <v>2</v>
      </c>
      <c r="AR121" s="11">
        <f ca="1">IFERROR(OFFSET(ITEM_RES!$A$1,MATCH(AS121,ITEM_RES!$J:$J,0)-1,0),0)</f>
        <v>0</v>
      </c>
      <c r="AS121" s="10" t="s">
        <v>464</v>
      </c>
      <c r="AT121" s="11">
        <v>4250</v>
      </c>
      <c r="AW121" s="11">
        <f ca="1">IFERROR(OFFSET(ITEM_RES!$A$1,MATCH(AX121,ITEM_RES!$J:$J,0)-1,0),0)</f>
        <v>211020501</v>
      </c>
      <c r="AX121" s="10" t="s">
        <v>441</v>
      </c>
      <c r="AY121" s="11">
        <v>4250</v>
      </c>
      <c r="BB121" s="11">
        <f ca="1">IFERROR(OFFSET(ITEM_RES!$A$1,MATCH(BC121,ITEM_RES!$J:$J,0)-1,0),0)</f>
        <v>0</v>
      </c>
      <c r="BG121" s="11">
        <f ca="1">IFERROR(OFFSET(ITEM_RES!$A$1,MATCH(BH121,ITEM_RES!$J:$J,0)-1,0),0)</f>
        <v>0</v>
      </c>
      <c r="BL121" s="11">
        <f ca="1">IFERROR(OFFSET(ITEM_RES!$A$1,MATCH(BM121,ITEM_RES!$J:$J,0)-1,0),0)</f>
        <v>0</v>
      </c>
      <c r="BN121" s="11">
        <f t="shared" si="62"/>
        <v>0</v>
      </c>
    </row>
    <row r="122" spans="1:67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820</v>
      </c>
      <c r="L122" s="9" t="s">
        <v>981</v>
      </c>
      <c r="M122" s="9" t="s">
        <v>1002</v>
      </c>
      <c r="N122" s="9">
        <v>0</v>
      </c>
      <c r="O122" s="9">
        <v>15</v>
      </c>
      <c r="P122" s="9" t="s">
        <v>822</v>
      </c>
      <c r="T122" s="9" t="s">
        <v>821</v>
      </c>
      <c r="V122" s="85" t="s">
        <v>420</v>
      </c>
      <c r="W122" s="9">
        <f ca="1">IFERROR(OFFSET(ITEM_RES!$A$5,MATCH(BUILDING!V122,ITEM_RES!$J$5:$J$226,0)-1,0),0)</f>
        <v>211021001</v>
      </c>
      <c r="X122" s="11">
        <v>10</v>
      </c>
      <c r="Y122" s="85" t="s">
        <v>571</v>
      </c>
      <c r="Z122" s="9">
        <f ca="1">IFERROR(OFFSET(ITEM_RES!$A$5,MATCH(BUILDING!Y122,ITEM_RES!$J$5:$J$226,0)-1,0),0)</f>
        <v>211021101</v>
      </c>
      <c r="AB122" s="9" t="s">
        <v>541</v>
      </c>
      <c r="AC122" s="9">
        <v>18</v>
      </c>
      <c r="AE122" s="9">
        <v>84000</v>
      </c>
      <c r="AG122" s="56">
        <f t="shared" si="26"/>
        <v>22050</v>
      </c>
      <c r="AH122" s="10">
        <f t="shared" si="64"/>
        <v>39900</v>
      </c>
      <c r="AJ122" s="11">
        <f t="shared" si="23"/>
        <v>90</v>
      </c>
      <c r="AK122" s="10">
        <v>90</v>
      </c>
      <c r="AL122" s="11">
        <f t="shared" si="63"/>
        <v>1050</v>
      </c>
      <c r="AM122" s="10">
        <v>1050</v>
      </c>
      <c r="AN122" s="11">
        <f t="shared" si="63"/>
        <v>1050</v>
      </c>
      <c r="AO122" s="10">
        <v>1050</v>
      </c>
      <c r="AP122" s="56">
        <f t="shared" si="29"/>
        <v>2</v>
      </c>
      <c r="AR122" s="11">
        <f ca="1">IFERROR(OFFSET(ITEM_RES!$A$1,MATCH(AS122,ITEM_RES!$J:$J,0)-1,0),0)</f>
        <v>0</v>
      </c>
      <c r="AS122" s="10" t="s">
        <v>476</v>
      </c>
      <c r="AT122" s="11">
        <v>5250</v>
      </c>
      <c r="AW122" s="11">
        <f ca="1">IFERROR(OFFSET(ITEM_RES!$A$1,MATCH(AX122,ITEM_RES!$J:$J,0)-1,0),0)</f>
        <v>211020501</v>
      </c>
      <c r="AX122" s="10" t="s">
        <v>441</v>
      </c>
      <c r="AY122" s="11">
        <v>5250</v>
      </c>
      <c r="BB122" s="11">
        <f ca="1">IFERROR(OFFSET(ITEM_RES!$A$1,MATCH(BC122,ITEM_RES!$J:$J,0)-1,0),0)</f>
        <v>0</v>
      </c>
      <c r="BG122" s="11">
        <f ca="1">IFERROR(OFFSET(ITEM_RES!$A$1,MATCH(BH122,ITEM_RES!$J:$J,0)-1,0),0)</f>
        <v>0</v>
      </c>
      <c r="BL122" s="11">
        <f ca="1">IFERROR(OFFSET(ITEM_RES!$A$1,MATCH(BM122,ITEM_RES!$J:$J,0)-1,0),0)</f>
        <v>0</v>
      </c>
      <c r="BN122" s="11">
        <f t="shared" si="62"/>
        <v>0</v>
      </c>
    </row>
    <row r="123" spans="1:67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820</v>
      </c>
      <c r="L123" s="9" t="s">
        <v>981</v>
      </c>
      <c r="M123" s="9" t="s">
        <v>1002</v>
      </c>
      <c r="N123" s="9">
        <v>0</v>
      </c>
      <c r="O123" s="9">
        <v>15</v>
      </c>
      <c r="P123" s="9" t="s">
        <v>822</v>
      </c>
      <c r="T123" s="9" t="s">
        <v>821</v>
      </c>
      <c r="V123" s="85" t="s">
        <v>420</v>
      </c>
      <c r="W123" s="9">
        <f ca="1">IFERROR(OFFSET(ITEM_RES!$A$5,MATCH(BUILDING!V123,ITEM_RES!$J$5:$J$226,0)-1,0),0)</f>
        <v>211021001</v>
      </c>
      <c r="X123" s="11">
        <v>10</v>
      </c>
      <c r="Y123" s="85" t="s">
        <v>571</v>
      </c>
      <c r="Z123" s="9">
        <f ca="1">IFERROR(OFFSET(ITEM_RES!$A$5,MATCH(BUILDING!Y123,ITEM_RES!$J$5:$J$226,0)-1,0),0)</f>
        <v>211021101</v>
      </c>
      <c r="AB123" s="9" t="s">
        <v>541</v>
      </c>
      <c r="AC123" s="9">
        <v>19</v>
      </c>
      <c r="AE123" s="9">
        <v>100000</v>
      </c>
      <c r="AG123" s="56">
        <f t="shared" si="26"/>
        <v>26250</v>
      </c>
      <c r="AH123" s="10">
        <f t="shared" si="64"/>
        <v>48300</v>
      </c>
      <c r="AJ123" s="11">
        <f t="shared" si="23"/>
        <v>95</v>
      </c>
      <c r="AK123" s="10">
        <v>95</v>
      </c>
      <c r="AL123" s="11">
        <f t="shared" si="63"/>
        <v>1250</v>
      </c>
      <c r="AM123" s="10">
        <v>1250</v>
      </c>
      <c r="AN123" s="11">
        <f t="shared" si="63"/>
        <v>1250</v>
      </c>
      <c r="AO123" s="10">
        <v>1250</v>
      </c>
      <c r="AP123" s="56">
        <f t="shared" si="29"/>
        <v>2</v>
      </c>
      <c r="AR123" s="11">
        <f ca="1">IFERROR(OFFSET(ITEM_RES!$A$1,MATCH(AS123,ITEM_RES!$J:$J,0)-1,0),0)</f>
        <v>0</v>
      </c>
      <c r="AS123" s="10" t="s">
        <v>476</v>
      </c>
      <c r="AT123" s="11">
        <v>6250</v>
      </c>
      <c r="AW123" s="11">
        <f ca="1">IFERROR(OFFSET(ITEM_RES!$A$1,MATCH(AX123,ITEM_RES!$J:$J,0)-1,0),0)</f>
        <v>211020501</v>
      </c>
      <c r="AX123" s="10" t="s">
        <v>441</v>
      </c>
      <c r="AY123" s="11">
        <v>6250</v>
      </c>
      <c r="BB123" s="11">
        <f ca="1">IFERROR(OFFSET(ITEM_RES!$A$1,MATCH(BC123,ITEM_RES!$J:$J,0)-1,0),0)</f>
        <v>0</v>
      </c>
      <c r="BG123" s="11">
        <f ca="1">IFERROR(OFFSET(ITEM_RES!$A$1,MATCH(BH123,ITEM_RES!$J:$J,0)-1,0),0)</f>
        <v>0</v>
      </c>
      <c r="BL123" s="11">
        <f ca="1">IFERROR(OFFSET(ITEM_RES!$A$1,MATCH(BM123,ITEM_RES!$J:$J,0)-1,0),0)</f>
        <v>0</v>
      </c>
      <c r="BN123" s="11">
        <f t="shared" si="62"/>
        <v>0</v>
      </c>
    </row>
    <row r="124" spans="1:67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820</v>
      </c>
      <c r="L124" s="9" t="s">
        <v>981</v>
      </c>
      <c r="M124" s="9" t="s">
        <v>1002</v>
      </c>
      <c r="N124" s="9">
        <v>0</v>
      </c>
      <c r="O124" s="9">
        <v>15</v>
      </c>
      <c r="P124" s="9" t="s">
        <v>822</v>
      </c>
      <c r="T124" s="9" t="s">
        <v>821</v>
      </c>
      <c r="V124" s="85" t="s">
        <v>420</v>
      </c>
      <c r="W124" s="9">
        <f ca="1">IFERROR(OFFSET(ITEM_RES!$A$5,MATCH(BUILDING!V124,ITEM_RES!$J$5:$J$226,0)-1,0),0)</f>
        <v>211021001</v>
      </c>
      <c r="X124" s="11">
        <v>10</v>
      </c>
      <c r="Y124" s="85" t="s">
        <v>571</v>
      </c>
      <c r="Z124" s="9">
        <f ca="1">IFERROR(OFFSET(ITEM_RES!$A$5,MATCH(BUILDING!Y124,ITEM_RES!$J$5:$J$226,0)-1,0),0)</f>
        <v>211021101</v>
      </c>
      <c r="AB124" s="9" t="s">
        <v>541</v>
      </c>
      <c r="AC124" s="9">
        <v>20</v>
      </c>
      <c r="AE124" s="9">
        <v>120000</v>
      </c>
      <c r="AG124" s="56">
        <f t="shared" si="26"/>
        <v>31500</v>
      </c>
      <c r="AH124" s="10">
        <f t="shared" si="64"/>
        <v>57750</v>
      </c>
      <c r="AJ124" s="11">
        <f t="shared" si="23"/>
        <v>100</v>
      </c>
      <c r="AK124" s="10">
        <v>100</v>
      </c>
      <c r="AL124" s="11">
        <f t="shared" si="63"/>
        <v>1500</v>
      </c>
      <c r="AM124" s="10">
        <v>1500</v>
      </c>
      <c r="AN124" s="11">
        <f t="shared" si="63"/>
        <v>1500</v>
      </c>
      <c r="AO124" s="10">
        <v>1500</v>
      </c>
      <c r="AP124" s="56">
        <f t="shared" si="29"/>
        <v>2</v>
      </c>
      <c r="AR124" s="11">
        <f ca="1">IFERROR(OFFSET(ITEM_RES!$A$1,MATCH(AS124,ITEM_RES!$J:$J,0)-1,0),0)</f>
        <v>0</v>
      </c>
      <c r="AS124" s="10" t="s">
        <v>476</v>
      </c>
      <c r="AT124" s="11">
        <v>7500</v>
      </c>
      <c r="AW124" s="11">
        <f ca="1">IFERROR(OFFSET(ITEM_RES!$A$1,MATCH(AX124,ITEM_RES!$J:$J,0)-1,0),0)</f>
        <v>211020501</v>
      </c>
      <c r="AX124" s="10" t="s">
        <v>441</v>
      </c>
      <c r="AY124" s="11">
        <v>7500</v>
      </c>
      <c r="BB124" s="11">
        <f ca="1">IFERROR(OFFSET(ITEM_RES!$A$1,MATCH(BC124,ITEM_RES!$J:$J,0)-1,0),0)</f>
        <v>0</v>
      </c>
      <c r="BG124" s="11">
        <f ca="1">IFERROR(OFFSET(ITEM_RES!$A$1,MATCH(BH124,ITEM_RES!$J:$J,0)-1,0),0)</f>
        <v>0</v>
      </c>
      <c r="BL124" s="11">
        <f ca="1">IFERROR(OFFSET(ITEM_RES!$A$1,MATCH(BM124,ITEM_RES!$J:$J,0)-1,0),0)</f>
        <v>0</v>
      </c>
      <c r="BN124" s="11">
        <f t="shared" si="62"/>
        <v>0</v>
      </c>
    </row>
    <row r="125" spans="1:67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 t="s">
        <v>982</v>
      </c>
      <c r="M125" s="16" t="s">
        <v>1003</v>
      </c>
      <c r="N125" s="16">
        <v>1</v>
      </c>
      <c r="O125" s="16">
        <v>15</v>
      </c>
      <c r="P125" s="16" t="s">
        <v>819</v>
      </c>
      <c r="Q125" s="17"/>
      <c r="R125" s="17"/>
      <c r="S125" s="18"/>
      <c r="T125" s="16" t="s">
        <v>735</v>
      </c>
      <c r="U125" s="79"/>
      <c r="V125" s="87"/>
      <c r="W125" s="16">
        <f ca="1">IFERROR(OFFSET(ITEM_RES!$A$5,MATCH(BUILDING!V125,ITEM_RES!$J$5:$J$226,0)-1,0),0)</f>
        <v>0</v>
      </c>
      <c r="X125" s="18"/>
      <c r="Y125" s="87" t="s">
        <v>572</v>
      </c>
      <c r="Z125" s="16">
        <f ca="1">IFERROR(OFFSET(ITEM_RES!$A$5,MATCH(BUILDING!Y125,ITEM_RES!$J$5:$J$226,0)-1,0),0)</f>
        <v>211010501</v>
      </c>
      <c r="AA125" s="79"/>
      <c r="AB125" s="16" t="s">
        <v>542</v>
      </c>
      <c r="AC125" s="16">
        <v>1</v>
      </c>
      <c r="AD125" s="79"/>
      <c r="AE125" s="16">
        <v>0</v>
      </c>
      <c r="AF125" s="79"/>
      <c r="AG125" s="57">
        <f t="shared" si="26"/>
        <v>580</v>
      </c>
      <c r="AH125" s="17">
        <f>AG125</f>
        <v>580</v>
      </c>
      <c r="AI125" s="79"/>
      <c r="AJ125" s="18">
        <f t="shared" si="23"/>
        <v>5</v>
      </c>
      <c r="AK125" s="17">
        <v>5</v>
      </c>
      <c r="AL125" s="18">
        <f t="shared" si="63"/>
        <v>5</v>
      </c>
      <c r="AM125" s="17">
        <v>5</v>
      </c>
      <c r="AN125" s="18">
        <f t="shared" si="63"/>
        <v>5</v>
      </c>
      <c r="AO125" s="17">
        <v>5</v>
      </c>
      <c r="AP125" s="57">
        <f t="shared" si="29"/>
        <v>2</v>
      </c>
      <c r="AQ125" s="18"/>
      <c r="AR125" s="18">
        <f ca="1">IFERROR(OFFSET(ITEM_RES!$A$1,MATCH(AS125,ITEM_RES!$J:$J,0)-1,0),0)</f>
        <v>211020401</v>
      </c>
      <c r="AS125" s="17" t="s">
        <v>455</v>
      </c>
      <c r="AT125" s="18">
        <v>25</v>
      </c>
      <c r="AU125" s="17"/>
      <c r="AV125" s="18"/>
      <c r="AW125" s="18">
        <f ca="1">IFERROR(OFFSET(ITEM_RES!$A$1,MATCH(AX125,ITEM_RES!$J:$J,0)-1,0),0)</f>
        <v>0</v>
      </c>
      <c r="AX125" s="17"/>
      <c r="AY125" s="18"/>
      <c r="AZ125" s="17"/>
      <c r="BA125" s="18"/>
      <c r="BB125" s="18">
        <f ca="1">IFERROR(OFFSET(ITEM_RES!$A$1,MATCH(BC125,ITEM_RES!$J:$J,0)-1,0),0)</f>
        <v>213010101</v>
      </c>
      <c r="BC125" s="17" t="s">
        <v>477</v>
      </c>
      <c r="BD125" s="18">
        <v>1</v>
      </c>
      <c r="BE125" s="17"/>
      <c r="BF125" s="18"/>
      <c r="BG125" s="18">
        <f ca="1">IFERROR(OFFSET(ITEM_RES!$A$1,MATCH(BH125,ITEM_RES!$J:$J,0)-1,0),0)</f>
        <v>0</v>
      </c>
      <c r="BH125" s="17"/>
      <c r="BI125" s="18"/>
      <c r="BJ125" s="17"/>
      <c r="BK125" s="18"/>
      <c r="BL125" s="18">
        <f ca="1">IFERROR(OFFSET(ITEM_RES!$A$1,MATCH(BM125,ITEM_RES!$J:$J,0)-1,0),0)</f>
        <v>0</v>
      </c>
      <c r="BM125" s="17"/>
      <c r="BN125" s="18">
        <f t="shared" si="62"/>
        <v>0</v>
      </c>
      <c r="BO125" s="17"/>
    </row>
    <row r="126" spans="1:67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 t="s">
        <v>982</v>
      </c>
      <c r="M126" s="9" t="s">
        <v>1003</v>
      </c>
      <c r="N126" s="9">
        <v>1</v>
      </c>
      <c r="O126" s="9">
        <v>15</v>
      </c>
      <c r="P126" s="9" t="s">
        <v>819</v>
      </c>
      <c r="T126" s="9" t="s">
        <v>735</v>
      </c>
      <c r="W126" s="9">
        <f ca="1">IFERROR(OFFSET(ITEM_RES!$A$5,MATCH(BUILDING!V126,ITEM_RES!$J$5:$J$226,0)-1,0),0)</f>
        <v>0</v>
      </c>
      <c r="Y126" s="85" t="s">
        <v>572</v>
      </c>
      <c r="Z126" s="9">
        <f ca="1">IFERROR(OFFSET(ITEM_RES!$A$5,MATCH(BUILDING!Y126,ITEM_RES!$J$5:$J$226,0)-1,0),0)</f>
        <v>211010501</v>
      </c>
      <c r="AB126" s="9" t="s">
        <v>542</v>
      </c>
      <c r="AC126" s="9">
        <v>2</v>
      </c>
      <c r="AE126" s="9">
        <v>200</v>
      </c>
      <c r="AG126" s="56">
        <f t="shared" si="26"/>
        <v>160</v>
      </c>
      <c r="AH126" s="10">
        <f>AG125+AG126</f>
        <v>740</v>
      </c>
      <c r="AJ126" s="11">
        <f t="shared" si="23"/>
        <v>10</v>
      </c>
      <c r="AK126" s="10">
        <v>10</v>
      </c>
      <c r="AL126" s="11">
        <f t="shared" si="63"/>
        <v>10</v>
      </c>
      <c r="AM126" s="10">
        <v>10</v>
      </c>
      <c r="AN126" s="11">
        <f t="shared" si="63"/>
        <v>10</v>
      </c>
      <c r="AO126" s="10">
        <v>10</v>
      </c>
      <c r="AP126" s="56">
        <f t="shared" si="29"/>
        <v>1</v>
      </c>
      <c r="AR126" s="11">
        <f ca="1">IFERROR(OFFSET(ITEM_RES!$A$1,MATCH(AS126,ITEM_RES!$J:$J,0)-1,0),0)</f>
        <v>211020401</v>
      </c>
      <c r="AS126" s="10" t="s">
        <v>455</v>
      </c>
      <c r="AT126" s="11">
        <v>50</v>
      </c>
      <c r="AW126" s="11">
        <f ca="1">IFERROR(OFFSET(ITEM_RES!$A$1,MATCH(AX126,ITEM_RES!$J:$J,0)-1,0),0)</f>
        <v>0</v>
      </c>
      <c r="BB126" s="11">
        <f ca="1">IFERROR(OFFSET(ITEM_RES!$A$1,MATCH(BC126,ITEM_RES!$J:$J,0)-1,0),0)</f>
        <v>0</v>
      </c>
      <c r="BG126" s="11">
        <f ca="1">IFERROR(OFFSET(ITEM_RES!$A$1,MATCH(BH126,ITEM_RES!$J:$J,0)-1,0),0)</f>
        <v>0</v>
      </c>
      <c r="BL126" s="11">
        <f ca="1">IFERROR(OFFSET(ITEM_RES!$A$1,MATCH(BM126,ITEM_RES!$J:$J,0)-1,0),0)</f>
        <v>0</v>
      </c>
      <c r="BN126" s="11">
        <f t="shared" si="62"/>
        <v>0</v>
      </c>
    </row>
    <row r="127" spans="1:67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 t="s">
        <v>982</v>
      </c>
      <c r="M127" s="9" t="s">
        <v>1003</v>
      </c>
      <c r="N127" s="9">
        <v>1</v>
      </c>
      <c r="O127" s="9">
        <v>15</v>
      </c>
      <c r="P127" s="9" t="s">
        <v>819</v>
      </c>
      <c r="T127" s="9" t="s">
        <v>735</v>
      </c>
      <c r="W127" s="9">
        <f ca="1">IFERROR(OFFSET(ITEM_RES!$A$5,MATCH(BUILDING!V127,ITEM_RES!$J$5:$J$226,0)-1,0),0)</f>
        <v>0</v>
      </c>
      <c r="Y127" s="85" t="s">
        <v>572</v>
      </c>
      <c r="Z127" s="9">
        <f ca="1">IFERROR(OFFSET(ITEM_RES!$A$5,MATCH(BUILDING!Y127,ITEM_RES!$J$5:$J$226,0)-1,0),0)</f>
        <v>211010501</v>
      </c>
      <c r="AB127" s="9" t="s">
        <v>542</v>
      </c>
      <c r="AC127" s="9">
        <v>3</v>
      </c>
      <c r="AE127" s="9">
        <v>600</v>
      </c>
      <c r="AG127" s="56">
        <f t="shared" si="26"/>
        <v>240</v>
      </c>
      <c r="AH127" s="10">
        <f t="shared" ref="AH127:AH144" si="65">AG126+AG127</f>
        <v>400</v>
      </c>
      <c r="AJ127" s="11">
        <f t="shared" si="23"/>
        <v>15</v>
      </c>
      <c r="AK127" s="10">
        <v>15</v>
      </c>
      <c r="AL127" s="11">
        <f t="shared" si="63"/>
        <v>15</v>
      </c>
      <c r="AM127" s="10">
        <v>15</v>
      </c>
      <c r="AN127" s="11">
        <f t="shared" si="63"/>
        <v>15</v>
      </c>
      <c r="AO127" s="10">
        <v>15</v>
      </c>
      <c r="AP127" s="56">
        <f t="shared" si="29"/>
        <v>1</v>
      </c>
      <c r="AR127" s="11">
        <f ca="1">IFERROR(OFFSET(ITEM_RES!$A$1,MATCH(AS127,ITEM_RES!$J:$J,0)-1,0),0)</f>
        <v>211020401</v>
      </c>
      <c r="AS127" s="10" t="s">
        <v>455</v>
      </c>
      <c r="AT127" s="11">
        <v>75</v>
      </c>
      <c r="AW127" s="11">
        <f ca="1">IFERROR(OFFSET(ITEM_RES!$A$1,MATCH(AX127,ITEM_RES!$J:$J,0)-1,0),0)</f>
        <v>0</v>
      </c>
      <c r="BB127" s="11">
        <f ca="1">IFERROR(OFFSET(ITEM_RES!$A$1,MATCH(BC127,ITEM_RES!$J:$J,0)-1,0),0)</f>
        <v>0</v>
      </c>
      <c r="BG127" s="11">
        <f ca="1">IFERROR(OFFSET(ITEM_RES!$A$1,MATCH(BH127,ITEM_RES!$J:$J,0)-1,0),0)</f>
        <v>0</v>
      </c>
      <c r="BL127" s="11">
        <f ca="1">IFERROR(OFFSET(ITEM_RES!$A$1,MATCH(BM127,ITEM_RES!$J:$J,0)-1,0),0)</f>
        <v>0</v>
      </c>
      <c r="BN127" s="11">
        <f t="shared" si="62"/>
        <v>0</v>
      </c>
    </row>
    <row r="128" spans="1:67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 t="s">
        <v>982</v>
      </c>
      <c r="M128" s="9" t="s">
        <v>1003</v>
      </c>
      <c r="N128" s="9">
        <v>1</v>
      </c>
      <c r="O128" s="9">
        <v>15</v>
      </c>
      <c r="P128" s="9" t="s">
        <v>819</v>
      </c>
      <c r="T128" s="9" t="s">
        <v>735</v>
      </c>
      <c r="W128" s="9">
        <f ca="1">IFERROR(OFFSET(ITEM_RES!$A$5,MATCH(BUILDING!V128,ITEM_RES!$J$5:$J$226,0)-1,0),0)</f>
        <v>0</v>
      </c>
      <c r="Y128" s="85" t="s">
        <v>572</v>
      </c>
      <c r="Z128" s="9">
        <f ca="1">IFERROR(OFFSET(ITEM_RES!$A$5,MATCH(BUILDING!Y128,ITEM_RES!$J$5:$J$226,0)-1,0),0)</f>
        <v>211010501</v>
      </c>
      <c r="AB128" s="9" t="s">
        <v>542</v>
      </c>
      <c r="AC128" s="9">
        <v>4</v>
      </c>
      <c r="AE128" s="9">
        <v>1000</v>
      </c>
      <c r="AG128" s="56">
        <f t="shared" si="26"/>
        <v>400</v>
      </c>
      <c r="AH128" s="10">
        <f t="shared" si="65"/>
        <v>640</v>
      </c>
      <c r="AJ128" s="11">
        <f t="shared" si="23"/>
        <v>20</v>
      </c>
      <c r="AK128" s="10">
        <v>20</v>
      </c>
      <c r="AL128" s="11">
        <f t="shared" si="63"/>
        <v>25</v>
      </c>
      <c r="AM128" s="10">
        <v>25</v>
      </c>
      <c r="AN128" s="11">
        <f t="shared" si="63"/>
        <v>25</v>
      </c>
      <c r="AO128" s="10">
        <v>25</v>
      </c>
      <c r="AP128" s="56">
        <f t="shared" si="29"/>
        <v>1</v>
      </c>
      <c r="AR128" s="11">
        <f ca="1">IFERROR(OFFSET(ITEM_RES!$A$1,MATCH(AS128,ITEM_RES!$J:$J,0)-1,0),0)</f>
        <v>211020401</v>
      </c>
      <c r="AS128" s="10" t="s">
        <v>455</v>
      </c>
      <c r="AT128" s="11">
        <v>125</v>
      </c>
      <c r="AW128" s="11">
        <f ca="1">IFERROR(OFFSET(ITEM_RES!$A$1,MATCH(AX128,ITEM_RES!$J:$J,0)-1,0),0)</f>
        <v>0</v>
      </c>
      <c r="BB128" s="11">
        <f ca="1">IFERROR(OFFSET(ITEM_RES!$A$1,MATCH(BC128,ITEM_RES!$J:$J,0)-1,0),0)</f>
        <v>0</v>
      </c>
      <c r="BG128" s="11">
        <f ca="1">IFERROR(OFFSET(ITEM_RES!$A$1,MATCH(BH128,ITEM_RES!$J:$J,0)-1,0),0)</f>
        <v>0</v>
      </c>
      <c r="BL128" s="11">
        <f ca="1">IFERROR(OFFSET(ITEM_RES!$A$1,MATCH(BM128,ITEM_RES!$J:$J,0)-1,0),0)</f>
        <v>0</v>
      </c>
      <c r="BN128" s="11">
        <f t="shared" si="62"/>
        <v>0</v>
      </c>
    </row>
    <row r="129" spans="1:66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 t="s">
        <v>982</v>
      </c>
      <c r="M129" s="9" t="s">
        <v>1003</v>
      </c>
      <c r="N129" s="9">
        <v>1</v>
      </c>
      <c r="O129" s="9">
        <v>15</v>
      </c>
      <c r="P129" s="9" t="s">
        <v>819</v>
      </c>
      <c r="T129" s="9" t="s">
        <v>735</v>
      </c>
      <c r="W129" s="9">
        <f ca="1">IFERROR(OFFSET(ITEM_RES!$A$5,MATCH(BUILDING!V129,ITEM_RES!$J$5:$J$226,0)-1,0),0)</f>
        <v>0</v>
      </c>
      <c r="Y129" s="85" t="s">
        <v>572</v>
      </c>
      <c r="Z129" s="9">
        <f ca="1">IFERROR(OFFSET(ITEM_RES!$A$5,MATCH(BUILDING!Y129,ITEM_RES!$J$5:$J$226,0)-1,0),0)</f>
        <v>211010501</v>
      </c>
      <c r="AB129" s="9" t="s">
        <v>542</v>
      </c>
      <c r="AC129" s="9">
        <v>5</v>
      </c>
      <c r="AE129" s="9">
        <v>1600</v>
      </c>
      <c r="AG129" s="56">
        <f t="shared" si="26"/>
        <v>640</v>
      </c>
      <c r="AH129" s="10">
        <f t="shared" si="65"/>
        <v>1040</v>
      </c>
      <c r="AJ129" s="11">
        <f t="shared" si="23"/>
        <v>25</v>
      </c>
      <c r="AK129" s="10">
        <v>25</v>
      </c>
      <c r="AL129" s="11">
        <f t="shared" si="63"/>
        <v>40</v>
      </c>
      <c r="AM129" s="10">
        <v>40</v>
      </c>
      <c r="AN129" s="11">
        <f t="shared" si="63"/>
        <v>40</v>
      </c>
      <c r="AO129" s="10">
        <v>40</v>
      </c>
      <c r="AP129" s="56">
        <f t="shared" si="29"/>
        <v>1</v>
      </c>
      <c r="AR129" s="11">
        <f ca="1">IFERROR(OFFSET(ITEM_RES!$A$1,MATCH(AS129,ITEM_RES!$J:$J,0)-1,0),0)</f>
        <v>211020401</v>
      </c>
      <c r="AS129" s="10" t="s">
        <v>455</v>
      </c>
      <c r="AT129" s="11">
        <v>200</v>
      </c>
      <c r="AW129" s="11">
        <f ca="1">IFERROR(OFFSET(ITEM_RES!$A$1,MATCH(AX129,ITEM_RES!$J:$J,0)-1,0),0)</f>
        <v>0</v>
      </c>
      <c r="BB129" s="11">
        <f ca="1">IFERROR(OFFSET(ITEM_RES!$A$1,MATCH(BC129,ITEM_RES!$J:$J,0)-1,0),0)</f>
        <v>0</v>
      </c>
      <c r="BG129" s="11">
        <f ca="1">IFERROR(OFFSET(ITEM_RES!$A$1,MATCH(BH129,ITEM_RES!$J:$J,0)-1,0),0)</f>
        <v>0</v>
      </c>
      <c r="BL129" s="11">
        <f ca="1">IFERROR(OFFSET(ITEM_RES!$A$1,MATCH(BM129,ITEM_RES!$J:$J,0)-1,0),0)</f>
        <v>0</v>
      </c>
      <c r="BN129" s="11">
        <f t="shared" si="62"/>
        <v>0</v>
      </c>
    </row>
    <row r="130" spans="1:66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 t="s">
        <v>982</v>
      </c>
      <c r="M130" s="9" t="s">
        <v>1003</v>
      </c>
      <c r="N130" s="9">
        <v>1</v>
      </c>
      <c r="O130" s="9">
        <v>15</v>
      </c>
      <c r="P130" s="9" t="s">
        <v>819</v>
      </c>
      <c r="T130" s="9" t="s">
        <v>735</v>
      </c>
      <c r="W130" s="9">
        <f ca="1">IFERROR(OFFSET(ITEM_RES!$A$5,MATCH(BUILDING!V130,ITEM_RES!$J$5:$J$226,0)-1,0),0)</f>
        <v>0</v>
      </c>
      <c r="Y130" s="85" t="s">
        <v>572</v>
      </c>
      <c r="Z130" s="9">
        <f ca="1">IFERROR(OFFSET(ITEM_RES!$A$5,MATCH(BUILDING!Y130,ITEM_RES!$J$5:$J$226,0)-1,0),0)</f>
        <v>211010501</v>
      </c>
      <c r="AB130" s="9" t="s">
        <v>542</v>
      </c>
      <c r="AC130" s="9">
        <v>6</v>
      </c>
      <c r="AE130" s="9">
        <v>2000</v>
      </c>
      <c r="AG130" s="56">
        <f t="shared" si="26"/>
        <v>800</v>
      </c>
      <c r="AH130" s="10">
        <f t="shared" si="65"/>
        <v>1440</v>
      </c>
      <c r="AJ130" s="11">
        <f t="shared" si="23"/>
        <v>30</v>
      </c>
      <c r="AK130" s="10">
        <v>30</v>
      </c>
      <c r="AL130" s="11">
        <f t="shared" si="63"/>
        <v>50</v>
      </c>
      <c r="AM130" s="10">
        <v>50</v>
      </c>
      <c r="AN130" s="11">
        <f t="shared" si="63"/>
        <v>50</v>
      </c>
      <c r="AO130" s="10">
        <v>50</v>
      </c>
      <c r="AP130" s="56">
        <f t="shared" si="29"/>
        <v>1</v>
      </c>
      <c r="AR130" s="11">
        <f ca="1">IFERROR(OFFSET(ITEM_RES!$A$1,MATCH(AS130,ITEM_RES!$J:$J,0)-1,0),0)</f>
        <v>211020401</v>
      </c>
      <c r="AS130" s="10" t="s">
        <v>455</v>
      </c>
      <c r="AT130" s="11">
        <v>250</v>
      </c>
      <c r="AW130" s="11">
        <f ca="1">IFERROR(OFFSET(ITEM_RES!$A$1,MATCH(AX130,ITEM_RES!$J:$J,0)-1,0),0)</f>
        <v>0</v>
      </c>
      <c r="BB130" s="11">
        <f ca="1">IFERROR(OFFSET(ITEM_RES!$A$1,MATCH(BC130,ITEM_RES!$J:$J,0)-1,0),0)</f>
        <v>0</v>
      </c>
      <c r="BG130" s="11">
        <f ca="1">IFERROR(OFFSET(ITEM_RES!$A$1,MATCH(BH130,ITEM_RES!$J:$J,0)-1,0),0)</f>
        <v>0</v>
      </c>
      <c r="BL130" s="11">
        <f ca="1">IFERROR(OFFSET(ITEM_RES!$A$1,MATCH(BM130,ITEM_RES!$J:$J,0)-1,0),0)</f>
        <v>0</v>
      </c>
      <c r="BN130" s="11">
        <f t="shared" si="62"/>
        <v>0</v>
      </c>
    </row>
    <row r="131" spans="1:66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 t="s">
        <v>982</v>
      </c>
      <c r="M131" s="9" t="s">
        <v>1003</v>
      </c>
      <c r="N131" s="9">
        <v>1</v>
      </c>
      <c r="O131" s="9">
        <v>15</v>
      </c>
      <c r="P131" s="9" t="s">
        <v>819</v>
      </c>
      <c r="T131" s="9" t="s">
        <v>735</v>
      </c>
      <c r="W131" s="9">
        <f ca="1">IFERROR(OFFSET(ITEM_RES!$A$5,MATCH(BUILDING!V131,ITEM_RES!$J$5:$J$226,0)-1,0),0)</f>
        <v>0</v>
      </c>
      <c r="Y131" s="85" t="s">
        <v>572</v>
      </c>
      <c r="Z131" s="9">
        <f ca="1">IFERROR(OFFSET(ITEM_RES!$A$5,MATCH(BUILDING!Y131,ITEM_RES!$J$5:$J$226,0)-1,0),0)</f>
        <v>211010501</v>
      </c>
      <c r="AB131" s="9" t="s">
        <v>542</v>
      </c>
      <c r="AC131" s="9">
        <v>7</v>
      </c>
      <c r="AE131" s="9">
        <v>4000</v>
      </c>
      <c r="AG131" s="56">
        <f t="shared" si="26"/>
        <v>1600</v>
      </c>
      <c r="AH131" s="10">
        <f t="shared" si="65"/>
        <v>2400</v>
      </c>
      <c r="AJ131" s="11">
        <f t="shared" si="23"/>
        <v>35</v>
      </c>
      <c r="AK131" s="10">
        <v>35</v>
      </c>
      <c r="AL131" s="11">
        <f t="shared" si="63"/>
        <v>100</v>
      </c>
      <c r="AM131" s="10">
        <v>100</v>
      </c>
      <c r="AN131" s="11">
        <f t="shared" si="63"/>
        <v>100</v>
      </c>
      <c r="AO131" s="10">
        <v>100</v>
      </c>
      <c r="AP131" s="56">
        <f t="shared" si="29"/>
        <v>1</v>
      </c>
      <c r="AR131" s="11">
        <f ca="1">IFERROR(OFFSET(ITEM_RES!$A$1,MATCH(AS131,ITEM_RES!$J:$J,0)-1,0),0)</f>
        <v>211020401</v>
      </c>
      <c r="AS131" s="10" t="s">
        <v>455</v>
      </c>
      <c r="AT131" s="11">
        <v>500</v>
      </c>
      <c r="AW131" s="11">
        <f ca="1">IFERROR(OFFSET(ITEM_RES!$A$1,MATCH(AX131,ITEM_RES!$J:$J,0)-1,0),0)</f>
        <v>0</v>
      </c>
      <c r="BB131" s="11">
        <f ca="1">IFERROR(OFFSET(ITEM_RES!$A$1,MATCH(BC131,ITEM_RES!$J:$J,0)-1,0),0)</f>
        <v>0</v>
      </c>
      <c r="BG131" s="11">
        <f ca="1">IFERROR(OFFSET(ITEM_RES!$A$1,MATCH(BH131,ITEM_RES!$J:$J,0)-1,0),0)</f>
        <v>0</v>
      </c>
      <c r="BL131" s="11">
        <f ca="1">IFERROR(OFFSET(ITEM_RES!$A$1,MATCH(BM131,ITEM_RES!$J:$J,0)-1,0),0)</f>
        <v>0</v>
      </c>
      <c r="BN131" s="11">
        <f t="shared" si="62"/>
        <v>0</v>
      </c>
    </row>
    <row r="132" spans="1:66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 t="s">
        <v>982</v>
      </c>
      <c r="M132" s="9" t="s">
        <v>1003</v>
      </c>
      <c r="N132" s="9">
        <v>1</v>
      </c>
      <c r="O132" s="9">
        <v>15</v>
      </c>
      <c r="P132" s="9" t="s">
        <v>819</v>
      </c>
      <c r="T132" s="9" t="s">
        <v>735</v>
      </c>
      <c r="W132" s="9">
        <f ca="1">IFERROR(OFFSET(ITEM_RES!$A$5,MATCH(BUILDING!V132,ITEM_RES!$J$5:$J$226,0)-1,0),0)</f>
        <v>0</v>
      </c>
      <c r="Y132" s="85" t="s">
        <v>572</v>
      </c>
      <c r="Z132" s="9">
        <f ca="1">IFERROR(OFFSET(ITEM_RES!$A$5,MATCH(BUILDING!Y132,ITEM_RES!$J$5:$J$226,0)-1,0),0)</f>
        <v>211010501</v>
      </c>
      <c r="AB132" s="9" t="s">
        <v>542</v>
      </c>
      <c r="AC132" s="9">
        <v>8</v>
      </c>
      <c r="AE132" s="9">
        <v>4000</v>
      </c>
      <c r="AG132" s="56">
        <f t="shared" si="26"/>
        <v>1600</v>
      </c>
      <c r="AH132" s="10">
        <f t="shared" si="65"/>
        <v>3200</v>
      </c>
      <c r="AJ132" s="11">
        <f t="shared" si="23"/>
        <v>40</v>
      </c>
      <c r="AK132" s="10">
        <v>40</v>
      </c>
      <c r="AL132" s="11">
        <f t="shared" si="63"/>
        <v>100</v>
      </c>
      <c r="AM132" s="10">
        <v>100</v>
      </c>
      <c r="AN132" s="11">
        <f t="shared" si="63"/>
        <v>100</v>
      </c>
      <c r="AO132" s="10">
        <v>100</v>
      </c>
      <c r="AP132" s="56">
        <f t="shared" si="29"/>
        <v>1</v>
      </c>
      <c r="AR132" s="11">
        <f ca="1">IFERROR(OFFSET(ITEM_RES!$A$1,MATCH(AS132,ITEM_RES!$J:$J,0)-1,0),0)</f>
        <v>211020401</v>
      </c>
      <c r="AS132" s="10" t="s">
        <v>455</v>
      </c>
      <c r="AT132" s="11">
        <v>500</v>
      </c>
      <c r="AW132" s="11">
        <f ca="1">IFERROR(OFFSET(ITEM_RES!$A$1,MATCH(AX132,ITEM_RES!$J:$J,0)-1,0),0)</f>
        <v>0</v>
      </c>
      <c r="BB132" s="11">
        <f ca="1">IFERROR(OFFSET(ITEM_RES!$A$1,MATCH(BC132,ITEM_RES!$J:$J,0)-1,0),0)</f>
        <v>0</v>
      </c>
      <c r="BG132" s="11">
        <f ca="1">IFERROR(OFFSET(ITEM_RES!$A$1,MATCH(BH132,ITEM_RES!$J:$J,0)-1,0),0)</f>
        <v>0</v>
      </c>
      <c r="BL132" s="11">
        <f ca="1">IFERROR(OFFSET(ITEM_RES!$A$1,MATCH(BM132,ITEM_RES!$J:$J,0)-1,0),0)</f>
        <v>0</v>
      </c>
      <c r="BN132" s="11">
        <f t="shared" si="62"/>
        <v>0</v>
      </c>
    </row>
    <row r="133" spans="1:66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 t="s">
        <v>982</v>
      </c>
      <c r="M133" s="9" t="s">
        <v>1003</v>
      </c>
      <c r="N133" s="9">
        <v>1</v>
      </c>
      <c r="O133" s="9">
        <v>15</v>
      </c>
      <c r="P133" s="9" t="s">
        <v>819</v>
      </c>
      <c r="T133" s="9" t="s">
        <v>735</v>
      </c>
      <c r="W133" s="9">
        <f ca="1">IFERROR(OFFSET(ITEM_RES!$A$5,MATCH(BUILDING!V133,ITEM_RES!$J$5:$J$226,0)-1,0),0)</f>
        <v>0</v>
      </c>
      <c r="Y133" s="85" t="s">
        <v>572</v>
      </c>
      <c r="Z133" s="9">
        <f ca="1">IFERROR(OFFSET(ITEM_RES!$A$5,MATCH(BUILDING!Y133,ITEM_RES!$J$5:$J$226,0)-1,0),0)</f>
        <v>211010501</v>
      </c>
      <c r="AB133" s="9" t="s">
        <v>542</v>
      </c>
      <c r="AC133" s="9">
        <v>9</v>
      </c>
      <c r="AE133" s="9">
        <v>6000</v>
      </c>
      <c r="AG133" s="56">
        <f t="shared" si="26"/>
        <v>2400</v>
      </c>
      <c r="AH133" s="10">
        <f t="shared" si="65"/>
        <v>4000</v>
      </c>
      <c r="AJ133" s="11">
        <f t="shared" ref="AJ133:AJ236" si="66">ROUND(AK133,0)</f>
        <v>45</v>
      </c>
      <c r="AK133" s="10">
        <v>45</v>
      </c>
      <c r="AL133" s="11">
        <f t="shared" si="63"/>
        <v>150</v>
      </c>
      <c r="AM133" s="10">
        <v>150</v>
      </c>
      <c r="AN133" s="11">
        <f t="shared" si="63"/>
        <v>150</v>
      </c>
      <c r="AO133" s="10">
        <v>150</v>
      </c>
      <c r="AP133" s="56">
        <f t="shared" si="29"/>
        <v>1</v>
      </c>
      <c r="AR133" s="11">
        <f ca="1">IFERROR(OFFSET(ITEM_RES!$A$1,MATCH(AS133,ITEM_RES!$J:$J,0)-1,0),0)</f>
        <v>211020401</v>
      </c>
      <c r="AS133" s="10" t="s">
        <v>455</v>
      </c>
      <c r="AT133" s="11">
        <v>750</v>
      </c>
      <c r="AW133" s="11">
        <f ca="1">IFERROR(OFFSET(ITEM_RES!$A$1,MATCH(AX133,ITEM_RES!$J:$J,0)-1,0),0)</f>
        <v>0</v>
      </c>
      <c r="BB133" s="11">
        <f ca="1">IFERROR(OFFSET(ITEM_RES!$A$1,MATCH(BC133,ITEM_RES!$J:$J,0)-1,0),0)</f>
        <v>0</v>
      </c>
      <c r="BG133" s="11">
        <f ca="1">IFERROR(OFFSET(ITEM_RES!$A$1,MATCH(BH133,ITEM_RES!$J:$J,0)-1,0),0)</f>
        <v>0</v>
      </c>
      <c r="BL133" s="11">
        <f ca="1">IFERROR(OFFSET(ITEM_RES!$A$1,MATCH(BM133,ITEM_RES!$J:$J,0)-1,0),0)</f>
        <v>0</v>
      </c>
      <c r="BN133" s="11">
        <f t="shared" si="62"/>
        <v>0</v>
      </c>
    </row>
    <row r="134" spans="1:66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 t="s">
        <v>982</v>
      </c>
      <c r="M134" s="9" t="s">
        <v>1003</v>
      </c>
      <c r="N134" s="9">
        <v>1</v>
      </c>
      <c r="O134" s="9">
        <v>15</v>
      </c>
      <c r="P134" s="9" t="s">
        <v>819</v>
      </c>
      <c r="T134" s="9" t="s">
        <v>735</v>
      </c>
      <c r="W134" s="9">
        <f ca="1">IFERROR(OFFSET(ITEM_RES!$A$5,MATCH(BUILDING!V134,ITEM_RES!$J$5:$J$226,0)-1,0),0)</f>
        <v>0</v>
      </c>
      <c r="Y134" s="85" t="s">
        <v>572</v>
      </c>
      <c r="Z134" s="9">
        <f ca="1">IFERROR(OFFSET(ITEM_RES!$A$5,MATCH(BUILDING!Y134,ITEM_RES!$J$5:$J$226,0)-1,0),0)</f>
        <v>211010501</v>
      </c>
      <c r="AB134" s="9" t="s">
        <v>542</v>
      </c>
      <c r="AC134" s="9">
        <v>10</v>
      </c>
      <c r="AE134" s="9">
        <v>8000</v>
      </c>
      <c r="AG134" s="56">
        <f t="shared" ref="AG134:AG237" si="67">AM134*10+AO134+AT134+AY134+500*BD134+500*BI134+500*BN134</f>
        <v>3200</v>
      </c>
      <c r="AH134" s="10">
        <f t="shared" si="65"/>
        <v>5600</v>
      </c>
      <c r="AJ134" s="11">
        <f t="shared" si="66"/>
        <v>50</v>
      </c>
      <c r="AK134" s="10">
        <v>50</v>
      </c>
      <c r="AL134" s="11">
        <f t="shared" si="63"/>
        <v>200</v>
      </c>
      <c r="AM134" s="10">
        <v>200</v>
      </c>
      <c r="AN134" s="11">
        <f t="shared" si="63"/>
        <v>200</v>
      </c>
      <c r="AO134" s="10">
        <v>200</v>
      </c>
      <c r="AP134" s="56">
        <f t="shared" ref="AP134:AP237" si="68">(AT134&gt;0)*1+(AY134&gt;0)*1+(BD134&gt;0)*1+(BI134&gt;0)*1+(BN134&gt;0)*1</f>
        <v>1</v>
      </c>
      <c r="AR134" s="11">
        <f ca="1">IFERROR(OFFSET(ITEM_RES!$A$1,MATCH(AS134,ITEM_RES!$J:$J,0)-1,0),0)</f>
        <v>211020401</v>
      </c>
      <c r="AS134" s="10" t="s">
        <v>455</v>
      </c>
      <c r="AT134" s="11">
        <v>1000</v>
      </c>
      <c r="AW134" s="11">
        <f ca="1">IFERROR(OFFSET(ITEM_RES!$A$1,MATCH(AX134,ITEM_RES!$J:$J,0)-1,0),0)</f>
        <v>0</v>
      </c>
      <c r="BB134" s="11">
        <f ca="1">IFERROR(OFFSET(ITEM_RES!$A$1,MATCH(BC134,ITEM_RES!$J:$J,0)-1,0),0)</f>
        <v>0</v>
      </c>
      <c r="BG134" s="11">
        <f ca="1">IFERROR(OFFSET(ITEM_RES!$A$1,MATCH(BH134,ITEM_RES!$J:$J,0)-1,0),0)</f>
        <v>0</v>
      </c>
      <c r="BL134" s="11">
        <f ca="1">IFERROR(OFFSET(ITEM_RES!$A$1,MATCH(BM134,ITEM_RES!$J:$J,0)-1,0),0)</f>
        <v>0</v>
      </c>
      <c r="BN134" s="11">
        <f t="shared" si="62"/>
        <v>0</v>
      </c>
    </row>
    <row r="135" spans="1:66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 t="s">
        <v>982</v>
      </c>
      <c r="M135" s="9" t="s">
        <v>1003</v>
      </c>
      <c r="N135" s="9">
        <v>1</v>
      </c>
      <c r="O135" s="9">
        <v>15</v>
      </c>
      <c r="P135" s="9" t="s">
        <v>819</v>
      </c>
      <c r="T135" s="9" t="s">
        <v>735</v>
      </c>
      <c r="W135" s="9">
        <f ca="1">IFERROR(OFFSET(ITEM_RES!$A$5,MATCH(BUILDING!V135,ITEM_RES!$J$5:$J$226,0)-1,0),0)</f>
        <v>0</v>
      </c>
      <c r="Y135" s="85" t="s">
        <v>572</v>
      </c>
      <c r="Z135" s="9">
        <f ca="1">IFERROR(OFFSET(ITEM_RES!$A$5,MATCH(BUILDING!Y135,ITEM_RES!$J$5:$J$226,0)-1,0),0)</f>
        <v>211010501</v>
      </c>
      <c r="AB135" s="9" t="s">
        <v>542</v>
      </c>
      <c r="AC135" s="9">
        <v>11</v>
      </c>
      <c r="AE135" s="9">
        <v>10000</v>
      </c>
      <c r="AG135" s="56">
        <f t="shared" si="67"/>
        <v>4000</v>
      </c>
      <c r="AH135" s="10">
        <f t="shared" si="65"/>
        <v>7200</v>
      </c>
      <c r="AJ135" s="11">
        <f t="shared" si="66"/>
        <v>55</v>
      </c>
      <c r="AK135" s="10">
        <v>55</v>
      </c>
      <c r="AL135" s="11">
        <f t="shared" si="63"/>
        <v>250</v>
      </c>
      <c r="AM135" s="10">
        <v>250</v>
      </c>
      <c r="AN135" s="11">
        <f t="shared" si="63"/>
        <v>250</v>
      </c>
      <c r="AO135" s="10">
        <v>250</v>
      </c>
      <c r="AP135" s="56">
        <f t="shared" si="68"/>
        <v>1</v>
      </c>
      <c r="AR135" s="11">
        <f ca="1">IFERROR(OFFSET(ITEM_RES!$A$1,MATCH(AS135,ITEM_RES!$J:$J,0)-1,0),0)</f>
        <v>211020501</v>
      </c>
      <c r="AS135" s="10" t="s">
        <v>451</v>
      </c>
      <c r="AT135" s="11">
        <v>1250</v>
      </c>
      <c r="AW135" s="11">
        <f ca="1">IFERROR(OFFSET(ITEM_RES!$A$1,MATCH(AX135,ITEM_RES!$J:$J,0)-1,0),0)</f>
        <v>0</v>
      </c>
      <c r="BB135" s="11">
        <f ca="1">IFERROR(OFFSET(ITEM_RES!$A$1,MATCH(BC135,ITEM_RES!$J:$J,0)-1,0),0)</f>
        <v>0</v>
      </c>
      <c r="BG135" s="11">
        <f ca="1">IFERROR(OFFSET(ITEM_RES!$A$1,MATCH(BH135,ITEM_RES!$J:$J,0)-1,0),0)</f>
        <v>0</v>
      </c>
      <c r="BL135" s="11">
        <f ca="1">IFERROR(OFFSET(ITEM_RES!$A$1,MATCH(BM135,ITEM_RES!$J:$J,0)-1,0),0)</f>
        <v>0</v>
      </c>
      <c r="BN135" s="11">
        <f t="shared" si="62"/>
        <v>0</v>
      </c>
    </row>
    <row r="136" spans="1:66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 t="s">
        <v>982</v>
      </c>
      <c r="M136" s="9" t="s">
        <v>1003</v>
      </c>
      <c r="N136" s="9">
        <v>1</v>
      </c>
      <c r="O136" s="9">
        <v>15</v>
      </c>
      <c r="P136" s="9" t="s">
        <v>819</v>
      </c>
      <c r="T136" s="9" t="s">
        <v>735</v>
      </c>
      <c r="W136" s="9">
        <f ca="1">IFERROR(OFFSET(ITEM_RES!$A$5,MATCH(BUILDING!V136,ITEM_RES!$J$5:$J$226,0)-1,0),0)</f>
        <v>0</v>
      </c>
      <c r="Y136" s="85" t="s">
        <v>572</v>
      </c>
      <c r="Z136" s="9">
        <f ca="1">IFERROR(OFFSET(ITEM_RES!$A$5,MATCH(BUILDING!Y136,ITEM_RES!$J$5:$J$226,0)-1,0),0)</f>
        <v>211010501</v>
      </c>
      <c r="AB136" s="9" t="s">
        <v>542</v>
      </c>
      <c r="AC136" s="9">
        <v>12</v>
      </c>
      <c r="AE136" s="9">
        <v>12000</v>
      </c>
      <c r="AG136" s="56">
        <f t="shared" si="67"/>
        <v>4800</v>
      </c>
      <c r="AH136" s="10">
        <f t="shared" si="65"/>
        <v>8800</v>
      </c>
      <c r="AJ136" s="11">
        <f t="shared" si="66"/>
        <v>60</v>
      </c>
      <c r="AK136" s="10">
        <v>60</v>
      </c>
      <c r="AL136" s="11">
        <f t="shared" si="63"/>
        <v>300</v>
      </c>
      <c r="AM136" s="10">
        <v>300</v>
      </c>
      <c r="AN136" s="11">
        <f t="shared" si="63"/>
        <v>300</v>
      </c>
      <c r="AO136" s="10">
        <v>300</v>
      </c>
      <c r="AP136" s="56">
        <f t="shared" si="68"/>
        <v>1</v>
      </c>
      <c r="AR136" s="11">
        <f ca="1">IFERROR(OFFSET(ITEM_RES!$A$1,MATCH(AS136,ITEM_RES!$J:$J,0)-1,0),0)</f>
        <v>211020501</v>
      </c>
      <c r="AS136" s="10" t="s">
        <v>451</v>
      </c>
      <c r="AT136" s="11">
        <v>1500</v>
      </c>
      <c r="AW136" s="11">
        <f ca="1">IFERROR(OFFSET(ITEM_RES!$A$1,MATCH(AX136,ITEM_RES!$J:$J,0)-1,0),0)</f>
        <v>0</v>
      </c>
      <c r="BB136" s="11">
        <f ca="1">IFERROR(OFFSET(ITEM_RES!$A$1,MATCH(BC136,ITEM_RES!$J:$J,0)-1,0),0)</f>
        <v>0</v>
      </c>
      <c r="BG136" s="11">
        <f ca="1">IFERROR(OFFSET(ITEM_RES!$A$1,MATCH(BH136,ITEM_RES!$J:$J,0)-1,0),0)</f>
        <v>0</v>
      </c>
      <c r="BL136" s="11">
        <f ca="1">IFERROR(OFFSET(ITEM_RES!$A$1,MATCH(BM136,ITEM_RES!$J:$J,0)-1,0),0)</f>
        <v>0</v>
      </c>
      <c r="BN136" s="11">
        <f t="shared" si="62"/>
        <v>0</v>
      </c>
    </row>
    <row r="137" spans="1:66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 t="s">
        <v>982</v>
      </c>
      <c r="M137" s="9" t="s">
        <v>1003</v>
      </c>
      <c r="N137" s="9">
        <v>1</v>
      </c>
      <c r="O137" s="9">
        <v>15</v>
      </c>
      <c r="P137" s="9" t="s">
        <v>819</v>
      </c>
      <c r="T137" s="9" t="s">
        <v>735</v>
      </c>
      <c r="W137" s="9">
        <f ca="1">IFERROR(OFFSET(ITEM_RES!$A$5,MATCH(BUILDING!V137,ITEM_RES!$J$5:$J$226,0)-1,0),0)</f>
        <v>0</v>
      </c>
      <c r="Y137" s="85" t="s">
        <v>572</v>
      </c>
      <c r="Z137" s="9">
        <f ca="1">IFERROR(OFFSET(ITEM_RES!$A$5,MATCH(BUILDING!Y137,ITEM_RES!$J$5:$J$226,0)-1,0),0)</f>
        <v>211010501</v>
      </c>
      <c r="AB137" s="9" t="s">
        <v>542</v>
      </c>
      <c r="AC137" s="9">
        <v>13</v>
      </c>
      <c r="AE137" s="9">
        <v>14000</v>
      </c>
      <c r="AG137" s="56">
        <f t="shared" si="67"/>
        <v>5600</v>
      </c>
      <c r="AH137" s="10">
        <f t="shared" si="65"/>
        <v>10400</v>
      </c>
      <c r="AJ137" s="11">
        <f t="shared" si="66"/>
        <v>65</v>
      </c>
      <c r="AK137" s="10">
        <v>65</v>
      </c>
      <c r="AL137" s="11">
        <f t="shared" si="63"/>
        <v>350</v>
      </c>
      <c r="AM137" s="10">
        <v>350</v>
      </c>
      <c r="AN137" s="11">
        <f t="shared" si="63"/>
        <v>350</v>
      </c>
      <c r="AO137" s="10">
        <v>350</v>
      </c>
      <c r="AP137" s="56">
        <f t="shared" si="68"/>
        <v>1</v>
      </c>
      <c r="AR137" s="11">
        <f ca="1">IFERROR(OFFSET(ITEM_RES!$A$1,MATCH(AS137,ITEM_RES!$J:$J,0)-1,0),0)</f>
        <v>211020501</v>
      </c>
      <c r="AS137" s="10" t="s">
        <v>451</v>
      </c>
      <c r="AT137" s="11">
        <v>1750</v>
      </c>
      <c r="AW137" s="11">
        <f ca="1">IFERROR(OFFSET(ITEM_RES!$A$1,MATCH(AX137,ITEM_RES!$J:$J,0)-1,0),0)</f>
        <v>0</v>
      </c>
      <c r="BB137" s="11">
        <f ca="1">IFERROR(OFFSET(ITEM_RES!$A$1,MATCH(BC137,ITEM_RES!$J:$J,0)-1,0),0)</f>
        <v>0</v>
      </c>
      <c r="BG137" s="11">
        <f ca="1">IFERROR(OFFSET(ITEM_RES!$A$1,MATCH(BH137,ITEM_RES!$J:$J,0)-1,0),0)</f>
        <v>0</v>
      </c>
      <c r="BL137" s="11">
        <f ca="1">IFERROR(OFFSET(ITEM_RES!$A$1,MATCH(BM137,ITEM_RES!$J:$J,0)-1,0),0)</f>
        <v>0</v>
      </c>
      <c r="BN137" s="11">
        <f t="shared" si="62"/>
        <v>0</v>
      </c>
    </row>
    <row r="138" spans="1:66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 t="s">
        <v>982</v>
      </c>
      <c r="M138" s="9" t="s">
        <v>1003</v>
      </c>
      <c r="N138" s="9">
        <v>1</v>
      </c>
      <c r="O138" s="9">
        <v>15</v>
      </c>
      <c r="P138" s="9" t="s">
        <v>819</v>
      </c>
      <c r="T138" s="9" t="s">
        <v>735</v>
      </c>
      <c r="W138" s="9">
        <f ca="1">IFERROR(OFFSET(ITEM_RES!$A$5,MATCH(BUILDING!V138,ITEM_RES!$J$5:$J$226,0)-1,0),0)</f>
        <v>0</v>
      </c>
      <c r="Y138" s="85" t="s">
        <v>572</v>
      </c>
      <c r="Z138" s="9">
        <f ca="1">IFERROR(OFFSET(ITEM_RES!$A$5,MATCH(BUILDING!Y138,ITEM_RES!$J$5:$J$226,0)-1,0),0)</f>
        <v>211010501</v>
      </c>
      <c r="AB138" s="9" t="s">
        <v>542</v>
      </c>
      <c r="AC138" s="9">
        <v>14</v>
      </c>
      <c r="AE138" s="9">
        <v>18000</v>
      </c>
      <c r="AG138" s="56">
        <f t="shared" si="67"/>
        <v>7200</v>
      </c>
      <c r="AH138" s="10">
        <f t="shared" si="65"/>
        <v>12800</v>
      </c>
      <c r="AJ138" s="11">
        <f t="shared" si="66"/>
        <v>70</v>
      </c>
      <c r="AK138" s="10">
        <v>70</v>
      </c>
      <c r="AL138" s="11">
        <f t="shared" si="63"/>
        <v>450</v>
      </c>
      <c r="AM138" s="10">
        <v>450</v>
      </c>
      <c r="AN138" s="11">
        <f t="shared" si="63"/>
        <v>450</v>
      </c>
      <c r="AO138" s="10">
        <v>450</v>
      </c>
      <c r="AP138" s="56">
        <f t="shared" si="68"/>
        <v>1</v>
      </c>
      <c r="AR138" s="11">
        <f ca="1">IFERROR(OFFSET(ITEM_RES!$A$1,MATCH(AS138,ITEM_RES!$J:$J,0)-1,0),0)</f>
        <v>211020501</v>
      </c>
      <c r="AS138" s="10" t="s">
        <v>451</v>
      </c>
      <c r="AT138" s="11">
        <v>2250</v>
      </c>
      <c r="AW138" s="11">
        <f ca="1">IFERROR(OFFSET(ITEM_RES!$A$1,MATCH(AX138,ITEM_RES!$J:$J,0)-1,0),0)</f>
        <v>0</v>
      </c>
      <c r="BB138" s="11">
        <f ca="1">IFERROR(OFFSET(ITEM_RES!$A$1,MATCH(BC138,ITEM_RES!$J:$J,0)-1,0),0)</f>
        <v>0</v>
      </c>
      <c r="BG138" s="11">
        <f ca="1">IFERROR(OFFSET(ITEM_RES!$A$1,MATCH(BH138,ITEM_RES!$J:$J,0)-1,0),0)</f>
        <v>0</v>
      </c>
      <c r="BL138" s="11">
        <f ca="1">IFERROR(OFFSET(ITEM_RES!$A$1,MATCH(BM138,ITEM_RES!$J:$J,0)-1,0),0)</f>
        <v>0</v>
      </c>
      <c r="BN138" s="11">
        <f t="shared" si="62"/>
        <v>0</v>
      </c>
    </row>
    <row r="139" spans="1:66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 t="s">
        <v>982</v>
      </c>
      <c r="M139" s="9" t="s">
        <v>1003</v>
      </c>
      <c r="N139" s="9">
        <v>1</v>
      </c>
      <c r="O139" s="9">
        <v>15</v>
      </c>
      <c r="P139" s="9" t="s">
        <v>819</v>
      </c>
      <c r="T139" s="9" t="s">
        <v>735</v>
      </c>
      <c r="W139" s="9">
        <f ca="1">IFERROR(OFFSET(ITEM_RES!$A$5,MATCH(BUILDING!V139,ITEM_RES!$J$5:$J$226,0)-1,0),0)</f>
        <v>0</v>
      </c>
      <c r="Y139" s="85" t="s">
        <v>572</v>
      </c>
      <c r="Z139" s="9">
        <f ca="1">IFERROR(OFFSET(ITEM_RES!$A$5,MATCH(BUILDING!Y139,ITEM_RES!$J$5:$J$226,0)-1,0),0)</f>
        <v>211010501</v>
      </c>
      <c r="AB139" s="9" t="s">
        <v>542</v>
      </c>
      <c r="AC139" s="9">
        <v>15</v>
      </c>
      <c r="AE139" s="9">
        <v>22000</v>
      </c>
      <c r="AG139" s="56">
        <f t="shared" si="67"/>
        <v>8800</v>
      </c>
      <c r="AH139" s="10">
        <f t="shared" si="65"/>
        <v>16000</v>
      </c>
      <c r="AJ139" s="11">
        <f t="shared" si="66"/>
        <v>75</v>
      </c>
      <c r="AK139" s="10">
        <v>75</v>
      </c>
      <c r="AL139" s="11">
        <f t="shared" si="63"/>
        <v>550</v>
      </c>
      <c r="AM139" s="10">
        <v>550</v>
      </c>
      <c r="AN139" s="11">
        <f t="shared" si="63"/>
        <v>550</v>
      </c>
      <c r="AO139" s="10">
        <v>550</v>
      </c>
      <c r="AP139" s="56">
        <f t="shared" si="68"/>
        <v>1</v>
      </c>
      <c r="AR139" s="11">
        <f ca="1">IFERROR(OFFSET(ITEM_RES!$A$1,MATCH(AS139,ITEM_RES!$J:$J,0)-1,0),0)</f>
        <v>211020501</v>
      </c>
      <c r="AS139" s="10" t="s">
        <v>451</v>
      </c>
      <c r="AT139" s="11">
        <v>2750</v>
      </c>
      <c r="AW139" s="11">
        <f ca="1">IFERROR(OFFSET(ITEM_RES!$A$1,MATCH(AX139,ITEM_RES!$J:$J,0)-1,0),0)</f>
        <v>0</v>
      </c>
      <c r="BB139" s="11">
        <f ca="1">IFERROR(OFFSET(ITEM_RES!$A$1,MATCH(BC139,ITEM_RES!$J:$J,0)-1,0),0)</f>
        <v>0</v>
      </c>
      <c r="BG139" s="11">
        <f ca="1">IFERROR(OFFSET(ITEM_RES!$A$1,MATCH(BH139,ITEM_RES!$J:$J,0)-1,0),0)</f>
        <v>0</v>
      </c>
      <c r="BL139" s="11">
        <f ca="1">IFERROR(OFFSET(ITEM_RES!$A$1,MATCH(BM139,ITEM_RES!$J:$J,0)-1,0),0)</f>
        <v>0</v>
      </c>
      <c r="BN139" s="11">
        <f t="shared" si="62"/>
        <v>0</v>
      </c>
    </row>
    <row r="140" spans="1:66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 t="s">
        <v>982</v>
      </c>
      <c r="M140" s="9" t="s">
        <v>1003</v>
      </c>
      <c r="N140" s="9">
        <v>0</v>
      </c>
      <c r="O140" s="9">
        <v>15</v>
      </c>
      <c r="P140" s="9" t="s">
        <v>819</v>
      </c>
      <c r="T140" s="9" t="s">
        <v>735</v>
      </c>
      <c r="W140" s="9">
        <f ca="1">IFERROR(OFFSET(ITEM_RES!$A$5,MATCH(BUILDING!V140,ITEM_RES!$J$5:$J$226,0)-1,0),0)</f>
        <v>0</v>
      </c>
      <c r="Y140" s="85" t="s">
        <v>572</v>
      </c>
      <c r="Z140" s="9">
        <f ca="1">IFERROR(OFFSET(ITEM_RES!$A$5,MATCH(BUILDING!Y140,ITEM_RES!$J$5:$J$226,0)-1,0),0)</f>
        <v>211010501</v>
      </c>
      <c r="AB140" s="9" t="s">
        <v>542</v>
      </c>
      <c r="AC140" s="9">
        <v>16</v>
      </c>
      <c r="AE140" s="9">
        <v>28000</v>
      </c>
      <c r="AG140" s="56">
        <f t="shared" si="67"/>
        <v>11200</v>
      </c>
      <c r="AH140" s="10">
        <f t="shared" si="65"/>
        <v>20000</v>
      </c>
      <c r="AJ140" s="11">
        <f t="shared" si="66"/>
        <v>80</v>
      </c>
      <c r="AK140" s="10">
        <v>80</v>
      </c>
      <c r="AL140" s="11">
        <f t="shared" si="63"/>
        <v>700</v>
      </c>
      <c r="AM140" s="10">
        <v>700</v>
      </c>
      <c r="AN140" s="11">
        <f t="shared" si="63"/>
        <v>700</v>
      </c>
      <c r="AO140" s="10">
        <v>700</v>
      </c>
      <c r="AP140" s="56">
        <f t="shared" si="68"/>
        <v>1</v>
      </c>
      <c r="AR140" s="11">
        <f ca="1">IFERROR(OFFSET(ITEM_RES!$A$1,MATCH(AS140,ITEM_RES!$J:$J,0)-1,0),0)</f>
        <v>211020501</v>
      </c>
      <c r="AS140" s="10" t="s">
        <v>451</v>
      </c>
      <c r="AT140" s="11">
        <v>3500</v>
      </c>
      <c r="AW140" s="11">
        <f ca="1">IFERROR(OFFSET(ITEM_RES!$A$1,MATCH(AX140,ITEM_RES!$J:$J,0)-1,0),0)</f>
        <v>0</v>
      </c>
      <c r="BB140" s="11">
        <f ca="1">IFERROR(OFFSET(ITEM_RES!$A$1,MATCH(BC140,ITEM_RES!$J:$J,0)-1,0),0)</f>
        <v>0</v>
      </c>
      <c r="BG140" s="11">
        <f ca="1">IFERROR(OFFSET(ITEM_RES!$A$1,MATCH(BH140,ITEM_RES!$J:$J,0)-1,0),0)</f>
        <v>0</v>
      </c>
      <c r="BL140" s="11">
        <f ca="1">IFERROR(OFFSET(ITEM_RES!$A$1,MATCH(BM140,ITEM_RES!$J:$J,0)-1,0),0)</f>
        <v>0</v>
      </c>
      <c r="BN140" s="11">
        <f t="shared" si="62"/>
        <v>0</v>
      </c>
    </row>
    <row r="141" spans="1:66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 t="s">
        <v>982</v>
      </c>
      <c r="M141" s="9" t="s">
        <v>1003</v>
      </c>
      <c r="N141" s="9">
        <v>0</v>
      </c>
      <c r="O141" s="9">
        <v>15</v>
      </c>
      <c r="P141" s="9" t="s">
        <v>819</v>
      </c>
      <c r="T141" s="9" t="s">
        <v>735</v>
      </c>
      <c r="W141" s="9">
        <f ca="1">IFERROR(OFFSET(ITEM_RES!$A$5,MATCH(BUILDING!V141,ITEM_RES!$J$5:$J$226,0)-1,0),0)</f>
        <v>0</v>
      </c>
      <c r="Y141" s="85" t="s">
        <v>572</v>
      </c>
      <c r="Z141" s="9">
        <f ca="1">IFERROR(OFFSET(ITEM_RES!$A$5,MATCH(BUILDING!Y141,ITEM_RES!$J$5:$J$226,0)-1,0),0)</f>
        <v>211010501</v>
      </c>
      <c r="AB141" s="9" t="s">
        <v>542</v>
      </c>
      <c r="AC141" s="9">
        <v>17</v>
      </c>
      <c r="AE141" s="9">
        <v>34000</v>
      </c>
      <c r="AG141" s="56">
        <f t="shared" si="67"/>
        <v>13600</v>
      </c>
      <c r="AH141" s="10">
        <f t="shared" si="65"/>
        <v>24800</v>
      </c>
      <c r="AJ141" s="11">
        <f t="shared" si="66"/>
        <v>85</v>
      </c>
      <c r="AK141" s="10">
        <v>85</v>
      </c>
      <c r="AL141" s="11">
        <f t="shared" si="63"/>
        <v>850</v>
      </c>
      <c r="AM141" s="10">
        <v>850</v>
      </c>
      <c r="AN141" s="11">
        <f t="shared" si="63"/>
        <v>850</v>
      </c>
      <c r="AO141" s="10">
        <v>850</v>
      </c>
      <c r="AP141" s="56">
        <f t="shared" si="68"/>
        <v>1</v>
      </c>
      <c r="AR141" s="11">
        <f ca="1">IFERROR(OFFSET(ITEM_RES!$A$1,MATCH(AS141,ITEM_RES!$J:$J,0)-1,0),0)</f>
        <v>211020501</v>
      </c>
      <c r="AS141" s="10" t="s">
        <v>451</v>
      </c>
      <c r="AT141" s="11">
        <v>4250</v>
      </c>
      <c r="AW141" s="11">
        <f ca="1">IFERROR(OFFSET(ITEM_RES!$A$1,MATCH(AX141,ITEM_RES!$J:$J,0)-1,0),0)</f>
        <v>0</v>
      </c>
      <c r="BB141" s="11">
        <f ca="1">IFERROR(OFFSET(ITEM_RES!$A$1,MATCH(BC141,ITEM_RES!$J:$J,0)-1,0),0)</f>
        <v>0</v>
      </c>
      <c r="BG141" s="11">
        <f ca="1">IFERROR(OFFSET(ITEM_RES!$A$1,MATCH(BH141,ITEM_RES!$J:$J,0)-1,0),0)</f>
        <v>0</v>
      </c>
      <c r="BL141" s="11">
        <f ca="1">IFERROR(OFFSET(ITEM_RES!$A$1,MATCH(BM141,ITEM_RES!$J:$J,0)-1,0),0)</f>
        <v>0</v>
      </c>
      <c r="BN141" s="11">
        <f t="shared" si="62"/>
        <v>0</v>
      </c>
    </row>
    <row r="142" spans="1:66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 t="s">
        <v>982</v>
      </c>
      <c r="M142" s="9" t="s">
        <v>1003</v>
      </c>
      <c r="N142" s="9">
        <v>0</v>
      </c>
      <c r="O142" s="9">
        <v>15</v>
      </c>
      <c r="P142" s="9" t="s">
        <v>819</v>
      </c>
      <c r="T142" s="9" t="s">
        <v>735</v>
      </c>
      <c r="W142" s="9">
        <f ca="1">IFERROR(OFFSET(ITEM_RES!$A$5,MATCH(BUILDING!V142,ITEM_RES!$J$5:$J$226,0)-1,0),0)</f>
        <v>0</v>
      </c>
      <c r="Y142" s="85" t="s">
        <v>572</v>
      </c>
      <c r="Z142" s="9">
        <f ca="1">IFERROR(OFFSET(ITEM_RES!$A$5,MATCH(BUILDING!Y142,ITEM_RES!$J$5:$J$226,0)-1,0),0)</f>
        <v>211010501</v>
      </c>
      <c r="AB142" s="9" t="s">
        <v>542</v>
      </c>
      <c r="AC142" s="9">
        <v>18</v>
      </c>
      <c r="AE142" s="9">
        <v>42000</v>
      </c>
      <c r="AG142" s="56">
        <f t="shared" si="67"/>
        <v>16800</v>
      </c>
      <c r="AH142" s="10">
        <f t="shared" si="65"/>
        <v>30400</v>
      </c>
      <c r="AJ142" s="11">
        <f t="shared" si="66"/>
        <v>90</v>
      </c>
      <c r="AK142" s="10">
        <v>90</v>
      </c>
      <c r="AL142" s="11">
        <f t="shared" si="63"/>
        <v>1050</v>
      </c>
      <c r="AM142" s="10">
        <v>1050</v>
      </c>
      <c r="AN142" s="11">
        <f t="shared" si="63"/>
        <v>1050</v>
      </c>
      <c r="AO142" s="10">
        <v>1050</v>
      </c>
      <c r="AP142" s="56">
        <f t="shared" si="68"/>
        <v>1</v>
      </c>
      <c r="AR142" s="11">
        <f ca="1">IFERROR(OFFSET(ITEM_RES!$A$1,MATCH(AS142,ITEM_RES!$J:$J,0)-1,0),0)</f>
        <v>211020501</v>
      </c>
      <c r="AS142" s="10" t="s">
        <v>451</v>
      </c>
      <c r="AT142" s="11">
        <v>5250</v>
      </c>
      <c r="AW142" s="11">
        <f ca="1">IFERROR(OFFSET(ITEM_RES!$A$1,MATCH(AX142,ITEM_RES!$J:$J,0)-1,0),0)</f>
        <v>0</v>
      </c>
      <c r="BB142" s="11">
        <f ca="1">IFERROR(OFFSET(ITEM_RES!$A$1,MATCH(BC142,ITEM_RES!$J:$J,0)-1,0),0)</f>
        <v>0</v>
      </c>
      <c r="BG142" s="11">
        <f ca="1">IFERROR(OFFSET(ITEM_RES!$A$1,MATCH(BH142,ITEM_RES!$J:$J,0)-1,0),0)</f>
        <v>0</v>
      </c>
      <c r="BL142" s="11">
        <f ca="1">IFERROR(OFFSET(ITEM_RES!$A$1,MATCH(BM142,ITEM_RES!$J:$J,0)-1,0),0)</f>
        <v>0</v>
      </c>
      <c r="BN142" s="11">
        <f t="shared" si="62"/>
        <v>0</v>
      </c>
    </row>
    <row r="143" spans="1:66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 t="s">
        <v>982</v>
      </c>
      <c r="M143" s="9" t="s">
        <v>1003</v>
      </c>
      <c r="N143" s="9">
        <v>0</v>
      </c>
      <c r="O143" s="9">
        <v>15</v>
      </c>
      <c r="P143" s="9" t="s">
        <v>819</v>
      </c>
      <c r="T143" s="9" t="s">
        <v>735</v>
      </c>
      <c r="W143" s="9">
        <f ca="1">IFERROR(OFFSET(ITEM_RES!$A$5,MATCH(BUILDING!V143,ITEM_RES!$J$5:$J$226,0)-1,0),0)</f>
        <v>0</v>
      </c>
      <c r="Y143" s="85" t="s">
        <v>572</v>
      </c>
      <c r="Z143" s="9">
        <f ca="1">IFERROR(OFFSET(ITEM_RES!$A$5,MATCH(BUILDING!Y143,ITEM_RES!$J$5:$J$226,0)-1,0),0)</f>
        <v>211010501</v>
      </c>
      <c r="AB143" s="9" t="s">
        <v>542</v>
      </c>
      <c r="AC143" s="9">
        <v>19</v>
      </c>
      <c r="AE143" s="9">
        <v>50000</v>
      </c>
      <c r="AG143" s="56">
        <f t="shared" si="67"/>
        <v>20000</v>
      </c>
      <c r="AH143" s="10">
        <f t="shared" si="65"/>
        <v>36800</v>
      </c>
      <c r="AJ143" s="11">
        <f t="shared" si="66"/>
        <v>95</v>
      </c>
      <c r="AK143" s="10">
        <v>95</v>
      </c>
      <c r="AL143" s="11">
        <f t="shared" si="63"/>
        <v>1250</v>
      </c>
      <c r="AM143" s="10">
        <v>1250</v>
      </c>
      <c r="AN143" s="11">
        <f t="shared" si="63"/>
        <v>1250</v>
      </c>
      <c r="AO143" s="10">
        <v>1250</v>
      </c>
      <c r="AP143" s="56">
        <f t="shared" si="68"/>
        <v>1</v>
      </c>
      <c r="AR143" s="11">
        <f ca="1">IFERROR(OFFSET(ITEM_RES!$A$1,MATCH(AS143,ITEM_RES!$J:$J,0)-1,0),0)</f>
        <v>211020501</v>
      </c>
      <c r="AS143" s="10" t="s">
        <v>451</v>
      </c>
      <c r="AT143" s="11">
        <v>6250</v>
      </c>
      <c r="AW143" s="11">
        <f ca="1">IFERROR(OFFSET(ITEM_RES!$A$1,MATCH(AX143,ITEM_RES!$J:$J,0)-1,0),0)</f>
        <v>0</v>
      </c>
      <c r="BB143" s="11">
        <f ca="1">IFERROR(OFFSET(ITEM_RES!$A$1,MATCH(BC143,ITEM_RES!$J:$J,0)-1,0),0)</f>
        <v>0</v>
      </c>
      <c r="BG143" s="11">
        <f ca="1">IFERROR(OFFSET(ITEM_RES!$A$1,MATCH(BH143,ITEM_RES!$J:$J,0)-1,0),0)</f>
        <v>0</v>
      </c>
      <c r="BL143" s="11">
        <f ca="1">IFERROR(OFFSET(ITEM_RES!$A$1,MATCH(BM143,ITEM_RES!$J:$J,0)-1,0),0)</f>
        <v>0</v>
      </c>
      <c r="BN143" s="11">
        <f t="shared" si="62"/>
        <v>0</v>
      </c>
    </row>
    <row r="144" spans="1:66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 t="s">
        <v>982</v>
      </c>
      <c r="M144" s="9" t="s">
        <v>1003</v>
      </c>
      <c r="N144" s="9">
        <v>0</v>
      </c>
      <c r="O144" s="9">
        <v>15</v>
      </c>
      <c r="P144" s="9" t="s">
        <v>819</v>
      </c>
      <c r="T144" s="9" t="s">
        <v>735</v>
      </c>
      <c r="W144" s="9">
        <f ca="1">IFERROR(OFFSET(ITEM_RES!$A$5,MATCH(BUILDING!V144,ITEM_RES!$J$5:$J$226,0)-1,0),0)</f>
        <v>0</v>
      </c>
      <c r="Y144" s="85" t="s">
        <v>572</v>
      </c>
      <c r="Z144" s="9">
        <f ca="1">IFERROR(OFFSET(ITEM_RES!$A$5,MATCH(BUILDING!Y144,ITEM_RES!$J$5:$J$226,0)-1,0),0)</f>
        <v>211010501</v>
      </c>
      <c r="AB144" s="9" t="s">
        <v>542</v>
      </c>
      <c r="AC144" s="9">
        <v>20</v>
      </c>
      <c r="AE144" s="9">
        <v>60000</v>
      </c>
      <c r="AG144" s="56">
        <f t="shared" si="67"/>
        <v>24000</v>
      </c>
      <c r="AH144" s="10">
        <f t="shared" si="65"/>
        <v>44000</v>
      </c>
      <c r="AJ144" s="11">
        <f t="shared" si="66"/>
        <v>100</v>
      </c>
      <c r="AK144" s="10">
        <v>100</v>
      </c>
      <c r="AL144" s="11">
        <f t="shared" si="63"/>
        <v>1500</v>
      </c>
      <c r="AM144" s="10">
        <v>1500</v>
      </c>
      <c r="AN144" s="11">
        <f t="shared" si="63"/>
        <v>1500</v>
      </c>
      <c r="AO144" s="10">
        <v>1500</v>
      </c>
      <c r="AP144" s="56">
        <f t="shared" si="68"/>
        <v>1</v>
      </c>
      <c r="AR144" s="11">
        <f ca="1">IFERROR(OFFSET(ITEM_RES!$A$1,MATCH(AS144,ITEM_RES!$J:$J,0)-1,0),0)</f>
        <v>211020501</v>
      </c>
      <c r="AS144" s="10" t="s">
        <v>451</v>
      </c>
      <c r="AT144" s="11">
        <v>7500</v>
      </c>
      <c r="AW144" s="11">
        <f ca="1">IFERROR(OFFSET(ITEM_RES!$A$1,MATCH(AX144,ITEM_RES!$J:$J,0)-1,0),0)</f>
        <v>0</v>
      </c>
      <c r="BB144" s="11">
        <f ca="1">IFERROR(OFFSET(ITEM_RES!$A$1,MATCH(BC144,ITEM_RES!$J:$J,0)-1,0),0)</f>
        <v>0</v>
      </c>
      <c r="BG144" s="11">
        <f ca="1">IFERROR(OFFSET(ITEM_RES!$A$1,MATCH(BH144,ITEM_RES!$J:$J,0)-1,0),0)</f>
        <v>0</v>
      </c>
      <c r="BL144" s="11">
        <f ca="1">IFERROR(OFFSET(ITEM_RES!$A$1,MATCH(BM144,ITEM_RES!$J:$J,0)-1,0),0)</f>
        <v>0</v>
      </c>
      <c r="BN144" s="11">
        <f t="shared" si="62"/>
        <v>0</v>
      </c>
    </row>
    <row r="145" spans="1:67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 t="s">
        <v>983</v>
      </c>
      <c r="M145" s="16" t="s">
        <v>1004</v>
      </c>
      <c r="N145" s="16">
        <v>1</v>
      </c>
      <c r="O145" s="16">
        <v>15</v>
      </c>
      <c r="P145" s="16" t="s">
        <v>818</v>
      </c>
      <c r="Q145" s="17"/>
      <c r="R145" s="17"/>
      <c r="S145" s="18"/>
      <c r="T145" s="16" t="s">
        <v>755</v>
      </c>
      <c r="U145" s="79"/>
      <c r="V145" s="87"/>
      <c r="W145" s="16">
        <f ca="1">IFERROR(OFFSET(ITEM_RES!$A$5,MATCH(BUILDING!V145,ITEM_RES!$J$5:$J$226,0)-1,0),0)</f>
        <v>0</v>
      </c>
      <c r="X145" s="18"/>
      <c r="Y145" s="87" t="s">
        <v>572</v>
      </c>
      <c r="Z145" s="16">
        <f ca="1">IFERROR(OFFSET(ITEM_RES!$A$5,MATCH(BUILDING!Y145,ITEM_RES!$J$5:$J$226,0)-1,0),0)</f>
        <v>211010501</v>
      </c>
      <c r="AA145" s="79"/>
      <c r="AB145" s="16" t="s">
        <v>543</v>
      </c>
      <c r="AC145" s="16">
        <v>1</v>
      </c>
      <c r="AD145" s="79"/>
      <c r="AE145" s="16">
        <v>0</v>
      </c>
      <c r="AF145" s="79"/>
      <c r="AG145" s="57">
        <f t="shared" si="67"/>
        <v>580</v>
      </c>
      <c r="AH145" s="17">
        <f>AG145</f>
        <v>580</v>
      </c>
      <c r="AI145" s="79"/>
      <c r="AJ145" s="18">
        <f t="shared" si="66"/>
        <v>5</v>
      </c>
      <c r="AK145" s="17">
        <v>5</v>
      </c>
      <c r="AL145" s="18">
        <f t="shared" si="63"/>
        <v>5</v>
      </c>
      <c r="AM145" s="17">
        <v>5</v>
      </c>
      <c r="AN145" s="18">
        <f t="shared" si="63"/>
        <v>5</v>
      </c>
      <c r="AO145" s="17">
        <v>5</v>
      </c>
      <c r="AP145" s="57">
        <f t="shared" si="68"/>
        <v>2</v>
      </c>
      <c r="AQ145" s="18"/>
      <c r="AR145" s="18">
        <f ca="1">IFERROR(OFFSET(ITEM_RES!$A$1,MATCH(AS145,ITEM_RES!$J:$J,0)-1,0),0)</f>
        <v>211020801</v>
      </c>
      <c r="AS145" s="17" t="s">
        <v>453</v>
      </c>
      <c r="AT145" s="18">
        <v>25</v>
      </c>
      <c r="AU145" s="17"/>
      <c r="AV145" s="18"/>
      <c r="AW145" s="18">
        <f ca="1">IFERROR(OFFSET(ITEM_RES!$A$1,MATCH(AX145,ITEM_RES!$J:$J,0)-1,0),0)</f>
        <v>0</v>
      </c>
      <c r="AX145" s="17"/>
      <c r="AY145" s="18"/>
      <c r="AZ145" s="17"/>
      <c r="BA145" s="18"/>
      <c r="BB145" s="18">
        <f ca="1">IFERROR(OFFSET(ITEM_RES!$A$1,MATCH(BC145,ITEM_RES!$J:$J,0)-1,0),0)</f>
        <v>213010101</v>
      </c>
      <c r="BC145" s="17" t="s">
        <v>477</v>
      </c>
      <c r="BD145" s="18">
        <v>1</v>
      </c>
      <c r="BE145" s="17"/>
      <c r="BF145" s="18"/>
      <c r="BG145" s="18">
        <f ca="1">IFERROR(OFFSET(ITEM_RES!$A$1,MATCH(BH145,ITEM_RES!$J:$J,0)-1,0),0)</f>
        <v>0</v>
      </c>
      <c r="BH145" s="17"/>
      <c r="BI145" s="18"/>
      <c r="BJ145" s="17"/>
      <c r="BK145" s="18"/>
      <c r="BL145" s="18">
        <f ca="1">IFERROR(OFFSET(ITEM_RES!$A$1,MATCH(BM145,ITEM_RES!$J:$J,0)-1,0),0)</f>
        <v>0</v>
      </c>
      <c r="BM145" s="17"/>
      <c r="BN145" s="18">
        <f t="shared" si="62"/>
        <v>0</v>
      </c>
      <c r="BO145" s="17"/>
    </row>
    <row r="146" spans="1:67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 t="s">
        <v>983</v>
      </c>
      <c r="M146" s="9" t="s">
        <v>1004</v>
      </c>
      <c r="N146" s="9">
        <v>1</v>
      </c>
      <c r="O146" s="9">
        <v>15</v>
      </c>
      <c r="P146" s="9" t="s">
        <v>818</v>
      </c>
      <c r="T146" s="9" t="s">
        <v>755</v>
      </c>
      <c r="W146" s="9">
        <f ca="1">IFERROR(OFFSET(ITEM_RES!$A$5,MATCH(BUILDING!V146,ITEM_RES!$J$5:$J$226,0)-1,0),0)</f>
        <v>0</v>
      </c>
      <c r="Y146" s="85" t="s">
        <v>572</v>
      </c>
      <c r="Z146" s="9">
        <f ca="1">IFERROR(OFFSET(ITEM_RES!$A$5,MATCH(BUILDING!Y146,ITEM_RES!$J$5:$J$226,0)-1,0),0)</f>
        <v>211010501</v>
      </c>
      <c r="AB146" s="9" t="s">
        <v>543</v>
      </c>
      <c r="AC146" s="9">
        <v>2</v>
      </c>
      <c r="AE146" s="9">
        <v>800</v>
      </c>
      <c r="AG146" s="56">
        <f t="shared" si="67"/>
        <v>160</v>
      </c>
      <c r="AH146" s="10">
        <f>AG145+AG146</f>
        <v>740</v>
      </c>
      <c r="AJ146" s="11">
        <f t="shared" si="66"/>
        <v>10</v>
      </c>
      <c r="AK146" s="10">
        <v>10</v>
      </c>
      <c r="AL146" s="11">
        <f t="shared" si="63"/>
        <v>10</v>
      </c>
      <c r="AM146" s="10">
        <v>10</v>
      </c>
      <c r="AN146" s="11">
        <f t="shared" si="63"/>
        <v>10</v>
      </c>
      <c r="AO146" s="10">
        <v>10</v>
      </c>
      <c r="AP146" s="56">
        <f t="shared" si="68"/>
        <v>1</v>
      </c>
      <c r="AR146" s="11">
        <f ca="1">IFERROR(OFFSET(ITEM_RES!$A$1,MATCH(AS146,ITEM_RES!$J:$J,0)-1,0),0)</f>
        <v>211020801</v>
      </c>
      <c r="AS146" s="10" t="s">
        <v>453</v>
      </c>
      <c r="AT146" s="11">
        <v>50</v>
      </c>
      <c r="AW146" s="11">
        <f ca="1">IFERROR(OFFSET(ITEM_RES!$A$1,MATCH(AX146,ITEM_RES!$J:$J,0)-1,0),0)</f>
        <v>0</v>
      </c>
      <c r="BB146" s="11">
        <f ca="1">IFERROR(OFFSET(ITEM_RES!$A$1,MATCH(BC146,ITEM_RES!$J:$J,0)-1,0),0)</f>
        <v>0</v>
      </c>
      <c r="BG146" s="11">
        <f ca="1">IFERROR(OFFSET(ITEM_RES!$A$1,MATCH(BH146,ITEM_RES!$J:$J,0)-1,0),0)</f>
        <v>0</v>
      </c>
      <c r="BL146" s="11">
        <f ca="1">IFERROR(OFFSET(ITEM_RES!$A$1,MATCH(BM146,ITEM_RES!$J:$J,0)-1,0),0)</f>
        <v>0</v>
      </c>
      <c r="BN146" s="11">
        <f t="shared" si="62"/>
        <v>0</v>
      </c>
    </row>
    <row r="147" spans="1:67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 t="s">
        <v>983</v>
      </c>
      <c r="M147" s="9" t="s">
        <v>1004</v>
      </c>
      <c r="N147" s="9">
        <v>1</v>
      </c>
      <c r="O147" s="9">
        <v>15</v>
      </c>
      <c r="P147" s="9" t="s">
        <v>818</v>
      </c>
      <c r="T147" s="9" t="s">
        <v>755</v>
      </c>
      <c r="W147" s="9">
        <f ca="1">IFERROR(OFFSET(ITEM_RES!$A$5,MATCH(BUILDING!V147,ITEM_RES!$J$5:$J$226,0)-1,0),0)</f>
        <v>0</v>
      </c>
      <c r="Y147" s="85" t="s">
        <v>572</v>
      </c>
      <c r="Z147" s="9">
        <f ca="1">IFERROR(OFFSET(ITEM_RES!$A$5,MATCH(BUILDING!Y147,ITEM_RES!$J$5:$J$226,0)-1,0),0)</f>
        <v>211010501</v>
      </c>
      <c r="AB147" s="9" t="s">
        <v>543</v>
      </c>
      <c r="AC147" s="9">
        <v>3</v>
      </c>
      <c r="AE147" s="9">
        <v>1200</v>
      </c>
      <c r="AG147" s="56">
        <f t="shared" si="67"/>
        <v>240</v>
      </c>
      <c r="AH147" s="10">
        <f t="shared" ref="AH147:AH164" si="69">AG146+AG147</f>
        <v>400</v>
      </c>
      <c r="AJ147" s="11">
        <f t="shared" si="66"/>
        <v>15</v>
      </c>
      <c r="AK147" s="10">
        <v>15</v>
      </c>
      <c r="AL147" s="11">
        <f t="shared" si="63"/>
        <v>15</v>
      </c>
      <c r="AM147" s="10">
        <v>15</v>
      </c>
      <c r="AN147" s="11">
        <f t="shared" si="63"/>
        <v>15</v>
      </c>
      <c r="AO147" s="10">
        <v>15</v>
      </c>
      <c r="AP147" s="56">
        <f t="shared" si="68"/>
        <v>1</v>
      </c>
      <c r="AR147" s="11">
        <f ca="1">IFERROR(OFFSET(ITEM_RES!$A$1,MATCH(AS147,ITEM_RES!$J:$J,0)-1,0),0)</f>
        <v>211020801</v>
      </c>
      <c r="AS147" s="10" t="s">
        <v>453</v>
      </c>
      <c r="AT147" s="11">
        <v>75</v>
      </c>
      <c r="AW147" s="11">
        <f ca="1">IFERROR(OFFSET(ITEM_RES!$A$1,MATCH(AX147,ITEM_RES!$J:$J,0)-1,0),0)</f>
        <v>0</v>
      </c>
      <c r="BB147" s="11">
        <f ca="1">IFERROR(OFFSET(ITEM_RES!$A$1,MATCH(BC147,ITEM_RES!$J:$J,0)-1,0),0)</f>
        <v>0</v>
      </c>
      <c r="BG147" s="11">
        <f ca="1">IFERROR(OFFSET(ITEM_RES!$A$1,MATCH(BH147,ITEM_RES!$J:$J,0)-1,0),0)</f>
        <v>0</v>
      </c>
      <c r="BL147" s="11">
        <f ca="1">IFERROR(OFFSET(ITEM_RES!$A$1,MATCH(BM147,ITEM_RES!$J:$J,0)-1,0),0)</f>
        <v>0</v>
      </c>
      <c r="BN147" s="11">
        <f t="shared" si="62"/>
        <v>0</v>
      </c>
    </row>
    <row r="148" spans="1:67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 t="s">
        <v>983</v>
      </c>
      <c r="M148" s="9" t="s">
        <v>1004</v>
      </c>
      <c r="N148" s="9">
        <v>1</v>
      </c>
      <c r="O148" s="9">
        <v>15</v>
      </c>
      <c r="P148" s="9" t="s">
        <v>818</v>
      </c>
      <c r="T148" s="9" t="s">
        <v>755</v>
      </c>
      <c r="W148" s="9">
        <f ca="1">IFERROR(OFFSET(ITEM_RES!$A$5,MATCH(BUILDING!V148,ITEM_RES!$J$5:$J$226,0)-1,0),0)</f>
        <v>0</v>
      </c>
      <c r="Y148" s="85" t="s">
        <v>572</v>
      </c>
      <c r="Z148" s="9">
        <f ca="1">IFERROR(OFFSET(ITEM_RES!$A$5,MATCH(BUILDING!Y148,ITEM_RES!$J$5:$J$226,0)-1,0),0)</f>
        <v>211010501</v>
      </c>
      <c r="AB148" s="9" t="s">
        <v>543</v>
      </c>
      <c r="AC148" s="9">
        <v>4</v>
      </c>
      <c r="AE148" s="9">
        <v>2000</v>
      </c>
      <c r="AG148" s="56">
        <f t="shared" si="67"/>
        <v>400</v>
      </c>
      <c r="AH148" s="10">
        <f t="shared" si="69"/>
        <v>640</v>
      </c>
      <c r="AJ148" s="11">
        <f t="shared" si="66"/>
        <v>20</v>
      </c>
      <c r="AK148" s="10">
        <v>20</v>
      </c>
      <c r="AL148" s="11">
        <f t="shared" si="63"/>
        <v>25</v>
      </c>
      <c r="AM148" s="10">
        <v>25</v>
      </c>
      <c r="AN148" s="11">
        <f t="shared" si="63"/>
        <v>25</v>
      </c>
      <c r="AO148" s="10">
        <v>25</v>
      </c>
      <c r="AP148" s="56">
        <f t="shared" si="68"/>
        <v>1</v>
      </c>
      <c r="AR148" s="11">
        <f ca="1">IFERROR(OFFSET(ITEM_RES!$A$1,MATCH(AS148,ITEM_RES!$J:$J,0)-1,0),0)</f>
        <v>211020801</v>
      </c>
      <c r="AS148" s="10" t="s">
        <v>453</v>
      </c>
      <c r="AT148" s="11">
        <v>125</v>
      </c>
      <c r="AW148" s="11">
        <f ca="1">IFERROR(OFFSET(ITEM_RES!$A$1,MATCH(AX148,ITEM_RES!$J:$J,0)-1,0),0)</f>
        <v>0</v>
      </c>
      <c r="BB148" s="11">
        <f ca="1">IFERROR(OFFSET(ITEM_RES!$A$1,MATCH(BC148,ITEM_RES!$J:$J,0)-1,0),0)</f>
        <v>0</v>
      </c>
      <c r="BG148" s="11">
        <f ca="1">IFERROR(OFFSET(ITEM_RES!$A$1,MATCH(BH148,ITEM_RES!$J:$J,0)-1,0),0)</f>
        <v>0</v>
      </c>
      <c r="BL148" s="11">
        <f ca="1">IFERROR(OFFSET(ITEM_RES!$A$1,MATCH(BM148,ITEM_RES!$J:$J,0)-1,0),0)</f>
        <v>0</v>
      </c>
      <c r="BN148" s="11">
        <f t="shared" si="62"/>
        <v>0</v>
      </c>
    </row>
    <row r="149" spans="1:67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 t="s">
        <v>983</v>
      </c>
      <c r="M149" s="9" t="s">
        <v>1004</v>
      </c>
      <c r="N149" s="9">
        <v>1</v>
      </c>
      <c r="O149" s="9">
        <v>15</v>
      </c>
      <c r="P149" s="9" t="s">
        <v>818</v>
      </c>
      <c r="T149" s="9" t="s">
        <v>755</v>
      </c>
      <c r="W149" s="9">
        <f ca="1">IFERROR(OFFSET(ITEM_RES!$A$5,MATCH(BUILDING!V149,ITEM_RES!$J$5:$J$226,0)-1,0),0)</f>
        <v>0</v>
      </c>
      <c r="Y149" s="85" t="s">
        <v>572</v>
      </c>
      <c r="Z149" s="9">
        <f ca="1">IFERROR(OFFSET(ITEM_RES!$A$5,MATCH(BUILDING!Y149,ITEM_RES!$J$5:$J$226,0)-1,0),0)</f>
        <v>211010501</v>
      </c>
      <c r="AB149" s="9" t="s">
        <v>543</v>
      </c>
      <c r="AC149" s="9">
        <v>5</v>
      </c>
      <c r="AE149" s="9">
        <v>3200</v>
      </c>
      <c r="AG149" s="56">
        <f t="shared" si="67"/>
        <v>640</v>
      </c>
      <c r="AH149" s="10">
        <f t="shared" si="69"/>
        <v>1040</v>
      </c>
      <c r="AJ149" s="11">
        <f t="shared" si="66"/>
        <v>25</v>
      </c>
      <c r="AK149" s="10">
        <v>25</v>
      </c>
      <c r="AL149" s="11">
        <f t="shared" si="63"/>
        <v>40</v>
      </c>
      <c r="AM149" s="10">
        <v>40</v>
      </c>
      <c r="AN149" s="11">
        <f t="shared" si="63"/>
        <v>40</v>
      </c>
      <c r="AO149" s="10">
        <v>40</v>
      </c>
      <c r="AP149" s="56">
        <f t="shared" si="68"/>
        <v>1</v>
      </c>
      <c r="AR149" s="11">
        <f ca="1">IFERROR(OFFSET(ITEM_RES!$A$1,MATCH(AS149,ITEM_RES!$J:$J,0)-1,0),0)</f>
        <v>211020801</v>
      </c>
      <c r="AS149" s="10" t="s">
        <v>453</v>
      </c>
      <c r="AT149" s="11">
        <v>200</v>
      </c>
      <c r="AW149" s="11">
        <f ca="1">IFERROR(OFFSET(ITEM_RES!$A$1,MATCH(AX149,ITEM_RES!$J:$J,0)-1,0),0)</f>
        <v>0</v>
      </c>
      <c r="BB149" s="11">
        <f ca="1">IFERROR(OFFSET(ITEM_RES!$A$1,MATCH(BC149,ITEM_RES!$J:$J,0)-1,0),0)</f>
        <v>0</v>
      </c>
      <c r="BG149" s="11">
        <f ca="1">IFERROR(OFFSET(ITEM_RES!$A$1,MATCH(BH149,ITEM_RES!$J:$J,0)-1,0),0)</f>
        <v>0</v>
      </c>
      <c r="BL149" s="11">
        <f ca="1">IFERROR(OFFSET(ITEM_RES!$A$1,MATCH(BM149,ITEM_RES!$J:$J,0)-1,0),0)</f>
        <v>0</v>
      </c>
      <c r="BN149" s="11">
        <f t="shared" si="62"/>
        <v>0</v>
      </c>
    </row>
    <row r="150" spans="1:67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 t="s">
        <v>983</v>
      </c>
      <c r="M150" s="9" t="s">
        <v>1004</v>
      </c>
      <c r="N150" s="9">
        <v>1</v>
      </c>
      <c r="O150" s="9">
        <v>15</v>
      </c>
      <c r="P150" s="9" t="s">
        <v>818</v>
      </c>
      <c r="T150" s="9" t="s">
        <v>755</v>
      </c>
      <c r="W150" s="9">
        <f ca="1">IFERROR(OFFSET(ITEM_RES!$A$5,MATCH(BUILDING!V150,ITEM_RES!$J$5:$J$226,0)-1,0),0)</f>
        <v>0</v>
      </c>
      <c r="Y150" s="85" t="s">
        <v>572</v>
      </c>
      <c r="Z150" s="9">
        <f ca="1">IFERROR(OFFSET(ITEM_RES!$A$5,MATCH(BUILDING!Y150,ITEM_RES!$J$5:$J$226,0)-1,0),0)</f>
        <v>211010501</v>
      </c>
      <c r="AB150" s="9" t="s">
        <v>543</v>
      </c>
      <c r="AC150" s="9">
        <v>6</v>
      </c>
      <c r="AE150" s="9">
        <v>4000</v>
      </c>
      <c r="AG150" s="56">
        <f t="shared" si="67"/>
        <v>800</v>
      </c>
      <c r="AH150" s="10">
        <f t="shared" si="69"/>
        <v>1440</v>
      </c>
      <c r="AJ150" s="11">
        <f t="shared" si="66"/>
        <v>30</v>
      </c>
      <c r="AK150" s="10">
        <v>30</v>
      </c>
      <c r="AL150" s="11">
        <f t="shared" si="63"/>
        <v>50</v>
      </c>
      <c r="AM150" s="10">
        <v>50</v>
      </c>
      <c r="AN150" s="11">
        <f t="shared" si="63"/>
        <v>50</v>
      </c>
      <c r="AO150" s="10">
        <v>50</v>
      </c>
      <c r="AP150" s="56">
        <f t="shared" si="68"/>
        <v>1</v>
      </c>
      <c r="AR150" s="11">
        <f ca="1">IFERROR(OFFSET(ITEM_RES!$A$1,MATCH(AS150,ITEM_RES!$J:$J,0)-1,0),0)</f>
        <v>211020801</v>
      </c>
      <c r="AS150" s="10" t="s">
        <v>453</v>
      </c>
      <c r="AT150" s="11">
        <v>250</v>
      </c>
      <c r="AW150" s="11">
        <f ca="1">IFERROR(OFFSET(ITEM_RES!$A$1,MATCH(AX150,ITEM_RES!$J:$J,0)-1,0),0)</f>
        <v>0</v>
      </c>
      <c r="BB150" s="11">
        <f ca="1">IFERROR(OFFSET(ITEM_RES!$A$1,MATCH(BC150,ITEM_RES!$J:$J,0)-1,0),0)</f>
        <v>0</v>
      </c>
      <c r="BG150" s="11">
        <f ca="1">IFERROR(OFFSET(ITEM_RES!$A$1,MATCH(BH150,ITEM_RES!$J:$J,0)-1,0),0)</f>
        <v>0</v>
      </c>
      <c r="BL150" s="11">
        <f ca="1">IFERROR(OFFSET(ITEM_RES!$A$1,MATCH(BM150,ITEM_RES!$J:$J,0)-1,0),0)</f>
        <v>0</v>
      </c>
      <c r="BN150" s="11">
        <f t="shared" si="62"/>
        <v>0</v>
      </c>
    </row>
    <row r="151" spans="1:67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 t="s">
        <v>983</v>
      </c>
      <c r="M151" s="9" t="s">
        <v>1004</v>
      </c>
      <c r="N151" s="9">
        <v>1</v>
      </c>
      <c r="O151" s="9">
        <v>15</v>
      </c>
      <c r="P151" s="9" t="s">
        <v>818</v>
      </c>
      <c r="T151" s="9" t="s">
        <v>755</v>
      </c>
      <c r="W151" s="9">
        <f ca="1">IFERROR(OFFSET(ITEM_RES!$A$5,MATCH(BUILDING!V151,ITEM_RES!$J$5:$J$226,0)-1,0),0)</f>
        <v>0</v>
      </c>
      <c r="Y151" s="85" t="s">
        <v>572</v>
      </c>
      <c r="Z151" s="9">
        <f ca="1">IFERROR(OFFSET(ITEM_RES!$A$5,MATCH(BUILDING!Y151,ITEM_RES!$J$5:$J$226,0)-1,0),0)</f>
        <v>211010501</v>
      </c>
      <c r="AB151" s="9" t="s">
        <v>543</v>
      </c>
      <c r="AC151" s="9">
        <v>7</v>
      </c>
      <c r="AE151" s="9">
        <v>8000</v>
      </c>
      <c r="AG151" s="56">
        <f t="shared" si="67"/>
        <v>1600</v>
      </c>
      <c r="AH151" s="10">
        <f t="shared" si="69"/>
        <v>2400</v>
      </c>
      <c r="AJ151" s="11">
        <f t="shared" si="66"/>
        <v>35</v>
      </c>
      <c r="AK151" s="10">
        <v>35</v>
      </c>
      <c r="AL151" s="11">
        <f t="shared" si="63"/>
        <v>100</v>
      </c>
      <c r="AM151" s="10">
        <v>100</v>
      </c>
      <c r="AN151" s="11">
        <f t="shared" si="63"/>
        <v>100</v>
      </c>
      <c r="AO151" s="10">
        <v>100</v>
      </c>
      <c r="AP151" s="56">
        <f t="shared" si="68"/>
        <v>1</v>
      </c>
      <c r="AR151" s="11">
        <f ca="1">IFERROR(OFFSET(ITEM_RES!$A$1,MATCH(AS151,ITEM_RES!$J:$J,0)-1,0),0)</f>
        <v>211020801</v>
      </c>
      <c r="AS151" s="10" t="s">
        <v>453</v>
      </c>
      <c r="AT151" s="11">
        <v>500</v>
      </c>
      <c r="AW151" s="11">
        <f ca="1">IFERROR(OFFSET(ITEM_RES!$A$1,MATCH(AX151,ITEM_RES!$J:$J,0)-1,0),0)</f>
        <v>0</v>
      </c>
      <c r="BB151" s="11">
        <f ca="1">IFERROR(OFFSET(ITEM_RES!$A$1,MATCH(BC151,ITEM_RES!$J:$J,0)-1,0),0)</f>
        <v>0</v>
      </c>
      <c r="BG151" s="11">
        <f ca="1">IFERROR(OFFSET(ITEM_RES!$A$1,MATCH(BH151,ITEM_RES!$J:$J,0)-1,0),0)</f>
        <v>0</v>
      </c>
      <c r="BL151" s="11">
        <f ca="1">IFERROR(OFFSET(ITEM_RES!$A$1,MATCH(BM151,ITEM_RES!$J:$J,0)-1,0),0)</f>
        <v>0</v>
      </c>
      <c r="BN151" s="11">
        <f t="shared" si="62"/>
        <v>0</v>
      </c>
    </row>
    <row r="152" spans="1:67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 t="s">
        <v>983</v>
      </c>
      <c r="M152" s="9" t="s">
        <v>1004</v>
      </c>
      <c r="N152" s="9">
        <v>1</v>
      </c>
      <c r="O152" s="9">
        <v>15</v>
      </c>
      <c r="P152" s="9" t="s">
        <v>818</v>
      </c>
      <c r="T152" s="9" t="s">
        <v>755</v>
      </c>
      <c r="W152" s="9">
        <f ca="1">IFERROR(OFFSET(ITEM_RES!$A$5,MATCH(BUILDING!V152,ITEM_RES!$J$5:$J$226,0)-1,0),0)</f>
        <v>0</v>
      </c>
      <c r="Y152" s="85" t="s">
        <v>572</v>
      </c>
      <c r="Z152" s="9">
        <f ca="1">IFERROR(OFFSET(ITEM_RES!$A$5,MATCH(BUILDING!Y152,ITEM_RES!$J$5:$J$226,0)-1,0),0)</f>
        <v>211010501</v>
      </c>
      <c r="AB152" s="9" t="s">
        <v>543</v>
      </c>
      <c r="AC152" s="9">
        <v>8</v>
      </c>
      <c r="AE152" s="9">
        <v>8000</v>
      </c>
      <c r="AG152" s="56">
        <f t="shared" si="67"/>
        <v>1600</v>
      </c>
      <c r="AH152" s="10">
        <f t="shared" si="69"/>
        <v>3200</v>
      </c>
      <c r="AJ152" s="11">
        <f t="shared" si="66"/>
        <v>40</v>
      </c>
      <c r="AK152" s="10">
        <v>40</v>
      </c>
      <c r="AL152" s="11">
        <f t="shared" si="63"/>
        <v>100</v>
      </c>
      <c r="AM152" s="10">
        <v>100</v>
      </c>
      <c r="AN152" s="11">
        <f t="shared" si="63"/>
        <v>100</v>
      </c>
      <c r="AO152" s="10">
        <v>100</v>
      </c>
      <c r="AP152" s="56">
        <f t="shared" si="68"/>
        <v>1</v>
      </c>
      <c r="AR152" s="11">
        <f ca="1">IFERROR(OFFSET(ITEM_RES!$A$1,MATCH(AS152,ITEM_RES!$J:$J,0)-1,0),0)</f>
        <v>211020801</v>
      </c>
      <c r="AS152" s="10" t="s">
        <v>453</v>
      </c>
      <c r="AT152" s="11">
        <v>500</v>
      </c>
      <c r="AW152" s="11">
        <f ca="1">IFERROR(OFFSET(ITEM_RES!$A$1,MATCH(AX152,ITEM_RES!$J:$J,0)-1,0),0)</f>
        <v>0</v>
      </c>
      <c r="BB152" s="11">
        <f ca="1">IFERROR(OFFSET(ITEM_RES!$A$1,MATCH(BC152,ITEM_RES!$J:$J,0)-1,0),0)</f>
        <v>0</v>
      </c>
      <c r="BG152" s="11">
        <f ca="1">IFERROR(OFFSET(ITEM_RES!$A$1,MATCH(BH152,ITEM_RES!$J:$J,0)-1,0),0)</f>
        <v>0</v>
      </c>
      <c r="BL152" s="11">
        <f ca="1">IFERROR(OFFSET(ITEM_RES!$A$1,MATCH(BM152,ITEM_RES!$J:$J,0)-1,0),0)</f>
        <v>0</v>
      </c>
      <c r="BN152" s="11">
        <f t="shared" si="62"/>
        <v>0</v>
      </c>
    </row>
    <row r="153" spans="1:67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 t="s">
        <v>983</v>
      </c>
      <c r="M153" s="9" t="s">
        <v>1004</v>
      </c>
      <c r="N153" s="9">
        <v>1</v>
      </c>
      <c r="O153" s="9">
        <v>15</v>
      </c>
      <c r="P153" s="9" t="s">
        <v>818</v>
      </c>
      <c r="T153" s="9" t="s">
        <v>755</v>
      </c>
      <c r="W153" s="9">
        <f ca="1">IFERROR(OFFSET(ITEM_RES!$A$5,MATCH(BUILDING!V153,ITEM_RES!$J$5:$J$226,0)-1,0),0)</f>
        <v>0</v>
      </c>
      <c r="Y153" s="85" t="s">
        <v>572</v>
      </c>
      <c r="Z153" s="9">
        <f ca="1">IFERROR(OFFSET(ITEM_RES!$A$5,MATCH(BUILDING!Y153,ITEM_RES!$J$5:$J$226,0)-1,0),0)</f>
        <v>211010501</v>
      </c>
      <c r="AB153" s="9" t="s">
        <v>543</v>
      </c>
      <c r="AC153" s="9">
        <v>9</v>
      </c>
      <c r="AE153" s="9">
        <v>12000</v>
      </c>
      <c r="AG153" s="56">
        <f t="shared" si="67"/>
        <v>2400</v>
      </c>
      <c r="AH153" s="10">
        <f t="shared" si="69"/>
        <v>4000</v>
      </c>
      <c r="AJ153" s="11">
        <f t="shared" si="66"/>
        <v>45</v>
      </c>
      <c r="AK153" s="10">
        <v>45</v>
      </c>
      <c r="AL153" s="11">
        <f t="shared" si="63"/>
        <v>150</v>
      </c>
      <c r="AM153" s="10">
        <v>150</v>
      </c>
      <c r="AN153" s="11">
        <f t="shared" si="63"/>
        <v>150</v>
      </c>
      <c r="AO153" s="10">
        <v>150</v>
      </c>
      <c r="AP153" s="56">
        <f t="shared" si="68"/>
        <v>1</v>
      </c>
      <c r="AR153" s="11">
        <f ca="1">IFERROR(OFFSET(ITEM_RES!$A$1,MATCH(AS153,ITEM_RES!$J:$J,0)-1,0),0)</f>
        <v>211020801</v>
      </c>
      <c r="AS153" s="10" t="s">
        <v>453</v>
      </c>
      <c r="AT153" s="11">
        <v>750</v>
      </c>
      <c r="AW153" s="11">
        <f ca="1">IFERROR(OFFSET(ITEM_RES!$A$1,MATCH(AX153,ITEM_RES!$J:$J,0)-1,0),0)</f>
        <v>0</v>
      </c>
      <c r="BB153" s="11">
        <f ca="1">IFERROR(OFFSET(ITEM_RES!$A$1,MATCH(BC153,ITEM_RES!$J:$J,0)-1,0),0)</f>
        <v>0</v>
      </c>
      <c r="BG153" s="11">
        <f ca="1">IFERROR(OFFSET(ITEM_RES!$A$1,MATCH(BH153,ITEM_RES!$J:$J,0)-1,0),0)</f>
        <v>0</v>
      </c>
      <c r="BL153" s="11">
        <f ca="1">IFERROR(OFFSET(ITEM_RES!$A$1,MATCH(BM153,ITEM_RES!$J:$J,0)-1,0),0)</f>
        <v>0</v>
      </c>
      <c r="BN153" s="11">
        <f t="shared" ref="BN153:BN256" si="73">IF(BO153&lt;100,ROUND(BO153,1-LEN(ROUND(BO153,0))),ROUND(BO153,2-LEN(ROUND(BO153,0))))</f>
        <v>0</v>
      </c>
    </row>
    <row r="154" spans="1:67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 t="s">
        <v>983</v>
      </c>
      <c r="M154" s="9" t="s">
        <v>1004</v>
      </c>
      <c r="N154" s="9">
        <v>1</v>
      </c>
      <c r="O154" s="9">
        <v>15</v>
      </c>
      <c r="P154" s="9" t="s">
        <v>818</v>
      </c>
      <c r="T154" s="9" t="s">
        <v>755</v>
      </c>
      <c r="W154" s="9">
        <f ca="1">IFERROR(OFFSET(ITEM_RES!$A$5,MATCH(BUILDING!V154,ITEM_RES!$J$5:$J$226,0)-1,0),0)</f>
        <v>0</v>
      </c>
      <c r="Y154" s="85" t="s">
        <v>572</v>
      </c>
      <c r="Z154" s="9">
        <f ca="1">IFERROR(OFFSET(ITEM_RES!$A$5,MATCH(BUILDING!Y154,ITEM_RES!$J$5:$J$226,0)-1,0),0)</f>
        <v>211010501</v>
      </c>
      <c r="AB154" s="9" t="s">
        <v>543</v>
      </c>
      <c r="AC154" s="9">
        <v>10</v>
      </c>
      <c r="AE154" s="9">
        <v>16000</v>
      </c>
      <c r="AG154" s="56">
        <f t="shared" si="67"/>
        <v>3200</v>
      </c>
      <c r="AH154" s="10">
        <f t="shared" si="69"/>
        <v>5600</v>
      </c>
      <c r="AJ154" s="11">
        <f t="shared" si="66"/>
        <v>50</v>
      </c>
      <c r="AK154" s="10">
        <v>50</v>
      </c>
      <c r="AL154" s="11">
        <f t="shared" ref="AL154:AN257" si="74">ROUND(AM154,0)</f>
        <v>200</v>
      </c>
      <c r="AM154" s="10">
        <v>200</v>
      </c>
      <c r="AN154" s="11">
        <f t="shared" si="74"/>
        <v>200</v>
      </c>
      <c r="AO154" s="10">
        <v>200</v>
      </c>
      <c r="AP154" s="56">
        <f t="shared" si="68"/>
        <v>1</v>
      </c>
      <c r="AR154" s="11">
        <f ca="1">IFERROR(OFFSET(ITEM_RES!$A$1,MATCH(AS154,ITEM_RES!$J:$J,0)-1,0),0)</f>
        <v>211020801</v>
      </c>
      <c r="AS154" s="10" t="s">
        <v>453</v>
      </c>
      <c r="AT154" s="11">
        <v>1000</v>
      </c>
      <c r="AW154" s="11">
        <f ca="1">IFERROR(OFFSET(ITEM_RES!$A$1,MATCH(AX154,ITEM_RES!$J:$J,0)-1,0),0)</f>
        <v>0</v>
      </c>
      <c r="BB154" s="11">
        <f ca="1">IFERROR(OFFSET(ITEM_RES!$A$1,MATCH(BC154,ITEM_RES!$J:$J,0)-1,0),0)</f>
        <v>0</v>
      </c>
      <c r="BG154" s="11">
        <f ca="1">IFERROR(OFFSET(ITEM_RES!$A$1,MATCH(BH154,ITEM_RES!$J:$J,0)-1,0),0)</f>
        <v>0</v>
      </c>
      <c r="BL154" s="11">
        <f ca="1">IFERROR(OFFSET(ITEM_RES!$A$1,MATCH(BM154,ITEM_RES!$J:$J,0)-1,0),0)</f>
        <v>0</v>
      </c>
      <c r="BN154" s="11">
        <f t="shared" si="73"/>
        <v>0</v>
      </c>
    </row>
    <row r="155" spans="1:67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 t="s">
        <v>983</v>
      </c>
      <c r="M155" s="9" t="s">
        <v>1004</v>
      </c>
      <c r="N155" s="9">
        <v>1</v>
      </c>
      <c r="O155" s="9">
        <v>15</v>
      </c>
      <c r="P155" s="9" t="s">
        <v>818</v>
      </c>
      <c r="T155" s="9" t="s">
        <v>755</v>
      </c>
      <c r="W155" s="9">
        <f ca="1">IFERROR(OFFSET(ITEM_RES!$A$5,MATCH(BUILDING!V155,ITEM_RES!$J$5:$J$226,0)-1,0),0)</f>
        <v>0</v>
      </c>
      <c r="Y155" s="85" t="s">
        <v>572</v>
      </c>
      <c r="Z155" s="9">
        <f ca="1">IFERROR(OFFSET(ITEM_RES!$A$5,MATCH(BUILDING!Y155,ITEM_RES!$J$5:$J$226,0)-1,0),0)</f>
        <v>211010501</v>
      </c>
      <c r="AB155" s="9" t="s">
        <v>543</v>
      </c>
      <c r="AC155" s="9">
        <v>11</v>
      </c>
      <c r="AE155" s="9">
        <v>20000</v>
      </c>
      <c r="AG155" s="56">
        <f t="shared" si="67"/>
        <v>4000</v>
      </c>
      <c r="AH155" s="10">
        <f t="shared" si="69"/>
        <v>7200</v>
      </c>
      <c r="AJ155" s="11">
        <f t="shared" si="66"/>
        <v>55</v>
      </c>
      <c r="AK155" s="10">
        <v>55</v>
      </c>
      <c r="AL155" s="11">
        <f t="shared" si="74"/>
        <v>250</v>
      </c>
      <c r="AM155" s="10">
        <v>250</v>
      </c>
      <c r="AN155" s="11">
        <f t="shared" si="74"/>
        <v>250</v>
      </c>
      <c r="AO155" s="10">
        <v>250</v>
      </c>
      <c r="AP155" s="56">
        <f t="shared" si="68"/>
        <v>1</v>
      </c>
      <c r="AR155" s="11">
        <f ca="1">IFERROR(OFFSET(ITEM_RES!$A$1,MATCH(AS155,ITEM_RES!$J:$J,0)-1,0),0)</f>
        <v>211020801</v>
      </c>
      <c r="AS155" s="10" t="s">
        <v>456</v>
      </c>
      <c r="AT155" s="11">
        <v>1250</v>
      </c>
      <c r="AW155" s="11">
        <f ca="1">IFERROR(OFFSET(ITEM_RES!$A$1,MATCH(AX155,ITEM_RES!$J:$J,0)-1,0),0)</f>
        <v>0</v>
      </c>
      <c r="BB155" s="11">
        <f ca="1">IFERROR(OFFSET(ITEM_RES!$A$1,MATCH(BC155,ITEM_RES!$J:$J,0)-1,0),0)</f>
        <v>0</v>
      </c>
      <c r="BG155" s="11">
        <f ca="1">IFERROR(OFFSET(ITEM_RES!$A$1,MATCH(BH155,ITEM_RES!$J:$J,0)-1,0),0)</f>
        <v>0</v>
      </c>
      <c r="BL155" s="11">
        <f ca="1">IFERROR(OFFSET(ITEM_RES!$A$1,MATCH(BM155,ITEM_RES!$J:$J,0)-1,0),0)</f>
        <v>0</v>
      </c>
      <c r="BN155" s="11">
        <f t="shared" si="73"/>
        <v>0</v>
      </c>
    </row>
    <row r="156" spans="1:67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 t="s">
        <v>983</v>
      </c>
      <c r="M156" s="9" t="s">
        <v>1004</v>
      </c>
      <c r="N156" s="9">
        <v>1</v>
      </c>
      <c r="O156" s="9">
        <v>15</v>
      </c>
      <c r="P156" s="9" t="s">
        <v>818</v>
      </c>
      <c r="T156" s="9" t="s">
        <v>755</v>
      </c>
      <c r="W156" s="9">
        <f ca="1">IFERROR(OFFSET(ITEM_RES!$A$5,MATCH(BUILDING!V156,ITEM_RES!$J$5:$J$226,0)-1,0),0)</f>
        <v>0</v>
      </c>
      <c r="Y156" s="85" t="s">
        <v>572</v>
      </c>
      <c r="Z156" s="9">
        <f ca="1">IFERROR(OFFSET(ITEM_RES!$A$5,MATCH(BUILDING!Y156,ITEM_RES!$J$5:$J$226,0)-1,0),0)</f>
        <v>211010501</v>
      </c>
      <c r="AB156" s="9" t="s">
        <v>543</v>
      </c>
      <c r="AC156" s="9">
        <v>12</v>
      </c>
      <c r="AE156" s="9">
        <v>24000</v>
      </c>
      <c r="AG156" s="56">
        <f t="shared" si="67"/>
        <v>4800</v>
      </c>
      <c r="AH156" s="10">
        <f t="shared" si="69"/>
        <v>8800</v>
      </c>
      <c r="AJ156" s="11">
        <f t="shared" si="66"/>
        <v>60</v>
      </c>
      <c r="AK156" s="10">
        <v>60</v>
      </c>
      <c r="AL156" s="11">
        <f t="shared" si="74"/>
        <v>300</v>
      </c>
      <c r="AM156" s="10">
        <v>300</v>
      </c>
      <c r="AN156" s="11">
        <f t="shared" si="74"/>
        <v>300</v>
      </c>
      <c r="AO156" s="10">
        <v>300</v>
      </c>
      <c r="AP156" s="56">
        <f t="shared" si="68"/>
        <v>1</v>
      </c>
      <c r="AR156" s="11">
        <f ca="1">IFERROR(OFFSET(ITEM_RES!$A$1,MATCH(AS156,ITEM_RES!$J:$J,0)-1,0),0)</f>
        <v>211020801</v>
      </c>
      <c r="AS156" s="10" t="s">
        <v>453</v>
      </c>
      <c r="AT156" s="11">
        <v>1500</v>
      </c>
      <c r="AW156" s="11">
        <f ca="1">IFERROR(OFFSET(ITEM_RES!$A$1,MATCH(AX156,ITEM_RES!$J:$J,0)-1,0),0)</f>
        <v>0</v>
      </c>
      <c r="BB156" s="11">
        <f ca="1">IFERROR(OFFSET(ITEM_RES!$A$1,MATCH(BC156,ITEM_RES!$J:$J,0)-1,0),0)</f>
        <v>0</v>
      </c>
      <c r="BG156" s="11">
        <f ca="1">IFERROR(OFFSET(ITEM_RES!$A$1,MATCH(BH156,ITEM_RES!$J:$J,0)-1,0),0)</f>
        <v>0</v>
      </c>
      <c r="BL156" s="11">
        <f ca="1">IFERROR(OFFSET(ITEM_RES!$A$1,MATCH(BM156,ITEM_RES!$J:$J,0)-1,0),0)</f>
        <v>0</v>
      </c>
      <c r="BN156" s="11">
        <f t="shared" si="73"/>
        <v>0</v>
      </c>
    </row>
    <row r="157" spans="1:67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 t="s">
        <v>983</v>
      </c>
      <c r="M157" s="9" t="s">
        <v>1004</v>
      </c>
      <c r="N157" s="9">
        <v>1</v>
      </c>
      <c r="O157" s="9">
        <v>15</v>
      </c>
      <c r="P157" s="9" t="s">
        <v>818</v>
      </c>
      <c r="T157" s="9" t="s">
        <v>755</v>
      </c>
      <c r="W157" s="9">
        <f ca="1">IFERROR(OFFSET(ITEM_RES!$A$5,MATCH(BUILDING!V157,ITEM_RES!$J$5:$J$226,0)-1,0),0)</f>
        <v>0</v>
      </c>
      <c r="Y157" s="85" t="s">
        <v>572</v>
      </c>
      <c r="Z157" s="9">
        <f ca="1">IFERROR(OFFSET(ITEM_RES!$A$5,MATCH(BUILDING!Y157,ITEM_RES!$J$5:$J$226,0)-1,0),0)</f>
        <v>211010501</v>
      </c>
      <c r="AB157" s="9" t="s">
        <v>543</v>
      </c>
      <c r="AC157" s="9">
        <v>13</v>
      </c>
      <c r="AE157" s="9">
        <v>28000</v>
      </c>
      <c r="AG157" s="56">
        <f t="shared" si="67"/>
        <v>5600</v>
      </c>
      <c r="AH157" s="10">
        <f t="shared" si="69"/>
        <v>10400</v>
      </c>
      <c r="AJ157" s="11">
        <f t="shared" si="66"/>
        <v>65</v>
      </c>
      <c r="AK157" s="10">
        <v>65</v>
      </c>
      <c r="AL157" s="11">
        <f t="shared" si="74"/>
        <v>350</v>
      </c>
      <c r="AM157" s="10">
        <v>350</v>
      </c>
      <c r="AN157" s="11">
        <f t="shared" si="74"/>
        <v>350</v>
      </c>
      <c r="AO157" s="10">
        <v>350</v>
      </c>
      <c r="AP157" s="56">
        <f t="shared" si="68"/>
        <v>1</v>
      </c>
      <c r="AR157" s="11">
        <f ca="1">IFERROR(OFFSET(ITEM_RES!$A$1,MATCH(AS157,ITEM_RES!$J:$J,0)-1,0),0)</f>
        <v>211020901</v>
      </c>
      <c r="AS157" s="10" t="s">
        <v>466</v>
      </c>
      <c r="AT157" s="11">
        <v>1750</v>
      </c>
      <c r="AW157" s="11">
        <f ca="1">IFERROR(OFFSET(ITEM_RES!$A$1,MATCH(AX157,ITEM_RES!$J:$J,0)-1,0),0)</f>
        <v>0</v>
      </c>
      <c r="BB157" s="11">
        <f ca="1">IFERROR(OFFSET(ITEM_RES!$A$1,MATCH(BC157,ITEM_RES!$J:$J,0)-1,0),0)</f>
        <v>0</v>
      </c>
      <c r="BG157" s="11">
        <f ca="1">IFERROR(OFFSET(ITEM_RES!$A$1,MATCH(BH157,ITEM_RES!$J:$J,0)-1,0),0)</f>
        <v>0</v>
      </c>
      <c r="BL157" s="11">
        <f ca="1">IFERROR(OFFSET(ITEM_RES!$A$1,MATCH(BM157,ITEM_RES!$J:$J,0)-1,0),0)</f>
        <v>0</v>
      </c>
      <c r="BN157" s="11">
        <f t="shared" si="73"/>
        <v>0</v>
      </c>
    </row>
    <row r="158" spans="1:67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 t="s">
        <v>983</v>
      </c>
      <c r="M158" s="9" t="s">
        <v>1004</v>
      </c>
      <c r="N158" s="9">
        <v>1</v>
      </c>
      <c r="O158" s="9">
        <v>15</v>
      </c>
      <c r="P158" s="9" t="s">
        <v>818</v>
      </c>
      <c r="T158" s="9" t="s">
        <v>755</v>
      </c>
      <c r="W158" s="9">
        <f ca="1">IFERROR(OFFSET(ITEM_RES!$A$5,MATCH(BUILDING!V158,ITEM_RES!$J$5:$J$226,0)-1,0),0)</f>
        <v>0</v>
      </c>
      <c r="Y158" s="85" t="s">
        <v>572</v>
      </c>
      <c r="Z158" s="9">
        <f ca="1">IFERROR(OFFSET(ITEM_RES!$A$5,MATCH(BUILDING!Y158,ITEM_RES!$J$5:$J$226,0)-1,0),0)</f>
        <v>211010501</v>
      </c>
      <c r="AB158" s="9" t="s">
        <v>543</v>
      </c>
      <c r="AC158" s="9">
        <v>14</v>
      </c>
      <c r="AE158" s="9">
        <v>36000</v>
      </c>
      <c r="AG158" s="56">
        <f t="shared" si="67"/>
        <v>7200</v>
      </c>
      <c r="AH158" s="10">
        <f t="shared" si="69"/>
        <v>12800</v>
      </c>
      <c r="AJ158" s="11">
        <f t="shared" si="66"/>
        <v>70</v>
      </c>
      <c r="AK158" s="10">
        <v>70</v>
      </c>
      <c r="AL158" s="11">
        <f t="shared" si="74"/>
        <v>450</v>
      </c>
      <c r="AM158" s="10">
        <v>450</v>
      </c>
      <c r="AN158" s="11">
        <f t="shared" si="74"/>
        <v>450</v>
      </c>
      <c r="AO158" s="10">
        <v>450</v>
      </c>
      <c r="AP158" s="56">
        <f t="shared" si="68"/>
        <v>1</v>
      </c>
      <c r="AR158" s="11">
        <f ca="1">IFERROR(OFFSET(ITEM_RES!$A$1,MATCH(AS158,ITEM_RES!$J:$J,0)-1,0),0)</f>
        <v>211020901</v>
      </c>
      <c r="AS158" s="10" t="s">
        <v>466</v>
      </c>
      <c r="AT158" s="11">
        <v>2250</v>
      </c>
      <c r="AW158" s="11">
        <f ca="1">IFERROR(OFFSET(ITEM_RES!$A$1,MATCH(AX158,ITEM_RES!$J:$J,0)-1,0),0)</f>
        <v>0</v>
      </c>
      <c r="BB158" s="11">
        <f ca="1">IFERROR(OFFSET(ITEM_RES!$A$1,MATCH(BC158,ITEM_RES!$J:$J,0)-1,0),0)</f>
        <v>0</v>
      </c>
      <c r="BG158" s="11">
        <f ca="1">IFERROR(OFFSET(ITEM_RES!$A$1,MATCH(BH158,ITEM_RES!$J:$J,0)-1,0),0)</f>
        <v>0</v>
      </c>
      <c r="BL158" s="11">
        <f ca="1">IFERROR(OFFSET(ITEM_RES!$A$1,MATCH(BM158,ITEM_RES!$J:$J,0)-1,0),0)</f>
        <v>0</v>
      </c>
      <c r="BN158" s="11">
        <f t="shared" si="73"/>
        <v>0</v>
      </c>
    </row>
    <row r="159" spans="1:67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 t="s">
        <v>983</v>
      </c>
      <c r="M159" s="9" t="s">
        <v>1004</v>
      </c>
      <c r="N159" s="9">
        <v>1</v>
      </c>
      <c r="O159" s="9">
        <v>15</v>
      </c>
      <c r="P159" s="9" t="s">
        <v>818</v>
      </c>
      <c r="T159" s="9" t="s">
        <v>755</v>
      </c>
      <c r="W159" s="9">
        <f ca="1">IFERROR(OFFSET(ITEM_RES!$A$5,MATCH(BUILDING!V159,ITEM_RES!$J$5:$J$226,0)-1,0),0)</f>
        <v>0</v>
      </c>
      <c r="Y159" s="85" t="s">
        <v>572</v>
      </c>
      <c r="Z159" s="9">
        <f ca="1">IFERROR(OFFSET(ITEM_RES!$A$5,MATCH(BUILDING!Y159,ITEM_RES!$J$5:$J$226,0)-1,0),0)</f>
        <v>211010501</v>
      </c>
      <c r="AB159" s="9" t="s">
        <v>543</v>
      </c>
      <c r="AC159" s="9">
        <v>15</v>
      </c>
      <c r="AE159" s="9">
        <v>44000</v>
      </c>
      <c r="AG159" s="56">
        <f t="shared" si="67"/>
        <v>8800</v>
      </c>
      <c r="AH159" s="10">
        <f t="shared" si="69"/>
        <v>16000</v>
      </c>
      <c r="AJ159" s="11">
        <f t="shared" si="66"/>
        <v>75</v>
      </c>
      <c r="AK159" s="10">
        <v>75</v>
      </c>
      <c r="AL159" s="11">
        <f t="shared" si="74"/>
        <v>550</v>
      </c>
      <c r="AM159" s="10">
        <v>550</v>
      </c>
      <c r="AN159" s="11">
        <f t="shared" si="74"/>
        <v>550</v>
      </c>
      <c r="AO159" s="10">
        <v>550</v>
      </c>
      <c r="AP159" s="56">
        <f t="shared" si="68"/>
        <v>1</v>
      </c>
      <c r="AR159" s="11">
        <f ca="1">IFERROR(OFFSET(ITEM_RES!$A$1,MATCH(AS159,ITEM_RES!$J:$J,0)-1,0),0)</f>
        <v>211020901</v>
      </c>
      <c r="AS159" s="10" t="s">
        <v>466</v>
      </c>
      <c r="AT159" s="11">
        <v>2750</v>
      </c>
      <c r="AW159" s="11">
        <f ca="1">IFERROR(OFFSET(ITEM_RES!$A$1,MATCH(AX159,ITEM_RES!$J:$J,0)-1,0),0)</f>
        <v>0</v>
      </c>
      <c r="BB159" s="11">
        <f ca="1">IFERROR(OFFSET(ITEM_RES!$A$1,MATCH(BC159,ITEM_RES!$J:$J,0)-1,0),0)</f>
        <v>0</v>
      </c>
      <c r="BG159" s="11">
        <f ca="1">IFERROR(OFFSET(ITEM_RES!$A$1,MATCH(BH159,ITEM_RES!$J:$J,0)-1,0),0)</f>
        <v>0</v>
      </c>
      <c r="BL159" s="11">
        <f ca="1">IFERROR(OFFSET(ITEM_RES!$A$1,MATCH(BM159,ITEM_RES!$J:$J,0)-1,0),0)</f>
        <v>0</v>
      </c>
      <c r="BN159" s="11">
        <f t="shared" si="73"/>
        <v>0</v>
      </c>
    </row>
    <row r="160" spans="1:67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 t="s">
        <v>983</v>
      </c>
      <c r="M160" s="9" t="s">
        <v>1004</v>
      </c>
      <c r="N160" s="9">
        <v>0</v>
      </c>
      <c r="O160" s="9">
        <v>15</v>
      </c>
      <c r="P160" s="9" t="s">
        <v>818</v>
      </c>
      <c r="T160" s="9" t="s">
        <v>755</v>
      </c>
      <c r="W160" s="9">
        <f ca="1">IFERROR(OFFSET(ITEM_RES!$A$5,MATCH(BUILDING!V160,ITEM_RES!$J$5:$J$226,0)-1,0),0)</f>
        <v>0</v>
      </c>
      <c r="Y160" s="85" t="s">
        <v>572</v>
      </c>
      <c r="Z160" s="9">
        <f ca="1">IFERROR(OFFSET(ITEM_RES!$A$5,MATCH(BUILDING!Y160,ITEM_RES!$J$5:$J$226,0)-1,0),0)</f>
        <v>211010501</v>
      </c>
      <c r="AB160" s="9" t="s">
        <v>543</v>
      </c>
      <c r="AC160" s="9">
        <v>16</v>
      </c>
      <c r="AE160" s="9">
        <v>56000</v>
      </c>
      <c r="AG160" s="56">
        <f t="shared" si="67"/>
        <v>11200</v>
      </c>
      <c r="AH160" s="10">
        <f t="shared" si="69"/>
        <v>20000</v>
      </c>
      <c r="AJ160" s="11">
        <f t="shared" si="66"/>
        <v>80</v>
      </c>
      <c r="AK160" s="10">
        <v>80</v>
      </c>
      <c r="AL160" s="11">
        <f t="shared" si="74"/>
        <v>700</v>
      </c>
      <c r="AM160" s="10">
        <v>700</v>
      </c>
      <c r="AN160" s="11">
        <f t="shared" si="74"/>
        <v>700</v>
      </c>
      <c r="AO160" s="10">
        <v>700</v>
      </c>
      <c r="AP160" s="56">
        <f t="shared" si="68"/>
        <v>1</v>
      </c>
      <c r="AR160" s="11">
        <f ca="1">IFERROR(OFFSET(ITEM_RES!$A$1,MATCH(AS160,ITEM_RES!$J:$J,0)-1,0),0)</f>
        <v>211020901</v>
      </c>
      <c r="AS160" s="10" t="s">
        <v>466</v>
      </c>
      <c r="AT160" s="11">
        <v>3500</v>
      </c>
      <c r="AW160" s="11">
        <f ca="1">IFERROR(OFFSET(ITEM_RES!$A$1,MATCH(AX160,ITEM_RES!$J:$J,0)-1,0),0)</f>
        <v>0</v>
      </c>
      <c r="BB160" s="11">
        <f ca="1">IFERROR(OFFSET(ITEM_RES!$A$1,MATCH(BC160,ITEM_RES!$J:$J,0)-1,0),0)</f>
        <v>0</v>
      </c>
      <c r="BG160" s="11">
        <f ca="1">IFERROR(OFFSET(ITEM_RES!$A$1,MATCH(BH160,ITEM_RES!$J:$J,0)-1,0),0)</f>
        <v>0</v>
      </c>
      <c r="BL160" s="11">
        <f ca="1">IFERROR(OFFSET(ITEM_RES!$A$1,MATCH(BM160,ITEM_RES!$J:$J,0)-1,0),0)</f>
        <v>0</v>
      </c>
      <c r="BN160" s="11">
        <f t="shared" si="73"/>
        <v>0</v>
      </c>
    </row>
    <row r="161" spans="1:67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 t="s">
        <v>983</v>
      </c>
      <c r="M161" s="9" t="s">
        <v>1004</v>
      </c>
      <c r="N161" s="9">
        <v>0</v>
      </c>
      <c r="O161" s="9">
        <v>15</v>
      </c>
      <c r="P161" s="9" t="s">
        <v>818</v>
      </c>
      <c r="T161" s="9" t="s">
        <v>755</v>
      </c>
      <c r="W161" s="9">
        <f ca="1">IFERROR(OFFSET(ITEM_RES!$A$5,MATCH(BUILDING!V161,ITEM_RES!$J$5:$J$226,0)-1,0),0)</f>
        <v>0</v>
      </c>
      <c r="Y161" s="85" t="s">
        <v>572</v>
      </c>
      <c r="Z161" s="9">
        <f ca="1">IFERROR(OFFSET(ITEM_RES!$A$5,MATCH(BUILDING!Y161,ITEM_RES!$J$5:$J$226,0)-1,0),0)</f>
        <v>211010501</v>
      </c>
      <c r="AB161" s="9" t="s">
        <v>543</v>
      </c>
      <c r="AC161" s="9">
        <v>17</v>
      </c>
      <c r="AE161" s="9">
        <v>68000</v>
      </c>
      <c r="AG161" s="56">
        <f t="shared" si="67"/>
        <v>13600</v>
      </c>
      <c r="AH161" s="10">
        <f t="shared" si="69"/>
        <v>24800</v>
      </c>
      <c r="AJ161" s="11">
        <f t="shared" si="66"/>
        <v>85</v>
      </c>
      <c r="AK161" s="10">
        <v>85</v>
      </c>
      <c r="AL161" s="11">
        <f t="shared" si="74"/>
        <v>850</v>
      </c>
      <c r="AM161" s="10">
        <v>850</v>
      </c>
      <c r="AN161" s="11">
        <f t="shared" si="74"/>
        <v>850</v>
      </c>
      <c r="AO161" s="10">
        <v>850</v>
      </c>
      <c r="AP161" s="56">
        <f t="shared" si="68"/>
        <v>1</v>
      </c>
      <c r="AR161" s="11">
        <f ca="1">IFERROR(OFFSET(ITEM_RES!$A$1,MATCH(AS161,ITEM_RES!$J:$J,0)-1,0),0)</f>
        <v>211020901</v>
      </c>
      <c r="AS161" s="10" t="s">
        <v>466</v>
      </c>
      <c r="AT161" s="11">
        <v>4250</v>
      </c>
      <c r="AW161" s="11">
        <f ca="1">IFERROR(OFFSET(ITEM_RES!$A$1,MATCH(AX161,ITEM_RES!$J:$J,0)-1,0),0)</f>
        <v>0</v>
      </c>
      <c r="BB161" s="11">
        <f ca="1">IFERROR(OFFSET(ITEM_RES!$A$1,MATCH(BC161,ITEM_RES!$J:$J,0)-1,0),0)</f>
        <v>0</v>
      </c>
      <c r="BG161" s="11">
        <f ca="1">IFERROR(OFFSET(ITEM_RES!$A$1,MATCH(BH161,ITEM_RES!$J:$J,0)-1,0),0)</f>
        <v>0</v>
      </c>
      <c r="BL161" s="11">
        <f ca="1">IFERROR(OFFSET(ITEM_RES!$A$1,MATCH(BM161,ITEM_RES!$J:$J,0)-1,0),0)</f>
        <v>0</v>
      </c>
      <c r="BN161" s="11">
        <f t="shared" si="73"/>
        <v>0</v>
      </c>
    </row>
    <row r="162" spans="1:67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 t="s">
        <v>983</v>
      </c>
      <c r="M162" s="9" t="s">
        <v>1004</v>
      </c>
      <c r="N162" s="9">
        <v>0</v>
      </c>
      <c r="O162" s="9">
        <v>15</v>
      </c>
      <c r="P162" s="9" t="s">
        <v>818</v>
      </c>
      <c r="T162" s="9" t="s">
        <v>755</v>
      </c>
      <c r="W162" s="9">
        <f ca="1">IFERROR(OFFSET(ITEM_RES!$A$5,MATCH(BUILDING!V162,ITEM_RES!$J$5:$J$226,0)-1,0),0)</f>
        <v>0</v>
      </c>
      <c r="Y162" s="85" t="s">
        <v>572</v>
      </c>
      <c r="Z162" s="9">
        <f ca="1">IFERROR(OFFSET(ITEM_RES!$A$5,MATCH(BUILDING!Y162,ITEM_RES!$J$5:$J$226,0)-1,0),0)</f>
        <v>211010501</v>
      </c>
      <c r="AB162" s="9" t="s">
        <v>543</v>
      </c>
      <c r="AC162" s="9">
        <v>18</v>
      </c>
      <c r="AE162" s="9">
        <v>84000</v>
      </c>
      <c r="AG162" s="56">
        <f t="shared" si="67"/>
        <v>16800</v>
      </c>
      <c r="AH162" s="10">
        <f t="shared" si="69"/>
        <v>30400</v>
      </c>
      <c r="AJ162" s="11">
        <f t="shared" si="66"/>
        <v>90</v>
      </c>
      <c r="AK162" s="10">
        <v>90</v>
      </c>
      <c r="AL162" s="11">
        <f t="shared" si="74"/>
        <v>1050</v>
      </c>
      <c r="AM162" s="10">
        <v>1050</v>
      </c>
      <c r="AN162" s="11">
        <f t="shared" si="74"/>
        <v>1050</v>
      </c>
      <c r="AO162" s="10">
        <v>1050</v>
      </c>
      <c r="AP162" s="56">
        <f t="shared" si="68"/>
        <v>1</v>
      </c>
      <c r="AR162" s="11">
        <f ca="1">IFERROR(OFFSET(ITEM_RES!$A$1,MATCH(AS162,ITEM_RES!$J:$J,0)-1,0),0)</f>
        <v>211020901</v>
      </c>
      <c r="AS162" s="10" t="s">
        <v>466</v>
      </c>
      <c r="AT162" s="11">
        <v>5250</v>
      </c>
      <c r="AW162" s="11">
        <f ca="1">IFERROR(OFFSET(ITEM_RES!$A$1,MATCH(AX162,ITEM_RES!$J:$J,0)-1,0),0)</f>
        <v>0</v>
      </c>
      <c r="BB162" s="11">
        <f ca="1">IFERROR(OFFSET(ITEM_RES!$A$1,MATCH(BC162,ITEM_RES!$J:$J,0)-1,0),0)</f>
        <v>0</v>
      </c>
      <c r="BG162" s="11">
        <f ca="1">IFERROR(OFFSET(ITEM_RES!$A$1,MATCH(BH162,ITEM_RES!$J:$J,0)-1,0),0)</f>
        <v>0</v>
      </c>
      <c r="BL162" s="11">
        <f ca="1">IFERROR(OFFSET(ITEM_RES!$A$1,MATCH(BM162,ITEM_RES!$J:$J,0)-1,0),0)</f>
        <v>0</v>
      </c>
      <c r="BN162" s="11">
        <f t="shared" si="73"/>
        <v>0</v>
      </c>
    </row>
    <row r="163" spans="1:67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 t="s">
        <v>983</v>
      </c>
      <c r="M163" s="9" t="s">
        <v>1004</v>
      </c>
      <c r="N163" s="9">
        <v>0</v>
      </c>
      <c r="O163" s="9">
        <v>15</v>
      </c>
      <c r="P163" s="9" t="s">
        <v>818</v>
      </c>
      <c r="T163" s="9" t="s">
        <v>755</v>
      </c>
      <c r="W163" s="9">
        <f ca="1">IFERROR(OFFSET(ITEM_RES!$A$5,MATCH(BUILDING!V163,ITEM_RES!$J$5:$J$226,0)-1,0),0)</f>
        <v>0</v>
      </c>
      <c r="Y163" s="85" t="s">
        <v>572</v>
      </c>
      <c r="Z163" s="9">
        <f ca="1">IFERROR(OFFSET(ITEM_RES!$A$5,MATCH(BUILDING!Y163,ITEM_RES!$J$5:$J$226,0)-1,0),0)</f>
        <v>211010501</v>
      </c>
      <c r="AB163" s="9" t="s">
        <v>543</v>
      </c>
      <c r="AC163" s="9">
        <v>19</v>
      </c>
      <c r="AE163" s="9">
        <v>100000</v>
      </c>
      <c r="AG163" s="56">
        <f t="shared" si="67"/>
        <v>20000</v>
      </c>
      <c r="AH163" s="10">
        <f t="shared" si="69"/>
        <v>36800</v>
      </c>
      <c r="AJ163" s="11">
        <f t="shared" si="66"/>
        <v>95</v>
      </c>
      <c r="AK163" s="10">
        <v>95</v>
      </c>
      <c r="AL163" s="11">
        <f t="shared" si="74"/>
        <v>1250</v>
      </c>
      <c r="AM163" s="10">
        <v>1250</v>
      </c>
      <c r="AN163" s="11">
        <f t="shared" si="74"/>
        <v>1250</v>
      </c>
      <c r="AO163" s="10">
        <v>1250</v>
      </c>
      <c r="AP163" s="56">
        <f t="shared" si="68"/>
        <v>1</v>
      </c>
      <c r="AR163" s="11">
        <f ca="1">IFERROR(OFFSET(ITEM_RES!$A$1,MATCH(AS163,ITEM_RES!$J:$J,0)-1,0),0)</f>
        <v>211020901</v>
      </c>
      <c r="AS163" s="10" t="s">
        <v>466</v>
      </c>
      <c r="AT163" s="11">
        <v>6250</v>
      </c>
      <c r="AW163" s="11">
        <f ca="1">IFERROR(OFFSET(ITEM_RES!$A$1,MATCH(AX163,ITEM_RES!$J:$J,0)-1,0),0)</f>
        <v>0</v>
      </c>
      <c r="BB163" s="11">
        <f ca="1">IFERROR(OFFSET(ITEM_RES!$A$1,MATCH(BC163,ITEM_RES!$J:$J,0)-1,0),0)</f>
        <v>0</v>
      </c>
      <c r="BG163" s="11">
        <f ca="1">IFERROR(OFFSET(ITEM_RES!$A$1,MATCH(BH163,ITEM_RES!$J:$J,0)-1,0),0)</f>
        <v>0</v>
      </c>
      <c r="BL163" s="11">
        <f ca="1">IFERROR(OFFSET(ITEM_RES!$A$1,MATCH(BM163,ITEM_RES!$J:$J,0)-1,0),0)</f>
        <v>0</v>
      </c>
      <c r="BN163" s="11">
        <f t="shared" si="73"/>
        <v>0</v>
      </c>
    </row>
    <row r="164" spans="1:67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 t="s">
        <v>983</v>
      </c>
      <c r="M164" s="9" t="s">
        <v>1004</v>
      </c>
      <c r="N164" s="9">
        <v>0</v>
      </c>
      <c r="O164" s="9">
        <v>15</v>
      </c>
      <c r="P164" s="9" t="s">
        <v>818</v>
      </c>
      <c r="T164" s="9" t="s">
        <v>755</v>
      </c>
      <c r="W164" s="9">
        <f ca="1">IFERROR(OFFSET(ITEM_RES!$A$5,MATCH(BUILDING!V164,ITEM_RES!$J$5:$J$226,0)-1,0),0)</f>
        <v>0</v>
      </c>
      <c r="Y164" s="85" t="s">
        <v>572</v>
      </c>
      <c r="Z164" s="9">
        <f ca="1">IFERROR(OFFSET(ITEM_RES!$A$5,MATCH(BUILDING!Y164,ITEM_RES!$J$5:$J$226,0)-1,0),0)</f>
        <v>211010501</v>
      </c>
      <c r="AB164" s="9" t="s">
        <v>543</v>
      </c>
      <c r="AC164" s="9">
        <v>20</v>
      </c>
      <c r="AE164" s="9">
        <v>120000</v>
      </c>
      <c r="AG164" s="56">
        <f t="shared" si="67"/>
        <v>24000</v>
      </c>
      <c r="AH164" s="10">
        <f t="shared" si="69"/>
        <v>44000</v>
      </c>
      <c r="AJ164" s="11">
        <f t="shared" si="66"/>
        <v>100</v>
      </c>
      <c r="AK164" s="10">
        <v>100</v>
      </c>
      <c r="AL164" s="11">
        <f t="shared" si="74"/>
        <v>1500</v>
      </c>
      <c r="AM164" s="10">
        <v>1500</v>
      </c>
      <c r="AN164" s="11">
        <f t="shared" si="74"/>
        <v>1500</v>
      </c>
      <c r="AO164" s="10">
        <v>1500</v>
      </c>
      <c r="AP164" s="56">
        <f t="shared" si="68"/>
        <v>1</v>
      </c>
      <c r="AR164" s="11">
        <f ca="1">IFERROR(OFFSET(ITEM_RES!$A$1,MATCH(AS164,ITEM_RES!$J:$J,0)-1,0),0)</f>
        <v>211020901</v>
      </c>
      <c r="AS164" s="10" t="s">
        <v>466</v>
      </c>
      <c r="AT164" s="11">
        <v>7500</v>
      </c>
      <c r="AW164" s="11">
        <f ca="1">IFERROR(OFFSET(ITEM_RES!$A$1,MATCH(AX164,ITEM_RES!$J:$J,0)-1,0),0)</f>
        <v>0</v>
      </c>
      <c r="BB164" s="11">
        <f ca="1">IFERROR(OFFSET(ITEM_RES!$A$1,MATCH(BC164,ITEM_RES!$J:$J,0)-1,0),0)</f>
        <v>0</v>
      </c>
      <c r="BG164" s="11">
        <f ca="1">IFERROR(OFFSET(ITEM_RES!$A$1,MATCH(BH164,ITEM_RES!$J:$J,0)-1,0),0)</f>
        <v>0</v>
      </c>
      <c r="BL164" s="11">
        <f ca="1">IFERROR(OFFSET(ITEM_RES!$A$1,MATCH(BM164,ITEM_RES!$J:$J,0)-1,0),0)</f>
        <v>0</v>
      </c>
      <c r="BN164" s="11">
        <f t="shared" si="73"/>
        <v>0</v>
      </c>
    </row>
    <row r="165" spans="1:67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 t="s">
        <v>984</v>
      </c>
      <c r="M165" s="16" t="s">
        <v>1005</v>
      </c>
      <c r="N165" s="16">
        <v>1</v>
      </c>
      <c r="O165" s="16">
        <v>15</v>
      </c>
      <c r="P165" s="16" t="s">
        <v>817</v>
      </c>
      <c r="Q165" s="17"/>
      <c r="R165" s="17"/>
      <c r="S165" s="18"/>
      <c r="T165" s="16" t="s">
        <v>736</v>
      </c>
      <c r="U165" s="79"/>
      <c r="V165" s="87" t="s">
        <v>572</v>
      </c>
      <c r="W165" s="16">
        <f ca="1">IFERROR(OFFSET(ITEM_RES!$A$5,MATCH(BUILDING!V165,ITEM_RES!$J$5:$J$226,0)-1,0),0)</f>
        <v>211010501</v>
      </c>
      <c r="X165" s="18">
        <v>1</v>
      </c>
      <c r="Y165" s="87" t="s">
        <v>573</v>
      </c>
      <c r="Z165" s="16">
        <f ca="1">IFERROR(OFFSET(ITEM_RES!$A$5,MATCH(BUILDING!Y165,ITEM_RES!$J$5:$J$226,0)-1,0),0)</f>
        <v>211010601</v>
      </c>
      <c r="AA165" s="79"/>
      <c r="AB165" s="16" t="s">
        <v>544</v>
      </c>
      <c r="AC165" s="16">
        <v>1</v>
      </c>
      <c r="AD165" s="79"/>
      <c r="AE165" s="16">
        <v>0</v>
      </c>
      <c r="AF165" s="79"/>
      <c r="AG165" s="57">
        <f t="shared" si="67"/>
        <v>580</v>
      </c>
      <c r="AH165" s="17">
        <f>AG165</f>
        <v>580</v>
      </c>
      <c r="AI165" s="79"/>
      <c r="AJ165" s="18">
        <f t="shared" si="66"/>
        <v>5</v>
      </c>
      <c r="AK165" s="17">
        <v>5</v>
      </c>
      <c r="AL165" s="18">
        <f t="shared" si="74"/>
        <v>5</v>
      </c>
      <c r="AM165" s="17">
        <v>5</v>
      </c>
      <c r="AN165" s="18">
        <f t="shared" si="74"/>
        <v>5</v>
      </c>
      <c r="AO165" s="17">
        <v>5</v>
      </c>
      <c r="AP165" s="57">
        <f t="shared" si="68"/>
        <v>2</v>
      </c>
      <c r="AQ165" s="18"/>
      <c r="AR165" s="18">
        <f ca="1">IFERROR(OFFSET(ITEM_RES!$A$1,MATCH(AS165,ITEM_RES!$J:$J,0)-1,0),0)</f>
        <v>211020801</v>
      </c>
      <c r="AS165" s="17" t="s">
        <v>453</v>
      </c>
      <c r="AT165" s="18">
        <v>25</v>
      </c>
      <c r="AU165" s="17"/>
      <c r="AV165" s="18"/>
      <c r="AW165" s="18">
        <f ca="1">IFERROR(OFFSET(ITEM_RES!$A$1,MATCH(AX165,ITEM_RES!$J:$J,0)-1,0),0)</f>
        <v>0</v>
      </c>
      <c r="AX165" s="17"/>
      <c r="AY165" s="18"/>
      <c r="AZ165" s="17"/>
      <c r="BA165" s="18"/>
      <c r="BB165" s="18">
        <f ca="1">IFERROR(OFFSET(ITEM_RES!$A$1,MATCH(BC165,ITEM_RES!$J:$J,0)-1,0),0)</f>
        <v>213010101</v>
      </c>
      <c r="BC165" s="17" t="s">
        <v>477</v>
      </c>
      <c r="BD165" s="18">
        <v>1</v>
      </c>
      <c r="BE165" s="17"/>
      <c r="BF165" s="18"/>
      <c r="BG165" s="18">
        <f ca="1">IFERROR(OFFSET(ITEM_RES!$A$1,MATCH(BH165,ITEM_RES!$J:$J,0)-1,0),0)</f>
        <v>0</v>
      </c>
      <c r="BH165" s="17"/>
      <c r="BI165" s="18"/>
      <c r="BJ165" s="17"/>
      <c r="BK165" s="18"/>
      <c r="BL165" s="18">
        <f ca="1">IFERROR(OFFSET(ITEM_RES!$A$1,MATCH(BM165,ITEM_RES!$J:$J,0)-1,0),0)</f>
        <v>0</v>
      </c>
      <c r="BM165" s="17"/>
      <c r="BN165" s="18">
        <f t="shared" si="73"/>
        <v>0</v>
      </c>
      <c r="BO165" s="17"/>
    </row>
    <row r="166" spans="1:67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 t="s">
        <v>984</v>
      </c>
      <c r="M166" s="9" t="s">
        <v>1005</v>
      </c>
      <c r="N166" s="9">
        <v>1</v>
      </c>
      <c r="O166" s="9">
        <v>15</v>
      </c>
      <c r="P166" s="9" t="s">
        <v>817</v>
      </c>
      <c r="T166" s="9" t="s">
        <v>736</v>
      </c>
      <c r="V166" s="85" t="s">
        <v>572</v>
      </c>
      <c r="W166" s="9">
        <f ca="1">IFERROR(OFFSET(ITEM_RES!$A$5,MATCH(BUILDING!V166,ITEM_RES!$J$5:$J$226,0)-1,0),0)</f>
        <v>211010501</v>
      </c>
      <c r="X166" s="11">
        <v>1</v>
      </c>
      <c r="Y166" s="85" t="s">
        <v>573</v>
      </c>
      <c r="Z166" s="9">
        <f ca="1">IFERROR(OFFSET(ITEM_RES!$A$5,MATCH(BUILDING!Y166,ITEM_RES!$J$5:$J$226,0)-1,0),0)</f>
        <v>211010601</v>
      </c>
      <c r="AB166" s="9" t="s">
        <v>544</v>
      </c>
      <c r="AC166" s="9">
        <v>2</v>
      </c>
      <c r="AE166" s="9">
        <v>800</v>
      </c>
      <c r="AG166" s="56">
        <f t="shared" si="67"/>
        <v>160</v>
      </c>
      <c r="AH166" s="10">
        <f>AG165+AG166</f>
        <v>740</v>
      </c>
      <c r="AJ166" s="11">
        <f t="shared" si="66"/>
        <v>10</v>
      </c>
      <c r="AK166" s="10">
        <v>10</v>
      </c>
      <c r="AL166" s="11">
        <f t="shared" si="74"/>
        <v>10</v>
      </c>
      <c r="AM166" s="10">
        <v>10</v>
      </c>
      <c r="AN166" s="11">
        <f t="shared" si="74"/>
        <v>10</v>
      </c>
      <c r="AO166" s="10">
        <v>10</v>
      </c>
      <c r="AP166" s="56">
        <f t="shared" si="68"/>
        <v>1</v>
      </c>
      <c r="AR166" s="11">
        <f ca="1">IFERROR(OFFSET(ITEM_RES!$A$1,MATCH(AS166,ITEM_RES!$J:$J,0)-1,0),0)</f>
        <v>211020801</v>
      </c>
      <c r="AS166" s="10" t="s">
        <v>453</v>
      </c>
      <c r="AT166" s="11">
        <v>50</v>
      </c>
      <c r="AW166" s="11">
        <f ca="1">IFERROR(OFFSET(ITEM_RES!$A$1,MATCH(AX166,ITEM_RES!$J:$J,0)-1,0),0)</f>
        <v>0</v>
      </c>
      <c r="BB166" s="11">
        <f ca="1">IFERROR(OFFSET(ITEM_RES!$A$1,MATCH(BC166,ITEM_RES!$J:$J,0)-1,0),0)</f>
        <v>0</v>
      </c>
      <c r="BG166" s="11">
        <f ca="1">IFERROR(OFFSET(ITEM_RES!$A$1,MATCH(BH166,ITEM_RES!$J:$J,0)-1,0),0)</f>
        <v>0</v>
      </c>
      <c r="BL166" s="11">
        <f ca="1">IFERROR(OFFSET(ITEM_RES!$A$1,MATCH(BM166,ITEM_RES!$J:$J,0)-1,0),0)</f>
        <v>0</v>
      </c>
      <c r="BN166" s="11">
        <f t="shared" si="73"/>
        <v>0</v>
      </c>
    </row>
    <row r="167" spans="1:67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 t="s">
        <v>984</v>
      </c>
      <c r="M167" s="9" t="s">
        <v>1005</v>
      </c>
      <c r="N167" s="9">
        <v>1</v>
      </c>
      <c r="O167" s="9">
        <v>15</v>
      </c>
      <c r="P167" s="9" t="s">
        <v>817</v>
      </c>
      <c r="T167" s="9" t="s">
        <v>736</v>
      </c>
      <c r="V167" s="85" t="s">
        <v>572</v>
      </c>
      <c r="W167" s="9">
        <f ca="1">IFERROR(OFFSET(ITEM_RES!$A$5,MATCH(BUILDING!V167,ITEM_RES!$J$5:$J$226,0)-1,0),0)</f>
        <v>211010501</v>
      </c>
      <c r="X167" s="11">
        <v>1</v>
      </c>
      <c r="Y167" s="85" t="s">
        <v>573</v>
      </c>
      <c r="Z167" s="9">
        <f ca="1">IFERROR(OFFSET(ITEM_RES!$A$5,MATCH(BUILDING!Y167,ITEM_RES!$J$5:$J$226,0)-1,0),0)</f>
        <v>211010601</v>
      </c>
      <c r="AB167" s="9" t="s">
        <v>544</v>
      </c>
      <c r="AC167" s="9">
        <v>3</v>
      </c>
      <c r="AE167" s="9">
        <v>1200</v>
      </c>
      <c r="AG167" s="56">
        <f t="shared" si="67"/>
        <v>240</v>
      </c>
      <c r="AH167" s="10">
        <f t="shared" ref="AH167:AH184" si="75">AG166+AG167</f>
        <v>400</v>
      </c>
      <c r="AJ167" s="11">
        <f t="shared" si="66"/>
        <v>15</v>
      </c>
      <c r="AK167" s="10">
        <v>15</v>
      </c>
      <c r="AL167" s="11">
        <f t="shared" si="74"/>
        <v>15</v>
      </c>
      <c r="AM167" s="10">
        <v>15</v>
      </c>
      <c r="AN167" s="11">
        <f t="shared" si="74"/>
        <v>15</v>
      </c>
      <c r="AO167" s="10">
        <v>15</v>
      </c>
      <c r="AP167" s="56">
        <f t="shared" si="68"/>
        <v>1</v>
      </c>
      <c r="AR167" s="11">
        <f ca="1">IFERROR(OFFSET(ITEM_RES!$A$1,MATCH(AS167,ITEM_RES!$J:$J,0)-1,0),0)</f>
        <v>211020801</v>
      </c>
      <c r="AS167" s="10" t="s">
        <v>453</v>
      </c>
      <c r="AT167" s="11">
        <v>75</v>
      </c>
      <c r="AW167" s="11">
        <f ca="1">IFERROR(OFFSET(ITEM_RES!$A$1,MATCH(AX167,ITEM_RES!$J:$J,0)-1,0),0)</f>
        <v>0</v>
      </c>
      <c r="BB167" s="11">
        <f ca="1">IFERROR(OFFSET(ITEM_RES!$A$1,MATCH(BC167,ITEM_RES!$J:$J,0)-1,0),0)</f>
        <v>0</v>
      </c>
      <c r="BG167" s="11">
        <f ca="1">IFERROR(OFFSET(ITEM_RES!$A$1,MATCH(BH167,ITEM_RES!$J:$J,0)-1,0),0)</f>
        <v>0</v>
      </c>
      <c r="BL167" s="11">
        <f ca="1">IFERROR(OFFSET(ITEM_RES!$A$1,MATCH(BM167,ITEM_RES!$J:$J,0)-1,0),0)</f>
        <v>0</v>
      </c>
      <c r="BN167" s="11">
        <f t="shared" si="73"/>
        <v>0</v>
      </c>
    </row>
    <row r="168" spans="1:67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 t="s">
        <v>984</v>
      </c>
      <c r="M168" s="9" t="s">
        <v>1005</v>
      </c>
      <c r="N168" s="9">
        <v>1</v>
      </c>
      <c r="O168" s="9">
        <v>15</v>
      </c>
      <c r="P168" s="9" t="s">
        <v>817</v>
      </c>
      <c r="T168" s="9" t="s">
        <v>736</v>
      </c>
      <c r="V168" s="85" t="s">
        <v>572</v>
      </c>
      <c r="W168" s="9">
        <f ca="1">IFERROR(OFFSET(ITEM_RES!$A$5,MATCH(BUILDING!V168,ITEM_RES!$J$5:$J$226,0)-1,0),0)</f>
        <v>211010501</v>
      </c>
      <c r="X168" s="11">
        <v>1</v>
      </c>
      <c r="Y168" s="85" t="s">
        <v>573</v>
      </c>
      <c r="Z168" s="9">
        <f ca="1">IFERROR(OFFSET(ITEM_RES!$A$5,MATCH(BUILDING!Y168,ITEM_RES!$J$5:$J$226,0)-1,0),0)</f>
        <v>211010601</v>
      </c>
      <c r="AB168" s="9" t="s">
        <v>544</v>
      </c>
      <c r="AC168" s="9">
        <v>4</v>
      </c>
      <c r="AE168" s="9">
        <v>2000</v>
      </c>
      <c r="AG168" s="56">
        <f t="shared" si="67"/>
        <v>400</v>
      </c>
      <c r="AH168" s="10">
        <f t="shared" si="75"/>
        <v>640</v>
      </c>
      <c r="AJ168" s="11">
        <f t="shared" si="66"/>
        <v>20</v>
      </c>
      <c r="AK168" s="10">
        <v>20</v>
      </c>
      <c r="AL168" s="11">
        <f t="shared" si="74"/>
        <v>25</v>
      </c>
      <c r="AM168" s="10">
        <v>25</v>
      </c>
      <c r="AN168" s="11">
        <f t="shared" si="74"/>
        <v>25</v>
      </c>
      <c r="AO168" s="10">
        <v>25</v>
      </c>
      <c r="AP168" s="56">
        <f t="shared" si="68"/>
        <v>1</v>
      </c>
      <c r="AR168" s="11">
        <f ca="1">IFERROR(OFFSET(ITEM_RES!$A$1,MATCH(AS168,ITEM_RES!$J:$J,0)-1,0),0)</f>
        <v>211020801</v>
      </c>
      <c r="AS168" s="10" t="s">
        <v>453</v>
      </c>
      <c r="AT168" s="11">
        <v>125</v>
      </c>
      <c r="AW168" s="11">
        <f ca="1">IFERROR(OFFSET(ITEM_RES!$A$1,MATCH(AX168,ITEM_RES!$J:$J,0)-1,0),0)</f>
        <v>0</v>
      </c>
      <c r="BB168" s="11">
        <f ca="1">IFERROR(OFFSET(ITEM_RES!$A$1,MATCH(BC168,ITEM_RES!$J:$J,0)-1,0),0)</f>
        <v>0</v>
      </c>
      <c r="BG168" s="11">
        <f ca="1">IFERROR(OFFSET(ITEM_RES!$A$1,MATCH(BH168,ITEM_RES!$J:$J,0)-1,0),0)</f>
        <v>0</v>
      </c>
      <c r="BL168" s="11">
        <f ca="1">IFERROR(OFFSET(ITEM_RES!$A$1,MATCH(BM168,ITEM_RES!$J:$J,0)-1,0),0)</f>
        <v>0</v>
      </c>
      <c r="BN168" s="11">
        <f t="shared" si="73"/>
        <v>0</v>
      </c>
    </row>
    <row r="169" spans="1:67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 t="s">
        <v>984</v>
      </c>
      <c r="M169" s="9" t="s">
        <v>1005</v>
      </c>
      <c r="N169" s="9">
        <v>1</v>
      </c>
      <c r="O169" s="9">
        <v>15</v>
      </c>
      <c r="P169" s="9" t="s">
        <v>817</v>
      </c>
      <c r="T169" s="9" t="s">
        <v>736</v>
      </c>
      <c r="V169" s="85" t="s">
        <v>572</v>
      </c>
      <c r="W169" s="9">
        <f ca="1">IFERROR(OFFSET(ITEM_RES!$A$5,MATCH(BUILDING!V169,ITEM_RES!$J$5:$J$226,0)-1,0),0)</f>
        <v>211010501</v>
      </c>
      <c r="X169" s="11">
        <v>1</v>
      </c>
      <c r="Y169" s="85" t="s">
        <v>573</v>
      </c>
      <c r="Z169" s="9">
        <f ca="1">IFERROR(OFFSET(ITEM_RES!$A$5,MATCH(BUILDING!Y169,ITEM_RES!$J$5:$J$226,0)-1,0),0)</f>
        <v>211010601</v>
      </c>
      <c r="AB169" s="9" t="s">
        <v>544</v>
      </c>
      <c r="AC169" s="9">
        <v>5</v>
      </c>
      <c r="AE169" s="9">
        <v>3200</v>
      </c>
      <c r="AG169" s="56">
        <f t="shared" si="67"/>
        <v>640</v>
      </c>
      <c r="AH169" s="10">
        <f t="shared" si="75"/>
        <v>1040</v>
      </c>
      <c r="AJ169" s="11">
        <f t="shared" si="66"/>
        <v>25</v>
      </c>
      <c r="AK169" s="10">
        <v>25</v>
      </c>
      <c r="AL169" s="11">
        <f t="shared" si="74"/>
        <v>40</v>
      </c>
      <c r="AM169" s="10">
        <v>40</v>
      </c>
      <c r="AN169" s="11">
        <f t="shared" si="74"/>
        <v>40</v>
      </c>
      <c r="AO169" s="10">
        <v>40</v>
      </c>
      <c r="AP169" s="56">
        <f t="shared" si="68"/>
        <v>1</v>
      </c>
      <c r="AR169" s="11">
        <f ca="1">IFERROR(OFFSET(ITEM_RES!$A$1,MATCH(AS169,ITEM_RES!$J:$J,0)-1,0),0)</f>
        <v>211020801</v>
      </c>
      <c r="AS169" s="10" t="s">
        <v>453</v>
      </c>
      <c r="AT169" s="11">
        <v>200</v>
      </c>
      <c r="AW169" s="11">
        <f ca="1">IFERROR(OFFSET(ITEM_RES!$A$1,MATCH(AX169,ITEM_RES!$J:$J,0)-1,0),0)</f>
        <v>0</v>
      </c>
      <c r="BB169" s="11">
        <f ca="1">IFERROR(OFFSET(ITEM_RES!$A$1,MATCH(BC169,ITEM_RES!$J:$J,0)-1,0),0)</f>
        <v>0</v>
      </c>
      <c r="BG169" s="11">
        <f ca="1">IFERROR(OFFSET(ITEM_RES!$A$1,MATCH(BH169,ITEM_RES!$J:$J,0)-1,0),0)</f>
        <v>0</v>
      </c>
      <c r="BL169" s="11">
        <f ca="1">IFERROR(OFFSET(ITEM_RES!$A$1,MATCH(BM169,ITEM_RES!$J:$J,0)-1,0),0)</f>
        <v>0</v>
      </c>
      <c r="BN169" s="11">
        <f t="shared" si="73"/>
        <v>0</v>
      </c>
    </row>
    <row r="170" spans="1:67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 t="s">
        <v>984</v>
      </c>
      <c r="M170" s="9" t="s">
        <v>1005</v>
      </c>
      <c r="N170" s="9">
        <v>1</v>
      </c>
      <c r="O170" s="9">
        <v>15</v>
      </c>
      <c r="P170" s="9" t="s">
        <v>817</v>
      </c>
      <c r="T170" s="9" t="s">
        <v>736</v>
      </c>
      <c r="V170" s="85" t="s">
        <v>572</v>
      </c>
      <c r="W170" s="9">
        <f ca="1">IFERROR(OFFSET(ITEM_RES!$A$5,MATCH(BUILDING!V170,ITEM_RES!$J$5:$J$226,0)-1,0),0)</f>
        <v>211010501</v>
      </c>
      <c r="X170" s="11">
        <v>1</v>
      </c>
      <c r="Y170" s="85" t="s">
        <v>573</v>
      </c>
      <c r="Z170" s="9">
        <f ca="1">IFERROR(OFFSET(ITEM_RES!$A$5,MATCH(BUILDING!Y170,ITEM_RES!$J$5:$J$226,0)-1,0),0)</f>
        <v>211010601</v>
      </c>
      <c r="AB170" s="9" t="s">
        <v>544</v>
      </c>
      <c r="AC170" s="9">
        <v>6</v>
      </c>
      <c r="AE170" s="9">
        <v>4000</v>
      </c>
      <c r="AG170" s="56">
        <f t="shared" si="67"/>
        <v>800</v>
      </c>
      <c r="AH170" s="10">
        <f t="shared" si="75"/>
        <v>1440</v>
      </c>
      <c r="AJ170" s="11">
        <f t="shared" si="66"/>
        <v>30</v>
      </c>
      <c r="AK170" s="10">
        <v>30</v>
      </c>
      <c r="AL170" s="11">
        <f t="shared" si="74"/>
        <v>50</v>
      </c>
      <c r="AM170" s="10">
        <v>50</v>
      </c>
      <c r="AN170" s="11">
        <f t="shared" si="74"/>
        <v>50</v>
      </c>
      <c r="AO170" s="10">
        <v>50</v>
      </c>
      <c r="AP170" s="56">
        <f t="shared" si="68"/>
        <v>1</v>
      </c>
      <c r="AR170" s="11">
        <f ca="1">IFERROR(OFFSET(ITEM_RES!$A$1,MATCH(AS170,ITEM_RES!$J:$J,0)-1,0),0)</f>
        <v>211020801</v>
      </c>
      <c r="AS170" s="10" t="s">
        <v>453</v>
      </c>
      <c r="AT170" s="11">
        <v>250</v>
      </c>
      <c r="AW170" s="11">
        <f ca="1">IFERROR(OFFSET(ITEM_RES!$A$1,MATCH(AX170,ITEM_RES!$J:$J,0)-1,0),0)</f>
        <v>0</v>
      </c>
      <c r="BB170" s="11">
        <f ca="1">IFERROR(OFFSET(ITEM_RES!$A$1,MATCH(BC170,ITEM_RES!$J:$J,0)-1,0),0)</f>
        <v>0</v>
      </c>
      <c r="BG170" s="11">
        <f ca="1">IFERROR(OFFSET(ITEM_RES!$A$1,MATCH(BH170,ITEM_RES!$J:$J,0)-1,0),0)</f>
        <v>0</v>
      </c>
      <c r="BL170" s="11">
        <f ca="1">IFERROR(OFFSET(ITEM_RES!$A$1,MATCH(BM170,ITEM_RES!$J:$J,0)-1,0),0)</f>
        <v>0</v>
      </c>
      <c r="BN170" s="11">
        <f t="shared" si="73"/>
        <v>0</v>
      </c>
    </row>
    <row r="171" spans="1:67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 t="s">
        <v>984</v>
      </c>
      <c r="M171" s="9" t="s">
        <v>1005</v>
      </c>
      <c r="N171" s="9">
        <v>1</v>
      </c>
      <c r="O171" s="9">
        <v>15</v>
      </c>
      <c r="P171" s="9" t="s">
        <v>817</v>
      </c>
      <c r="T171" s="9" t="s">
        <v>736</v>
      </c>
      <c r="V171" s="85" t="s">
        <v>572</v>
      </c>
      <c r="W171" s="9">
        <f ca="1">IFERROR(OFFSET(ITEM_RES!$A$5,MATCH(BUILDING!V171,ITEM_RES!$J$5:$J$226,0)-1,0),0)</f>
        <v>211010501</v>
      </c>
      <c r="X171" s="11">
        <v>1</v>
      </c>
      <c r="Y171" s="85" t="s">
        <v>573</v>
      </c>
      <c r="Z171" s="9">
        <f ca="1">IFERROR(OFFSET(ITEM_RES!$A$5,MATCH(BUILDING!Y171,ITEM_RES!$J$5:$J$226,0)-1,0),0)</f>
        <v>211010601</v>
      </c>
      <c r="AB171" s="9" t="s">
        <v>544</v>
      </c>
      <c r="AC171" s="9">
        <v>7</v>
      </c>
      <c r="AE171" s="9">
        <v>8000</v>
      </c>
      <c r="AG171" s="56">
        <f t="shared" si="67"/>
        <v>1600</v>
      </c>
      <c r="AH171" s="10">
        <f t="shared" si="75"/>
        <v>2400</v>
      </c>
      <c r="AJ171" s="11">
        <f t="shared" si="66"/>
        <v>35</v>
      </c>
      <c r="AK171" s="10">
        <v>35</v>
      </c>
      <c r="AL171" s="11">
        <f t="shared" si="74"/>
        <v>100</v>
      </c>
      <c r="AM171" s="10">
        <v>100</v>
      </c>
      <c r="AN171" s="11">
        <f t="shared" si="74"/>
        <v>100</v>
      </c>
      <c r="AO171" s="10">
        <v>100</v>
      </c>
      <c r="AP171" s="56">
        <f t="shared" si="68"/>
        <v>1</v>
      </c>
      <c r="AR171" s="11">
        <f ca="1">IFERROR(OFFSET(ITEM_RES!$A$1,MATCH(AS171,ITEM_RES!$J:$J,0)-1,0),0)</f>
        <v>211020801</v>
      </c>
      <c r="AS171" s="10" t="s">
        <v>453</v>
      </c>
      <c r="AT171" s="11">
        <v>500</v>
      </c>
      <c r="AW171" s="11">
        <f ca="1">IFERROR(OFFSET(ITEM_RES!$A$1,MATCH(AX171,ITEM_RES!$J:$J,0)-1,0),0)</f>
        <v>0</v>
      </c>
      <c r="BB171" s="11">
        <f ca="1">IFERROR(OFFSET(ITEM_RES!$A$1,MATCH(BC171,ITEM_RES!$J:$J,0)-1,0),0)</f>
        <v>0</v>
      </c>
      <c r="BG171" s="11">
        <f ca="1">IFERROR(OFFSET(ITEM_RES!$A$1,MATCH(BH171,ITEM_RES!$J:$J,0)-1,0),0)</f>
        <v>0</v>
      </c>
      <c r="BL171" s="11">
        <f ca="1">IFERROR(OFFSET(ITEM_RES!$A$1,MATCH(BM171,ITEM_RES!$J:$J,0)-1,0),0)</f>
        <v>0</v>
      </c>
      <c r="BN171" s="11">
        <f t="shared" si="73"/>
        <v>0</v>
      </c>
    </row>
    <row r="172" spans="1:67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 t="s">
        <v>984</v>
      </c>
      <c r="M172" s="9" t="s">
        <v>1005</v>
      </c>
      <c r="N172" s="9">
        <v>1</v>
      </c>
      <c r="O172" s="9">
        <v>15</v>
      </c>
      <c r="P172" s="9" t="s">
        <v>817</v>
      </c>
      <c r="T172" s="9" t="s">
        <v>736</v>
      </c>
      <c r="V172" s="85" t="s">
        <v>572</v>
      </c>
      <c r="W172" s="9">
        <f ca="1">IFERROR(OFFSET(ITEM_RES!$A$5,MATCH(BUILDING!V172,ITEM_RES!$J$5:$J$226,0)-1,0),0)</f>
        <v>211010501</v>
      </c>
      <c r="X172" s="11">
        <v>1</v>
      </c>
      <c r="Y172" s="85" t="s">
        <v>573</v>
      </c>
      <c r="Z172" s="9">
        <f ca="1">IFERROR(OFFSET(ITEM_RES!$A$5,MATCH(BUILDING!Y172,ITEM_RES!$J$5:$J$226,0)-1,0),0)</f>
        <v>211010601</v>
      </c>
      <c r="AB172" s="9" t="s">
        <v>544</v>
      </c>
      <c r="AC172" s="9">
        <v>8</v>
      </c>
      <c r="AE172" s="9">
        <v>8000</v>
      </c>
      <c r="AG172" s="56">
        <f t="shared" si="67"/>
        <v>1600</v>
      </c>
      <c r="AH172" s="10">
        <f t="shared" si="75"/>
        <v>3200</v>
      </c>
      <c r="AJ172" s="11">
        <f t="shared" si="66"/>
        <v>40</v>
      </c>
      <c r="AK172" s="10">
        <v>40</v>
      </c>
      <c r="AL172" s="11">
        <f t="shared" si="74"/>
        <v>100</v>
      </c>
      <c r="AM172" s="10">
        <v>100</v>
      </c>
      <c r="AN172" s="11">
        <f t="shared" si="74"/>
        <v>100</v>
      </c>
      <c r="AO172" s="10">
        <v>100</v>
      </c>
      <c r="AP172" s="56">
        <f t="shared" si="68"/>
        <v>1</v>
      </c>
      <c r="AR172" s="11">
        <f ca="1">IFERROR(OFFSET(ITEM_RES!$A$1,MATCH(AS172,ITEM_RES!$J:$J,0)-1,0),0)</f>
        <v>211020801</v>
      </c>
      <c r="AS172" s="10" t="s">
        <v>453</v>
      </c>
      <c r="AT172" s="11">
        <v>500</v>
      </c>
      <c r="AW172" s="11">
        <f ca="1">IFERROR(OFFSET(ITEM_RES!$A$1,MATCH(AX172,ITEM_RES!$J:$J,0)-1,0),0)</f>
        <v>0</v>
      </c>
      <c r="BB172" s="11">
        <f ca="1">IFERROR(OFFSET(ITEM_RES!$A$1,MATCH(BC172,ITEM_RES!$J:$J,0)-1,0),0)</f>
        <v>0</v>
      </c>
      <c r="BG172" s="11">
        <f ca="1">IFERROR(OFFSET(ITEM_RES!$A$1,MATCH(BH172,ITEM_RES!$J:$J,0)-1,0),0)</f>
        <v>0</v>
      </c>
      <c r="BL172" s="11">
        <f ca="1">IFERROR(OFFSET(ITEM_RES!$A$1,MATCH(BM172,ITEM_RES!$J:$J,0)-1,0),0)</f>
        <v>0</v>
      </c>
      <c r="BN172" s="11">
        <f t="shared" si="73"/>
        <v>0</v>
      </c>
    </row>
    <row r="173" spans="1:67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 t="s">
        <v>984</v>
      </c>
      <c r="M173" s="9" t="s">
        <v>1005</v>
      </c>
      <c r="N173" s="9">
        <v>1</v>
      </c>
      <c r="O173" s="9">
        <v>15</v>
      </c>
      <c r="P173" s="9" t="s">
        <v>817</v>
      </c>
      <c r="T173" s="9" t="s">
        <v>736</v>
      </c>
      <c r="V173" s="85" t="s">
        <v>572</v>
      </c>
      <c r="W173" s="9">
        <f ca="1">IFERROR(OFFSET(ITEM_RES!$A$5,MATCH(BUILDING!V173,ITEM_RES!$J$5:$J$226,0)-1,0),0)</f>
        <v>211010501</v>
      </c>
      <c r="X173" s="11">
        <v>1</v>
      </c>
      <c r="Y173" s="85" t="s">
        <v>573</v>
      </c>
      <c r="Z173" s="9">
        <f ca="1">IFERROR(OFFSET(ITEM_RES!$A$5,MATCH(BUILDING!Y173,ITEM_RES!$J$5:$J$226,0)-1,0),0)</f>
        <v>211010601</v>
      </c>
      <c r="AB173" s="9" t="s">
        <v>544</v>
      </c>
      <c r="AC173" s="9">
        <v>9</v>
      </c>
      <c r="AE173" s="9">
        <v>12000</v>
      </c>
      <c r="AG173" s="56">
        <f t="shared" si="67"/>
        <v>2400</v>
      </c>
      <c r="AH173" s="10">
        <f t="shared" si="75"/>
        <v>4000</v>
      </c>
      <c r="AJ173" s="11">
        <f t="shared" si="66"/>
        <v>45</v>
      </c>
      <c r="AK173" s="10">
        <v>45</v>
      </c>
      <c r="AL173" s="11">
        <f t="shared" si="74"/>
        <v>150</v>
      </c>
      <c r="AM173" s="10">
        <v>150</v>
      </c>
      <c r="AN173" s="11">
        <f t="shared" si="74"/>
        <v>150</v>
      </c>
      <c r="AO173" s="10">
        <v>150</v>
      </c>
      <c r="AP173" s="56">
        <f t="shared" si="68"/>
        <v>1</v>
      </c>
      <c r="AR173" s="11">
        <f ca="1">IFERROR(OFFSET(ITEM_RES!$A$1,MATCH(AS173,ITEM_RES!$J:$J,0)-1,0),0)</f>
        <v>211020801</v>
      </c>
      <c r="AS173" s="10" t="s">
        <v>453</v>
      </c>
      <c r="AT173" s="11">
        <v>750</v>
      </c>
      <c r="AW173" s="11">
        <f ca="1">IFERROR(OFFSET(ITEM_RES!$A$1,MATCH(AX173,ITEM_RES!$J:$J,0)-1,0),0)</f>
        <v>0</v>
      </c>
      <c r="BB173" s="11">
        <f ca="1">IFERROR(OFFSET(ITEM_RES!$A$1,MATCH(BC173,ITEM_RES!$J:$J,0)-1,0),0)</f>
        <v>0</v>
      </c>
      <c r="BG173" s="11">
        <f ca="1">IFERROR(OFFSET(ITEM_RES!$A$1,MATCH(BH173,ITEM_RES!$J:$J,0)-1,0),0)</f>
        <v>0</v>
      </c>
      <c r="BL173" s="11">
        <f ca="1">IFERROR(OFFSET(ITEM_RES!$A$1,MATCH(BM173,ITEM_RES!$J:$J,0)-1,0),0)</f>
        <v>0</v>
      </c>
      <c r="BN173" s="11">
        <f t="shared" si="73"/>
        <v>0</v>
      </c>
    </row>
    <row r="174" spans="1:67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 t="s">
        <v>984</v>
      </c>
      <c r="M174" s="9" t="s">
        <v>1005</v>
      </c>
      <c r="N174" s="9">
        <v>1</v>
      </c>
      <c r="O174" s="9">
        <v>15</v>
      </c>
      <c r="P174" s="9" t="s">
        <v>817</v>
      </c>
      <c r="T174" s="9" t="s">
        <v>736</v>
      </c>
      <c r="V174" s="85" t="s">
        <v>572</v>
      </c>
      <c r="W174" s="9">
        <f ca="1">IFERROR(OFFSET(ITEM_RES!$A$5,MATCH(BUILDING!V174,ITEM_RES!$J$5:$J$226,0)-1,0),0)</f>
        <v>211010501</v>
      </c>
      <c r="X174" s="11">
        <v>1</v>
      </c>
      <c r="Y174" s="85" t="s">
        <v>573</v>
      </c>
      <c r="Z174" s="9">
        <f ca="1">IFERROR(OFFSET(ITEM_RES!$A$5,MATCH(BUILDING!Y174,ITEM_RES!$J$5:$J$226,0)-1,0),0)</f>
        <v>211010601</v>
      </c>
      <c r="AB174" s="9" t="s">
        <v>544</v>
      </c>
      <c r="AC174" s="9">
        <v>10</v>
      </c>
      <c r="AE174" s="9">
        <v>16000</v>
      </c>
      <c r="AG174" s="56">
        <f t="shared" si="67"/>
        <v>3200</v>
      </c>
      <c r="AH174" s="10">
        <f t="shared" si="75"/>
        <v>5600</v>
      </c>
      <c r="AJ174" s="11">
        <f t="shared" si="66"/>
        <v>50</v>
      </c>
      <c r="AK174" s="10">
        <v>50</v>
      </c>
      <c r="AL174" s="11">
        <f t="shared" si="74"/>
        <v>200</v>
      </c>
      <c r="AM174" s="10">
        <v>200</v>
      </c>
      <c r="AN174" s="11">
        <f t="shared" si="74"/>
        <v>200</v>
      </c>
      <c r="AO174" s="10">
        <v>200</v>
      </c>
      <c r="AP174" s="56">
        <f t="shared" si="68"/>
        <v>1</v>
      </c>
      <c r="AR174" s="11">
        <f ca="1">IFERROR(OFFSET(ITEM_RES!$A$1,MATCH(AS174,ITEM_RES!$J:$J,0)-1,0),0)</f>
        <v>211020801</v>
      </c>
      <c r="AS174" s="10" t="s">
        <v>453</v>
      </c>
      <c r="AT174" s="11">
        <v>1000</v>
      </c>
      <c r="AW174" s="11">
        <f ca="1">IFERROR(OFFSET(ITEM_RES!$A$1,MATCH(AX174,ITEM_RES!$J:$J,0)-1,0),0)</f>
        <v>0</v>
      </c>
      <c r="BB174" s="11">
        <f ca="1">IFERROR(OFFSET(ITEM_RES!$A$1,MATCH(BC174,ITEM_RES!$J:$J,0)-1,0),0)</f>
        <v>0</v>
      </c>
      <c r="BG174" s="11">
        <f ca="1">IFERROR(OFFSET(ITEM_RES!$A$1,MATCH(BH174,ITEM_RES!$J:$J,0)-1,0),0)</f>
        <v>0</v>
      </c>
      <c r="BL174" s="11">
        <f ca="1">IFERROR(OFFSET(ITEM_RES!$A$1,MATCH(BM174,ITEM_RES!$J:$J,0)-1,0),0)</f>
        <v>0</v>
      </c>
      <c r="BN174" s="11">
        <f t="shared" si="73"/>
        <v>0</v>
      </c>
    </row>
    <row r="175" spans="1:67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 t="s">
        <v>984</v>
      </c>
      <c r="M175" s="9" t="s">
        <v>1005</v>
      </c>
      <c r="N175" s="9">
        <v>1</v>
      </c>
      <c r="O175" s="9">
        <v>15</v>
      </c>
      <c r="P175" s="9" t="s">
        <v>817</v>
      </c>
      <c r="T175" s="9" t="s">
        <v>736</v>
      </c>
      <c r="V175" s="85" t="s">
        <v>572</v>
      </c>
      <c r="W175" s="9">
        <f ca="1">IFERROR(OFFSET(ITEM_RES!$A$5,MATCH(BUILDING!V175,ITEM_RES!$J$5:$J$226,0)-1,0),0)</f>
        <v>211010501</v>
      </c>
      <c r="X175" s="11">
        <v>1</v>
      </c>
      <c r="Y175" s="85" t="s">
        <v>573</v>
      </c>
      <c r="Z175" s="9">
        <f ca="1">IFERROR(OFFSET(ITEM_RES!$A$5,MATCH(BUILDING!Y175,ITEM_RES!$J$5:$J$226,0)-1,0),0)</f>
        <v>211010601</v>
      </c>
      <c r="AB175" s="9" t="s">
        <v>544</v>
      </c>
      <c r="AC175" s="9">
        <v>11</v>
      </c>
      <c r="AE175" s="9">
        <v>20000</v>
      </c>
      <c r="AG175" s="56">
        <f t="shared" si="67"/>
        <v>4000</v>
      </c>
      <c r="AH175" s="10">
        <f t="shared" si="75"/>
        <v>7200</v>
      </c>
      <c r="AJ175" s="11">
        <f t="shared" si="66"/>
        <v>55</v>
      </c>
      <c r="AK175" s="10">
        <v>55</v>
      </c>
      <c r="AL175" s="11">
        <f t="shared" si="74"/>
        <v>250</v>
      </c>
      <c r="AM175" s="10">
        <v>250</v>
      </c>
      <c r="AN175" s="11">
        <f t="shared" si="74"/>
        <v>250</v>
      </c>
      <c r="AO175" s="10">
        <v>250</v>
      </c>
      <c r="AP175" s="56">
        <f t="shared" si="68"/>
        <v>1</v>
      </c>
      <c r="AR175" s="11">
        <f ca="1">IFERROR(OFFSET(ITEM_RES!$A$1,MATCH(AS175,ITEM_RES!$J:$J,0)-1,0),0)</f>
        <v>211020801</v>
      </c>
      <c r="AS175" s="10" t="s">
        <v>453</v>
      </c>
      <c r="AT175" s="11">
        <v>1250</v>
      </c>
      <c r="AW175" s="11">
        <f ca="1">IFERROR(OFFSET(ITEM_RES!$A$1,MATCH(AX175,ITEM_RES!$J:$J,0)-1,0),0)</f>
        <v>0</v>
      </c>
      <c r="BB175" s="11">
        <f ca="1">IFERROR(OFFSET(ITEM_RES!$A$1,MATCH(BC175,ITEM_RES!$J:$J,0)-1,0),0)</f>
        <v>0</v>
      </c>
      <c r="BG175" s="11">
        <f ca="1">IFERROR(OFFSET(ITEM_RES!$A$1,MATCH(BH175,ITEM_RES!$J:$J,0)-1,0),0)</f>
        <v>0</v>
      </c>
      <c r="BL175" s="11">
        <f ca="1">IFERROR(OFFSET(ITEM_RES!$A$1,MATCH(BM175,ITEM_RES!$J:$J,0)-1,0),0)</f>
        <v>0</v>
      </c>
      <c r="BN175" s="11">
        <f t="shared" si="73"/>
        <v>0</v>
      </c>
    </row>
    <row r="176" spans="1:67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 t="s">
        <v>984</v>
      </c>
      <c r="M176" s="9" t="s">
        <v>1005</v>
      </c>
      <c r="N176" s="9">
        <v>1</v>
      </c>
      <c r="O176" s="9">
        <v>15</v>
      </c>
      <c r="P176" s="9" t="s">
        <v>817</v>
      </c>
      <c r="T176" s="9" t="s">
        <v>736</v>
      </c>
      <c r="V176" s="85" t="s">
        <v>572</v>
      </c>
      <c r="W176" s="9">
        <f ca="1">IFERROR(OFFSET(ITEM_RES!$A$5,MATCH(BUILDING!V176,ITEM_RES!$J$5:$J$226,0)-1,0),0)</f>
        <v>211010501</v>
      </c>
      <c r="X176" s="11">
        <v>1</v>
      </c>
      <c r="Y176" s="85" t="s">
        <v>573</v>
      </c>
      <c r="Z176" s="9">
        <f ca="1">IFERROR(OFFSET(ITEM_RES!$A$5,MATCH(BUILDING!Y176,ITEM_RES!$J$5:$J$226,0)-1,0),0)</f>
        <v>211010601</v>
      </c>
      <c r="AB176" s="9" t="s">
        <v>544</v>
      </c>
      <c r="AC176" s="9">
        <v>12</v>
      </c>
      <c r="AE176" s="9">
        <v>24000</v>
      </c>
      <c r="AG176" s="56">
        <f t="shared" si="67"/>
        <v>4800</v>
      </c>
      <c r="AH176" s="10">
        <f t="shared" si="75"/>
        <v>8800</v>
      </c>
      <c r="AJ176" s="11">
        <f t="shared" si="66"/>
        <v>60</v>
      </c>
      <c r="AK176" s="10">
        <v>60</v>
      </c>
      <c r="AL176" s="11">
        <f t="shared" si="74"/>
        <v>300</v>
      </c>
      <c r="AM176" s="10">
        <v>300</v>
      </c>
      <c r="AN176" s="11">
        <f t="shared" si="74"/>
        <v>300</v>
      </c>
      <c r="AO176" s="10">
        <v>300</v>
      </c>
      <c r="AP176" s="56">
        <f t="shared" si="68"/>
        <v>1</v>
      </c>
      <c r="AR176" s="11">
        <f ca="1">IFERROR(OFFSET(ITEM_RES!$A$1,MATCH(AS176,ITEM_RES!$J:$J,0)-1,0),0)</f>
        <v>211020801</v>
      </c>
      <c r="AS176" s="10" t="s">
        <v>453</v>
      </c>
      <c r="AT176" s="11">
        <v>1500</v>
      </c>
      <c r="AW176" s="11">
        <f ca="1">IFERROR(OFFSET(ITEM_RES!$A$1,MATCH(AX176,ITEM_RES!$J:$J,0)-1,0),0)</f>
        <v>0</v>
      </c>
      <c r="BB176" s="11">
        <f ca="1">IFERROR(OFFSET(ITEM_RES!$A$1,MATCH(BC176,ITEM_RES!$J:$J,0)-1,0),0)</f>
        <v>0</v>
      </c>
      <c r="BG176" s="11">
        <f ca="1">IFERROR(OFFSET(ITEM_RES!$A$1,MATCH(BH176,ITEM_RES!$J:$J,0)-1,0),0)</f>
        <v>0</v>
      </c>
      <c r="BL176" s="11">
        <f ca="1">IFERROR(OFFSET(ITEM_RES!$A$1,MATCH(BM176,ITEM_RES!$J:$J,0)-1,0),0)</f>
        <v>0</v>
      </c>
      <c r="BN176" s="11">
        <f t="shared" si="73"/>
        <v>0</v>
      </c>
    </row>
    <row r="177" spans="1:67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 t="s">
        <v>984</v>
      </c>
      <c r="M177" s="9" t="s">
        <v>1005</v>
      </c>
      <c r="N177" s="9">
        <v>1</v>
      </c>
      <c r="O177" s="9">
        <v>15</v>
      </c>
      <c r="P177" s="9" t="s">
        <v>817</v>
      </c>
      <c r="T177" s="9" t="s">
        <v>736</v>
      </c>
      <c r="V177" s="85" t="s">
        <v>572</v>
      </c>
      <c r="W177" s="9">
        <f ca="1">IFERROR(OFFSET(ITEM_RES!$A$5,MATCH(BUILDING!V177,ITEM_RES!$J$5:$J$226,0)-1,0),0)</f>
        <v>211010501</v>
      </c>
      <c r="X177" s="11">
        <v>1</v>
      </c>
      <c r="Y177" s="85" t="s">
        <v>573</v>
      </c>
      <c r="Z177" s="9">
        <f ca="1">IFERROR(OFFSET(ITEM_RES!$A$5,MATCH(BUILDING!Y177,ITEM_RES!$J$5:$J$226,0)-1,0),0)</f>
        <v>211010601</v>
      </c>
      <c r="AB177" s="9" t="s">
        <v>544</v>
      </c>
      <c r="AC177" s="9">
        <v>13</v>
      </c>
      <c r="AE177" s="9">
        <v>28000</v>
      </c>
      <c r="AG177" s="56">
        <f t="shared" si="67"/>
        <v>5600</v>
      </c>
      <c r="AH177" s="10">
        <f t="shared" si="75"/>
        <v>10400</v>
      </c>
      <c r="AJ177" s="11">
        <f t="shared" si="66"/>
        <v>65</v>
      </c>
      <c r="AK177" s="10">
        <v>65</v>
      </c>
      <c r="AL177" s="11">
        <f t="shared" si="74"/>
        <v>350</v>
      </c>
      <c r="AM177" s="10">
        <v>350</v>
      </c>
      <c r="AN177" s="11">
        <f t="shared" si="74"/>
        <v>350</v>
      </c>
      <c r="AO177" s="10">
        <v>350</v>
      </c>
      <c r="AP177" s="56">
        <f t="shared" si="68"/>
        <v>1</v>
      </c>
      <c r="AR177" s="11">
        <f ca="1">IFERROR(OFFSET(ITEM_RES!$A$1,MATCH(AS177,ITEM_RES!$J:$J,0)-1,0),0)</f>
        <v>211020801</v>
      </c>
      <c r="AS177" s="10" t="s">
        <v>453</v>
      </c>
      <c r="AT177" s="11">
        <v>1750</v>
      </c>
      <c r="AW177" s="11">
        <f ca="1">IFERROR(OFFSET(ITEM_RES!$A$1,MATCH(AX177,ITEM_RES!$J:$J,0)-1,0),0)</f>
        <v>0</v>
      </c>
      <c r="BB177" s="11">
        <f ca="1">IFERROR(OFFSET(ITEM_RES!$A$1,MATCH(BC177,ITEM_RES!$J:$J,0)-1,0),0)</f>
        <v>0</v>
      </c>
      <c r="BG177" s="11">
        <f ca="1">IFERROR(OFFSET(ITEM_RES!$A$1,MATCH(BH177,ITEM_RES!$J:$J,0)-1,0),0)</f>
        <v>0</v>
      </c>
      <c r="BL177" s="11">
        <f ca="1">IFERROR(OFFSET(ITEM_RES!$A$1,MATCH(BM177,ITEM_RES!$J:$J,0)-1,0),0)</f>
        <v>0</v>
      </c>
      <c r="BN177" s="11">
        <f t="shared" si="73"/>
        <v>0</v>
      </c>
    </row>
    <row r="178" spans="1:67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 t="s">
        <v>984</v>
      </c>
      <c r="M178" s="9" t="s">
        <v>1005</v>
      </c>
      <c r="N178" s="9">
        <v>1</v>
      </c>
      <c r="O178" s="9">
        <v>15</v>
      </c>
      <c r="P178" s="9" t="s">
        <v>817</v>
      </c>
      <c r="T178" s="9" t="s">
        <v>736</v>
      </c>
      <c r="V178" s="85" t="s">
        <v>572</v>
      </c>
      <c r="W178" s="9">
        <f ca="1">IFERROR(OFFSET(ITEM_RES!$A$5,MATCH(BUILDING!V178,ITEM_RES!$J$5:$J$226,0)-1,0),0)</f>
        <v>211010501</v>
      </c>
      <c r="X178" s="11">
        <v>1</v>
      </c>
      <c r="Y178" s="85" t="s">
        <v>573</v>
      </c>
      <c r="Z178" s="9">
        <f ca="1">IFERROR(OFFSET(ITEM_RES!$A$5,MATCH(BUILDING!Y178,ITEM_RES!$J$5:$J$226,0)-1,0),0)</f>
        <v>211010601</v>
      </c>
      <c r="AB178" s="9" t="s">
        <v>544</v>
      </c>
      <c r="AC178" s="9">
        <v>14</v>
      </c>
      <c r="AE178" s="9">
        <v>36000</v>
      </c>
      <c r="AG178" s="56">
        <f t="shared" si="67"/>
        <v>7200</v>
      </c>
      <c r="AH178" s="10">
        <f t="shared" si="75"/>
        <v>12800</v>
      </c>
      <c r="AJ178" s="11">
        <f t="shared" si="66"/>
        <v>70</v>
      </c>
      <c r="AK178" s="10">
        <v>70</v>
      </c>
      <c r="AL178" s="11">
        <f t="shared" si="74"/>
        <v>450</v>
      </c>
      <c r="AM178" s="10">
        <v>450</v>
      </c>
      <c r="AN178" s="11">
        <f t="shared" si="74"/>
        <v>450</v>
      </c>
      <c r="AO178" s="10">
        <v>450</v>
      </c>
      <c r="AP178" s="56">
        <f t="shared" si="68"/>
        <v>1</v>
      </c>
      <c r="AR178" s="11">
        <f ca="1">IFERROR(OFFSET(ITEM_RES!$A$1,MATCH(AS178,ITEM_RES!$J:$J,0)-1,0),0)</f>
        <v>211020801</v>
      </c>
      <c r="AS178" s="10" t="s">
        <v>453</v>
      </c>
      <c r="AT178" s="11">
        <v>2250</v>
      </c>
      <c r="AW178" s="11">
        <f ca="1">IFERROR(OFFSET(ITEM_RES!$A$1,MATCH(AX178,ITEM_RES!$J:$J,0)-1,0),0)</f>
        <v>0</v>
      </c>
      <c r="BB178" s="11">
        <f ca="1">IFERROR(OFFSET(ITEM_RES!$A$1,MATCH(BC178,ITEM_RES!$J:$J,0)-1,0),0)</f>
        <v>0</v>
      </c>
      <c r="BG178" s="11">
        <f ca="1">IFERROR(OFFSET(ITEM_RES!$A$1,MATCH(BH178,ITEM_RES!$J:$J,0)-1,0),0)</f>
        <v>0</v>
      </c>
      <c r="BL178" s="11">
        <f ca="1">IFERROR(OFFSET(ITEM_RES!$A$1,MATCH(BM178,ITEM_RES!$J:$J,0)-1,0),0)</f>
        <v>0</v>
      </c>
      <c r="BN178" s="11">
        <f t="shared" si="73"/>
        <v>0</v>
      </c>
    </row>
    <row r="179" spans="1:67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 t="s">
        <v>984</v>
      </c>
      <c r="M179" s="9" t="s">
        <v>1005</v>
      </c>
      <c r="N179" s="9">
        <v>1</v>
      </c>
      <c r="O179" s="9">
        <v>15</v>
      </c>
      <c r="P179" s="9" t="s">
        <v>817</v>
      </c>
      <c r="T179" s="9" t="s">
        <v>736</v>
      </c>
      <c r="V179" s="85" t="s">
        <v>572</v>
      </c>
      <c r="W179" s="9">
        <f ca="1">IFERROR(OFFSET(ITEM_RES!$A$5,MATCH(BUILDING!V179,ITEM_RES!$J$5:$J$226,0)-1,0),0)</f>
        <v>211010501</v>
      </c>
      <c r="X179" s="11">
        <v>1</v>
      </c>
      <c r="Y179" s="85" t="s">
        <v>573</v>
      </c>
      <c r="Z179" s="9">
        <f ca="1">IFERROR(OFFSET(ITEM_RES!$A$5,MATCH(BUILDING!Y179,ITEM_RES!$J$5:$J$226,0)-1,0),0)</f>
        <v>211010601</v>
      </c>
      <c r="AB179" s="9" t="s">
        <v>544</v>
      </c>
      <c r="AC179" s="9">
        <v>15</v>
      </c>
      <c r="AE179" s="9">
        <v>44000</v>
      </c>
      <c r="AG179" s="56">
        <f t="shared" si="67"/>
        <v>8800</v>
      </c>
      <c r="AH179" s="10">
        <f t="shared" si="75"/>
        <v>16000</v>
      </c>
      <c r="AJ179" s="11">
        <f t="shared" si="66"/>
        <v>75</v>
      </c>
      <c r="AK179" s="10">
        <v>75</v>
      </c>
      <c r="AL179" s="11">
        <f t="shared" si="74"/>
        <v>550</v>
      </c>
      <c r="AM179" s="10">
        <v>550</v>
      </c>
      <c r="AN179" s="11">
        <f t="shared" si="74"/>
        <v>550</v>
      </c>
      <c r="AO179" s="10">
        <v>550</v>
      </c>
      <c r="AP179" s="56">
        <f t="shared" si="68"/>
        <v>1</v>
      </c>
      <c r="AR179" s="11">
        <f ca="1">IFERROR(OFFSET(ITEM_RES!$A$1,MATCH(AS179,ITEM_RES!$J:$J,0)-1,0),0)</f>
        <v>211020801</v>
      </c>
      <c r="AS179" s="10" t="s">
        <v>453</v>
      </c>
      <c r="AT179" s="11">
        <v>2750</v>
      </c>
      <c r="AW179" s="11">
        <f ca="1">IFERROR(OFFSET(ITEM_RES!$A$1,MATCH(AX179,ITEM_RES!$J:$J,0)-1,0),0)</f>
        <v>0</v>
      </c>
      <c r="BB179" s="11">
        <f ca="1">IFERROR(OFFSET(ITEM_RES!$A$1,MATCH(BC179,ITEM_RES!$J:$J,0)-1,0),0)</f>
        <v>0</v>
      </c>
      <c r="BG179" s="11">
        <f ca="1">IFERROR(OFFSET(ITEM_RES!$A$1,MATCH(BH179,ITEM_RES!$J:$J,0)-1,0),0)</f>
        <v>0</v>
      </c>
      <c r="BL179" s="11">
        <f ca="1">IFERROR(OFFSET(ITEM_RES!$A$1,MATCH(BM179,ITEM_RES!$J:$J,0)-1,0),0)</f>
        <v>0</v>
      </c>
      <c r="BN179" s="11">
        <f t="shared" si="73"/>
        <v>0</v>
      </c>
    </row>
    <row r="180" spans="1:67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 t="s">
        <v>984</v>
      </c>
      <c r="M180" s="9" t="s">
        <v>1005</v>
      </c>
      <c r="N180" s="9">
        <v>0</v>
      </c>
      <c r="O180" s="9">
        <v>15</v>
      </c>
      <c r="P180" s="9" t="s">
        <v>817</v>
      </c>
      <c r="T180" s="9" t="s">
        <v>736</v>
      </c>
      <c r="V180" s="85" t="s">
        <v>572</v>
      </c>
      <c r="W180" s="9">
        <f ca="1">IFERROR(OFFSET(ITEM_RES!$A$5,MATCH(BUILDING!V180,ITEM_RES!$J$5:$J$226,0)-1,0),0)</f>
        <v>211010501</v>
      </c>
      <c r="X180" s="11">
        <v>1</v>
      </c>
      <c r="Y180" s="85" t="s">
        <v>573</v>
      </c>
      <c r="Z180" s="9">
        <f ca="1">IFERROR(OFFSET(ITEM_RES!$A$5,MATCH(BUILDING!Y180,ITEM_RES!$J$5:$J$226,0)-1,0),0)</f>
        <v>211010601</v>
      </c>
      <c r="AB180" s="9" t="s">
        <v>544</v>
      </c>
      <c r="AC180" s="9">
        <v>16</v>
      </c>
      <c r="AE180" s="9">
        <v>56000</v>
      </c>
      <c r="AG180" s="56">
        <f t="shared" si="67"/>
        <v>11200</v>
      </c>
      <c r="AH180" s="10">
        <f t="shared" si="75"/>
        <v>20000</v>
      </c>
      <c r="AJ180" s="11">
        <f t="shared" si="66"/>
        <v>80</v>
      </c>
      <c r="AK180" s="10">
        <v>80</v>
      </c>
      <c r="AL180" s="11">
        <f t="shared" si="74"/>
        <v>700</v>
      </c>
      <c r="AM180" s="10">
        <v>700</v>
      </c>
      <c r="AN180" s="11">
        <f t="shared" si="74"/>
        <v>700</v>
      </c>
      <c r="AO180" s="10">
        <v>700</v>
      </c>
      <c r="AP180" s="56">
        <f t="shared" si="68"/>
        <v>1</v>
      </c>
      <c r="AR180" s="11">
        <f ca="1">IFERROR(OFFSET(ITEM_RES!$A$1,MATCH(AS180,ITEM_RES!$J:$J,0)-1,0),0)</f>
        <v>211020801</v>
      </c>
      <c r="AS180" s="10" t="s">
        <v>453</v>
      </c>
      <c r="AT180" s="11">
        <v>3500</v>
      </c>
      <c r="AW180" s="11">
        <f ca="1">IFERROR(OFFSET(ITEM_RES!$A$1,MATCH(AX180,ITEM_RES!$J:$J,0)-1,0),0)</f>
        <v>0</v>
      </c>
      <c r="BB180" s="11">
        <f ca="1">IFERROR(OFFSET(ITEM_RES!$A$1,MATCH(BC180,ITEM_RES!$J:$J,0)-1,0),0)</f>
        <v>0</v>
      </c>
      <c r="BG180" s="11">
        <f ca="1">IFERROR(OFFSET(ITEM_RES!$A$1,MATCH(BH180,ITEM_RES!$J:$J,0)-1,0),0)</f>
        <v>0</v>
      </c>
      <c r="BL180" s="11">
        <f ca="1">IFERROR(OFFSET(ITEM_RES!$A$1,MATCH(BM180,ITEM_RES!$J:$J,0)-1,0),0)</f>
        <v>0</v>
      </c>
      <c r="BN180" s="11">
        <f t="shared" si="73"/>
        <v>0</v>
      </c>
    </row>
    <row r="181" spans="1:67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 t="s">
        <v>984</v>
      </c>
      <c r="M181" s="9" t="s">
        <v>1005</v>
      </c>
      <c r="N181" s="9">
        <v>0</v>
      </c>
      <c r="O181" s="9">
        <v>15</v>
      </c>
      <c r="P181" s="9" t="s">
        <v>817</v>
      </c>
      <c r="T181" s="9" t="s">
        <v>736</v>
      </c>
      <c r="V181" s="85" t="s">
        <v>572</v>
      </c>
      <c r="W181" s="9">
        <f ca="1">IFERROR(OFFSET(ITEM_RES!$A$5,MATCH(BUILDING!V181,ITEM_RES!$J$5:$J$226,0)-1,0),0)</f>
        <v>211010501</v>
      </c>
      <c r="X181" s="11">
        <v>1</v>
      </c>
      <c r="Y181" s="85" t="s">
        <v>573</v>
      </c>
      <c r="Z181" s="9">
        <f ca="1">IFERROR(OFFSET(ITEM_RES!$A$5,MATCH(BUILDING!Y181,ITEM_RES!$J$5:$J$226,0)-1,0),0)</f>
        <v>211010601</v>
      </c>
      <c r="AB181" s="9" t="s">
        <v>544</v>
      </c>
      <c r="AC181" s="9">
        <v>17</v>
      </c>
      <c r="AE181" s="9">
        <v>68000</v>
      </c>
      <c r="AG181" s="56">
        <f t="shared" si="67"/>
        <v>13600</v>
      </c>
      <c r="AH181" s="10">
        <f t="shared" si="75"/>
        <v>24800</v>
      </c>
      <c r="AJ181" s="11">
        <f t="shared" si="66"/>
        <v>85</v>
      </c>
      <c r="AK181" s="10">
        <v>85</v>
      </c>
      <c r="AL181" s="11">
        <f t="shared" si="74"/>
        <v>850</v>
      </c>
      <c r="AM181" s="10">
        <v>850</v>
      </c>
      <c r="AN181" s="11">
        <f t="shared" si="74"/>
        <v>850</v>
      </c>
      <c r="AO181" s="10">
        <v>850</v>
      </c>
      <c r="AP181" s="56">
        <f t="shared" si="68"/>
        <v>1</v>
      </c>
      <c r="AR181" s="11">
        <f ca="1">IFERROR(OFFSET(ITEM_RES!$A$1,MATCH(AS181,ITEM_RES!$J:$J,0)-1,0),0)</f>
        <v>211020901</v>
      </c>
      <c r="AS181" s="10" t="s">
        <v>466</v>
      </c>
      <c r="AT181" s="11">
        <v>4250</v>
      </c>
      <c r="AW181" s="11">
        <f ca="1">IFERROR(OFFSET(ITEM_RES!$A$1,MATCH(AX181,ITEM_RES!$J:$J,0)-1,0),0)</f>
        <v>0</v>
      </c>
      <c r="BB181" s="11">
        <f ca="1">IFERROR(OFFSET(ITEM_RES!$A$1,MATCH(BC181,ITEM_RES!$J:$J,0)-1,0),0)</f>
        <v>0</v>
      </c>
      <c r="BG181" s="11">
        <f ca="1">IFERROR(OFFSET(ITEM_RES!$A$1,MATCH(BH181,ITEM_RES!$J:$J,0)-1,0),0)</f>
        <v>0</v>
      </c>
      <c r="BL181" s="11">
        <f ca="1">IFERROR(OFFSET(ITEM_RES!$A$1,MATCH(BM181,ITEM_RES!$J:$J,0)-1,0),0)</f>
        <v>0</v>
      </c>
      <c r="BN181" s="11">
        <f t="shared" si="73"/>
        <v>0</v>
      </c>
    </row>
    <row r="182" spans="1:67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 t="s">
        <v>984</v>
      </c>
      <c r="M182" s="9" t="s">
        <v>1005</v>
      </c>
      <c r="N182" s="9">
        <v>0</v>
      </c>
      <c r="O182" s="9">
        <v>15</v>
      </c>
      <c r="P182" s="9" t="s">
        <v>817</v>
      </c>
      <c r="T182" s="9" t="s">
        <v>736</v>
      </c>
      <c r="V182" s="85" t="s">
        <v>572</v>
      </c>
      <c r="W182" s="9">
        <f ca="1">IFERROR(OFFSET(ITEM_RES!$A$5,MATCH(BUILDING!V182,ITEM_RES!$J$5:$J$226,0)-1,0),0)</f>
        <v>211010501</v>
      </c>
      <c r="X182" s="11">
        <v>1</v>
      </c>
      <c r="Y182" s="85" t="s">
        <v>573</v>
      </c>
      <c r="Z182" s="9">
        <f ca="1">IFERROR(OFFSET(ITEM_RES!$A$5,MATCH(BUILDING!Y182,ITEM_RES!$J$5:$J$226,0)-1,0),0)</f>
        <v>211010601</v>
      </c>
      <c r="AB182" s="9" t="s">
        <v>544</v>
      </c>
      <c r="AC182" s="9">
        <v>18</v>
      </c>
      <c r="AE182" s="9">
        <v>84000</v>
      </c>
      <c r="AG182" s="56">
        <f t="shared" si="67"/>
        <v>16800</v>
      </c>
      <c r="AH182" s="10">
        <f t="shared" si="75"/>
        <v>30400</v>
      </c>
      <c r="AJ182" s="11">
        <f t="shared" si="66"/>
        <v>90</v>
      </c>
      <c r="AK182" s="10">
        <v>90</v>
      </c>
      <c r="AL182" s="11">
        <f t="shared" si="74"/>
        <v>1050</v>
      </c>
      <c r="AM182" s="10">
        <v>1050</v>
      </c>
      <c r="AN182" s="11">
        <f t="shared" si="74"/>
        <v>1050</v>
      </c>
      <c r="AO182" s="10">
        <v>1050</v>
      </c>
      <c r="AP182" s="56">
        <f t="shared" si="68"/>
        <v>1</v>
      </c>
      <c r="AR182" s="11">
        <f ca="1">IFERROR(OFFSET(ITEM_RES!$A$1,MATCH(AS182,ITEM_RES!$J:$J,0)-1,0),0)</f>
        <v>211020901</v>
      </c>
      <c r="AS182" s="10" t="s">
        <v>466</v>
      </c>
      <c r="AT182" s="11">
        <v>5250</v>
      </c>
      <c r="AW182" s="11">
        <f ca="1">IFERROR(OFFSET(ITEM_RES!$A$1,MATCH(AX182,ITEM_RES!$J:$J,0)-1,0),0)</f>
        <v>0</v>
      </c>
      <c r="BB182" s="11">
        <f ca="1">IFERROR(OFFSET(ITEM_RES!$A$1,MATCH(BC182,ITEM_RES!$J:$J,0)-1,0),0)</f>
        <v>0</v>
      </c>
      <c r="BG182" s="11">
        <f ca="1">IFERROR(OFFSET(ITEM_RES!$A$1,MATCH(BH182,ITEM_RES!$J:$J,0)-1,0),0)</f>
        <v>0</v>
      </c>
      <c r="BL182" s="11">
        <f ca="1">IFERROR(OFFSET(ITEM_RES!$A$1,MATCH(BM182,ITEM_RES!$J:$J,0)-1,0),0)</f>
        <v>0</v>
      </c>
      <c r="BN182" s="11">
        <f t="shared" si="73"/>
        <v>0</v>
      </c>
    </row>
    <row r="183" spans="1:67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 t="s">
        <v>984</v>
      </c>
      <c r="M183" s="9" t="s">
        <v>1005</v>
      </c>
      <c r="N183" s="9">
        <v>0</v>
      </c>
      <c r="O183" s="9">
        <v>15</v>
      </c>
      <c r="P183" s="9" t="s">
        <v>817</v>
      </c>
      <c r="T183" s="9" t="s">
        <v>736</v>
      </c>
      <c r="V183" s="85" t="s">
        <v>572</v>
      </c>
      <c r="W183" s="9">
        <f ca="1">IFERROR(OFFSET(ITEM_RES!$A$5,MATCH(BUILDING!V183,ITEM_RES!$J$5:$J$226,0)-1,0),0)</f>
        <v>211010501</v>
      </c>
      <c r="X183" s="11">
        <v>1</v>
      </c>
      <c r="Y183" s="85" t="s">
        <v>573</v>
      </c>
      <c r="Z183" s="9">
        <f ca="1">IFERROR(OFFSET(ITEM_RES!$A$5,MATCH(BUILDING!Y183,ITEM_RES!$J$5:$J$226,0)-1,0),0)</f>
        <v>211010601</v>
      </c>
      <c r="AB183" s="9" t="s">
        <v>544</v>
      </c>
      <c r="AC183" s="9">
        <v>19</v>
      </c>
      <c r="AE183" s="9">
        <v>100000</v>
      </c>
      <c r="AG183" s="56">
        <f t="shared" si="67"/>
        <v>20000</v>
      </c>
      <c r="AH183" s="10">
        <f t="shared" si="75"/>
        <v>36800</v>
      </c>
      <c r="AJ183" s="11">
        <f t="shared" si="66"/>
        <v>95</v>
      </c>
      <c r="AK183" s="10">
        <v>95</v>
      </c>
      <c r="AL183" s="11">
        <f t="shared" si="74"/>
        <v>1250</v>
      </c>
      <c r="AM183" s="10">
        <v>1250</v>
      </c>
      <c r="AN183" s="11">
        <f t="shared" si="74"/>
        <v>1250</v>
      </c>
      <c r="AO183" s="10">
        <v>1250</v>
      </c>
      <c r="AP183" s="56">
        <f t="shared" si="68"/>
        <v>1</v>
      </c>
      <c r="AR183" s="11">
        <f ca="1">IFERROR(OFFSET(ITEM_RES!$A$1,MATCH(AS183,ITEM_RES!$J:$J,0)-1,0),0)</f>
        <v>211020901</v>
      </c>
      <c r="AS183" s="10" t="s">
        <v>466</v>
      </c>
      <c r="AT183" s="11">
        <v>6250</v>
      </c>
      <c r="AW183" s="11">
        <f ca="1">IFERROR(OFFSET(ITEM_RES!$A$1,MATCH(AX183,ITEM_RES!$J:$J,0)-1,0),0)</f>
        <v>0</v>
      </c>
      <c r="BB183" s="11">
        <f ca="1">IFERROR(OFFSET(ITEM_RES!$A$1,MATCH(BC183,ITEM_RES!$J:$J,0)-1,0),0)</f>
        <v>0</v>
      </c>
      <c r="BG183" s="11">
        <f ca="1">IFERROR(OFFSET(ITEM_RES!$A$1,MATCH(BH183,ITEM_RES!$J:$J,0)-1,0),0)</f>
        <v>0</v>
      </c>
      <c r="BL183" s="11">
        <f ca="1">IFERROR(OFFSET(ITEM_RES!$A$1,MATCH(BM183,ITEM_RES!$J:$J,0)-1,0),0)</f>
        <v>0</v>
      </c>
      <c r="BN183" s="11">
        <f t="shared" si="73"/>
        <v>0</v>
      </c>
    </row>
    <row r="184" spans="1:67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 t="s">
        <v>984</v>
      </c>
      <c r="M184" s="9" t="s">
        <v>1005</v>
      </c>
      <c r="N184" s="9">
        <v>0</v>
      </c>
      <c r="O184" s="9">
        <v>15</v>
      </c>
      <c r="P184" s="9" t="s">
        <v>817</v>
      </c>
      <c r="T184" s="9" t="s">
        <v>736</v>
      </c>
      <c r="V184" s="85" t="s">
        <v>572</v>
      </c>
      <c r="W184" s="9">
        <f ca="1">IFERROR(OFFSET(ITEM_RES!$A$5,MATCH(BUILDING!V184,ITEM_RES!$J$5:$J$226,0)-1,0),0)</f>
        <v>211010501</v>
      </c>
      <c r="X184" s="11">
        <v>1</v>
      </c>
      <c r="Y184" s="85" t="s">
        <v>573</v>
      </c>
      <c r="Z184" s="9">
        <f ca="1">IFERROR(OFFSET(ITEM_RES!$A$5,MATCH(BUILDING!Y184,ITEM_RES!$J$5:$J$226,0)-1,0),0)</f>
        <v>211010601</v>
      </c>
      <c r="AB184" s="9" t="s">
        <v>544</v>
      </c>
      <c r="AC184" s="9">
        <v>20</v>
      </c>
      <c r="AE184" s="9">
        <v>120000</v>
      </c>
      <c r="AG184" s="56">
        <f t="shared" si="67"/>
        <v>24000</v>
      </c>
      <c r="AH184" s="10">
        <f t="shared" si="75"/>
        <v>44000</v>
      </c>
      <c r="AJ184" s="11">
        <f t="shared" si="66"/>
        <v>100</v>
      </c>
      <c r="AK184" s="10">
        <v>100</v>
      </c>
      <c r="AL184" s="11">
        <f t="shared" si="74"/>
        <v>1500</v>
      </c>
      <c r="AM184" s="10">
        <v>1500</v>
      </c>
      <c r="AN184" s="11">
        <f t="shared" si="74"/>
        <v>1500</v>
      </c>
      <c r="AO184" s="10">
        <v>1500</v>
      </c>
      <c r="AP184" s="56">
        <f t="shared" si="68"/>
        <v>1</v>
      </c>
      <c r="AR184" s="11">
        <f ca="1">IFERROR(OFFSET(ITEM_RES!$A$1,MATCH(AS184,ITEM_RES!$J:$J,0)-1,0),0)</f>
        <v>211020901</v>
      </c>
      <c r="AS184" s="10" t="s">
        <v>466</v>
      </c>
      <c r="AT184" s="11">
        <v>7500</v>
      </c>
      <c r="AW184" s="11">
        <f ca="1">IFERROR(OFFSET(ITEM_RES!$A$1,MATCH(AX184,ITEM_RES!$J:$J,0)-1,0),0)</f>
        <v>0</v>
      </c>
      <c r="BB184" s="11">
        <f ca="1">IFERROR(OFFSET(ITEM_RES!$A$1,MATCH(BC184,ITEM_RES!$J:$J,0)-1,0),0)</f>
        <v>0</v>
      </c>
      <c r="BG184" s="11">
        <f ca="1">IFERROR(OFFSET(ITEM_RES!$A$1,MATCH(BH184,ITEM_RES!$J:$J,0)-1,0),0)</f>
        <v>0</v>
      </c>
      <c r="BL184" s="11">
        <f ca="1">IFERROR(OFFSET(ITEM_RES!$A$1,MATCH(BM184,ITEM_RES!$J:$J,0)-1,0),0)</f>
        <v>0</v>
      </c>
      <c r="BN184" s="11">
        <f t="shared" si="73"/>
        <v>0</v>
      </c>
    </row>
    <row r="185" spans="1:67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79"/>
      <c r="H185" s="16">
        <v>3</v>
      </c>
      <c r="I185" s="16">
        <v>1</v>
      </c>
      <c r="J185" s="79"/>
      <c r="K185" s="64" t="s">
        <v>531</v>
      </c>
      <c r="L185" s="64" t="s">
        <v>1054</v>
      </c>
      <c r="M185" s="64"/>
      <c r="N185" s="16">
        <v>1</v>
      </c>
      <c r="O185" s="16">
        <v>15</v>
      </c>
      <c r="P185" s="16"/>
      <c r="Q185" s="17"/>
      <c r="R185" s="17"/>
      <c r="S185" s="18"/>
      <c r="T185" s="16" t="s">
        <v>754</v>
      </c>
      <c r="U185" s="79"/>
      <c r="V185" s="87"/>
      <c r="W185" s="16">
        <f ca="1">IFERROR(OFFSET(ITEM_RES!$A$5,MATCH(BUILDING!V185,ITEM_RES!$J$5:$J$226,0)-1,0),0)</f>
        <v>0</v>
      </c>
      <c r="X185" s="18"/>
      <c r="Y185" s="87"/>
      <c r="Z185" s="16">
        <f ca="1">IFERROR(OFFSET(ITEM_RES!$A$5,MATCH(BUILDING!Y185,ITEM_RES!$J$5:$J$226,0)-1,0),0)</f>
        <v>0</v>
      </c>
      <c r="AA185" s="79"/>
      <c r="AB185" s="16" t="s">
        <v>545</v>
      </c>
      <c r="AC185" s="16">
        <v>1</v>
      </c>
      <c r="AD185" s="79"/>
      <c r="AE185" s="16">
        <v>0</v>
      </c>
      <c r="AF185" s="79"/>
      <c r="AG185" s="57">
        <f t="shared" ref="AG185:AG204" si="79">AM185*10+AO185+AT185+AY185+500*BD185+500*BI185+500*BN185</f>
        <v>580</v>
      </c>
      <c r="AH185" s="17">
        <f>AG185</f>
        <v>580</v>
      </c>
      <c r="AI185" s="79"/>
      <c r="AJ185" s="18">
        <f t="shared" ref="AJ185:AJ204" si="80">ROUND(AK185,0)</f>
        <v>5</v>
      </c>
      <c r="AK185" s="17">
        <v>5</v>
      </c>
      <c r="AL185" s="18">
        <f t="shared" ref="AL185:AL204" si="81">ROUND(AM185,0)</f>
        <v>5</v>
      </c>
      <c r="AM185" s="17">
        <v>5</v>
      </c>
      <c r="AN185" s="18">
        <f t="shared" ref="AN185:AN204" si="82">ROUND(AO185,0)</f>
        <v>5</v>
      </c>
      <c r="AO185" s="17">
        <v>5</v>
      </c>
      <c r="AP185" s="57">
        <f t="shared" ref="AP185:AP204" si="83">(AT185&gt;0)*1+(AY185&gt;0)*1+(BD185&gt;0)*1+(BI185&gt;0)*1+(BN185&gt;0)*1</f>
        <v>2</v>
      </c>
      <c r="AQ185" s="18"/>
      <c r="AR185" s="18">
        <f ca="1">IFERROR(OFFSET(ITEM_RES!$A$1,MATCH(AS185,ITEM_RES!$J:$J,0)-1,0),0)</f>
        <v>211020801</v>
      </c>
      <c r="AS185" s="17" t="s">
        <v>407</v>
      </c>
      <c r="AT185" s="18">
        <v>25</v>
      </c>
      <c r="AU185" s="17"/>
      <c r="AV185" s="18"/>
      <c r="AW185" s="18">
        <f ca="1">IFERROR(OFFSET(ITEM_RES!$A$1,MATCH(AX185,ITEM_RES!$J:$J,0)-1,0),0)</f>
        <v>0</v>
      </c>
      <c r="AX185" s="17"/>
      <c r="AY185" s="18"/>
      <c r="AZ185" s="17"/>
      <c r="BA185" s="18"/>
      <c r="BB185" s="18">
        <f ca="1">IFERROR(OFFSET(ITEM_RES!$A$1,MATCH(BC185,ITEM_RES!$J:$J,0)-1,0),0)</f>
        <v>213010101</v>
      </c>
      <c r="BC185" s="17" t="s">
        <v>410</v>
      </c>
      <c r="BD185" s="18">
        <v>1</v>
      </c>
      <c r="BE185" s="17"/>
      <c r="BF185" s="18"/>
      <c r="BG185" s="18">
        <f ca="1">IFERROR(OFFSET(ITEM_RES!$A$1,MATCH(BH185,ITEM_RES!$J:$J,0)-1,0),0)</f>
        <v>0</v>
      </c>
      <c r="BH185" s="17"/>
      <c r="BI185" s="18"/>
      <c r="BJ185" s="17"/>
      <c r="BK185" s="18"/>
      <c r="BL185" s="18">
        <f ca="1">IFERROR(OFFSET(ITEM_RES!$A$1,MATCH(BM185,ITEM_RES!$J:$J,0)-1,0),0)</f>
        <v>0</v>
      </c>
      <c r="BM185" s="17"/>
      <c r="BN185" s="18">
        <f t="shared" ref="BN185:BN204" si="84">IF(BO185&lt;100,ROUND(BO185,1-LEN(ROUND(BO185,0))),ROUND(BO185,2-LEN(ROUND(BO185,0))))</f>
        <v>0</v>
      </c>
      <c r="BO185" s="17"/>
    </row>
    <row r="186" spans="1:67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531</v>
      </c>
      <c r="L186" s="56" t="s">
        <v>1054</v>
      </c>
      <c r="M186" s="56"/>
      <c r="N186" s="9">
        <v>1</v>
      </c>
      <c r="O186" s="9">
        <v>15</v>
      </c>
      <c r="P186" s="84"/>
      <c r="T186" s="9" t="s">
        <v>737</v>
      </c>
      <c r="W186" s="9">
        <f ca="1">IFERROR(OFFSET(ITEM_RES!$A$5,MATCH(BUILDING!V186,ITEM_RES!$J$5:$J$226,0)-1,0),0)</f>
        <v>0</v>
      </c>
      <c r="Z186" s="9">
        <f ca="1">IFERROR(OFFSET(ITEM_RES!$A$5,MATCH(BUILDING!Y186,ITEM_RES!$J$5:$J$226,0)-1,0),0)</f>
        <v>0</v>
      </c>
      <c r="AB186" s="9" t="s">
        <v>545</v>
      </c>
      <c r="AC186" s="9">
        <v>2</v>
      </c>
      <c r="AE186" s="9">
        <v>200</v>
      </c>
      <c r="AG186" s="56">
        <f t="shared" si="79"/>
        <v>160</v>
      </c>
      <c r="AH186" s="10">
        <f>AG185+AG186</f>
        <v>740</v>
      </c>
      <c r="AJ186" s="11">
        <f t="shared" si="80"/>
        <v>10</v>
      </c>
      <c r="AK186" s="10">
        <v>10</v>
      </c>
      <c r="AL186" s="11">
        <f t="shared" si="81"/>
        <v>10</v>
      </c>
      <c r="AM186" s="10">
        <v>10</v>
      </c>
      <c r="AN186" s="11">
        <f t="shared" si="82"/>
        <v>10</v>
      </c>
      <c r="AO186" s="10">
        <v>10</v>
      </c>
      <c r="AP186" s="56">
        <f t="shared" si="83"/>
        <v>1</v>
      </c>
      <c r="AR186" s="11">
        <f ca="1">IFERROR(OFFSET(ITEM_RES!$A$1,MATCH(AS186,ITEM_RES!$J:$J,0)-1,0),0)</f>
        <v>211020801</v>
      </c>
      <c r="AS186" s="10" t="s">
        <v>407</v>
      </c>
      <c r="AT186" s="11">
        <v>50</v>
      </c>
      <c r="AW186" s="11">
        <f ca="1">IFERROR(OFFSET(ITEM_RES!$A$1,MATCH(AX186,ITEM_RES!$J:$J,0)-1,0),0)</f>
        <v>0</v>
      </c>
      <c r="BB186" s="11">
        <f ca="1">IFERROR(OFFSET(ITEM_RES!$A$1,MATCH(BC186,ITEM_RES!$J:$J,0)-1,0),0)</f>
        <v>0</v>
      </c>
      <c r="BG186" s="11">
        <f ca="1">IFERROR(OFFSET(ITEM_RES!$A$1,MATCH(BH186,ITEM_RES!$J:$J,0)-1,0),0)</f>
        <v>0</v>
      </c>
      <c r="BL186" s="11">
        <f ca="1">IFERROR(OFFSET(ITEM_RES!$A$1,MATCH(BM186,ITEM_RES!$J:$J,0)-1,0),0)</f>
        <v>0</v>
      </c>
      <c r="BN186" s="11">
        <f t="shared" si="84"/>
        <v>0</v>
      </c>
    </row>
    <row r="187" spans="1:67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531</v>
      </c>
      <c r="L187" s="56" t="s">
        <v>1054</v>
      </c>
      <c r="M187" s="56"/>
      <c r="N187" s="9">
        <v>1</v>
      </c>
      <c r="O187" s="9">
        <v>15</v>
      </c>
      <c r="T187" s="9" t="s">
        <v>737</v>
      </c>
      <c r="W187" s="9">
        <f ca="1">IFERROR(OFFSET(ITEM_RES!$A$5,MATCH(BUILDING!V187,ITEM_RES!$J$5:$J$226,0)-1,0),0)</f>
        <v>0</v>
      </c>
      <c r="Z187" s="9">
        <f ca="1">IFERROR(OFFSET(ITEM_RES!$A$5,MATCH(BUILDING!Y187,ITEM_RES!$J$5:$J$226,0)-1,0),0)</f>
        <v>0</v>
      </c>
      <c r="AB187" s="9" t="s">
        <v>545</v>
      </c>
      <c r="AC187" s="9">
        <v>3</v>
      </c>
      <c r="AE187" s="9">
        <v>600</v>
      </c>
      <c r="AG187" s="56">
        <f t="shared" si="79"/>
        <v>240</v>
      </c>
      <c r="AH187" s="10">
        <f t="shared" ref="AH187:AH204" si="85">AG186+AG187</f>
        <v>400</v>
      </c>
      <c r="AJ187" s="11">
        <f t="shared" si="80"/>
        <v>15</v>
      </c>
      <c r="AK187" s="10">
        <v>15</v>
      </c>
      <c r="AL187" s="11">
        <f t="shared" si="81"/>
        <v>15</v>
      </c>
      <c r="AM187" s="10">
        <v>15</v>
      </c>
      <c r="AN187" s="11">
        <f t="shared" si="82"/>
        <v>15</v>
      </c>
      <c r="AO187" s="10">
        <v>15</v>
      </c>
      <c r="AP187" s="56">
        <f t="shared" si="83"/>
        <v>1</v>
      </c>
      <c r="AR187" s="11">
        <f ca="1">IFERROR(OFFSET(ITEM_RES!$A$1,MATCH(AS187,ITEM_RES!$J:$J,0)-1,0),0)</f>
        <v>211020801</v>
      </c>
      <c r="AS187" s="10" t="s">
        <v>407</v>
      </c>
      <c r="AT187" s="11">
        <v>75</v>
      </c>
      <c r="AW187" s="11">
        <f ca="1">IFERROR(OFFSET(ITEM_RES!$A$1,MATCH(AX187,ITEM_RES!$J:$J,0)-1,0),0)</f>
        <v>0</v>
      </c>
      <c r="BB187" s="11">
        <f ca="1">IFERROR(OFFSET(ITEM_RES!$A$1,MATCH(BC187,ITEM_RES!$J:$J,0)-1,0),0)</f>
        <v>0</v>
      </c>
      <c r="BG187" s="11">
        <f ca="1">IFERROR(OFFSET(ITEM_RES!$A$1,MATCH(BH187,ITEM_RES!$J:$J,0)-1,0),0)</f>
        <v>0</v>
      </c>
      <c r="BL187" s="11">
        <f ca="1">IFERROR(OFFSET(ITEM_RES!$A$1,MATCH(BM187,ITEM_RES!$J:$J,0)-1,0),0)</f>
        <v>0</v>
      </c>
      <c r="BN187" s="11">
        <f t="shared" si="84"/>
        <v>0</v>
      </c>
    </row>
    <row r="188" spans="1:67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531</v>
      </c>
      <c r="L188" s="56" t="s">
        <v>1054</v>
      </c>
      <c r="M188" s="56"/>
      <c r="N188" s="9">
        <v>1</v>
      </c>
      <c r="O188" s="9">
        <v>15</v>
      </c>
      <c r="T188" s="9" t="s">
        <v>737</v>
      </c>
      <c r="W188" s="9">
        <f ca="1">IFERROR(OFFSET(ITEM_RES!$A$5,MATCH(BUILDING!V188,ITEM_RES!$J$5:$J$226,0)-1,0),0)</f>
        <v>0</v>
      </c>
      <c r="Z188" s="9">
        <f ca="1">IFERROR(OFFSET(ITEM_RES!$A$5,MATCH(BUILDING!Y188,ITEM_RES!$J$5:$J$226,0)-1,0),0)</f>
        <v>0</v>
      </c>
      <c r="AB188" s="9" t="s">
        <v>545</v>
      </c>
      <c r="AC188" s="9">
        <v>4</v>
      </c>
      <c r="AE188" s="9">
        <v>1000</v>
      </c>
      <c r="AG188" s="56">
        <f t="shared" si="79"/>
        <v>400</v>
      </c>
      <c r="AH188" s="10">
        <f t="shared" si="85"/>
        <v>640</v>
      </c>
      <c r="AJ188" s="11">
        <f t="shared" si="80"/>
        <v>20</v>
      </c>
      <c r="AK188" s="10">
        <v>20</v>
      </c>
      <c r="AL188" s="11">
        <f t="shared" si="81"/>
        <v>25</v>
      </c>
      <c r="AM188" s="10">
        <v>25</v>
      </c>
      <c r="AN188" s="11">
        <f t="shared" si="82"/>
        <v>25</v>
      </c>
      <c r="AO188" s="10">
        <v>25</v>
      </c>
      <c r="AP188" s="56">
        <f t="shared" si="83"/>
        <v>1</v>
      </c>
      <c r="AR188" s="11">
        <f ca="1">IFERROR(OFFSET(ITEM_RES!$A$1,MATCH(AS188,ITEM_RES!$J:$J,0)-1,0),0)</f>
        <v>211020801</v>
      </c>
      <c r="AS188" s="10" t="s">
        <v>407</v>
      </c>
      <c r="AT188" s="11">
        <v>125</v>
      </c>
      <c r="AW188" s="11">
        <f ca="1">IFERROR(OFFSET(ITEM_RES!$A$1,MATCH(AX188,ITEM_RES!$J:$J,0)-1,0),0)</f>
        <v>0</v>
      </c>
      <c r="BB188" s="11">
        <f ca="1">IFERROR(OFFSET(ITEM_RES!$A$1,MATCH(BC188,ITEM_RES!$J:$J,0)-1,0),0)</f>
        <v>0</v>
      </c>
      <c r="BG188" s="11">
        <f ca="1">IFERROR(OFFSET(ITEM_RES!$A$1,MATCH(BH188,ITEM_RES!$J:$J,0)-1,0),0)</f>
        <v>0</v>
      </c>
      <c r="BL188" s="11">
        <f ca="1">IFERROR(OFFSET(ITEM_RES!$A$1,MATCH(BM188,ITEM_RES!$J:$J,0)-1,0),0)</f>
        <v>0</v>
      </c>
      <c r="BN188" s="11">
        <f t="shared" si="84"/>
        <v>0</v>
      </c>
    </row>
    <row r="189" spans="1:67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531</v>
      </c>
      <c r="L189" s="56" t="s">
        <v>1054</v>
      </c>
      <c r="M189" s="56"/>
      <c r="N189" s="9">
        <v>1</v>
      </c>
      <c r="O189" s="9">
        <v>15</v>
      </c>
      <c r="T189" s="9" t="s">
        <v>737</v>
      </c>
      <c r="W189" s="9">
        <f ca="1">IFERROR(OFFSET(ITEM_RES!$A$5,MATCH(BUILDING!V189,ITEM_RES!$J$5:$J$226,0)-1,0),0)</f>
        <v>0</v>
      </c>
      <c r="Z189" s="9">
        <f ca="1">IFERROR(OFFSET(ITEM_RES!$A$5,MATCH(BUILDING!Y189,ITEM_RES!$J$5:$J$226,0)-1,0),0)</f>
        <v>0</v>
      </c>
      <c r="AB189" s="9" t="s">
        <v>545</v>
      </c>
      <c r="AC189" s="9">
        <v>5</v>
      </c>
      <c r="AE189" s="9">
        <v>1600</v>
      </c>
      <c r="AG189" s="56">
        <f t="shared" si="79"/>
        <v>640</v>
      </c>
      <c r="AH189" s="10">
        <f t="shared" si="85"/>
        <v>1040</v>
      </c>
      <c r="AJ189" s="11">
        <f t="shared" si="80"/>
        <v>25</v>
      </c>
      <c r="AK189" s="10">
        <v>25</v>
      </c>
      <c r="AL189" s="11">
        <f t="shared" si="81"/>
        <v>40</v>
      </c>
      <c r="AM189" s="10">
        <v>40</v>
      </c>
      <c r="AN189" s="11">
        <f t="shared" si="82"/>
        <v>40</v>
      </c>
      <c r="AO189" s="10">
        <v>40</v>
      </c>
      <c r="AP189" s="56">
        <f t="shared" si="83"/>
        <v>1</v>
      </c>
      <c r="AR189" s="11">
        <f ca="1">IFERROR(OFFSET(ITEM_RES!$A$1,MATCH(AS189,ITEM_RES!$J:$J,0)-1,0),0)</f>
        <v>211020801</v>
      </c>
      <c r="AS189" s="10" t="s">
        <v>407</v>
      </c>
      <c r="AT189" s="11">
        <v>200</v>
      </c>
      <c r="AW189" s="11">
        <f ca="1">IFERROR(OFFSET(ITEM_RES!$A$1,MATCH(AX189,ITEM_RES!$J:$J,0)-1,0),0)</f>
        <v>0</v>
      </c>
      <c r="BB189" s="11">
        <f ca="1">IFERROR(OFFSET(ITEM_RES!$A$1,MATCH(BC189,ITEM_RES!$J:$J,0)-1,0),0)</f>
        <v>0</v>
      </c>
      <c r="BG189" s="11">
        <f ca="1">IFERROR(OFFSET(ITEM_RES!$A$1,MATCH(BH189,ITEM_RES!$J:$J,0)-1,0),0)</f>
        <v>0</v>
      </c>
      <c r="BL189" s="11">
        <f ca="1">IFERROR(OFFSET(ITEM_RES!$A$1,MATCH(BM189,ITEM_RES!$J:$J,0)-1,0),0)</f>
        <v>0</v>
      </c>
      <c r="BN189" s="11">
        <f t="shared" si="84"/>
        <v>0</v>
      </c>
    </row>
    <row r="190" spans="1:67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531</v>
      </c>
      <c r="L190" s="56" t="s">
        <v>1054</v>
      </c>
      <c r="M190" s="56"/>
      <c r="N190" s="9">
        <v>1</v>
      </c>
      <c r="O190" s="9">
        <v>15</v>
      </c>
      <c r="T190" s="9" t="s">
        <v>737</v>
      </c>
      <c r="W190" s="9">
        <f ca="1">IFERROR(OFFSET(ITEM_RES!$A$5,MATCH(BUILDING!V190,ITEM_RES!$J$5:$J$226,0)-1,0),0)</f>
        <v>0</v>
      </c>
      <c r="Z190" s="9">
        <f ca="1">IFERROR(OFFSET(ITEM_RES!$A$5,MATCH(BUILDING!Y190,ITEM_RES!$J$5:$J$226,0)-1,0),0)</f>
        <v>0</v>
      </c>
      <c r="AB190" s="9" t="s">
        <v>545</v>
      </c>
      <c r="AC190" s="9">
        <v>6</v>
      </c>
      <c r="AE190" s="9">
        <v>2000</v>
      </c>
      <c r="AG190" s="56">
        <f t="shared" si="79"/>
        <v>800</v>
      </c>
      <c r="AH190" s="10">
        <f t="shared" si="85"/>
        <v>1440</v>
      </c>
      <c r="AJ190" s="11">
        <f t="shared" si="80"/>
        <v>30</v>
      </c>
      <c r="AK190" s="10">
        <v>30</v>
      </c>
      <c r="AL190" s="11">
        <f t="shared" si="81"/>
        <v>50</v>
      </c>
      <c r="AM190" s="10">
        <v>50</v>
      </c>
      <c r="AN190" s="11">
        <f t="shared" si="82"/>
        <v>50</v>
      </c>
      <c r="AO190" s="10">
        <v>50</v>
      </c>
      <c r="AP190" s="56">
        <f t="shared" si="83"/>
        <v>1</v>
      </c>
      <c r="AR190" s="11">
        <f ca="1">IFERROR(OFFSET(ITEM_RES!$A$1,MATCH(AS190,ITEM_RES!$J:$J,0)-1,0),0)</f>
        <v>211020801</v>
      </c>
      <c r="AS190" s="10" t="s">
        <v>407</v>
      </c>
      <c r="AT190" s="11">
        <v>250</v>
      </c>
      <c r="AW190" s="11">
        <f ca="1">IFERROR(OFFSET(ITEM_RES!$A$1,MATCH(AX190,ITEM_RES!$J:$J,0)-1,0),0)</f>
        <v>0</v>
      </c>
      <c r="BB190" s="11">
        <f ca="1">IFERROR(OFFSET(ITEM_RES!$A$1,MATCH(BC190,ITEM_RES!$J:$J,0)-1,0),0)</f>
        <v>0</v>
      </c>
      <c r="BG190" s="11">
        <f ca="1">IFERROR(OFFSET(ITEM_RES!$A$1,MATCH(BH190,ITEM_RES!$J:$J,0)-1,0),0)</f>
        <v>0</v>
      </c>
      <c r="BL190" s="11">
        <f ca="1">IFERROR(OFFSET(ITEM_RES!$A$1,MATCH(BM190,ITEM_RES!$J:$J,0)-1,0),0)</f>
        <v>0</v>
      </c>
      <c r="BN190" s="11">
        <f t="shared" si="84"/>
        <v>0</v>
      </c>
    </row>
    <row r="191" spans="1:67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531</v>
      </c>
      <c r="L191" s="56" t="s">
        <v>1054</v>
      </c>
      <c r="M191" s="56"/>
      <c r="N191" s="9">
        <v>1</v>
      </c>
      <c r="O191" s="9">
        <v>15</v>
      </c>
      <c r="T191" s="9" t="s">
        <v>737</v>
      </c>
      <c r="W191" s="9">
        <f ca="1">IFERROR(OFFSET(ITEM_RES!$A$5,MATCH(BUILDING!V191,ITEM_RES!$J$5:$J$226,0)-1,0),0)</f>
        <v>0</v>
      </c>
      <c r="Z191" s="9">
        <f ca="1">IFERROR(OFFSET(ITEM_RES!$A$5,MATCH(BUILDING!Y191,ITEM_RES!$J$5:$J$226,0)-1,0),0)</f>
        <v>0</v>
      </c>
      <c r="AB191" s="9" t="s">
        <v>545</v>
      </c>
      <c r="AC191" s="9">
        <v>7</v>
      </c>
      <c r="AE191" s="9">
        <v>4000</v>
      </c>
      <c r="AG191" s="56">
        <f t="shared" si="79"/>
        <v>1600</v>
      </c>
      <c r="AH191" s="10">
        <f t="shared" si="85"/>
        <v>2400</v>
      </c>
      <c r="AJ191" s="11">
        <f t="shared" si="80"/>
        <v>35</v>
      </c>
      <c r="AK191" s="10">
        <v>35</v>
      </c>
      <c r="AL191" s="11">
        <f t="shared" si="81"/>
        <v>100</v>
      </c>
      <c r="AM191" s="10">
        <v>100</v>
      </c>
      <c r="AN191" s="11">
        <f t="shared" si="82"/>
        <v>100</v>
      </c>
      <c r="AO191" s="10">
        <v>100</v>
      </c>
      <c r="AP191" s="56">
        <f t="shared" si="83"/>
        <v>1</v>
      </c>
      <c r="AR191" s="11">
        <f ca="1">IFERROR(OFFSET(ITEM_RES!$A$1,MATCH(AS191,ITEM_RES!$J:$J,0)-1,0),0)</f>
        <v>211020801</v>
      </c>
      <c r="AS191" s="10" t="s">
        <v>407</v>
      </c>
      <c r="AT191" s="11">
        <v>500</v>
      </c>
      <c r="AW191" s="11">
        <f ca="1">IFERROR(OFFSET(ITEM_RES!$A$1,MATCH(AX191,ITEM_RES!$J:$J,0)-1,0),0)</f>
        <v>0</v>
      </c>
      <c r="BB191" s="11">
        <f ca="1">IFERROR(OFFSET(ITEM_RES!$A$1,MATCH(BC191,ITEM_RES!$J:$J,0)-1,0),0)</f>
        <v>0</v>
      </c>
      <c r="BG191" s="11">
        <f ca="1">IFERROR(OFFSET(ITEM_RES!$A$1,MATCH(BH191,ITEM_RES!$J:$J,0)-1,0),0)</f>
        <v>0</v>
      </c>
      <c r="BL191" s="11">
        <f ca="1">IFERROR(OFFSET(ITEM_RES!$A$1,MATCH(BM191,ITEM_RES!$J:$J,0)-1,0),0)</f>
        <v>0</v>
      </c>
      <c r="BN191" s="11">
        <f t="shared" si="84"/>
        <v>0</v>
      </c>
    </row>
    <row r="192" spans="1:67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531</v>
      </c>
      <c r="L192" s="56" t="s">
        <v>1054</v>
      </c>
      <c r="M192" s="56"/>
      <c r="N192" s="9">
        <v>1</v>
      </c>
      <c r="O192" s="9">
        <v>15</v>
      </c>
      <c r="T192" s="9" t="s">
        <v>737</v>
      </c>
      <c r="W192" s="9">
        <f ca="1">IFERROR(OFFSET(ITEM_RES!$A$5,MATCH(BUILDING!V192,ITEM_RES!$J$5:$J$226,0)-1,0),0)</f>
        <v>0</v>
      </c>
      <c r="Z192" s="9">
        <f ca="1">IFERROR(OFFSET(ITEM_RES!$A$5,MATCH(BUILDING!Y192,ITEM_RES!$J$5:$J$226,0)-1,0),0)</f>
        <v>0</v>
      </c>
      <c r="AB192" s="9" t="s">
        <v>545</v>
      </c>
      <c r="AC192" s="9">
        <v>8</v>
      </c>
      <c r="AE192" s="9">
        <v>4000</v>
      </c>
      <c r="AG192" s="56">
        <f t="shared" si="79"/>
        <v>1600</v>
      </c>
      <c r="AH192" s="10">
        <f t="shared" si="85"/>
        <v>3200</v>
      </c>
      <c r="AJ192" s="11">
        <f t="shared" si="80"/>
        <v>40</v>
      </c>
      <c r="AK192" s="10">
        <v>40</v>
      </c>
      <c r="AL192" s="11">
        <f t="shared" si="81"/>
        <v>100</v>
      </c>
      <c r="AM192" s="10">
        <v>100</v>
      </c>
      <c r="AN192" s="11">
        <f t="shared" si="82"/>
        <v>100</v>
      </c>
      <c r="AO192" s="10">
        <v>100</v>
      </c>
      <c r="AP192" s="56">
        <f t="shared" si="83"/>
        <v>1</v>
      </c>
      <c r="AR192" s="11">
        <f ca="1">IFERROR(OFFSET(ITEM_RES!$A$1,MATCH(AS192,ITEM_RES!$J:$J,0)-1,0),0)</f>
        <v>211020801</v>
      </c>
      <c r="AS192" s="10" t="s">
        <v>407</v>
      </c>
      <c r="AT192" s="11">
        <v>500</v>
      </c>
      <c r="AW192" s="11">
        <f ca="1">IFERROR(OFFSET(ITEM_RES!$A$1,MATCH(AX192,ITEM_RES!$J:$J,0)-1,0),0)</f>
        <v>0</v>
      </c>
      <c r="BB192" s="11">
        <f ca="1">IFERROR(OFFSET(ITEM_RES!$A$1,MATCH(BC192,ITEM_RES!$J:$J,0)-1,0),0)</f>
        <v>0</v>
      </c>
      <c r="BG192" s="11">
        <f ca="1">IFERROR(OFFSET(ITEM_RES!$A$1,MATCH(BH192,ITEM_RES!$J:$J,0)-1,0),0)</f>
        <v>0</v>
      </c>
      <c r="BL192" s="11">
        <f ca="1">IFERROR(OFFSET(ITEM_RES!$A$1,MATCH(BM192,ITEM_RES!$J:$J,0)-1,0),0)</f>
        <v>0</v>
      </c>
      <c r="BN192" s="11">
        <f t="shared" si="84"/>
        <v>0</v>
      </c>
    </row>
    <row r="193" spans="1:67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531</v>
      </c>
      <c r="L193" s="56" t="s">
        <v>1054</v>
      </c>
      <c r="M193" s="56"/>
      <c r="N193" s="9">
        <v>1</v>
      </c>
      <c r="O193" s="9">
        <v>15</v>
      </c>
      <c r="T193" s="9" t="s">
        <v>737</v>
      </c>
      <c r="W193" s="9">
        <f ca="1">IFERROR(OFFSET(ITEM_RES!$A$5,MATCH(BUILDING!V193,ITEM_RES!$J$5:$J$226,0)-1,0),0)</f>
        <v>0</v>
      </c>
      <c r="Z193" s="9">
        <f ca="1">IFERROR(OFFSET(ITEM_RES!$A$5,MATCH(BUILDING!Y193,ITEM_RES!$J$5:$J$226,0)-1,0),0)</f>
        <v>0</v>
      </c>
      <c r="AB193" s="9" t="s">
        <v>545</v>
      </c>
      <c r="AC193" s="9">
        <v>9</v>
      </c>
      <c r="AE193" s="9">
        <v>6000</v>
      </c>
      <c r="AG193" s="56">
        <f t="shared" si="79"/>
        <v>2400</v>
      </c>
      <c r="AH193" s="10">
        <f t="shared" si="85"/>
        <v>4000</v>
      </c>
      <c r="AJ193" s="11">
        <f t="shared" si="80"/>
        <v>45</v>
      </c>
      <c r="AK193" s="10">
        <v>45</v>
      </c>
      <c r="AL193" s="11">
        <f t="shared" si="81"/>
        <v>150</v>
      </c>
      <c r="AM193" s="10">
        <v>150</v>
      </c>
      <c r="AN193" s="11">
        <f t="shared" si="82"/>
        <v>150</v>
      </c>
      <c r="AO193" s="10">
        <v>150</v>
      </c>
      <c r="AP193" s="56">
        <f t="shared" si="83"/>
        <v>1</v>
      </c>
      <c r="AR193" s="11">
        <f ca="1">IFERROR(OFFSET(ITEM_RES!$A$1,MATCH(AS193,ITEM_RES!$J:$J,0)-1,0),0)</f>
        <v>211020801</v>
      </c>
      <c r="AS193" s="10" t="s">
        <v>407</v>
      </c>
      <c r="AT193" s="11">
        <v>750</v>
      </c>
      <c r="AW193" s="11">
        <f ca="1">IFERROR(OFFSET(ITEM_RES!$A$1,MATCH(AX193,ITEM_RES!$J:$J,0)-1,0),0)</f>
        <v>0</v>
      </c>
      <c r="BB193" s="11">
        <f ca="1">IFERROR(OFFSET(ITEM_RES!$A$1,MATCH(BC193,ITEM_RES!$J:$J,0)-1,0),0)</f>
        <v>0</v>
      </c>
      <c r="BG193" s="11">
        <f ca="1">IFERROR(OFFSET(ITEM_RES!$A$1,MATCH(BH193,ITEM_RES!$J:$J,0)-1,0),0)</f>
        <v>0</v>
      </c>
      <c r="BL193" s="11">
        <f ca="1">IFERROR(OFFSET(ITEM_RES!$A$1,MATCH(BM193,ITEM_RES!$J:$J,0)-1,0),0)</f>
        <v>0</v>
      </c>
      <c r="BN193" s="11">
        <f t="shared" si="84"/>
        <v>0</v>
      </c>
    </row>
    <row r="194" spans="1:67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531</v>
      </c>
      <c r="L194" s="56" t="s">
        <v>1054</v>
      </c>
      <c r="M194" s="56"/>
      <c r="N194" s="9">
        <v>1</v>
      </c>
      <c r="O194" s="9">
        <v>15</v>
      </c>
      <c r="T194" s="9" t="s">
        <v>737</v>
      </c>
      <c r="W194" s="9">
        <f ca="1">IFERROR(OFFSET(ITEM_RES!$A$5,MATCH(BUILDING!V194,ITEM_RES!$J$5:$J$226,0)-1,0),0)</f>
        <v>0</v>
      </c>
      <c r="Z194" s="9">
        <f ca="1">IFERROR(OFFSET(ITEM_RES!$A$5,MATCH(BUILDING!Y194,ITEM_RES!$J$5:$J$226,0)-1,0),0)</f>
        <v>0</v>
      </c>
      <c r="AB194" s="9" t="s">
        <v>545</v>
      </c>
      <c r="AC194" s="9">
        <v>10</v>
      </c>
      <c r="AE194" s="9">
        <v>8000</v>
      </c>
      <c r="AG194" s="56">
        <f t="shared" si="79"/>
        <v>3700</v>
      </c>
      <c r="AH194" s="10">
        <f t="shared" si="85"/>
        <v>6100</v>
      </c>
      <c r="AJ194" s="11">
        <f t="shared" si="80"/>
        <v>50</v>
      </c>
      <c r="AK194" s="10">
        <v>50</v>
      </c>
      <c r="AL194" s="11">
        <f t="shared" si="81"/>
        <v>200</v>
      </c>
      <c r="AM194" s="10">
        <v>200</v>
      </c>
      <c r="AN194" s="11">
        <f t="shared" si="82"/>
        <v>200</v>
      </c>
      <c r="AO194" s="10">
        <v>200</v>
      </c>
      <c r="AP194" s="56">
        <f t="shared" si="83"/>
        <v>2</v>
      </c>
      <c r="AR194" s="11">
        <f ca="1">IFERROR(OFFSET(ITEM_RES!$A$1,MATCH(AS194,ITEM_RES!$J:$J,0)-1,0),0)</f>
        <v>211020801</v>
      </c>
      <c r="AS194" s="10" t="s">
        <v>407</v>
      </c>
      <c r="AT194" s="11">
        <v>1000</v>
      </c>
      <c r="AW194" s="11">
        <f ca="1">IFERROR(OFFSET(ITEM_RES!$A$1,MATCH(AX194,ITEM_RES!$J:$J,0)-1,0),0)</f>
        <v>0</v>
      </c>
      <c r="BB194" s="11">
        <f ca="1">IFERROR(OFFSET(ITEM_RES!$A$1,MATCH(BC194,ITEM_RES!$J:$J,0)-1,0),0)</f>
        <v>0</v>
      </c>
      <c r="BG194" s="11">
        <f ca="1">IFERROR(OFFSET(ITEM_RES!$A$1,MATCH(BH194,ITEM_RES!$J:$J,0)-1,0),0)</f>
        <v>213010801</v>
      </c>
      <c r="BH194" s="10" t="s">
        <v>488</v>
      </c>
      <c r="BI194" s="11">
        <v>1</v>
      </c>
      <c r="BL194" s="11">
        <f ca="1">IFERROR(OFFSET(ITEM_RES!$A$1,MATCH(BM194,ITEM_RES!$J:$J,0)-1,0),0)</f>
        <v>0</v>
      </c>
      <c r="BN194" s="11">
        <f t="shared" si="84"/>
        <v>0</v>
      </c>
    </row>
    <row r="195" spans="1:67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531</v>
      </c>
      <c r="L195" s="56" t="s">
        <v>1054</v>
      </c>
      <c r="M195" s="56"/>
      <c r="N195" s="9">
        <v>1</v>
      </c>
      <c r="O195" s="9">
        <v>15</v>
      </c>
      <c r="T195" s="9" t="s">
        <v>737</v>
      </c>
      <c r="W195" s="9">
        <f ca="1">IFERROR(OFFSET(ITEM_RES!$A$5,MATCH(BUILDING!V195,ITEM_RES!$J$5:$J$226,0)-1,0),0)</f>
        <v>0</v>
      </c>
      <c r="Z195" s="9">
        <f ca="1">IFERROR(OFFSET(ITEM_RES!$A$5,MATCH(BUILDING!Y195,ITEM_RES!$J$5:$J$226,0)-1,0),0)</f>
        <v>0</v>
      </c>
      <c r="AB195" s="9" t="s">
        <v>545</v>
      </c>
      <c r="AC195" s="9">
        <v>11</v>
      </c>
      <c r="AE195" s="9">
        <v>10000</v>
      </c>
      <c r="AG195" s="56">
        <f t="shared" si="79"/>
        <v>4000</v>
      </c>
      <c r="AH195" s="10">
        <f t="shared" si="85"/>
        <v>7700</v>
      </c>
      <c r="AJ195" s="11">
        <f t="shared" si="80"/>
        <v>55</v>
      </c>
      <c r="AK195" s="10">
        <v>55</v>
      </c>
      <c r="AL195" s="11">
        <f t="shared" si="81"/>
        <v>250</v>
      </c>
      <c r="AM195" s="10">
        <v>250</v>
      </c>
      <c r="AN195" s="11">
        <f t="shared" si="82"/>
        <v>250</v>
      </c>
      <c r="AO195" s="10">
        <v>250</v>
      </c>
      <c r="AP195" s="56">
        <f t="shared" si="83"/>
        <v>1</v>
      </c>
      <c r="AR195" s="11">
        <f ca="1">IFERROR(OFFSET(ITEM_RES!$A$1,MATCH(AS195,ITEM_RES!$J:$J,0)-1,0),0)</f>
        <v>211020801</v>
      </c>
      <c r="AS195" s="10" t="s">
        <v>407</v>
      </c>
      <c r="AT195" s="11">
        <v>1250</v>
      </c>
      <c r="AW195" s="11">
        <f ca="1">IFERROR(OFFSET(ITEM_RES!$A$1,MATCH(AX195,ITEM_RES!$J:$J,0)-1,0),0)</f>
        <v>0</v>
      </c>
      <c r="BB195" s="11">
        <f ca="1">IFERROR(OFFSET(ITEM_RES!$A$1,MATCH(BC195,ITEM_RES!$J:$J,0)-1,0),0)</f>
        <v>0</v>
      </c>
      <c r="BG195" s="11">
        <f ca="1">IFERROR(OFFSET(ITEM_RES!$A$1,MATCH(BH195,ITEM_RES!$J:$J,0)-1,0),0)</f>
        <v>0</v>
      </c>
      <c r="BL195" s="11">
        <f ca="1">IFERROR(OFFSET(ITEM_RES!$A$1,MATCH(BM195,ITEM_RES!$J:$J,0)-1,0),0)</f>
        <v>0</v>
      </c>
      <c r="BN195" s="11">
        <f t="shared" si="84"/>
        <v>0</v>
      </c>
    </row>
    <row r="196" spans="1:67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531</v>
      </c>
      <c r="L196" s="56" t="s">
        <v>1054</v>
      </c>
      <c r="M196" s="56"/>
      <c r="N196" s="9">
        <v>1</v>
      </c>
      <c r="O196" s="9">
        <v>15</v>
      </c>
      <c r="T196" s="9" t="s">
        <v>737</v>
      </c>
      <c r="W196" s="9">
        <f ca="1">IFERROR(OFFSET(ITEM_RES!$A$5,MATCH(BUILDING!V196,ITEM_RES!$J$5:$J$226,0)-1,0),0)</f>
        <v>0</v>
      </c>
      <c r="Z196" s="9">
        <f ca="1">IFERROR(OFFSET(ITEM_RES!$A$5,MATCH(BUILDING!Y196,ITEM_RES!$J$5:$J$226,0)-1,0),0)</f>
        <v>0</v>
      </c>
      <c r="AB196" s="9" t="s">
        <v>545</v>
      </c>
      <c r="AC196" s="9">
        <v>12</v>
      </c>
      <c r="AE196" s="9">
        <v>12000</v>
      </c>
      <c r="AG196" s="56">
        <f t="shared" si="79"/>
        <v>6300</v>
      </c>
      <c r="AH196" s="10">
        <f t="shared" si="85"/>
        <v>10300</v>
      </c>
      <c r="AJ196" s="11">
        <f t="shared" si="80"/>
        <v>60</v>
      </c>
      <c r="AK196" s="10">
        <v>60</v>
      </c>
      <c r="AL196" s="11">
        <f t="shared" si="81"/>
        <v>300</v>
      </c>
      <c r="AM196" s="10">
        <v>300</v>
      </c>
      <c r="AN196" s="11">
        <f t="shared" si="82"/>
        <v>300</v>
      </c>
      <c r="AO196" s="10">
        <v>300</v>
      </c>
      <c r="AP196" s="56">
        <f t="shared" si="83"/>
        <v>2</v>
      </c>
      <c r="AR196" s="11">
        <f ca="1">IFERROR(OFFSET(ITEM_RES!$A$1,MATCH(AS196,ITEM_RES!$J:$J,0)-1,0),0)</f>
        <v>211020801</v>
      </c>
      <c r="AS196" s="10" t="s">
        <v>407</v>
      </c>
      <c r="AT196" s="11">
        <v>1500</v>
      </c>
      <c r="AW196" s="11">
        <f ca="1">IFERROR(OFFSET(ITEM_RES!$A$1,MATCH(AX196,ITEM_RES!$J:$J,0)-1,0),0)</f>
        <v>211020901</v>
      </c>
      <c r="AX196" s="10" t="s">
        <v>408</v>
      </c>
      <c r="AY196" s="11">
        <v>1500</v>
      </c>
      <c r="BB196" s="11">
        <f ca="1">IFERROR(OFFSET(ITEM_RES!$A$1,MATCH(BC196,ITEM_RES!$J:$J,0)-1,0),0)</f>
        <v>0</v>
      </c>
      <c r="BG196" s="11">
        <f ca="1">IFERROR(OFFSET(ITEM_RES!$A$1,MATCH(BH196,ITEM_RES!$J:$J,0)-1,0),0)</f>
        <v>0</v>
      </c>
      <c r="BL196" s="11">
        <f ca="1">IFERROR(OFFSET(ITEM_RES!$A$1,MATCH(BM196,ITEM_RES!$J:$J,0)-1,0),0)</f>
        <v>0</v>
      </c>
      <c r="BN196" s="11">
        <f t="shared" si="84"/>
        <v>0</v>
      </c>
    </row>
    <row r="197" spans="1:67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531</v>
      </c>
      <c r="L197" s="56" t="s">
        <v>1054</v>
      </c>
      <c r="M197" s="56"/>
      <c r="N197" s="9">
        <v>1</v>
      </c>
      <c r="O197" s="9">
        <v>15</v>
      </c>
      <c r="T197" s="9" t="s">
        <v>737</v>
      </c>
      <c r="W197" s="9">
        <f ca="1">IFERROR(OFFSET(ITEM_RES!$A$5,MATCH(BUILDING!V197,ITEM_RES!$J$5:$J$226,0)-1,0),0)</f>
        <v>0</v>
      </c>
      <c r="Z197" s="9">
        <f ca="1">IFERROR(OFFSET(ITEM_RES!$A$5,MATCH(BUILDING!Y197,ITEM_RES!$J$5:$J$226,0)-1,0),0)</f>
        <v>0</v>
      </c>
      <c r="AB197" s="9" t="s">
        <v>545</v>
      </c>
      <c r="AC197" s="9">
        <v>13</v>
      </c>
      <c r="AE197" s="9">
        <v>14000</v>
      </c>
      <c r="AG197" s="56">
        <f t="shared" si="79"/>
        <v>7350</v>
      </c>
      <c r="AH197" s="10">
        <f t="shared" si="85"/>
        <v>13650</v>
      </c>
      <c r="AJ197" s="11">
        <f t="shared" si="80"/>
        <v>65</v>
      </c>
      <c r="AK197" s="10">
        <v>65</v>
      </c>
      <c r="AL197" s="11">
        <f t="shared" si="81"/>
        <v>350</v>
      </c>
      <c r="AM197" s="10">
        <v>350</v>
      </c>
      <c r="AN197" s="11">
        <f t="shared" si="82"/>
        <v>350</v>
      </c>
      <c r="AO197" s="10">
        <v>350</v>
      </c>
      <c r="AP197" s="56">
        <f t="shared" si="83"/>
        <v>2</v>
      </c>
      <c r="AR197" s="11">
        <f ca="1">IFERROR(OFFSET(ITEM_RES!$A$1,MATCH(AS197,ITEM_RES!$J:$J,0)-1,0),0)</f>
        <v>211020801</v>
      </c>
      <c r="AS197" s="10" t="s">
        <v>407</v>
      </c>
      <c r="AT197" s="11">
        <v>1750</v>
      </c>
      <c r="AW197" s="11">
        <f ca="1">IFERROR(OFFSET(ITEM_RES!$A$1,MATCH(AX197,ITEM_RES!$J:$J,0)-1,0),0)</f>
        <v>211020901</v>
      </c>
      <c r="AX197" s="10" t="s">
        <v>408</v>
      </c>
      <c r="AY197" s="11">
        <v>1750</v>
      </c>
      <c r="BB197" s="11">
        <f ca="1">IFERROR(OFFSET(ITEM_RES!$A$1,MATCH(BC197,ITEM_RES!$J:$J,0)-1,0),0)</f>
        <v>0</v>
      </c>
      <c r="BG197" s="11">
        <f ca="1">IFERROR(OFFSET(ITEM_RES!$A$1,MATCH(BH197,ITEM_RES!$J:$J,0)-1,0),0)</f>
        <v>0</v>
      </c>
      <c r="BL197" s="11">
        <f ca="1">IFERROR(OFFSET(ITEM_RES!$A$1,MATCH(BM197,ITEM_RES!$J:$J,0)-1,0),0)</f>
        <v>0</v>
      </c>
      <c r="BN197" s="11">
        <f t="shared" si="84"/>
        <v>0</v>
      </c>
    </row>
    <row r="198" spans="1:67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531</v>
      </c>
      <c r="L198" s="56" t="s">
        <v>1054</v>
      </c>
      <c r="M198" s="56"/>
      <c r="N198" s="9">
        <v>1</v>
      </c>
      <c r="O198" s="9">
        <v>15</v>
      </c>
      <c r="T198" s="9" t="s">
        <v>737</v>
      </c>
      <c r="W198" s="9">
        <f ca="1">IFERROR(OFFSET(ITEM_RES!$A$5,MATCH(BUILDING!V198,ITEM_RES!$J$5:$J$226,0)-1,0),0)</f>
        <v>0</v>
      </c>
      <c r="Z198" s="9">
        <f ca="1">IFERROR(OFFSET(ITEM_RES!$A$5,MATCH(BUILDING!Y198,ITEM_RES!$J$5:$J$226,0)-1,0),0)</f>
        <v>0</v>
      </c>
      <c r="AB198" s="9" t="s">
        <v>545</v>
      </c>
      <c r="AC198" s="9">
        <v>14</v>
      </c>
      <c r="AE198" s="9">
        <v>18000</v>
      </c>
      <c r="AG198" s="56">
        <f t="shared" si="79"/>
        <v>9450</v>
      </c>
      <c r="AH198" s="10">
        <f t="shared" si="85"/>
        <v>16800</v>
      </c>
      <c r="AJ198" s="11">
        <f t="shared" si="80"/>
        <v>70</v>
      </c>
      <c r="AK198" s="10">
        <v>70</v>
      </c>
      <c r="AL198" s="11">
        <f t="shared" si="81"/>
        <v>450</v>
      </c>
      <c r="AM198" s="10">
        <v>450</v>
      </c>
      <c r="AN198" s="11">
        <f t="shared" si="82"/>
        <v>450</v>
      </c>
      <c r="AO198" s="10">
        <v>450</v>
      </c>
      <c r="AP198" s="56">
        <f t="shared" si="83"/>
        <v>2</v>
      </c>
      <c r="AR198" s="11">
        <f ca="1">IFERROR(OFFSET(ITEM_RES!$A$1,MATCH(AS198,ITEM_RES!$J:$J,0)-1,0),0)</f>
        <v>211020801</v>
      </c>
      <c r="AS198" s="10" t="s">
        <v>407</v>
      </c>
      <c r="AT198" s="11">
        <v>2250</v>
      </c>
      <c r="AW198" s="11">
        <f ca="1">IFERROR(OFFSET(ITEM_RES!$A$1,MATCH(AX198,ITEM_RES!$J:$J,0)-1,0),0)</f>
        <v>211020901</v>
      </c>
      <c r="AX198" s="10" t="s">
        <v>408</v>
      </c>
      <c r="AY198" s="11">
        <v>2250</v>
      </c>
      <c r="BB198" s="11">
        <f ca="1">IFERROR(OFFSET(ITEM_RES!$A$1,MATCH(BC198,ITEM_RES!$J:$J,0)-1,0),0)</f>
        <v>0</v>
      </c>
      <c r="BG198" s="11">
        <f ca="1">IFERROR(OFFSET(ITEM_RES!$A$1,MATCH(BH198,ITEM_RES!$J:$J,0)-1,0),0)</f>
        <v>0</v>
      </c>
      <c r="BL198" s="11">
        <f ca="1">IFERROR(OFFSET(ITEM_RES!$A$1,MATCH(BM198,ITEM_RES!$J:$J,0)-1,0),0)</f>
        <v>0</v>
      </c>
      <c r="BN198" s="11">
        <f t="shared" si="84"/>
        <v>0</v>
      </c>
    </row>
    <row r="199" spans="1:67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531</v>
      </c>
      <c r="L199" s="56" t="s">
        <v>1054</v>
      </c>
      <c r="M199" s="56"/>
      <c r="N199" s="9">
        <v>1</v>
      </c>
      <c r="O199" s="9">
        <v>15</v>
      </c>
      <c r="T199" s="9" t="s">
        <v>737</v>
      </c>
      <c r="W199" s="9">
        <f ca="1">IFERROR(OFFSET(ITEM_RES!$A$5,MATCH(BUILDING!V199,ITEM_RES!$J$5:$J$226,0)-1,0),0)</f>
        <v>0</v>
      </c>
      <c r="Z199" s="9">
        <f ca="1">IFERROR(OFFSET(ITEM_RES!$A$5,MATCH(BUILDING!Y199,ITEM_RES!$J$5:$J$226,0)-1,0),0)</f>
        <v>0</v>
      </c>
      <c r="AB199" s="9" t="s">
        <v>545</v>
      </c>
      <c r="AC199" s="9">
        <v>15</v>
      </c>
      <c r="AE199" s="9">
        <v>22000</v>
      </c>
      <c r="AG199" s="56">
        <f t="shared" si="79"/>
        <v>11550</v>
      </c>
      <c r="AH199" s="10">
        <f t="shared" si="85"/>
        <v>21000</v>
      </c>
      <c r="AJ199" s="11">
        <f t="shared" si="80"/>
        <v>75</v>
      </c>
      <c r="AK199" s="10">
        <v>75</v>
      </c>
      <c r="AL199" s="11">
        <f t="shared" si="81"/>
        <v>550</v>
      </c>
      <c r="AM199" s="10">
        <v>550</v>
      </c>
      <c r="AN199" s="11">
        <f t="shared" si="82"/>
        <v>550</v>
      </c>
      <c r="AO199" s="10">
        <v>550</v>
      </c>
      <c r="AP199" s="56">
        <f t="shared" si="83"/>
        <v>2</v>
      </c>
      <c r="AR199" s="11">
        <f ca="1">IFERROR(OFFSET(ITEM_RES!$A$1,MATCH(AS199,ITEM_RES!$J:$J,0)-1,0),0)</f>
        <v>211020801</v>
      </c>
      <c r="AS199" s="10" t="s">
        <v>407</v>
      </c>
      <c r="AT199" s="11">
        <v>2750</v>
      </c>
      <c r="AW199" s="11">
        <f ca="1">IFERROR(OFFSET(ITEM_RES!$A$1,MATCH(AX199,ITEM_RES!$J:$J,0)-1,0),0)</f>
        <v>211020901</v>
      </c>
      <c r="AX199" s="10" t="s">
        <v>408</v>
      </c>
      <c r="AY199" s="11">
        <v>2750</v>
      </c>
      <c r="BB199" s="11">
        <f ca="1">IFERROR(OFFSET(ITEM_RES!$A$1,MATCH(BC199,ITEM_RES!$J:$J,0)-1,0),0)</f>
        <v>0</v>
      </c>
      <c r="BG199" s="11">
        <f ca="1">IFERROR(OFFSET(ITEM_RES!$A$1,MATCH(BH199,ITEM_RES!$J:$J,0)-1,0),0)</f>
        <v>0</v>
      </c>
      <c r="BL199" s="11">
        <f ca="1">IFERROR(OFFSET(ITEM_RES!$A$1,MATCH(BM199,ITEM_RES!$J:$J,0)-1,0),0)</f>
        <v>0</v>
      </c>
      <c r="BN199" s="11">
        <f t="shared" si="84"/>
        <v>0</v>
      </c>
    </row>
    <row r="200" spans="1:67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531</v>
      </c>
      <c r="L200" s="56" t="s">
        <v>1054</v>
      </c>
      <c r="M200" s="56"/>
      <c r="N200" s="9">
        <v>0</v>
      </c>
      <c r="O200" s="9">
        <v>15</v>
      </c>
      <c r="T200" s="9" t="s">
        <v>737</v>
      </c>
      <c r="W200" s="9">
        <f ca="1">IFERROR(OFFSET(ITEM_RES!$A$5,MATCH(BUILDING!V200,ITEM_RES!$J$5:$J$226,0)-1,0),0)</f>
        <v>0</v>
      </c>
      <c r="Z200" s="9">
        <f ca="1">IFERROR(OFFSET(ITEM_RES!$A$5,MATCH(BUILDING!Y200,ITEM_RES!$J$5:$J$226,0)-1,0),0)</f>
        <v>0</v>
      </c>
      <c r="AB200" s="9" t="s">
        <v>545</v>
      </c>
      <c r="AC200" s="9">
        <v>16</v>
      </c>
      <c r="AE200" s="9">
        <v>28000</v>
      </c>
      <c r="AG200" s="56">
        <f t="shared" si="79"/>
        <v>14700</v>
      </c>
      <c r="AH200" s="10">
        <f t="shared" si="85"/>
        <v>26250</v>
      </c>
      <c r="AJ200" s="11">
        <f t="shared" si="80"/>
        <v>80</v>
      </c>
      <c r="AK200" s="10">
        <v>80</v>
      </c>
      <c r="AL200" s="11">
        <f t="shared" si="81"/>
        <v>700</v>
      </c>
      <c r="AM200" s="10">
        <v>700</v>
      </c>
      <c r="AN200" s="11">
        <f t="shared" si="82"/>
        <v>700</v>
      </c>
      <c r="AO200" s="10">
        <v>700</v>
      </c>
      <c r="AP200" s="56">
        <f t="shared" si="83"/>
        <v>2</v>
      </c>
      <c r="AR200" s="11">
        <f ca="1">IFERROR(OFFSET(ITEM_RES!$A$1,MATCH(AS200,ITEM_RES!$J:$J,0)-1,0),0)</f>
        <v>211020801</v>
      </c>
      <c r="AS200" s="10" t="s">
        <v>407</v>
      </c>
      <c r="AT200" s="11">
        <v>3500</v>
      </c>
      <c r="AW200" s="11">
        <f ca="1">IFERROR(OFFSET(ITEM_RES!$A$1,MATCH(AX200,ITEM_RES!$J:$J,0)-1,0),0)</f>
        <v>211020901</v>
      </c>
      <c r="AX200" s="10" t="s">
        <v>408</v>
      </c>
      <c r="AY200" s="11">
        <v>3500</v>
      </c>
      <c r="BB200" s="11">
        <f ca="1">IFERROR(OFFSET(ITEM_RES!$A$1,MATCH(BC200,ITEM_RES!$J:$J,0)-1,0),0)</f>
        <v>0</v>
      </c>
      <c r="BG200" s="11">
        <f ca="1">IFERROR(OFFSET(ITEM_RES!$A$1,MATCH(BH200,ITEM_RES!$J:$J,0)-1,0),0)</f>
        <v>0</v>
      </c>
      <c r="BL200" s="11">
        <f ca="1">IFERROR(OFFSET(ITEM_RES!$A$1,MATCH(BM200,ITEM_RES!$J:$J,0)-1,0),0)</f>
        <v>0</v>
      </c>
      <c r="BN200" s="11">
        <f t="shared" si="84"/>
        <v>0</v>
      </c>
    </row>
    <row r="201" spans="1:67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531</v>
      </c>
      <c r="L201" s="56" t="s">
        <v>1054</v>
      </c>
      <c r="M201" s="56"/>
      <c r="N201" s="9">
        <v>0</v>
      </c>
      <c r="O201" s="9">
        <v>15</v>
      </c>
      <c r="T201" s="9" t="s">
        <v>737</v>
      </c>
      <c r="W201" s="9">
        <f ca="1">IFERROR(OFFSET(ITEM_RES!$A$5,MATCH(BUILDING!V201,ITEM_RES!$J$5:$J$226,0)-1,0),0)</f>
        <v>0</v>
      </c>
      <c r="Z201" s="9">
        <f ca="1">IFERROR(OFFSET(ITEM_RES!$A$5,MATCH(BUILDING!Y201,ITEM_RES!$J$5:$J$226,0)-1,0),0)</f>
        <v>0</v>
      </c>
      <c r="AB201" s="9" t="s">
        <v>545</v>
      </c>
      <c r="AC201" s="9">
        <v>17</v>
      </c>
      <c r="AE201" s="9">
        <v>34000</v>
      </c>
      <c r="AG201" s="56">
        <f t="shared" si="79"/>
        <v>17850</v>
      </c>
      <c r="AH201" s="10">
        <f t="shared" si="85"/>
        <v>32550</v>
      </c>
      <c r="AJ201" s="11">
        <f t="shared" si="80"/>
        <v>85</v>
      </c>
      <c r="AK201" s="10">
        <v>85</v>
      </c>
      <c r="AL201" s="11">
        <f t="shared" si="81"/>
        <v>850</v>
      </c>
      <c r="AM201" s="10">
        <v>850</v>
      </c>
      <c r="AN201" s="11">
        <f t="shared" si="82"/>
        <v>850</v>
      </c>
      <c r="AO201" s="10">
        <v>850</v>
      </c>
      <c r="AP201" s="56">
        <f t="shared" si="83"/>
        <v>2</v>
      </c>
      <c r="AR201" s="11">
        <f ca="1">IFERROR(OFFSET(ITEM_RES!$A$1,MATCH(AS201,ITEM_RES!$J:$J,0)-1,0),0)</f>
        <v>211020801</v>
      </c>
      <c r="AS201" s="10" t="s">
        <v>407</v>
      </c>
      <c r="AT201" s="11">
        <v>4250</v>
      </c>
      <c r="AW201" s="11">
        <f ca="1">IFERROR(OFFSET(ITEM_RES!$A$1,MATCH(AX201,ITEM_RES!$J:$J,0)-1,0),0)</f>
        <v>211020901</v>
      </c>
      <c r="AX201" s="10" t="s">
        <v>408</v>
      </c>
      <c r="AY201" s="11">
        <v>4250</v>
      </c>
      <c r="BB201" s="11">
        <f ca="1">IFERROR(OFFSET(ITEM_RES!$A$1,MATCH(BC201,ITEM_RES!$J:$J,0)-1,0),0)</f>
        <v>0</v>
      </c>
      <c r="BG201" s="11">
        <f ca="1">IFERROR(OFFSET(ITEM_RES!$A$1,MATCH(BH201,ITEM_RES!$J:$J,0)-1,0),0)</f>
        <v>0</v>
      </c>
      <c r="BL201" s="11">
        <f ca="1">IFERROR(OFFSET(ITEM_RES!$A$1,MATCH(BM201,ITEM_RES!$J:$J,0)-1,0),0)</f>
        <v>0</v>
      </c>
      <c r="BN201" s="11">
        <f t="shared" si="84"/>
        <v>0</v>
      </c>
    </row>
    <row r="202" spans="1:67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531</v>
      </c>
      <c r="L202" s="56" t="s">
        <v>1054</v>
      </c>
      <c r="M202" s="56"/>
      <c r="N202" s="9">
        <v>0</v>
      </c>
      <c r="O202" s="9">
        <v>15</v>
      </c>
      <c r="T202" s="9" t="s">
        <v>737</v>
      </c>
      <c r="W202" s="9">
        <f ca="1">IFERROR(OFFSET(ITEM_RES!$A$5,MATCH(BUILDING!V202,ITEM_RES!$J$5:$J$226,0)-1,0),0)</f>
        <v>0</v>
      </c>
      <c r="Z202" s="9">
        <f ca="1">IFERROR(OFFSET(ITEM_RES!$A$5,MATCH(BUILDING!Y202,ITEM_RES!$J$5:$J$226,0)-1,0),0)</f>
        <v>0</v>
      </c>
      <c r="AB202" s="9" t="s">
        <v>545</v>
      </c>
      <c r="AC202" s="9">
        <v>18</v>
      </c>
      <c r="AE202" s="9">
        <v>42000</v>
      </c>
      <c r="AG202" s="56">
        <f t="shared" si="79"/>
        <v>22050</v>
      </c>
      <c r="AH202" s="10">
        <f t="shared" si="85"/>
        <v>39900</v>
      </c>
      <c r="AJ202" s="11">
        <f t="shared" si="80"/>
        <v>90</v>
      </c>
      <c r="AK202" s="10">
        <v>90</v>
      </c>
      <c r="AL202" s="11">
        <f t="shared" si="81"/>
        <v>1050</v>
      </c>
      <c r="AM202" s="10">
        <v>1050</v>
      </c>
      <c r="AN202" s="11">
        <f t="shared" si="82"/>
        <v>1050</v>
      </c>
      <c r="AO202" s="10">
        <v>1050</v>
      </c>
      <c r="AP202" s="56">
        <f t="shared" si="83"/>
        <v>2</v>
      </c>
      <c r="AR202" s="11">
        <f ca="1">IFERROR(OFFSET(ITEM_RES!$A$1,MATCH(AS202,ITEM_RES!$J:$J,0)-1,0),0)</f>
        <v>211020801</v>
      </c>
      <c r="AS202" s="10" t="s">
        <v>407</v>
      </c>
      <c r="AT202" s="11">
        <v>5250</v>
      </c>
      <c r="AW202" s="11">
        <f ca="1">IFERROR(OFFSET(ITEM_RES!$A$1,MATCH(AX202,ITEM_RES!$J:$J,0)-1,0),0)</f>
        <v>211020901</v>
      </c>
      <c r="AX202" s="10" t="s">
        <v>408</v>
      </c>
      <c r="AY202" s="11">
        <v>5250</v>
      </c>
      <c r="BB202" s="11">
        <f ca="1">IFERROR(OFFSET(ITEM_RES!$A$1,MATCH(BC202,ITEM_RES!$J:$J,0)-1,0),0)</f>
        <v>0</v>
      </c>
      <c r="BG202" s="11">
        <f ca="1">IFERROR(OFFSET(ITEM_RES!$A$1,MATCH(BH202,ITEM_RES!$J:$J,0)-1,0),0)</f>
        <v>0</v>
      </c>
      <c r="BL202" s="11">
        <f ca="1">IFERROR(OFFSET(ITEM_RES!$A$1,MATCH(BM202,ITEM_RES!$J:$J,0)-1,0),0)</f>
        <v>0</v>
      </c>
      <c r="BN202" s="11">
        <f t="shared" si="84"/>
        <v>0</v>
      </c>
    </row>
    <row r="203" spans="1:67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531</v>
      </c>
      <c r="L203" s="56" t="s">
        <v>1054</v>
      </c>
      <c r="M203" s="56"/>
      <c r="N203" s="9">
        <v>0</v>
      </c>
      <c r="O203" s="9">
        <v>15</v>
      </c>
      <c r="T203" s="9" t="s">
        <v>737</v>
      </c>
      <c r="W203" s="9">
        <f ca="1">IFERROR(OFFSET(ITEM_RES!$A$5,MATCH(BUILDING!V203,ITEM_RES!$J$5:$J$226,0)-1,0),0)</f>
        <v>0</v>
      </c>
      <c r="Z203" s="9">
        <f ca="1">IFERROR(OFFSET(ITEM_RES!$A$5,MATCH(BUILDING!Y203,ITEM_RES!$J$5:$J$226,0)-1,0),0)</f>
        <v>0</v>
      </c>
      <c r="AB203" s="9" t="s">
        <v>545</v>
      </c>
      <c r="AC203" s="9">
        <v>19</v>
      </c>
      <c r="AE203" s="9">
        <v>50000</v>
      </c>
      <c r="AG203" s="56">
        <f t="shared" si="79"/>
        <v>26250</v>
      </c>
      <c r="AH203" s="10">
        <f t="shared" si="85"/>
        <v>48300</v>
      </c>
      <c r="AJ203" s="11">
        <f t="shared" si="80"/>
        <v>95</v>
      </c>
      <c r="AK203" s="10">
        <v>95</v>
      </c>
      <c r="AL203" s="11">
        <f t="shared" si="81"/>
        <v>1250</v>
      </c>
      <c r="AM203" s="10">
        <v>1250</v>
      </c>
      <c r="AN203" s="11">
        <f t="shared" si="82"/>
        <v>1250</v>
      </c>
      <c r="AO203" s="10">
        <v>1250</v>
      </c>
      <c r="AP203" s="56">
        <f t="shared" si="83"/>
        <v>2</v>
      </c>
      <c r="AR203" s="11">
        <f ca="1">IFERROR(OFFSET(ITEM_RES!$A$1,MATCH(AS203,ITEM_RES!$J:$J,0)-1,0),0)</f>
        <v>211020901</v>
      </c>
      <c r="AS203" s="10" t="s">
        <v>408</v>
      </c>
      <c r="AT203" s="11">
        <v>6250</v>
      </c>
      <c r="AW203" s="11">
        <f ca="1">IFERROR(OFFSET(ITEM_RES!$A$1,MATCH(AX203,ITEM_RES!$J:$J,0)-1,0),0)</f>
        <v>211020501</v>
      </c>
      <c r="AX203" s="10" t="s">
        <v>441</v>
      </c>
      <c r="AY203" s="11">
        <v>6250</v>
      </c>
      <c r="BB203" s="11">
        <f ca="1">IFERROR(OFFSET(ITEM_RES!$A$1,MATCH(BC203,ITEM_RES!$J:$J,0)-1,0),0)</f>
        <v>0</v>
      </c>
      <c r="BG203" s="11">
        <f ca="1">IFERROR(OFFSET(ITEM_RES!$A$1,MATCH(BH203,ITEM_RES!$J:$J,0)-1,0),0)</f>
        <v>0</v>
      </c>
      <c r="BL203" s="11">
        <f ca="1">IFERROR(OFFSET(ITEM_RES!$A$1,MATCH(BM203,ITEM_RES!$J:$J,0)-1,0),0)</f>
        <v>0</v>
      </c>
      <c r="BN203" s="11">
        <f t="shared" si="84"/>
        <v>0</v>
      </c>
    </row>
    <row r="204" spans="1:67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531</v>
      </c>
      <c r="L204" s="56" t="s">
        <v>1054</v>
      </c>
      <c r="M204" s="56"/>
      <c r="N204" s="9">
        <v>0</v>
      </c>
      <c r="O204" s="9">
        <v>15</v>
      </c>
      <c r="T204" s="9" t="s">
        <v>737</v>
      </c>
      <c r="W204" s="9">
        <f ca="1">IFERROR(OFFSET(ITEM_RES!$A$5,MATCH(BUILDING!V204,ITEM_RES!$J$5:$J$226,0)-1,0),0)</f>
        <v>0</v>
      </c>
      <c r="Z204" s="9">
        <f ca="1">IFERROR(OFFSET(ITEM_RES!$A$5,MATCH(BUILDING!Y204,ITEM_RES!$J$5:$J$226,0)-1,0),0)</f>
        <v>0</v>
      </c>
      <c r="AB204" s="9" t="s">
        <v>545</v>
      </c>
      <c r="AC204" s="9">
        <v>20</v>
      </c>
      <c r="AE204" s="9">
        <v>60000</v>
      </c>
      <c r="AG204" s="56">
        <f t="shared" si="79"/>
        <v>31500</v>
      </c>
      <c r="AH204" s="10">
        <f t="shared" si="85"/>
        <v>57750</v>
      </c>
      <c r="AJ204" s="11">
        <f t="shared" si="80"/>
        <v>100</v>
      </c>
      <c r="AK204" s="10">
        <v>100</v>
      </c>
      <c r="AL204" s="11">
        <f t="shared" si="81"/>
        <v>1500</v>
      </c>
      <c r="AM204" s="10">
        <v>1500</v>
      </c>
      <c r="AN204" s="11">
        <f t="shared" si="82"/>
        <v>1500</v>
      </c>
      <c r="AO204" s="10">
        <v>1500</v>
      </c>
      <c r="AP204" s="56">
        <f t="shared" si="83"/>
        <v>2</v>
      </c>
      <c r="AR204" s="11">
        <f ca="1">IFERROR(OFFSET(ITEM_RES!$A$1,MATCH(AS204,ITEM_RES!$J:$J,0)-1,0),0)</f>
        <v>211020901</v>
      </c>
      <c r="AS204" s="10" t="s">
        <v>532</v>
      </c>
      <c r="AT204" s="11">
        <v>7500</v>
      </c>
      <c r="AW204" s="11">
        <f ca="1">IFERROR(OFFSET(ITEM_RES!$A$1,MATCH(AX204,ITEM_RES!$J:$J,0)-1,0),0)</f>
        <v>211020501</v>
      </c>
      <c r="AX204" s="10" t="s">
        <v>441</v>
      </c>
      <c r="AY204" s="11">
        <v>7500</v>
      </c>
      <c r="BB204" s="11">
        <f ca="1">IFERROR(OFFSET(ITEM_RES!$A$1,MATCH(BC204,ITEM_RES!$J:$J,0)-1,0),0)</f>
        <v>0</v>
      </c>
      <c r="BG204" s="11">
        <f ca="1">IFERROR(OFFSET(ITEM_RES!$A$1,MATCH(BH204,ITEM_RES!$J:$J,0)-1,0),0)</f>
        <v>0</v>
      </c>
      <c r="BL204" s="11">
        <f ca="1">IFERROR(OFFSET(ITEM_RES!$A$1,MATCH(BM204,ITEM_RES!$J:$J,0)-1,0),0)</f>
        <v>0</v>
      </c>
      <c r="BN204" s="11">
        <f t="shared" si="84"/>
        <v>0</v>
      </c>
    </row>
    <row r="205" spans="1:67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598</v>
      </c>
      <c r="L205" s="64" t="s">
        <v>1055</v>
      </c>
      <c r="M205" s="64"/>
      <c r="N205" s="16">
        <v>1</v>
      </c>
      <c r="O205" s="16">
        <v>15</v>
      </c>
      <c r="P205" s="16"/>
      <c r="Q205" s="17"/>
      <c r="R205" s="17"/>
      <c r="S205" s="18"/>
      <c r="T205" s="16" t="s">
        <v>738</v>
      </c>
      <c r="U205" s="79"/>
      <c r="V205" s="87"/>
      <c r="W205" s="16">
        <f ca="1">IFERROR(OFFSET(ITEM_RES!$A$5,MATCH(BUILDING!V205,ITEM_RES!$J$5:$J$226,0)-1,0),0)</f>
        <v>0</v>
      </c>
      <c r="X205" s="18"/>
      <c r="Y205" s="87"/>
      <c r="Z205" s="16">
        <f ca="1">IFERROR(OFFSET(ITEM_RES!$A$5,MATCH(BUILDING!Y205,ITEM_RES!$J$5:$J$226,0)-1,0),0)</f>
        <v>0</v>
      </c>
      <c r="AA205" s="79"/>
      <c r="AB205" s="16" t="s">
        <v>599</v>
      </c>
      <c r="AC205" s="16">
        <v>1</v>
      </c>
      <c r="AD205" s="79"/>
      <c r="AE205" s="16">
        <v>0</v>
      </c>
      <c r="AF205" s="79"/>
      <c r="AG205" s="57">
        <f t="shared" ref="AG205:AG224" si="89">AM205*10+AO205+AT205+AY205+500*BD205+500*BI205+500*BN205</f>
        <v>580</v>
      </c>
      <c r="AH205" s="17">
        <f>AG205</f>
        <v>580</v>
      </c>
      <c r="AI205" s="79"/>
      <c r="AJ205" s="18">
        <f t="shared" ref="AJ205:AJ224" si="90">ROUND(AK205,0)</f>
        <v>5</v>
      </c>
      <c r="AK205" s="17">
        <v>5</v>
      </c>
      <c r="AL205" s="18">
        <f t="shared" ref="AL205:AL224" si="91">ROUND(AM205,0)</f>
        <v>5</v>
      </c>
      <c r="AM205" s="17">
        <v>5</v>
      </c>
      <c r="AN205" s="18">
        <f t="shared" ref="AN205:AN224" si="92">ROUND(AO205,0)</f>
        <v>5</v>
      </c>
      <c r="AO205" s="17">
        <v>5</v>
      </c>
      <c r="AP205" s="57">
        <f t="shared" ref="AP205:AP224" si="93">(AT205&gt;0)*1+(AY205&gt;0)*1+(BD205&gt;0)*1+(BI205&gt;0)*1+(BN205&gt;0)*1</f>
        <v>2</v>
      </c>
      <c r="AQ205" s="18"/>
      <c r="AR205" s="18">
        <f ca="1">IFERROR(OFFSET(ITEM_RES!$A$1,MATCH(AS205,ITEM_RES!$J:$J,0)-1,0),0)</f>
        <v>211020801</v>
      </c>
      <c r="AS205" s="17" t="s">
        <v>407</v>
      </c>
      <c r="AT205" s="18">
        <v>25</v>
      </c>
      <c r="AU205" s="17"/>
      <c r="AV205" s="18"/>
      <c r="AW205" s="18">
        <f ca="1">IFERROR(OFFSET(ITEM_RES!$A$1,MATCH(AX205,ITEM_RES!$J:$J,0)-1,0),0)</f>
        <v>0</v>
      </c>
      <c r="AX205" s="17"/>
      <c r="AY205" s="18"/>
      <c r="AZ205" s="17"/>
      <c r="BA205" s="18"/>
      <c r="BB205" s="18">
        <f ca="1">IFERROR(OFFSET(ITEM_RES!$A$1,MATCH(BC205,ITEM_RES!$J:$J,0)-1,0),0)</f>
        <v>213010101</v>
      </c>
      <c r="BC205" s="17" t="s">
        <v>410</v>
      </c>
      <c r="BD205" s="18">
        <v>1</v>
      </c>
      <c r="BE205" s="17"/>
      <c r="BF205" s="18"/>
      <c r="BG205" s="18">
        <f ca="1">IFERROR(OFFSET(ITEM_RES!$A$1,MATCH(BH205,ITEM_RES!$J:$J,0)-1,0),0)</f>
        <v>0</v>
      </c>
      <c r="BH205" s="17"/>
      <c r="BI205" s="18"/>
      <c r="BJ205" s="17"/>
      <c r="BK205" s="18"/>
      <c r="BL205" s="18">
        <f ca="1">IFERROR(OFFSET(ITEM_RES!$A$1,MATCH(BM205,ITEM_RES!$J:$J,0)-1,0),0)</f>
        <v>0</v>
      </c>
      <c r="BM205" s="17"/>
      <c r="BN205" s="18">
        <f t="shared" ref="BN205:BN224" si="94">IF(BO205&lt;100,ROUND(BO205,1-LEN(ROUND(BO205,0))),ROUND(BO205,2-LEN(ROUND(BO205,0))))</f>
        <v>0</v>
      </c>
      <c r="BO205" s="17"/>
    </row>
    <row r="206" spans="1:67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598</v>
      </c>
      <c r="L206" s="56" t="s">
        <v>1055</v>
      </c>
      <c r="M206" s="56"/>
      <c r="N206" s="9">
        <v>1</v>
      </c>
      <c r="O206" s="9">
        <v>15</v>
      </c>
      <c r="P206" s="84"/>
      <c r="T206" s="9" t="s">
        <v>738</v>
      </c>
      <c r="W206" s="9">
        <f ca="1">IFERROR(OFFSET(ITEM_RES!$A$5,MATCH(BUILDING!V206,ITEM_RES!$J$5:$J$226,0)-1,0),0)</f>
        <v>0</v>
      </c>
      <c r="Z206" s="9">
        <f ca="1">IFERROR(OFFSET(ITEM_RES!$A$5,MATCH(BUILDING!Y206,ITEM_RES!$J$5:$J$226,0)-1,0),0)</f>
        <v>0</v>
      </c>
      <c r="AB206" s="9" t="s">
        <v>599</v>
      </c>
      <c r="AC206" s="9">
        <v>2</v>
      </c>
      <c r="AE206" s="9">
        <v>200</v>
      </c>
      <c r="AG206" s="56">
        <f t="shared" si="89"/>
        <v>160</v>
      </c>
      <c r="AH206" s="10">
        <f>AG205+AG206</f>
        <v>740</v>
      </c>
      <c r="AJ206" s="11">
        <f t="shared" si="90"/>
        <v>10</v>
      </c>
      <c r="AK206" s="10">
        <v>10</v>
      </c>
      <c r="AL206" s="11">
        <f t="shared" si="91"/>
        <v>10</v>
      </c>
      <c r="AM206" s="10">
        <v>10</v>
      </c>
      <c r="AN206" s="11">
        <f t="shared" si="92"/>
        <v>10</v>
      </c>
      <c r="AO206" s="10">
        <v>10</v>
      </c>
      <c r="AP206" s="56">
        <f t="shared" si="93"/>
        <v>1</v>
      </c>
      <c r="AR206" s="11">
        <f ca="1">IFERROR(OFFSET(ITEM_RES!$A$1,MATCH(AS206,ITEM_RES!$J:$J,0)-1,0),0)</f>
        <v>211020801</v>
      </c>
      <c r="AS206" s="10" t="s">
        <v>407</v>
      </c>
      <c r="AT206" s="11">
        <v>50</v>
      </c>
      <c r="AW206" s="11">
        <f ca="1">IFERROR(OFFSET(ITEM_RES!$A$1,MATCH(AX206,ITEM_RES!$J:$J,0)-1,0),0)</f>
        <v>0</v>
      </c>
      <c r="BB206" s="11">
        <f ca="1">IFERROR(OFFSET(ITEM_RES!$A$1,MATCH(BC206,ITEM_RES!$J:$J,0)-1,0),0)</f>
        <v>0</v>
      </c>
      <c r="BG206" s="11">
        <f ca="1">IFERROR(OFFSET(ITEM_RES!$A$1,MATCH(BH206,ITEM_RES!$J:$J,0)-1,0),0)</f>
        <v>0</v>
      </c>
      <c r="BL206" s="11">
        <f ca="1">IFERROR(OFFSET(ITEM_RES!$A$1,MATCH(BM206,ITEM_RES!$J:$J,0)-1,0),0)</f>
        <v>0</v>
      </c>
      <c r="BN206" s="11">
        <f t="shared" si="94"/>
        <v>0</v>
      </c>
    </row>
    <row r="207" spans="1:67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598</v>
      </c>
      <c r="L207" s="56" t="s">
        <v>1055</v>
      </c>
      <c r="M207" s="56"/>
      <c r="N207" s="9">
        <v>1</v>
      </c>
      <c r="O207" s="9">
        <v>15</v>
      </c>
      <c r="T207" s="9" t="s">
        <v>738</v>
      </c>
      <c r="W207" s="9">
        <f ca="1">IFERROR(OFFSET(ITEM_RES!$A$5,MATCH(BUILDING!V207,ITEM_RES!$J$5:$J$226,0)-1,0),0)</f>
        <v>0</v>
      </c>
      <c r="Z207" s="9">
        <f ca="1">IFERROR(OFFSET(ITEM_RES!$A$5,MATCH(BUILDING!Y207,ITEM_RES!$J$5:$J$226,0)-1,0),0)</f>
        <v>0</v>
      </c>
      <c r="AB207" s="9" t="s">
        <v>599</v>
      </c>
      <c r="AC207" s="9">
        <v>3</v>
      </c>
      <c r="AE207" s="9">
        <v>600</v>
      </c>
      <c r="AG207" s="56">
        <f t="shared" si="89"/>
        <v>240</v>
      </c>
      <c r="AH207" s="10">
        <f t="shared" ref="AH207:AH224" si="95">AG206+AG207</f>
        <v>400</v>
      </c>
      <c r="AJ207" s="11">
        <f t="shared" si="90"/>
        <v>15</v>
      </c>
      <c r="AK207" s="10">
        <v>15</v>
      </c>
      <c r="AL207" s="11">
        <f t="shared" si="91"/>
        <v>15</v>
      </c>
      <c r="AM207" s="10">
        <v>15</v>
      </c>
      <c r="AN207" s="11">
        <f t="shared" si="92"/>
        <v>15</v>
      </c>
      <c r="AO207" s="10">
        <v>15</v>
      </c>
      <c r="AP207" s="56">
        <f t="shared" si="93"/>
        <v>1</v>
      </c>
      <c r="AR207" s="11">
        <f ca="1">IFERROR(OFFSET(ITEM_RES!$A$1,MATCH(AS207,ITEM_RES!$J:$J,0)-1,0),0)</f>
        <v>211020801</v>
      </c>
      <c r="AS207" s="10" t="s">
        <v>407</v>
      </c>
      <c r="AT207" s="11">
        <v>75</v>
      </c>
      <c r="AW207" s="11">
        <f ca="1">IFERROR(OFFSET(ITEM_RES!$A$1,MATCH(AX207,ITEM_RES!$J:$J,0)-1,0),0)</f>
        <v>0</v>
      </c>
      <c r="BB207" s="11">
        <f ca="1">IFERROR(OFFSET(ITEM_RES!$A$1,MATCH(BC207,ITEM_RES!$J:$J,0)-1,0),0)</f>
        <v>0</v>
      </c>
      <c r="BG207" s="11">
        <f ca="1">IFERROR(OFFSET(ITEM_RES!$A$1,MATCH(BH207,ITEM_RES!$J:$J,0)-1,0),0)</f>
        <v>0</v>
      </c>
      <c r="BL207" s="11">
        <f ca="1">IFERROR(OFFSET(ITEM_RES!$A$1,MATCH(BM207,ITEM_RES!$J:$J,0)-1,0),0)</f>
        <v>0</v>
      </c>
      <c r="BN207" s="11">
        <f t="shared" si="94"/>
        <v>0</v>
      </c>
    </row>
    <row r="208" spans="1:67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598</v>
      </c>
      <c r="L208" s="56" t="s">
        <v>1055</v>
      </c>
      <c r="M208" s="56"/>
      <c r="N208" s="9">
        <v>1</v>
      </c>
      <c r="O208" s="9">
        <v>15</v>
      </c>
      <c r="T208" s="9" t="s">
        <v>738</v>
      </c>
      <c r="W208" s="9">
        <f ca="1">IFERROR(OFFSET(ITEM_RES!$A$5,MATCH(BUILDING!V208,ITEM_RES!$J$5:$J$226,0)-1,0),0)</f>
        <v>0</v>
      </c>
      <c r="Z208" s="9">
        <f ca="1">IFERROR(OFFSET(ITEM_RES!$A$5,MATCH(BUILDING!Y208,ITEM_RES!$J$5:$J$226,0)-1,0),0)</f>
        <v>0</v>
      </c>
      <c r="AB208" s="9" t="s">
        <v>599</v>
      </c>
      <c r="AC208" s="9">
        <v>4</v>
      </c>
      <c r="AE208" s="9">
        <v>1000</v>
      </c>
      <c r="AG208" s="56">
        <f t="shared" si="89"/>
        <v>400</v>
      </c>
      <c r="AH208" s="10">
        <f t="shared" si="95"/>
        <v>640</v>
      </c>
      <c r="AJ208" s="11">
        <f t="shared" si="90"/>
        <v>20</v>
      </c>
      <c r="AK208" s="10">
        <v>20</v>
      </c>
      <c r="AL208" s="11">
        <f t="shared" si="91"/>
        <v>25</v>
      </c>
      <c r="AM208" s="10">
        <v>25</v>
      </c>
      <c r="AN208" s="11">
        <f t="shared" si="92"/>
        <v>25</v>
      </c>
      <c r="AO208" s="10">
        <v>25</v>
      </c>
      <c r="AP208" s="56">
        <f t="shared" si="93"/>
        <v>1</v>
      </c>
      <c r="AR208" s="11">
        <f ca="1">IFERROR(OFFSET(ITEM_RES!$A$1,MATCH(AS208,ITEM_RES!$J:$J,0)-1,0),0)</f>
        <v>211020801</v>
      </c>
      <c r="AS208" s="10" t="s">
        <v>407</v>
      </c>
      <c r="AT208" s="11">
        <v>125</v>
      </c>
      <c r="AW208" s="11">
        <f ca="1">IFERROR(OFFSET(ITEM_RES!$A$1,MATCH(AX208,ITEM_RES!$J:$J,0)-1,0),0)</f>
        <v>0</v>
      </c>
      <c r="BB208" s="11">
        <f ca="1">IFERROR(OFFSET(ITEM_RES!$A$1,MATCH(BC208,ITEM_RES!$J:$J,0)-1,0),0)</f>
        <v>0</v>
      </c>
      <c r="BG208" s="11">
        <f ca="1">IFERROR(OFFSET(ITEM_RES!$A$1,MATCH(BH208,ITEM_RES!$J:$J,0)-1,0),0)</f>
        <v>0</v>
      </c>
      <c r="BL208" s="11">
        <f ca="1">IFERROR(OFFSET(ITEM_RES!$A$1,MATCH(BM208,ITEM_RES!$J:$J,0)-1,0),0)</f>
        <v>0</v>
      </c>
      <c r="BN208" s="11">
        <f t="shared" si="94"/>
        <v>0</v>
      </c>
    </row>
    <row r="209" spans="1:66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598</v>
      </c>
      <c r="L209" s="56" t="s">
        <v>1055</v>
      </c>
      <c r="M209" s="56"/>
      <c r="N209" s="9">
        <v>1</v>
      </c>
      <c r="O209" s="9">
        <v>15</v>
      </c>
      <c r="T209" s="9" t="s">
        <v>738</v>
      </c>
      <c r="W209" s="9">
        <f ca="1">IFERROR(OFFSET(ITEM_RES!$A$5,MATCH(BUILDING!V209,ITEM_RES!$J$5:$J$226,0)-1,0),0)</f>
        <v>0</v>
      </c>
      <c r="Z209" s="9">
        <f ca="1">IFERROR(OFFSET(ITEM_RES!$A$5,MATCH(BUILDING!Y209,ITEM_RES!$J$5:$J$226,0)-1,0),0)</f>
        <v>0</v>
      </c>
      <c r="AB209" s="9" t="s">
        <v>599</v>
      </c>
      <c r="AC209" s="9">
        <v>5</v>
      </c>
      <c r="AE209" s="9">
        <v>1600</v>
      </c>
      <c r="AG209" s="56">
        <f t="shared" si="89"/>
        <v>640</v>
      </c>
      <c r="AH209" s="10">
        <f t="shared" si="95"/>
        <v>1040</v>
      </c>
      <c r="AJ209" s="11">
        <f t="shared" si="90"/>
        <v>25</v>
      </c>
      <c r="AK209" s="10">
        <v>25</v>
      </c>
      <c r="AL209" s="11">
        <f t="shared" si="91"/>
        <v>40</v>
      </c>
      <c r="AM209" s="10">
        <v>40</v>
      </c>
      <c r="AN209" s="11">
        <f t="shared" si="92"/>
        <v>40</v>
      </c>
      <c r="AO209" s="10">
        <v>40</v>
      </c>
      <c r="AP209" s="56">
        <f t="shared" si="93"/>
        <v>1</v>
      </c>
      <c r="AR209" s="11">
        <f ca="1">IFERROR(OFFSET(ITEM_RES!$A$1,MATCH(AS209,ITEM_RES!$J:$J,0)-1,0),0)</f>
        <v>211020801</v>
      </c>
      <c r="AS209" s="10" t="s">
        <v>407</v>
      </c>
      <c r="AT209" s="11">
        <v>200</v>
      </c>
      <c r="AW209" s="11">
        <f ca="1">IFERROR(OFFSET(ITEM_RES!$A$1,MATCH(AX209,ITEM_RES!$J:$J,0)-1,0),0)</f>
        <v>0</v>
      </c>
      <c r="BB209" s="11">
        <f ca="1">IFERROR(OFFSET(ITEM_RES!$A$1,MATCH(BC209,ITEM_RES!$J:$J,0)-1,0),0)</f>
        <v>0</v>
      </c>
      <c r="BG209" s="11">
        <f ca="1">IFERROR(OFFSET(ITEM_RES!$A$1,MATCH(BH209,ITEM_RES!$J:$J,0)-1,0),0)</f>
        <v>0</v>
      </c>
      <c r="BL209" s="11">
        <f ca="1">IFERROR(OFFSET(ITEM_RES!$A$1,MATCH(BM209,ITEM_RES!$J:$J,0)-1,0),0)</f>
        <v>0</v>
      </c>
      <c r="BN209" s="11">
        <f t="shared" si="94"/>
        <v>0</v>
      </c>
    </row>
    <row r="210" spans="1:66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598</v>
      </c>
      <c r="L210" s="56" t="s">
        <v>1055</v>
      </c>
      <c r="M210" s="56"/>
      <c r="N210" s="9">
        <v>1</v>
      </c>
      <c r="O210" s="9">
        <v>15</v>
      </c>
      <c r="T210" s="9" t="s">
        <v>738</v>
      </c>
      <c r="W210" s="9">
        <f ca="1">IFERROR(OFFSET(ITEM_RES!$A$5,MATCH(BUILDING!V210,ITEM_RES!$J$5:$J$226,0)-1,0),0)</f>
        <v>0</v>
      </c>
      <c r="Z210" s="9">
        <f ca="1">IFERROR(OFFSET(ITEM_RES!$A$5,MATCH(BUILDING!Y210,ITEM_RES!$J$5:$J$226,0)-1,0),0)</f>
        <v>0</v>
      </c>
      <c r="AB210" s="9" t="s">
        <v>599</v>
      </c>
      <c r="AC210" s="9">
        <v>6</v>
      </c>
      <c r="AE210" s="9">
        <v>2000</v>
      </c>
      <c r="AG210" s="56">
        <f t="shared" si="89"/>
        <v>800</v>
      </c>
      <c r="AH210" s="10">
        <f t="shared" si="95"/>
        <v>1440</v>
      </c>
      <c r="AJ210" s="11">
        <f t="shared" si="90"/>
        <v>30</v>
      </c>
      <c r="AK210" s="10">
        <v>30</v>
      </c>
      <c r="AL210" s="11">
        <f t="shared" si="91"/>
        <v>50</v>
      </c>
      <c r="AM210" s="10">
        <v>50</v>
      </c>
      <c r="AN210" s="11">
        <f t="shared" si="92"/>
        <v>50</v>
      </c>
      <c r="AO210" s="10">
        <v>50</v>
      </c>
      <c r="AP210" s="56">
        <f t="shared" si="93"/>
        <v>1</v>
      </c>
      <c r="AR210" s="11">
        <f ca="1">IFERROR(OFFSET(ITEM_RES!$A$1,MATCH(AS210,ITEM_RES!$J:$J,0)-1,0),0)</f>
        <v>211020801</v>
      </c>
      <c r="AS210" s="10" t="s">
        <v>407</v>
      </c>
      <c r="AT210" s="11">
        <v>250</v>
      </c>
      <c r="AW210" s="11">
        <f ca="1">IFERROR(OFFSET(ITEM_RES!$A$1,MATCH(AX210,ITEM_RES!$J:$J,0)-1,0),0)</f>
        <v>0</v>
      </c>
      <c r="BB210" s="11">
        <f ca="1">IFERROR(OFFSET(ITEM_RES!$A$1,MATCH(BC210,ITEM_RES!$J:$J,0)-1,0),0)</f>
        <v>0</v>
      </c>
      <c r="BG210" s="11">
        <f ca="1">IFERROR(OFFSET(ITEM_RES!$A$1,MATCH(BH210,ITEM_RES!$J:$J,0)-1,0),0)</f>
        <v>0</v>
      </c>
      <c r="BL210" s="11">
        <f ca="1">IFERROR(OFFSET(ITEM_RES!$A$1,MATCH(BM210,ITEM_RES!$J:$J,0)-1,0),0)</f>
        <v>0</v>
      </c>
      <c r="BN210" s="11">
        <f t="shared" si="94"/>
        <v>0</v>
      </c>
    </row>
    <row r="211" spans="1:66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598</v>
      </c>
      <c r="L211" s="56" t="s">
        <v>1055</v>
      </c>
      <c r="M211" s="56"/>
      <c r="N211" s="9">
        <v>1</v>
      </c>
      <c r="O211" s="9">
        <v>15</v>
      </c>
      <c r="T211" s="9" t="s">
        <v>738</v>
      </c>
      <c r="W211" s="9">
        <f ca="1">IFERROR(OFFSET(ITEM_RES!$A$5,MATCH(BUILDING!V211,ITEM_RES!$J$5:$J$226,0)-1,0),0)</f>
        <v>0</v>
      </c>
      <c r="Z211" s="9">
        <f ca="1">IFERROR(OFFSET(ITEM_RES!$A$5,MATCH(BUILDING!Y211,ITEM_RES!$J$5:$J$226,0)-1,0),0)</f>
        <v>0</v>
      </c>
      <c r="AB211" s="9" t="s">
        <v>599</v>
      </c>
      <c r="AC211" s="9">
        <v>7</v>
      </c>
      <c r="AE211" s="9">
        <v>4000</v>
      </c>
      <c r="AG211" s="56">
        <f t="shared" si="89"/>
        <v>1600</v>
      </c>
      <c r="AH211" s="10">
        <f t="shared" si="95"/>
        <v>2400</v>
      </c>
      <c r="AJ211" s="11">
        <f t="shared" si="90"/>
        <v>35</v>
      </c>
      <c r="AK211" s="10">
        <v>35</v>
      </c>
      <c r="AL211" s="11">
        <f t="shared" si="91"/>
        <v>100</v>
      </c>
      <c r="AM211" s="10">
        <v>100</v>
      </c>
      <c r="AN211" s="11">
        <f t="shared" si="92"/>
        <v>100</v>
      </c>
      <c r="AO211" s="10">
        <v>100</v>
      </c>
      <c r="AP211" s="56">
        <f t="shared" si="93"/>
        <v>1</v>
      </c>
      <c r="AR211" s="11">
        <f ca="1">IFERROR(OFFSET(ITEM_RES!$A$1,MATCH(AS211,ITEM_RES!$J:$J,0)-1,0),0)</f>
        <v>211020801</v>
      </c>
      <c r="AS211" s="10" t="s">
        <v>407</v>
      </c>
      <c r="AT211" s="11">
        <v>500</v>
      </c>
      <c r="AW211" s="11">
        <f ca="1">IFERROR(OFFSET(ITEM_RES!$A$1,MATCH(AX211,ITEM_RES!$J:$J,0)-1,0),0)</f>
        <v>0</v>
      </c>
      <c r="BB211" s="11">
        <f ca="1">IFERROR(OFFSET(ITEM_RES!$A$1,MATCH(BC211,ITEM_RES!$J:$J,0)-1,0),0)</f>
        <v>0</v>
      </c>
      <c r="BG211" s="11">
        <f ca="1">IFERROR(OFFSET(ITEM_RES!$A$1,MATCH(BH211,ITEM_RES!$J:$J,0)-1,0),0)</f>
        <v>0</v>
      </c>
      <c r="BL211" s="11">
        <f ca="1">IFERROR(OFFSET(ITEM_RES!$A$1,MATCH(BM211,ITEM_RES!$J:$J,0)-1,0),0)</f>
        <v>0</v>
      </c>
      <c r="BN211" s="11">
        <f t="shared" si="94"/>
        <v>0</v>
      </c>
    </row>
    <row r="212" spans="1:66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598</v>
      </c>
      <c r="L212" s="56" t="s">
        <v>1055</v>
      </c>
      <c r="M212" s="56"/>
      <c r="N212" s="9">
        <v>1</v>
      </c>
      <c r="O212" s="9">
        <v>15</v>
      </c>
      <c r="T212" s="9" t="s">
        <v>738</v>
      </c>
      <c r="W212" s="9">
        <f ca="1">IFERROR(OFFSET(ITEM_RES!$A$5,MATCH(BUILDING!V212,ITEM_RES!$J$5:$J$226,0)-1,0),0)</f>
        <v>0</v>
      </c>
      <c r="Z212" s="9">
        <f ca="1">IFERROR(OFFSET(ITEM_RES!$A$5,MATCH(BUILDING!Y212,ITEM_RES!$J$5:$J$226,0)-1,0),0)</f>
        <v>0</v>
      </c>
      <c r="AB212" s="9" t="s">
        <v>599</v>
      </c>
      <c r="AC212" s="9">
        <v>8</v>
      </c>
      <c r="AE212" s="9">
        <v>4000</v>
      </c>
      <c r="AG212" s="56">
        <f t="shared" si="89"/>
        <v>1600</v>
      </c>
      <c r="AH212" s="10">
        <f t="shared" si="95"/>
        <v>3200</v>
      </c>
      <c r="AJ212" s="11">
        <f t="shared" si="90"/>
        <v>40</v>
      </c>
      <c r="AK212" s="10">
        <v>40</v>
      </c>
      <c r="AL212" s="11">
        <f t="shared" si="91"/>
        <v>100</v>
      </c>
      <c r="AM212" s="10">
        <v>100</v>
      </c>
      <c r="AN212" s="11">
        <f t="shared" si="92"/>
        <v>100</v>
      </c>
      <c r="AO212" s="10">
        <v>100</v>
      </c>
      <c r="AP212" s="56">
        <f t="shared" si="93"/>
        <v>1</v>
      </c>
      <c r="AR212" s="11">
        <f ca="1">IFERROR(OFFSET(ITEM_RES!$A$1,MATCH(AS212,ITEM_RES!$J:$J,0)-1,0),0)</f>
        <v>211020801</v>
      </c>
      <c r="AS212" s="10" t="s">
        <v>407</v>
      </c>
      <c r="AT212" s="11">
        <v>500</v>
      </c>
      <c r="AW212" s="11">
        <f ca="1">IFERROR(OFFSET(ITEM_RES!$A$1,MATCH(AX212,ITEM_RES!$J:$J,0)-1,0),0)</f>
        <v>0</v>
      </c>
      <c r="BB212" s="11">
        <f ca="1">IFERROR(OFFSET(ITEM_RES!$A$1,MATCH(BC212,ITEM_RES!$J:$J,0)-1,0),0)</f>
        <v>0</v>
      </c>
      <c r="BG212" s="11">
        <f ca="1">IFERROR(OFFSET(ITEM_RES!$A$1,MATCH(BH212,ITEM_RES!$J:$J,0)-1,0),0)</f>
        <v>0</v>
      </c>
      <c r="BL212" s="11">
        <f ca="1">IFERROR(OFFSET(ITEM_RES!$A$1,MATCH(BM212,ITEM_RES!$J:$J,0)-1,0),0)</f>
        <v>0</v>
      </c>
      <c r="BN212" s="11">
        <f t="shared" si="94"/>
        <v>0</v>
      </c>
    </row>
    <row r="213" spans="1:66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598</v>
      </c>
      <c r="L213" s="56" t="s">
        <v>1055</v>
      </c>
      <c r="M213" s="56"/>
      <c r="N213" s="9">
        <v>1</v>
      </c>
      <c r="O213" s="9">
        <v>15</v>
      </c>
      <c r="T213" s="9" t="s">
        <v>738</v>
      </c>
      <c r="W213" s="9">
        <f ca="1">IFERROR(OFFSET(ITEM_RES!$A$5,MATCH(BUILDING!V213,ITEM_RES!$J$5:$J$226,0)-1,0),0)</f>
        <v>0</v>
      </c>
      <c r="Z213" s="9">
        <f ca="1">IFERROR(OFFSET(ITEM_RES!$A$5,MATCH(BUILDING!Y213,ITEM_RES!$J$5:$J$226,0)-1,0),0)</f>
        <v>0</v>
      </c>
      <c r="AB213" s="9" t="s">
        <v>599</v>
      </c>
      <c r="AC213" s="9">
        <v>9</v>
      </c>
      <c r="AE213" s="9">
        <v>6000</v>
      </c>
      <c r="AG213" s="56">
        <f t="shared" si="89"/>
        <v>2400</v>
      </c>
      <c r="AH213" s="10">
        <f t="shared" si="95"/>
        <v>4000</v>
      </c>
      <c r="AJ213" s="11">
        <f t="shared" si="90"/>
        <v>45</v>
      </c>
      <c r="AK213" s="10">
        <v>45</v>
      </c>
      <c r="AL213" s="11">
        <f t="shared" si="91"/>
        <v>150</v>
      </c>
      <c r="AM213" s="10">
        <v>150</v>
      </c>
      <c r="AN213" s="11">
        <f t="shared" si="92"/>
        <v>150</v>
      </c>
      <c r="AO213" s="10">
        <v>150</v>
      </c>
      <c r="AP213" s="56">
        <f t="shared" si="93"/>
        <v>1</v>
      </c>
      <c r="AR213" s="11">
        <f ca="1">IFERROR(OFFSET(ITEM_RES!$A$1,MATCH(AS213,ITEM_RES!$J:$J,0)-1,0),0)</f>
        <v>211020801</v>
      </c>
      <c r="AS213" s="10" t="s">
        <v>407</v>
      </c>
      <c r="AT213" s="11">
        <v>750</v>
      </c>
      <c r="AW213" s="11">
        <f ca="1">IFERROR(OFFSET(ITEM_RES!$A$1,MATCH(AX213,ITEM_RES!$J:$J,0)-1,0),0)</f>
        <v>0</v>
      </c>
      <c r="BB213" s="11">
        <f ca="1">IFERROR(OFFSET(ITEM_RES!$A$1,MATCH(BC213,ITEM_RES!$J:$J,0)-1,0),0)</f>
        <v>0</v>
      </c>
      <c r="BG213" s="11">
        <f ca="1">IFERROR(OFFSET(ITEM_RES!$A$1,MATCH(BH213,ITEM_RES!$J:$J,0)-1,0),0)</f>
        <v>0</v>
      </c>
      <c r="BL213" s="11">
        <f ca="1">IFERROR(OFFSET(ITEM_RES!$A$1,MATCH(BM213,ITEM_RES!$J:$J,0)-1,0),0)</f>
        <v>0</v>
      </c>
      <c r="BN213" s="11">
        <f t="shared" si="94"/>
        <v>0</v>
      </c>
    </row>
    <row r="214" spans="1:66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598</v>
      </c>
      <c r="L214" s="56" t="s">
        <v>1055</v>
      </c>
      <c r="M214" s="56"/>
      <c r="N214" s="9">
        <v>1</v>
      </c>
      <c r="O214" s="9">
        <v>15</v>
      </c>
      <c r="T214" s="9" t="s">
        <v>738</v>
      </c>
      <c r="W214" s="9">
        <f ca="1">IFERROR(OFFSET(ITEM_RES!$A$5,MATCH(BUILDING!V214,ITEM_RES!$J$5:$J$226,0)-1,0),0)</f>
        <v>0</v>
      </c>
      <c r="Z214" s="9">
        <f ca="1">IFERROR(OFFSET(ITEM_RES!$A$5,MATCH(BUILDING!Y214,ITEM_RES!$J$5:$J$226,0)-1,0),0)</f>
        <v>0</v>
      </c>
      <c r="AB214" s="9" t="s">
        <v>599</v>
      </c>
      <c r="AC214" s="9">
        <v>10</v>
      </c>
      <c r="AE214" s="9">
        <v>8000</v>
      </c>
      <c r="AG214" s="56">
        <f t="shared" si="89"/>
        <v>3700</v>
      </c>
      <c r="AH214" s="10">
        <f t="shared" si="95"/>
        <v>6100</v>
      </c>
      <c r="AJ214" s="11">
        <f t="shared" si="90"/>
        <v>50</v>
      </c>
      <c r="AK214" s="10">
        <v>50</v>
      </c>
      <c r="AL214" s="11">
        <f t="shared" si="91"/>
        <v>200</v>
      </c>
      <c r="AM214" s="10">
        <v>200</v>
      </c>
      <c r="AN214" s="11">
        <f t="shared" si="92"/>
        <v>200</v>
      </c>
      <c r="AO214" s="10">
        <v>200</v>
      </c>
      <c r="AP214" s="56">
        <f t="shared" si="93"/>
        <v>2</v>
      </c>
      <c r="AR214" s="11">
        <f ca="1">IFERROR(OFFSET(ITEM_RES!$A$1,MATCH(AS214,ITEM_RES!$J:$J,0)-1,0),0)</f>
        <v>211020801</v>
      </c>
      <c r="AS214" s="10" t="s">
        <v>407</v>
      </c>
      <c r="AT214" s="11">
        <v>1000</v>
      </c>
      <c r="AW214" s="11">
        <f ca="1">IFERROR(OFFSET(ITEM_RES!$A$1,MATCH(AX214,ITEM_RES!$J:$J,0)-1,0),0)</f>
        <v>0</v>
      </c>
      <c r="BB214" s="11">
        <f ca="1">IFERROR(OFFSET(ITEM_RES!$A$1,MATCH(BC214,ITEM_RES!$J:$J,0)-1,0),0)</f>
        <v>0</v>
      </c>
      <c r="BG214" s="11">
        <f ca="1">IFERROR(OFFSET(ITEM_RES!$A$1,MATCH(BH214,ITEM_RES!$J:$J,0)-1,0),0)</f>
        <v>213010801</v>
      </c>
      <c r="BH214" s="10" t="s">
        <v>487</v>
      </c>
      <c r="BI214" s="11">
        <v>1</v>
      </c>
      <c r="BL214" s="11">
        <f ca="1">IFERROR(OFFSET(ITEM_RES!$A$1,MATCH(BM214,ITEM_RES!$J:$J,0)-1,0),0)</f>
        <v>0</v>
      </c>
      <c r="BN214" s="11">
        <f t="shared" si="94"/>
        <v>0</v>
      </c>
    </row>
    <row r="215" spans="1:66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598</v>
      </c>
      <c r="L215" s="56" t="s">
        <v>1055</v>
      </c>
      <c r="M215" s="56"/>
      <c r="N215" s="9">
        <v>1</v>
      </c>
      <c r="O215" s="9">
        <v>15</v>
      </c>
      <c r="T215" s="9" t="s">
        <v>738</v>
      </c>
      <c r="W215" s="9">
        <f ca="1">IFERROR(OFFSET(ITEM_RES!$A$5,MATCH(BUILDING!V215,ITEM_RES!$J$5:$J$226,0)-1,0),0)</f>
        <v>0</v>
      </c>
      <c r="Z215" s="9">
        <f ca="1">IFERROR(OFFSET(ITEM_RES!$A$5,MATCH(BUILDING!Y215,ITEM_RES!$J$5:$J$226,0)-1,0),0)</f>
        <v>0</v>
      </c>
      <c r="AB215" s="9" t="s">
        <v>599</v>
      </c>
      <c r="AC215" s="9">
        <v>11</v>
      </c>
      <c r="AE215" s="9">
        <v>10000</v>
      </c>
      <c r="AG215" s="56">
        <f t="shared" si="89"/>
        <v>4000</v>
      </c>
      <c r="AH215" s="10">
        <f t="shared" si="95"/>
        <v>7700</v>
      </c>
      <c r="AJ215" s="11">
        <f t="shared" si="90"/>
        <v>55</v>
      </c>
      <c r="AK215" s="10">
        <v>55</v>
      </c>
      <c r="AL215" s="11">
        <f t="shared" si="91"/>
        <v>250</v>
      </c>
      <c r="AM215" s="10">
        <v>250</v>
      </c>
      <c r="AN215" s="11">
        <f t="shared" si="92"/>
        <v>250</v>
      </c>
      <c r="AO215" s="10">
        <v>250</v>
      </c>
      <c r="AP215" s="56">
        <f t="shared" si="93"/>
        <v>1</v>
      </c>
      <c r="AR215" s="11">
        <f ca="1">IFERROR(OFFSET(ITEM_RES!$A$1,MATCH(AS215,ITEM_RES!$J:$J,0)-1,0),0)</f>
        <v>211020801</v>
      </c>
      <c r="AS215" s="10" t="s">
        <v>407</v>
      </c>
      <c r="AT215" s="11">
        <v>1250</v>
      </c>
      <c r="AW215" s="11">
        <f ca="1">IFERROR(OFFSET(ITEM_RES!$A$1,MATCH(AX215,ITEM_RES!$J:$J,0)-1,0),0)</f>
        <v>0</v>
      </c>
      <c r="BB215" s="11">
        <f ca="1">IFERROR(OFFSET(ITEM_RES!$A$1,MATCH(BC215,ITEM_RES!$J:$J,0)-1,0),0)</f>
        <v>0</v>
      </c>
      <c r="BG215" s="11">
        <f ca="1">IFERROR(OFFSET(ITEM_RES!$A$1,MATCH(BH215,ITEM_RES!$J:$J,0)-1,0),0)</f>
        <v>0</v>
      </c>
      <c r="BL215" s="11">
        <f ca="1">IFERROR(OFFSET(ITEM_RES!$A$1,MATCH(BM215,ITEM_RES!$J:$J,0)-1,0),0)</f>
        <v>0</v>
      </c>
      <c r="BN215" s="11">
        <f t="shared" si="94"/>
        <v>0</v>
      </c>
    </row>
    <row r="216" spans="1:66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598</v>
      </c>
      <c r="L216" s="56" t="s">
        <v>1055</v>
      </c>
      <c r="M216" s="56"/>
      <c r="N216" s="9">
        <v>1</v>
      </c>
      <c r="O216" s="9">
        <v>15</v>
      </c>
      <c r="T216" s="9" t="s">
        <v>738</v>
      </c>
      <c r="W216" s="9">
        <f ca="1">IFERROR(OFFSET(ITEM_RES!$A$5,MATCH(BUILDING!V216,ITEM_RES!$J$5:$J$226,0)-1,0),0)</f>
        <v>0</v>
      </c>
      <c r="Z216" s="9">
        <f ca="1">IFERROR(OFFSET(ITEM_RES!$A$5,MATCH(BUILDING!Y216,ITEM_RES!$J$5:$J$226,0)-1,0),0)</f>
        <v>0</v>
      </c>
      <c r="AB216" s="9" t="s">
        <v>599</v>
      </c>
      <c r="AC216" s="9">
        <v>12</v>
      </c>
      <c r="AE216" s="9">
        <v>12000</v>
      </c>
      <c r="AG216" s="56">
        <f t="shared" si="89"/>
        <v>6300</v>
      </c>
      <c r="AH216" s="10">
        <f t="shared" si="95"/>
        <v>10300</v>
      </c>
      <c r="AJ216" s="11">
        <f t="shared" si="90"/>
        <v>60</v>
      </c>
      <c r="AK216" s="10">
        <v>60</v>
      </c>
      <c r="AL216" s="11">
        <f t="shared" si="91"/>
        <v>300</v>
      </c>
      <c r="AM216" s="10">
        <v>300</v>
      </c>
      <c r="AN216" s="11">
        <f t="shared" si="92"/>
        <v>300</v>
      </c>
      <c r="AO216" s="10">
        <v>300</v>
      </c>
      <c r="AP216" s="56">
        <f t="shared" si="93"/>
        <v>2</v>
      </c>
      <c r="AR216" s="11">
        <f ca="1">IFERROR(OFFSET(ITEM_RES!$A$1,MATCH(AS216,ITEM_RES!$J:$J,0)-1,0),0)</f>
        <v>211020801</v>
      </c>
      <c r="AS216" s="10" t="s">
        <v>407</v>
      </c>
      <c r="AT216" s="11">
        <v>1500</v>
      </c>
      <c r="AW216" s="11">
        <f ca="1">IFERROR(OFFSET(ITEM_RES!$A$1,MATCH(AX216,ITEM_RES!$J:$J,0)-1,0),0)</f>
        <v>211020901</v>
      </c>
      <c r="AX216" s="10" t="s">
        <v>408</v>
      </c>
      <c r="AY216" s="11">
        <v>1500</v>
      </c>
      <c r="BB216" s="11">
        <f ca="1">IFERROR(OFFSET(ITEM_RES!$A$1,MATCH(BC216,ITEM_RES!$J:$J,0)-1,0),0)</f>
        <v>0</v>
      </c>
      <c r="BG216" s="11">
        <f ca="1">IFERROR(OFFSET(ITEM_RES!$A$1,MATCH(BH216,ITEM_RES!$J:$J,0)-1,0),0)</f>
        <v>0</v>
      </c>
      <c r="BL216" s="11">
        <f ca="1">IFERROR(OFFSET(ITEM_RES!$A$1,MATCH(BM216,ITEM_RES!$J:$J,0)-1,0),0)</f>
        <v>0</v>
      </c>
      <c r="BN216" s="11">
        <f t="shared" si="94"/>
        <v>0</v>
      </c>
    </row>
    <row r="217" spans="1:66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598</v>
      </c>
      <c r="L217" s="56" t="s">
        <v>1055</v>
      </c>
      <c r="M217" s="56"/>
      <c r="N217" s="9">
        <v>1</v>
      </c>
      <c r="O217" s="9">
        <v>15</v>
      </c>
      <c r="T217" s="9" t="s">
        <v>738</v>
      </c>
      <c r="W217" s="9">
        <f ca="1">IFERROR(OFFSET(ITEM_RES!$A$5,MATCH(BUILDING!V217,ITEM_RES!$J$5:$J$226,0)-1,0),0)</f>
        <v>0</v>
      </c>
      <c r="Z217" s="9">
        <f ca="1">IFERROR(OFFSET(ITEM_RES!$A$5,MATCH(BUILDING!Y217,ITEM_RES!$J$5:$J$226,0)-1,0),0)</f>
        <v>0</v>
      </c>
      <c r="AB217" s="9" t="s">
        <v>599</v>
      </c>
      <c r="AC217" s="9">
        <v>13</v>
      </c>
      <c r="AE217" s="9">
        <v>14000</v>
      </c>
      <c r="AG217" s="56">
        <f t="shared" si="89"/>
        <v>7350</v>
      </c>
      <c r="AH217" s="10">
        <f t="shared" si="95"/>
        <v>13650</v>
      </c>
      <c r="AJ217" s="11">
        <f t="shared" si="90"/>
        <v>65</v>
      </c>
      <c r="AK217" s="10">
        <v>65</v>
      </c>
      <c r="AL217" s="11">
        <f t="shared" si="91"/>
        <v>350</v>
      </c>
      <c r="AM217" s="10">
        <v>350</v>
      </c>
      <c r="AN217" s="11">
        <f t="shared" si="92"/>
        <v>350</v>
      </c>
      <c r="AO217" s="10">
        <v>350</v>
      </c>
      <c r="AP217" s="56">
        <f t="shared" si="93"/>
        <v>2</v>
      </c>
      <c r="AR217" s="11">
        <f ca="1">IFERROR(OFFSET(ITEM_RES!$A$1,MATCH(AS217,ITEM_RES!$J:$J,0)-1,0),0)</f>
        <v>211020801</v>
      </c>
      <c r="AS217" s="10" t="s">
        <v>407</v>
      </c>
      <c r="AT217" s="11">
        <v>1750</v>
      </c>
      <c r="AW217" s="11">
        <f ca="1">IFERROR(OFFSET(ITEM_RES!$A$1,MATCH(AX217,ITEM_RES!$J:$J,0)-1,0),0)</f>
        <v>211020901</v>
      </c>
      <c r="AX217" s="10" t="s">
        <v>408</v>
      </c>
      <c r="AY217" s="11">
        <v>1750</v>
      </c>
      <c r="BB217" s="11">
        <f ca="1">IFERROR(OFFSET(ITEM_RES!$A$1,MATCH(BC217,ITEM_RES!$J:$J,0)-1,0),0)</f>
        <v>0</v>
      </c>
      <c r="BG217" s="11">
        <f ca="1">IFERROR(OFFSET(ITEM_RES!$A$1,MATCH(BH217,ITEM_RES!$J:$J,0)-1,0),0)</f>
        <v>0</v>
      </c>
      <c r="BL217" s="11">
        <f ca="1">IFERROR(OFFSET(ITEM_RES!$A$1,MATCH(BM217,ITEM_RES!$J:$J,0)-1,0),0)</f>
        <v>0</v>
      </c>
      <c r="BN217" s="11">
        <f t="shared" si="94"/>
        <v>0</v>
      </c>
    </row>
    <row r="218" spans="1:66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598</v>
      </c>
      <c r="L218" s="56" t="s">
        <v>1055</v>
      </c>
      <c r="M218" s="56"/>
      <c r="N218" s="9">
        <v>1</v>
      </c>
      <c r="O218" s="9">
        <v>15</v>
      </c>
      <c r="T218" s="9" t="s">
        <v>738</v>
      </c>
      <c r="W218" s="9">
        <f ca="1">IFERROR(OFFSET(ITEM_RES!$A$5,MATCH(BUILDING!V218,ITEM_RES!$J$5:$J$226,0)-1,0),0)</f>
        <v>0</v>
      </c>
      <c r="Z218" s="9">
        <f ca="1">IFERROR(OFFSET(ITEM_RES!$A$5,MATCH(BUILDING!Y218,ITEM_RES!$J$5:$J$226,0)-1,0),0)</f>
        <v>0</v>
      </c>
      <c r="AB218" s="9" t="s">
        <v>599</v>
      </c>
      <c r="AC218" s="9">
        <v>14</v>
      </c>
      <c r="AE218" s="9">
        <v>18000</v>
      </c>
      <c r="AG218" s="56">
        <f t="shared" si="89"/>
        <v>9450</v>
      </c>
      <c r="AH218" s="10">
        <f t="shared" si="95"/>
        <v>16800</v>
      </c>
      <c r="AJ218" s="11">
        <f t="shared" si="90"/>
        <v>70</v>
      </c>
      <c r="AK218" s="10">
        <v>70</v>
      </c>
      <c r="AL218" s="11">
        <f t="shared" si="91"/>
        <v>450</v>
      </c>
      <c r="AM218" s="10">
        <v>450</v>
      </c>
      <c r="AN218" s="11">
        <f t="shared" si="92"/>
        <v>450</v>
      </c>
      <c r="AO218" s="10">
        <v>450</v>
      </c>
      <c r="AP218" s="56">
        <f t="shared" si="93"/>
        <v>2</v>
      </c>
      <c r="AR218" s="11">
        <f ca="1">IFERROR(OFFSET(ITEM_RES!$A$1,MATCH(AS218,ITEM_RES!$J:$J,0)-1,0),0)</f>
        <v>211020801</v>
      </c>
      <c r="AS218" s="10" t="s">
        <v>407</v>
      </c>
      <c r="AT218" s="11">
        <v>2250</v>
      </c>
      <c r="AW218" s="11">
        <f ca="1">IFERROR(OFFSET(ITEM_RES!$A$1,MATCH(AX218,ITEM_RES!$J:$J,0)-1,0),0)</f>
        <v>211020901</v>
      </c>
      <c r="AX218" s="10" t="s">
        <v>408</v>
      </c>
      <c r="AY218" s="11">
        <v>2250</v>
      </c>
      <c r="BB218" s="11">
        <f ca="1">IFERROR(OFFSET(ITEM_RES!$A$1,MATCH(BC218,ITEM_RES!$J:$J,0)-1,0),0)</f>
        <v>0</v>
      </c>
      <c r="BG218" s="11">
        <f ca="1">IFERROR(OFFSET(ITEM_RES!$A$1,MATCH(BH218,ITEM_RES!$J:$J,0)-1,0),0)</f>
        <v>0</v>
      </c>
      <c r="BL218" s="11">
        <f ca="1">IFERROR(OFFSET(ITEM_RES!$A$1,MATCH(BM218,ITEM_RES!$J:$J,0)-1,0),0)</f>
        <v>0</v>
      </c>
      <c r="BN218" s="11">
        <f t="shared" si="94"/>
        <v>0</v>
      </c>
    </row>
    <row r="219" spans="1:66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598</v>
      </c>
      <c r="L219" s="56" t="s">
        <v>1055</v>
      </c>
      <c r="M219" s="56"/>
      <c r="N219" s="9">
        <v>1</v>
      </c>
      <c r="O219" s="9">
        <v>15</v>
      </c>
      <c r="T219" s="9" t="s">
        <v>738</v>
      </c>
      <c r="W219" s="9">
        <f ca="1">IFERROR(OFFSET(ITEM_RES!$A$5,MATCH(BUILDING!V219,ITEM_RES!$J$5:$J$226,0)-1,0),0)</f>
        <v>0</v>
      </c>
      <c r="Z219" s="9">
        <f ca="1">IFERROR(OFFSET(ITEM_RES!$A$5,MATCH(BUILDING!Y219,ITEM_RES!$J$5:$J$226,0)-1,0),0)</f>
        <v>0</v>
      </c>
      <c r="AB219" s="9" t="s">
        <v>599</v>
      </c>
      <c r="AC219" s="9">
        <v>15</v>
      </c>
      <c r="AE219" s="9">
        <v>22000</v>
      </c>
      <c r="AG219" s="56">
        <f t="shared" si="89"/>
        <v>11550</v>
      </c>
      <c r="AH219" s="10">
        <f t="shared" si="95"/>
        <v>21000</v>
      </c>
      <c r="AJ219" s="11">
        <f t="shared" si="90"/>
        <v>75</v>
      </c>
      <c r="AK219" s="10">
        <v>75</v>
      </c>
      <c r="AL219" s="11">
        <f t="shared" si="91"/>
        <v>550</v>
      </c>
      <c r="AM219" s="10">
        <v>550</v>
      </c>
      <c r="AN219" s="11">
        <f t="shared" si="92"/>
        <v>550</v>
      </c>
      <c r="AO219" s="10">
        <v>550</v>
      </c>
      <c r="AP219" s="56">
        <f t="shared" si="93"/>
        <v>2</v>
      </c>
      <c r="AR219" s="11">
        <f ca="1">IFERROR(OFFSET(ITEM_RES!$A$1,MATCH(AS219,ITEM_RES!$J:$J,0)-1,0),0)</f>
        <v>211020801</v>
      </c>
      <c r="AS219" s="10" t="s">
        <v>407</v>
      </c>
      <c r="AT219" s="11">
        <v>2750</v>
      </c>
      <c r="AW219" s="11">
        <f ca="1">IFERROR(OFFSET(ITEM_RES!$A$1,MATCH(AX219,ITEM_RES!$J:$J,0)-1,0),0)</f>
        <v>211020901</v>
      </c>
      <c r="AX219" s="10" t="s">
        <v>408</v>
      </c>
      <c r="AY219" s="11">
        <v>2750</v>
      </c>
      <c r="BB219" s="11">
        <f ca="1">IFERROR(OFFSET(ITEM_RES!$A$1,MATCH(BC219,ITEM_RES!$J:$J,0)-1,0),0)</f>
        <v>0</v>
      </c>
      <c r="BG219" s="11">
        <f ca="1">IFERROR(OFFSET(ITEM_RES!$A$1,MATCH(BH219,ITEM_RES!$J:$J,0)-1,0),0)</f>
        <v>0</v>
      </c>
      <c r="BL219" s="11">
        <f ca="1">IFERROR(OFFSET(ITEM_RES!$A$1,MATCH(BM219,ITEM_RES!$J:$J,0)-1,0),0)</f>
        <v>0</v>
      </c>
      <c r="BN219" s="11">
        <f t="shared" si="94"/>
        <v>0</v>
      </c>
    </row>
    <row r="220" spans="1:66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598</v>
      </c>
      <c r="L220" s="56" t="s">
        <v>1055</v>
      </c>
      <c r="M220" s="56"/>
      <c r="N220" s="9">
        <v>0</v>
      </c>
      <c r="O220" s="9">
        <v>15</v>
      </c>
      <c r="T220" s="9" t="s">
        <v>738</v>
      </c>
      <c r="W220" s="9">
        <f ca="1">IFERROR(OFFSET(ITEM_RES!$A$5,MATCH(BUILDING!V220,ITEM_RES!$J$5:$J$226,0)-1,0),0)</f>
        <v>0</v>
      </c>
      <c r="Z220" s="9">
        <f ca="1">IFERROR(OFFSET(ITEM_RES!$A$5,MATCH(BUILDING!Y220,ITEM_RES!$J$5:$J$226,0)-1,0),0)</f>
        <v>0</v>
      </c>
      <c r="AB220" s="9" t="s">
        <v>599</v>
      </c>
      <c r="AC220" s="9">
        <v>16</v>
      </c>
      <c r="AE220" s="9">
        <v>28000</v>
      </c>
      <c r="AG220" s="56">
        <f t="shared" si="89"/>
        <v>14700</v>
      </c>
      <c r="AH220" s="10">
        <f t="shared" si="95"/>
        <v>26250</v>
      </c>
      <c r="AJ220" s="11">
        <f t="shared" si="90"/>
        <v>80</v>
      </c>
      <c r="AK220" s="10">
        <v>80</v>
      </c>
      <c r="AL220" s="11">
        <f t="shared" si="91"/>
        <v>700</v>
      </c>
      <c r="AM220" s="10">
        <v>700</v>
      </c>
      <c r="AN220" s="11">
        <f t="shared" si="92"/>
        <v>700</v>
      </c>
      <c r="AO220" s="10">
        <v>700</v>
      </c>
      <c r="AP220" s="56">
        <f t="shared" si="93"/>
        <v>2</v>
      </c>
      <c r="AR220" s="11">
        <f ca="1">IFERROR(OFFSET(ITEM_RES!$A$1,MATCH(AS220,ITEM_RES!$J:$J,0)-1,0),0)</f>
        <v>211020801</v>
      </c>
      <c r="AS220" s="10" t="s">
        <v>407</v>
      </c>
      <c r="AT220" s="11">
        <v>3500</v>
      </c>
      <c r="AW220" s="11">
        <f ca="1">IFERROR(OFFSET(ITEM_RES!$A$1,MATCH(AX220,ITEM_RES!$J:$J,0)-1,0),0)</f>
        <v>211020901</v>
      </c>
      <c r="AX220" s="10" t="s">
        <v>408</v>
      </c>
      <c r="AY220" s="11">
        <v>3500</v>
      </c>
      <c r="BB220" s="11">
        <f ca="1">IFERROR(OFFSET(ITEM_RES!$A$1,MATCH(BC220,ITEM_RES!$J:$J,0)-1,0),0)</f>
        <v>0</v>
      </c>
      <c r="BG220" s="11">
        <f ca="1">IFERROR(OFFSET(ITEM_RES!$A$1,MATCH(BH220,ITEM_RES!$J:$J,0)-1,0),0)</f>
        <v>0</v>
      </c>
      <c r="BL220" s="11">
        <f ca="1">IFERROR(OFFSET(ITEM_RES!$A$1,MATCH(BM220,ITEM_RES!$J:$J,0)-1,0),0)</f>
        <v>0</v>
      </c>
      <c r="BN220" s="11">
        <f t="shared" si="94"/>
        <v>0</v>
      </c>
    </row>
    <row r="221" spans="1:66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598</v>
      </c>
      <c r="L221" s="56" t="s">
        <v>1055</v>
      </c>
      <c r="M221" s="56"/>
      <c r="N221" s="9">
        <v>0</v>
      </c>
      <c r="O221" s="9">
        <v>15</v>
      </c>
      <c r="T221" s="9" t="s">
        <v>738</v>
      </c>
      <c r="W221" s="9">
        <f ca="1">IFERROR(OFFSET(ITEM_RES!$A$5,MATCH(BUILDING!V221,ITEM_RES!$J$5:$J$226,0)-1,0),0)</f>
        <v>0</v>
      </c>
      <c r="Z221" s="9">
        <f ca="1">IFERROR(OFFSET(ITEM_RES!$A$5,MATCH(BUILDING!Y221,ITEM_RES!$J$5:$J$226,0)-1,0),0)</f>
        <v>0</v>
      </c>
      <c r="AB221" s="9" t="s">
        <v>599</v>
      </c>
      <c r="AC221" s="9">
        <v>17</v>
      </c>
      <c r="AE221" s="9">
        <v>34000</v>
      </c>
      <c r="AG221" s="56">
        <f t="shared" si="89"/>
        <v>17850</v>
      </c>
      <c r="AH221" s="10">
        <f t="shared" si="95"/>
        <v>32550</v>
      </c>
      <c r="AJ221" s="11">
        <f t="shared" si="90"/>
        <v>85</v>
      </c>
      <c r="AK221" s="10">
        <v>85</v>
      </c>
      <c r="AL221" s="11">
        <f t="shared" si="91"/>
        <v>850</v>
      </c>
      <c r="AM221" s="10">
        <v>850</v>
      </c>
      <c r="AN221" s="11">
        <f t="shared" si="92"/>
        <v>850</v>
      </c>
      <c r="AO221" s="10">
        <v>850</v>
      </c>
      <c r="AP221" s="56">
        <f t="shared" si="93"/>
        <v>2</v>
      </c>
      <c r="AR221" s="11">
        <f ca="1">IFERROR(OFFSET(ITEM_RES!$A$1,MATCH(AS221,ITEM_RES!$J:$J,0)-1,0),0)</f>
        <v>211020801</v>
      </c>
      <c r="AS221" s="10" t="s">
        <v>407</v>
      </c>
      <c r="AT221" s="11">
        <v>4250</v>
      </c>
      <c r="AW221" s="11">
        <f ca="1">IFERROR(OFFSET(ITEM_RES!$A$1,MATCH(AX221,ITEM_RES!$J:$J,0)-1,0),0)</f>
        <v>211020901</v>
      </c>
      <c r="AX221" s="10" t="s">
        <v>408</v>
      </c>
      <c r="AY221" s="11">
        <v>4250</v>
      </c>
      <c r="BB221" s="11">
        <f ca="1">IFERROR(OFFSET(ITEM_RES!$A$1,MATCH(BC221,ITEM_RES!$J:$J,0)-1,0),0)</f>
        <v>0</v>
      </c>
      <c r="BG221" s="11">
        <f ca="1">IFERROR(OFFSET(ITEM_RES!$A$1,MATCH(BH221,ITEM_RES!$J:$J,0)-1,0),0)</f>
        <v>0</v>
      </c>
      <c r="BL221" s="11">
        <f ca="1">IFERROR(OFFSET(ITEM_RES!$A$1,MATCH(BM221,ITEM_RES!$J:$J,0)-1,0),0)</f>
        <v>0</v>
      </c>
      <c r="BN221" s="11">
        <f t="shared" si="94"/>
        <v>0</v>
      </c>
    </row>
    <row r="222" spans="1:66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598</v>
      </c>
      <c r="L222" s="56" t="s">
        <v>1055</v>
      </c>
      <c r="M222" s="56"/>
      <c r="N222" s="9">
        <v>0</v>
      </c>
      <c r="O222" s="9">
        <v>15</v>
      </c>
      <c r="T222" s="9" t="s">
        <v>738</v>
      </c>
      <c r="W222" s="9">
        <f ca="1">IFERROR(OFFSET(ITEM_RES!$A$5,MATCH(BUILDING!V222,ITEM_RES!$J$5:$J$226,0)-1,0),0)</f>
        <v>0</v>
      </c>
      <c r="Z222" s="9">
        <f ca="1">IFERROR(OFFSET(ITEM_RES!$A$5,MATCH(BUILDING!Y222,ITEM_RES!$J$5:$J$226,0)-1,0),0)</f>
        <v>0</v>
      </c>
      <c r="AB222" s="9" t="s">
        <v>599</v>
      </c>
      <c r="AC222" s="9">
        <v>18</v>
      </c>
      <c r="AE222" s="9">
        <v>42000</v>
      </c>
      <c r="AG222" s="56">
        <f t="shared" si="89"/>
        <v>22050</v>
      </c>
      <c r="AH222" s="10">
        <f t="shared" si="95"/>
        <v>39900</v>
      </c>
      <c r="AJ222" s="11">
        <f t="shared" si="90"/>
        <v>90</v>
      </c>
      <c r="AK222" s="10">
        <v>90</v>
      </c>
      <c r="AL222" s="11">
        <f t="shared" si="91"/>
        <v>1050</v>
      </c>
      <c r="AM222" s="10">
        <v>1050</v>
      </c>
      <c r="AN222" s="11">
        <f t="shared" si="92"/>
        <v>1050</v>
      </c>
      <c r="AO222" s="10">
        <v>1050</v>
      </c>
      <c r="AP222" s="56">
        <f t="shared" si="93"/>
        <v>2</v>
      </c>
      <c r="AR222" s="11">
        <f ca="1">IFERROR(OFFSET(ITEM_RES!$A$1,MATCH(AS222,ITEM_RES!$J:$J,0)-1,0),0)</f>
        <v>211020801</v>
      </c>
      <c r="AS222" s="10" t="s">
        <v>407</v>
      </c>
      <c r="AT222" s="11">
        <v>5250</v>
      </c>
      <c r="AW222" s="11">
        <f ca="1">IFERROR(OFFSET(ITEM_RES!$A$1,MATCH(AX222,ITEM_RES!$J:$J,0)-1,0),0)</f>
        <v>211020901</v>
      </c>
      <c r="AX222" s="10" t="s">
        <v>408</v>
      </c>
      <c r="AY222" s="11">
        <v>5250</v>
      </c>
      <c r="BB222" s="11">
        <f ca="1">IFERROR(OFFSET(ITEM_RES!$A$1,MATCH(BC222,ITEM_RES!$J:$J,0)-1,0),0)</f>
        <v>0</v>
      </c>
      <c r="BG222" s="11">
        <f ca="1">IFERROR(OFFSET(ITEM_RES!$A$1,MATCH(BH222,ITEM_RES!$J:$J,0)-1,0),0)</f>
        <v>0</v>
      </c>
      <c r="BL222" s="11">
        <f ca="1">IFERROR(OFFSET(ITEM_RES!$A$1,MATCH(BM222,ITEM_RES!$J:$J,0)-1,0),0)</f>
        <v>0</v>
      </c>
      <c r="BN222" s="11">
        <f t="shared" si="94"/>
        <v>0</v>
      </c>
    </row>
    <row r="223" spans="1:66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598</v>
      </c>
      <c r="L223" s="56" t="s">
        <v>1055</v>
      </c>
      <c r="M223" s="56"/>
      <c r="N223" s="9">
        <v>0</v>
      </c>
      <c r="O223" s="9">
        <v>15</v>
      </c>
      <c r="T223" s="9" t="s">
        <v>738</v>
      </c>
      <c r="W223" s="9">
        <f ca="1">IFERROR(OFFSET(ITEM_RES!$A$5,MATCH(BUILDING!V223,ITEM_RES!$J$5:$J$226,0)-1,0),0)</f>
        <v>0</v>
      </c>
      <c r="Z223" s="9">
        <f ca="1">IFERROR(OFFSET(ITEM_RES!$A$5,MATCH(BUILDING!Y223,ITEM_RES!$J$5:$J$226,0)-1,0),0)</f>
        <v>0</v>
      </c>
      <c r="AB223" s="9" t="s">
        <v>599</v>
      </c>
      <c r="AC223" s="9">
        <v>19</v>
      </c>
      <c r="AE223" s="9">
        <v>50000</v>
      </c>
      <c r="AG223" s="56">
        <f t="shared" si="89"/>
        <v>26250</v>
      </c>
      <c r="AH223" s="10">
        <f t="shared" si="95"/>
        <v>48300</v>
      </c>
      <c r="AJ223" s="11">
        <f t="shared" si="90"/>
        <v>95</v>
      </c>
      <c r="AK223" s="10">
        <v>95</v>
      </c>
      <c r="AL223" s="11">
        <f t="shared" si="91"/>
        <v>1250</v>
      </c>
      <c r="AM223" s="10">
        <v>1250</v>
      </c>
      <c r="AN223" s="11">
        <f t="shared" si="92"/>
        <v>1250</v>
      </c>
      <c r="AO223" s="10">
        <v>1250</v>
      </c>
      <c r="AP223" s="56">
        <f t="shared" si="93"/>
        <v>2</v>
      </c>
      <c r="AR223" s="11">
        <f ca="1">IFERROR(OFFSET(ITEM_RES!$A$1,MATCH(AS223,ITEM_RES!$J:$J,0)-1,0),0)</f>
        <v>211020901</v>
      </c>
      <c r="AS223" s="10" t="s">
        <v>408</v>
      </c>
      <c r="AT223" s="11">
        <v>6250</v>
      </c>
      <c r="AW223" s="11">
        <f ca="1">IFERROR(OFFSET(ITEM_RES!$A$1,MATCH(AX223,ITEM_RES!$J:$J,0)-1,0),0)</f>
        <v>211020501</v>
      </c>
      <c r="AX223" s="10" t="s">
        <v>441</v>
      </c>
      <c r="AY223" s="11">
        <v>6250</v>
      </c>
      <c r="BB223" s="11">
        <f ca="1">IFERROR(OFFSET(ITEM_RES!$A$1,MATCH(BC223,ITEM_RES!$J:$J,0)-1,0),0)</f>
        <v>0</v>
      </c>
      <c r="BG223" s="11">
        <f ca="1">IFERROR(OFFSET(ITEM_RES!$A$1,MATCH(BH223,ITEM_RES!$J:$J,0)-1,0),0)</f>
        <v>0</v>
      </c>
      <c r="BL223" s="11">
        <f ca="1">IFERROR(OFFSET(ITEM_RES!$A$1,MATCH(BM223,ITEM_RES!$J:$J,0)-1,0),0)</f>
        <v>0</v>
      </c>
      <c r="BN223" s="11">
        <f t="shared" si="94"/>
        <v>0</v>
      </c>
    </row>
    <row r="224" spans="1:66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598</v>
      </c>
      <c r="L224" s="56" t="s">
        <v>1055</v>
      </c>
      <c r="M224" s="56"/>
      <c r="N224" s="9">
        <v>0</v>
      </c>
      <c r="O224" s="9">
        <v>15</v>
      </c>
      <c r="T224" s="9" t="s">
        <v>738</v>
      </c>
      <c r="W224" s="9">
        <f ca="1">IFERROR(OFFSET(ITEM_RES!$A$5,MATCH(BUILDING!V224,ITEM_RES!$J$5:$J$226,0)-1,0),0)</f>
        <v>0</v>
      </c>
      <c r="Z224" s="9">
        <f ca="1">IFERROR(OFFSET(ITEM_RES!$A$5,MATCH(BUILDING!Y224,ITEM_RES!$J$5:$J$226,0)-1,0),0)</f>
        <v>0</v>
      </c>
      <c r="AB224" s="9" t="s">
        <v>599</v>
      </c>
      <c r="AC224" s="9">
        <v>20</v>
      </c>
      <c r="AE224" s="9">
        <v>60000</v>
      </c>
      <c r="AG224" s="56">
        <f t="shared" si="89"/>
        <v>31500</v>
      </c>
      <c r="AH224" s="10">
        <f t="shared" si="95"/>
        <v>57750</v>
      </c>
      <c r="AJ224" s="11">
        <f t="shared" si="90"/>
        <v>100</v>
      </c>
      <c r="AK224" s="10">
        <v>100</v>
      </c>
      <c r="AL224" s="11">
        <f t="shared" si="91"/>
        <v>1500</v>
      </c>
      <c r="AM224" s="10">
        <v>1500</v>
      </c>
      <c r="AN224" s="11">
        <f t="shared" si="92"/>
        <v>1500</v>
      </c>
      <c r="AO224" s="10">
        <v>1500</v>
      </c>
      <c r="AP224" s="56">
        <f t="shared" si="93"/>
        <v>2</v>
      </c>
      <c r="AR224" s="11">
        <f ca="1">IFERROR(OFFSET(ITEM_RES!$A$1,MATCH(AS224,ITEM_RES!$J:$J,0)-1,0),0)</f>
        <v>211020901</v>
      </c>
      <c r="AS224" s="10" t="s">
        <v>408</v>
      </c>
      <c r="AT224" s="11">
        <v>7500</v>
      </c>
      <c r="AW224" s="11">
        <f ca="1">IFERROR(OFFSET(ITEM_RES!$A$1,MATCH(AX224,ITEM_RES!$J:$J,0)-1,0),0)</f>
        <v>211020501</v>
      </c>
      <c r="AX224" s="10" t="s">
        <v>441</v>
      </c>
      <c r="AY224" s="11">
        <v>7500</v>
      </c>
      <c r="BB224" s="11">
        <f ca="1">IFERROR(OFFSET(ITEM_RES!$A$1,MATCH(BC224,ITEM_RES!$J:$J,0)-1,0),0)</f>
        <v>0</v>
      </c>
      <c r="BG224" s="11">
        <f ca="1">IFERROR(OFFSET(ITEM_RES!$A$1,MATCH(BH224,ITEM_RES!$J:$J,0)-1,0),0)</f>
        <v>0</v>
      </c>
      <c r="BL224" s="11">
        <f ca="1">IFERROR(OFFSET(ITEM_RES!$A$1,MATCH(BM224,ITEM_RES!$J:$J,0)-1,0),0)</f>
        <v>0</v>
      </c>
      <c r="BN224" s="11">
        <f t="shared" si="94"/>
        <v>0</v>
      </c>
    </row>
    <row r="225" spans="1:67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64" t="s">
        <v>985</v>
      </c>
      <c r="M225" s="64"/>
      <c r="N225" s="16">
        <v>1</v>
      </c>
      <c r="O225" s="16">
        <v>15</v>
      </c>
      <c r="P225" s="16" t="s">
        <v>816</v>
      </c>
      <c r="Q225" s="17"/>
      <c r="R225" s="17"/>
      <c r="S225" s="18"/>
      <c r="T225" s="16" t="s">
        <v>739</v>
      </c>
      <c r="U225" s="79"/>
      <c r="V225" s="87"/>
      <c r="W225" s="16">
        <f ca="1">IFERROR(OFFSET(ITEM_RES!$A$5,MATCH(BUILDING!V225,ITEM_RES!$J$5:$J$226,0)-1,0),0)</f>
        <v>0</v>
      </c>
      <c r="X225" s="18"/>
      <c r="Y225" s="87"/>
      <c r="Z225" s="16">
        <f ca="1">IFERROR(OFFSET(ITEM_RES!$A$5,MATCH(BUILDING!Y225,ITEM_RES!$J$5:$J$226,0)-1,0),0)</f>
        <v>0</v>
      </c>
      <c r="AA225" s="79"/>
      <c r="AB225" s="16" t="s">
        <v>546</v>
      </c>
      <c r="AC225" s="16">
        <v>1</v>
      </c>
      <c r="AD225" s="79"/>
      <c r="AE225" s="16">
        <v>0</v>
      </c>
      <c r="AF225" s="79"/>
      <c r="AG225" s="57">
        <f t="shared" si="67"/>
        <v>605</v>
      </c>
      <c r="AH225" s="17">
        <f>AG225</f>
        <v>605</v>
      </c>
      <c r="AI225" s="79"/>
      <c r="AJ225" s="18">
        <f t="shared" si="66"/>
        <v>5</v>
      </c>
      <c r="AK225" s="17">
        <v>5</v>
      </c>
      <c r="AL225" s="18">
        <f t="shared" si="74"/>
        <v>5</v>
      </c>
      <c r="AM225" s="17">
        <v>5</v>
      </c>
      <c r="AN225" s="18">
        <f t="shared" si="74"/>
        <v>5</v>
      </c>
      <c r="AO225" s="17">
        <v>5</v>
      </c>
      <c r="AP225" s="57">
        <f t="shared" si="68"/>
        <v>3</v>
      </c>
      <c r="AQ225" s="18"/>
      <c r="AR225" s="18">
        <f ca="1">IFERROR(OFFSET(ITEM_RES!$A$1,MATCH(AS225,ITEM_RES!$J:$J,0)-1,0),0)</f>
        <v>211020801</v>
      </c>
      <c r="AS225" s="17" t="s">
        <v>454</v>
      </c>
      <c r="AT225" s="18">
        <v>25</v>
      </c>
      <c r="AU225" s="17"/>
      <c r="AV225" s="18"/>
      <c r="AW225" s="18">
        <f ca="1">IFERROR(OFFSET(ITEM_RES!$A$1,MATCH(AX225,ITEM_RES!$J:$J,0)-1,0),0)</f>
        <v>211020401</v>
      </c>
      <c r="AX225" s="17" t="s">
        <v>440</v>
      </c>
      <c r="AY225" s="18">
        <v>25</v>
      </c>
      <c r="AZ225" s="17"/>
      <c r="BA225" s="18"/>
      <c r="BB225" s="18">
        <f ca="1">IFERROR(OFFSET(ITEM_RES!$A$1,MATCH(BC225,ITEM_RES!$J:$J,0)-1,0),0)</f>
        <v>213010101</v>
      </c>
      <c r="BC225" s="17" t="s">
        <v>477</v>
      </c>
      <c r="BD225" s="18">
        <v>1</v>
      </c>
      <c r="BE225" s="17"/>
      <c r="BF225" s="18"/>
      <c r="BG225" s="18">
        <f ca="1">IFERROR(OFFSET(ITEM_RES!$A$1,MATCH(BH225,ITEM_RES!$J:$J,0)-1,0),0)</f>
        <v>0</v>
      </c>
      <c r="BH225" s="17"/>
      <c r="BI225" s="18"/>
      <c r="BJ225" s="17"/>
      <c r="BK225" s="18"/>
      <c r="BL225" s="18">
        <f ca="1">IFERROR(OFFSET(ITEM_RES!$A$1,MATCH(BM225,ITEM_RES!$J:$J,0)-1,0),0)</f>
        <v>0</v>
      </c>
      <c r="BM225" s="17"/>
      <c r="BN225" s="18">
        <f t="shared" si="73"/>
        <v>0</v>
      </c>
      <c r="BO225" s="17"/>
    </row>
    <row r="226" spans="1:67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56" t="s">
        <v>985</v>
      </c>
      <c r="M226" s="56"/>
      <c r="N226" s="9">
        <v>1</v>
      </c>
      <c r="O226" s="9">
        <v>15</v>
      </c>
      <c r="P226" s="9" t="s">
        <v>816</v>
      </c>
      <c r="T226" s="9" t="s">
        <v>739</v>
      </c>
      <c r="W226" s="9">
        <f ca="1">IFERROR(OFFSET(ITEM_RES!$A$5,MATCH(BUILDING!V226,ITEM_RES!$J$5:$J$226,0)-1,0),0)</f>
        <v>0</v>
      </c>
      <c r="Z226" s="9">
        <f ca="1">IFERROR(OFFSET(ITEM_RES!$A$5,MATCH(BUILDING!Y226,ITEM_RES!$J$5:$J$226,0)-1,0),0)</f>
        <v>0</v>
      </c>
      <c r="AB226" s="9" t="s">
        <v>546</v>
      </c>
      <c r="AC226" s="9">
        <v>2</v>
      </c>
      <c r="AE226" s="9">
        <v>200</v>
      </c>
      <c r="AG226" s="56">
        <f t="shared" si="67"/>
        <v>210</v>
      </c>
      <c r="AH226" s="10">
        <f>AG225+AG226</f>
        <v>815</v>
      </c>
      <c r="AJ226" s="11">
        <f t="shared" si="66"/>
        <v>10</v>
      </c>
      <c r="AK226" s="10">
        <v>10</v>
      </c>
      <c r="AL226" s="11">
        <f t="shared" si="74"/>
        <v>10</v>
      </c>
      <c r="AM226" s="10">
        <v>10</v>
      </c>
      <c r="AN226" s="11">
        <f t="shared" si="74"/>
        <v>10</v>
      </c>
      <c r="AO226" s="10">
        <v>10</v>
      </c>
      <c r="AP226" s="56">
        <f t="shared" si="68"/>
        <v>2</v>
      </c>
      <c r="AR226" s="11">
        <f ca="1">IFERROR(OFFSET(ITEM_RES!$A$1,MATCH(AS226,ITEM_RES!$J:$J,0)-1,0),0)</f>
        <v>211020801</v>
      </c>
      <c r="AS226" s="10" t="s">
        <v>454</v>
      </c>
      <c r="AT226" s="11">
        <v>50</v>
      </c>
      <c r="AW226" s="11">
        <f ca="1">IFERROR(OFFSET(ITEM_RES!$A$1,MATCH(AX226,ITEM_RES!$J:$J,0)-1,0),0)</f>
        <v>211020401</v>
      </c>
      <c r="AX226" s="10" t="s">
        <v>440</v>
      </c>
      <c r="AY226" s="11">
        <v>50</v>
      </c>
      <c r="BB226" s="11">
        <f ca="1">IFERROR(OFFSET(ITEM_RES!$A$1,MATCH(BC226,ITEM_RES!$J:$J,0)-1,0),0)</f>
        <v>0</v>
      </c>
      <c r="BG226" s="11">
        <f ca="1">IFERROR(OFFSET(ITEM_RES!$A$1,MATCH(BH226,ITEM_RES!$J:$J,0)-1,0),0)</f>
        <v>0</v>
      </c>
      <c r="BL226" s="11">
        <f ca="1">IFERROR(OFFSET(ITEM_RES!$A$1,MATCH(BM226,ITEM_RES!$J:$J,0)-1,0),0)</f>
        <v>0</v>
      </c>
      <c r="BN226" s="11">
        <f t="shared" si="73"/>
        <v>0</v>
      </c>
    </row>
    <row r="227" spans="1:67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56" t="s">
        <v>985</v>
      </c>
      <c r="M227" s="56"/>
      <c r="N227" s="9">
        <v>1</v>
      </c>
      <c r="O227" s="9">
        <v>15</v>
      </c>
      <c r="P227" s="9" t="s">
        <v>816</v>
      </c>
      <c r="T227" s="9" t="s">
        <v>739</v>
      </c>
      <c r="W227" s="9">
        <f ca="1">IFERROR(OFFSET(ITEM_RES!$A$5,MATCH(BUILDING!V227,ITEM_RES!$J$5:$J$226,0)-1,0),0)</f>
        <v>0</v>
      </c>
      <c r="Z227" s="9">
        <f ca="1">IFERROR(OFFSET(ITEM_RES!$A$5,MATCH(BUILDING!Y227,ITEM_RES!$J$5:$J$226,0)-1,0),0)</f>
        <v>0</v>
      </c>
      <c r="AB227" s="9" t="s">
        <v>546</v>
      </c>
      <c r="AC227" s="9">
        <v>3</v>
      </c>
      <c r="AE227" s="9">
        <v>600</v>
      </c>
      <c r="AG227" s="56">
        <f t="shared" si="67"/>
        <v>315</v>
      </c>
      <c r="AH227" s="10">
        <f t="shared" ref="AH227:AH244" si="96">AG226+AG227</f>
        <v>525</v>
      </c>
      <c r="AJ227" s="11">
        <f t="shared" si="66"/>
        <v>15</v>
      </c>
      <c r="AK227" s="10">
        <v>15</v>
      </c>
      <c r="AL227" s="11">
        <f t="shared" si="74"/>
        <v>15</v>
      </c>
      <c r="AM227" s="10">
        <v>15</v>
      </c>
      <c r="AN227" s="11">
        <f t="shared" si="74"/>
        <v>15</v>
      </c>
      <c r="AO227" s="10">
        <v>15</v>
      </c>
      <c r="AP227" s="56">
        <f t="shared" si="68"/>
        <v>2</v>
      </c>
      <c r="AR227" s="11">
        <f ca="1">IFERROR(OFFSET(ITEM_RES!$A$1,MATCH(AS227,ITEM_RES!$J:$J,0)-1,0),0)</f>
        <v>211020801</v>
      </c>
      <c r="AS227" s="10" t="s">
        <v>454</v>
      </c>
      <c r="AT227" s="11">
        <v>75</v>
      </c>
      <c r="AW227" s="11">
        <f ca="1">IFERROR(OFFSET(ITEM_RES!$A$1,MATCH(AX227,ITEM_RES!$J:$J,0)-1,0),0)</f>
        <v>211020401</v>
      </c>
      <c r="AX227" s="10" t="s">
        <v>440</v>
      </c>
      <c r="AY227" s="11">
        <v>75</v>
      </c>
      <c r="BB227" s="11">
        <f ca="1">IFERROR(OFFSET(ITEM_RES!$A$1,MATCH(BC227,ITEM_RES!$J:$J,0)-1,0),0)</f>
        <v>0</v>
      </c>
      <c r="BG227" s="11">
        <f ca="1">IFERROR(OFFSET(ITEM_RES!$A$1,MATCH(BH227,ITEM_RES!$J:$J,0)-1,0),0)</f>
        <v>0</v>
      </c>
      <c r="BL227" s="11">
        <f ca="1">IFERROR(OFFSET(ITEM_RES!$A$1,MATCH(BM227,ITEM_RES!$J:$J,0)-1,0),0)</f>
        <v>0</v>
      </c>
      <c r="BN227" s="11">
        <f t="shared" si="73"/>
        <v>0</v>
      </c>
    </row>
    <row r="228" spans="1:67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56" t="s">
        <v>985</v>
      </c>
      <c r="M228" s="56"/>
      <c r="N228" s="9">
        <v>1</v>
      </c>
      <c r="O228" s="9">
        <v>15</v>
      </c>
      <c r="P228" s="9" t="s">
        <v>816</v>
      </c>
      <c r="T228" s="9" t="s">
        <v>739</v>
      </c>
      <c r="W228" s="9">
        <f ca="1">IFERROR(OFFSET(ITEM_RES!$A$5,MATCH(BUILDING!V228,ITEM_RES!$J$5:$J$226,0)-1,0),0)</f>
        <v>0</v>
      </c>
      <c r="Z228" s="9">
        <f ca="1">IFERROR(OFFSET(ITEM_RES!$A$5,MATCH(BUILDING!Y228,ITEM_RES!$J$5:$J$226,0)-1,0),0)</f>
        <v>0</v>
      </c>
      <c r="AB228" s="9" t="s">
        <v>546</v>
      </c>
      <c r="AC228" s="9">
        <v>4</v>
      </c>
      <c r="AE228" s="9">
        <v>1000</v>
      </c>
      <c r="AG228" s="56">
        <f t="shared" si="67"/>
        <v>525</v>
      </c>
      <c r="AH228" s="10">
        <f t="shared" si="96"/>
        <v>840</v>
      </c>
      <c r="AJ228" s="11">
        <f t="shared" si="66"/>
        <v>20</v>
      </c>
      <c r="AK228" s="10">
        <v>20</v>
      </c>
      <c r="AL228" s="11">
        <f t="shared" si="74"/>
        <v>25</v>
      </c>
      <c r="AM228" s="10">
        <v>25</v>
      </c>
      <c r="AN228" s="11">
        <f t="shared" si="74"/>
        <v>25</v>
      </c>
      <c r="AO228" s="10">
        <v>25</v>
      </c>
      <c r="AP228" s="56">
        <f t="shared" si="68"/>
        <v>2</v>
      </c>
      <c r="AR228" s="11">
        <f ca="1">IFERROR(OFFSET(ITEM_RES!$A$1,MATCH(AS228,ITEM_RES!$J:$J,0)-1,0),0)</f>
        <v>211020801</v>
      </c>
      <c r="AS228" s="10" t="s">
        <v>454</v>
      </c>
      <c r="AT228" s="11">
        <v>125</v>
      </c>
      <c r="AW228" s="11">
        <f ca="1">IFERROR(OFFSET(ITEM_RES!$A$1,MATCH(AX228,ITEM_RES!$J:$J,0)-1,0),0)</f>
        <v>211020401</v>
      </c>
      <c r="AX228" s="10" t="s">
        <v>440</v>
      </c>
      <c r="AY228" s="11">
        <v>125</v>
      </c>
      <c r="BB228" s="11">
        <f ca="1">IFERROR(OFFSET(ITEM_RES!$A$1,MATCH(BC228,ITEM_RES!$J:$J,0)-1,0),0)</f>
        <v>0</v>
      </c>
      <c r="BG228" s="11">
        <f ca="1">IFERROR(OFFSET(ITEM_RES!$A$1,MATCH(BH228,ITEM_RES!$J:$J,0)-1,0),0)</f>
        <v>0</v>
      </c>
      <c r="BL228" s="11">
        <f ca="1">IFERROR(OFFSET(ITEM_RES!$A$1,MATCH(BM228,ITEM_RES!$J:$J,0)-1,0),0)</f>
        <v>0</v>
      </c>
      <c r="BN228" s="11">
        <f t="shared" si="73"/>
        <v>0</v>
      </c>
    </row>
    <row r="229" spans="1:67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56" t="s">
        <v>985</v>
      </c>
      <c r="M229" s="56"/>
      <c r="N229" s="9">
        <v>1</v>
      </c>
      <c r="O229" s="9">
        <v>15</v>
      </c>
      <c r="P229" s="9" t="s">
        <v>816</v>
      </c>
      <c r="T229" s="9" t="s">
        <v>739</v>
      </c>
      <c r="W229" s="9">
        <f ca="1">IFERROR(OFFSET(ITEM_RES!$A$5,MATCH(BUILDING!V229,ITEM_RES!$J$5:$J$226,0)-1,0),0)</f>
        <v>0</v>
      </c>
      <c r="Z229" s="9">
        <f ca="1">IFERROR(OFFSET(ITEM_RES!$A$5,MATCH(BUILDING!Y229,ITEM_RES!$J$5:$J$226,0)-1,0),0)</f>
        <v>0</v>
      </c>
      <c r="AB229" s="9" t="s">
        <v>546</v>
      </c>
      <c r="AC229" s="9">
        <v>5</v>
      </c>
      <c r="AE229" s="9">
        <v>1600</v>
      </c>
      <c r="AG229" s="56">
        <f t="shared" si="67"/>
        <v>840</v>
      </c>
      <c r="AH229" s="10">
        <f t="shared" si="96"/>
        <v>1365</v>
      </c>
      <c r="AJ229" s="11">
        <f t="shared" si="66"/>
        <v>25</v>
      </c>
      <c r="AK229" s="10">
        <v>25</v>
      </c>
      <c r="AL229" s="11">
        <f t="shared" si="74"/>
        <v>40</v>
      </c>
      <c r="AM229" s="10">
        <v>40</v>
      </c>
      <c r="AN229" s="11">
        <f t="shared" si="74"/>
        <v>40</v>
      </c>
      <c r="AO229" s="10">
        <v>40</v>
      </c>
      <c r="AP229" s="56">
        <f t="shared" si="68"/>
        <v>2</v>
      </c>
      <c r="AR229" s="11">
        <f ca="1">IFERROR(OFFSET(ITEM_RES!$A$1,MATCH(AS229,ITEM_RES!$J:$J,0)-1,0),0)</f>
        <v>211020801</v>
      </c>
      <c r="AS229" s="10" t="s">
        <v>454</v>
      </c>
      <c r="AT229" s="11">
        <v>200</v>
      </c>
      <c r="AW229" s="11">
        <f ca="1">IFERROR(OFFSET(ITEM_RES!$A$1,MATCH(AX229,ITEM_RES!$J:$J,0)-1,0),0)</f>
        <v>211020401</v>
      </c>
      <c r="AX229" s="10" t="s">
        <v>440</v>
      </c>
      <c r="AY229" s="11">
        <v>200</v>
      </c>
      <c r="BB229" s="11">
        <f ca="1">IFERROR(OFFSET(ITEM_RES!$A$1,MATCH(BC229,ITEM_RES!$J:$J,0)-1,0),0)</f>
        <v>0</v>
      </c>
      <c r="BG229" s="11">
        <f ca="1">IFERROR(OFFSET(ITEM_RES!$A$1,MATCH(BH229,ITEM_RES!$J:$J,0)-1,0),0)</f>
        <v>0</v>
      </c>
      <c r="BL229" s="11">
        <f ca="1">IFERROR(OFFSET(ITEM_RES!$A$1,MATCH(BM229,ITEM_RES!$J:$J,0)-1,0),0)</f>
        <v>0</v>
      </c>
      <c r="BN229" s="11">
        <f t="shared" si="73"/>
        <v>0</v>
      </c>
    </row>
    <row r="230" spans="1:67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56" t="s">
        <v>985</v>
      </c>
      <c r="M230" s="56"/>
      <c r="N230" s="9">
        <v>1</v>
      </c>
      <c r="O230" s="9">
        <v>15</v>
      </c>
      <c r="P230" s="9" t="s">
        <v>816</v>
      </c>
      <c r="T230" s="9" t="s">
        <v>739</v>
      </c>
      <c r="W230" s="9">
        <f ca="1">IFERROR(OFFSET(ITEM_RES!$A$5,MATCH(BUILDING!V230,ITEM_RES!$J$5:$J$226,0)-1,0),0)</f>
        <v>0</v>
      </c>
      <c r="Z230" s="9">
        <f ca="1">IFERROR(OFFSET(ITEM_RES!$A$5,MATCH(BUILDING!Y230,ITEM_RES!$J$5:$J$226,0)-1,0),0)</f>
        <v>0</v>
      </c>
      <c r="AB230" s="9" t="s">
        <v>546</v>
      </c>
      <c r="AC230" s="9">
        <v>6</v>
      </c>
      <c r="AE230" s="9">
        <v>2000</v>
      </c>
      <c r="AG230" s="56">
        <f t="shared" si="67"/>
        <v>1050</v>
      </c>
      <c r="AH230" s="10">
        <f t="shared" si="96"/>
        <v>1890</v>
      </c>
      <c r="AJ230" s="11">
        <f t="shared" si="66"/>
        <v>30</v>
      </c>
      <c r="AK230" s="10">
        <v>30</v>
      </c>
      <c r="AL230" s="11">
        <f t="shared" si="74"/>
        <v>50</v>
      </c>
      <c r="AM230" s="10">
        <v>50</v>
      </c>
      <c r="AN230" s="11">
        <f t="shared" si="74"/>
        <v>50</v>
      </c>
      <c r="AO230" s="10">
        <v>50</v>
      </c>
      <c r="AP230" s="56">
        <f t="shared" si="68"/>
        <v>2</v>
      </c>
      <c r="AR230" s="11">
        <f ca="1">IFERROR(OFFSET(ITEM_RES!$A$1,MATCH(AS230,ITEM_RES!$J:$J,0)-1,0),0)</f>
        <v>211020801</v>
      </c>
      <c r="AS230" s="10" t="s">
        <v>454</v>
      </c>
      <c r="AT230" s="11">
        <v>250</v>
      </c>
      <c r="AW230" s="11">
        <f ca="1">IFERROR(OFFSET(ITEM_RES!$A$1,MATCH(AX230,ITEM_RES!$J:$J,0)-1,0),0)</f>
        <v>211020401</v>
      </c>
      <c r="AX230" s="10" t="s">
        <v>440</v>
      </c>
      <c r="AY230" s="11">
        <v>250</v>
      </c>
      <c r="BB230" s="11">
        <f ca="1">IFERROR(OFFSET(ITEM_RES!$A$1,MATCH(BC230,ITEM_RES!$J:$J,0)-1,0),0)</f>
        <v>0</v>
      </c>
      <c r="BG230" s="11">
        <f ca="1">IFERROR(OFFSET(ITEM_RES!$A$1,MATCH(BH230,ITEM_RES!$J:$J,0)-1,0),0)</f>
        <v>0</v>
      </c>
      <c r="BL230" s="11">
        <f ca="1">IFERROR(OFFSET(ITEM_RES!$A$1,MATCH(BM230,ITEM_RES!$J:$J,0)-1,0),0)</f>
        <v>0</v>
      </c>
      <c r="BN230" s="11">
        <f t="shared" si="73"/>
        <v>0</v>
      </c>
    </row>
    <row r="231" spans="1:67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56" t="s">
        <v>985</v>
      </c>
      <c r="M231" s="56"/>
      <c r="N231" s="9">
        <v>1</v>
      </c>
      <c r="O231" s="9">
        <v>15</v>
      </c>
      <c r="P231" s="9" t="s">
        <v>816</v>
      </c>
      <c r="T231" s="9" t="s">
        <v>739</v>
      </c>
      <c r="W231" s="9">
        <f ca="1">IFERROR(OFFSET(ITEM_RES!$A$5,MATCH(BUILDING!V231,ITEM_RES!$J$5:$J$226,0)-1,0),0)</f>
        <v>0</v>
      </c>
      <c r="Z231" s="9">
        <f ca="1">IFERROR(OFFSET(ITEM_RES!$A$5,MATCH(BUILDING!Y231,ITEM_RES!$J$5:$J$226,0)-1,0),0)</f>
        <v>0</v>
      </c>
      <c r="AB231" s="9" t="s">
        <v>546</v>
      </c>
      <c r="AC231" s="9">
        <v>7</v>
      </c>
      <c r="AE231" s="9">
        <v>4000</v>
      </c>
      <c r="AG231" s="56">
        <f t="shared" si="67"/>
        <v>2100</v>
      </c>
      <c r="AH231" s="10">
        <f t="shared" si="96"/>
        <v>3150</v>
      </c>
      <c r="AJ231" s="11">
        <f t="shared" si="66"/>
        <v>35</v>
      </c>
      <c r="AK231" s="10">
        <v>35</v>
      </c>
      <c r="AL231" s="11">
        <f t="shared" si="74"/>
        <v>100</v>
      </c>
      <c r="AM231" s="10">
        <v>100</v>
      </c>
      <c r="AN231" s="11">
        <f t="shared" si="74"/>
        <v>100</v>
      </c>
      <c r="AO231" s="10">
        <v>100</v>
      </c>
      <c r="AP231" s="56">
        <f t="shared" si="68"/>
        <v>2</v>
      </c>
      <c r="AR231" s="11">
        <f ca="1">IFERROR(OFFSET(ITEM_RES!$A$1,MATCH(AS231,ITEM_RES!$J:$J,0)-1,0),0)</f>
        <v>211020801</v>
      </c>
      <c r="AS231" s="10" t="s">
        <v>454</v>
      </c>
      <c r="AT231" s="11">
        <v>500</v>
      </c>
      <c r="AW231" s="11">
        <f ca="1">IFERROR(OFFSET(ITEM_RES!$A$1,MATCH(AX231,ITEM_RES!$J:$J,0)-1,0),0)</f>
        <v>211020401</v>
      </c>
      <c r="AX231" s="10" t="s">
        <v>440</v>
      </c>
      <c r="AY231" s="11">
        <v>500</v>
      </c>
      <c r="BB231" s="11">
        <f ca="1">IFERROR(OFFSET(ITEM_RES!$A$1,MATCH(BC231,ITEM_RES!$J:$J,0)-1,0),0)</f>
        <v>0</v>
      </c>
      <c r="BG231" s="11">
        <f ca="1">IFERROR(OFFSET(ITEM_RES!$A$1,MATCH(BH231,ITEM_RES!$J:$J,0)-1,0),0)</f>
        <v>0</v>
      </c>
      <c r="BL231" s="11">
        <f ca="1">IFERROR(OFFSET(ITEM_RES!$A$1,MATCH(BM231,ITEM_RES!$J:$J,0)-1,0),0)</f>
        <v>0</v>
      </c>
      <c r="BN231" s="11">
        <f t="shared" si="73"/>
        <v>0</v>
      </c>
    </row>
    <row r="232" spans="1:67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56" t="s">
        <v>985</v>
      </c>
      <c r="M232" s="56"/>
      <c r="N232" s="9">
        <v>1</v>
      </c>
      <c r="O232" s="9">
        <v>15</v>
      </c>
      <c r="P232" s="9" t="s">
        <v>816</v>
      </c>
      <c r="T232" s="9" t="s">
        <v>739</v>
      </c>
      <c r="W232" s="9">
        <f ca="1">IFERROR(OFFSET(ITEM_RES!$A$5,MATCH(BUILDING!V232,ITEM_RES!$J$5:$J$226,0)-1,0),0)</f>
        <v>0</v>
      </c>
      <c r="Z232" s="9">
        <f ca="1">IFERROR(OFFSET(ITEM_RES!$A$5,MATCH(BUILDING!Y232,ITEM_RES!$J$5:$J$226,0)-1,0),0)</f>
        <v>0</v>
      </c>
      <c r="AB232" s="9" t="s">
        <v>546</v>
      </c>
      <c r="AC232" s="9">
        <v>8</v>
      </c>
      <c r="AE232" s="9">
        <v>4000</v>
      </c>
      <c r="AG232" s="56">
        <f t="shared" si="67"/>
        <v>2100</v>
      </c>
      <c r="AH232" s="10">
        <f t="shared" si="96"/>
        <v>4200</v>
      </c>
      <c r="AJ232" s="11">
        <f t="shared" si="66"/>
        <v>40</v>
      </c>
      <c r="AK232" s="10">
        <v>40</v>
      </c>
      <c r="AL232" s="11">
        <f t="shared" si="74"/>
        <v>100</v>
      </c>
      <c r="AM232" s="10">
        <v>100</v>
      </c>
      <c r="AN232" s="11">
        <f t="shared" si="74"/>
        <v>100</v>
      </c>
      <c r="AO232" s="10">
        <v>100</v>
      </c>
      <c r="AP232" s="56">
        <f t="shared" si="68"/>
        <v>2</v>
      </c>
      <c r="AR232" s="11">
        <f ca="1">IFERROR(OFFSET(ITEM_RES!$A$1,MATCH(AS232,ITEM_RES!$J:$J,0)-1,0),0)</f>
        <v>211020801</v>
      </c>
      <c r="AS232" s="10" t="s">
        <v>454</v>
      </c>
      <c r="AT232" s="11">
        <v>500</v>
      </c>
      <c r="AW232" s="11">
        <f ca="1">IFERROR(OFFSET(ITEM_RES!$A$1,MATCH(AX232,ITEM_RES!$J:$J,0)-1,0),0)</f>
        <v>211020401</v>
      </c>
      <c r="AX232" s="10" t="s">
        <v>440</v>
      </c>
      <c r="AY232" s="11">
        <v>500</v>
      </c>
      <c r="BB232" s="11">
        <f ca="1">IFERROR(OFFSET(ITEM_RES!$A$1,MATCH(BC232,ITEM_RES!$J:$J,0)-1,0),0)</f>
        <v>0</v>
      </c>
      <c r="BG232" s="11">
        <f ca="1">IFERROR(OFFSET(ITEM_RES!$A$1,MATCH(BH232,ITEM_RES!$J:$J,0)-1,0),0)</f>
        <v>0</v>
      </c>
      <c r="BL232" s="11">
        <f ca="1">IFERROR(OFFSET(ITEM_RES!$A$1,MATCH(BM232,ITEM_RES!$J:$J,0)-1,0),0)</f>
        <v>0</v>
      </c>
      <c r="BN232" s="11">
        <f t="shared" si="73"/>
        <v>0</v>
      </c>
    </row>
    <row r="233" spans="1:67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56" t="s">
        <v>985</v>
      </c>
      <c r="M233" s="56"/>
      <c r="N233" s="9">
        <v>1</v>
      </c>
      <c r="O233" s="9">
        <v>15</v>
      </c>
      <c r="P233" s="9" t="s">
        <v>816</v>
      </c>
      <c r="T233" s="9" t="s">
        <v>739</v>
      </c>
      <c r="W233" s="9">
        <f ca="1">IFERROR(OFFSET(ITEM_RES!$A$5,MATCH(BUILDING!V233,ITEM_RES!$J$5:$J$226,0)-1,0),0)</f>
        <v>0</v>
      </c>
      <c r="Z233" s="9">
        <f ca="1">IFERROR(OFFSET(ITEM_RES!$A$5,MATCH(BUILDING!Y233,ITEM_RES!$J$5:$J$226,0)-1,0),0)</f>
        <v>0</v>
      </c>
      <c r="AB233" s="9" t="s">
        <v>546</v>
      </c>
      <c r="AC233" s="9">
        <v>9</v>
      </c>
      <c r="AE233" s="9">
        <v>6000</v>
      </c>
      <c r="AG233" s="56">
        <f t="shared" si="67"/>
        <v>3150</v>
      </c>
      <c r="AH233" s="10">
        <f t="shared" si="96"/>
        <v>5250</v>
      </c>
      <c r="AJ233" s="11">
        <f t="shared" si="66"/>
        <v>45</v>
      </c>
      <c r="AK233" s="10">
        <v>45</v>
      </c>
      <c r="AL233" s="11">
        <f t="shared" si="74"/>
        <v>150</v>
      </c>
      <c r="AM233" s="10">
        <v>150</v>
      </c>
      <c r="AN233" s="11">
        <f t="shared" si="74"/>
        <v>150</v>
      </c>
      <c r="AO233" s="10">
        <v>150</v>
      </c>
      <c r="AP233" s="56">
        <f t="shared" si="68"/>
        <v>2</v>
      </c>
      <c r="AR233" s="11">
        <f ca="1">IFERROR(OFFSET(ITEM_RES!$A$1,MATCH(AS233,ITEM_RES!$J:$J,0)-1,0),0)</f>
        <v>211020801</v>
      </c>
      <c r="AS233" s="10" t="s">
        <v>454</v>
      </c>
      <c r="AT233" s="11">
        <v>750</v>
      </c>
      <c r="AW233" s="11">
        <f ca="1">IFERROR(OFFSET(ITEM_RES!$A$1,MATCH(AX233,ITEM_RES!$J:$J,0)-1,0),0)</f>
        <v>211020401</v>
      </c>
      <c r="AX233" s="10" t="s">
        <v>440</v>
      </c>
      <c r="AY233" s="11">
        <v>750</v>
      </c>
      <c r="BB233" s="11">
        <f ca="1">IFERROR(OFFSET(ITEM_RES!$A$1,MATCH(BC233,ITEM_RES!$J:$J,0)-1,0),0)</f>
        <v>0</v>
      </c>
      <c r="BG233" s="11">
        <f ca="1">IFERROR(OFFSET(ITEM_RES!$A$1,MATCH(BH233,ITEM_RES!$J:$J,0)-1,0),0)</f>
        <v>0</v>
      </c>
      <c r="BL233" s="11">
        <f ca="1">IFERROR(OFFSET(ITEM_RES!$A$1,MATCH(BM233,ITEM_RES!$J:$J,0)-1,0),0)</f>
        <v>0</v>
      </c>
      <c r="BN233" s="11">
        <f t="shared" si="73"/>
        <v>0</v>
      </c>
    </row>
    <row r="234" spans="1:67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56" t="s">
        <v>985</v>
      </c>
      <c r="M234" s="56"/>
      <c r="N234" s="9">
        <v>1</v>
      </c>
      <c r="O234" s="9">
        <v>15</v>
      </c>
      <c r="P234" s="9" t="s">
        <v>816</v>
      </c>
      <c r="T234" s="9" t="s">
        <v>739</v>
      </c>
      <c r="W234" s="9">
        <f ca="1">IFERROR(OFFSET(ITEM_RES!$A$5,MATCH(BUILDING!V234,ITEM_RES!$J$5:$J$226,0)-1,0),0)</f>
        <v>0</v>
      </c>
      <c r="Z234" s="9">
        <f ca="1">IFERROR(OFFSET(ITEM_RES!$A$5,MATCH(BUILDING!Y234,ITEM_RES!$J$5:$J$226,0)-1,0),0)</f>
        <v>0</v>
      </c>
      <c r="AB234" s="9" t="s">
        <v>546</v>
      </c>
      <c r="AC234" s="9">
        <v>10</v>
      </c>
      <c r="AE234" s="9">
        <v>8000</v>
      </c>
      <c r="AG234" s="56">
        <f t="shared" si="67"/>
        <v>4700</v>
      </c>
      <c r="AH234" s="10">
        <f t="shared" si="96"/>
        <v>7850</v>
      </c>
      <c r="AJ234" s="11">
        <f t="shared" si="66"/>
        <v>50</v>
      </c>
      <c r="AK234" s="10">
        <v>50</v>
      </c>
      <c r="AL234" s="11">
        <f t="shared" si="74"/>
        <v>200</v>
      </c>
      <c r="AM234" s="10">
        <v>200</v>
      </c>
      <c r="AN234" s="11">
        <f t="shared" si="74"/>
        <v>200</v>
      </c>
      <c r="AO234" s="10">
        <v>200</v>
      </c>
      <c r="AP234" s="56">
        <f t="shared" si="68"/>
        <v>3</v>
      </c>
      <c r="AR234" s="11">
        <f ca="1">IFERROR(OFFSET(ITEM_RES!$A$1,MATCH(AS234,ITEM_RES!$J:$J,0)-1,0),0)</f>
        <v>211020801</v>
      </c>
      <c r="AS234" s="10" t="s">
        <v>454</v>
      </c>
      <c r="AT234" s="11">
        <v>1000</v>
      </c>
      <c r="AW234" s="11">
        <f ca="1">IFERROR(OFFSET(ITEM_RES!$A$1,MATCH(AX234,ITEM_RES!$J:$J,0)-1,0),0)</f>
        <v>211020401</v>
      </c>
      <c r="AX234" s="10" t="s">
        <v>440</v>
      </c>
      <c r="AY234" s="11">
        <v>1000</v>
      </c>
      <c r="BB234" s="11">
        <f ca="1">IFERROR(OFFSET(ITEM_RES!$A$1,MATCH(BC234,ITEM_RES!$J:$J,0)-1,0),0)</f>
        <v>0</v>
      </c>
      <c r="BG234" s="11">
        <f ca="1">IFERROR(OFFSET(ITEM_RES!$A$1,MATCH(BH234,ITEM_RES!$J:$J,0)-1,0),0)</f>
        <v>213010901</v>
      </c>
      <c r="BH234" s="10" t="s">
        <v>533</v>
      </c>
      <c r="BI234" s="11">
        <v>1</v>
      </c>
      <c r="BL234" s="11">
        <f ca="1">IFERROR(OFFSET(ITEM_RES!$A$1,MATCH(BM234,ITEM_RES!$J:$J,0)-1,0),0)</f>
        <v>0</v>
      </c>
      <c r="BN234" s="11">
        <f t="shared" si="73"/>
        <v>0</v>
      </c>
    </row>
    <row r="235" spans="1:67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56" t="s">
        <v>985</v>
      </c>
      <c r="M235" s="56"/>
      <c r="N235" s="9">
        <v>1</v>
      </c>
      <c r="O235" s="9">
        <v>15</v>
      </c>
      <c r="P235" s="9" t="s">
        <v>816</v>
      </c>
      <c r="T235" s="9" t="s">
        <v>739</v>
      </c>
      <c r="W235" s="9">
        <f ca="1">IFERROR(OFFSET(ITEM_RES!$A$5,MATCH(BUILDING!V235,ITEM_RES!$J$5:$J$226,0)-1,0),0)</f>
        <v>0</v>
      </c>
      <c r="Z235" s="9">
        <f ca="1">IFERROR(OFFSET(ITEM_RES!$A$5,MATCH(BUILDING!Y235,ITEM_RES!$J$5:$J$226,0)-1,0),0)</f>
        <v>0</v>
      </c>
      <c r="AB235" s="9" t="s">
        <v>546</v>
      </c>
      <c r="AC235" s="9">
        <v>11</v>
      </c>
      <c r="AE235" s="9">
        <v>10000</v>
      </c>
      <c r="AG235" s="56">
        <f t="shared" si="67"/>
        <v>5250</v>
      </c>
      <c r="AH235" s="10">
        <f t="shared" si="96"/>
        <v>9950</v>
      </c>
      <c r="AJ235" s="11">
        <f t="shared" si="66"/>
        <v>55</v>
      </c>
      <c r="AK235" s="10">
        <v>55</v>
      </c>
      <c r="AL235" s="11">
        <f t="shared" si="74"/>
        <v>250</v>
      </c>
      <c r="AM235" s="10">
        <v>250</v>
      </c>
      <c r="AN235" s="11">
        <f t="shared" si="74"/>
        <v>250</v>
      </c>
      <c r="AO235" s="10">
        <v>250</v>
      </c>
      <c r="AP235" s="56">
        <f t="shared" si="68"/>
        <v>2</v>
      </c>
      <c r="AR235" s="11">
        <f ca="1">IFERROR(OFFSET(ITEM_RES!$A$1,MATCH(AS235,ITEM_RES!$J:$J,0)-1,0),0)</f>
        <v>211020901</v>
      </c>
      <c r="AS235" s="10" t="s">
        <v>467</v>
      </c>
      <c r="AT235" s="11">
        <v>1250</v>
      </c>
      <c r="AW235" s="11">
        <f ca="1">IFERROR(OFFSET(ITEM_RES!$A$1,MATCH(AX235,ITEM_RES!$J:$J,0)-1,0),0)</f>
        <v>211020401</v>
      </c>
      <c r="AX235" s="10" t="s">
        <v>440</v>
      </c>
      <c r="AY235" s="11">
        <v>1250</v>
      </c>
      <c r="BB235" s="11">
        <f ca="1">IFERROR(OFFSET(ITEM_RES!$A$1,MATCH(BC235,ITEM_RES!$J:$J,0)-1,0),0)</f>
        <v>0</v>
      </c>
      <c r="BG235" s="11">
        <f ca="1">IFERROR(OFFSET(ITEM_RES!$A$1,MATCH(BH235,ITEM_RES!$J:$J,0)-1,0),0)</f>
        <v>0</v>
      </c>
      <c r="BL235" s="11">
        <f ca="1">IFERROR(OFFSET(ITEM_RES!$A$1,MATCH(BM235,ITEM_RES!$J:$J,0)-1,0),0)</f>
        <v>0</v>
      </c>
      <c r="BN235" s="11">
        <f t="shared" si="73"/>
        <v>0</v>
      </c>
    </row>
    <row r="236" spans="1:67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56" t="s">
        <v>985</v>
      </c>
      <c r="M236" s="56"/>
      <c r="N236" s="9">
        <v>1</v>
      </c>
      <c r="O236" s="9">
        <v>15</v>
      </c>
      <c r="P236" s="9" t="s">
        <v>816</v>
      </c>
      <c r="T236" s="9" t="s">
        <v>740</v>
      </c>
      <c r="W236" s="9">
        <f ca="1">IFERROR(OFFSET(ITEM_RES!$A$5,MATCH(BUILDING!V236,ITEM_RES!$J$5:$J$226,0)-1,0),0)</f>
        <v>0</v>
      </c>
      <c r="Z236" s="9">
        <f ca="1">IFERROR(OFFSET(ITEM_RES!$A$5,MATCH(BUILDING!Y236,ITEM_RES!$J$5:$J$226,0)-1,0),0)</f>
        <v>0</v>
      </c>
      <c r="AB236" s="9" t="s">
        <v>546</v>
      </c>
      <c r="AC236" s="9">
        <v>12</v>
      </c>
      <c r="AE236" s="9">
        <v>12000</v>
      </c>
      <c r="AG236" s="56">
        <f t="shared" si="67"/>
        <v>6300</v>
      </c>
      <c r="AH236" s="10">
        <f t="shared" si="96"/>
        <v>11550</v>
      </c>
      <c r="AJ236" s="11">
        <f t="shared" si="66"/>
        <v>60</v>
      </c>
      <c r="AK236" s="10">
        <v>60</v>
      </c>
      <c r="AL236" s="11">
        <f t="shared" si="74"/>
        <v>300</v>
      </c>
      <c r="AM236" s="10">
        <v>300</v>
      </c>
      <c r="AN236" s="11">
        <f t="shared" si="74"/>
        <v>300</v>
      </c>
      <c r="AO236" s="10">
        <v>300</v>
      </c>
      <c r="AP236" s="56">
        <f t="shared" si="68"/>
        <v>2</v>
      </c>
      <c r="AR236" s="11">
        <f ca="1">IFERROR(OFFSET(ITEM_RES!$A$1,MATCH(AS236,ITEM_RES!$J:$J,0)-1,0),0)</f>
        <v>211020901</v>
      </c>
      <c r="AS236" s="10" t="s">
        <v>467</v>
      </c>
      <c r="AT236" s="11">
        <v>1500</v>
      </c>
      <c r="AW236" s="11">
        <f ca="1">IFERROR(OFFSET(ITEM_RES!$A$1,MATCH(AX236,ITEM_RES!$J:$J,0)-1,0),0)</f>
        <v>211020401</v>
      </c>
      <c r="AX236" s="10" t="s">
        <v>440</v>
      </c>
      <c r="AY236" s="11">
        <v>1500</v>
      </c>
      <c r="BB236" s="11">
        <f ca="1">IFERROR(OFFSET(ITEM_RES!$A$1,MATCH(BC236,ITEM_RES!$J:$J,0)-1,0),0)</f>
        <v>0</v>
      </c>
      <c r="BG236" s="11">
        <f ca="1">IFERROR(OFFSET(ITEM_RES!$A$1,MATCH(BH236,ITEM_RES!$J:$J,0)-1,0),0)</f>
        <v>0</v>
      </c>
      <c r="BL236" s="11">
        <f ca="1">IFERROR(OFFSET(ITEM_RES!$A$1,MATCH(BM236,ITEM_RES!$J:$J,0)-1,0),0)</f>
        <v>0</v>
      </c>
      <c r="BN236" s="11">
        <f t="shared" si="73"/>
        <v>0</v>
      </c>
    </row>
    <row r="237" spans="1:67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56" t="s">
        <v>985</v>
      </c>
      <c r="M237" s="56"/>
      <c r="N237" s="9">
        <v>1</v>
      </c>
      <c r="O237" s="9">
        <v>15</v>
      </c>
      <c r="P237" s="9" t="s">
        <v>816</v>
      </c>
      <c r="T237" s="9" t="s">
        <v>740</v>
      </c>
      <c r="W237" s="9">
        <f ca="1">IFERROR(OFFSET(ITEM_RES!$A$5,MATCH(BUILDING!V237,ITEM_RES!$J$5:$J$226,0)-1,0),0)</f>
        <v>0</v>
      </c>
      <c r="Z237" s="9">
        <f ca="1">IFERROR(OFFSET(ITEM_RES!$A$5,MATCH(BUILDING!Y237,ITEM_RES!$J$5:$J$226,0)-1,0),0)</f>
        <v>0</v>
      </c>
      <c r="AB237" s="9" t="s">
        <v>546</v>
      </c>
      <c r="AC237" s="9">
        <v>13</v>
      </c>
      <c r="AE237" s="9">
        <v>14000</v>
      </c>
      <c r="AG237" s="56">
        <f t="shared" si="67"/>
        <v>7350</v>
      </c>
      <c r="AH237" s="10">
        <f t="shared" si="96"/>
        <v>13650</v>
      </c>
      <c r="AJ237" s="11">
        <f t="shared" ref="AJ237:AJ300" si="97">ROUND(AK237,0)</f>
        <v>65</v>
      </c>
      <c r="AK237" s="10">
        <v>65</v>
      </c>
      <c r="AL237" s="11">
        <f t="shared" si="74"/>
        <v>350</v>
      </c>
      <c r="AM237" s="10">
        <v>350</v>
      </c>
      <c r="AN237" s="11">
        <f t="shared" si="74"/>
        <v>350</v>
      </c>
      <c r="AO237" s="10">
        <v>350</v>
      </c>
      <c r="AP237" s="56">
        <f t="shared" si="68"/>
        <v>2</v>
      </c>
      <c r="AR237" s="11">
        <f ca="1">IFERROR(OFFSET(ITEM_RES!$A$1,MATCH(AS237,ITEM_RES!$J:$J,0)-1,0),0)</f>
        <v>211020901</v>
      </c>
      <c r="AS237" s="10" t="s">
        <v>467</v>
      </c>
      <c r="AT237" s="11">
        <v>1750</v>
      </c>
      <c r="AW237" s="11">
        <f ca="1">IFERROR(OFFSET(ITEM_RES!$A$1,MATCH(AX237,ITEM_RES!$J:$J,0)-1,0),0)</f>
        <v>211020401</v>
      </c>
      <c r="AX237" s="10" t="s">
        <v>440</v>
      </c>
      <c r="AY237" s="11">
        <v>1750</v>
      </c>
      <c r="BB237" s="11">
        <f ca="1">IFERROR(OFFSET(ITEM_RES!$A$1,MATCH(BC237,ITEM_RES!$J:$J,0)-1,0),0)</f>
        <v>0</v>
      </c>
      <c r="BG237" s="11">
        <f ca="1">IFERROR(OFFSET(ITEM_RES!$A$1,MATCH(BH237,ITEM_RES!$J:$J,0)-1,0),0)</f>
        <v>0</v>
      </c>
      <c r="BL237" s="11">
        <f ca="1">IFERROR(OFFSET(ITEM_RES!$A$1,MATCH(BM237,ITEM_RES!$J:$J,0)-1,0),0)</f>
        <v>0</v>
      </c>
      <c r="BN237" s="11">
        <f t="shared" si="73"/>
        <v>0</v>
      </c>
    </row>
    <row r="238" spans="1:67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56" t="s">
        <v>985</v>
      </c>
      <c r="M238" s="56"/>
      <c r="N238" s="9">
        <v>1</v>
      </c>
      <c r="O238" s="9">
        <v>15</v>
      </c>
      <c r="P238" s="9" t="s">
        <v>816</v>
      </c>
      <c r="T238" s="9" t="s">
        <v>740</v>
      </c>
      <c r="W238" s="9">
        <f ca="1">IFERROR(OFFSET(ITEM_RES!$A$5,MATCH(BUILDING!V238,ITEM_RES!$J$5:$J$226,0)-1,0),0)</f>
        <v>0</v>
      </c>
      <c r="Z238" s="9">
        <f ca="1">IFERROR(OFFSET(ITEM_RES!$A$5,MATCH(BUILDING!Y238,ITEM_RES!$J$5:$J$226,0)-1,0),0)</f>
        <v>0</v>
      </c>
      <c r="AB238" s="9" t="s">
        <v>546</v>
      </c>
      <c r="AC238" s="9">
        <v>14</v>
      </c>
      <c r="AE238" s="9">
        <v>18000</v>
      </c>
      <c r="AG238" s="56">
        <f t="shared" ref="AG238:AG301" si="98">AM238*10+AO238+AT238+AY238+500*BD238+500*BI238+500*BN238</f>
        <v>9450</v>
      </c>
      <c r="AH238" s="10">
        <f t="shared" si="96"/>
        <v>16800</v>
      </c>
      <c r="AJ238" s="11">
        <f t="shared" si="97"/>
        <v>70</v>
      </c>
      <c r="AK238" s="10">
        <v>70</v>
      </c>
      <c r="AL238" s="11">
        <f t="shared" si="74"/>
        <v>450</v>
      </c>
      <c r="AM238" s="10">
        <v>450</v>
      </c>
      <c r="AN238" s="11">
        <f t="shared" si="74"/>
        <v>450</v>
      </c>
      <c r="AO238" s="10">
        <v>450</v>
      </c>
      <c r="AP238" s="56">
        <f t="shared" ref="AP238:AP301" si="99">(AT238&gt;0)*1+(AY238&gt;0)*1+(BD238&gt;0)*1+(BI238&gt;0)*1+(BN238&gt;0)*1</f>
        <v>2</v>
      </c>
      <c r="AR238" s="11">
        <f ca="1">IFERROR(OFFSET(ITEM_RES!$A$1,MATCH(AS238,ITEM_RES!$J:$J,0)-1,0),0)</f>
        <v>211020901</v>
      </c>
      <c r="AS238" s="10" t="s">
        <v>467</v>
      </c>
      <c r="AT238" s="11">
        <v>2250</v>
      </c>
      <c r="AW238" s="11">
        <f ca="1">IFERROR(OFFSET(ITEM_RES!$A$1,MATCH(AX238,ITEM_RES!$J:$J,0)-1,0),0)</f>
        <v>211020401</v>
      </c>
      <c r="AX238" s="10" t="s">
        <v>440</v>
      </c>
      <c r="AY238" s="11">
        <v>2250</v>
      </c>
      <c r="BB238" s="11">
        <f ca="1">IFERROR(OFFSET(ITEM_RES!$A$1,MATCH(BC238,ITEM_RES!$J:$J,0)-1,0),0)</f>
        <v>0</v>
      </c>
      <c r="BG238" s="11">
        <f ca="1">IFERROR(OFFSET(ITEM_RES!$A$1,MATCH(BH238,ITEM_RES!$J:$J,0)-1,0),0)</f>
        <v>0</v>
      </c>
      <c r="BL238" s="11">
        <f ca="1">IFERROR(OFFSET(ITEM_RES!$A$1,MATCH(BM238,ITEM_RES!$J:$J,0)-1,0),0)</f>
        <v>0</v>
      </c>
      <c r="BN238" s="11">
        <f t="shared" si="73"/>
        <v>0</v>
      </c>
    </row>
    <row r="239" spans="1:67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56" t="s">
        <v>985</v>
      </c>
      <c r="M239" s="56"/>
      <c r="N239" s="9">
        <v>1</v>
      </c>
      <c r="O239" s="9">
        <v>15</v>
      </c>
      <c r="P239" s="9" t="s">
        <v>816</v>
      </c>
      <c r="T239" s="9" t="s">
        <v>740</v>
      </c>
      <c r="W239" s="9">
        <f ca="1">IFERROR(OFFSET(ITEM_RES!$A$5,MATCH(BUILDING!V239,ITEM_RES!$J$5:$J$226,0)-1,0),0)</f>
        <v>0</v>
      </c>
      <c r="Z239" s="9">
        <f ca="1">IFERROR(OFFSET(ITEM_RES!$A$5,MATCH(BUILDING!Y239,ITEM_RES!$J$5:$J$226,0)-1,0),0)</f>
        <v>0</v>
      </c>
      <c r="AB239" s="9" t="s">
        <v>546</v>
      </c>
      <c r="AC239" s="9">
        <v>15</v>
      </c>
      <c r="AE239" s="9">
        <v>22000</v>
      </c>
      <c r="AG239" s="56">
        <f t="shared" si="98"/>
        <v>11550</v>
      </c>
      <c r="AH239" s="10">
        <f t="shared" si="96"/>
        <v>21000</v>
      </c>
      <c r="AJ239" s="11">
        <f t="shared" si="97"/>
        <v>75</v>
      </c>
      <c r="AK239" s="10">
        <v>75</v>
      </c>
      <c r="AL239" s="11">
        <f t="shared" si="74"/>
        <v>550</v>
      </c>
      <c r="AM239" s="10">
        <v>550</v>
      </c>
      <c r="AN239" s="11">
        <f t="shared" si="74"/>
        <v>550</v>
      </c>
      <c r="AO239" s="10">
        <v>550</v>
      </c>
      <c r="AP239" s="56">
        <f t="shared" si="99"/>
        <v>2</v>
      </c>
      <c r="AR239" s="11">
        <f ca="1">IFERROR(OFFSET(ITEM_RES!$A$1,MATCH(AS239,ITEM_RES!$J:$J,0)-1,0),0)</f>
        <v>211020901</v>
      </c>
      <c r="AS239" s="10" t="s">
        <v>467</v>
      </c>
      <c r="AT239" s="11">
        <v>2750</v>
      </c>
      <c r="AW239" s="11">
        <f ca="1">IFERROR(OFFSET(ITEM_RES!$A$1,MATCH(AX239,ITEM_RES!$J:$J,0)-1,0),0)</f>
        <v>211020401</v>
      </c>
      <c r="AX239" s="10" t="s">
        <v>455</v>
      </c>
      <c r="AY239" s="11">
        <v>2750</v>
      </c>
      <c r="BB239" s="11">
        <f ca="1">IFERROR(OFFSET(ITEM_RES!$A$1,MATCH(BC239,ITEM_RES!$J:$J,0)-1,0),0)</f>
        <v>0</v>
      </c>
      <c r="BG239" s="11">
        <f ca="1">IFERROR(OFFSET(ITEM_RES!$A$1,MATCH(BH239,ITEM_RES!$J:$J,0)-1,0),0)</f>
        <v>0</v>
      </c>
      <c r="BL239" s="11">
        <f ca="1">IFERROR(OFFSET(ITEM_RES!$A$1,MATCH(BM239,ITEM_RES!$J:$J,0)-1,0),0)</f>
        <v>0</v>
      </c>
      <c r="BN239" s="11">
        <f t="shared" si="73"/>
        <v>0</v>
      </c>
    </row>
    <row r="240" spans="1:67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56" t="s">
        <v>985</v>
      </c>
      <c r="M240" s="56"/>
      <c r="N240" s="9">
        <v>0</v>
      </c>
      <c r="O240" s="9">
        <v>15</v>
      </c>
      <c r="P240" s="9" t="s">
        <v>816</v>
      </c>
      <c r="T240" s="9" t="s">
        <v>740</v>
      </c>
      <c r="W240" s="9">
        <f ca="1">IFERROR(OFFSET(ITEM_RES!$A$5,MATCH(BUILDING!V240,ITEM_RES!$J$5:$J$226,0)-1,0),0)</f>
        <v>0</v>
      </c>
      <c r="Z240" s="9">
        <f ca="1">IFERROR(OFFSET(ITEM_RES!$A$5,MATCH(BUILDING!Y240,ITEM_RES!$J$5:$J$226,0)-1,0),0)</f>
        <v>0</v>
      </c>
      <c r="AB240" s="9" t="s">
        <v>546</v>
      </c>
      <c r="AC240" s="9">
        <v>16</v>
      </c>
      <c r="AE240" s="9">
        <v>28000</v>
      </c>
      <c r="AG240" s="56">
        <f t="shared" si="98"/>
        <v>14700</v>
      </c>
      <c r="AH240" s="10">
        <f t="shared" si="96"/>
        <v>26250</v>
      </c>
      <c r="AJ240" s="11">
        <f t="shared" si="97"/>
        <v>80</v>
      </c>
      <c r="AK240" s="10">
        <v>80</v>
      </c>
      <c r="AL240" s="11">
        <f t="shared" si="74"/>
        <v>700</v>
      </c>
      <c r="AM240" s="10">
        <v>700</v>
      </c>
      <c r="AN240" s="11">
        <f t="shared" si="74"/>
        <v>700</v>
      </c>
      <c r="AO240" s="10">
        <v>700</v>
      </c>
      <c r="AP240" s="56">
        <f t="shared" si="99"/>
        <v>2</v>
      </c>
      <c r="AR240" s="11">
        <f ca="1">IFERROR(OFFSET(ITEM_RES!$A$1,MATCH(AS240,ITEM_RES!$J:$J,0)-1,0),0)</f>
        <v>211020901</v>
      </c>
      <c r="AS240" s="10" t="s">
        <v>467</v>
      </c>
      <c r="AT240" s="11">
        <v>3500</v>
      </c>
      <c r="AW240" s="11">
        <f ca="1">IFERROR(OFFSET(ITEM_RES!$A$1,MATCH(AX240,ITEM_RES!$J:$J,0)-1,0),0)</f>
        <v>211020501</v>
      </c>
      <c r="AX240" s="10" t="s">
        <v>451</v>
      </c>
      <c r="AY240" s="11">
        <v>3500</v>
      </c>
      <c r="BB240" s="11">
        <f ca="1">IFERROR(OFFSET(ITEM_RES!$A$1,MATCH(BC240,ITEM_RES!$J:$J,0)-1,0),0)</f>
        <v>0</v>
      </c>
      <c r="BG240" s="11">
        <f ca="1">IFERROR(OFFSET(ITEM_RES!$A$1,MATCH(BH240,ITEM_RES!$J:$J,0)-1,0),0)</f>
        <v>0</v>
      </c>
      <c r="BL240" s="11">
        <f ca="1">IFERROR(OFFSET(ITEM_RES!$A$1,MATCH(BM240,ITEM_RES!$J:$J,0)-1,0),0)</f>
        <v>0</v>
      </c>
      <c r="BN240" s="11">
        <f t="shared" si="73"/>
        <v>0</v>
      </c>
    </row>
    <row r="241" spans="1:67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56" t="s">
        <v>985</v>
      </c>
      <c r="M241" s="56"/>
      <c r="N241" s="9">
        <v>0</v>
      </c>
      <c r="O241" s="9">
        <v>15</v>
      </c>
      <c r="P241" s="9" t="s">
        <v>816</v>
      </c>
      <c r="T241" s="9" t="s">
        <v>740</v>
      </c>
      <c r="W241" s="9">
        <f ca="1">IFERROR(OFFSET(ITEM_RES!$A$5,MATCH(BUILDING!V241,ITEM_RES!$J$5:$J$226,0)-1,0),0)</f>
        <v>0</v>
      </c>
      <c r="Z241" s="9">
        <f ca="1">IFERROR(OFFSET(ITEM_RES!$A$5,MATCH(BUILDING!Y241,ITEM_RES!$J$5:$J$226,0)-1,0),0)</f>
        <v>0</v>
      </c>
      <c r="AB241" s="9" t="s">
        <v>546</v>
      </c>
      <c r="AC241" s="9">
        <v>17</v>
      </c>
      <c r="AE241" s="9">
        <v>34000</v>
      </c>
      <c r="AG241" s="56">
        <f t="shared" si="98"/>
        <v>17850</v>
      </c>
      <c r="AH241" s="10">
        <f t="shared" si="96"/>
        <v>32550</v>
      </c>
      <c r="AJ241" s="11">
        <f t="shared" si="97"/>
        <v>85</v>
      </c>
      <c r="AK241" s="10">
        <v>85</v>
      </c>
      <c r="AL241" s="11">
        <f t="shared" si="74"/>
        <v>850</v>
      </c>
      <c r="AM241" s="10">
        <v>850</v>
      </c>
      <c r="AN241" s="11">
        <f t="shared" si="74"/>
        <v>850</v>
      </c>
      <c r="AO241" s="10">
        <v>850</v>
      </c>
      <c r="AP241" s="56">
        <f t="shared" si="99"/>
        <v>2</v>
      </c>
      <c r="AR241" s="11">
        <f ca="1">IFERROR(OFFSET(ITEM_RES!$A$1,MATCH(AS241,ITEM_RES!$J:$J,0)-1,0),0)</f>
        <v>211020901</v>
      </c>
      <c r="AS241" s="10" t="s">
        <v>467</v>
      </c>
      <c r="AT241" s="11">
        <v>4250</v>
      </c>
      <c r="AW241" s="11">
        <f ca="1">IFERROR(OFFSET(ITEM_RES!$A$1,MATCH(AX241,ITEM_RES!$J:$J,0)-1,0),0)</f>
        <v>211020501</v>
      </c>
      <c r="AX241" s="10" t="s">
        <v>441</v>
      </c>
      <c r="AY241" s="11">
        <v>4250</v>
      </c>
      <c r="BB241" s="11">
        <f ca="1">IFERROR(OFFSET(ITEM_RES!$A$1,MATCH(BC241,ITEM_RES!$J:$J,0)-1,0),0)</f>
        <v>0</v>
      </c>
      <c r="BG241" s="11">
        <f ca="1">IFERROR(OFFSET(ITEM_RES!$A$1,MATCH(BH241,ITEM_RES!$J:$J,0)-1,0),0)</f>
        <v>0</v>
      </c>
      <c r="BL241" s="11">
        <f ca="1">IFERROR(OFFSET(ITEM_RES!$A$1,MATCH(BM241,ITEM_RES!$J:$J,0)-1,0),0)</f>
        <v>0</v>
      </c>
      <c r="BN241" s="11">
        <f t="shared" si="73"/>
        <v>0</v>
      </c>
    </row>
    <row r="242" spans="1:67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56" t="s">
        <v>985</v>
      </c>
      <c r="M242" s="56"/>
      <c r="N242" s="9">
        <v>0</v>
      </c>
      <c r="O242" s="9">
        <v>15</v>
      </c>
      <c r="P242" s="9" t="s">
        <v>816</v>
      </c>
      <c r="T242" s="9" t="s">
        <v>740</v>
      </c>
      <c r="W242" s="9">
        <f ca="1">IFERROR(OFFSET(ITEM_RES!$A$5,MATCH(BUILDING!V242,ITEM_RES!$J$5:$J$226,0)-1,0),0)</f>
        <v>0</v>
      </c>
      <c r="Z242" s="9">
        <f ca="1">IFERROR(OFFSET(ITEM_RES!$A$5,MATCH(BUILDING!Y242,ITEM_RES!$J$5:$J$226,0)-1,0),0)</f>
        <v>0</v>
      </c>
      <c r="AB242" s="9" t="s">
        <v>546</v>
      </c>
      <c r="AC242" s="9">
        <v>18</v>
      </c>
      <c r="AE242" s="9">
        <v>42000</v>
      </c>
      <c r="AG242" s="56">
        <f t="shared" si="98"/>
        <v>22050</v>
      </c>
      <c r="AH242" s="10">
        <f t="shared" si="96"/>
        <v>39900</v>
      </c>
      <c r="AJ242" s="11">
        <f t="shared" si="97"/>
        <v>90</v>
      </c>
      <c r="AK242" s="10">
        <v>90</v>
      </c>
      <c r="AL242" s="11">
        <f t="shared" si="74"/>
        <v>1050</v>
      </c>
      <c r="AM242" s="10">
        <v>1050</v>
      </c>
      <c r="AN242" s="11">
        <f t="shared" si="74"/>
        <v>1050</v>
      </c>
      <c r="AO242" s="10">
        <v>1050</v>
      </c>
      <c r="AP242" s="56">
        <f t="shared" si="99"/>
        <v>2</v>
      </c>
      <c r="AR242" s="11">
        <f ca="1">IFERROR(OFFSET(ITEM_RES!$A$1,MATCH(AS242,ITEM_RES!$J:$J,0)-1,0),0)</f>
        <v>211020901</v>
      </c>
      <c r="AS242" s="10" t="s">
        <v>467</v>
      </c>
      <c r="AT242" s="11">
        <v>5250</v>
      </c>
      <c r="AW242" s="11">
        <f ca="1">IFERROR(OFFSET(ITEM_RES!$A$1,MATCH(AX242,ITEM_RES!$J:$J,0)-1,0),0)</f>
        <v>211020501</v>
      </c>
      <c r="AX242" s="10" t="s">
        <v>441</v>
      </c>
      <c r="AY242" s="11">
        <v>5250</v>
      </c>
      <c r="BB242" s="11">
        <f ca="1">IFERROR(OFFSET(ITEM_RES!$A$1,MATCH(BC242,ITEM_RES!$J:$J,0)-1,0),0)</f>
        <v>0</v>
      </c>
      <c r="BG242" s="11">
        <f ca="1">IFERROR(OFFSET(ITEM_RES!$A$1,MATCH(BH242,ITEM_RES!$J:$J,0)-1,0),0)</f>
        <v>0</v>
      </c>
      <c r="BL242" s="11">
        <f ca="1">IFERROR(OFFSET(ITEM_RES!$A$1,MATCH(BM242,ITEM_RES!$J:$J,0)-1,0),0)</f>
        <v>0</v>
      </c>
      <c r="BN242" s="11">
        <f t="shared" si="73"/>
        <v>0</v>
      </c>
    </row>
    <row r="243" spans="1:67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56" t="s">
        <v>985</v>
      </c>
      <c r="M243" s="56"/>
      <c r="N243" s="9">
        <v>0</v>
      </c>
      <c r="O243" s="9">
        <v>15</v>
      </c>
      <c r="P243" s="9" t="s">
        <v>816</v>
      </c>
      <c r="T243" s="9" t="s">
        <v>740</v>
      </c>
      <c r="W243" s="9">
        <f ca="1">IFERROR(OFFSET(ITEM_RES!$A$5,MATCH(BUILDING!V243,ITEM_RES!$J$5:$J$226,0)-1,0),0)</f>
        <v>0</v>
      </c>
      <c r="Z243" s="9">
        <f ca="1">IFERROR(OFFSET(ITEM_RES!$A$5,MATCH(BUILDING!Y243,ITEM_RES!$J$5:$J$226,0)-1,0),0)</f>
        <v>0</v>
      </c>
      <c r="AB243" s="9" t="s">
        <v>546</v>
      </c>
      <c r="AC243" s="9">
        <v>19</v>
      </c>
      <c r="AE243" s="9">
        <v>50000</v>
      </c>
      <c r="AG243" s="56">
        <f t="shared" si="98"/>
        <v>26250</v>
      </c>
      <c r="AH243" s="10">
        <f t="shared" si="96"/>
        <v>48300</v>
      </c>
      <c r="AJ243" s="11">
        <f t="shared" si="97"/>
        <v>95</v>
      </c>
      <c r="AK243" s="10">
        <v>95</v>
      </c>
      <c r="AL243" s="11">
        <f t="shared" si="74"/>
        <v>1250</v>
      </c>
      <c r="AM243" s="10">
        <v>1250</v>
      </c>
      <c r="AN243" s="11">
        <f t="shared" si="74"/>
        <v>1250</v>
      </c>
      <c r="AO243" s="10">
        <v>1250</v>
      </c>
      <c r="AP243" s="56">
        <f t="shared" si="99"/>
        <v>2</v>
      </c>
      <c r="AR243" s="11">
        <f ca="1">IFERROR(OFFSET(ITEM_RES!$A$1,MATCH(AS243,ITEM_RES!$J:$J,0)-1,0),0)</f>
        <v>211020901</v>
      </c>
      <c r="AS243" s="10" t="s">
        <v>467</v>
      </c>
      <c r="AT243" s="11">
        <v>6250</v>
      </c>
      <c r="AW243" s="11">
        <f ca="1">IFERROR(OFFSET(ITEM_RES!$A$1,MATCH(AX243,ITEM_RES!$J:$J,0)-1,0),0)</f>
        <v>211020501</v>
      </c>
      <c r="AX243" s="10" t="s">
        <v>441</v>
      </c>
      <c r="AY243" s="11">
        <v>6250</v>
      </c>
      <c r="BB243" s="11">
        <f ca="1">IFERROR(OFFSET(ITEM_RES!$A$1,MATCH(BC243,ITEM_RES!$J:$J,0)-1,0),0)</f>
        <v>0</v>
      </c>
      <c r="BG243" s="11">
        <f ca="1">IFERROR(OFFSET(ITEM_RES!$A$1,MATCH(BH243,ITEM_RES!$J:$J,0)-1,0),0)</f>
        <v>0</v>
      </c>
      <c r="BL243" s="11">
        <f ca="1">IFERROR(OFFSET(ITEM_RES!$A$1,MATCH(BM243,ITEM_RES!$J:$J,0)-1,0),0)</f>
        <v>0</v>
      </c>
      <c r="BN243" s="11">
        <f t="shared" si="73"/>
        <v>0</v>
      </c>
    </row>
    <row r="244" spans="1:67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56" t="s">
        <v>985</v>
      </c>
      <c r="M244" s="56"/>
      <c r="N244" s="9">
        <v>0</v>
      </c>
      <c r="O244" s="9">
        <v>15</v>
      </c>
      <c r="P244" s="9" t="s">
        <v>816</v>
      </c>
      <c r="T244" s="9" t="s">
        <v>740</v>
      </c>
      <c r="W244" s="9">
        <f ca="1">IFERROR(OFFSET(ITEM_RES!$A$5,MATCH(BUILDING!V244,ITEM_RES!$J$5:$J$226,0)-1,0),0)</f>
        <v>0</v>
      </c>
      <c r="Z244" s="9">
        <f ca="1">IFERROR(OFFSET(ITEM_RES!$A$5,MATCH(BUILDING!Y244,ITEM_RES!$J$5:$J$226,0)-1,0),0)</f>
        <v>0</v>
      </c>
      <c r="AB244" s="9" t="s">
        <v>546</v>
      </c>
      <c r="AC244" s="9">
        <v>20</v>
      </c>
      <c r="AE244" s="9">
        <v>60000</v>
      </c>
      <c r="AG244" s="56">
        <f t="shared" si="98"/>
        <v>31500</v>
      </c>
      <c r="AH244" s="10">
        <f t="shared" si="96"/>
        <v>57750</v>
      </c>
      <c r="AJ244" s="11">
        <f t="shared" si="97"/>
        <v>100</v>
      </c>
      <c r="AK244" s="10">
        <v>100</v>
      </c>
      <c r="AL244" s="11">
        <f t="shared" si="74"/>
        <v>1500</v>
      </c>
      <c r="AM244" s="10">
        <v>1500</v>
      </c>
      <c r="AN244" s="11">
        <f t="shared" si="74"/>
        <v>1500</v>
      </c>
      <c r="AO244" s="10">
        <v>1500</v>
      </c>
      <c r="AP244" s="56">
        <f t="shared" si="99"/>
        <v>2</v>
      </c>
      <c r="AR244" s="11">
        <f ca="1">IFERROR(OFFSET(ITEM_RES!$A$1,MATCH(AS244,ITEM_RES!$J:$J,0)-1,0),0)</f>
        <v>211020901</v>
      </c>
      <c r="AS244" s="10" t="s">
        <v>467</v>
      </c>
      <c r="AT244" s="11">
        <v>7500</v>
      </c>
      <c r="AW244" s="11">
        <f ca="1">IFERROR(OFFSET(ITEM_RES!$A$1,MATCH(AX244,ITEM_RES!$J:$J,0)-1,0),0)</f>
        <v>211020501</v>
      </c>
      <c r="AX244" s="10" t="s">
        <v>441</v>
      </c>
      <c r="AY244" s="11">
        <v>7500</v>
      </c>
      <c r="BB244" s="11">
        <f ca="1">IFERROR(OFFSET(ITEM_RES!$A$1,MATCH(BC244,ITEM_RES!$J:$J,0)-1,0),0)</f>
        <v>0</v>
      </c>
      <c r="BG244" s="11">
        <f ca="1">IFERROR(OFFSET(ITEM_RES!$A$1,MATCH(BH244,ITEM_RES!$J:$J,0)-1,0),0)</f>
        <v>0</v>
      </c>
      <c r="BL244" s="11">
        <f ca="1">IFERROR(OFFSET(ITEM_RES!$A$1,MATCH(BM244,ITEM_RES!$J:$J,0)-1,0),0)</f>
        <v>0</v>
      </c>
      <c r="BN244" s="11">
        <f t="shared" si="73"/>
        <v>0</v>
      </c>
    </row>
    <row r="245" spans="1:67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386</v>
      </c>
      <c r="L245" s="64" t="s">
        <v>986</v>
      </c>
      <c r="M245" s="64"/>
      <c r="N245" s="16">
        <v>1</v>
      </c>
      <c r="O245" s="16">
        <v>15</v>
      </c>
      <c r="P245" s="16" t="s">
        <v>805</v>
      </c>
      <c r="Q245" s="17"/>
      <c r="R245" s="17"/>
      <c r="S245" s="18"/>
      <c r="T245" s="16" t="s">
        <v>741</v>
      </c>
      <c r="U245" s="79"/>
      <c r="V245" s="87"/>
      <c r="W245" s="16">
        <f ca="1">IFERROR(OFFSET(ITEM_RES!$A$5,MATCH(BUILDING!V245,ITEM_RES!$J$5:$J$226,0)-1,0),0)</f>
        <v>0</v>
      </c>
      <c r="X245" s="18"/>
      <c r="Y245" s="87"/>
      <c r="Z245" s="16">
        <f ca="1">IFERROR(OFFSET(ITEM_RES!$A$5,MATCH(BUILDING!Y245,ITEM_RES!$J$5:$J$226,0)-1,0),0)</f>
        <v>0</v>
      </c>
      <c r="AA245" s="79"/>
      <c r="AB245" s="16" t="s">
        <v>547</v>
      </c>
      <c r="AC245" s="16">
        <v>1</v>
      </c>
      <c r="AD245" s="79"/>
      <c r="AE245" s="16">
        <v>0</v>
      </c>
      <c r="AF245" s="79"/>
      <c r="AG245" s="57">
        <f t="shared" si="98"/>
        <v>580</v>
      </c>
      <c r="AH245" s="17">
        <f>AG245</f>
        <v>580</v>
      </c>
      <c r="AI245" s="79"/>
      <c r="AJ245" s="18">
        <f t="shared" si="97"/>
        <v>5</v>
      </c>
      <c r="AK245" s="17">
        <v>5</v>
      </c>
      <c r="AL245" s="18">
        <f t="shared" si="74"/>
        <v>5</v>
      </c>
      <c r="AM245" s="17">
        <v>5</v>
      </c>
      <c r="AN245" s="18">
        <f t="shared" si="74"/>
        <v>5</v>
      </c>
      <c r="AO245" s="17">
        <v>5</v>
      </c>
      <c r="AP245" s="57">
        <f t="shared" si="99"/>
        <v>2</v>
      </c>
      <c r="AQ245" s="18"/>
      <c r="AR245" s="18">
        <f ca="1">IFERROR(OFFSET(ITEM_RES!$A$1,MATCH(AS245,ITEM_RES!$J:$J,0)-1,0),0)</f>
        <v>211020801</v>
      </c>
      <c r="AS245" s="17" t="s">
        <v>454</v>
      </c>
      <c r="AT245" s="18">
        <v>25</v>
      </c>
      <c r="AU245" s="17"/>
      <c r="AV245" s="18"/>
      <c r="AW245" s="18">
        <f ca="1">IFERROR(OFFSET(ITEM_RES!$A$1,MATCH(AX245,ITEM_RES!$J:$J,0)-1,0),0)</f>
        <v>0</v>
      </c>
      <c r="AX245" s="17"/>
      <c r="AY245" s="18"/>
      <c r="AZ245" s="17"/>
      <c r="BA245" s="18"/>
      <c r="BB245" s="18">
        <f ca="1">IFERROR(OFFSET(ITEM_RES!$A$1,MATCH(BC245,ITEM_RES!$J:$J,0)-1,0),0)</f>
        <v>213010101</v>
      </c>
      <c r="BC245" s="17" t="s">
        <v>477</v>
      </c>
      <c r="BD245" s="18">
        <v>1</v>
      </c>
      <c r="BE245" s="17"/>
      <c r="BF245" s="18"/>
      <c r="BG245" s="18">
        <f ca="1">IFERROR(OFFSET(ITEM_RES!$A$1,MATCH(BH245,ITEM_RES!$J:$J,0)-1,0),0)</f>
        <v>0</v>
      </c>
      <c r="BH245" s="17"/>
      <c r="BI245" s="18"/>
      <c r="BJ245" s="17"/>
      <c r="BK245" s="18"/>
      <c r="BL245" s="18">
        <f ca="1">IFERROR(OFFSET(ITEM_RES!$A$1,MATCH(BM245,ITEM_RES!$J:$J,0)-1,0),0)</f>
        <v>0</v>
      </c>
      <c r="BM245" s="17"/>
      <c r="BN245" s="18">
        <f t="shared" si="73"/>
        <v>0</v>
      </c>
      <c r="BO245" s="17"/>
    </row>
    <row r="246" spans="1:67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386</v>
      </c>
      <c r="L246" s="56" t="s">
        <v>986</v>
      </c>
      <c r="M246" s="56"/>
      <c r="N246" s="9">
        <v>1</v>
      </c>
      <c r="O246" s="9">
        <v>15</v>
      </c>
      <c r="P246" s="140" t="s">
        <v>806</v>
      </c>
      <c r="T246" s="9" t="s">
        <v>741</v>
      </c>
      <c r="W246" s="9">
        <f ca="1">IFERROR(OFFSET(ITEM_RES!$A$5,MATCH(BUILDING!V246,ITEM_RES!$J$5:$J$226,0)-1,0),0)</f>
        <v>0</v>
      </c>
      <c r="Z246" s="9">
        <f ca="1">IFERROR(OFFSET(ITEM_RES!$A$5,MATCH(BUILDING!Y246,ITEM_RES!$J$5:$J$226,0)-1,0),0)</f>
        <v>0</v>
      </c>
      <c r="AB246" s="9" t="s">
        <v>547</v>
      </c>
      <c r="AC246" s="9">
        <v>2</v>
      </c>
      <c r="AE246" s="9">
        <v>200</v>
      </c>
      <c r="AG246" s="56">
        <f t="shared" si="98"/>
        <v>160</v>
      </c>
      <c r="AH246" s="10">
        <f>AG245+AG246</f>
        <v>740</v>
      </c>
      <c r="AJ246" s="11">
        <f t="shared" si="97"/>
        <v>10</v>
      </c>
      <c r="AK246" s="10">
        <v>10</v>
      </c>
      <c r="AL246" s="11">
        <f t="shared" si="74"/>
        <v>10</v>
      </c>
      <c r="AM246" s="10">
        <v>10</v>
      </c>
      <c r="AN246" s="11">
        <f t="shared" si="74"/>
        <v>10</v>
      </c>
      <c r="AO246" s="10">
        <v>10</v>
      </c>
      <c r="AP246" s="56">
        <f t="shared" si="99"/>
        <v>1</v>
      </c>
      <c r="AR246" s="11">
        <f ca="1">IFERROR(OFFSET(ITEM_RES!$A$1,MATCH(AS246,ITEM_RES!$J:$J,0)-1,0),0)</f>
        <v>211020801</v>
      </c>
      <c r="AS246" s="10" t="s">
        <v>454</v>
      </c>
      <c r="AT246" s="11">
        <v>50</v>
      </c>
      <c r="AW246" s="11">
        <f ca="1">IFERROR(OFFSET(ITEM_RES!$A$1,MATCH(AX246,ITEM_RES!$J:$J,0)-1,0),0)</f>
        <v>0</v>
      </c>
      <c r="BB246" s="11">
        <f ca="1">IFERROR(OFFSET(ITEM_RES!$A$1,MATCH(BC246,ITEM_RES!$J:$J,0)-1,0),0)</f>
        <v>0</v>
      </c>
      <c r="BG246" s="11">
        <f ca="1">IFERROR(OFFSET(ITEM_RES!$A$1,MATCH(BH246,ITEM_RES!$J:$J,0)-1,0),0)</f>
        <v>0</v>
      </c>
      <c r="BL246" s="11">
        <f ca="1">IFERROR(OFFSET(ITEM_RES!$A$1,MATCH(BM246,ITEM_RES!$J:$J,0)-1,0),0)</f>
        <v>0</v>
      </c>
      <c r="BN246" s="11">
        <f t="shared" si="73"/>
        <v>0</v>
      </c>
    </row>
    <row r="247" spans="1:67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386</v>
      </c>
      <c r="L247" s="56" t="s">
        <v>986</v>
      </c>
      <c r="M247" s="56"/>
      <c r="N247" s="9">
        <v>1</v>
      </c>
      <c r="O247" s="9">
        <v>15</v>
      </c>
      <c r="P247" s="9" t="s">
        <v>805</v>
      </c>
      <c r="T247" s="9" t="s">
        <v>741</v>
      </c>
      <c r="W247" s="9">
        <f ca="1">IFERROR(OFFSET(ITEM_RES!$A$5,MATCH(BUILDING!V247,ITEM_RES!$J$5:$J$226,0)-1,0),0)</f>
        <v>0</v>
      </c>
      <c r="Z247" s="9">
        <f ca="1">IFERROR(OFFSET(ITEM_RES!$A$5,MATCH(BUILDING!Y247,ITEM_RES!$J$5:$J$226,0)-1,0),0)</f>
        <v>0</v>
      </c>
      <c r="AB247" s="9" t="s">
        <v>547</v>
      </c>
      <c r="AC247" s="9">
        <v>3</v>
      </c>
      <c r="AE247" s="9">
        <v>600</v>
      </c>
      <c r="AG247" s="56">
        <f t="shared" si="98"/>
        <v>240</v>
      </c>
      <c r="AH247" s="10">
        <f t="shared" ref="AH247:AH264" si="100">AG246+AG247</f>
        <v>400</v>
      </c>
      <c r="AJ247" s="11">
        <f t="shared" si="97"/>
        <v>15</v>
      </c>
      <c r="AK247" s="10">
        <v>15</v>
      </c>
      <c r="AL247" s="11">
        <f t="shared" si="74"/>
        <v>15</v>
      </c>
      <c r="AM247" s="10">
        <v>15</v>
      </c>
      <c r="AN247" s="11">
        <f t="shared" si="74"/>
        <v>15</v>
      </c>
      <c r="AO247" s="10">
        <v>15</v>
      </c>
      <c r="AP247" s="56">
        <f t="shared" si="99"/>
        <v>1</v>
      </c>
      <c r="AR247" s="11">
        <f ca="1">IFERROR(OFFSET(ITEM_RES!$A$1,MATCH(AS247,ITEM_RES!$J:$J,0)-1,0),0)</f>
        <v>211020801</v>
      </c>
      <c r="AS247" s="10" t="s">
        <v>454</v>
      </c>
      <c r="AT247" s="11">
        <v>75</v>
      </c>
      <c r="AW247" s="11">
        <f ca="1">IFERROR(OFFSET(ITEM_RES!$A$1,MATCH(AX247,ITEM_RES!$J:$J,0)-1,0),0)</f>
        <v>0</v>
      </c>
      <c r="BB247" s="11">
        <f ca="1">IFERROR(OFFSET(ITEM_RES!$A$1,MATCH(BC247,ITEM_RES!$J:$J,0)-1,0),0)</f>
        <v>0</v>
      </c>
      <c r="BG247" s="11">
        <f ca="1">IFERROR(OFFSET(ITEM_RES!$A$1,MATCH(BH247,ITEM_RES!$J:$J,0)-1,0),0)</f>
        <v>0</v>
      </c>
      <c r="BL247" s="11">
        <f ca="1">IFERROR(OFFSET(ITEM_RES!$A$1,MATCH(BM247,ITEM_RES!$J:$J,0)-1,0),0)</f>
        <v>0</v>
      </c>
      <c r="BN247" s="11">
        <f t="shared" si="73"/>
        <v>0</v>
      </c>
    </row>
    <row r="248" spans="1:67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386</v>
      </c>
      <c r="L248" s="56" t="s">
        <v>986</v>
      </c>
      <c r="M248" s="56"/>
      <c r="N248" s="9">
        <v>1</v>
      </c>
      <c r="O248" s="9">
        <v>15</v>
      </c>
      <c r="P248" s="9" t="s">
        <v>805</v>
      </c>
      <c r="T248" s="9" t="s">
        <v>741</v>
      </c>
      <c r="W248" s="9">
        <f ca="1">IFERROR(OFFSET(ITEM_RES!$A$5,MATCH(BUILDING!V248,ITEM_RES!$J$5:$J$226,0)-1,0),0)</f>
        <v>0</v>
      </c>
      <c r="Z248" s="9">
        <f ca="1">IFERROR(OFFSET(ITEM_RES!$A$5,MATCH(BUILDING!Y248,ITEM_RES!$J$5:$J$226,0)-1,0),0)</f>
        <v>0</v>
      </c>
      <c r="AB248" s="9" t="s">
        <v>547</v>
      </c>
      <c r="AC248" s="9">
        <v>4</v>
      </c>
      <c r="AE248" s="9">
        <v>1000</v>
      </c>
      <c r="AG248" s="56">
        <f t="shared" si="98"/>
        <v>400</v>
      </c>
      <c r="AH248" s="10">
        <f t="shared" si="100"/>
        <v>640</v>
      </c>
      <c r="AJ248" s="11">
        <f t="shared" si="97"/>
        <v>20</v>
      </c>
      <c r="AK248" s="10">
        <v>20</v>
      </c>
      <c r="AL248" s="11">
        <f t="shared" si="74"/>
        <v>25</v>
      </c>
      <c r="AM248" s="10">
        <v>25</v>
      </c>
      <c r="AN248" s="11">
        <f t="shared" si="74"/>
        <v>25</v>
      </c>
      <c r="AO248" s="10">
        <v>25</v>
      </c>
      <c r="AP248" s="56">
        <f t="shared" si="99"/>
        <v>1</v>
      </c>
      <c r="AR248" s="11">
        <f ca="1">IFERROR(OFFSET(ITEM_RES!$A$1,MATCH(AS248,ITEM_RES!$J:$J,0)-1,0),0)</f>
        <v>211020801</v>
      </c>
      <c r="AS248" s="10" t="s">
        <v>454</v>
      </c>
      <c r="AT248" s="11">
        <v>125</v>
      </c>
      <c r="AW248" s="11">
        <f ca="1">IFERROR(OFFSET(ITEM_RES!$A$1,MATCH(AX248,ITEM_RES!$J:$J,0)-1,0),0)</f>
        <v>0</v>
      </c>
      <c r="BB248" s="11">
        <f ca="1">IFERROR(OFFSET(ITEM_RES!$A$1,MATCH(BC248,ITEM_RES!$J:$J,0)-1,0),0)</f>
        <v>0</v>
      </c>
      <c r="BG248" s="11">
        <f ca="1">IFERROR(OFFSET(ITEM_RES!$A$1,MATCH(BH248,ITEM_RES!$J:$J,0)-1,0),0)</f>
        <v>0</v>
      </c>
      <c r="BL248" s="11">
        <f ca="1">IFERROR(OFFSET(ITEM_RES!$A$1,MATCH(BM248,ITEM_RES!$J:$J,0)-1,0),0)</f>
        <v>0</v>
      </c>
      <c r="BN248" s="11">
        <f t="shared" si="73"/>
        <v>0</v>
      </c>
    </row>
    <row r="249" spans="1:67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386</v>
      </c>
      <c r="L249" s="56" t="s">
        <v>986</v>
      </c>
      <c r="M249" s="56"/>
      <c r="N249" s="9">
        <v>1</v>
      </c>
      <c r="O249" s="9">
        <v>15</v>
      </c>
      <c r="P249" s="9" t="s">
        <v>805</v>
      </c>
      <c r="T249" s="9" t="s">
        <v>741</v>
      </c>
      <c r="W249" s="9">
        <f ca="1">IFERROR(OFFSET(ITEM_RES!$A$5,MATCH(BUILDING!V249,ITEM_RES!$J$5:$J$226,0)-1,0),0)</f>
        <v>0</v>
      </c>
      <c r="Z249" s="9">
        <f ca="1">IFERROR(OFFSET(ITEM_RES!$A$5,MATCH(BUILDING!Y249,ITEM_RES!$J$5:$J$226,0)-1,0),0)</f>
        <v>0</v>
      </c>
      <c r="AB249" s="9" t="s">
        <v>547</v>
      </c>
      <c r="AC249" s="9">
        <v>5</v>
      </c>
      <c r="AE249" s="9">
        <v>1600</v>
      </c>
      <c r="AG249" s="56">
        <f t="shared" si="98"/>
        <v>640</v>
      </c>
      <c r="AH249" s="10">
        <f t="shared" si="100"/>
        <v>1040</v>
      </c>
      <c r="AJ249" s="11">
        <f t="shared" si="97"/>
        <v>25</v>
      </c>
      <c r="AK249" s="10">
        <v>25</v>
      </c>
      <c r="AL249" s="11">
        <f t="shared" si="74"/>
        <v>40</v>
      </c>
      <c r="AM249" s="10">
        <v>40</v>
      </c>
      <c r="AN249" s="11">
        <f t="shared" si="74"/>
        <v>40</v>
      </c>
      <c r="AO249" s="10">
        <v>40</v>
      </c>
      <c r="AP249" s="56">
        <f t="shared" si="99"/>
        <v>1</v>
      </c>
      <c r="AR249" s="11">
        <f ca="1">IFERROR(OFFSET(ITEM_RES!$A$1,MATCH(AS249,ITEM_RES!$J:$J,0)-1,0),0)</f>
        <v>211020801</v>
      </c>
      <c r="AS249" s="10" t="s">
        <v>454</v>
      </c>
      <c r="AT249" s="11">
        <v>200</v>
      </c>
      <c r="AW249" s="11">
        <f ca="1">IFERROR(OFFSET(ITEM_RES!$A$1,MATCH(AX249,ITEM_RES!$J:$J,0)-1,0),0)</f>
        <v>0</v>
      </c>
      <c r="BB249" s="11">
        <f ca="1">IFERROR(OFFSET(ITEM_RES!$A$1,MATCH(BC249,ITEM_RES!$J:$J,0)-1,0),0)</f>
        <v>0</v>
      </c>
      <c r="BG249" s="11">
        <f ca="1">IFERROR(OFFSET(ITEM_RES!$A$1,MATCH(BH249,ITEM_RES!$J:$J,0)-1,0),0)</f>
        <v>0</v>
      </c>
      <c r="BL249" s="11">
        <f ca="1">IFERROR(OFFSET(ITEM_RES!$A$1,MATCH(BM249,ITEM_RES!$J:$J,0)-1,0),0)</f>
        <v>0</v>
      </c>
      <c r="BN249" s="11">
        <f t="shared" si="73"/>
        <v>0</v>
      </c>
    </row>
    <row r="250" spans="1:67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386</v>
      </c>
      <c r="L250" s="56" t="s">
        <v>986</v>
      </c>
      <c r="M250" s="56"/>
      <c r="N250" s="9">
        <v>1</v>
      </c>
      <c r="O250" s="9">
        <v>15</v>
      </c>
      <c r="P250" s="9" t="s">
        <v>805</v>
      </c>
      <c r="T250" s="9" t="s">
        <v>741</v>
      </c>
      <c r="W250" s="9">
        <f ca="1">IFERROR(OFFSET(ITEM_RES!$A$5,MATCH(BUILDING!V250,ITEM_RES!$J$5:$J$226,0)-1,0),0)</f>
        <v>0</v>
      </c>
      <c r="Z250" s="9">
        <f ca="1">IFERROR(OFFSET(ITEM_RES!$A$5,MATCH(BUILDING!Y250,ITEM_RES!$J$5:$J$226,0)-1,0),0)</f>
        <v>0</v>
      </c>
      <c r="AB250" s="9" t="s">
        <v>547</v>
      </c>
      <c r="AC250" s="9">
        <v>6</v>
      </c>
      <c r="AE250" s="9">
        <v>2000</v>
      </c>
      <c r="AG250" s="56">
        <f t="shared" si="98"/>
        <v>800</v>
      </c>
      <c r="AH250" s="10">
        <f t="shared" si="100"/>
        <v>1440</v>
      </c>
      <c r="AJ250" s="11">
        <f t="shared" si="97"/>
        <v>30</v>
      </c>
      <c r="AK250" s="10">
        <v>30</v>
      </c>
      <c r="AL250" s="11">
        <f t="shared" si="74"/>
        <v>50</v>
      </c>
      <c r="AM250" s="10">
        <v>50</v>
      </c>
      <c r="AN250" s="11">
        <f t="shared" si="74"/>
        <v>50</v>
      </c>
      <c r="AO250" s="10">
        <v>50</v>
      </c>
      <c r="AP250" s="56">
        <f t="shared" si="99"/>
        <v>1</v>
      </c>
      <c r="AR250" s="11">
        <f ca="1">IFERROR(OFFSET(ITEM_RES!$A$1,MATCH(AS250,ITEM_RES!$J:$J,0)-1,0),0)</f>
        <v>211020801</v>
      </c>
      <c r="AS250" s="10" t="s">
        <v>454</v>
      </c>
      <c r="AT250" s="11">
        <v>250</v>
      </c>
      <c r="AW250" s="11">
        <f ca="1">IFERROR(OFFSET(ITEM_RES!$A$1,MATCH(AX250,ITEM_RES!$J:$J,0)-1,0),0)</f>
        <v>0</v>
      </c>
      <c r="BB250" s="11">
        <f ca="1">IFERROR(OFFSET(ITEM_RES!$A$1,MATCH(BC250,ITEM_RES!$J:$J,0)-1,0),0)</f>
        <v>0</v>
      </c>
      <c r="BG250" s="11">
        <f ca="1">IFERROR(OFFSET(ITEM_RES!$A$1,MATCH(BH250,ITEM_RES!$J:$J,0)-1,0),0)</f>
        <v>0</v>
      </c>
      <c r="BL250" s="11">
        <f ca="1">IFERROR(OFFSET(ITEM_RES!$A$1,MATCH(BM250,ITEM_RES!$J:$J,0)-1,0),0)</f>
        <v>0</v>
      </c>
      <c r="BN250" s="11">
        <f t="shared" si="73"/>
        <v>0</v>
      </c>
    </row>
    <row r="251" spans="1:67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386</v>
      </c>
      <c r="L251" s="56" t="s">
        <v>986</v>
      </c>
      <c r="M251" s="56"/>
      <c r="N251" s="9">
        <v>1</v>
      </c>
      <c r="O251" s="9">
        <v>15</v>
      </c>
      <c r="P251" s="9" t="s">
        <v>805</v>
      </c>
      <c r="T251" s="9" t="s">
        <v>741</v>
      </c>
      <c r="W251" s="9">
        <f ca="1">IFERROR(OFFSET(ITEM_RES!$A$5,MATCH(BUILDING!V251,ITEM_RES!$J$5:$J$226,0)-1,0),0)</f>
        <v>0</v>
      </c>
      <c r="Z251" s="9">
        <f ca="1">IFERROR(OFFSET(ITEM_RES!$A$5,MATCH(BUILDING!Y251,ITEM_RES!$J$5:$J$226,0)-1,0),0)</f>
        <v>0</v>
      </c>
      <c r="AB251" s="9" t="s">
        <v>547</v>
      </c>
      <c r="AC251" s="9">
        <v>7</v>
      </c>
      <c r="AE251" s="9">
        <v>4000</v>
      </c>
      <c r="AG251" s="56">
        <f t="shared" si="98"/>
        <v>1600</v>
      </c>
      <c r="AH251" s="10">
        <f t="shared" si="100"/>
        <v>2400</v>
      </c>
      <c r="AJ251" s="11">
        <f t="shared" si="97"/>
        <v>35</v>
      </c>
      <c r="AK251" s="10">
        <v>35</v>
      </c>
      <c r="AL251" s="11">
        <f t="shared" si="74"/>
        <v>100</v>
      </c>
      <c r="AM251" s="10">
        <v>100</v>
      </c>
      <c r="AN251" s="11">
        <f t="shared" si="74"/>
        <v>100</v>
      </c>
      <c r="AO251" s="10">
        <v>100</v>
      </c>
      <c r="AP251" s="56">
        <f t="shared" si="99"/>
        <v>1</v>
      </c>
      <c r="AR251" s="11">
        <f ca="1">IFERROR(OFFSET(ITEM_RES!$A$1,MATCH(AS251,ITEM_RES!$J:$J,0)-1,0),0)</f>
        <v>211020801</v>
      </c>
      <c r="AS251" s="10" t="s">
        <v>454</v>
      </c>
      <c r="AT251" s="11">
        <v>500</v>
      </c>
      <c r="AW251" s="11">
        <f ca="1">IFERROR(OFFSET(ITEM_RES!$A$1,MATCH(AX251,ITEM_RES!$J:$J,0)-1,0),0)</f>
        <v>0</v>
      </c>
      <c r="BB251" s="11">
        <f ca="1">IFERROR(OFFSET(ITEM_RES!$A$1,MATCH(BC251,ITEM_RES!$J:$J,0)-1,0),0)</f>
        <v>0</v>
      </c>
      <c r="BG251" s="11">
        <f ca="1">IFERROR(OFFSET(ITEM_RES!$A$1,MATCH(BH251,ITEM_RES!$J:$J,0)-1,0),0)</f>
        <v>0</v>
      </c>
      <c r="BL251" s="11">
        <f ca="1">IFERROR(OFFSET(ITEM_RES!$A$1,MATCH(BM251,ITEM_RES!$J:$J,0)-1,0),0)</f>
        <v>0</v>
      </c>
      <c r="BN251" s="11">
        <f t="shared" si="73"/>
        <v>0</v>
      </c>
    </row>
    <row r="252" spans="1:67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386</v>
      </c>
      <c r="L252" s="56" t="s">
        <v>986</v>
      </c>
      <c r="M252" s="56"/>
      <c r="N252" s="9">
        <v>1</v>
      </c>
      <c r="O252" s="9">
        <v>15</v>
      </c>
      <c r="P252" s="9" t="s">
        <v>805</v>
      </c>
      <c r="T252" s="9" t="s">
        <v>741</v>
      </c>
      <c r="W252" s="9">
        <f ca="1">IFERROR(OFFSET(ITEM_RES!$A$5,MATCH(BUILDING!V252,ITEM_RES!$J$5:$J$226,0)-1,0),0)</f>
        <v>0</v>
      </c>
      <c r="Z252" s="9">
        <f ca="1">IFERROR(OFFSET(ITEM_RES!$A$5,MATCH(BUILDING!Y252,ITEM_RES!$J$5:$J$226,0)-1,0),0)</f>
        <v>0</v>
      </c>
      <c r="AB252" s="9" t="s">
        <v>547</v>
      </c>
      <c r="AC252" s="9">
        <v>8</v>
      </c>
      <c r="AE252" s="9">
        <v>4000</v>
      </c>
      <c r="AG252" s="56">
        <f t="shared" si="98"/>
        <v>1600</v>
      </c>
      <c r="AH252" s="10">
        <f t="shared" si="100"/>
        <v>3200</v>
      </c>
      <c r="AJ252" s="11">
        <f t="shared" si="97"/>
        <v>40</v>
      </c>
      <c r="AK252" s="10">
        <v>40</v>
      </c>
      <c r="AL252" s="11">
        <f t="shared" si="74"/>
        <v>100</v>
      </c>
      <c r="AM252" s="10">
        <v>100</v>
      </c>
      <c r="AN252" s="11">
        <f t="shared" si="74"/>
        <v>100</v>
      </c>
      <c r="AO252" s="10">
        <v>100</v>
      </c>
      <c r="AP252" s="56">
        <f t="shared" si="99"/>
        <v>1</v>
      </c>
      <c r="AR252" s="11">
        <f ca="1">IFERROR(OFFSET(ITEM_RES!$A$1,MATCH(AS252,ITEM_RES!$J:$J,0)-1,0),0)</f>
        <v>211020801</v>
      </c>
      <c r="AS252" s="10" t="s">
        <v>454</v>
      </c>
      <c r="AT252" s="11">
        <v>500</v>
      </c>
      <c r="AW252" s="11">
        <f ca="1">IFERROR(OFFSET(ITEM_RES!$A$1,MATCH(AX252,ITEM_RES!$J:$J,0)-1,0),0)</f>
        <v>0</v>
      </c>
      <c r="BB252" s="11">
        <f ca="1">IFERROR(OFFSET(ITEM_RES!$A$1,MATCH(BC252,ITEM_RES!$J:$J,0)-1,0),0)</f>
        <v>0</v>
      </c>
      <c r="BG252" s="11">
        <f ca="1">IFERROR(OFFSET(ITEM_RES!$A$1,MATCH(BH252,ITEM_RES!$J:$J,0)-1,0),0)</f>
        <v>0</v>
      </c>
      <c r="BL252" s="11">
        <f ca="1">IFERROR(OFFSET(ITEM_RES!$A$1,MATCH(BM252,ITEM_RES!$J:$J,0)-1,0),0)</f>
        <v>0</v>
      </c>
      <c r="BN252" s="11">
        <f t="shared" si="73"/>
        <v>0</v>
      </c>
    </row>
    <row r="253" spans="1:67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386</v>
      </c>
      <c r="L253" s="56" t="s">
        <v>986</v>
      </c>
      <c r="M253" s="56"/>
      <c r="N253" s="9">
        <v>1</v>
      </c>
      <c r="O253" s="9">
        <v>15</v>
      </c>
      <c r="P253" s="9" t="s">
        <v>805</v>
      </c>
      <c r="T253" s="9" t="s">
        <v>741</v>
      </c>
      <c r="W253" s="9">
        <f ca="1">IFERROR(OFFSET(ITEM_RES!$A$5,MATCH(BUILDING!V253,ITEM_RES!$J$5:$J$226,0)-1,0),0)</f>
        <v>0</v>
      </c>
      <c r="Z253" s="9">
        <f ca="1">IFERROR(OFFSET(ITEM_RES!$A$5,MATCH(BUILDING!Y253,ITEM_RES!$J$5:$J$226,0)-1,0),0)</f>
        <v>0</v>
      </c>
      <c r="AB253" s="9" t="s">
        <v>547</v>
      </c>
      <c r="AC253" s="9">
        <v>9</v>
      </c>
      <c r="AE253" s="9">
        <v>6000</v>
      </c>
      <c r="AG253" s="56">
        <f t="shared" si="98"/>
        <v>2400</v>
      </c>
      <c r="AH253" s="10">
        <f t="shared" si="100"/>
        <v>4000</v>
      </c>
      <c r="AJ253" s="11">
        <f t="shared" si="97"/>
        <v>45</v>
      </c>
      <c r="AK253" s="10">
        <v>45</v>
      </c>
      <c r="AL253" s="11">
        <f t="shared" si="74"/>
        <v>150</v>
      </c>
      <c r="AM253" s="10">
        <v>150</v>
      </c>
      <c r="AN253" s="11">
        <f t="shared" si="74"/>
        <v>150</v>
      </c>
      <c r="AO253" s="10">
        <v>150</v>
      </c>
      <c r="AP253" s="56">
        <f t="shared" si="99"/>
        <v>1</v>
      </c>
      <c r="AR253" s="11">
        <f ca="1">IFERROR(OFFSET(ITEM_RES!$A$1,MATCH(AS253,ITEM_RES!$J:$J,0)-1,0),0)</f>
        <v>211020801</v>
      </c>
      <c r="AS253" s="10" t="s">
        <v>454</v>
      </c>
      <c r="AT253" s="11">
        <v>750</v>
      </c>
      <c r="AW253" s="11">
        <f ca="1">IFERROR(OFFSET(ITEM_RES!$A$1,MATCH(AX253,ITEM_RES!$J:$J,0)-1,0),0)</f>
        <v>0</v>
      </c>
      <c r="BB253" s="11">
        <f ca="1">IFERROR(OFFSET(ITEM_RES!$A$1,MATCH(BC253,ITEM_RES!$J:$J,0)-1,0),0)</f>
        <v>0</v>
      </c>
      <c r="BG253" s="11">
        <f ca="1">IFERROR(OFFSET(ITEM_RES!$A$1,MATCH(BH253,ITEM_RES!$J:$J,0)-1,0),0)</f>
        <v>0</v>
      </c>
      <c r="BL253" s="11">
        <f ca="1">IFERROR(OFFSET(ITEM_RES!$A$1,MATCH(BM253,ITEM_RES!$J:$J,0)-1,0),0)</f>
        <v>0</v>
      </c>
      <c r="BN253" s="11">
        <f t="shared" si="73"/>
        <v>0</v>
      </c>
    </row>
    <row r="254" spans="1:67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386</v>
      </c>
      <c r="L254" s="56" t="s">
        <v>986</v>
      </c>
      <c r="M254" s="56"/>
      <c r="N254" s="9">
        <v>1</v>
      </c>
      <c r="O254" s="9">
        <v>15</v>
      </c>
      <c r="P254" s="9" t="s">
        <v>805</v>
      </c>
      <c r="T254" s="9" t="s">
        <v>741</v>
      </c>
      <c r="W254" s="9">
        <f ca="1">IFERROR(OFFSET(ITEM_RES!$A$5,MATCH(BUILDING!V254,ITEM_RES!$J$5:$J$226,0)-1,0),0)</f>
        <v>0</v>
      </c>
      <c r="Z254" s="9">
        <f ca="1">IFERROR(OFFSET(ITEM_RES!$A$5,MATCH(BUILDING!Y254,ITEM_RES!$J$5:$J$226,0)-1,0),0)</f>
        <v>0</v>
      </c>
      <c r="AB254" s="9" t="s">
        <v>547</v>
      </c>
      <c r="AC254" s="9">
        <v>10</v>
      </c>
      <c r="AE254" s="9">
        <v>8000</v>
      </c>
      <c r="AG254" s="56">
        <f t="shared" si="98"/>
        <v>3700</v>
      </c>
      <c r="AH254" s="10">
        <f t="shared" si="100"/>
        <v>6100</v>
      </c>
      <c r="AJ254" s="11">
        <f t="shared" si="97"/>
        <v>50</v>
      </c>
      <c r="AK254" s="10">
        <v>50</v>
      </c>
      <c r="AL254" s="11">
        <f t="shared" si="74"/>
        <v>200</v>
      </c>
      <c r="AM254" s="10">
        <v>200</v>
      </c>
      <c r="AN254" s="11">
        <f t="shared" si="74"/>
        <v>200</v>
      </c>
      <c r="AO254" s="10">
        <v>200</v>
      </c>
      <c r="AP254" s="56">
        <f t="shared" si="99"/>
        <v>2</v>
      </c>
      <c r="AR254" s="11">
        <f ca="1">IFERROR(OFFSET(ITEM_RES!$A$1,MATCH(AS254,ITEM_RES!$J:$J,0)-1,0),0)</f>
        <v>211020801</v>
      </c>
      <c r="AS254" s="10" t="s">
        <v>454</v>
      </c>
      <c r="AT254" s="11">
        <v>1000</v>
      </c>
      <c r="AW254" s="11">
        <f ca="1">IFERROR(OFFSET(ITEM_RES!$A$1,MATCH(AX254,ITEM_RES!$J:$J,0)-1,0),0)</f>
        <v>0</v>
      </c>
      <c r="BB254" s="11">
        <f ca="1">IFERROR(OFFSET(ITEM_RES!$A$1,MATCH(BC254,ITEM_RES!$J:$J,0)-1,0),0)</f>
        <v>0</v>
      </c>
      <c r="BG254" s="11">
        <f ca="1">IFERROR(OFFSET(ITEM_RES!$A$1,MATCH(BH254,ITEM_RES!$J:$J,0)-1,0),0)</f>
        <v>213010901</v>
      </c>
      <c r="BH254" s="10" t="s">
        <v>489</v>
      </c>
      <c r="BI254" s="11">
        <v>1</v>
      </c>
      <c r="BL254" s="11">
        <f ca="1">IFERROR(OFFSET(ITEM_RES!$A$1,MATCH(BM254,ITEM_RES!$J:$J,0)-1,0),0)</f>
        <v>0</v>
      </c>
      <c r="BN254" s="11">
        <f t="shared" si="73"/>
        <v>0</v>
      </c>
    </row>
    <row r="255" spans="1:67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386</v>
      </c>
      <c r="L255" s="56" t="s">
        <v>986</v>
      </c>
      <c r="M255" s="56"/>
      <c r="N255" s="9">
        <v>1</v>
      </c>
      <c r="O255" s="9">
        <v>15</v>
      </c>
      <c r="P255" s="9" t="s">
        <v>805</v>
      </c>
      <c r="T255" s="9" t="s">
        <v>741</v>
      </c>
      <c r="W255" s="9">
        <f ca="1">IFERROR(OFFSET(ITEM_RES!$A$5,MATCH(BUILDING!V255,ITEM_RES!$J$5:$J$226,0)-1,0),0)</f>
        <v>0</v>
      </c>
      <c r="Z255" s="9">
        <f ca="1">IFERROR(OFFSET(ITEM_RES!$A$5,MATCH(BUILDING!Y255,ITEM_RES!$J$5:$J$226,0)-1,0),0)</f>
        <v>0</v>
      </c>
      <c r="AB255" s="9" t="s">
        <v>547</v>
      </c>
      <c r="AC255" s="9">
        <v>11</v>
      </c>
      <c r="AE255" s="9">
        <v>10000</v>
      </c>
      <c r="AG255" s="56">
        <f t="shared" si="98"/>
        <v>4000</v>
      </c>
      <c r="AH255" s="10">
        <f t="shared" si="100"/>
        <v>7700</v>
      </c>
      <c r="AJ255" s="11">
        <f t="shared" si="97"/>
        <v>55</v>
      </c>
      <c r="AK255" s="10">
        <v>55</v>
      </c>
      <c r="AL255" s="11">
        <f t="shared" si="74"/>
        <v>250</v>
      </c>
      <c r="AM255" s="10">
        <v>250</v>
      </c>
      <c r="AN255" s="11">
        <f t="shared" si="74"/>
        <v>250</v>
      </c>
      <c r="AO255" s="10">
        <v>250</v>
      </c>
      <c r="AP255" s="56">
        <f t="shared" si="99"/>
        <v>1</v>
      </c>
      <c r="AR255" s="11">
        <f ca="1">IFERROR(OFFSET(ITEM_RES!$A$1,MATCH(AS255,ITEM_RES!$J:$J,0)-1,0),0)</f>
        <v>211020801</v>
      </c>
      <c r="AS255" s="10" t="s">
        <v>454</v>
      </c>
      <c r="AT255" s="11">
        <v>1250</v>
      </c>
      <c r="AW255" s="11">
        <f ca="1">IFERROR(OFFSET(ITEM_RES!$A$1,MATCH(AX255,ITEM_RES!$J:$J,0)-1,0),0)</f>
        <v>0</v>
      </c>
      <c r="BB255" s="11">
        <f ca="1">IFERROR(OFFSET(ITEM_RES!$A$1,MATCH(BC255,ITEM_RES!$J:$J,0)-1,0),0)</f>
        <v>0</v>
      </c>
      <c r="BG255" s="11">
        <f ca="1">IFERROR(OFFSET(ITEM_RES!$A$1,MATCH(BH255,ITEM_RES!$J:$J,0)-1,0),0)</f>
        <v>0</v>
      </c>
      <c r="BL255" s="11">
        <f ca="1">IFERROR(OFFSET(ITEM_RES!$A$1,MATCH(BM255,ITEM_RES!$J:$J,0)-1,0),0)</f>
        <v>0</v>
      </c>
      <c r="BN255" s="11">
        <f t="shared" si="73"/>
        <v>0</v>
      </c>
    </row>
    <row r="256" spans="1:67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386</v>
      </c>
      <c r="L256" s="56" t="s">
        <v>986</v>
      </c>
      <c r="M256" s="56"/>
      <c r="N256" s="9">
        <v>1</v>
      </c>
      <c r="O256" s="9">
        <v>15</v>
      </c>
      <c r="P256" s="9" t="s">
        <v>805</v>
      </c>
      <c r="T256" s="9" t="s">
        <v>741</v>
      </c>
      <c r="W256" s="9">
        <f ca="1">IFERROR(OFFSET(ITEM_RES!$A$5,MATCH(BUILDING!V256,ITEM_RES!$J$5:$J$226,0)-1,0),0)</f>
        <v>0</v>
      </c>
      <c r="Z256" s="9">
        <f ca="1">IFERROR(OFFSET(ITEM_RES!$A$5,MATCH(BUILDING!Y256,ITEM_RES!$J$5:$J$226,0)-1,0),0)</f>
        <v>0</v>
      </c>
      <c r="AB256" s="9" t="s">
        <v>547</v>
      </c>
      <c r="AC256" s="9">
        <v>12</v>
      </c>
      <c r="AE256" s="9">
        <v>12000</v>
      </c>
      <c r="AG256" s="56">
        <f t="shared" si="98"/>
        <v>4800</v>
      </c>
      <c r="AH256" s="10">
        <f t="shared" si="100"/>
        <v>8800</v>
      </c>
      <c r="AJ256" s="11">
        <f t="shared" si="97"/>
        <v>60</v>
      </c>
      <c r="AK256" s="10">
        <v>60</v>
      </c>
      <c r="AL256" s="11">
        <f t="shared" si="74"/>
        <v>300</v>
      </c>
      <c r="AM256" s="10">
        <v>300</v>
      </c>
      <c r="AN256" s="11">
        <f t="shared" si="74"/>
        <v>300</v>
      </c>
      <c r="AO256" s="10">
        <v>300</v>
      </c>
      <c r="AP256" s="56">
        <f t="shared" si="99"/>
        <v>1</v>
      </c>
      <c r="AR256" s="11">
        <f ca="1">IFERROR(OFFSET(ITEM_RES!$A$1,MATCH(AS256,ITEM_RES!$J:$J,0)-1,0),0)</f>
        <v>211020801</v>
      </c>
      <c r="AS256" s="10" t="s">
        <v>454</v>
      </c>
      <c r="AT256" s="11">
        <v>1500</v>
      </c>
      <c r="AW256" s="11">
        <f ca="1">IFERROR(OFFSET(ITEM_RES!$A$1,MATCH(AX256,ITEM_RES!$J:$J,0)-1,0),0)</f>
        <v>0</v>
      </c>
      <c r="BB256" s="11">
        <f ca="1">IFERROR(OFFSET(ITEM_RES!$A$1,MATCH(BC256,ITEM_RES!$J:$J,0)-1,0),0)</f>
        <v>0</v>
      </c>
      <c r="BG256" s="11">
        <f ca="1">IFERROR(OFFSET(ITEM_RES!$A$1,MATCH(BH256,ITEM_RES!$J:$J,0)-1,0),0)</f>
        <v>0</v>
      </c>
      <c r="BL256" s="11">
        <f ca="1">IFERROR(OFFSET(ITEM_RES!$A$1,MATCH(BM256,ITEM_RES!$J:$J,0)-1,0),0)</f>
        <v>0</v>
      </c>
      <c r="BN256" s="11">
        <f t="shared" si="73"/>
        <v>0</v>
      </c>
    </row>
    <row r="257" spans="1:67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386</v>
      </c>
      <c r="L257" s="56" t="s">
        <v>986</v>
      </c>
      <c r="M257" s="56"/>
      <c r="N257" s="9">
        <v>1</v>
      </c>
      <c r="O257" s="9">
        <v>15</v>
      </c>
      <c r="P257" s="9" t="s">
        <v>805</v>
      </c>
      <c r="T257" s="9" t="s">
        <v>741</v>
      </c>
      <c r="W257" s="9">
        <f ca="1">IFERROR(OFFSET(ITEM_RES!$A$5,MATCH(BUILDING!V257,ITEM_RES!$J$5:$J$226,0)-1,0),0)</f>
        <v>0</v>
      </c>
      <c r="Z257" s="9">
        <f ca="1">IFERROR(OFFSET(ITEM_RES!$A$5,MATCH(BUILDING!Y257,ITEM_RES!$J$5:$J$226,0)-1,0),0)</f>
        <v>0</v>
      </c>
      <c r="AB257" s="9" t="s">
        <v>547</v>
      </c>
      <c r="AC257" s="9">
        <v>13</v>
      </c>
      <c r="AE257" s="9">
        <v>14000</v>
      </c>
      <c r="AG257" s="56">
        <f t="shared" si="98"/>
        <v>5600</v>
      </c>
      <c r="AH257" s="10">
        <f t="shared" si="100"/>
        <v>10400</v>
      </c>
      <c r="AJ257" s="11">
        <f t="shared" si="97"/>
        <v>65</v>
      </c>
      <c r="AK257" s="10">
        <v>65</v>
      </c>
      <c r="AL257" s="11">
        <f t="shared" si="74"/>
        <v>350</v>
      </c>
      <c r="AM257" s="10">
        <v>350</v>
      </c>
      <c r="AN257" s="11">
        <f t="shared" si="74"/>
        <v>350</v>
      </c>
      <c r="AO257" s="10">
        <v>350</v>
      </c>
      <c r="AP257" s="56">
        <f t="shared" si="99"/>
        <v>1</v>
      </c>
      <c r="AR257" s="11">
        <f ca="1">IFERROR(OFFSET(ITEM_RES!$A$1,MATCH(AS257,ITEM_RES!$J:$J,0)-1,0),0)</f>
        <v>211020901</v>
      </c>
      <c r="AS257" s="10" t="s">
        <v>467</v>
      </c>
      <c r="AT257" s="11">
        <v>1750</v>
      </c>
      <c r="AW257" s="11">
        <f ca="1">IFERROR(OFFSET(ITEM_RES!$A$1,MATCH(AX257,ITEM_RES!$J:$J,0)-1,0),0)</f>
        <v>0</v>
      </c>
      <c r="BB257" s="11">
        <f ca="1">IFERROR(OFFSET(ITEM_RES!$A$1,MATCH(BC257,ITEM_RES!$J:$J,0)-1,0),0)</f>
        <v>0</v>
      </c>
      <c r="BG257" s="11">
        <f ca="1">IFERROR(OFFSET(ITEM_RES!$A$1,MATCH(BH257,ITEM_RES!$J:$J,0)-1,0),0)</f>
        <v>0</v>
      </c>
      <c r="BL257" s="11">
        <f ca="1">IFERROR(OFFSET(ITEM_RES!$A$1,MATCH(BM257,ITEM_RES!$J:$J,0)-1,0),0)</f>
        <v>0</v>
      </c>
      <c r="BN257" s="11">
        <f t="shared" ref="BN257:BN284" si="104">IF(BO257&lt;100,ROUND(BO257,1-LEN(ROUND(BO257,0))),ROUND(BO257,2-LEN(ROUND(BO257,0))))</f>
        <v>0</v>
      </c>
    </row>
    <row r="258" spans="1:67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386</v>
      </c>
      <c r="L258" s="56" t="s">
        <v>986</v>
      </c>
      <c r="M258" s="56"/>
      <c r="N258" s="9">
        <v>1</v>
      </c>
      <c r="O258" s="9">
        <v>15</v>
      </c>
      <c r="P258" s="9" t="s">
        <v>805</v>
      </c>
      <c r="T258" s="9" t="s">
        <v>741</v>
      </c>
      <c r="W258" s="9">
        <f ca="1">IFERROR(OFFSET(ITEM_RES!$A$5,MATCH(BUILDING!V258,ITEM_RES!$J$5:$J$226,0)-1,0),0)</f>
        <v>0</v>
      </c>
      <c r="Z258" s="9">
        <f ca="1">IFERROR(OFFSET(ITEM_RES!$A$5,MATCH(BUILDING!Y258,ITEM_RES!$J$5:$J$226,0)-1,0),0)</f>
        <v>0</v>
      </c>
      <c r="AB258" s="9" t="s">
        <v>547</v>
      </c>
      <c r="AC258" s="9">
        <v>14</v>
      </c>
      <c r="AE258" s="9">
        <v>18000</v>
      </c>
      <c r="AG258" s="56">
        <f t="shared" si="98"/>
        <v>7200</v>
      </c>
      <c r="AH258" s="10">
        <f t="shared" si="100"/>
        <v>12800</v>
      </c>
      <c r="AJ258" s="11">
        <f t="shared" si="97"/>
        <v>70</v>
      </c>
      <c r="AK258" s="10">
        <v>70</v>
      </c>
      <c r="AL258" s="11">
        <f t="shared" ref="AL258:AN321" si="105">ROUND(AM258,0)</f>
        <v>450</v>
      </c>
      <c r="AM258" s="10">
        <v>450</v>
      </c>
      <c r="AN258" s="11">
        <f t="shared" si="105"/>
        <v>450</v>
      </c>
      <c r="AO258" s="10">
        <v>450</v>
      </c>
      <c r="AP258" s="56">
        <f t="shared" si="99"/>
        <v>1</v>
      </c>
      <c r="AR258" s="11">
        <f ca="1">IFERROR(OFFSET(ITEM_RES!$A$1,MATCH(AS258,ITEM_RES!$J:$J,0)-1,0),0)</f>
        <v>211020901</v>
      </c>
      <c r="AS258" s="10" t="s">
        <v>467</v>
      </c>
      <c r="AT258" s="11">
        <v>2250</v>
      </c>
      <c r="AW258" s="11">
        <f ca="1">IFERROR(OFFSET(ITEM_RES!$A$1,MATCH(AX258,ITEM_RES!$J:$J,0)-1,0),0)</f>
        <v>0</v>
      </c>
      <c r="BB258" s="11">
        <f ca="1">IFERROR(OFFSET(ITEM_RES!$A$1,MATCH(BC258,ITEM_RES!$J:$J,0)-1,0),0)</f>
        <v>0</v>
      </c>
      <c r="BG258" s="11">
        <f ca="1">IFERROR(OFFSET(ITEM_RES!$A$1,MATCH(BH258,ITEM_RES!$J:$J,0)-1,0),0)</f>
        <v>0</v>
      </c>
      <c r="BL258" s="11">
        <f ca="1">IFERROR(OFFSET(ITEM_RES!$A$1,MATCH(BM258,ITEM_RES!$J:$J,0)-1,0),0)</f>
        <v>0</v>
      </c>
      <c r="BN258" s="11">
        <f t="shared" si="104"/>
        <v>0</v>
      </c>
    </row>
    <row r="259" spans="1:67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386</v>
      </c>
      <c r="L259" s="56" t="s">
        <v>986</v>
      </c>
      <c r="M259" s="56"/>
      <c r="N259" s="9">
        <v>1</v>
      </c>
      <c r="O259" s="9">
        <v>15</v>
      </c>
      <c r="P259" s="9" t="s">
        <v>805</v>
      </c>
      <c r="T259" s="9" t="s">
        <v>741</v>
      </c>
      <c r="W259" s="9">
        <f ca="1">IFERROR(OFFSET(ITEM_RES!$A$5,MATCH(BUILDING!V259,ITEM_RES!$J$5:$J$226,0)-1,0),0)</f>
        <v>0</v>
      </c>
      <c r="Z259" s="9">
        <f ca="1">IFERROR(OFFSET(ITEM_RES!$A$5,MATCH(BUILDING!Y259,ITEM_RES!$J$5:$J$226,0)-1,0),0)</f>
        <v>0</v>
      </c>
      <c r="AB259" s="9" t="s">
        <v>547</v>
      </c>
      <c r="AC259" s="9">
        <v>15</v>
      </c>
      <c r="AE259" s="9">
        <v>22000</v>
      </c>
      <c r="AG259" s="56">
        <f t="shared" si="98"/>
        <v>8800</v>
      </c>
      <c r="AH259" s="10">
        <f t="shared" si="100"/>
        <v>16000</v>
      </c>
      <c r="AJ259" s="11">
        <f t="shared" si="97"/>
        <v>75</v>
      </c>
      <c r="AK259" s="10">
        <v>75</v>
      </c>
      <c r="AL259" s="11">
        <f t="shared" si="105"/>
        <v>550</v>
      </c>
      <c r="AM259" s="10">
        <v>550</v>
      </c>
      <c r="AN259" s="11">
        <f t="shared" si="105"/>
        <v>550</v>
      </c>
      <c r="AO259" s="10">
        <v>550</v>
      </c>
      <c r="AP259" s="56">
        <f t="shared" si="99"/>
        <v>1</v>
      </c>
      <c r="AR259" s="11">
        <f ca="1">IFERROR(OFFSET(ITEM_RES!$A$1,MATCH(AS259,ITEM_RES!$J:$J,0)-1,0),0)</f>
        <v>211020901</v>
      </c>
      <c r="AS259" s="10" t="s">
        <v>467</v>
      </c>
      <c r="AT259" s="11">
        <v>2750</v>
      </c>
      <c r="AW259" s="11">
        <f ca="1">IFERROR(OFFSET(ITEM_RES!$A$1,MATCH(AX259,ITEM_RES!$J:$J,0)-1,0),0)</f>
        <v>0</v>
      </c>
      <c r="BB259" s="11">
        <f ca="1">IFERROR(OFFSET(ITEM_RES!$A$1,MATCH(BC259,ITEM_RES!$J:$J,0)-1,0),0)</f>
        <v>0</v>
      </c>
      <c r="BG259" s="11">
        <f ca="1">IFERROR(OFFSET(ITEM_RES!$A$1,MATCH(BH259,ITEM_RES!$J:$J,0)-1,0),0)</f>
        <v>0</v>
      </c>
      <c r="BL259" s="11">
        <f ca="1">IFERROR(OFFSET(ITEM_RES!$A$1,MATCH(BM259,ITEM_RES!$J:$J,0)-1,0),0)</f>
        <v>0</v>
      </c>
      <c r="BN259" s="11">
        <f t="shared" si="104"/>
        <v>0</v>
      </c>
    </row>
    <row r="260" spans="1:67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386</v>
      </c>
      <c r="L260" s="56" t="s">
        <v>986</v>
      </c>
      <c r="M260" s="56"/>
      <c r="N260" s="9">
        <v>0</v>
      </c>
      <c r="O260" s="9">
        <v>15</v>
      </c>
      <c r="P260" s="9" t="s">
        <v>805</v>
      </c>
      <c r="T260" s="9" t="s">
        <v>741</v>
      </c>
      <c r="W260" s="9">
        <f ca="1">IFERROR(OFFSET(ITEM_RES!$A$5,MATCH(BUILDING!V260,ITEM_RES!$J$5:$J$226,0)-1,0),0)</f>
        <v>0</v>
      </c>
      <c r="Z260" s="9">
        <f ca="1">IFERROR(OFFSET(ITEM_RES!$A$5,MATCH(BUILDING!Y260,ITEM_RES!$J$5:$J$226,0)-1,0),0)</f>
        <v>0</v>
      </c>
      <c r="AB260" s="9" t="s">
        <v>547</v>
      </c>
      <c r="AC260" s="9">
        <v>16</v>
      </c>
      <c r="AE260" s="9">
        <v>28000</v>
      </c>
      <c r="AG260" s="56">
        <f t="shared" si="98"/>
        <v>11200</v>
      </c>
      <c r="AH260" s="10">
        <f t="shared" si="100"/>
        <v>20000</v>
      </c>
      <c r="AJ260" s="11">
        <f t="shared" si="97"/>
        <v>80</v>
      </c>
      <c r="AK260" s="10">
        <v>80</v>
      </c>
      <c r="AL260" s="11">
        <f t="shared" si="105"/>
        <v>700</v>
      </c>
      <c r="AM260" s="10">
        <v>700</v>
      </c>
      <c r="AN260" s="11">
        <f t="shared" si="105"/>
        <v>700</v>
      </c>
      <c r="AO260" s="10">
        <v>700</v>
      </c>
      <c r="AP260" s="56">
        <f t="shared" si="99"/>
        <v>1</v>
      </c>
      <c r="AR260" s="11">
        <f ca="1">IFERROR(OFFSET(ITEM_RES!$A$1,MATCH(AS260,ITEM_RES!$J:$J,0)-1,0),0)</f>
        <v>211020901</v>
      </c>
      <c r="AS260" s="10" t="s">
        <v>467</v>
      </c>
      <c r="AT260" s="11">
        <v>3500</v>
      </c>
      <c r="AW260" s="11">
        <f ca="1">IFERROR(OFFSET(ITEM_RES!$A$1,MATCH(AX260,ITEM_RES!$J:$J,0)-1,0),0)</f>
        <v>0</v>
      </c>
      <c r="BB260" s="11">
        <f ca="1">IFERROR(OFFSET(ITEM_RES!$A$1,MATCH(BC260,ITEM_RES!$J:$J,0)-1,0),0)</f>
        <v>0</v>
      </c>
      <c r="BG260" s="11">
        <f ca="1">IFERROR(OFFSET(ITEM_RES!$A$1,MATCH(BH260,ITEM_RES!$J:$J,0)-1,0),0)</f>
        <v>0</v>
      </c>
      <c r="BL260" s="11">
        <f ca="1">IFERROR(OFFSET(ITEM_RES!$A$1,MATCH(BM260,ITEM_RES!$J:$J,0)-1,0),0)</f>
        <v>0</v>
      </c>
      <c r="BN260" s="11">
        <f t="shared" si="104"/>
        <v>0</v>
      </c>
    </row>
    <row r="261" spans="1:67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386</v>
      </c>
      <c r="L261" s="56" t="s">
        <v>986</v>
      </c>
      <c r="M261" s="56"/>
      <c r="N261" s="9">
        <v>0</v>
      </c>
      <c r="O261" s="9">
        <v>15</v>
      </c>
      <c r="P261" s="9" t="s">
        <v>805</v>
      </c>
      <c r="T261" s="9" t="s">
        <v>741</v>
      </c>
      <c r="W261" s="9">
        <f ca="1">IFERROR(OFFSET(ITEM_RES!$A$5,MATCH(BUILDING!V261,ITEM_RES!$J$5:$J$226,0)-1,0),0)</f>
        <v>0</v>
      </c>
      <c r="Z261" s="9">
        <f ca="1">IFERROR(OFFSET(ITEM_RES!$A$5,MATCH(BUILDING!Y261,ITEM_RES!$J$5:$J$226,0)-1,0),0)</f>
        <v>0</v>
      </c>
      <c r="AB261" s="9" t="s">
        <v>547</v>
      </c>
      <c r="AC261" s="9">
        <v>17</v>
      </c>
      <c r="AE261" s="9">
        <v>34000</v>
      </c>
      <c r="AG261" s="56">
        <f t="shared" si="98"/>
        <v>13600</v>
      </c>
      <c r="AH261" s="10">
        <f t="shared" si="100"/>
        <v>24800</v>
      </c>
      <c r="AJ261" s="11">
        <f t="shared" si="97"/>
        <v>85</v>
      </c>
      <c r="AK261" s="10">
        <v>85</v>
      </c>
      <c r="AL261" s="11">
        <f t="shared" si="105"/>
        <v>850</v>
      </c>
      <c r="AM261" s="10">
        <v>850</v>
      </c>
      <c r="AN261" s="11">
        <f t="shared" si="105"/>
        <v>850</v>
      </c>
      <c r="AO261" s="10">
        <v>850</v>
      </c>
      <c r="AP261" s="56">
        <f t="shared" si="99"/>
        <v>1</v>
      </c>
      <c r="AR261" s="11">
        <f ca="1">IFERROR(OFFSET(ITEM_RES!$A$1,MATCH(AS261,ITEM_RES!$J:$J,0)-1,0),0)</f>
        <v>211020901</v>
      </c>
      <c r="AS261" s="10" t="s">
        <v>467</v>
      </c>
      <c r="AT261" s="11">
        <v>4250</v>
      </c>
      <c r="AW261" s="11">
        <f ca="1">IFERROR(OFFSET(ITEM_RES!$A$1,MATCH(AX261,ITEM_RES!$J:$J,0)-1,0),0)</f>
        <v>0</v>
      </c>
      <c r="BB261" s="11">
        <f ca="1">IFERROR(OFFSET(ITEM_RES!$A$1,MATCH(BC261,ITEM_RES!$J:$J,0)-1,0),0)</f>
        <v>0</v>
      </c>
      <c r="BG261" s="11">
        <f ca="1">IFERROR(OFFSET(ITEM_RES!$A$1,MATCH(BH261,ITEM_RES!$J:$J,0)-1,0),0)</f>
        <v>0</v>
      </c>
      <c r="BL261" s="11">
        <f ca="1">IFERROR(OFFSET(ITEM_RES!$A$1,MATCH(BM261,ITEM_RES!$J:$J,0)-1,0),0)</f>
        <v>0</v>
      </c>
      <c r="BN261" s="11">
        <f t="shared" si="104"/>
        <v>0</v>
      </c>
    </row>
    <row r="262" spans="1:67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386</v>
      </c>
      <c r="L262" s="56" t="s">
        <v>986</v>
      </c>
      <c r="M262" s="56"/>
      <c r="N262" s="9">
        <v>0</v>
      </c>
      <c r="O262" s="9">
        <v>15</v>
      </c>
      <c r="P262" s="9" t="s">
        <v>805</v>
      </c>
      <c r="T262" s="9" t="s">
        <v>741</v>
      </c>
      <c r="W262" s="9">
        <f ca="1">IFERROR(OFFSET(ITEM_RES!$A$5,MATCH(BUILDING!V262,ITEM_RES!$J$5:$J$226,0)-1,0),0)</f>
        <v>0</v>
      </c>
      <c r="Z262" s="9">
        <f ca="1">IFERROR(OFFSET(ITEM_RES!$A$5,MATCH(BUILDING!Y262,ITEM_RES!$J$5:$J$226,0)-1,0),0)</f>
        <v>0</v>
      </c>
      <c r="AB262" s="9" t="s">
        <v>547</v>
      </c>
      <c r="AC262" s="9">
        <v>18</v>
      </c>
      <c r="AE262" s="9">
        <v>42000</v>
      </c>
      <c r="AG262" s="56">
        <f t="shared" si="98"/>
        <v>16800</v>
      </c>
      <c r="AH262" s="10">
        <f t="shared" si="100"/>
        <v>30400</v>
      </c>
      <c r="AJ262" s="11">
        <f t="shared" si="97"/>
        <v>90</v>
      </c>
      <c r="AK262" s="10">
        <v>90</v>
      </c>
      <c r="AL262" s="11">
        <f t="shared" si="105"/>
        <v>1050</v>
      </c>
      <c r="AM262" s="10">
        <v>1050</v>
      </c>
      <c r="AN262" s="11">
        <f t="shared" si="105"/>
        <v>1050</v>
      </c>
      <c r="AO262" s="10">
        <v>1050</v>
      </c>
      <c r="AP262" s="56">
        <f t="shared" si="99"/>
        <v>1</v>
      </c>
      <c r="AR262" s="11">
        <f ca="1">IFERROR(OFFSET(ITEM_RES!$A$1,MATCH(AS262,ITEM_RES!$J:$J,0)-1,0),0)</f>
        <v>211020901</v>
      </c>
      <c r="AS262" s="10" t="s">
        <v>467</v>
      </c>
      <c r="AT262" s="11">
        <v>5250</v>
      </c>
      <c r="AW262" s="11">
        <f ca="1">IFERROR(OFFSET(ITEM_RES!$A$1,MATCH(AX262,ITEM_RES!$J:$J,0)-1,0),0)</f>
        <v>0</v>
      </c>
      <c r="BB262" s="11">
        <f ca="1">IFERROR(OFFSET(ITEM_RES!$A$1,MATCH(BC262,ITEM_RES!$J:$J,0)-1,0),0)</f>
        <v>0</v>
      </c>
      <c r="BG262" s="11">
        <f ca="1">IFERROR(OFFSET(ITEM_RES!$A$1,MATCH(BH262,ITEM_RES!$J:$J,0)-1,0),0)</f>
        <v>0</v>
      </c>
      <c r="BL262" s="11">
        <f ca="1">IFERROR(OFFSET(ITEM_RES!$A$1,MATCH(BM262,ITEM_RES!$J:$J,0)-1,0),0)</f>
        <v>0</v>
      </c>
      <c r="BN262" s="11">
        <f t="shared" si="104"/>
        <v>0</v>
      </c>
    </row>
    <row r="263" spans="1:67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386</v>
      </c>
      <c r="L263" s="56" t="s">
        <v>986</v>
      </c>
      <c r="M263" s="56"/>
      <c r="N263" s="9">
        <v>0</v>
      </c>
      <c r="O263" s="9">
        <v>15</v>
      </c>
      <c r="P263" s="9" t="s">
        <v>805</v>
      </c>
      <c r="T263" s="9" t="s">
        <v>741</v>
      </c>
      <c r="W263" s="9">
        <f ca="1">IFERROR(OFFSET(ITEM_RES!$A$5,MATCH(BUILDING!V263,ITEM_RES!$J$5:$J$226,0)-1,0),0)</f>
        <v>0</v>
      </c>
      <c r="Z263" s="9">
        <f ca="1">IFERROR(OFFSET(ITEM_RES!$A$5,MATCH(BUILDING!Y263,ITEM_RES!$J$5:$J$226,0)-1,0),0)</f>
        <v>0</v>
      </c>
      <c r="AB263" s="9" t="s">
        <v>547</v>
      </c>
      <c r="AC263" s="9">
        <v>19</v>
      </c>
      <c r="AE263" s="9">
        <v>50000</v>
      </c>
      <c r="AG263" s="56">
        <f t="shared" si="98"/>
        <v>20000</v>
      </c>
      <c r="AH263" s="10">
        <f t="shared" si="100"/>
        <v>36800</v>
      </c>
      <c r="AJ263" s="11">
        <f t="shared" si="97"/>
        <v>95</v>
      </c>
      <c r="AK263" s="10">
        <v>95</v>
      </c>
      <c r="AL263" s="11">
        <f t="shared" si="105"/>
        <v>1250</v>
      </c>
      <c r="AM263" s="10">
        <v>1250</v>
      </c>
      <c r="AN263" s="11">
        <f t="shared" si="105"/>
        <v>1250</v>
      </c>
      <c r="AO263" s="10">
        <v>1250</v>
      </c>
      <c r="AP263" s="56">
        <f t="shared" si="99"/>
        <v>1</v>
      </c>
      <c r="AR263" s="11">
        <f ca="1">IFERROR(OFFSET(ITEM_RES!$A$1,MATCH(AS263,ITEM_RES!$J:$J,0)-1,0),0)</f>
        <v>211020901</v>
      </c>
      <c r="AS263" s="10" t="s">
        <v>467</v>
      </c>
      <c r="AT263" s="11">
        <v>6250</v>
      </c>
      <c r="AW263" s="11">
        <f ca="1">IFERROR(OFFSET(ITEM_RES!$A$1,MATCH(AX263,ITEM_RES!$J:$J,0)-1,0),0)</f>
        <v>0</v>
      </c>
      <c r="BB263" s="11">
        <f ca="1">IFERROR(OFFSET(ITEM_RES!$A$1,MATCH(BC263,ITEM_RES!$J:$J,0)-1,0),0)</f>
        <v>0</v>
      </c>
      <c r="BG263" s="11">
        <f ca="1">IFERROR(OFFSET(ITEM_RES!$A$1,MATCH(BH263,ITEM_RES!$J:$J,0)-1,0),0)</f>
        <v>0</v>
      </c>
      <c r="BL263" s="11">
        <f ca="1">IFERROR(OFFSET(ITEM_RES!$A$1,MATCH(BM263,ITEM_RES!$J:$J,0)-1,0),0)</f>
        <v>0</v>
      </c>
      <c r="BN263" s="11">
        <f t="shared" si="104"/>
        <v>0</v>
      </c>
    </row>
    <row r="264" spans="1:67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386</v>
      </c>
      <c r="L264" s="56" t="s">
        <v>986</v>
      </c>
      <c r="M264" s="56"/>
      <c r="N264" s="9">
        <v>0</v>
      </c>
      <c r="O264" s="9">
        <v>15</v>
      </c>
      <c r="P264" s="9" t="s">
        <v>805</v>
      </c>
      <c r="T264" s="9" t="s">
        <v>741</v>
      </c>
      <c r="W264" s="9">
        <f ca="1">IFERROR(OFFSET(ITEM_RES!$A$5,MATCH(BUILDING!V264,ITEM_RES!$J$5:$J$226,0)-1,0),0)</f>
        <v>0</v>
      </c>
      <c r="Z264" s="9">
        <f ca="1">IFERROR(OFFSET(ITEM_RES!$A$5,MATCH(BUILDING!Y264,ITEM_RES!$J$5:$J$226,0)-1,0),0)</f>
        <v>0</v>
      </c>
      <c r="AB264" s="9" t="s">
        <v>547</v>
      </c>
      <c r="AC264" s="9">
        <v>20</v>
      </c>
      <c r="AE264" s="9">
        <v>60000</v>
      </c>
      <c r="AG264" s="56">
        <f t="shared" si="98"/>
        <v>24000</v>
      </c>
      <c r="AH264" s="10">
        <f t="shared" si="100"/>
        <v>44000</v>
      </c>
      <c r="AJ264" s="11">
        <f t="shared" si="97"/>
        <v>100</v>
      </c>
      <c r="AK264" s="10">
        <v>100</v>
      </c>
      <c r="AL264" s="11">
        <f t="shared" si="105"/>
        <v>1500</v>
      </c>
      <c r="AM264" s="10">
        <v>1500</v>
      </c>
      <c r="AN264" s="11">
        <f t="shared" si="105"/>
        <v>1500</v>
      </c>
      <c r="AO264" s="10">
        <v>1500</v>
      </c>
      <c r="AP264" s="56">
        <f t="shared" si="99"/>
        <v>1</v>
      </c>
      <c r="AR264" s="11">
        <f ca="1">IFERROR(OFFSET(ITEM_RES!$A$1,MATCH(AS264,ITEM_RES!$J:$J,0)-1,0),0)</f>
        <v>211020901</v>
      </c>
      <c r="AS264" s="10" t="s">
        <v>467</v>
      </c>
      <c r="AT264" s="11">
        <v>7500</v>
      </c>
      <c r="AW264" s="11">
        <f ca="1">IFERROR(OFFSET(ITEM_RES!$A$1,MATCH(AX264,ITEM_RES!$J:$J,0)-1,0),0)</f>
        <v>0</v>
      </c>
      <c r="BB264" s="11">
        <f ca="1">IFERROR(OFFSET(ITEM_RES!$A$1,MATCH(BC264,ITEM_RES!$J:$J,0)-1,0),0)</f>
        <v>0</v>
      </c>
      <c r="BG264" s="11">
        <f ca="1">IFERROR(OFFSET(ITEM_RES!$A$1,MATCH(BH264,ITEM_RES!$J:$J,0)-1,0),0)</f>
        <v>0</v>
      </c>
      <c r="BL264" s="11">
        <f ca="1">IFERROR(OFFSET(ITEM_RES!$A$1,MATCH(BM264,ITEM_RES!$J:$J,0)-1,0),0)</f>
        <v>0</v>
      </c>
      <c r="BN264" s="11">
        <f t="shared" si="104"/>
        <v>0</v>
      </c>
    </row>
    <row r="265" spans="1:67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 t="s">
        <v>987</v>
      </c>
      <c r="M265" s="16" t="s">
        <v>1006</v>
      </c>
      <c r="N265" s="16">
        <v>1</v>
      </c>
      <c r="O265" s="16">
        <v>15</v>
      </c>
      <c r="P265" s="141"/>
      <c r="Q265" s="17"/>
      <c r="R265" s="17"/>
      <c r="S265" s="18"/>
      <c r="T265" s="16" t="s">
        <v>742</v>
      </c>
      <c r="U265" s="79"/>
      <c r="V265" s="87"/>
      <c r="W265" s="16">
        <f ca="1">IFERROR(OFFSET(ITEM_RES!$A$5,MATCH(BUILDING!V265,ITEM_RES!$J$5:$J$226,0)-1,0),0)</f>
        <v>0</v>
      </c>
      <c r="X265" s="18"/>
      <c r="Y265" s="87"/>
      <c r="Z265" s="16">
        <f ca="1">IFERROR(OFFSET(ITEM_RES!$A$5,MATCH(BUILDING!Y265,ITEM_RES!$J$5:$J$226,0)-1,0),0)</f>
        <v>0</v>
      </c>
      <c r="AA265" s="79"/>
      <c r="AB265" s="16" t="s">
        <v>548</v>
      </c>
      <c r="AC265" s="16">
        <v>1</v>
      </c>
      <c r="AD265" s="79"/>
      <c r="AE265" s="16">
        <v>0</v>
      </c>
      <c r="AF265" s="79"/>
      <c r="AG265" s="57">
        <f t="shared" si="98"/>
        <v>605</v>
      </c>
      <c r="AH265" s="17">
        <f>AG265</f>
        <v>605</v>
      </c>
      <c r="AI265" s="79"/>
      <c r="AJ265" s="18">
        <f t="shared" si="97"/>
        <v>5</v>
      </c>
      <c r="AK265" s="17">
        <v>5</v>
      </c>
      <c r="AL265" s="18">
        <f t="shared" si="105"/>
        <v>5</v>
      </c>
      <c r="AM265" s="17">
        <v>5</v>
      </c>
      <c r="AN265" s="18">
        <f t="shared" si="105"/>
        <v>5</v>
      </c>
      <c r="AO265" s="17">
        <v>5</v>
      </c>
      <c r="AP265" s="57">
        <f t="shared" si="99"/>
        <v>3</v>
      </c>
      <c r="AQ265" s="18"/>
      <c r="AR265" s="18">
        <f ca="1">IFERROR(OFFSET(ITEM_RES!$A$1,MATCH(AS265,ITEM_RES!$J:$J,0)-1,0),0)</f>
        <v>211020801</v>
      </c>
      <c r="AS265" s="17" t="s">
        <v>454</v>
      </c>
      <c r="AT265" s="18">
        <v>25</v>
      </c>
      <c r="AU265" s="17"/>
      <c r="AV265" s="18"/>
      <c r="AW265" s="18">
        <f ca="1">IFERROR(OFFSET(ITEM_RES!$A$1,MATCH(AX265,ITEM_RES!$J:$J,0)-1,0),0)</f>
        <v>211020401</v>
      </c>
      <c r="AX265" s="17" t="s">
        <v>440</v>
      </c>
      <c r="AY265" s="18">
        <v>25</v>
      </c>
      <c r="AZ265" s="17"/>
      <c r="BA265" s="18"/>
      <c r="BB265" s="18">
        <f ca="1">IFERROR(OFFSET(ITEM_RES!$A$1,MATCH(BC265,ITEM_RES!$J:$J,0)-1,0),0)</f>
        <v>213010101</v>
      </c>
      <c r="BC265" s="17" t="s">
        <v>477</v>
      </c>
      <c r="BD265" s="18">
        <v>1</v>
      </c>
      <c r="BE265" s="17"/>
      <c r="BF265" s="18"/>
      <c r="BG265" s="18">
        <f ca="1">IFERROR(OFFSET(ITEM_RES!$A$1,MATCH(BH265,ITEM_RES!$J:$J,0)-1,0),0)</f>
        <v>0</v>
      </c>
      <c r="BH265" s="17"/>
      <c r="BI265" s="18"/>
      <c r="BJ265" s="17"/>
      <c r="BK265" s="18"/>
      <c r="BL265" s="18">
        <f ca="1">IFERROR(OFFSET(ITEM_RES!$A$1,MATCH(BM265,ITEM_RES!$J:$J,0)-1,0),0)</f>
        <v>0</v>
      </c>
      <c r="BM265" s="17"/>
      <c r="BN265" s="18">
        <f t="shared" si="104"/>
        <v>0</v>
      </c>
      <c r="BO265" s="17"/>
    </row>
    <row r="266" spans="1:67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366</v>
      </c>
      <c r="L266" s="9" t="s">
        <v>987</v>
      </c>
      <c r="M266" s="9" t="s">
        <v>1006</v>
      </c>
      <c r="N266" s="9">
        <v>1</v>
      </c>
      <c r="O266" s="9">
        <v>15</v>
      </c>
      <c r="P266" s="142"/>
      <c r="T266" s="9" t="s">
        <v>742</v>
      </c>
      <c r="W266" s="9">
        <f ca="1">IFERROR(OFFSET(ITEM_RES!$A$5,MATCH(BUILDING!V266,ITEM_RES!$J$5:$J$226,0)-1,0),0)</f>
        <v>0</v>
      </c>
      <c r="Z266" s="9">
        <f ca="1">IFERROR(OFFSET(ITEM_RES!$A$5,MATCH(BUILDING!Y266,ITEM_RES!$J$5:$J$226,0)-1,0),0)</f>
        <v>0</v>
      </c>
      <c r="AB266" s="9" t="s">
        <v>548</v>
      </c>
      <c r="AC266" s="9">
        <v>2</v>
      </c>
      <c r="AE266" s="9">
        <v>800</v>
      </c>
      <c r="AG266" s="56">
        <f t="shared" si="98"/>
        <v>210</v>
      </c>
      <c r="AH266" s="10">
        <f>AG265+AG266</f>
        <v>815</v>
      </c>
      <c r="AJ266" s="11">
        <f t="shared" si="97"/>
        <v>10</v>
      </c>
      <c r="AK266" s="10">
        <v>10</v>
      </c>
      <c r="AL266" s="11">
        <f t="shared" si="105"/>
        <v>10</v>
      </c>
      <c r="AM266" s="10">
        <v>10</v>
      </c>
      <c r="AN266" s="11">
        <f t="shared" si="105"/>
        <v>10</v>
      </c>
      <c r="AO266" s="10">
        <v>10</v>
      </c>
      <c r="AP266" s="56">
        <f t="shared" si="99"/>
        <v>2</v>
      </c>
      <c r="AR266" s="11">
        <f ca="1">IFERROR(OFFSET(ITEM_RES!$A$1,MATCH(AS266,ITEM_RES!$J:$J,0)-1,0),0)</f>
        <v>211020801</v>
      </c>
      <c r="AS266" s="10" t="s">
        <v>454</v>
      </c>
      <c r="AT266" s="11">
        <v>50</v>
      </c>
      <c r="AW266" s="11">
        <f ca="1">IFERROR(OFFSET(ITEM_RES!$A$1,MATCH(AX266,ITEM_RES!$J:$J,0)-1,0),0)</f>
        <v>211020401</v>
      </c>
      <c r="AX266" s="10" t="s">
        <v>440</v>
      </c>
      <c r="AY266" s="11">
        <v>50</v>
      </c>
      <c r="BB266" s="11">
        <f ca="1">IFERROR(OFFSET(ITEM_RES!$A$1,MATCH(BC266,ITEM_RES!$J:$J,0)-1,0),0)</f>
        <v>0</v>
      </c>
      <c r="BG266" s="11">
        <f ca="1">IFERROR(OFFSET(ITEM_RES!$A$1,MATCH(BH266,ITEM_RES!$J:$J,0)-1,0),0)</f>
        <v>0</v>
      </c>
      <c r="BL266" s="11">
        <f ca="1">IFERROR(OFFSET(ITEM_RES!$A$1,MATCH(BM266,ITEM_RES!$J:$J,0)-1,0),0)</f>
        <v>0</v>
      </c>
      <c r="BN266" s="11">
        <f t="shared" si="104"/>
        <v>0</v>
      </c>
    </row>
    <row r="267" spans="1:67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366</v>
      </c>
      <c r="L267" s="9" t="s">
        <v>987</v>
      </c>
      <c r="M267" s="9" t="s">
        <v>1006</v>
      </c>
      <c r="N267" s="9">
        <v>1</v>
      </c>
      <c r="O267" s="9">
        <v>15</v>
      </c>
      <c r="P267" s="142"/>
      <c r="T267" s="9" t="s">
        <v>742</v>
      </c>
      <c r="W267" s="9">
        <f ca="1">IFERROR(OFFSET(ITEM_RES!$A$5,MATCH(BUILDING!V267,ITEM_RES!$J$5:$J$226,0)-1,0),0)</f>
        <v>0</v>
      </c>
      <c r="Z267" s="9">
        <f ca="1">IFERROR(OFFSET(ITEM_RES!$A$5,MATCH(BUILDING!Y267,ITEM_RES!$J$5:$J$226,0)-1,0),0)</f>
        <v>0</v>
      </c>
      <c r="AB267" s="9" t="s">
        <v>548</v>
      </c>
      <c r="AC267" s="9">
        <v>3</v>
      </c>
      <c r="AE267" s="9">
        <v>1200</v>
      </c>
      <c r="AG267" s="56">
        <f t="shared" si="98"/>
        <v>315</v>
      </c>
      <c r="AH267" s="10">
        <f t="shared" ref="AH267:AH284" si="106">AG266+AG267</f>
        <v>525</v>
      </c>
      <c r="AJ267" s="11">
        <f t="shared" si="97"/>
        <v>15</v>
      </c>
      <c r="AK267" s="10">
        <v>15</v>
      </c>
      <c r="AL267" s="11">
        <f t="shared" si="105"/>
        <v>15</v>
      </c>
      <c r="AM267" s="10">
        <v>15</v>
      </c>
      <c r="AN267" s="11">
        <f t="shared" si="105"/>
        <v>15</v>
      </c>
      <c r="AO267" s="10">
        <v>15</v>
      </c>
      <c r="AP267" s="56">
        <f t="shared" si="99"/>
        <v>2</v>
      </c>
      <c r="AR267" s="11">
        <f ca="1">IFERROR(OFFSET(ITEM_RES!$A$1,MATCH(AS267,ITEM_RES!$J:$J,0)-1,0),0)</f>
        <v>211020801</v>
      </c>
      <c r="AS267" s="10" t="s">
        <v>454</v>
      </c>
      <c r="AT267" s="11">
        <v>75</v>
      </c>
      <c r="AW267" s="11">
        <f ca="1">IFERROR(OFFSET(ITEM_RES!$A$1,MATCH(AX267,ITEM_RES!$J:$J,0)-1,0),0)</f>
        <v>211020401</v>
      </c>
      <c r="AX267" s="10" t="s">
        <v>440</v>
      </c>
      <c r="AY267" s="11">
        <v>75</v>
      </c>
      <c r="BB267" s="11">
        <f ca="1">IFERROR(OFFSET(ITEM_RES!$A$1,MATCH(BC267,ITEM_RES!$J:$J,0)-1,0),0)</f>
        <v>0</v>
      </c>
      <c r="BG267" s="11">
        <f ca="1">IFERROR(OFFSET(ITEM_RES!$A$1,MATCH(BH267,ITEM_RES!$J:$J,0)-1,0),0)</f>
        <v>0</v>
      </c>
      <c r="BL267" s="11">
        <f ca="1">IFERROR(OFFSET(ITEM_RES!$A$1,MATCH(BM267,ITEM_RES!$J:$J,0)-1,0),0)</f>
        <v>0</v>
      </c>
      <c r="BN267" s="11">
        <f t="shared" si="104"/>
        <v>0</v>
      </c>
    </row>
    <row r="268" spans="1:67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366</v>
      </c>
      <c r="L268" s="9" t="s">
        <v>987</v>
      </c>
      <c r="M268" s="9" t="s">
        <v>1006</v>
      </c>
      <c r="N268" s="9">
        <v>1</v>
      </c>
      <c r="O268" s="9">
        <v>15</v>
      </c>
      <c r="P268" s="142"/>
      <c r="T268" s="9" t="s">
        <v>742</v>
      </c>
      <c r="W268" s="9">
        <f ca="1">IFERROR(OFFSET(ITEM_RES!$A$5,MATCH(BUILDING!V268,ITEM_RES!$J$5:$J$226,0)-1,0),0)</f>
        <v>0</v>
      </c>
      <c r="Z268" s="9">
        <f ca="1">IFERROR(OFFSET(ITEM_RES!$A$5,MATCH(BUILDING!Y268,ITEM_RES!$J$5:$J$226,0)-1,0),0)</f>
        <v>0</v>
      </c>
      <c r="AB268" s="9" t="s">
        <v>548</v>
      </c>
      <c r="AC268" s="9">
        <v>4</v>
      </c>
      <c r="AE268" s="9">
        <v>2000</v>
      </c>
      <c r="AG268" s="56">
        <f t="shared" si="98"/>
        <v>525</v>
      </c>
      <c r="AH268" s="10">
        <f t="shared" si="106"/>
        <v>840</v>
      </c>
      <c r="AJ268" s="11">
        <f t="shared" si="97"/>
        <v>20</v>
      </c>
      <c r="AK268" s="10">
        <v>20</v>
      </c>
      <c r="AL268" s="11">
        <f t="shared" si="105"/>
        <v>25</v>
      </c>
      <c r="AM268" s="10">
        <v>25</v>
      </c>
      <c r="AN268" s="11">
        <f t="shared" si="105"/>
        <v>25</v>
      </c>
      <c r="AO268" s="10">
        <v>25</v>
      </c>
      <c r="AP268" s="56">
        <f t="shared" si="99"/>
        <v>2</v>
      </c>
      <c r="AR268" s="11">
        <f ca="1">IFERROR(OFFSET(ITEM_RES!$A$1,MATCH(AS268,ITEM_RES!$J:$J,0)-1,0),0)</f>
        <v>211020801</v>
      </c>
      <c r="AS268" s="10" t="s">
        <v>454</v>
      </c>
      <c r="AT268" s="11">
        <v>125</v>
      </c>
      <c r="AW268" s="11">
        <f ca="1">IFERROR(OFFSET(ITEM_RES!$A$1,MATCH(AX268,ITEM_RES!$J:$J,0)-1,0),0)</f>
        <v>211020401</v>
      </c>
      <c r="AX268" s="10" t="s">
        <v>440</v>
      </c>
      <c r="AY268" s="11">
        <v>125</v>
      </c>
      <c r="BB268" s="11">
        <f ca="1">IFERROR(OFFSET(ITEM_RES!$A$1,MATCH(BC268,ITEM_RES!$J:$J,0)-1,0),0)</f>
        <v>0</v>
      </c>
      <c r="BG268" s="11">
        <f ca="1">IFERROR(OFFSET(ITEM_RES!$A$1,MATCH(BH268,ITEM_RES!$J:$J,0)-1,0),0)</f>
        <v>0</v>
      </c>
      <c r="BL268" s="11">
        <f ca="1">IFERROR(OFFSET(ITEM_RES!$A$1,MATCH(BM268,ITEM_RES!$J:$J,0)-1,0),0)</f>
        <v>0</v>
      </c>
      <c r="BN268" s="11">
        <f t="shared" si="104"/>
        <v>0</v>
      </c>
    </row>
    <row r="269" spans="1:67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366</v>
      </c>
      <c r="L269" s="9" t="s">
        <v>987</v>
      </c>
      <c r="M269" s="9" t="s">
        <v>1006</v>
      </c>
      <c r="N269" s="9">
        <v>1</v>
      </c>
      <c r="O269" s="9">
        <v>15</v>
      </c>
      <c r="P269" s="142"/>
      <c r="T269" s="9" t="s">
        <v>742</v>
      </c>
      <c r="W269" s="9">
        <f ca="1">IFERROR(OFFSET(ITEM_RES!$A$5,MATCH(BUILDING!V269,ITEM_RES!$J$5:$J$226,0)-1,0),0)</f>
        <v>0</v>
      </c>
      <c r="Z269" s="9">
        <f ca="1">IFERROR(OFFSET(ITEM_RES!$A$5,MATCH(BUILDING!Y269,ITEM_RES!$J$5:$J$226,0)-1,0),0)</f>
        <v>0</v>
      </c>
      <c r="AB269" s="9" t="s">
        <v>548</v>
      </c>
      <c r="AC269" s="9">
        <v>5</v>
      </c>
      <c r="AE269" s="9">
        <v>3200</v>
      </c>
      <c r="AG269" s="56">
        <f t="shared" si="98"/>
        <v>840</v>
      </c>
      <c r="AH269" s="10">
        <f t="shared" si="106"/>
        <v>1365</v>
      </c>
      <c r="AJ269" s="11">
        <f t="shared" si="97"/>
        <v>25</v>
      </c>
      <c r="AK269" s="10">
        <v>25</v>
      </c>
      <c r="AL269" s="11">
        <f t="shared" si="105"/>
        <v>40</v>
      </c>
      <c r="AM269" s="10">
        <v>40</v>
      </c>
      <c r="AN269" s="11">
        <f t="shared" si="105"/>
        <v>40</v>
      </c>
      <c r="AO269" s="10">
        <v>40</v>
      </c>
      <c r="AP269" s="56">
        <f t="shared" si="99"/>
        <v>2</v>
      </c>
      <c r="AR269" s="11">
        <f ca="1">IFERROR(OFFSET(ITEM_RES!$A$1,MATCH(AS269,ITEM_RES!$J:$J,0)-1,0),0)</f>
        <v>211020801</v>
      </c>
      <c r="AS269" s="10" t="s">
        <v>454</v>
      </c>
      <c r="AT269" s="11">
        <v>200</v>
      </c>
      <c r="AW269" s="11">
        <f ca="1">IFERROR(OFFSET(ITEM_RES!$A$1,MATCH(AX269,ITEM_RES!$J:$J,0)-1,0),0)</f>
        <v>211020401</v>
      </c>
      <c r="AX269" s="10" t="s">
        <v>440</v>
      </c>
      <c r="AY269" s="11">
        <v>200</v>
      </c>
      <c r="BB269" s="11">
        <f ca="1">IFERROR(OFFSET(ITEM_RES!$A$1,MATCH(BC269,ITEM_RES!$J:$J,0)-1,0),0)</f>
        <v>0</v>
      </c>
      <c r="BG269" s="11">
        <f ca="1">IFERROR(OFFSET(ITEM_RES!$A$1,MATCH(BH269,ITEM_RES!$J:$J,0)-1,0),0)</f>
        <v>0</v>
      </c>
      <c r="BL269" s="11">
        <f ca="1">IFERROR(OFFSET(ITEM_RES!$A$1,MATCH(BM269,ITEM_RES!$J:$J,0)-1,0),0)</f>
        <v>0</v>
      </c>
      <c r="BN269" s="11">
        <f t="shared" si="104"/>
        <v>0</v>
      </c>
    </row>
    <row r="270" spans="1:67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366</v>
      </c>
      <c r="L270" s="9" t="s">
        <v>987</v>
      </c>
      <c r="M270" s="9" t="s">
        <v>1006</v>
      </c>
      <c r="N270" s="9">
        <v>1</v>
      </c>
      <c r="O270" s="9">
        <v>15</v>
      </c>
      <c r="P270" s="142"/>
      <c r="T270" s="9" t="s">
        <v>742</v>
      </c>
      <c r="W270" s="9">
        <f ca="1">IFERROR(OFFSET(ITEM_RES!$A$5,MATCH(BUILDING!V270,ITEM_RES!$J$5:$J$226,0)-1,0),0)</f>
        <v>0</v>
      </c>
      <c r="Z270" s="9">
        <f ca="1">IFERROR(OFFSET(ITEM_RES!$A$5,MATCH(BUILDING!Y270,ITEM_RES!$J$5:$J$226,0)-1,0),0)</f>
        <v>0</v>
      </c>
      <c r="AB270" s="9" t="s">
        <v>548</v>
      </c>
      <c r="AC270" s="9">
        <v>6</v>
      </c>
      <c r="AE270" s="9">
        <v>4000</v>
      </c>
      <c r="AG270" s="56">
        <f t="shared" si="98"/>
        <v>1050</v>
      </c>
      <c r="AH270" s="10">
        <f t="shared" si="106"/>
        <v>1890</v>
      </c>
      <c r="AJ270" s="11">
        <f t="shared" si="97"/>
        <v>30</v>
      </c>
      <c r="AK270" s="10">
        <v>30</v>
      </c>
      <c r="AL270" s="11">
        <f t="shared" si="105"/>
        <v>50</v>
      </c>
      <c r="AM270" s="10">
        <v>50</v>
      </c>
      <c r="AN270" s="11">
        <f t="shared" si="105"/>
        <v>50</v>
      </c>
      <c r="AO270" s="10">
        <v>50</v>
      </c>
      <c r="AP270" s="56">
        <f t="shared" si="99"/>
        <v>2</v>
      </c>
      <c r="AR270" s="11">
        <f ca="1">IFERROR(OFFSET(ITEM_RES!$A$1,MATCH(AS270,ITEM_RES!$J:$J,0)-1,0),0)</f>
        <v>211020801</v>
      </c>
      <c r="AS270" s="10" t="s">
        <v>454</v>
      </c>
      <c r="AT270" s="11">
        <v>250</v>
      </c>
      <c r="AW270" s="11">
        <f ca="1">IFERROR(OFFSET(ITEM_RES!$A$1,MATCH(AX270,ITEM_RES!$J:$J,0)-1,0),0)</f>
        <v>211020401</v>
      </c>
      <c r="AX270" s="10" t="s">
        <v>440</v>
      </c>
      <c r="AY270" s="11">
        <v>250</v>
      </c>
      <c r="BB270" s="11">
        <f ca="1">IFERROR(OFFSET(ITEM_RES!$A$1,MATCH(BC270,ITEM_RES!$J:$J,0)-1,0),0)</f>
        <v>0</v>
      </c>
      <c r="BG270" s="11">
        <f ca="1">IFERROR(OFFSET(ITEM_RES!$A$1,MATCH(BH270,ITEM_RES!$J:$J,0)-1,0),0)</f>
        <v>0</v>
      </c>
      <c r="BL270" s="11">
        <f ca="1">IFERROR(OFFSET(ITEM_RES!$A$1,MATCH(BM270,ITEM_RES!$J:$J,0)-1,0),0)</f>
        <v>0</v>
      </c>
      <c r="BN270" s="11">
        <f t="shared" si="104"/>
        <v>0</v>
      </c>
    </row>
    <row r="271" spans="1:67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366</v>
      </c>
      <c r="L271" s="9" t="s">
        <v>987</v>
      </c>
      <c r="M271" s="9" t="s">
        <v>1006</v>
      </c>
      <c r="N271" s="9">
        <v>1</v>
      </c>
      <c r="O271" s="9">
        <v>15</v>
      </c>
      <c r="P271" s="142"/>
      <c r="T271" s="9" t="s">
        <v>742</v>
      </c>
      <c r="W271" s="9">
        <f ca="1">IFERROR(OFFSET(ITEM_RES!$A$5,MATCH(BUILDING!V271,ITEM_RES!$J$5:$J$226,0)-1,0),0)</f>
        <v>0</v>
      </c>
      <c r="Z271" s="9">
        <f ca="1">IFERROR(OFFSET(ITEM_RES!$A$5,MATCH(BUILDING!Y271,ITEM_RES!$J$5:$J$226,0)-1,0),0)</f>
        <v>0</v>
      </c>
      <c r="AB271" s="9" t="s">
        <v>548</v>
      </c>
      <c r="AC271" s="9">
        <v>7</v>
      </c>
      <c r="AE271" s="9">
        <v>8000</v>
      </c>
      <c r="AG271" s="56">
        <f t="shared" si="98"/>
        <v>2100</v>
      </c>
      <c r="AH271" s="10">
        <f t="shared" si="106"/>
        <v>3150</v>
      </c>
      <c r="AJ271" s="11">
        <f t="shared" si="97"/>
        <v>35</v>
      </c>
      <c r="AK271" s="10">
        <v>35</v>
      </c>
      <c r="AL271" s="11">
        <f t="shared" si="105"/>
        <v>100</v>
      </c>
      <c r="AM271" s="10">
        <v>100</v>
      </c>
      <c r="AN271" s="11">
        <f t="shared" si="105"/>
        <v>100</v>
      </c>
      <c r="AO271" s="10">
        <v>100</v>
      </c>
      <c r="AP271" s="56">
        <f t="shared" si="99"/>
        <v>2</v>
      </c>
      <c r="AR271" s="11">
        <f ca="1">IFERROR(OFFSET(ITEM_RES!$A$1,MATCH(AS271,ITEM_RES!$J:$J,0)-1,0),0)</f>
        <v>211020801</v>
      </c>
      <c r="AS271" s="10" t="s">
        <v>454</v>
      </c>
      <c r="AT271" s="11">
        <v>500</v>
      </c>
      <c r="AW271" s="11">
        <f ca="1">IFERROR(OFFSET(ITEM_RES!$A$1,MATCH(AX271,ITEM_RES!$J:$J,0)-1,0),0)</f>
        <v>211020401</v>
      </c>
      <c r="AX271" s="10" t="s">
        <v>440</v>
      </c>
      <c r="AY271" s="11">
        <v>500</v>
      </c>
      <c r="BB271" s="11">
        <f ca="1">IFERROR(OFFSET(ITEM_RES!$A$1,MATCH(BC271,ITEM_RES!$J:$J,0)-1,0),0)</f>
        <v>0</v>
      </c>
      <c r="BG271" s="11">
        <f ca="1">IFERROR(OFFSET(ITEM_RES!$A$1,MATCH(BH271,ITEM_RES!$J:$J,0)-1,0),0)</f>
        <v>0</v>
      </c>
      <c r="BL271" s="11">
        <f ca="1">IFERROR(OFFSET(ITEM_RES!$A$1,MATCH(BM271,ITEM_RES!$J:$J,0)-1,0),0)</f>
        <v>0</v>
      </c>
      <c r="BN271" s="11">
        <f t="shared" si="104"/>
        <v>0</v>
      </c>
    </row>
    <row r="272" spans="1:67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366</v>
      </c>
      <c r="L272" s="9" t="s">
        <v>987</v>
      </c>
      <c r="M272" s="9" t="s">
        <v>1006</v>
      </c>
      <c r="N272" s="9">
        <v>1</v>
      </c>
      <c r="O272" s="9">
        <v>15</v>
      </c>
      <c r="P272" s="142"/>
      <c r="T272" s="9" t="s">
        <v>742</v>
      </c>
      <c r="W272" s="9">
        <f ca="1">IFERROR(OFFSET(ITEM_RES!$A$5,MATCH(BUILDING!V272,ITEM_RES!$J$5:$J$226,0)-1,0),0)</f>
        <v>0</v>
      </c>
      <c r="Z272" s="9">
        <f ca="1">IFERROR(OFFSET(ITEM_RES!$A$5,MATCH(BUILDING!Y272,ITEM_RES!$J$5:$J$226,0)-1,0),0)</f>
        <v>0</v>
      </c>
      <c r="AB272" s="9" t="s">
        <v>548</v>
      </c>
      <c r="AC272" s="9">
        <v>8</v>
      </c>
      <c r="AE272" s="9">
        <v>8000</v>
      </c>
      <c r="AG272" s="56">
        <f t="shared" si="98"/>
        <v>2600</v>
      </c>
      <c r="AH272" s="10">
        <f t="shared" si="106"/>
        <v>4700</v>
      </c>
      <c r="AJ272" s="11">
        <f t="shared" si="97"/>
        <v>40</v>
      </c>
      <c r="AK272" s="10">
        <v>40</v>
      </c>
      <c r="AL272" s="11">
        <f t="shared" si="105"/>
        <v>100</v>
      </c>
      <c r="AM272" s="10">
        <v>100</v>
      </c>
      <c r="AN272" s="11">
        <f t="shared" si="105"/>
        <v>100</v>
      </c>
      <c r="AO272" s="10">
        <v>100</v>
      </c>
      <c r="AP272" s="56">
        <f t="shared" si="99"/>
        <v>3</v>
      </c>
      <c r="AR272" s="11">
        <f ca="1">IFERROR(OFFSET(ITEM_RES!$A$1,MATCH(AS272,ITEM_RES!$J:$J,0)-1,0),0)</f>
        <v>211020801</v>
      </c>
      <c r="AS272" s="10" t="s">
        <v>454</v>
      </c>
      <c r="AT272" s="11">
        <v>500</v>
      </c>
      <c r="AW272" s="11">
        <f ca="1">IFERROR(OFFSET(ITEM_RES!$A$1,MATCH(AX272,ITEM_RES!$J:$J,0)-1,0),0)</f>
        <v>211020401</v>
      </c>
      <c r="AX272" s="10" t="s">
        <v>440</v>
      </c>
      <c r="AY272" s="11">
        <v>500</v>
      </c>
      <c r="BB272" s="11">
        <f ca="1">IFERROR(OFFSET(ITEM_RES!$A$1,MATCH(BC272,ITEM_RES!$J:$J,0)-1,0),0)</f>
        <v>0</v>
      </c>
      <c r="BG272" s="11">
        <f ca="1">IFERROR(OFFSET(ITEM_RES!$A$1,MATCH(BH272,ITEM_RES!$J:$J,0)-1,0),0)</f>
        <v>213010901</v>
      </c>
      <c r="BH272" s="10" t="s">
        <v>489</v>
      </c>
      <c r="BI272" s="11">
        <v>1</v>
      </c>
      <c r="BL272" s="11">
        <f ca="1">IFERROR(OFFSET(ITEM_RES!$A$1,MATCH(BM272,ITEM_RES!$J:$J,0)-1,0),0)</f>
        <v>0</v>
      </c>
      <c r="BN272" s="11">
        <f t="shared" si="104"/>
        <v>0</v>
      </c>
    </row>
    <row r="273" spans="1:67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366</v>
      </c>
      <c r="L273" s="9" t="s">
        <v>987</v>
      </c>
      <c r="M273" s="9" t="s">
        <v>1006</v>
      </c>
      <c r="N273" s="9">
        <v>1</v>
      </c>
      <c r="O273" s="9">
        <v>15</v>
      </c>
      <c r="P273" s="142"/>
      <c r="T273" s="9" t="s">
        <v>742</v>
      </c>
      <c r="W273" s="9">
        <f ca="1">IFERROR(OFFSET(ITEM_RES!$A$5,MATCH(BUILDING!V273,ITEM_RES!$J$5:$J$226,0)-1,0),0)</f>
        <v>0</v>
      </c>
      <c r="Z273" s="9">
        <f ca="1">IFERROR(OFFSET(ITEM_RES!$A$5,MATCH(BUILDING!Y273,ITEM_RES!$J$5:$J$226,0)-1,0),0)</f>
        <v>0</v>
      </c>
      <c r="AB273" s="9" t="s">
        <v>548</v>
      </c>
      <c r="AC273" s="9">
        <v>9</v>
      </c>
      <c r="AE273" s="9">
        <v>12000</v>
      </c>
      <c r="AG273" s="56">
        <f t="shared" si="98"/>
        <v>3150</v>
      </c>
      <c r="AH273" s="10">
        <f t="shared" si="106"/>
        <v>5750</v>
      </c>
      <c r="AJ273" s="11">
        <f t="shared" si="97"/>
        <v>45</v>
      </c>
      <c r="AK273" s="10">
        <v>45</v>
      </c>
      <c r="AL273" s="11">
        <f t="shared" si="105"/>
        <v>150</v>
      </c>
      <c r="AM273" s="10">
        <v>150</v>
      </c>
      <c r="AN273" s="11">
        <f t="shared" si="105"/>
        <v>150</v>
      </c>
      <c r="AO273" s="10">
        <v>150</v>
      </c>
      <c r="AP273" s="56">
        <f t="shared" si="99"/>
        <v>2</v>
      </c>
      <c r="AR273" s="11">
        <f ca="1">IFERROR(OFFSET(ITEM_RES!$A$1,MATCH(AS273,ITEM_RES!$J:$J,0)-1,0),0)</f>
        <v>211020801</v>
      </c>
      <c r="AS273" s="10" t="s">
        <v>454</v>
      </c>
      <c r="AT273" s="11">
        <v>750</v>
      </c>
      <c r="AW273" s="11">
        <f ca="1">IFERROR(OFFSET(ITEM_RES!$A$1,MATCH(AX273,ITEM_RES!$J:$J,0)-1,0),0)</f>
        <v>211020401</v>
      </c>
      <c r="AX273" s="10" t="s">
        <v>440</v>
      </c>
      <c r="AY273" s="11">
        <v>750</v>
      </c>
      <c r="BB273" s="11">
        <f ca="1">IFERROR(OFFSET(ITEM_RES!$A$1,MATCH(BC273,ITEM_RES!$J:$J,0)-1,0),0)</f>
        <v>0</v>
      </c>
      <c r="BG273" s="11">
        <f ca="1">IFERROR(OFFSET(ITEM_RES!$A$1,MATCH(BH273,ITEM_RES!$J:$J,0)-1,0),0)</f>
        <v>0</v>
      </c>
      <c r="BL273" s="11">
        <f ca="1">IFERROR(OFFSET(ITEM_RES!$A$1,MATCH(BM273,ITEM_RES!$J:$J,0)-1,0),0)</f>
        <v>0</v>
      </c>
      <c r="BN273" s="11">
        <f t="shared" si="104"/>
        <v>0</v>
      </c>
    </row>
    <row r="274" spans="1:67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366</v>
      </c>
      <c r="L274" s="9" t="s">
        <v>987</v>
      </c>
      <c r="M274" s="9" t="s">
        <v>1006</v>
      </c>
      <c r="N274" s="9">
        <v>1</v>
      </c>
      <c r="O274" s="9">
        <v>15</v>
      </c>
      <c r="P274" s="142"/>
      <c r="T274" s="9" t="s">
        <v>742</v>
      </c>
      <c r="W274" s="9">
        <f ca="1">IFERROR(OFFSET(ITEM_RES!$A$5,MATCH(BUILDING!V274,ITEM_RES!$J$5:$J$226,0)-1,0),0)</f>
        <v>0</v>
      </c>
      <c r="Z274" s="9">
        <f ca="1">IFERROR(OFFSET(ITEM_RES!$A$5,MATCH(BUILDING!Y274,ITEM_RES!$J$5:$J$226,0)-1,0),0)</f>
        <v>0</v>
      </c>
      <c r="AB274" s="9" t="s">
        <v>548</v>
      </c>
      <c r="AC274" s="9">
        <v>10</v>
      </c>
      <c r="AE274" s="9">
        <v>16000</v>
      </c>
      <c r="AG274" s="56">
        <f t="shared" si="98"/>
        <v>4200</v>
      </c>
      <c r="AH274" s="10">
        <f t="shared" si="106"/>
        <v>7350</v>
      </c>
      <c r="AJ274" s="11">
        <f t="shared" si="97"/>
        <v>50</v>
      </c>
      <c r="AK274" s="10">
        <v>50</v>
      </c>
      <c r="AL274" s="11">
        <f t="shared" si="105"/>
        <v>200</v>
      </c>
      <c r="AM274" s="10">
        <v>200</v>
      </c>
      <c r="AN274" s="11">
        <f t="shared" si="105"/>
        <v>200</v>
      </c>
      <c r="AO274" s="10">
        <v>200</v>
      </c>
      <c r="AP274" s="56">
        <f t="shared" si="99"/>
        <v>2</v>
      </c>
      <c r="AR274" s="11">
        <f ca="1">IFERROR(OFFSET(ITEM_RES!$A$1,MATCH(AS274,ITEM_RES!$J:$J,0)-1,0),0)</f>
        <v>211020801</v>
      </c>
      <c r="AS274" s="10" t="s">
        <v>454</v>
      </c>
      <c r="AT274" s="11">
        <v>1000</v>
      </c>
      <c r="AW274" s="11">
        <f ca="1">IFERROR(OFFSET(ITEM_RES!$A$1,MATCH(AX274,ITEM_RES!$J:$J,0)-1,0),0)</f>
        <v>211020401</v>
      </c>
      <c r="AX274" s="10" t="s">
        <v>440</v>
      </c>
      <c r="AY274" s="11">
        <v>1000</v>
      </c>
      <c r="BB274" s="11">
        <f ca="1">IFERROR(OFFSET(ITEM_RES!$A$1,MATCH(BC274,ITEM_RES!$J:$J,0)-1,0),0)</f>
        <v>0</v>
      </c>
      <c r="BG274" s="11">
        <f ca="1">IFERROR(OFFSET(ITEM_RES!$A$1,MATCH(BH274,ITEM_RES!$J:$J,0)-1,0),0)</f>
        <v>0</v>
      </c>
      <c r="BL274" s="11">
        <f ca="1">IFERROR(OFFSET(ITEM_RES!$A$1,MATCH(BM274,ITEM_RES!$J:$J,0)-1,0),0)</f>
        <v>0</v>
      </c>
      <c r="BN274" s="11">
        <f t="shared" si="104"/>
        <v>0</v>
      </c>
    </row>
    <row r="275" spans="1:67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366</v>
      </c>
      <c r="L275" s="9" t="s">
        <v>987</v>
      </c>
      <c r="M275" s="9" t="s">
        <v>1006</v>
      </c>
      <c r="N275" s="9">
        <v>1</v>
      </c>
      <c r="O275" s="9">
        <v>15</v>
      </c>
      <c r="P275" s="142"/>
      <c r="T275" s="9" t="s">
        <v>742</v>
      </c>
      <c r="W275" s="9">
        <f ca="1">IFERROR(OFFSET(ITEM_RES!$A$5,MATCH(BUILDING!V275,ITEM_RES!$J$5:$J$226,0)-1,0),0)</f>
        <v>0</v>
      </c>
      <c r="Z275" s="9">
        <f ca="1">IFERROR(OFFSET(ITEM_RES!$A$5,MATCH(BUILDING!Y275,ITEM_RES!$J$5:$J$226,0)-1,0),0)</f>
        <v>0</v>
      </c>
      <c r="AB275" s="9" t="s">
        <v>548</v>
      </c>
      <c r="AC275" s="9">
        <v>11</v>
      </c>
      <c r="AE275" s="9">
        <v>20000</v>
      </c>
      <c r="AG275" s="56">
        <f t="shared" si="98"/>
        <v>5250</v>
      </c>
      <c r="AH275" s="10">
        <f t="shared" si="106"/>
        <v>9450</v>
      </c>
      <c r="AJ275" s="11">
        <f t="shared" si="97"/>
        <v>55</v>
      </c>
      <c r="AK275" s="10">
        <v>55</v>
      </c>
      <c r="AL275" s="11">
        <f t="shared" si="105"/>
        <v>250</v>
      </c>
      <c r="AM275" s="10">
        <v>250</v>
      </c>
      <c r="AN275" s="11">
        <f t="shared" si="105"/>
        <v>250</v>
      </c>
      <c r="AO275" s="10">
        <v>250</v>
      </c>
      <c r="AP275" s="56">
        <f t="shared" si="99"/>
        <v>2</v>
      </c>
      <c r="AR275" s="11">
        <f ca="1">IFERROR(OFFSET(ITEM_RES!$A$1,MATCH(AS275,ITEM_RES!$J:$J,0)-1,0),0)</f>
        <v>211020801</v>
      </c>
      <c r="AS275" s="10" t="s">
        <v>454</v>
      </c>
      <c r="AT275" s="11">
        <v>1250</v>
      </c>
      <c r="AW275" s="11">
        <f ca="1">IFERROR(OFFSET(ITEM_RES!$A$1,MATCH(AX275,ITEM_RES!$J:$J,0)-1,0),0)</f>
        <v>211020401</v>
      </c>
      <c r="AX275" s="10" t="s">
        <v>440</v>
      </c>
      <c r="AY275" s="11">
        <v>1250</v>
      </c>
      <c r="BB275" s="11">
        <f ca="1">IFERROR(OFFSET(ITEM_RES!$A$1,MATCH(BC275,ITEM_RES!$J:$J,0)-1,0),0)</f>
        <v>0</v>
      </c>
      <c r="BG275" s="11">
        <f ca="1">IFERROR(OFFSET(ITEM_RES!$A$1,MATCH(BH275,ITEM_RES!$J:$J,0)-1,0),0)</f>
        <v>0</v>
      </c>
      <c r="BL275" s="11">
        <f ca="1">IFERROR(OFFSET(ITEM_RES!$A$1,MATCH(BM275,ITEM_RES!$J:$J,0)-1,0),0)</f>
        <v>0</v>
      </c>
      <c r="BN275" s="11">
        <f t="shared" si="104"/>
        <v>0</v>
      </c>
    </row>
    <row r="276" spans="1:67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366</v>
      </c>
      <c r="L276" s="9" t="s">
        <v>987</v>
      </c>
      <c r="M276" s="9" t="s">
        <v>1006</v>
      </c>
      <c r="N276" s="9">
        <v>1</v>
      </c>
      <c r="O276" s="9">
        <v>15</v>
      </c>
      <c r="P276" s="142"/>
      <c r="T276" s="9" t="s">
        <v>742</v>
      </c>
      <c r="W276" s="9">
        <f ca="1">IFERROR(OFFSET(ITEM_RES!$A$5,MATCH(BUILDING!V276,ITEM_RES!$J$5:$J$226,0)-1,0),0)</f>
        <v>0</v>
      </c>
      <c r="Z276" s="9">
        <f ca="1">IFERROR(OFFSET(ITEM_RES!$A$5,MATCH(BUILDING!Y276,ITEM_RES!$J$5:$J$226,0)-1,0),0)</f>
        <v>0</v>
      </c>
      <c r="AB276" s="9" t="s">
        <v>548</v>
      </c>
      <c r="AC276" s="9">
        <v>12</v>
      </c>
      <c r="AE276" s="9">
        <v>24000</v>
      </c>
      <c r="AG276" s="56">
        <f t="shared" si="98"/>
        <v>6300</v>
      </c>
      <c r="AH276" s="10">
        <f t="shared" si="106"/>
        <v>11550</v>
      </c>
      <c r="AJ276" s="11">
        <f t="shared" si="97"/>
        <v>60</v>
      </c>
      <c r="AK276" s="10">
        <v>60</v>
      </c>
      <c r="AL276" s="11">
        <f t="shared" si="105"/>
        <v>300</v>
      </c>
      <c r="AM276" s="10">
        <v>300</v>
      </c>
      <c r="AN276" s="11">
        <f t="shared" si="105"/>
        <v>300</v>
      </c>
      <c r="AO276" s="10">
        <v>300</v>
      </c>
      <c r="AP276" s="56">
        <f t="shared" si="99"/>
        <v>2</v>
      </c>
      <c r="AR276" s="11">
        <f ca="1">IFERROR(OFFSET(ITEM_RES!$A$1,MATCH(AS276,ITEM_RES!$J:$J,0)-1,0),0)</f>
        <v>211020801</v>
      </c>
      <c r="AS276" s="10" t="s">
        <v>454</v>
      </c>
      <c r="AT276" s="11">
        <v>1500</v>
      </c>
      <c r="AW276" s="11">
        <f ca="1">IFERROR(OFFSET(ITEM_RES!$A$1,MATCH(AX276,ITEM_RES!$J:$J,0)-1,0),0)</f>
        <v>211020401</v>
      </c>
      <c r="AX276" s="10" t="s">
        <v>440</v>
      </c>
      <c r="AY276" s="11">
        <v>1500</v>
      </c>
      <c r="BB276" s="11">
        <f ca="1">IFERROR(OFFSET(ITEM_RES!$A$1,MATCH(BC276,ITEM_RES!$J:$J,0)-1,0),0)</f>
        <v>0</v>
      </c>
      <c r="BG276" s="11">
        <f ca="1">IFERROR(OFFSET(ITEM_RES!$A$1,MATCH(BH276,ITEM_RES!$J:$J,0)-1,0),0)</f>
        <v>0</v>
      </c>
      <c r="BL276" s="11">
        <f ca="1">IFERROR(OFFSET(ITEM_RES!$A$1,MATCH(BM276,ITEM_RES!$J:$J,0)-1,0),0)</f>
        <v>0</v>
      </c>
      <c r="BN276" s="11">
        <f t="shared" si="104"/>
        <v>0</v>
      </c>
    </row>
    <row r="277" spans="1:67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366</v>
      </c>
      <c r="L277" s="9" t="s">
        <v>987</v>
      </c>
      <c r="M277" s="9" t="s">
        <v>1006</v>
      </c>
      <c r="N277" s="9">
        <v>1</v>
      </c>
      <c r="O277" s="9">
        <v>15</v>
      </c>
      <c r="P277" s="142"/>
      <c r="T277" s="9" t="s">
        <v>742</v>
      </c>
      <c r="W277" s="9">
        <f ca="1">IFERROR(OFFSET(ITEM_RES!$A$5,MATCH(BUILDING!V277,ITEM_RES!$J$5:$J$226,0)-1,0),0)</f>
        <v>0</v>
      </c>
      <c r="Z277" s="9">
        <f ca="1">IFERROR(OFFSET(ITEM_RES!$A$5,MATCH(BUILDING!Y277,ITEM_RES!$J$5:$J$226,0)-1,0),0)</f>
        <v>0</v>
      </c>
      <c r="AB277" s="9" t="s">
        <v>548</v>
      </c>
      <c r="AC277" s="9">
        <v>13</v>
      </c>
      <c r="AE277" s="9">
        <v>28000</v>
      </c>
      <c r="AG277" s="56">
        <f t="shared" si="98"/>
        <v>7350</v>
      </c>
      <c r="AH277" s="10">
        <f t="shared" si="106"/>
        <v>13650</v>
      </c>
      <c r="AJ277" s="11">
        <f t="shared" si="97"/>
        <v>65</v>
      </c>
      <c r="AK277" s="10">
        <v>65</v>
      </c>
      <c r="AL277" s="11">
        <f t="shared" si="105"/>
        <v>350</v>
      </c>
      <c r="AM277" s="10">
        <v>350</v>
      </c>
      <c r="AN277" s="11">
        <f t="shared" si="105"/>
        <v>350</v>
      </c>
      <c r="AO277" s="10">
        <v>350</v>
      </c>
      <c r="AP277" s="56">
        <f t="shared" si="99"/>
        <v>2</v>
      </c>
      <c r="AR277" s="11">
        <f ca="1">IFERROR(OFFSET(ITEM_RES!$A$1,MATCH(AS277,ITEM_RES!$J:$J,0)-1,0),0)</f>
        <v>211020801</v>
      </c>
      <c r="AS277" s="10" t="s">
        <v>454</v>
      </c>
      <c r="AT277" s="11">
        <v>1750</v>
      </c>
      <c r="AW277" s="11">
        <f ca="1">IFERROR(OFFSET(ITEM_RES!$A$1,MATCH(AX277,ITEM_RES!$J:$J,0)-1,0),0)</f>
        <v>211020401</v>
      </c>
      <c r="AX277" s="10" t="s">
        <v>440</v>
      </c>
      <c r="AY277" s="11">
        <v>1750</v>
      </c>
      <c r="BB277" s="11">
        <f ca="1">IFERROR(OFFSET(ITEM_RES!$A$1,MATCH(BC277,ITEM_RES!$J:$J,0)-1,0),0)</f>
        <v>0</v>
      </c>
      <c r="BG277" s="11">
        <f ca="1">IFERROR(OFFSET(ITEM_RES!$A$1,MATCH(BH277,ITEM_RES!$J:$J,0)-1,0),0)</f>
        <v>0</v>
      </c>
      <c r="BL277" s="11">
        <f ca="1">IFERROR(OFFSET(ITEM_RES!$A$1,MATCH(BM277,ITEM_RES!$J:$J,0)-1,0),0)</f>
        <v>0</v>
      </c>
      <c r="BN277" s="11">
        <f t="shared" si="104"/>
        <v>0</v>
      </c>
    </row>
    <row r="278" spans="1:67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366</v>
      </c>
      <c r="L278" s="9" t="s">
        <v>987</v>
      </c>
      <c r="M278" s="9" t="s">
        <v>1006</v>
      </c>
      <c r="N278" s="9">
        <v>1</v>
      </c>
      <c r="O278" s="9">
        <v>15</v>
      </c>
      <c r="P278" s="142"/>
      <c r="T278" s="9" t="s">
        <v>742</v>
      </c>
      <c r="W278" s="9">
        <f ca="1">IFERROR(OFFSET(ITEM_RES!$A$5,MATCH(BUILDING!V278,ITEM_RES!$J$5:$J$226,0)-1,0),0)</f>
        <v>0</v>
      </c>
      <c r="Z278" s="9">
        <f ca="1">IFERROR(OFFSET(ITEM_RES!$A$5,MATCH(BUILDING!Y278,ITEM_RES!$J$5:$J$226,0)-1,0),0)</f>
        <v>0</v>
      </c>
      <c r="AB278" s="9" t="s">
        <v>548</v>
      </c>
      <c r="AC278" s="9">
        <v>14</v>
      </c>
      <c r="AE278" s="9">
        <v>36000</v>
      </c>
      <c r="AG278" s="56">
        <f t="shared" si="98"/>
        <v>9450</v>
      </c>
      <c r="AH278" s="10">
        <f t="shared" si="106"/>
        <v>16800</v>
      </c>
      <c r="AJ278" s="11">
        <f t="shared" si="97"/>
        <v>70</v>
      </c>
      <c r="AK278" s="10">
        <v>70</v>
      </c>
      <c r="AL278" s="11">
        <f t="shared" si="105"/>
        <v>450</v>
      </c>
      <c r="AM278" s="10">
        <v>450</v>
      </c>
      <c r="AN278" s="11">
        <f t="shared" si="105"/>
        <v>450</v>
      </c>
      <c r="AO278" s="10">
        <v>450</v>
      </c>
      <c r="AP278" s="56">
        <f t="shared" si="99"/>
        <v>2</v>
      </c>
      <c r="AR278" s="11">
        <f ca="1">IFERROR(OFFSET(ITEM_RES!$A$1,MATCH(AS278,ITEM_RES!$J:$J,0)-1,0),0)</f>
        <v>211020801</v>
      </c>
      <c r="AS278" s="10" t="s">
        <v>454</v>
      </c>
      <c r="AT278" s="11">
        <v>2250</v>
      </c>
      <c r="AW278" s="11">
        <f ca="1">IFERROR(OFFSET(ITEM_RES!$A$1,MATCH(AX278,ITEM_RES!$J:$J,0)-1,0),0)</f>
        <v>211020401</v>
      </c>
      <c r="AX278" s="10" t="s">
        <v>440</v>
      </c>
      <c r="AY278" s="11">
        <v>2250</v>
      </c>
      <c r="BB278" s="11">
        <f ca="1">IFERROR(OFFSET(ITEM_RES!$A$1,MATCH(BC278,ITEM_RES!$J:$J,0)-1,0),0)</f>
        <v>0</v>
      </c>
      <c r="BG278" s="11">
        <f ca="1">IFERROR(OFFSET(ITEM_RES!$A$1,MATCH(BH278,ITEM_RES!$J:$J,0)-1,0),0)</f>
        <v>0</v>
      </c>
      <c r="BL278" s="11">
        <f ca="1">IFERROR(OFFSET(ITEM_RES!$A$1,MATCH(BM278,ITEM_RES!$J:$J,0)-1,0),0)</f>
        <v>0</v>
      </c>
      <c r="BN278" s="11">
        <f t="shared" si="104"/>
        <v>0</v>
      </c>
    </row>
    <row r="279" spans="1:67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366</v>
      </c>
      <c r="L279" s="9" t="s">
        <v>987</v>
      </c>
      <c r="M279" s="9" t="s">
        <v>1006</v>
      </c>
      <c r="N279" s="9">
        <v>1</v>
      </c>
      <c r="O279" s="9">
        <v>15</v>
      </c>
      <c r="P279" s="142"/>
      <c r="T279" s="9" t="s">
        <v>742</v>
      </c>
      <c r="W279" s="9">
        <f ca="1">IFERROR(OFFSET(ITEM_RES!$A$5,MATCH(BUILDING!V279,ITEM_RES!$J$5:$J$226,0)-1,0),0)</f>
        <v>0</v>
      </c>
      <c r="Z279" s="9">
        <f ca="1">IFERROR(OFFSET(ITEM_RES!$A$5,MATCH(BUILDING!Y279,ITEM_RES!$J$5:$J$226,0)-1,0),0)</f>
        <v>0</v>
      </c>
      <c r="AB279" s="9" t="s">
        <v>548</v>
      </c>
      <c r="AC279" s="9">
        <v>15</v>
      </c>
      <c r="AE279" s="9">
        <v>44000</v>
      </c>
      <c r="AG279" s="56">
        <f t="shared" si="98"/>
        <v>11550</v>
      </c>
      <c r="AH279" s="10">
        <f t="shared" si="106"/>
        <v>21000</v>
      </c>
      <c r="AJ279" s="11">
        <f t="shared" si="97"/>
        <v>75</v>
      </c>
      <c r="AK279" s="10">
        <v>75</v>
      </c>
      <c r="AL279" s="11">
        <f t="shared" si="105"/>
        <v>550</v>
      </c>
      <c r="AM279" s="10">
        <v>550</v>
      </c>
      <c r="AN279" s="11">
        <f t="shared" si="105"/>
        <v>550</v>
      </c>
      <c r="AO279" s="10">
        <v>550</v>
      </c>
      <c r="AP279" s="56">
        <f t="shared" si="99"/>
        <v>2</v>
      </c>
      <c r="AR279" s="11">
        <f ca="1">IFERROR(OFFSET(ITEM_RES!$A$1,MATCH(AS279,ITEM_RES!$J:$J,0)-1,0),0)</f>
        <v>211020801</v>
      </c>
      <c r="AS279" s="10" t="s">
        <v>454</v>
      </c>
      <c r="AT279" s="11">
        <v>2750</v>
      </c>
      <c r="AW279" s="11">
        <f ca="1">IFERROR(OFFSET(ITEM_RES!$A$1,MATCH(AX279,ITEM_RES!$J:$J,0)-1,0),0)</f>
        <v>211020401</v>
      </c>
      <c r="AX279" s="10" t="s">
        <v>455</v>
      </c>
      <c r="AY279" s="11">
        <v>2750</v>
      </c>
      <c r="BB279" s="11">
        <f ca="1">IFERROR(OFFSET(ITEM_RES!$A$1,MATCH(BC279,ITEM_RES!$J:$J,0)-1,0),0)</f>
        <v>0</v>
      </c>
      <c r="BG279" s="11">
        <f ca="1">IFERROR(OFFSET(ITEM_RES!$A$1,MATCH(BH279,ITEM_RES!$J:$J,0)-1,0),0)</f>
        <v>0</v>
      </c>
      <c r="BL279" s="11">
        <f ca="1">IFERROR(OFFSET(ITEM_RES!$A$1,MATCH(BM279,ITEM_RES!$J:$J,0)-1,0),0)</f>
        <v>0</v>
      </c>
      <c r="BN279" s="11">
        <f t="shared" si="104"/>
        <v>0</v>
      </c>
    </row>
    <row r="280" spans="1:67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366</v>
      </c>
      <c r="L280" s="9" t="s">
        <v>987</v>
      </c>
      <c r="M280" s="9" t="s">
        <v>1006</v>
      </c>
      <c r="N280" s="9">
        <v>0</v>
      </c>
      <c r="O280" s="9">
        <v>15</v>
      </c>
      <c r="P280" s="142"/>
      <c r="T280" s="9" t="s">
        <v>742</v>
      </c>
      <c r="W280" s="9">
        <f ca="1">IFERROR(OFFSET(ITEM_RES!$A$5,MATCH(BUILDING!V280,ITEM_RES!$J$5:$J$226,0)-1,0),0)</f>
        <v>0</v>
      </c>
      <c r="Z280" s="9">
        <f ca="1">IFERROR(OFFSET(ITEM_RES!$A$5,MATCH(BUILDING!Y280,ITEM_RES!$J$5:$J$226,0)-1,0),0)</f>
        <v>0</v>
      </c>
      <c r="AB280" s="9" t="s">
        <v>548</v>
      </c>
      <c r="AC280" s="9">
        <v>16</v>
      </c>
      <c r="AE280" s="9">
        <v>56000</v>
      </c>
      <c r="AG280" s="56">
        <f t="shared" si="98"/>
        <v>14700</v>
      </c>
      <c r="AH280" s="10">
        <f t="shared" si="106"/>
        <v>26250</v>
      </c>
      <c r="AJ280" s="11">
        <f t="shared" si="97"/>
        <v>80</v>
      </c>
      <c r="AK280" s="10">
        <v>80</v>
      </c>
      <c r="AL280" s="11">
        <f t="shared" si="105"/>
        <v>700</v>
      </c>
      <c r="AM280" s="10">
        <v>700</v>
      </c>
      <c r="AN280" s="11">
        <f t="shared" si="105"/>
        <v>700</v>
      </c>
      <c r="AO280" s="10">
        <v>700</v>
      </c>
      <c r="AP280" s="56">
        <f t="shared" si="99"/>
        <v>2</v>
      </c>
      <c r="AR280" s="11">
        <f ca="1">IFERROR(OFFSET(ITEM_RES!$A$1,MATCH(AS280,ITEM_RES!$J:$J,0)-1,0),0)</f>
        <v>211020801</v>
      </c>
      <c r="AS280" s="10" t="s">
        <v>454</v>
      </c>
      <c r="AT280" s="11">
        <v>3500</v>
      </c>
      <c r="AW280" s="11">
        <f ca="1">IFERROR(OFFSET(ITEM_RES!$A$1,MATCH(AX280,ITEM_RES!$J:$J,0)-1,0),0)</f>
        <v>211020401</v>
      </c>
      <c r="AX280" s="10" t="s">
        <v>455</v>
      </c>
      <c r="AY280" s="11">
        <v>3500</v>
      </c>
      <c r="BB280" s="11">
        <f ca="1">IFERROR(OFFSET(ITEM_RES!$A$1,MATCH(BC280,ITEM_RES!$J:$J,0)-1,0),0)</f>
        <v>0</v>
      </c>
      <c r="BG280" s="11">
        <f ca="1">IFERROR(OFFSET(ITEM_RES!$A$1,MATCH(BH280,ITEM_RES!$J:$J,0)-1,0),0)</f>
        <v>0</v>
      </c>
      <c r="BL280" s="11">
        <f ca="1">IFERROR(OFFSET(ITEM_RES!$A$1,MATCH(BM280,ITEM_RES!$J:$J,0)-1,0),0)</f>
        <v>0</v>
      </c>
      <c r="BN280" s="11">
        <f t="shared" si="104"/>
        <v>0</v>
      </c>
    </row>
    <row r="281" spans="1:67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366</v>
      </c>
      <c r="L281" s="9" t="s">
        <v>987</v>
      </c>
      <c r="M281" s="9" t="s">
        <v>1006</v>
      </c>
      <c r="N281" s="9">
        <v>0</v>
      </c>
      <c r="O281" s="9">
        <v>15</v>
      </c>
      <c r="P281" s="142"/>
      <c r="T281" s="9" t="s">
        <v>742</v>
      </c>
      <c r="W281" s="9">
        <f ca="1">IFERROR(OFFSET(ITEM_RES!$A$5,MATCH(BUILDING!V281,ITEM_RES!$J$5:$J$226,0)-1,0),0)</f>
        <v>0</v>
      </c>
      <c r="Z281" s="9">
        <f ca="1">IFERROR(OFFSET(ITEM_RES!$A$5,MATCH(BUILDING!Y281,ITEM_RES!$J$5:$J$226,0)-1,0),0)</f>
        <v>0</v>
      </c>
      <c r="AB281" s="9" t="s">
        <v>548</v>
      </c>
      <c r="AC281" s="9">
        <v>17</v>
      </c>
      <c r="AE281" s="9">
        <v>68000</v>
      </c>
      <c r="AG281" s="56">
        <f t="shared" si="98"/>
        <v>17850</v>
      </c>
      <c r="AH281" s="10">
        <f t="shared" si="106"/>
        <v>32550</v>
      </c>
      <c r="AJ281" s="11">
        <f t="shared" si="97"/>
        <v>85</v>
      </c>
      <c r="AK281" s="10">
        <v>85</v>
      </c>
      <c r="AL281" s="11">
        <f t="shared" si="105"/>
        <v>850</v>
      </c>
      <c r="AM281" s="10">
        <v>850</v>
      </c>
      <c r="AN281" s="11">
        <f t="shared" si="105"/>
        <v>850</v>
      </c>
      <c r="AO281" s="10">
        <v>850</v>
      </c>
      <c r="AP281" s="56">
        <f t="shared" si="99"/>
        <v>2</v>
      </c>
      <c r="AR281" s="11">
        <f ca="1">IFERROR(OFFSET(ITEM_RES!$A$1,MATCH(AS281,ITEM_RES!$J:$J,0)-1,0),0)</f>
        <v>211020901</v>
      </c>
      <c r="AS281" s="10" t="s">
        <v>466</v>
      </c>
      <c r="AT281" s="11">
        <v>4250</v>
      </c>
      <c r="AW281" s="11">
        <f ca="1">IFERROR(OFFSET(ITEM_RES!$A$1,MATCH(AX281,ITEM_RES!$J:$J,0)-1,0),0)</f>
        <v>211020401</v>
      </c>
      <c r="AX281" s="10" t="s">
        <v>455</v>
      </c>
      <c r="AY281" s="11">
        <v>4250</v>
      </c>
      <c r="BB281" s="11">
        <f ca="1">IFERROR(OFFSET(ITEM_RES!$A$1,MATCH(BC281,ITEM_RES!$J:$J,0)-1,0),0)</f>
        <v>0</v>
      </c>
      <c r="BG281" s="11">
        <f ca="1">IFERROR(OFFSET(ITEM_RES!$A$1,MATCH(BH281,ITEM_RES!$J:$J,0)-1,0),0)</f>
        <v>0</v>
      </c>
      <c r="BL281" s="11">
        <f ca="1">IFERROR(OFFSET(ITEM_RES!$A$1,MATCH(BM281,ITEM_RES!$J:$J,0)-1,0),0)</f>
        <v>0</v>
      </c>
      <c r="BN281" s="11">
        <f t="shared" si="104"/>
        <v>0</v>
      </c>
    </row>
    <row r="282" spans="1:67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366</v>
      </c>
      <c r="L282" s="9" t="s">
        <v>987</v>
      </c>
      <c r="M282" s="9" t="s">
        <v>1006</v>
      </c>
      <c r="N282" s="9">
        <v>0</v>
      </c>
      <c r="O282" s="9">
        <v>15</v>
      </c>
      <c r="P282" s="142"/>
      <c r="T282" s="9" t="s">
        <v>742</v>
      </c>
      <c r="W282" s="9">
        <f ca="1">IFERROR(OFFSET(ITEM_RES!$A$5,MATCH(BUILDING!V282,ITEM_RES!$J$5:$J$226,0)-1,0),0)</f>
        <v>0</v>
      </c>
      <c r="Z282" s="9">
        <f ca="1">IFERROR(OFFSET(ITEM_RES!$A$5,MATCH(BUILDING!Y282,ITEM_RES!$J$5:$J$226,0)-1,0),0)</f>
        <v>0</v>
      </c>
      <c r="AB282" s="9" t="s">
        <v>548</v>
      </c>
      <c r="AC282" s="9">
        <v>18</v>
      </c>
      <c r="AE282" s="9">
        <v>84000</v>
      </c>
      <c r="AG282" s="56">
        <f t="shared" si="98"/>
        <v>22050</v>
      </c>
      <c r="AH282" s="10">
        <f t="shared" si="106"/>
        <v>39900</v>
      </c>
      <c r="AJ282" s="11">
        <f t="shared" si="97"/>
        <v>90</v>
      </c>
      <c r="AK282" s="10">
        <v>90</v>
      </c>
      <c r="AL282" s="11">
        <f t="shared" si="105"/>
        <v>1050</v>
      </c>
      <c r="AM282" s="10">
        <v>1050</v>
      </c>
      <c r="AN282" s="11">
        <f t="shared" si="105"/>
        <v>1050</v>
      </c>
      <c r="AO282" s="10">
        <v>1050</v>
      </c>
      <c r="AP282" s="56">
        <f t="shared" si="99"/>
        <v>2</v>
      </c>
      <c r="AR282" s="11">
        <f ca="1">IFERROR(OFFSET(ITEM_RES!$A$1,MATCH(AS282,ITEM_RES!$J:$J,0)-1,0),0)</f>
        <v>211020901</v>
      </c>
      <c r="AS282" s="10" t="s">
        <v>466</v>
      </c>
      <c r="AT282" s="11">
        <v>5250</v>
      </c>
      <c r="AW282" s="11">
        <f ca="1">IFERROR(OFFSET(ITEM_RES!$A$1,MATCH(AX282,ITEM_RES!$J:$J,0)-1,0),0)</f>
        <v>211020501</v>
      </c>
      <c r="AX282" s="10" t="s">
        <v>441</v>
      </c>
      <c r="AY282" s="11">
        <v>5250</v>
      </c>
      <c r="BB282" s="11">
        <f ca="1">IFERROR(OFFSET(ITEM_RES!$A$1,MATCH(BC282,ITEM_RES!$J:$J,0)-1,0),0)</f>
        <v>0</v>
      </c>
      <c r="BG282" s="11">
        <f ca="1">IFERROR(OFFSET(ITEM_RES!$A$1,MATCH(BH282,ITEM_RES!$J:$J,0)-1,0),0)</f>
        <v>0</v>
      </c>
      <c r="BL282" s="11">
        <f ca="1">IFERROR(OFFSET(ITEM_RES!$A$1,MATCH(BM282,ITEM_RES!$J:$J,0)-1,0),0)</f>
        <v>0</v>
      </c>
      <c r="BN282" s="11">
        <f t="shared" si="104"/>
        <v>0</v>
      </c>
    </row>
    <row r="283" spans="1:67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366</v>
      </c>
      <c r="L283" s="9" t="s">
        <v>987</v>
      </c>
      <c r="M283" s="9" t="s">
        <v>1006</v>
      </c>
      <c r="N283" s="9">
        <v>0</v>
      </c>
      <c r="O283" s="9">
        <v>15</v>
      </c>
      <c r="P283" s="142"/>
      <c r="T283" s="9" t="s">
        <v>742</v>
      </c>
      <c r="W283" s="9">
        <f ca="1">IFERROR(OFFSET(ITEM_RES!$A$5,MATCH(BUILDING!V283,ITEM_RES!$J$5:$J$226,0)-1,0),0)</f>
        <v>0</v>
      </c>
      <c r="Z283" s="9">
        <f ca="1">IFERROR(OFFSET(ITEM_RES!$A$5,MATCH(BUILDING!Y283,ITEM_RES!$J$5:$J$226,0)-1,0),0)</f>
        <v>0</v>
      </c>
      <c r="AB283" s="9" t="s">
        <v>548</v>
      </c>
      <c r="AC283" s="9">
        <v>19</v>
      </c>
      <c r="AE283" s="9">
        <v>100000</v>
      </c>
      <c r="AG283" s="56">
        <f t="shared" si="98"/>
        <v>26250</v>
      </c>
      <c r="AH283" s="10">
        <f t="shared" si="106"/>
        <v>48300</v>
      </c>
      <c r="AJ283" s="11">
        <f t="shared" si="97"/>
        <v>95</v>
      </c>
      <c r="AK283" s="10">
        <v>95</v>
      </c>
      <c r="AL283" s="11">
        <f t="shared" si="105"/>
        <v>1250</v>
      </c>
      <c r="AM283" s="10">
        <v>1250</v>
      </c>
      <c r="AN283" s="11">
        <f t="shared" si="105"/>
        <v>1250</v>
      </c>
      <c r="AO283" s="10">
        <v>1250</v>
      </c>
      <c r="AP283" s="56">
        <f t="shared" si="99"/>
        <v>2</v>
      </c>
      <c r="AR283" s="11">
        <f ca="1">IFERROR(OFFSET(ITEM_RES!$A$1,MATCH(AS283,ITEM_RES!$J:$J,0)-1,0),0)</f>
        <v>211020901</v>
      </c>
      <c r="AS283" s="10" t="s">
        <v>466</v>
      </c>
      <c r="AT283" s="11">
        <v>6250</v>
      </c>
      <c r="AW283" s="11">
        <f ca="1">IFERROR(OFFSET(ITEM_RES!$A$1,MATCH(AX283,ITEM_RES!$J:$J,0)-1,0),0)</f>
        <v>211020501</v>
      </c>
      <c r="AX283" s="10" t="s">
        <v>441</v>
      </c>
      <c r="AY283" s="11">
        <v>6250</v>
      </c>
      <c r="BB283" s="11">
        <f ca="1">IFERROR(OFFSET(ITEM_RES!$A$1,MATCH(BC283,ITEM_RES!$J:$J,0)-1,0),0)</f>
        <v>0</v>
      </c>
      <c r="BG283" s="11">
        <f ca="1">IFERROR(OFFSET(ITEM_RES!$A$1,MATCH(BH283,ITEM_RES!$J:$J,0)-1,0),0)</f>
        <v>0</v>
      </c>
      <c r="BL283" s="11">
        <f ca="1">IFERROR(OFFSET(ITEM_RES!$A$1,MATCH(BM283,ITEM_RES!$J:$J,0)-1,0),0)</f>
        <v>0</v>
      </c>
      <c r="BN283" s="11">
        <f t="shared" si="104"/>
        <v>0</v>
      </c>
    </row>
    <row r="284" spans="1:67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366</v>
      </c>
      <c r="L284" s="9" t="s">
        <v>987</v>
      </c>
      <c r="M284" s="9" t="s">
        <v>1006</v>
      </c>
      <c r="N284" s="9">
        <v>0</v>
      </c>
      <c r="O284" s="9">
        <v>15</v>
      </c>
      <c r="P284" s="142"/>
      <c r="T284" s="9" t="s">
        <v>742</v>
      </c>
      <c r="W284" s="9">
        <f ca="1">IFERROR(OFFSET(ITEM_RES!$A$5,MATCH(BUILDING!V284,ITEM_RES!$J$5:$J$226,0)-1,0),0)</f>
        <v>0</v>
      </c>
      <c r="Z284" s="9">
        <f ca="1">IFERROR(OFFSET(ITEM_RES!$A$5,MATCH(BUILDING!Y284,ITEM_RES!$J$5:$J$226,0)-1,0),0)</f>
        <v>0</v>
      </c>
      <c r="AB284" s="9" t="s">
        <v>548</v>
      </c>
      <c r="AC284" s="9">
        <v>20</v>
      </c>
      <c r="AE284" s="9">
        <v>120000</v>
      </c>
      <c r="AG284" s="56">
        <f t="shared" si="98"/>
        <v>31500</v>
      </c>
      <c r="AH284" s="10">
        <f t="shared" si="106"/>
        <v>57750</v>
      </c>
      <c r="AJ284" s="11">
        <f t="shared" si="97"/>
        <v>100</v>
      </c>
      <c r="AK284" s="10">
        <v>100</v>
      </c>
      <c r="AL284" s="11">
        <f t="shared" si="105"/>
        <v>1500</v>
      </c>
      <c r="AM284" s="10">
        <v>1500</v>
      </c>
      <c r="AN284" s="11">
        <f t="shared" si="105"/>
        <v>1500</v>
      </c>
      <c r="AO284" s="10">
        <v>1500</v>
      </c>
      <c r="AP284" s="56">
        <f t="shared" si="99"/>
        <v>2</v>
      </c>
      <c r="AR284" s="11">
        <f ca="1">IFERROR(OFFSET(ITEM_RES!$A$1,MATCH(AS284,ITEM_RES!$J:$J,0)-1,0),0)</f>
        <v>211020901</v>
      </c>
      <c r="AS284" s="10" t="s">
        <v>466</v>
      </c>
      <c r="AT284" s="11">
        <v>7500</v>
      </c>
      <c r="AW284" s="11">
        <f ca="1">IFERROR(OFFSET(ITEM_RES!$A$1,MATCH(AX284,ITEM_RES!$J:$J,0)-1,0),0)</f>
        <v>211020501</v>
      </c>
      <c r="AX284" s="10" t="s">
        <v>441</v>
      </c>
      <c r="AY284" s="11">
        <v>7500</v>
      </c>
      <c r="BB284" s="11">
        <f ca="1">IFERROR(OFFSET(ITEM_RES!$A$1,MATCH(BC284,ITEM_RES!$J:$J,0)-1,0),0)</f>
        <v>0</v>
      </c>
      <c r="BG284" s="11">
        <f ca="1">IFERROR(OFFSET(ITEM_RES!$A$1,MATCH(BH284,ITEM_RES!$J:$J,0)-1,0),0)</f>
        <v>0</v>
      </c>
      <c r="BL284" s="11">
        <f ca="1">IFERROR(OFFSET(ITEM_RES!$A$1,MATCH(BM284,ITEM_RES!$J:$J,0)-1,0),0)</f>
        <v>0</v>
      </c>
      <c r="BN284" s="11">
        <f t="shared" si="104"/>
        <v>0</v>
      </c>
    </row>
    <row r="285" spans="1:67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79"/>
      <c r="H285" s="16">
        <v>1</v>
      </c>
      <c r="I285" s="16">
        <v>1</v>
      </c>
      <c r="J285" s="79"/>
      <c r="K285" s="16" t="s">
        <v>744</v>
      </c>
      <c r="L285" s="16" t="s">
        <v>988</v>
      </c>
      <c r="M285" s="16" t="s">
        <v>1007</v>
      </c>
      <c r="N285" s="16">
        <v>1</v>
      </c>
      <c r="O285" s="16">
        <v>15</v>
      </c>
      <c r="P285" s="141"/>
      <c r="Q285" s="17"/>
      <c r="R285" s="17"/>
      <c r="S285" s="18"/>
      <c r="T285" s="16" t="s">
        <v>743</v>
      </c>
      <c r="U285" s="79"/>
      <c r="V285" s="87"/>
      <c r="W285" s="16">
        <f ca="1">IFERROR(OFFSET(ITEM_RES!$A$5,MATCH(BUILDING!V285,ITEM_RES!$J$5:$J$226,0)-1,0),0)</f>
        <v>0</v>
      </c>
      <c r="X285" s="18"/>
      <c r="Y285" s="87"/>
      <c r="Z285" s="16">
        <f ca="1">IFERROR(OFFSET(ITEM_RES!$A$5,MATCH(BUILDING!Y285,ITEM_RES!$J$5:$J$226,0)-1,0),0)</f>
        <v>0</v>
      </c>
      <c r="AA285" s="79"/>
      <c r="AB285" s="16" t="s">
        <v>549</v>
      </c>
      <c r="AC285" s="16">
        <v>1</v>
      </c>
      <c r="AD285" s="79"/>
      <c r="AE285" s="16">
        <v>0</v>
      </c>
      <c r="AF285" s="79"/>
      <c r="AG285" s="57">
        <f t="shared" si="98"/>
        <v>580</v>
      </c>
      <c r="AH285" s="17">
        <f>AG285</f>
        <v>580</v>
      </c>
      <c r="AI285" s="79"/>
      <c r="AJ285" s="18">
        <f t="shared" si="97"/>
        <v>5</v>
      </c>
      <c r="AK285" s="17">
        <v>5</v>
      </c>
      <c r="AL285" s="18">
        <f t="shared" si="105"/>
        <v>5</v>
      </c>
      <c r="AM285" s="17">
        <v>5</v>
      </c>
      <c r="AN285" s="18">
        <f t="shared" si="105"/>
        <v>5</v>
      </c>
      <c r="AO285" s="17">
        <v>5</v>
      </c>
      <c r="AP285" s="57">
        <f t="shared" si="99"/>
        <v>2</v>
      </c>
      <c r="AQ285" s="18"/>
      <c r="AR285" s="18">
        <f ca="1">IFERROR(OFFSET(ITEM_RES!$A$1,MATCH(AS285,ITEM_RES!$J:$J,0)-1,0),0)</f>
        <v>211020801</v>
      </c>
      <c r="AS285" s="17" t="s">
        <v>454</v>
      </c>
      <c r="AT285" s="18">
        <v>25</v>
      </c>
      <c r="AU285" s="17"/>
      <c r="AV285" s="18"/>
      <c r="AW285" s="18">
        <f ca="1">IFERROR(OFFSET(ITEM_RES!$A$1,MATCH(AX285,ITEM_RES!$J:$J,0)-1,0),0)</f>
        <v>0</v>
      </c>
      <c r="AX285" s="17"/>
      <c r="AY285" s="18"/>
      <c r="AZ285" s="17"/>
      <c r="BA285" s="18"/>
      <c r="BB285" s="18">
        <f ca="1">IFERROR(OFFSET(ITEM_RES!$A$1,MATCH(BC285,ITEM_RES!$J:$J,0)-1,0),0)</f>
        <v>213010101</v>
      </c>
      <c r="BC285" s="17" t="s">
        <v>477</v>
      </c>
      <c r="BD285" s="18">
        <v>1</v>
      </c>
      <c r="BE285" s="17"/>
      <c r="BF285" s="18"/>
      <c r="BG285" s="18">
        <f ca="1">IFERROR(OFFSET(ITEM_RES!$A$1,MATCH(BH285,ITEM_RES!$J:$J,0)-1,0),0)</f>
        <v>0</v>
      </c>
      <c r="BH285" s="17"/>
      <c r="BI285" s="18"/>
      <c r="BJ285" s="17"/>
      <c r="BK285" s="18"/>
      <c r="BL285" s="18">
        <f ca="1">IFERROR(OFFSET(ITEM_RES!$A$1,MATCH(BM285,ITEM_RES!$J:$J,0)-1,0),0)</f>
        <v>0</v>
      </c>
      <c r="BM285" s="17"/>
      <c r="BN285" s="18"/>
      <c r="BO285" s="17"/>
    </row>
    <row r="286" spans="1:67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744</v>
      </c>
      <c r="L286" s="9" t="s">
        <v>988</v>
      </c>
      <c r="M286" s="9" t="s">
        <v>1007</v>
      </c>
      <c r="N286" s="9">
        <v>1</v>
      </c>
      <c r="O286" s="9">
        <v>15</v>
      </c>
      <c r="P286" s="142"/>
      <c r="T286" s="9" t="s">
        <v>743</v>
      </c>
      <c r="W286" s="9">
        <f ca="1">IFERROR(OFFSET(ITEM_RES!$A$5,MATCH(BUILDING!V286,ITEM_RES!$J$5:$J$226,0)-1,0),0)</f>
        <v>0</v>
      </c>
      <c r="Z286" s="9">
        <f ca="1">IFERROR(OFFSET(ITEM_RES!$A$5,MATCH(BUILDING!Y286,ITEM_RES!$J$5:$J$226,0)-1,0),0)</f>
        <v>0</v>
      </c>
      <c r="AB286" s="9" t="s">
        <v>549</v>
      </c>
      <c r="AC286" s="9">
        <v>2</v>
      </c>
      <c r="AE286" s="9">
        <v>200</v>
      </c>
      <c r="AG286" s="56">
        <f t="shared" si="98"/>
        <v>160</v>
      </c>
      <c r="AH286" s="10">
        <f>AG285+AG286</f>
        <v>740</v>
      </c>
      <c r="AJ286" s="11">
        <f t="shared" si="97"/>
        <v>10</v>
      </c>
      <c r="AK286" s="10">
        <v>10</v>
      </c>
      <c r="AL286" s="11">
        <f t="shared" si="105"/>
        <v>10</v>
      </c>
      <c r="AM286" s="10">
        <v>10</v>
      </c>
      <c r="AN286" s="11">
        <f t="shared" si="105"/>
        <v>10</v>
      </c>
      <c r="AO286" s="10">
        <v>10</v>
      </c>
      <c r="AP286" s="56">
        <f t="shared" si="99"/>
        <v>1</v>
      </c>
      <c r="AR286" s="11">
        <f ca="1">IFERROR(OFFSET(ITEM_RES!$A$1,MATCH(AS286,ITEM_RES!$J:$J,0)-1,0),0)</f>
        <v>211020801</v>
      </c>
      <c r="AS286" s="10" t="s">
        <v>454</v>
      </c>
      <c r="AT286" s="11">
        <v>50</v>
      </c>
      <c r="AW286" s="11">
        <f ca="1">IFERROR(OFFSET(ITEM_RES!$A$1,MATCH(AX286,ITEM_RES!$J:$J,0)-1,0),0)</f>
        <v>0</v>
      </c>
      <c r="BB286" s="11">
        <f ca="1">IFERROR(OFFSET(ITEM_RES!$A$1,MATCH(BC286,ITEM_RES!$J:$J,0)-1,0),0)</f>
        <v>0</v>
      </c>
      <c r="BG286" s="11">
        <f ca="1">IFERROR(OFFSET(ITEM_RES!$A$1,MATCH(BH286,ITEM_RES!$J:$J,0)-1,0),0)</f>
        <v>0</v>
      </c>
      <c r="BL286" s="11">
        <f ca="1">IFERROR(OFFSET(ITEM_RES!$A$1,MATCH(BM286,ITEM_RES!$J:$J,0)-1,0),0)</f>
        <v>0</v>
      </c>
    </row>
    <row r="287" spans="1:67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744</v>
      </c>
      <c r="L287" s="9" t="s">
        <v>988</v>
      </c>
      <c r="M287" s="9" t="s">
        <v>1007</v>
      </c>
      <c r="N287" s="9">
        <v>1</v>
      </c>
      <c r="O287" s="9">
        <v>15</v>
      </c>
      <c r="P287" s="142"/>
      <c r="T287" s="9" t="s">
        <v>743</v>
      </c>
      <c r="W287" s="9">
        <f ca="1">IFERROR(OFFSET(ITEM_RES!$A$5,MATCH(BUILDING!V287,ITEM_RES!$J$5:$J$226,0)-1,0),0)</f>
        <v>0</v>
      </c>
      <c r="Z287" s="9">
        <f ca="1">IFERROR(OFFSET(ITEM_RES!$A$5,MATCH(BUILDING!Y287,ITEM_RES!$J$5:$J$226,0)-1,0),0)</f>
        <v>0</v>
      </c>
      <c r="AB287" s="9" t="s">
        <v>549</v>
      </c>
      <c r="AC287" s="9">
        <v>3</v>
      </c>
      <c r="AE287" s="9">
        <v>600</v>
      </c>
      <c r="AG287" s="56">
        <f t="shared" si="98"/>
        <v>240</v>
      </c>
      <c r="AH287" s="10">
        <f t="shared" ref="AH287:AH304" si="107">AG286+AG287</f>
        <v>400</v>
      </c>
      <c r="AJ287" s="11">
        <f t="shared" si="97"/>
        <v>15</v>
      </c>
      <c r="AK287" s="10">
        <v>15</v>
      </c>
      <c r="AL287" s="11">
        <f t="shared" si="105"/>
        <v>15</v>
      </c>
      <c r="AM287" s="10">
        <v>15</v>
      </c>
      <c r="AN287" s="11">
        <f t="shared" si="105"/>
        <v>15</v>
      </c>
      <c r="AO287" s="10">
        <v>15</v>
      </c>
      <c r="AP287" s="56">
        <f t="shared" si="99"/>
        <v>1</v>
      </c>
      <c r="AR287" s="11">
        <f ca="1">IFERROR(OFFSET(ITEM_RES!$A$1,MATCH(AS287,ITEM_RES!$J:$J,0)-1,0),0)</f>
        <v>211020801</v>
      </c>
      <c r="AS287" s="10" t="s">
        <v>454</v>
      </c>
      <c r="AT287" s="11">
        <v>75</v>
      </c>
      <c r="AW287" s="11">
        <f ca="1">IFERROR(OFFSET(ITEM_RES!$A$1,MATCH(AX287,ITEM_RES!$J:$J,0)-1,0),0)</f>
        <v>0</v>
      </c>
      <c r="BB287" s="11">
        <f ca="1">IFERROR(OFFSET(ITEM_RES!$A$1,MATCH(BC287,ITEM_RES!$J:$J,0)-1,0),0)</f>
        <v>0</v>
      </c>
      <c r="BG287" s="11">
        <f ca="1">IFERROR(OFFSET(ITEM_RES!$A$1,MATCH(BH287,ITEM_RES!$J:$J,0)-1,0),0)</f>
        <v>0</v>
      </c>
      <c r="BL287" s="11">
        <f ca="1">IFERROR(OFFSET(ITEM_RES!$A$1,MATCH(BM287,ITEM_RES!$J:$J,0)-1,0),0)</f>
        <v>0</v>
      </c>
    </row>
    <row r="288" spans="1:67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744</v>
      </c>
      <c r="L288" s="9" t="s">
        <v>988</v>
      </c>
      <c r="M288" s="9" t="s">
        <v>1007</v>
      </c>
      <c r="N288" s="9">
        <v>1</v>
      </c>
      <c r="O288" s="9">
        <v>15</v>
      </c>
      <c r="P288" s="142"/>
      <c r="T288" s="9" t="s">
        <v>743</v>
      </c>
      <c r="W288" s="9">
        <f ca="1">IFERROR(OFFSET(ITEM_RES!$A$5,MATCH(BUILDING!V288,ITEM_RES!$J$5:$J$226,0)-1,0),0)</f>
        <v>0</v>
      </c>
      <c r="Z288" s="9">
        <f ca="1">IFERROR(OFFSET(ITEM_RES!$A$5,MATCH(BUILDING!Y288,ITEM_RES!$J$5:$J$226,0)-1,0),0)</f>
        <v>0</v>
      </c>
      <c r="AB288" s="9" t="s">
        <v>549</v>
      </c>
      <c r="AC288" s="9">
        <v>4</v>
      </c>
      <c r="AE288" s="9">
        <v>1000</v>
      </c>
      <c r="AG288" s="56">
        <f t="shared" si="98"/>
        <v>400</v>
      </c>
      <c r="AH288" s="10">
        <f t="shared" si="107"/>
        <v>640</v>
      </c>
      <c r="AJ288" s="11">
        <f t="shared" si="97"/>
        <v>20</v>
      </c>
      <c r="AK288" s="10">
        <v>20</v>
      </c>
      <c r="AL288" s="11">
        <f t="shared" si="105"/>
        <v>25</v>
      </c>
      <c r="AM288" s="10">
        <v>25</v>
      </c>
      <c r="AN288" s="11">
        <f t="shared" si="105"/>
        <v>25</v>
      </c>
      <c r="AO288" s="10">
        <v>25</v>
      </c>
      <c r="AP288" s="56">
        <f t="shared" si="99"/>
        <v>1</v>
      </c>
      <c r="AR288" s="11">
        <f ca="1">IFERROR(OFFSET(ITEM_RES!$A$1,MATCH(AS288,ITEM_RES!$J:$J,0)-1,0),0)</f>
        <v>211020801</v>
      </c>
      <c r="AS288" s="10" t="s">
        <v>454</v>
      </c>
      <c r="AT288" s="11">
        <v>125</v>
      </c>
      <c r="AW288" s="11">
        <f ca="1">IFERROR(OFFSET(ITEM_RES!$A$1,MATCH(AX288,ITEM_RES!$J:$J,0)-1,0),0)</f>
        <v>0</v>
      </c>
      <c r="BB288" s="11">
        <f ca="1">IFERROR(OFFSET(ITEM_RES!$A$1,MATCH(BC288,ITEM_RES!$J:$J,0)-1,0),0)</f>
        <v>0</v>
      </c>
      <c r="BG288" s="11">
        <f ca="1">IFERROR(OFFSET(ITEM_RES!$A$1,MATCH(BH288,ITEM_RES!$J:$J,0)-1,0),0)</f>
        <v>0</v>
      </c>
      <c r="BL288" s="11">
        <f ca="1">IFERROR(OFFSET(ITEM_RES!$A$1,MATCH(BM288,ITEM_RES!$J:$J,0)-1,0),0)</f>
        <v>0</v>
      </c>
    </row>
    <row r="289" spans="1:64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744</v>
      </c>
      <c r="L289" s="9" t="s">
        <v>988</v>
      </c>
      <c r="M289" s="9" t="s">
        <v>1007</v>
      </c>
      <c r="N289" s="9">
        <v>1</v>
      </c>
      <c r="O289" s="9">
        <v>15</v>
      </c>
      <c r="P289" s="142"/>
      <c r="T289" s="9" t="s">
        <v>743</v>
      </c>
      <c r="W289" s="9">
        <f ca="1">IFERROR(OFFSET(ITEM_RES!$A$5,MATCH(BUILDING!V289,ITEM_RES!$J$5:$J$226,0)-1,0),0)</f>
        <v>0</v>
      </c>
      <c r="Z289" s="9">
        <f ca="1">IFERROR(OFFSET(ITEM_RES!$A$5,MATCH(BUILDING!Y289,ITEM_RES!$J$5:$J$226,0)-1,0),0)</f>
        <v>0</v>
      </c>
      <c r="AB289" s="9" t="s">
        <v>549</v>
      </c>
      <c r="AC289" s="9">
        <v>5</v>
      </c>
      <c r="AE289" s="9">
        <v>1600</v>
      </c>
      <c r="AG289" s="56">
        <f t="shared" si="98"/>
        <v>640</v>
      </c>
      <c r="AH289" s="10">
        <f t="shared" si="107"/>
        <v>1040</v>
      </c>
      <c r="AJ289" s="11">
        <f t="shared" si="97"/>
        <v>25</v>
      </c>
      <c r="AK289" s="10">
        <v>25</v>
      </c>
      <c r="AL289" s="11">
        <f t="shared" si="105"/>
        <v>40</v>
      </c>
      <c r="AM289" s="10">
        <v>40</v>
      </c>
      <c r="AN289" s="11">
        <f t="shared" si="105"/>
        <v>40</v>
      </c>
      <c r="AO289" s="10">
        <v>40</v>
      </c>
      <c r="AP289" s="56">
        <f t="shared" si="99"/>
        <v>1</v>
      </c>
      <c r="AR289" s="11">
        <f ca="1">IFERROR(OFFSET(ITEM_RES!$A$1,MATCH(AS289,ITEM_RES!$J:$J,0)-1,0),0)</f>
        <v>211020801</v>
      </c>
      <c r="AS289" s="10" t="s">
        <v>454</v>
      </c>
      <c r="AT289" s="11">
        <v>200</v>
      </c>
      <c r="AW289" s="11">
        <f ca="1">IFERROR(OFFSET(ITEM_RES!$A$1,MATCH(AX289,ITEM_RES!$J:$J,0)-1,0),0)</f>
        <v>0</v>
      </c>
      <c r="BB289" s="11">
        <f ca="1">IFERROR(OFFSET(ITEM_RES!$A$1,MATCH(BC289,ITEM_RES!$J:$J,0)-1,0),0)</f>
        <v>0</v>
      </c>
      <c r="BG289" s="11">
        <f ca="1">IFERROR(OFFSET(ITEM_RES!$A$1,MATCH(BH289,ITEM_RES!$J:$J,0)-1,0),0)</f>
        <v>0</v>
      </c>
      <c r="BL289" s="11">
        <f ca="1">IFERROR(OFFSET(ITEM_RES!$A$1,MATCH(BM289,ITEM_RES!$J:$J,0)-1,0),0)</f>
        <v>0</v>
      </c>
    </row>
    <row r="290" spans="1:64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744</v>
      </c>
      <c r="L290" s="9" t="s">
        <v>988</v>
      </c>
      <c r="M290" s="9" t="s">
        <v>1007</v>
      </c>
      <c r="N290" s="9">
        <v>1</v>
      </c>
      <c r="O290" s="9">
        <v>15</v>
      </c>
      <c r="P290" s="142"/>
      <c r="T290" s="9" t="s">
        <v>743</v>
      </c>
      <c r="W290" s="9">
        <f ca="1">IFERROR(OFFSET(ITEM_RES!$A$5,MATCH(BUILDING!V290,ITEM_RES!$J$5:$J$226,0)-1,0),0)</f>
        <v>0</v>
      </c>
      <c r="Z290" s="9">
        <f ca="1">IFERROR(OFFSET(ITEM_RES!$A$5,MATCH(BUILDING!Y290,ITEM_RES!$J$5:$J$226,0)-1,0),0)</f>
        <v>0</v>
      </c>
      <c r="AB290" s="9" t="s">
        <v>549</v>
      </c>
      <c r="AC290" s="9">
        <v>6</v>
      </c>
      <c r="AE290" s="9">
        <v>2000</v>
      </c>
      <c r="AG290" s="56">
        <f t="shared" si="98"/>
        <v>800</v>
      </c>
      <c r="AH290" s="10">
        <f t="shared" si="107"/>
        <v>1440</v>
      </c>
      <c r="AJ290" s="11">
        <f t="shared" si="97"/>
        <v>30</v>
      </c>
      <c r="AK290" s="10">
        <v>30</v>
      </c>
      <c r="AL290" s="11">
        <f t="shared" si="105"/>
        <v>50</v>
      </c>
      <c r="AM290" s="10">
        <v>50</v>
      </c>
      <c r="AN290" s="11">
        <f t="shared" si="105"/>
        <v>50</v>
      </c>
      <c r="AO290" s="10">
        <v>50</v>
      </c>
      <c r="AP290" s="56">
        <f t="shared" si="99"/>
        <v>1</v>
      </c>
      <c r="AR290" s="11">
        <f ca="1">IFERROR(OFFSET(ITEM_RES!$A$1,MATCH(AS290,ITEM_RES!$J:$J,0)-1,0),0)</f>
        <v>211020801</v>
      </c>
      <c r="AS290" s="10" t="s">
        <v>454</v>
      </c>
      <c r="AT290" s="11">
        <v>250</v>
      </c>
      <c r="AW290" s="11">
        <f ca="1">IFERROR(OFFSET(ITEM_RES!$A$1,MATCH(AX290,ITEM_RES!$J:$J,0)-1,0),0)</f>
        <v>0</v>
      </c>
      <c r="BB290" s="11">
        <f ca="1">IFERROR(OFFSET(ITEM_RES!$A$1,MATCH(BC290,ITEM_RES!$J:$J,0)-1,0),0)</f>
        <v>0</v>
      </c>
      <c r="BG290" s="11">
        <f ca="1">IFERROR(OFFSET(ITEM_RES!$A$1,MATCH(BH290,ITEM_RES!$J:$J,0)-1,0),0)</f>
        <v>0</v>
      </c>
      <c r="BL290" s="11">
        <f ca="1">IFERROR(OFFSET(ITEM_RES!$A$1,MATCH(BM290,ITEM_RES!$J:$J,0)-1,0),0)</f>
        <v>0</v>
      </c>
    </row>
    <row r="291" spans="1:64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744</v>
      </c>
      <c r="L291" s="9" t="s">
        <v>988</v>
      </c>
      <c r="M291" s="9" t="s">
        <v>1007</v>
      </c>
      <c r="N291" s="9">
        <v>1</v>
      </c>
      <c r="O291" s="9">
        <v>15</v>
      </c>
      <c r="P291" s="142"/>
      <c r="T291" s="9" t="s">
        <v>743</v>
      </c>
      <c r="W291" s="9">
        <f ca="1">IFERROR(OFFSET(ITEM_RES!$A$5,MATCH(BUILDING!V291,ITEM_RES!$J$5:$J$226,0)-1,0),0)</f>
        <v>0</v>
      </c>
      <c r="Z291" s="9">
        <f ca="1">IFERROR(OFFSET(ITEM_RES!$A$5,MATCH(BUILDING!Y291,ITEM_RES!$J$5:$J$226,0)-1,0),0)</f>
        <v>0</v>
      </c>
      <c r="AB291" s="9" t="s">
        <v>549</v>
      </c>
      <c r="AC291" s="9">
        <v>7</v>
      </c>
      <c r="AE291" s="9">
        <v>4000</v>
      </c>
      <c r="AG291" s="56">
        <f t="shared" si="98"/>
        <v>1600</v>
      </c>
      <c r="AH291" s="10">
        <f t="shared" si="107"/>
        <v>2400</v>
      </c>
      <c r="AJ291" s="11">
        <f t="shared" si="97"/>
        <v>35</v>
      </c>
      <c r="AK291" s="10">
        <v>35</v>
      </c>
      <c r="AL291" s="11">
        <f t="shared" si="105"/>
        <v>100</v>
      </c>
      <c r="AM291" s="10">
        <v>100</v>
      </c>
      <c r="AN291" s="11">
        <f t="shared" si="105"/>
        <v>100</v>
      </c>
      <c r="AO291" s="10">
        <v>100</v>
      </c>
      <c r="AP291" s="56">
        <f t="shared" si="99"/>
        <v>1</v>
      </c>
      <c r="AR291" s="11">
        <f ca="1">IFERROR(OFFSET(ITEM_RES!$A$1,MATCH(AS291,ITEM_RES!$J:$J,0)-1,0),0)</f>
        <v>211020801</v>
      </c>
      <c r="AS291" s="10" t="s">
        <v>454</v>
      </c>
      <c r="AT291" s="11">
        <v>500</v>
      </c>
      <c r="AW291" s="11">
        <f ca="1">IFERROR(OFFSET(ITEM_RES!$A$1,MATCH(AX291,ITEM_RES!$J:$J,0)-1,0),0)</f>
        <v>0</v>
      </c>
      <c r="BB291" s="11">
        <f ca="1">IFERROR(OFFSET(ITEM_RES!$A$1,MATCH(BC291,ITEM_RES!$J:$J,0)-1,0),0)</f>
        <v>0</v>
      </c>
      <c r="BG291" s="11">
        <f ca="1">IFERROR(OFFSET(ITEM_RES!$A$1,MATCH(BH291,ITEM_RES!$J:$J,0)-1,0),0)</f>
        <v>0</v>
      </c>
      <c r="BL291" s="11">
        <f ca="1">IFERROR(OFFSET(ITEM_RES!$A$1,MATCH(BM291,ITEM_RES!$J:$J,0)-1,0),0)</f>
        <v>0</v>
      </c>
    </row>
    <row r="292" spans="1:64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744</v>
      </c>
      <c r="L292" s="9" t="s">
        <v>988</v>
      </c>
      <c r="M292" s="9" t="s">
        <v>1007</v>
      </c>
      <c r="N292" s="9">
        <v>1</v>
      </c>
      <c r="O292" s="9">
        <v>15</v>
      </c>
      <c r="P292" s="142"/>
      <c r="T292" s="9" t="s">
        <v>743</v>
      </c>
      <c r="W292" s="9">
        <f ca="1">IFERROR(OFFSET(ITEM_RES!$A$5,MATCH(BUILDING!V292,ITEM_RES!$J$5:$J$226,0)-1,0),0)</f>
        <v>0</v>
      </c>
      <c r="Z292" s="9">
        <f ca="1">IFERROR(OFFSET(ITEM_RES!$A$5,MATCH(BUILDING!Y292,ITEM_RES!$J$5:$J$226,0)-1,0),0)</f>
        <v>0</v>
      </c>
      <c r="AB292" s="9" t="s">
        <v>549</v>
      </c>
      <c r="AC292" s="9">
        <v>8</v>
      </c>
      <c r="AE292" s="9">
        <v>4000</v>
      </c>
      <c r="AG292" s="56">
        <f t="shared" si="98"/>
        <v>1600</v>
      </c>
      <c r="AH292" s="10">
        <f t="shared" si="107"/>
        <v>3200</v>
      </c>
      <c r="AJ292" s="11">
        <f t="shared" si="97"/>
        <v>40</v>
      </c>
      <c r="AK292" s="10">
        <v>40</v>
      </c>
      <c r="AL292" s="11">
        <f t="shared" si="105"/>
        <v>100</v>
      </c>
      <c r="AM292" s="10">
        <v>100</v>
      </c>
      <c r="AN292" s="11">
        <f t="shared" si="105"/>
        <v>100</v>
      </c>
      <c r="AO292" s="10">
        <v>100</v>
      </c>
      <c r="AP292" s="56">
        <f t="shared" si="99"/>
        <v>1</v>
      </c>
      <c r="AR292" s="11">
        <f ca="1">IFERROR(OFFSET(ITEM_RES!$A$1,MATCH(AS292,ITEM_RES!$J:$J,0)-1,0),0)</f>
        <v>211020801</v>
      </c>
      <c r="AS292" s="10" t="s">
        <v>454</v>
      </c>
      <c r="AT292" s="11">
        <v>500</v>
      </c>
      <c r="AW292" s="11">
        <f ca="1">IFERROR(OFFSET(ITEM_RES!$A$1,MATCH(AX292,ITEM_RES!$J:$J,0)-1,0),0)</f>
        <v>0</v>
      </c>
      <c r="BB292" s="11">
        <f ca="1">IFERROR(OFFSET(ITEM_RES!$A$1,MATCH(BC292,ITEM_RES!$J:$J,0)-1,0),0)</f>
        <v>0</v>
      </c>
      <c r="BG292" s="11">
        <f ca="1">IFERROR(OFFSET(ITEM_RES!$A$1,MATCH(BH292,ITEM_RES!$J:$J,0)-1,0),0)</f>
        <v>0</v>
      </c>
      <c r="BL292" s="11">
        <f ca="1">IFERROR(OFFSET(ITEM_RES!$A$1,MATCH(BM292,ITEM_RES!$J:$J,0)-1,0),0)</f>
        <v>0</v>
      </c>
    </row>
    <row r="293" spans="1:64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744</v>
      </c>
      <c r="L293" s="9" t="s">
        <v>988</v>
      </c>
      <c r="M293" s="9" t="s">
        <v>1007</v>
      </c>
      <c r="N293" s="9">
        <v>1</v>
      </c>
      <c r="O293" s="9">
        <v>15</v>
      </c>
      <c r="P293" s="142"/>
      <c r="T293" s="9" t="s">
        <v>743</v>
      </c>
      <c r="W293" s="9">
        <f ca="1">IFERROR(OFFSET(ITEM_RES!$A$5,MATCH(BUILDING!V293,ITEM_RES!$J$5:$J$226,0)-1,0),0)</f>
        <v>0</v>
      </c>
      <c r="Z293" s="9">
        <f ca="1">IFERROR(OFFSET(ITEM_RES!$A$5,MATCH(BUILDING!Y293,ITEM_RES!$J$5:$J$226,0)-1,0),0)</f>
        <v>0</v>
      </c>
      <c r="AB293" s="9" t="s">
        <v>549</v>
      </c>
      <c r="AC293" s="9">
        <v>9</v>
      </c>
      <c r="AE293" s="9">
        <v>6000</v>
      </c>
      <c r="AG293" s="56">
        <f t="shared" si="98"/>
        <v>2400</v>
      </c>
      <c r="AH293" s="10">
        <f t="shared" si="107"/>
        <v>4000</v>
      </c>
      <c r="AJ293" s="11">
        <f t="shared" si="97"/>
        <v>45</v>
      </c>
      <c r="AK293" s="10">
        <v>45</v>
      </c>
      <c r="AL293" s="11">
        <f t="shared" si="105"/>
        <v>150</v>
      </c>
      <c r="AM293" s="10">
        <v>150</v>
      </c>
      <c r="AN293" s="11">
        <f t="shared" si="105"/>
        <v>150</v>
      </c>
      <c r="AO293" s="10">
        <v>150</v>
      </c>
      <c r="AP293" s="56">
        <f t="shared" si="99"/>
        <v>1</v>
      </c>
      <c r="AR293" s="11">
        <f ca="1">IFERROR(OFFSET(ITEM_RES!$A$1,MATCH(AS293,ITEM_RES!$J:$J,0)-1,0),0)</f>
        <v>211020801</v>
      </c>
      <c r="AS293" s="10" t="s">
        <v>454</v>
      </c>
      <c r="AT293" s="11">
        <v>750</v>
      </c>
      <c r="AW293" s="11">
        <f ca="1">IFERROR(OFFSET(ITEM_RES!$A$1,MATCH(AX293,ITEM_RES!$J:$J,0)-1,0),0)</f>
        <v>0</v>
      </c>
      <c r="BB293" s="11">
        <f ca="1">IFERROR(OFFSET(ITEM_RES!$A$1,MATCH(BC293,ITEM_RES!$J:$J,0)-1,0),0)</f>
        <v>0</v>
      </c>
      <c r="BG293" s="11">
        <f ca="1">IFERROR(OFFSET(ITEM_RES!$A$1,MATCH(BH293,ITEM_RES!$J:$J,0)-1,0),0)</f>
        <v>0</v>
      </c>
      <c r="BL293" s="11">
        <f ca="1">IFERROR(OFFSET(ITEM_RES!$A$1,MATCH(BM293,ITEM_RES!$J:$J,0)-1,0),0)</f>
        <v>0</v>
      </c>
    </row>
    <row r="294" spans="1:64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744</v>
      </c>
      <c r="L294" s="9" t="s">
        <v>988</v>
      </c>
      <c r="M294" s="9" t="s">
        <v>1007</v>
      </c>
      <c r="N294" s="9">
        <v>1</v>
      </c>
      <c r="O294" s="9">
        <v>15</v>
      </c>
      <c r="P294" s="142"/>
      <c r="T294" s="9" t="s">
        <v>743</v>
      </c>
      <c r="W294" s="9">
        <f ca="1">IFERROR(OFFSET(ITEM_RES!$A$5,MATCH(BUILDING!V294,ITEM_RES!$J$5:$J$226,0)-1,0),0)</f>
        <v>0</v>
      </c>
      <c r="Z294" s="9">
        <f ca="1">IFERROR(OFFSET(ITEM_RES!$A$5,MATCH(BUILDING!Y294,ITEM_RES!$J$5:$J$226,0)-1,0),0)</f>
        <v>0</v>
      </c>
      <c r="AB294" s="9" t="s">
        <v>549</v>
      </c>
      <c r="AC294" s="9">
        <v>10</v>
      </c>
      <c r="AE294" s="9">
        <v>8000</v>
      </c>
      <c r="AG294" s="56">
        <f t="shared" si="98"/>
        <v>3200</v>
      </c>
      <c r="AH294" s="10">
        <f t="shared" si="107"/>
        <v>5600</v>
      </c>
      <c r="AJ294" s="11">
        <f t="shared" si="97"/>
        <v>50</v>
      </c>
      <c r="AK294" s="10">
        <v>50</v>
      </c>
      <c r="AL294" s="11">
        <f t="shared" si="105"/>
        <v>200</v>
      </c>
      <c r="AM294" s="10">
        <v>200</v>
      </c>
      <c r="AN294" s="11">
        <f t="shared" si="105"/>
        <v>200</v>
      </c>
      <c r="AO294" s="10">
        <v>200</v>
      </c>
      <c r="AP294" s="56">
        <f t="shared" si="99"/>
        <v>1</v>
      </c>
      <c r="AR294" s="11">
        <f ca="1">IFERROR(OFFSET(ITEM_RES!$A$1,MATCH(AS294,ITEM_RES!$J:$J,0)-1,0),0)</f>
        <v>211020801</v>
      </c>
      <c r="AS294" s="10" t="s">
        <v>454</v>
      </c>
      <c r="AT294" s="11">
        <v>1000</v>
      </c>
      <c r="AW294" s="11">
        <f ca="1">IFERROR(OFFSET(ITEM_RES!$A$1,MATCH(AX294,ITEM_RES!$J:$J,0)-1,0),0)</f>
        <v>0</v>
      </c>
      <c r="BB294" s="11">
        <f ca="1">IFERROR(OFFSET(ITEM_RES!$A$1,MATCH(BC294,ITEM_RES!$J:$J,0)-1,0),0)</f>
        <v>0</v>
      </c>
      <c r="BG294" s="11">
        <f ca="1">IFERROR(OFFSET(ITEM_RES!$A$1,MATCH(BH294,ITEM_RES!$J:$J,0)-1,0),0)</f>
        <v>0</v>
      </c>
      <c r="BL294" s="11">
        <f ca="1">IFERROR(OFFSET(ITEM_RES!$A$1,MATCH(BM294,ITEM_RES!$J:$J,0)-1,0),0)</f>
        <v>0</v>
      </c>
    </row>
    <row r="295" spans="1:64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744</v>
      </c>
      <c r="L295" s="9" t="s">
        <v>988</v>
      </c>
      <c r="M295" s="9" t="s">
        <v>1007</v>
      </c>
      <c r="N295" s="9">
        <v>1</v>
      </c>
      <c r="O295" s="9">
        <v>15</v>
      </c>
      <c r="P295" s="142"/>
      <c r="T295" s="9" t="s">
        <v>743</v>
      </c>
      <c r="W295" s="9">
        <f ca="1">IFERROR(OFFSET(ITEM_RES!$A$5,MATCH(BUILDING!V295,ITEM_RES!$J$5:$J$226,0)-1,0),0)</f>
        <v>0</v>
      </c>
      <c r="Z295" s="9">
        <f ca="1">IFERROR(OFFSET(ITEM_RES!$A$5,MATCH(BUILDING!Y295,ITEM_RES!$J$5:$J$226,0)-1,0),0)</f>
        <v>0</v>
      </c>
      <c r="AB295" s="9" t="s">
        <v>549</v>
      </c>
      <c r="AC295" s="9">
        <v>11</v>
      </c>
      <c r="AE295" s="9">
        <v>10000</v>
      </c>
      <c r="AG295" s="56">
        <f t="shared" si="98"/>
        <v>4000</v>
      </c>
      <c r="AH295" s="10">
        <f t="shared" si="107"/>
        <v>7200</v>
      </c>
      <c r="AJ295" s="11">
        <f t="shared" si="97"/>
        <v>55</v>
      </c>
      <c r="AK295" s="10">
        <v>55</v>
      </c>
      <c r="AL295" s="11">
        <f t="shared" si="105"/>
        <v>250</v>
      </c>
      <c r="AM295" s="10">
        <v>250</v>
      </c>
      <c r="AN295" s="11">
        <f t="shared" si="105"/>
        <v>250</v>
      </c>
      <c r="AO295" s="10">
        <v>250</v>
      </c>
      <c r="AP295" s="56">
        <f t="shared" si="99"/>
        <v>1</v>
      </c>
      <c r="AR295" s="11">
        <f ca="1">IFERROR(OFFSET(ITEM_RES!$A$1,MATCH(AS295,ITEM_RES!$J:$J,0)-1,0),0)</f>
        <v>211020801</v>
      </c>
      <c r="AS295" s="10" t="s">
        <v>454</v>
      </c>
      <c r="AT295" s="11">
        <v>1250</v>
      </c>
      <c r="AW295" s="11">
        <f ca="1">IFERROR(OFFSET(ITEM_RES!$A$1,MATCH(AX295,ITEM_RES!$J:$J,0)-1,0),0)</f>
        <v>0</v>
      </c>
      <c r="BB295" s="11">
        <f ca="1">IFERROR(OFFSET(ITEM_RES!$A$1,MATCH(BC295,ITEM_RES!$J:$J,0)-1,0),0)</f>
        <v>0</v>
      </c>
      <c r="BG295" s="11">
        <f ca="1">IFERROR(OFFSET(ITEM_RES!$A$1,MATCH(BH295,ITEM_RES!$J:$J,0)-1,0),0)</f>
        <v>0</v>
      </c>
      <c r="BL295" s="11">
        <f ca="1">IFERROR(OFFSET(ITEM_RES!$A$1,MATCH(BM295,ITEM_RES!$J:$J,0)-1,0),0)</f>
        <v>0</v>
      </c>
    </row>
    <row r="296" spans="1:64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744</v>
      </c>
      <c r="L296" s="9" t="s">
        <v>988</v>
      </c>
      <c r="M296" s="9" t="s">
        <v>1007</v>
      </c>
      <c r="N296" s="9">
        <v>1</v>
      </c>
      <c r="O296" s="9">
        <v>15</v>
      </c>
      <c r="P296" s="142"/>
      <c r="T296" s="9" t="s">
        <v>743</v>
      </c>
      <c r="W296" s="9">
        <f ca="1">IFERROR(OFFSET(ITEM_RES!$A$5,MATCH(BUILDING!V296,ITEM_RES!$J$5:$J$226,0)-1,0),0)</f>
        <v>0</v>
      </c>
      <c r="Z296" s="9">
        <f ca="1">IFERROR(OFFSET(ITEM_RES!$A$5,MATCH(BUILDING!Y296,ITEM_RES!$J$5:$J$226,0)-1,0),0)</f>
        <v>0</v>
      </c>
      <c r="AB296" s="9" t="s">
        <v>549</v>
      </c>
      <c r="AC296" s="9">
        <v>12</v>
      </c>
      <c r="AE296" s="9">
        <v>12000</v>
      </c>
      <c r="AG296" s="56">
        <f t="shared" si="98"/>
        <v>4800</v>
      </c>
      <c r="AH296" s="10">
        <f t="shared" si="107"/>
        <v>8800</v>
      </c>
      <c r="AJ296" s="11">
        <f t="shared" si="97"/>
        <v>60</v>
      </c>
      <c r="AK296" s="10">
        <v>60</v>
      </c>
      <c r="AL296" s="11">
        <f t="shared" si="105"/>
        <v>300</v>
      </c>
      <c r="AM296" s="10">
        <v>300</v>
      </c>
      <c r="AN296" s="11">
        <f t="shared" si="105"/>
        <v>300</v>
      </c>
      <c r="AO296" s="10">
        <v>300</v>
      </c>
      <c r="AP296" s="56">
        <f t="shared" si="99"/>
        <v>1</v>
      </c>
      <c r="AR296" s="11">
        <f ca="1">IFERROR(OFFSET(ITEM_RES!$A$1,MATCH(AS296,ITEM_RES!$J:$J,0)-1,0),0)</f>
        <v>211020801</v>
      </c>
      <c r="AS296" s="10" t="s">
        <v>454</v>
      </c>
      <c r="AT296" s="11">
        <v>1500</v>
      </c>
      <c r="AW296" s="11">
        <f ca="1">IFERROR(OFFSET(ITEM_RES!$A$1,MATCH(AX296,ITEM_RES!$J:$J,0)-1,0),0)</f>
        <v>0</v>
      </c>
      <c r="BB296" s="11">
        <f ca="1">IFERROR(OFFSET(ITEM_RES!$A$1,MATCH(BC296,ITEM_RES!$J:$J,0)-1,0),0)</f>
        <v>0</v>
      </c>
      <c r="BG296" s="11">
        <f ca="1">IFERROR(OFFSET(ITEM_RES!$A$1,MATCH(BH296,ITEM_RES!$J:$J,0)-1,0),0)</f>
        <v>0</v>
      </c>
      <c r="BL296" s="11">
        <f ca="1">IFERROR(OFFSET(ITEM_RES!$A$1,MATCH(BM296,ITEM_RES!$J:$J,0)-1,0),0)</f>
        <v>0</v>
      </c>
    </row>
    <row r="297" spans="1:64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744</v>
      </c>
      <c r="L297" s="9" t="s">
        <v>988</v>
      </c>
      <c r="M297" s="9" t="s">
        <v>1007</v>
      </c>
      <c r="N297" s="9">
        <v>1</v>
      </c>
      <c r="O297" s="9">
        <v>15</v>
      </c>
      <c r="P297" s="142"/>
      <c r="T297" s="9" t="s">
        <v>743</v>
      </c>
      <c r="W297" s="9">
        <f ca="1">IFERROR(OFFSET(ITEM_RES!$A$5,MATCH(BUILDING!V297,ITEM_RES!$J$5:$J$226,0)-1,0),0)</f>
        <v>0</v>
      </c>
      <c r="Z297" s="9">
        <f ca="1">IFERROR(OFFSET(ITEM_RES!$A$5,MATCH(BUILDING!Y297,ITEM_RES!$J$5:$J$226,0)-1,0),0)</f>
        <v>0</v>
      </c>
      <c r="AB297" s="9" t="s">
        <v>549</v>
      </c>
      <c r="AC297" s="9">
        <v>13</v>
      </c>
      <c r="AE297" s="9">
        <v>14000</v>
      </c>
      <c r="AG297" s="56">
        <f t="shared" si="98"/>
        <v>5600</v>
      </c>
      <c r="AH297" s="10">
        <f t="shared" si="107"/>
        <v>10400</v>
      </c>
      <c r="AJ297" s="11">
        <f t="shared" si="97"/>
        <v>65</v>
      </c>
      <c r="AK297" s="10">
        <v>65</v>
      </c>
      <c r="AL297" s="11">
        <f t="shared" si="105"/>
        <v>350</v>
      </c>
      <c r="AM297" s="10">
        <v>350</v>
      </c>
      <c r="AN297" s="11">
        <f t="shared" si="105"/>
        <v>350</v>
      </c>
      <c r="AO297" s="10">
        <v>350</v>
      </c>
      <c r="AP297" s="56">
        <f t="shared" si="99"/>
        <v>1</v>
      </c>
      <c r="AR297" s="11">
        <f ca="1">IFERROR(OFFSET(ITEM_RES!$A$1,MATCH(AS297,ITEM_RES!$J:$J,0)-1,0),0)</f>
        <v>211020801</v>
      </c>
      <c r="AS297" s="10" t="s">
        <v>454</v>
      </c>
      <c r="AT297" s="11">
        <v>1750</v>
      </c>
      <c r="AW297" s="11">
        <f ca="1">IFERROR(OFFSET(ITEM_RES!$A$1,MATCH(AX297,ITEM_RES!$J:$J,0)-1,0),0)</f>
        <v>0</v>
      </c>
      <c r="BB297" s="11">
        <f ca="1">IFERROR(OFFSET(ITEM_RES!$A$1,MATCH(BC297,ITEM_RES!$J:$J,0)-1,0),0)</f>
        <v>0</v>
      </c>
      <c r="BG297" s="11">
        <f ca="1">IFERROR(OFFSET(ITEM_RES!$A$1,MATCH(BH297,ITEM_RES!$J:$J,0)-1,0),0)</f>
        <v>0</v>
      </c>
      <c r="BL297" s="11">
        <f ca="1">IFERROR(OFFSET(ITEM_RES!$A$1,MATCH(BM297,ITEM_RES!$J:$J,0)-1,0),0)</f>
        <v>0</v>
      </c>
    </row>
    <row r="298" spans="1:64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744</v>
      </c>
      <c r="L298" s="9" t="s">
        <v>988</v>
      </c>
      <c r="M298" s="9" t="s">
        <v>1007</v>
      </c>
      <c r="N298" s="9">
        <v>1</v>
      </c>
      <c r="O298" s="9">
        <v>15</v>
      </c>
      <c r="P298" s="142"/>
      <c r="T298" s="9" t="s">
        <v>743</v>
      </c>
      <c r="W298" s="9">
        <f ca="1">IFERROR(OFFSET(ITEM_RES!$A$5,MATCH(BUILDING!V298,ITEM_RES!$J$5:$J$226,0)-1,0),0)</f>
        <v>0</v>
      </c>
      <c r="Z298" s="9">
        <f ca="1">IFERROR(OFFSET(ITEM_RES!$A$5,MATCH(BUILDING!Y298,ITEM_RES!$J$5:$J$226,0)-1,0),0)</f>
        <v>0</v>
      </c>
      <c r="AB298" s="9" t="s">
        <v>549</v>
      </c>
      <c r="AC298" s="9">
        <v>14</v>
      </c>
      <c r="AE298" s="9">
        <v>18000</v>
      </c>
      <c r="AG298" s="56">
        <f t="shared" si="98"/>
        <v>7700</v>
      </c>
      <c r="AH298" s="10">
        <f t="shared" si="107"/>
        <v>13300</v>
      </c>
      <c r="AJ298" s="11">
        <f t="shared" si="97"/>
        <v>70</v>
      </c>
      <c r="AK298" s="10">
        <v>70</v>
      </c>
      <c r="AL298" s="11">
        <f t="shared" si="105"/>
        <v>450</v>
      </c>
      <c r="AM298" s="10">
        <v>450</v>
      </c>
      <c r="AN298" s="11">
        <f t="shared" si="105"/>
        <v>450</v>
      </c>
      <c r="AO298" s="10">
        <v>450</v>
      </c>
      <c r="AP298" s="56">
        <f t="shared" si="99"/>
        <v>2</v>
      </c>
      <c r="AR298" s="11">
        <f ca="1">IFERROR(OFFSET(ITEM_RES!$A$1,MATCH(AS298,ITEM_RES!$J:$J,0)-1,0),0)</f>
        <v>211020801</v>
      </c>
      <c r="AS298" s="10" t="s">
        <v>454</v>
      </c>
      <c r="AT298" s="11">
        <v>2250</v>
      </c>
      <c r="AW298" s="11">
        <f ca="1">IFERROR(OFFSET(ITEM_RES!$A$1,MATCH(AX298,ITEM_RES!$J:$J,0)-1,0),0)</f>
        <v>0</v>
      </c>
      <c r="BB298" s="11">
        <f ca="1">IFERROR(OFFSET(ITEM_RES!$A$1,MATCH(BC298,ITEM_RES!$J:$J,0)-1,0),0)</f>
        <v>0</v>
      </c>
      <c r="BG298" s="11">
        <f ca="1">IFERROR(OFFSET(ITEM_RES!$A$1,MATCH(BH298,ITEM_RES!$J:$J,0)-1,0),0)</f>
        <v>213010901</v>
      </c>
      <c r="BH298" s="10" t="s">
        <v>489</v>
      </c>
      <c r="BI298" s="11">
        <v>1</v>
      </c>
      <c r="BL298" s="11">
        <f ca="1">IFERROR(OFFSET(ITEM_RES!$A$1,MATCH(BM298,ITEM_RES!$J:$J,0)-1,0),0)</f>
        <v>0</v>
      </c>
    </row>
    <row r="299" spans="1:64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744</v>
      </c>
      <c r="L299" s="9" t="s">
        <v>988</v>
      </c>
      <c r="M299" s="9" t="s">
        <v>1007</v>
      </c>
      <c r="N299" s="9">
        <v>1</v>
      </c>
      <c r="O299" s="9">
        <v>15</v>
      </c>
      <c r="P299" s="142"/>
      <c r="T299" s="9" t="s">
        <v>743</v>
      </c>
      <c r="W299" s="9">
        <f ca="1">IFERROR(OFFSET(ITEM_RES!$A$5,MATCH(BUILDING!V299,ITEM_RES!$J$5:$J$226,0)-1,0),0)</f>
        <v>0</v>
      </c>
      <c r="Z299" s="9">
        <f ca="1">IFERROR(OFFSET(ITEM_RES!$A$5,MATCH(BUILDING!Y299,ITEM_RES!$J$5:$J$226,0)-1,0),0)</f>
        <v>0</v>
      </c>
      <c r="AB299" s="9" t="s">
        <v>549</v>
      </c>
      <c r="AC299" s="9">
        <v>15</v>
      </c>
      <c r="AE299" s="9">
        <v>22000</v>
      </c>
      <c r="AG299" s="56">
        <f t="shared" si="98"/>
        <v>8800</v>
      </c>
      <c r="AH299" s="10">
        <f t="shared" si="107"/>
        <v>16500</v>
      </c>
      <c r="AJ299" s="11">
        <f t="shared" si="97"/>
        <v>75</v>
      </c>
      <c r="AK299" s="10">
        <v>75</v>
      </c>
      <c r="AL299" s="11">
        <f t="shared" si="105"/>
        <v>550</v>
      </c>
      <c r="AM299" s="10">
        <v>550</v>
      </c>
      <c r="AN299" s="11">
        <f t="shared" si="105"/>
        <v>550</v>
      </c>
      <c r="AO299" s="10">
        <v>550</v>
      </c>
      <c r="AP299" s="56">
        <f t="shared" si="99"/>
        <v>1</v>
      </c>
      <c r="AR299" s="11">
        <f ca="1">IFERROR(OFFSET(ITEM_RES!$A$1,MATCH(AS299,ITEM_RES!$J:$J,0)-1,0),0)</f>
        <v>211020801</v>
      </c>
      <c r="AS299" s="10" t="s">
        <v>454</v>
      </c>
      <c r="AT299" s="11">
        <v>2750</v>
      </c>
      <c r="AW299" s="11">
        <f ca="1">IFERROR(OFFSET(ITEM_RES!$A$1,MATCH(AX299,ITEM_RES!$J:$J,0)-1,0),0)</f>
        <v>0</v>
      </c>
      <c r="BB299" s="11">
        <f ca="1">IFERROR(OFFSET(ITEM_RES!$A$1,MATCH(BC299,ITEM_RES!$J:$J,0)-1,0),0)</f>
        <v>0</v>
      </c>
      <c r="BG299" s="11">
        <f ca="1">IFERROR(OFFSET(ITEM_RES!$A$1,MATCH(BH299,ITEM_RES!$J:$J,0)-1,0),0)</f>
        <v>0</v>
      </c>
      <c r="BL299" s="11">
        <f ca="1">IFERROR(OFFSET(ITEM_RES!$A$1,MATCH(BM299,ITEM_RES!$J:$J,0)-1,0),0)</f>
        <v>0</v>
      </c>
    </row>
    <row r="300" spans="1:64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744</v>
      </c>
      <c r="L300" s="9" t="s">
        <v>988</v>
      </c>
      <c r="M300" s="9" t="s">
        <v>1007</v>
      </c>
      <c r="N300" s="9">
        <v>0</v>
      </c>
      <c r="O300" s="9">
        <v>15</v>
      </c>
      <c r="P300" s="142"/>
      <c r="T300" s="9" t="s">
        <v>743</v>
      </c>
      <c r="W300" s="9">
        <f ca="1">IFERROR(OFFSET(ITEM_RES!$A$5,MATCH(BUILDING!V300,ITEM_RES!$J$5:$J$226,0)-1,0),0)</f>
        <v>0</v>
      </c>
      <c r="Z300" s="9">
        <f ca="1">IFERROR(OFFSET(ITEM_RES!$A$5,MATCH(BUILDING!Y300,ITEM_RES!$J$5:$J$226,0)-1,0),0)</f>
        <v>0</v>
      </c>
      <c r="AB300" s="9" t="s">
        <v>549</v>
      </c>
      <c r="AC300" s="9">
        <v>16</v>
      </c>
      <c r="AE300" s="9">
        <v>28000</v>
      </c>
      <c r="AG300" s="56">
        <f t="shared" si="98"/>
        <v>11200</v>
      </c>
      <c r="AH300" s="10">
        <f t="shared" si="107"/>
        <v>20000</v>
      </c>
      <c r="AJ300" s="11">
        <f t="shared" si="97"/>
        <v>80</v>
      </c>
      <c r="AK300" s="10">
        <v>80</v>
      </c>
      <c r="AL300" s="11">
        <f t="shared" si="105"/>
        <v>700</v>
      </c>
      <c r="AM300" s="10">
        <v>700</v>
      </c>
      <c r="AN300" s="11">
        <f t="shared" si="105"/>
        <v>700</v>
      </c>
      <c r="AO300" s="10">
        <v>700</v>
      </c>
      <c r="AP300" s="56">
        <f t="shared" si="99"/>
        <v>1</v>
      </c>
      <c r="AR300" s="11">
        <f ca="1">IFERROR(OFFSET(ITEM_RES!$A$1,MATCH(AS300,ITEM_RES!$J:$J,0)-1,0),0)</f>
        <v>211020801</v>
      </c>
      <c r="AS300" s="10" t="s">
        <v>454</v>
      </c>
      <c r="AT300" s="11">
        <v>3500</v>
      </c>
      <c r="AW300" s="11">
        <f ca="1">IFERROR(OFFSET(ITEM_RES!$A$1,MATCH(AX300,ITEM_RES!$J:$J,0)-1,0),0)</f>
        <v>0</v>
      </c>
      <c r="BB300" s="11">
        <f ca="1">IFERROR(OFFSET(ITEM_RES!$A$1,MATCH(BC300,ITEM_RES!$J:$J,0)-1,0),0)</f>
        <v>0</v>
      </c>
      <c r="BG300" s="11">
        <f ca="1">IFERROR(OFFSET(ITEM_RES!$A$1,MATCH(BH300,ITEM_RES!$J:$J,0)-1,0),0)</f>
        <v>0</v>
      </c>
      <c r="BL300" s="11">
        <f ca="1">IFERROR(OFFSET(ITEM_RES!$A$1,MATCH(BM300,ITEM_RES!$J:$J,0)-1,0),0)</f>
        <v>0</v>
      </c>
    </row>
    <row r="301" spans="1:64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744</v>
      </c>
      <c r="L301" s="9" t="s">
        <v>988</v>
      </c>
      <c r="M301" s="9" t="s">
        <v>1007</v>
      </c>
      <c r="N301" s="9">
        <v>0</v>
      </c>
      <c r="O301" s="9">
        <v>15</v>
      </c>
      <c r="P301" s="142"/>
      <c r="T301" s="9" t="s">
        <v>743</v>
      </c>
      <c r="W301" s="9">
        <f ca="1">IFERROR(OFFSET(ITEM_RES!$A$5,MATCH(BUILDING!V301,ITEM_RES!$J$5:$J$226,0)-1,0),0)</f>
        <v>0</v>
      </c>
      <c r="Z301" s="9">
        <f ca="1">IFERROR(OFFSET(ITEM_RES!$A$5,MATCH(BUILDING!Y301,ITEM_RES!$J$5:$J$226,0)-1,0),0)</f>
        <v>0</v>
      </c>
      <c r="AB301" s="9" t="s">
        <v>549</v>
      </c>
      <c r="AC301" s="9">
        <v>17</v>
      </c>
      <c r="AE301" s="9">
        <v>34000</v>
      </c>
      <c r="AG301" s="56">
        <f t="shared" si="98"/>
        <v>13600</v>
      </c>
      <c r="AH301" s="10">
        <f t="shared" si="107"/>
        <v>24800</v>
      </c>
      <c r="AJ301" s="11">
        <f t="shared" ref="AJ301:AJ364" si="108">ROUND(AK301,0)</f>
        <v>85</v>
      </c>
      <c r="AK301" s="10">
        <v>85</v>
      </c>
      <c r="AL301" s="11">
        <f t="shared" si="105"/>
        <v>850</v>
      </c>
      <c r="AM301" s="10">
        <v>850</v>
      </c>
      <c r="AN301" s="11">
        <f t="shared" si="105"/>
        <v>850</v>
      </c>
      <c r="AO301" s="10">
        <v>850</v>
      </c>
      <c r="AP301" s="56">
        <f t="shared" si="99"/>
        <v>1</v>
      </c>
      <c r="AR301" s="11">
        <f ca="1">IFERROR(OFFSET(ITEM_RES!$A$1,MATCH(AS301,ITEM_RES!$J:$J,0)-1,0),0)</f>
        <v>211020801</v>
      </c>
      <c r="AS301" s="10" t="s">
        <v>454</v>
      </c>
      <c r="AT301" s="11">
        <v>4250</v>
      </c>
      <c r="AW301" s="11">
        <f ca="1">IFERROR(OFFSET(ITEM_RES!$A$1,MATCH(AX301,ITEM_RES!$J:$J,0)-1,0),0)</f>
        <v>0</v>
      </c>
      <c r="BB301" s="11">
        <f ca="1">IFERROR(OFFSET(ITEM_RES!$A$1,MATCH(BC301,ITEM_RES!$J:$J,0)-1,0),0)</f>
        <v>0</v>
      </c>
      <c r="BG301" s="11">
        <f ca="1">IFERROR(OFFSET(ITEM_RES!$A$1,MATCH(BH301,ITEM_RES!$J:$J,0)-1,0),0)</f>
        <v>0</v>
      </c>
      <c r="BL301" s="11">
        <f ca="1">IFERROR(OFFSET(ITEM_RES!$A$1,MATCH(BM301,ITEM_RES!$J:$J,0)-1,0),0)</f>
        <v>0</v>
      </c>
    </row>
    <row r="302" spans="1:64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744</v>
      </c>
      <c r="L302" s="9" t="s">
        <v>988</v>
      </c>
      <c r="M302" s="9" t="s">
        <v>1007</v>
      </c>
      <c r="N302" s="9">
        <v>0</v>
      </c>
      <c r="O302" s="9">
        <v>15</v>
      </c>
      <c r="P302" s="142"/>
      <c r="T302" s="9" t="s">
        <v>743</v>
      </c>
      <c r="W302" s="9">
        <f ca="1">IFERROR(OFFSET(ITEM_RES!$A$5,MATCH(BUILDING!V302,ITEM_RES!$J$5:$J$226,0)-1,0),0)</f>
        <v>0</v>
      </c>
      <c r="Z302" s="9">
        <f ca="1">IFERROR(OFFSET(ITEM_RES!$A$5,MATCH(BUILDING!Y302,ITEM_RES!$J$5:$J$226,0)-1,0),0)</f>
        <v>0</v>
      </c>
      <c r="AB302" s="9" t="s">
        <v>549</v>
      </c>
      <c r="AC302" s="9">
        <v>18</v>
      </c>
      <c r="AE302" s="9">
        <v>42000</v>
      </c>
      <c r="AG302" s="56">
        <f t="shared" ref="AG302:AG365" si="109">AM302*10+AO302+AT302+AY302+500*BD302+500*BI302+500*BN302</f>
        <v>16800</v>
      </c>
      <c r="AH302" s="10">
        <f t="shared" si="107"/>
        <v>30400</v>
      </c>
      <c r="AJ302" s="11">
        <f t="shared" si="108"/>
        <v>90</v>
      </c>
      <c r="AK302" s="10">
        <v>90</v>
      </c>
      <c r="AL302" s="11">
        <f t="shared" si="105"/>
        <v>1050</v>
      </c>
      <c r="AM302" s="10">
        <v>1050</v>
      </c>
      <c r="AN302" s="11">
        <f t="shared" si="105"/>
        <v>1050</v>
      </c>
      <c r="AO302" s="10">
        <v>1050</v>
      </c>
      <c r="AP302" s="56">
        <f t="shared" ref="AP302:AP365" si="110">(AT302&gt;0)*1+(AY302&gt;0)*1+(BD302&gt;0)*1+(BI302&gt;0)*1+(BN302&gt;0)*1</f>
        <v>1</v>
      </c>
      <c r="AR302" s="11">
        <f ca="1">IFERROR(OFFSET(ITEM_RES!$A$1,MATCH(AS302,ITEM_RES!$J:$J,0)-1,0),0)</f>
        <v>211020901</v>
      </c>
      <c r="AS302" s="10" t="s">
        <v>466</v>
      </c>
      <c r="AT302" s="11">
        <v>5250</v>
      </c>
      <c r="AW302" s="11">
        <f ca="1">IFERROR(OFFSET(ITEM_RES!$A$1,MATCH(AX302,ITEM_RES!$J:$J,0)-1,0),0)</f>
        <v>0</v>
      </c>
      <c r="BB302" s="11">
        <f ca="1">IFERROR(OFFSET(ITEM_RES!$A$1,MATCH(BC302,ITEM_RES!$J:$J,0)-1,0),0)</f>
        <v>0</v>
      </c>
      <c r="BG302" s="11">
        <f ca="1">IFERROR(OFFSET(ITEM_RES!$A$1,MATCH(BH302,ITEM_RES!$J:$J,0)-1,0),0)</f>
        <v>0</v>
      </c>
      <c r="BL302" s="11">
        <f ca="1">IFERROR(OFFSET(ITEM_RES!$A$1,MATCH(BM302,ITEM_RES!$J:$J,0)-1,0),0)</f>
        <v>0</v>
      </c>
    </row>
    <row r="303" spans="1:64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744</v>
      </c>
      <c r="L303" s="9" t="s">
        <v>988</v>
      </c>
      <c r="M303" s="9" t="s">
        <v>1007</v>
      </c>
      <c r="N303" s="9">
        <v>0</v>
      </c>
      <c r="O303" s="9">
        <v>15</v>
      </c>
      <c r="P303" s="142"/>
      <c r="T303" s="9" t="s">
        <v>743</v>
      </c>
      <c r="W303" s="9">
        <f ca="1">IFERROR(OFFSET(ITEM_RES!$A$5,MATCH(BUILDING!V303,ITEM_RES!$J$5:$J$226,0)-1,0),0)</f>
        <v>0</v>
      </c>
      <c r="Z303" s="9">
        <f ca="1">IFERROR(OFFSET(ITEM_RES!$A$5,MATCH(BUILDING!Y303,ITEM_RES!$J$5:$J$226,0)-1,0),0)</f>
        <v>0</v>
      </c>
      <c r="AB303" s="9" t="s">
        <v>549</v>
      </c>
      <c r="AC303" s="9">
        <v>19</v>
      </c>
      <c r="AE303" s="9">
        <v>50000</v>
      </c>
      <c r="AG303" s="56">
        <f t="shared" si="109"/>
        <v>20000</v>
      </c>
      <c r="AH303" s="10">
        <f t="shared" si="107"/>
        <v>36800</v>
      </c>
      <c r="AJ303" s="11">
        <f t="shared" si="108"/>
        <v>95</v>
      </c>
      <c r="AK303" s="10">
        <v>95</v>
      </c>
      <c r="AL303" s="11">
        <f t="shared" si="105"/>
        <v>1250</v>
      </c>
      <c r="AM303" s="10">
        <v>1250</v>
      </c>
      <c r="AN303" s="11">
        <f t="shared" si="105"/>
        <v>1250</v>
      </c>
      <c r="AO303" s="10">
        <v>1250</v>
      </c>
      <c r="AP303" s="56">
        <f t="shared" si="110"/>
        <v>1</v>
      </c>
      <c r="AR303" s="11">
        <f ca="1">IFERROR(OFFSET(ITEM_RES!$A$1,MATCH(AS303,ITEM_RES!$J:$J,0)-1,0),0)</f>
        <v>211020901</v>
      </c>
      <c r="AS303" s="10" t="s">
        <v>466</v>
      </c>
      <c r="AT303" s="11">
        <v>6250</v>
      </c>
      <c r="AW303" s="11">
        <f ca="1">IFERROR(OFFSET(ITEM_RES!$A$1,MATCH(AX303,ITEM_RES!$J:$J,0)-1,0),0)</f>
        <v>0</v>
      </c>
      <c r="BB303" s="11">
        <f ca="1">IFERROR(OFFSET(ITEM_RES!$A$1,MATCH(BC303,ITEM_RES!$J:$J,0)-1,0),0)</f>
        <v>0</v>
      </c>
      <c r="BG303" s="11">
        <f ca="1">IFERROR(OFFSET(ITEM_RES!$A$1,MATCH(BH303,ITEM_RES!$J:$J,0)-1,0),0)</f>
        <v>0</v>
      </c>
      <c r="BL303" s="11">
        <f ca="1">IFERROR(OFFSET(ITEM_RES!$A$1,MATCH(BM303,ITEM_RES!$J:$J,0)-1,0),0)</f>
        <v>0</v>
      </c>
    </row>
    <row r="304" spans="1:64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744</v>
      </c>
      <c r="L304" s="9" t="s">
        <v>988</v>
      </c>
      <c r="M304" s="9" t="s">
        <v>1007</v>
      </c>
      <c r="N304" s="9">
        <v>0</v>
      </c>
      <c r="O304" s="9">
        <v>15</v>
      </c>
      <c r="P304" s="142"/>
      <c r="T304" s="9" t="s">
        <v>743</v>
      </c>
      <c r="W304" s="9">
        <f ca="1">IFERROR(OFFSET(ITEM_RES!$A$5,MATCH(BUILDING!V304,ITEM_RES!$J$5:$J$226,0)-1,0),0)</f>
        <v>0</v>
      </c>
      <c r="Z304" s="9">
        <f ca="1">IFERROR(OFFSET(ITEM_RES!$A$5,MATCH(BUILDING!Y304,ITEM_RES!$J$5:$J$226,0)-1,0),0)</f>
        <v>0</v>
      </c>
      <c r="AB304" s="9" t="s">
        <v>549</v>
      </c>
      <c r="AC304" s="9">
        <v>20</v>
      </c>
      <c r="AE304" s="9">
        <v>60000</v>
      </c>
      <c r="AG304" s="56">
        <f t="shared" si="109"/>
        <v>24000</v>
      </c>
      <c r="AH304" s="10">
        <f t="shared" si="107"/>
        <v>44000</v>
      </c>
      <c r="AJ304" s="11">
        <f t="shared" si="108"/>
        <v>100</v>
      </c>
      <c r="AK304" s="10">
        <v>100</v>
      </c>
      <c r="AL304" s="11">
        <f t="shared" si="105"/>
        <v>1500</v>
      </c>
      <c r="AM304" s="10">
        <v>1500</v>
      </c>
      <c r="AN304" s="11">
        <f t="shared" si="105"/>
        <v>1500</v>
      </c>
      <c r="AO304" s="10">
        <v>1500</v>
      </c>
      <c r="AP304" s="56">
        <f t="shared" si="110"/>
        <v>1</v>
      </c>
      <c r="AR304" s="11">
        <f ca="1">IFERROR(OFFSET(ITEM_RES!$A$1,MATCH(AS304,ITEM_RES!$J:$J,0)-1,0),0)</f>
        <v>211020901</v>
      </c>
      <c r="AS304" s="10" t="s">
        <v>466</v>
      </c>
      <c r="AT304" s="11">
        <v>7500</v>
      </c>
      <c r="AW304" s="11">
        <f ca="1">IFERROR(OFFSET(ITEM_RES!$A$1,MATCH(AX304,ITEM_RES!$J:$J,0)-1,0),0)</f>
        <v>0</v>
      </c>
      <c r="BB304" s="11">
        <f ca="1">IFERROR(OFFSET(ITEM_RES!$A$1,MATCH(BC304,ITEM_RES!$J:$J,0)-1,0),0)</f>
        <v>0</v>
      </c>
      <c r="BG304" s="11">
        <f ca="1">IFERROR(OFFSET(ITEM_RES!$A$1,MATCH(BH304,ITEM_RES!$J:$J,0)-1,0),0)</f>
        <v>0</v>
      </c>
      <c r="BL304" s="11">
        <f ca="1">IFERROR(OFFSET(ITEM_RES!$A$1,MATCH(BM304,ITEM_RES!$J:$J,0)-1,0),0)</f>
        <v>0</v>
      </c>
    </row>
    <row r="305" spans="1:67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79"/>
      <c r="H305" s="16">
        <v>1</v>
      </c>
      <c r="I305" s="16">
        <v>1</v>
      </c>
      <c r="J305" s="79"/>
      <c r="K305" s="16" t="s">
        <v>1058</v>
      </c>
      <c r="L305" s="16" t="s">
        <v>1059</v>
      </c>
      <c r="M305" s="16" t="s">
        <v>1060</v>
      </c>
      <c r="N305" s="16">
        <v>1</v>
      </c>
      <c r="O305" s="16">
        <v>15</v>
      </c>
      <c r="P305" s="16" t="s">
        <v>815</v>
      </c>
      <c r="Q305" s="17"/>
      <c r="R305" s="17"/>
      <c r="S305" s="18"/>
      <c r="T305" s="16" t="s">
        <v>745</v>
      </c>
      <c r="U305" s="79"/>
      <c r="V305" s="87"/>
      <c r="W305" s="16">
        <f ca="1">IFERROR(OFFSET(ITEM_RES!$A$5,MATCH(BUILDING!V305,ITEM_RES!$J$5:$J$226,0)-1,0),0)</f>
        <v>0</v>
      </c>
      <c r="X305" s="18"/>
      <c r="Y305" s="87"/>
      <c r="Z305" s="16">
        <f ca="1">IFERROR(OFFSET(ITEM_RES!$A$5,MATCH(BUILDING!Y305,ITEM_RES!$J$5:$J$226,0)-1,0),0)</f>
        <v>0</v>
      </c>
      <c r="AA305" s="79"/>
      <c r="AB305" s="16" t="s">
        <v>550</v>
      </c>
      <c r="AC305" s="16">
        <v>1</v>
      </c>
      <c r="AD305" s="79"/>
      <c r="AE305" s="16">
        <v>0</v>
      </c>
      <c r="AF305" s="79"/>
      <c r="AG305" s="57">
        <f t="shared" si="109"/>
        <v>580</v>
      </c>
      <c r="AH305" s="17">
        <f>AG305</f>
        <v>580</v>
      </c>
      <c r="AI305" s="79"/>
      <c r="AJ305" s="18">
        <f t="shared" si="108"/>
        <v>5</v>
      </c>
      <c r="AK305" s="17">
        <v>5</v>
      </c>
      <c r="AL305" s="18">
        <f t="shared" si="105"/>
        <v>5</v>
      </c>
      <c r="AM305" s="17">
        <v>5</v>
      </c>
      <c r="AN305" s="18">
        <f t="shared" si="105"/>
        <v>5</v>
      </c>
      <c r="AO305" s="17">
        <v>5</v>
      </c>
      <c r="AP305" s="57">
        <f t="shared" si="110"/>
        <v>2</v>
      </c>
      <c r="AQ305" s="18"/>
      <c r="AR305" s="18">
        <f ca="1">IFERROR(OFFSET(ITEM_RES!$A$1,MATCH(AS305,ITEM_RES!$J:$J,0)-1,0),0)</f>
        <v>211020801</v>
      </c>
      <c r="AS305" s="17" t="s">
        <v>454</v>
      </c>
      <c r="AT305" s="18">
        <v>25</v>
      </c>
      <c r="AU305" s="17"/>
      <c r="AV305" s="18"/>
      <c r="AW305" s="18">
        <f ca="1">IFERROR(OFFSET(ITEM_RES!$A$1,MATCH(AX305,ITEM_RES!$J:$J,0)-1,0),0)</f>
        <v>0</v>
      </c>
      <c r="AX305" s="17"/>
      <c r="AY305" s="18"/>
      <c r="AZ305" s="17"/>
      <c r="BA305" s="18"/>
      <c r="BB305" s="18">
        <f ca="1">IFERROR(OFFSET(ITEM_RES!$A$1,MATCH(BC305,ITEM_RES!$J:$J,0)-1,0),0)</f>
        <v>213010101</v>
      </c>
      <c r="BC305" s="17" t="s">
        <v>477</v>
      </c>
      <c r="BD305" s="18">
        <v>1</v>
      </c>
      <c r="BE305" s="17"/>
      <c r="BF305" s="18"/>
      <c r="BG305" s="18">
        <f ca="1">IFERROR(OFFSET(ITEM_RES!$A$1,MATCH(BH305,ITEM_RES!$J:$J,0)-1,0),0)</f>
        <v>0</v>
      </c>
      <c r="BH305" s="17"/>
      <c r="BI305" s="18"/>
      <c r="BJ305" s="17"/>
      <c r="BK305" s="18"/>
      <c r="BL305" s="18">
        <f ca="1">IFERROR(OFFSET(ITEM_RES!$A$1,MATCH(BM305,ITEM_RES!$J:$J,0)-1,0),0)</f>
        <v>0</v>
      </c>
      <c r="BM305" s="17"/>
      <c r="BN305" s="18"/>
      <c r="BO305" s="17"/>
    </row>
    <row r="306" spans="1:67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1058</v>
      </c>
      <c r="L306" s="9" t="s">
        <v>1059</v>
      </c>
      <c r="M306" s="9" t="s">
        <v>1060</v>
      </c>
      <c r="N306" s="9">
        <v>1</v>
      </c>
      <c r="O306" s="9">
        <v>15</v>
      </c>
      <c r="P306" s="9" t="s">
        <v>815</v>
      </c>
      <c r="T306" s="9" t="s">
        <v>745</v>
      </c>
      <c r="W306" s="9">
        <f ca="1">IFERROR(OFFSET(ITEM_RES!$A$5,MATCH(BUILDING!V306,ITEM_RES!$J$5:$J$226,0)-1,0),0)</f>
        <v>0</v>
      </c>
      <c r="Z306" s="9">
        <f ca="1">IFERROR(OFFSET(ITEM_RES!$A$5,MATCH(BUILDING!Y306,ITEM_RES!$J$5:$J$226,0)-1,0),0)</f>
        <v>0</v>
      </c>
      <c r="AB306" s="9" t="s">
        <v>550</v>
      </c>
      <c r="AC306" s="9">
        <v>2</v>
      </c>
      <c r="AE306" s="9">
        <v>200</v>
      </c>
      <c r="AG306" s="56">
        <f t="shared" si="109"/>
        <v>160</v>
      </c>
      <c r="AH306" s="10">
        <f>AG305+AG306</f>
        <v>740</v>
      </c>
      <c r="AJ306" s="11">
        <f t="shared" si="108"/>
        <v>10</v>
      </c>
      <c r="AK306" s="10">
        <v>10</v>
      </c>
      <c r="AL306" s="11">
        <f t="shared" si="105"/>
        <v>10</v>
      </c>
      <c r="AM306" s="10">
        <v>10</v>
      </c>
      <c r="AN306" s="11">
        <f t="shared" si="105"/>
        <v>10</v>
      </c>
      <c r="AO306" s="10">
        <v>10</v>
      </c>
      <c r="AP306" s="56">
        <f t="shared" si="110"/>
        <v>1</v>
      </c>
      <c r="AR306" s="11">
        <f ca="1">IFERROR(OFFSET(ITEM_RES!$A$1,MATCH(AS306,ITEM_RES!$J:$J,0)-1,0),0)</f>
        <v>211020801</v>
      </c>
      <c r="AS306" s="10" t="s">
        <v>454</v>
      </c>
      <c r="AT306" s="11">
        <v>50</v>
      </c>
      <c r="AW306" s="11">
        <f ca="1">IFERROR(OFFSET(ITEM_RES!$A$1,MATCH(AX306,ITEM_RES!$J:$J,0)-1,0),0)</f>
        <v>0</v>
      </c>
      <c r="BB306" s="11">
        <f ca="1">IFERROR(OFFSET(ITEM_RES!$A$1,MATCH(BC306,ITEM_RES!$J:$J,0)-1,0),0)</f>
        <v>0</v>
      </c>
      <c r="BG306" s="11">
        <f ca="1">IFERROR(OFFSET(ITEM_RES!$A$1,MATCH(BH306,ITEM_RES!$J:$J,0)-1,0),0)</f>
        <v>0</v>
      </c>
      <c r="BL306" s="11">
        <f ca="1">IFERROR(OFFSET(ITEM_RES!$A$1,MATCH(BM306,ITEM_RES!$J:$J,0)-1,0),0)</f>
        <v>0</v>
      </c>
    </row>
    <row r="307" spans="1:67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1058</v>
      </c>
      <c r="L307" s="9" t="s">
        <v>1059</v>
      </c>
      <c r="M307" s="9" t="s">
        <v>1060</v>
      </c>
      <c r="N307" s="9">
        <v>1</v>
      </c>
      <c r="O307" s="9">
        <v>15</v>
      </c>
      <c r="P307" s="9" t="s">
        <v>815</v>
      </c>
      <c r="T307" s="9" t="s">
        <v>745</v>
      </c>
      <c r="W307" s="9">
        <f ca="1">IFERROR(OFFSET(ITEM_RES!$A$5,MATCH(BUILDING!V307,ITEM_RES!$J$5:$J$226,0)-1,0),0)</f>
        <v>0</v>
      </c>
      <c r="Z307" s="9">
        <f ca="1">IFERROR(OFFSET(ITEM_RES!$A$5,MATCH(BUILDING!Y307,ITEM_RES!$J$5:$J$226,0)-1,0),0)</f>
        <v>0</v>
      </c>
      <c r="AB307" s="9" t="s">
        <v>550</v>
      </c>
      <c r="AC307" s="9">
        <v>3</v>
      </c>
      <c r="AE307" s="9">
        <v>600</v>
      </c>
      <c r="AG307" s="56">
        <f t="shared" si="109"/>
        <v>240</v>
      </c>
      <c r="AH307" s="10">
        <f t="shared" ref="AH307:AH324" si="111">AG306+AG307</f>
        <v>400</v>
      </c>
      <c r="AJ307" s="11">
        <f t="shared" si="108"/>
        <v>15</v>
      </c>
      <c r="AK307" s="10">
        <v>15</v>
      </c>
      <c r="AL307" s="11">
        <f t="shared" si="105"/>
        <v>15</v>
      </c>
      <c r="AM307" s="10">
        <v>15</v>
      </c>
      <c r="AN307" s="11">
        <f t="shared" si="105"/>
        <v>15</v>
      </c>
      <c r="AO307" s="10">
        <v>15</v>
      </c>
      <c r="AP307" s="56">
        <f t="shared" si="110"/>
        <v>1</v>
      </c>
      <c r="AR307" s="11">
        <f ca="1">IFERROR(OFFSET(ITEM_RES!$A$1,MATCH(AS307,ITEM_RES!$J:$J,0)-1,0),0)</f>
        <v>211020801</v>
      </c>
      <c r="AS307" s="10" t="s">
        <v>454</v>
      </c>
      <c r="AT307" s="11">
        <v>75</v>
      </c>
      <c r="AW307" s="11">
        <f ca="1">IFERROR(OFFSET(ITEM_RES!$A$1,MATCH(AX307,ITEM_RES!$J:$J,0)-1,0),0)</f>
        <v>0</v>
      </c>
      <c r="BB307" s="11">
        <f ca="1">IFERROR(OFFSET(ITEM_RES!$A$1,MATCH(BC307,ITEM_RES!$J:$J,0)-1,0),0)</f>
        <v>0</v>
      </c>
      <c r="BG307" s="11">
        <f ca="1">IFERROR(OFFSET(ITEM_RES!$A$1,MATCH(BH307,ITEM_RES!$J:$J,0)-1,0),0)</f>
        <v>0</v>
      </c>
      <c r="BL307" s="11">
        <f ca="1">IFERROR(OFFSET(ITEM_RES!$A$1,MATCH(BM307,ITEM_RES!$J:$J,0)-1,0),0)</f>
        <v>0</v>
      </c>
    </row>
    <row r="308" spans="1:67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1058</v>
      </c>
      <c r="L308" s="9" t="s">
        <v>1059</v>
      </c>
      <c r="M308" s="9" t="s">
        <v>1060</v>
      </c>
      <c r="N308" s="9">
        <v>1</v>
      </c>
      <c r="O308" s="9">
        <v>15</v>
      </c>
      <c r="P308" s="9" t="s">
        <v>815</v>
      </c>
      <c r="T308" s="9" t="s">
        <v>745</v>
      </c>
      <c r="W308" s="9">
        <f ca="1">IFERROR(OFFSET(ITEM_RES!$A$5,MATCH(BUILDING!V308,ITEM_RES!$J$5:$J$226,0)-1,0),0)</f>
        <v>0</v>
      </c>
      <c r="Z308" s="9">
        <f ca="1">IFERROR(OFFSET(ITEM_RES!$A$5,MATCH(BUILDING!Y308,ITEM_RES!$J$5:$J$226,0)-1,0),0)</f>
        <v>0</v>
      </c>
      <c r="AB308" s="9" t="s">
        <v>550</v>
      </c>
      <c r="AC308" s="9">
        <v>4</v>
      </c>
      <c r="AE308" s="9">
        <v>1000</v>
      </c>
      <c r="AG308" s="56">
        <f t="shared" si="109"/>
        <v>400</v>
      </c>
      <c r="AH308" s="10">
        <f t="shared" si="111"/>
        <v>640</v>
      </c>
      <c r="AJ308" s="11">
        <f t="shared" si="108"/>
        <v>20</v>
      </c>
      <c r="AK308" s="10">
        <v>20</v>
      </c>
      <c r="AL308" s="11">
        <f t="shared" si="105"/>
        <v>25</v>
      </c>
      <c r="AM308" s="10">
        <v>25</v>
      </c>
      <c r="AN308" s="11">
        <f t="shared" si="105"/>
        <v>25</v>
      </c>
      <c r="AO308" s="10">
        <v>25</v>
      </c>
      <c r="AP308" s="56">
        <f t="shared" si="110"/>
        <v>1</v>
      </c>
      <c r="AR308" s="11">
        <f ca="1">IFERROR(OFFSET(ITEM_RES!$A$1,MATCH(AS308,ITEM_RES!$J:$J,0)-1,0),0)</f>
        <v>211020801</v>
      </c>
      <c r="AS308" s="10" t="s">
        <v>454</v>
      </c>
      <c r="AT308" s="11">
        <v>125</v>
      </c>
      <c r="AW308" s="11">
        <f ca="1">IFERROR(OFFSET(ITEM_RES!$A$1,MATCH(AX308,ITEM_RES!$J:$J,0)-1,0),0)</f>
        <v>0</v>
      </c>
      <c r="BB308" s="11">
        <f ca="1">IFERROR(OFFSET(ITEM_RES!$A$1,MATCH(BC308,ITEM_RES!$J:$J,0)-1,0),0)</f>
        <v>0</v>
      </c>
      <c r="BG308" s="11">
        <f ca="1">IFERROR(OFFSET(ITEM_RES!$A$1,MATCH(BH308,ITEM_RES!$J:$J,0)-1,0),0)</f>
        <v>0</v>
      </c>
      <c r="BL308" s="11">
        <f ca="1">IFERROR(OFFSET(ITEM_RES!$A$1,MATCH(BM308,ITEM_RES!$J:$J,0)-1,0),0)</f>
        <v>0</v>
      </c>
    </row>
    <row r="309" spans="1:67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1058</v>
      </c>
      <c r="L309" s="9" t="s">
        <v>1059</v>
      </c>
      <c r="M309" s="9" t="s">
        <v>1060</v>
      </c>
      <c r="N309" s="9">
        <v>1</v>
      </c>
      <c r="O309" s="9">
        <v>15</v>
      </c>
      <c r="P309" s="9" t="s">
        <v>815</v>
      </c>
      <c r="T309" s="9" t="s">
        <v>745</v>
      </c>
      <c r="W309" s="9">
        <f ca="1">IFERROR(OFFSET(ITEM_RES!$A$5,MATCH(BUILDING!V309,ITEM_RES!$J$5:$J$226,0)-1,0),0)</f>
        <v>0</v>
      </c>
      <c r="Z309" s="9">
        <f ca="1">IFERROR(OFFSET(ITEM_RES!$A$5,MATCH(BUILDING!Y309,ITEM_RES!$J$5:$J$226,0)-1,0),0)</f>
        <v>0</v>
      </c>
      <c r="AB309" s="9" t="s">
        <v>550</v>
      </c>
      <c r="AC309" s="9">
        <v>5</v>
      </c>
      <c r="AE309" s="9">
        <v>1600</v>
      </c>
      <c r="AG309" s="56">
        <f t="shared" si="109"/>
        <v>640</v>
      </c>
      <c r="AH309" s="10">
        <f t="shared" si="111"/>
        <v>1040</v>
      </c>
      <c r="AJ309" s="11">
        <f t="shared" si="108"/>
        <v>25</v>
      </c>
      <c r="AK309" s="10">
        <v>25</v>
      </c>
      <c r="AL309" s="11">
        <f t="shared" si="105"/>
        <v>40</v>
      </c>
      <c r="AM309" s="10">
        <v>40</v>
      </c>
      <c r="AN309" s="11">
        <f t="shared" si="105"/>
        <v>40</v>
      </c>
      <c r="AO309" s="10">
        <v>40</v>
      </c>
      <c r="AP309" s="56">
        <f t="shared" si="110"/>
        <v>1</v>
      </c>
      <c r="AR309" s="11">
        <f ca="1">IFERROR(OFFSET(ITEM_RES!$A$1,MATCH(AS309,ITEM_RES!$J:$J,0)-1,0),0)</f>
        <v>211020801</v>
      </c>
      <c r="AS309" s="10" t="s">
        <v>454</v>
      </c>
      <c r="AT309" s="11">
        <v>200</v>
      </c>
      <c r="AW309" s="11">
        <f ca="1">IFERROR(OFFSET(ITEM_RES!$A$1,MATCH(AX309,ITEM_RES!$J:$J,0)-1,0),0)</f>
        <v>0</v>
      </c>
      <c r="BB309" s="11">
        <f ca="1">IFERROR(OFFSET(ITEM_RES!$A$1,MATCH(BC309,ITEM_RES!$J:$J,0)-1,0),0)</f>
        <v>0</v>
      </c>
      <c r="BG309" s="11">
        <f ca="1">IFERROR(OFFSET(ITEM_RES!$A$1,MATCH(BH309,ITEM_RES!$J:$J,0)-1,0),0)</f>
        <v>0</v>
      </c>
      <c r="BL309" s="11">
        <f ca="1">IFERROR(OFFSET(ITEM_RES!$A$1,MATCH(BM309,ITEM_RES!$J:$J,0)-1,0),0)</f>
        <v>0</v>
      </c>
    </row>
    <row r="310" spans="1:67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1058</v>
      </c>
      <c r="L310" s="9" t="s">
        <v>1059</v>
      </c>
      <c r="M310" s="9" t="s">
        <v>1060</v>
      </c>
      <c r="N310" s="9">
        <v>1</v>
      </c>
      <c r="O310" s="9">
        <v>15</v>
      </c>
      <c r="P310" s="9" t="s">
        <v>815</v>
      </c>
      <c r="T310" s="9" t="s">
        <v>745</v>
      </c>
      <c r="W310" s="9">
        <f ca="1">IFERROR(OFFSET(ITEM_RES!$A$5,MATCH(BUILDING!V310,ITEM_RES!$J$5:$J$226,0)-1,0),0)</f>
        <v>0</v>
      </c>
      <c r="Z310" s="9">
        <f ca="1">IFERROR(OFFSET(ITEM_RES!$A$5,MATCH(BUILDING!Y310,ITEM_RES!$J$5:$J$226,0)-1,0),0)</f>
        <v>0</v>
      </c>
      <c r="AB310" s="9" t="s">
        <v>550</v>
      </c>
      <c r="AC310" s="9">
        <v>6</v>
      </c>
      <c r="AE310" s="9">
        <v>2000</v>
      </c>
      <c r="AG310" s="56">
        <f t="shared" si="109"/>
        <v>800</v>
      </c>
      <c r="AH310" s="10">
        <f t="shared" si="111"/>
        <v>1440</v>
      </c>
      <c r="AJ310" s="11">
        <f t="shared" si="108"/>
        <v>30</v>
      </c>
      <c r="AK310" s="10">
        <v>30</v>
      </c>
      <c r="AL310" s="11">
        <f t="shared" si="105"/>
        <v>50</v>
      </c>
      <c r="AM310" s="10">
        <v>50</v>
      </c>
      <c r="AN310" s="11">
        <f t="shared" si="105"/>
        <v>50</v>
      </c>
      <c r="AO310" s="10">
        <v>50</v>
      </c>
      <c r="AP310" s="56">
        <f t="shared" si="110"/>
        <v>1</v>
      </c>
      <c r="AR310" s="11">
        <f ca="1">IFERROR(OFFSET(ITEM_RES!$A$1,MATCH(AS310,ITEM_RES!$J:$J,0)-1,0),0)</f>
        <v>211020801</v>
      </c>
      <c r="AS310" s="10" t="s">
        <v>454</v>
      </c>
      <c r="AT310" s="11">
        <v>250</v>
      </c>
      <c r="AW310" s="11">
        <f ca="1">IFERROR(OFFSET(ITEM_RES!$A$1,MATCH(AX310,ITEM_RES!$J:$J,0)-1,0),0)</f>
        <v>0</v>
      </c>
      <c r="BB310" s="11">
        <f ca="1">IFERROR(OFFSET(ITEM_RES!$A$1,MATCH(BC310,ITEM_RES!$J:$J,0)-1,0),0)</f>
        <v>0</v>
      </c>
      <c r="BG310" s="11">
        <f ca="1">IFERROR(OFFSET(ITEM_RES!$A$1,MATCH(BH310,ITEM_RES!$J:$J,0)-1,0),0)</f>
        <v>0</v>
      </c>
      <c r="BL310" s="11">
        <f ca="1">IFERROR(OFFSET(ITEM_RES!$A$1,MATCH(BM310,ITEM_RES!$J:$J,0)-1,0),0)</f>
        <v>0</v>
      </c>
    </row>
    <row r="311" spans="1:67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1058</v>
      </c>
      <c r="L311" s="9" t="s">
        <v>1059</v>
      </c>
      <c r="M311" s="9" t="s">
        <v>1060</v>
      </c>
      <c r="N311" s="9">
        <v>1</v>
      </c>
      <c r="O311" s="9">
        <v>15</v>
      </c>
      <c r="P311" s="9" t="s">
        <v>815</v>
      </c>
      <c r="T311" s="9" t="s">
        <v>745</v>
      </c>
      <c r="W311" s="9">
        <f ca="1">IFERROR(OFFSET(ITEM_RES!$A$5,MATCH(BUILDING!V311,ITEM_RES!$J$5:$J$226,0)-1,0),0)</f>
        <v>0</v>
      </c>
      <c r="Z311" s="9">
        <f ca="1">IFERROR(OFFSET(ITEM_RES!$A$5,MATCH(BUILDING!Y311,ITEM_RES!$J$5:$J$226,0)-1,0),0)</f>
        <v>0</v>
      </c>
      <c r="AB311" s="9" t="s">
        <v>550</v>
      </c>
      <c r="AC311" s="9">
        <v>7</v>
      </c>
      <c r="AE311" s="9">
        <v>4000</v>
      </c>
      <c r="AG311" s="56">
        <f t="shared" si="109"/>
        <v>1600</v>
      </c>
      <c r="AH311" s="10">
        <f t="shared" si="111"/>
        <v>2400</v>
      </c>
      <c r="AJ311" s="11">
        <f t="shared" si="108"/>
        <v>35</v>
      </c>
      <c r="AK311" s="10">
        <v>35</v>
      </c>
      <c r="AL311" s="11">
        <f t="shared" si="105"/>
        <v>100</v>
      </c>
      <c r="AM311" s="10">
        <v>100</v>
      </c>
      <c r="AN311" s="11">
        <f t="shared" si="105"/>
        <v>100</v>
      </c>
      <c r="AO311" s="10">
        <v>100</v>
      </c>
      <c r="AP311" s="56">
        <f t="shared" si="110"/>
        <v>1</v>
      </c>
      <c r="AR311" s="11">
        <f ca="1">IFERROR(OFFSET(ITEM_RES!$A$1,MATCH(AS311,ITEM_RES!$J:$J,0)-1,0),0)</f>
        <v>211020801</v>
      </c>
      <c r="AS311" s="10" t="s">
        <v>454</v>
      </c>
      <c r="AT311" s="11">
        <v>500</v>
      </c>
      <c r="AW311" s="11">
        <f ca="1">IFERROR(OFFSET(ITEM_RES!$A$1,MATCH(AX311,ITEM_RES!$J:$J,0)-1,0),0)</f>
        <v>0</v>
      </c>
      <c r="BB311" s="11">
        <f ca="1">IFERROR(OFFSET(ITEM_RES!$A$1,MATCH(BC311,ITEM_RES!$J:$J,0)-1,0),0)</f>
        <v>0</v>
      </c>
      <c r="BG311" s="11">
        <f ca="1">IFERROR(OFFSET(ITEM_RES!$A$1,MATCH(BH311,ITEM_RES!$J:$J,0)-1,0),0)</f>
        <v>0</v>
      </c>
      <c r="BL311" s="11">
        <f ca="1">IFERROR(OFFSET(ITEM_RES!$A$1,MATCH(BM311,ITEM_RES!$J:$J,0)-1,0),0)</f>
        <v>0</v>
      </c>
    </row>
    <row r="312" spans="1:67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1058</v>
      </c>
      <c r="L312" s="9" t="s">
        <v>1059</v>
      </c>
      <c r="M312" s="9" t="s">
        <v>1060</v>
      </c>
      <c r="N312" s="9">
        <v>1</v>
      </c>
      <c r="O312" s="9">
        <v>15</v>
      </c>
      <c r="P312" s="9" t="s">
        <v>815</v>
      </c>
      <c r="T312" s="9" t="s">
        <v>745</v>
      </c>
      <c r="W312" s="9">
        <f ca="1">IFERROR(OFFSET(ITEM_RES!$A$5,MATCH(BUILDING!V312,ITEM_RES!$J$5:$J$226,0)-1,0),0)</f>
        <v>0</v>
      </c>
      <c r="Z312" s="9">
        <f ca="1">IFERROR(OFFSET(ITEM_RES!$A$5,MATCH(BUILDING!Y312,ITEM_RES!$J$5:$J$226,0)-1,0),0)</f>
        <v>0</v>
      </c>
      <c r="AB312" s="9" t="s">
        <v>550</v>
      </c>
      <c r="AC312" s="9">
        <v>8</v>
      </c>
      <c r="AE312" s="9">
        <v>4000</v>
      </c>
      <c r="AG312" s="56">
        <f t="shared" si="109"/>
        <v>1600</v>
      </c>
      <c r="AH312" s="10">
        <f t="shared" si="111"/>
        <v>3200</v>
      </c>
      <c r="AJ312" s="11">
        <f t="shared" si="108"/>
        <v>40</v>
      </c>
      <c r="AK312" s="10">
        <v>40</v>
      </c>
      <c r="AL312" s="11">
        <f t="shared" si="105"/>
        <v>100</v>
      </c>
      <c r="AM312" s="10">
        <v>100</v>
      </c>
      <c r="AN312" s="11">
        <f t="shared" si="105"/>
        <v>100</v>
      </c>
      <c r="AO312" s="10">
        <v>100</v>
      </c>
      <c r="AP312" s="56">
        <f t="shared" si="110"/>
        <v>1</v>
      </c>
      <c r="AR312" s="11">
        <f ca="1">IFERROR(OFFSET(ITEM_RES!$A$1,MATCH(AS312,ITEM_RES!$J:$J,0)-1,0),0)</f>
        <v>211020801</v>
      </c>
      <c r="AS312" s="10" t="s">
        <v>454</v>
      </c>
      <c r="AT312" s="11">
        <v>500</v>
      </c>
      <c r="AW312" s="11">
        <f ca="1">IFERROR(OFFSET(ITEM_RES!$A$1,MATCH(AX312,ITEM_RES!$J:$J,0)-1,0),0)</f>
        <v>0</v>
      </c>
      <c r="BB312" s="11">
        <f ca="1">IFERROR(OFFSET(ITEM_RES!$A$1,MATCH(BC312,ITEM_RES!$J:$J,0)-1,0),0)</f>
        <v>0</v>
      </c>
      <c r="BG312" s="11">
        <f ca="1">IFERROR(OFFSET(ITEM_RES!$A$1,MATCH(BH312,ITEM_RES!$J:$J,0)-1,0),0)</f>
        <v>0</v>
      </c>
      <c r="BL312" s="11">
        <f ca="1">IFERROR(OFFSET(ITEM_RES!$A$1,MATCH(BM312,ITEM_RES!$J:$J,0)-1,0),0)</f>
        <v>0</v>
      </c>
    </row>
    <row r="313" spans="1:67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1058</v>
      </c>
      <c r="L313" s="9" t="s">
        <v>1059</v>
      </c>
      <c r="M313" s="9" t="s">
        <v>1060</v>
      </c>
      <c r="N313" s="9">
        <v>1</v>
      </c>
      <c r="O313" s="9">
        <v>15</v>
      </c>
      <c r="P313" s="9" t="s">
        <v>815</v>
      </c>
      <c r="T313" s="9" t="s">
        <v>745</v>
      </c>
      <c r="W313" s="9">
        <f ca="1">IFERROR(OFFSET(ITEM_RES!$A$5,MATCH(BUILDING!V313,ITEM_RES!$J$5:$J$226,0)-1,0),0)</f>
        <v>0</v>
      </c>
      <c r="Z313" s="9">
        <f ca="1">IFERROR(OFFSET(ITEM_RES!$A$5,MATCH(BUILDING!Y313,ITEM_RES!$J$5:$J$226,0)-1,0),0)</f>
        <v>0</v>
      </c>
      <c r="AB313" s="9" t="s">
        <v>550</v>
      </c>
      <c r="AC313" s="9">
        <v>9</v>
      </c>
      <c r="AE313" s="9">
        <v>6000</v>
      </c>
      <c r="AG313" s="56">
        <f t="shared" si="109"/>
        <v>2400</v>
      </c>
      <c r="AH313" s="10">
        <f t="shared" si="111"/>
        <v>4000</v>
      </c>
      <c r="AJ313" s="11">
        <f t="shared" si="108"/>
        <v>45</v>
      </c>
      <c r="AK313" s="10">
        <v>45</v>
      </c>
      <c r="AL313" s="11">
        <f t="shared" si="105"/>
        <v>150</v>
      </c>
      <c r="AM313" s="10">
        <v>150</v>
      </c>
      <c r="AN313" s="11">
        <f t="shared" si="105"/>
        <v>150</v>
      </c>
      <c r="AO313" s="10">
        <v>150</v>
      </c>
      <c r="AP313" s="56">
        <f t="shared" si="110"/>
        <v>1</v>
      </c>
      <c r="AR313" s="11">
        <f ca="1">IFERROR(OFFSET(ITEM_RES!$A$1,MATCH(AS313,ITEM_RES!$J:$J,0)-1,0),0)</f>
        <v>211020801</v>
      </c>
      <c r="AS313" s="10" t="s">
        <v>454</v>
      </c>
      <c r="AT313" s="11">
        <v>750</v>
      </c>
      <c r="AW313" s="11">
        <f ca="1">IFERROR(OFFSET(ITEM_RES!$A$1,MATCH(AX313,ITEM_RES!$J:$J,0)-1,0),0)</f>
        <v>0</v>
      </c>
      <c r="BB313" s="11">
        <f ca="1">IFERROR(OFFSET(ITEM_RES!$A$1,MATCH(BC313,ITEM_RES!$J:$J,0)-1,0),0)</f>
        <v>0</v>
      </c>
      <c r="BG313" s="11">
        <f ca="1">IFERROR(OFFSET(ITEM_RES!$A$1,MATCH(BH313,ITEM_RES!$J:$J,0)-1,0),0)</f>
        <v>0</v>
      </c>
      <c r="BL313" s="11">
        <f ca="1">IFERROR(OFFSET(ITEM_RES!$A$1,MATCH(BM313,ITEM_RES!$J:$J,0)-1,0),0)</f>
        <v>0</v>
      </c>
    </row>
    <row r="314" spans="1:67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1058</v>
      </c>
      <c r="L314" s="9" t="s">
        <v>1059</v>
      </c>
      <c r="M314" s="9" t="s">
        <v>1060</v>
      </c>
      <c r="N314" s="9">
        <v>1</v>
      </c>
      <c r="O314" s="9">
        <v>15</v>
      </c>
      <c r="P314" s="9" t="s">
        <v>815</v>
      </c>
      <c r="T314" s="9" t="s">
        <v>745</v>
      </c>
      <c r="W314" s="9">
        <f ca="1">IFERROR(OFFSET(ITEM_RES!$A$5,MATCH(BUILDING!V314,ITEM_RES!$J$5:$J$226,0)-1,0),0)</f>
        <v>0</v>
      </c>
      <c r="Z314" s="9">
        <f ca="1">IFERROR(OFFSET(ITEM_RES!$A$5,MATCH(BUILDING!Y314,ITEM_RES!$J$5:$J$226,0)-1,0),0)</f>
        <v>0</v>
      </c>
      <c r="AB314" s="9" t="s">
        <v>550</v>
      </c>
      <c r="AC314" s="9">
        <v>10</v>
      </c>
      <c r="AE314" s="9">
        <v>8000</v>
      </c>
      <c r="AG314" s="56">
        <f t="shared" si="109"/>
        <v>3200</v>
      </c>
      <c r="AH314" s="10">
        <f t="shared" si="111"/>
        <v>5600</v>
      </c>
      <c r="AJ314" s="11">
        <f t="shared" si="108"/>
        <v>50</v>
      </c>
      <c r="AK314" s="10">
        <v>50</v>
      </c>
      <c r="AL314" s="11">
        <f t="shared" si="105"/>
        <v>200</v>
      </c>
      <c r="AM314" s="10">
        <v>200</v>
      </c>
      <c r="AN314" s="11">
        <f t="shared" si="105"/>
        <v>200</v>
      </c>
      <c r="AO314" s="10">
        <v>200</v>
      </c>
      <c r="AP314" s="56">
        <f t="shared" si="110"/>
        <v>1</v>
      </c>
      <c r="AR314" s="11">
        <f ca="1">IFERROR(OFFSET(ITEM_RES!$A$1,MATCH(AS314,ITEM_RES!$J:$J,0)-1,0),0)</f>
        <v>211020801</v>
      </c>
      <c r="AS314" s="10" t="s">
        <v>454</v>
      </c>
      <c r="AT314" s="11">
        <v>1000</v>
      </c>
      <c r="AW314" s="11">
        <f ca="1">IFERROR(OFFSET(ITEM_RES!$A$1,MATCH(AX314,ITEM_RES!$J:$J,0)-1,0),0)</f>
        <v>0</v>
      </c>
      <c r="BB314" s="11">
        <f ca="1">IFERROR(OFFSET(ITEM_RES!$A$1,MATCH(BC314,ITEM_RES!$J:$J,0)-1,0),0)</f>
        <v>0</v>
      </c>
      <c r="BG314" s="11">
        <f ca="1">IFERROR(OFFSET(ITEM_RES!$A$1,MATCH(BH314,ITEM_RES!$J:$J,0)-1,0),0)</f>
        <v>0</v>
      </c>
      <c r="BL314" s="11">
        <f ca="1">IFERROR(OFFSET(ITEM_RES!$A$1,MATCH(BM314,ITEM_RES!$J:$J,0)-1,0),0)</f>
        <v>0</v>
      </c>
    </row>
    <row r="315" spans="1:67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1058</v>
      </c>
      <c r="L315" s="9" t="s">
        <v>1059</v>
      </c>
      <c r="M315" s="9" t="s">
        <v>1060</v>
      </c>
      <c r="N315" s="9">
        <v>1</v>
      </c>
      <c r="O315" s="9">
        <v>15</v>
      </c>
      <c r="P315" s="9" t="s">
        <v>815</v>
      </c>
      <c r="T315" s="9" t="s">
        <v>745</v>
      </c>
      <c r="W315" s="9">
        <f ca="1">IFERROR(OFFSET(ITEM_RES!$A$5,MATCH(BUILDING!V315,ITEM_RES!$J$5:$J$226,0)-1,0),0)</f>
        <v>0</v>
      </c>
      <c r="Z315" s="9">
        <f ca="1">IFERROR(OFFSET(ITEM_RES!$A$5,MATCH(BUILDING!Y315,ITEM_RES!$J$5:$J$226,0)-1,0),0)</f>
        <v>0</v>
      </c>
      <c r="AB315" s="9" t="s">
        <v>550</v>
      </c>
      <c r="AC315" s="9">
        <v>11</v>
      </c>
      <c r="AE315" s="9">
        <v>10000</v>
      </c>
      <c r="AG315" s="56">
        <f t="shared" si="109"/>
        <v>4000</v>
      </c>
      <c r="AH315" s="10">
        <f t="shared" si="111"/>
        <v>7200</v>
      </c>
      <c r="AJ315" s="11">
        <f t="shared" si="108"/>
        <v>55</v>
      </c>
      <c r="AK315" s="10">
        <v>55</v>
      </c>
      <c r="AL315" s="11">
        <f t="shared" si="105"/>
        <v>250</v>
      </c>
      <c r="AM315" s="10">
        <v>250</v>
      </c>
      <c r="AN315" s="11">
        <f t="shared" si="105"/>
        <v>250</v>
      </c>
      <c r="AO315" s="10">
        <v>250</v>
      </c>
      <c r="AP315" s="56">
        <f t="shared" si="110"/>
        <v>1</v>
      </c>
      <c r="AR315" s="11">
        <f ca="1">IFERROR(OFFSET(ITEM_RES!$A$1,MATCH(AS315,ITEM_RES!$J:$J,0)-1,0),0)</f>
        <v>211020801</v>
      </c>
      <c r="AS315" s="10" t="s">
        <v>454</v>
      </c>
      <c r="AT315" s="11">
        <v>1250</v>
      </c>
      <c r="AW315" s="11">
        <f ca="1">IFERROR(OFFSET(ITEM_RES!$A$1,MATCH(AX315,ITEM_RES!$J:$J,0)-1,0),0)</f>
        <v>0</v>
      </c>
      <c r="BB315" s="11">
        <f ca="1">IFERROR(OFFSET(ITEM_RES!$A$1,MATCH(BC315,ITEM_RES!$J:$J,0)-1,0),0)</f>
        <v>0</v>
      </c>
      <c r="BG315" s="11">
        <f ca="1">IFERROR(OFFSET(ITEM_RES!$A$1,MATCH(BH315,ITEM_RES!$J:$J,0)-1,0),0)</f>
        <v>0</v>
      </c>
      <c r="BL315" s="11">
        <f ca="1">IFERROR(OFFSET(ITEM_RES!$A$1,MATCH(BM315,ITEM_RES!$J:$J,0)-1,0),0)</f>
        <v>0</v>
      </c>
    </row>
    <row r="316" spans="1:67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1058</v>
      </c>
      <c r="L316" s="9" t="s">
        <v>1059</v>
      </c>
      <c r="M316" s="9" t="s">
        <v>1060</v>
      </c>
      <c r="N316" s="9">
        <v>1</v>
      </c>
      <c r="O316" s="9">
        <v>15</v>
      </c>
      <c r="P316" s="9" t="s">
        <v>815</v>
      </c>
      <c r="T316" s="9" t="s">
        <v>745</v>
      </c>
      <c r="W316" s="9">
        <f ca="1">IFERROR(OFFSET(ITEM_RES!$A$5,MATCH(BUILDING!V316,ITEM_RES!$J$5:$J$226,0)-1,0),0)</f>
        <v>0</v>
      </c>
      <c r="Z316" s="9">
        <f ca="1">IFERROR(OFFSET(ITEM_RES!$A$5,MATCH(BUILDING!Y316,ITEM_RES!$J$5:$J$226,0)-1,0),0)</f>
        <v>0</v>
      </c>
      <c r="AB316" s="9" t="s">
        <v>550</v>
      </c>
      <c r="AC316" s="9">
        <v>12</v>
      </c>
      <c r="AE316" s="9">
        <v>12000</v>
      </c>
      <c r="AG316" s="56">
        <f t="shared" si="109"/>
        <v>4800</v>
      </c>
      <c r="AH316" s="10">
        <f t="shared" si="111"/>
        <v>8800</v>
      </c>
      <c r="AJ316" s="11">
        <f t="shared" si="108"/>
        <v>60</v>
      </c>
      <c r="AK316" s="10">
        <v>60</v>
      </c>
      <c r="AL316" s="11">
        <f t="shared" si="105"/>
        <v>300</v>
      </c>
      <c r="AM316" s="10">
        <v>300</v>
      </c>
      <c r="AN316" s="11">
        <f t="shared" si="105"/>
        <v>300</v>
      </c>
      <c r="AO316" s="10">
        <v>300</v>
      </c>
      <c r="AP316" s="56">
        <f t="shared" si="110"/>
        <v>1</v>
      </c>
      <c r="AR316" s="11">
        <f ca="1">IFERROR(OFFSET(ITEM_RES!$A$1,MATCH(AS316,ITEM_RES!$J:$J,0)-1,0),0)</f>
        <v>211020801</v>
      </c>
      <c r="AS316" s="10" t="s">
        <v>454</v>
      </c>
      <c r="AT316" s="11">
        <v>1500</v>
      </c>
      <c r="AW316" s="11">
        <f ca="1">IFERROR(OFFSET(ITEM_RES!$A$1,MATCH(AX316,ITEM_RES!$J:$J,0)-1,0),0)</f>
        <v>0</v>
      </c>
      <c r="BB316" s="11">
        <f ca="1">IFERROR(OFFSET(ITEM_RES!$A$1,MATCH(BC316,ITEM_RES!$J:$J,0)-1,0),0)</f>
        <v>0</v>
      </c>
      <c r="BG316" s="11">
        <f ca="1">IFERROR(OFFSET(ITEM_RES!$A$1,MATCH(BH316,ITEM_RES!$J:$J,0)-1,0),0)</f>
        <v>0</v>
      </c>
      <c r="BL316" s="11">
        <f ca="1">IFERROR(OFFSET(ITEM_RES!$A$1,MATCH(BM316,ITEM_RES!$J:$J,0)-1,0),0)</f>
        <v>0</v>
      </c>
    </row>
    <row r="317" spans="1:67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1058</v>
      </c>
      <c r="L317" s="9" t="s">
        <v>1059</v>
      </c>
      <c r="M317" s="9" t="s">
        <v>1060</v>
      </c>
      <c r="N317" s="9">
        <v>1</v>
      </c>
      <c r="O317" s="9">
        <v>15</v>
      </c>
      <c r="P317" s="9" t="s">
        <v>815</v>
      </c>
      <c r="T317" s="9" t="s">
        <v>745</v>
      </c>
      <c r="W317" s="9">
        <f ca="1">IFERROR(OFFSET(ITEM_RES!$A$5,MATCH(BUILDING!V317,ITEM_RES!$J$5:$J$226,0)-1,0),0)</f>
        <v>0</v>
      </c>
      <c r="Z317" s="9">
        <f ca="1">IFERROR(OFFSET(ITEM_RES!$A$5,MATCH(BUILDING!Y317,ITEM_RES!$J$5:$J$226,0)-1,0),0)</f>
        <v>0</v>
      </c>
      <c r="AB317" s="9" t="s">
        <v>550</v>
      </c>
      <c r="AC317" s="9">
        <v>13</v>
      </c>
      <c r="AE317" s="9">
        <v>14000</v>
      </c>
      <c r="AG317" s="56">
        <f t="shared" si="109"/>
        <v>5600</v>
      </c>
      <c r="AH317" s="10">
        <f t="shared" si="111"/>
        <v>10400</v>
      </c>
      <c r="AJ317" s="11">
        <f t="shared" si="108"/>
        <v>65</v>
      </c>
      <c r="AK317" s="10">
        <v>65</v>
      </c>
      <c r="AL317" s="11">
        <f t="shared" si="105"/>
        <v>350</v>
      </c>
      <c r="AM317" s="10">
        <v>350</v>
      </c>
      <c r="AN317" s="11">
        <f t="shared" si="105"/>
        <v>350</v>
      </c>
      <c r="AO317" s="10">
        <v>350</v>
      </c>
      <c r="AP317" s="56">
        <f t="shared" si="110"/>
        <v>1</v>
      </c>
      <c r="AR317" s="11">
        <f ca="1">IFERROR(OFFSET(ITEM_RES!$A$1,MATCH(AS317,ITEM_RES!$J:$J,0)-1,0),0)</f>
        <v>211020801</v>
      </c>
      <c r="AS317" s="10" t="s">
        <v>454</v>
      </c>
      <c r="AT317" s="11">
        <v>1750</v>
      </c>
      <c r="AW317" s="11">
        <f ca="1">IFERROR(OFFSET(ITEM_RES!$A$1,MATCH(AX317,ITEM_RES!$J:$J,0)-1,0),0)</f>
        <v>0</v>
      </c>
      <c r="BB317" s="11">
        <f ca="1">IFERROR(OFFSET(ITEM_RES!$A$1,MATCH(BC317,ITEM_RES!$J:$J,0)-1,0),0)</f>
        <v>0</v>
      </c>
      <c r="BG317" s="11">
        <f ca="1">IFERROR(OFFSET(ITEM_RES!$A$1,MATCH(BH317,ITEM_RES!$J:$J,0)-1,0),0)</f>
        <v>0</v>
      </c>
      <c r="BL317" s="11">
        <f ca="1">IFERROR(OFFSET(ITEM_RES!$A$1,MATCH(BM317,ITEM_RES!$J:$J,0)-1,0),0)</f>
        <v>0</v>
      </c>
    </row>
    <row r="318" spans="1:67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1058</v>
      </c>
      <c r="L318" s="9" t="s">
        <v>1059</v>
      </c>
      <c r="M318" s="9" t="s">
        <v>1060</v>
      </c>
      <c r="N318" s="9">
        <v>1</v>
      </c>
      <c r="O318" s="9">
        <v>15</v>
      </c>
      <c r="P318" s="9" t="s">
        <v>815</v>
      </c>
      <c r="T318" s="9" t="s">
        <v>745</v>
      </c>
      <c r="W318" s="9">
        <f ca="1">IFERROR(OFFSET(ITEM_RES!$A$5,MATCH(BUILDING!V318,ITEM_RES!$J$5:$J$226,0)-1,0),0)</f>
        <v>0</v>
      </c>
      <c r="Z318" s="9">
        <f ca="1">IFERROR(OFFSET(ITEM_RES!$A$5,MATCH(BUILDING!Y318,ITEM_RES!$J$5:$J$226,0)-1,0),0)</f>
        <v>0</v>
      </c>
      <c r="AB318" s="9" t="s">
        <v>550</v>
      </c>
      <c r="AC318" s="9">
        <v>14</v>
      </c>
      <c r="AE318" s="9">
        <v>18000</v>
      </c>
      <c r="AG318" s="56">
        <f t="shared" si="109"/>
        <v>7700</v>
      </c>
      <c r="AH318" s="10">
        <f t="shared" si="111"/>
        <v>13300</v>
      </c>
      <c r="AJ318" s="11">
        <f t="shared" si="108"/>
        <v>70</v>
      </c>
      <c r="AK318" s="10">
        <v>70</v>
      </c>
      <c r="AL318" s="11">
        <f t="shared" si="105"/>
        <v>450</v>
      </c>
      <c r="AM318" s="10">
        <v>450</v>
      </c>
      <c r="AN318" s="11">
        <f t="shared" si="105"/>
        <v>450</v>
      </c>
      <c r="AO318" s="10">
        <v>450</v>
      </c>
      <c r="AP318" s="56">
        <f t="shared" si="110"/>
        <v>2</v>
      </c>
      <c r="AR318" s="11">
        <f ca="1">IFERROR(OFFSET(ITEM_RES!$A$1,MATCH(AS318,ITEM_RES!$J:$J,0)-1,0),0)</f>
        <v>211020801</v>
      </c>
      <c r="AS318" s="10" t="s">
        <v>454</v>
      </c>
      <c r="AT318" s="11">
        <v>2250</v>
      </c>
      <c r="AW318" s="11">
        <f ca="1">IFERROR(OFFSET(ITEM_RES!$A$1,MATCH(AX318,ITEM_RES!$J:$J,0)-1,0),0)</f>
        <v>0</v>
      </c>
      <c r="BB318" s="11">
        <f ca="1">IFERROR(OFFSET(ITEM_RES!$A$1,MATCH(BC318,ITEM_RES!$J:$J,0)-1,0),0)</f>
        <v>0</v>
      </c>
      <c r="BG318" s="11">
        <f ca="1">IFERROR(OFFSET(ITEM_RES!$A$1,MATCH(BH318,ITEM_RES!$J:$J,0)-1,0),0)</f>
        <v>213010901</v>
      </c>
      <c r="BH318" s="10" t="s">
        <v>489</v>
      </c>
      <c r="BI318" s="11">
        <v>1</v>
      </c>
      <c r="BL318" s="11">
        <f ca="1">IFERROR(OFFSET(ITEM_RES!$A$1,MATCH(BM318,ITEM_RES!$J:$J,0)-1,0),0)</f>
        <v>0</v>
      </c>
    </row>
    <row r="319" spans="1:67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1058</v>
      </c>
      <c r="L319" s="9" t="s">
        <v>1059</v>
      </c>
      <c r="M319" s="9" t="s">
        <v>1060</v>
      </c>
      <c r="N319" s="9">
        <v>1</v>
      </c>
      <c r="O319" s="9">
        <v>15</v>
      </c>
      <c r="P319" s="9" t="s">
        <v>815</v>
      </c>
      <c r="T319" s="9" t="s">
        <v>745</v>
      </c>
      <c r="W319" s="9">
        <f ca="1">IFERROR(OFFSET(ITEM_RES!$A$5,MATCH(BUILDING!V319,ITEM_RES!$J$5:$J$226,0)-1,0),0)</f>
        <v>0</v>
      </c>
      <c r="Z319" s="9">
        <f ca="1">IFERROR(OFFSET(ITEM_RES!$A$5,MATCH(BUILDING!Y319,ITEM_RES!$J$5:$J$226,0)-1,0),0)</f>
        <v>0</v>
      </c>
      <c r="AB319" s="9" t="s">
        <v>550</v>
      </c>
      <c r="AC319" s="9">
        <v>15</v>
      </c>
      <c r="AE319" s="9">
        <v>22000</v>
      </c>
      <c r="AG319" s="56">
        <f t="shared" si="109"/>
        <v>8800</v>
      </c>
      <c r="AH319" s="10">
        <f t="shared" si="111"/>
        <v>16500</v>
      </c>
      <c r="AJ319" s="11">
        <f t="shared" si="108"/>
        <v>75</v>
      </c>
      <c r="AK319" s="10">
        <v>75</v>
      </c>
      <c r="AL319" s="11">
        <f t="shared" si="105"/>
        <v>550</v>
      </c>
      <c r="AM319" s="10">
        <v>550</v>
      </c>
      <c r="AN319" s="11">
        <f t="shared" si="105"/>
        <v>550</v>
      </c>
      <c r="AO319" s="10">
        <v>550</v>
      </c>
      <c r="AP319" s="56">
        <f t="shared" si="110"/>
        <v>1</v>
      </c>
      <c r="AR319" s="11">
        <f ca="1">IFERROR(OFFSET(ITEM_RES!$A$1,MATCH(AS319,ITEM_RES!$J:$J,0)-1,0),0)</f>
        <v>211020801</v>
      </c>
      <c r="AS319" s="10" t="s">
        <v>454</v>
      </c>
      <c r="AT319" s="11">
        <v>2750</v>
      </c>
      <c r="AW319" s="11">
        <f ca="1">IFERROR(OFFSET(ITEM_RES!$A$1,MATCH(AX319,ITEM_RES!$J:$J,0)-1,0),0)</f>
        <v>0</v>
      </c>
      <c r="BB319" s="11">
        <f ca="1">IFERROR(OFFSET(ITEM_RES!$A$1,MATCH(BC319,ITEM_RES!$J:$J,0)-1,0),0)</f>
        <v>0</v>
      </c>
      <c r="BG319" s="11">
        <f ca="1">IFERROR(OFFSET(ITEM_RES!$A$1,MATCH(BH319,ITEM_RES!$J:$J,0)-1,0),0)</f>
        <v>0</v>
      </c>
      <c r="BL319" s="11">
        <f ca="1">IFERROR(OFFSET(ITEM_RES!$A$1,MATCH(BM319,ITEM_RES!$J:$J,0)-1,0),0)</f>
        <v>0</v>
      </c>
    </row>
    <row r="320" spans="1:67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1058</v>
      </c>
      <c r="L320" s="9" t="s">
        <v>1059</v>
      </c>
      <c r="M320" s="9" t="s">
        <v>1060</v>
      </c>
      <c r="N320" s="9">
        <v>0</v>
      </c>
      <c r="O320" s="9">
        <v>15</v>
      </c>
      <c r="P320" s="9" t="s">
        <v>815</v>
      </c>
      <c r="T320" s="9" t="s">
        <v>745</v>
      </c>
      <c r="W320" s="9">
        <f ca="1">IFERROR(OFFSET(ITEM_RES!$A$5,MATCH(BUILDING!V320,ITEM_RES!$J$5:$J$226,0)-1,0),0)</f>
        <v>0</v>
      </c>
      <c r="Z320" s="9">
        <f ca="1">IFERROR(OFFSET(ITEM_RES!$A$5,MATCH(BUILDING!Y320,ITEM_RES!$J$5:$J$226,0)-1,0),0)</f>
        <v>0</v>
      </c>
      <c r="AB320" s="9" t="s">
        <v>550</v>
      </c>
      <c r="AC320" s="9">
        <v>16</v>
      </c>
      <c r="AE320" s="9">
        <v>28000</v>
      </c>
      <c r="AG320" s="56">
        <f t="shared" si="109"/>
        <v>11200</v>
      </c>
      <c r="AH320" s="10">
        <f t="shared" si="111"/>
        <v>20000</v>
      </c>
      <c r="AJ320" s="11">
        <f t="shared" si="108"/>
        <v>80</v>
      </c>
      <c r="AK320" s="10">
        <v>80</v>
      </c>
      <c r="AL320" s="11">
        <f t="shared" si="105"/>
        <v>700</v>
      </c>
      <c r="AM320" s="10">
        <v>700</v>
      </c>
      <c r="AN320" s="11">
        <f t="shared" si="105"/>
        <v>700</v>
      </c>
      <c r="AO320" s="10">
        <v>700</v>
      </c>
      <c r="AP320" s="56">
        <f t="shared" si="110"/>
        <v>1</v>
      </c>
      <c r="AR320" s="11">
        <f ca="1">IFERROR(OFFSET(ITEM_RES!$A$1,MATCH(AS320,ITEM_RES!$J:$J,0)-1,0),0)</f>
        <v>211020801</v>
      </c>
      <c r="AS320" s="10" t="s">
        <v>454</v>
      </c>
      <c r="AT320" s="11">
        <v>3500</v>
      </c>
      <c r="AW320" s="11">
        <f ca="1">IFERROR(OFFSET(ITEM_RES!$A$1,MATCH(AX320,ITEM_RES!$J:$J,0)-1,0),0)</f>
        <v>0</v>
      </c>
      <c r="BB320" s="11">
        <f ca="1">IFERROR(OFFSET(ITEM_RES!$A$1,MATCH(BC320,ITEM_RES!$J:$J,0)-1,0),0)</f>
        <v>0</v>
      </c>
      <c r="BG320" s="11">
        <f ca="1">IFERROR(OFFSET(ITEM_RES!$A$1,MATCH(BH320,ITEM_RES!$J:$J,0)-1,0),0)</f>
        <v>0</v>
      </c>
      <c r="BL320" s="11">
        <f ca="1">IFERROR(OFFSET(ITEM_RES!$A$1,MATCH(BM320,ITEM_RES!$J:$J,0)-1,0),0)</f>
        <v>0</v>
      </c>
    </row>
    <row r="321" spans="1:67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1058</v>
      </c>
      <c r="L321" s="9" t="s">
        <v>1059</v>
      </c>
      <c r="M321" s="9" t="s">
        <v>1060</v>
      </c>
      <c r="N321" s="9">
        <v>0</v>
      </c>
      <c r="O321" s="9">
        <v>15</v>
      </c>
      <c r="P321" s="9" t="s">
        <v>815</v>
      </c>
      <c r="T321" s="9" t="s">
        <v>745</v>
      </c>
      <c r="W321" s="9">
        <f ca="1">IFERROR(OFFSET(ITEM_RES!$A$5,MATCH(BUILDING!V321,ITEM_RES!$J$5:$J$226,0)-1,0),0)</f>
        <v>0</v>
      </c>
      <c r="Z321" s="9">
        <f ca="1">IFERROR(OFFSET(ITEM_RES!$A$5,MATCH(BUILDING!Y321,ITEM_RES!$J$5:$J$226,0)-1,0),0)</f>
        <v>0</v>
      </c>
      <c r="AB321" s="9" t="s">
        <v>550</v>
      </c>
      <c r="AC321" s="9">
        <v>17</v>
      </c>
      <c r="AE321" s="9">
        <v>34000</v>
      </c>
      <c r="AG321" s="56">
        <f t="shared" si="109"/>
        <v>13600</v>
      </c>
      <c r="AH321" s="10">
        <f t="shared" si="111"/>
        <v>24800</v>
      </c>
      <c r="AJ321" s="11">
        <f t="shared" si="108"/>
        <v>85</v>
      </c>
      <c r="AK321" s="10">
        <v>85</v>
      </c>
      <c r="AL321" s="11">
        <f t="shared" si="105"/>
        <v>850</v>
      </c>
      <c r="AM321" s="10">
        <v>850</v>
      </c>
      <c r="AN321" s="11">
        <f t="shared" si="105"/>
        <v>850</v>
      </c>
      <c r="AO321" s="10">
        <v>850</v>
      </c>
      <c r="AP321" s="56">
        <f t="shared" si="110"/>
        <v>1</v>
      </c>
      <c r="AR321" s="11">
        <f ca="1">IFERROR(OFFSET(ITEM_RES!$A$1,MATCH(AS321,ITEM_RES!$J:$J,0)-1,0),0)</f>
        <v>211020801</v>
      </c>
      <c r="AS321" s="10" t="s">
        <v>454</v>
      </c>
      <c r="AT321" s="11">
        <v>4250</v>
      </c>
      <c r="AW321" s="11">
        <f ca="1">IFERROR(OFFSET(ITEM_RES!$A$1,MATCH(AX321,ITEM_RES!$J:$J,0)-1,0),0)</f>
        <v>0</v>
      </c>
      <c r="BB321" s="11">
        <f ca="1">IFERROR(OFFSET(ITEM_RES!$A$1,MATCH(BC321,ITEM_RES!$J:$J,0)-1,0),0)</f>
        <v>0</v>
      </c>
      <c r="BG321" s="11">
        <f ca="1">IFERROR(OFFSET(ITEM_RES!$A$1,MATCH(BH321,ITEM_RES!$J:$J,0)-1,0),0)</f>
        <v>0</v>
      </c>
      <c r="BL321" s="11">
        <f ca="1">IFERROR(OFFSET(ITEM_RES!$A$1,MATCH(BM321,ITEM_RES!$J:$J,0)-1,0),0)</f>
        <v>0</v>
      </c>
    </row>
    <row r="322" spans="1:67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1058</v>
      </c>
      <c r="L322" s="9" t="s">
        <v>1059</v>
      </c>
      <c r="M322" s="9" t="s">
        <v>1060</v>
      </c>
      <c r="N322" s="9">
        <v>0</v>
      </c>
      <c r="O322" s="9">
        <v>15</v>
      </c>
      <c r="P322" s="9" t="s">
        <v>815</v>
      </c>
      <c r="T322" s="9" t="s">
        <v>745</v>
      </c>
      <c r="W322" s="9">
        <f ca="1">IFERROR(OFFSET(ITEM_RES!$A$5,MATCH(BUILDING!V322,ITEM_RES!$J$5:$J$226,0)-1,0),0)</f>
        <v>0</v>
      </c>
      <c r="Z322" s="9">
        <f ca="1">IFERROR(OFFSET(ITEM_RES!$A$5,MATCH(BUILDING!Y322,ITEM_RES!$J$5:$J$226,0)-1,0),0)</f>
        <v>0</v>
      </c>
      <c r="AB322" s="9" t="s">
        <v>550</v>
      </c>
      <c r="AC322" s="9">
        <v>18</v>
      </c>
      <c r="AE322" s="9">
        <v>42000</v>
      </c>
      <c r="AG322" s="56">
        <f t="shared" si="109"/>
        <v>16800</v>
      </c>
      <c r="AH322" s="10">
        <f t="shared" si="111"/>
        <v>30400</v>
      </c>
      <c r="AJ322" s="11">
        <f t="shared" si="108"/>
        <v>90</v>
      </c>
      <c r="AK322" s="10">
        <v>90</v>
      </c>
      <c r="AL322" s="11">
        <f t="shared" ref="AL322:AN384" si="115">ROUND(AM322,0)</f>
        <v>1050</v>
      </c>
      <c r="AM322" s="10">
        <v>1050</v>
      </c>
      <c r="AN322" s="11">
        <f t="shared" si="115"/>
        <v>1050</v>
      </c>
      <c r="AO322" s="10">
        <v>1050</v>
      </c>
      <c r="AP322" s="56">
        <f t="shared" si="110"/>
        <v>1</v>
      </c>
      <c r="AR322" s="11">
        <f ca="1">IFERROR(OFFSET(ITEM_RES!$A$1,MATCH(AS322,ITEM_RES!$J:$J,0)-1,0),0)</f>
        <v>211020801</v>
      </c>
      <c r="AS322" s="10" t="s">
        <v>454</v>
      </c>
      <c r="AT322" s="11">
        <v>5250</v>
      </c>
      <c r="AW322" s="11">
        <f ca="1">IFERROR(OFFSET(ITEM_RES!$A$1,MATCH(AX322,ITEM_RES!$J:$J,0)-1,0),0)</f>
        <v>0</v>
      </c>
      <c r="BB322" s="11">
        <f ca="1">IFERROR(OFFSET(ITEM_RES!$A$1,MATCH(BC322,ITEM_RES!$J:$J,0)-1,0),0)</f>
        <v>0</v>
      </c>
      <c r="BG322" s="11">
        <f ca="1">IFERROR(OFFSET(ITEM_RES!$A$1,MATCH(BH322,ITEM_RES!$J:$J,0)-1,0),0)</f>
        <v>0</v>
      </c>
      <c r="BL322" s="11">
        <f ca="1">IFERROR(OFFSET(ITEM_RES!$A$1,MATCH(BM322,ITEM_RES!$J:$J,0)-1,0),0)</f>
        <v>0</v>
      </c>
    </row>
    <row r="323" spans="1:67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1058</v>
      </c>
      <c r="L323" s="9" t="s">
        <v>1059</v>
      </c>
      <c r="M323" s="9" t="s">
        <v>1060</v>
      </c>
      <c r="N323" s="9">
        <v>0</v>
      </c>
      <c r="O323" s="9">
        <v>15</v>
      </c>
      <c r="P323" s="9" t="s">
        <v>815</v>
      </c>
      <c r="T323" s="9" t="s">
        <v>745</v>
      </c>
      <c r="W323" s="9">
        <f ca="1">IFERROR(OFFSET(ITEM_RES!$A$5,MATCH(BUILDING!V323,ITEM_RES!$J$5:$J$226,0)-1,0),0)</f>
        <v>0</v>
      </c>
      <c r="Z323" s="9">
        <f ca="1">IFERROR(OFFSET(ITEM_RES!$A$5,MATCH(BUILDING!Y323,ITEM_RES!$J$5:$J$226,0)-1,0),0)</f>
        <v>0</v>
      </c>
      <c r="AB323" s="9" t="s">
        <v>550</v>
      </c>
      <c r="AC323" s="9">
        <v>19</v>
      </c>
      <c r="AE323" s="9">
        <v>50000</v>
      </c>
      <c r="AG323" s="56">
        <f t="shared" si="109"/>
        <v>20000</v>
      </c>
      <c r="AH323" s="10">
        <f t="shared" si="111"/>
        <v>36800</v>
      </c>
      <c r="AJ323" s="11">
        <f t="shared" si="108"/>
        <v>95</v>
      </c>
      <c r="AK323" s="10">
        <v>95</v>
      </c>
      <c r="AL323" s="11">
        <f t="shared" si="115"/>
        <v>1250</v>
      </c>
      <c r="AM323" s="10">
        <v>1250</v>
      </c>
      <c r="AN323" s="11">
        <f t="shared" si="115"/>
        <v>1250</v>
      </c>
      <c r="AO323" s="10">
        <v>1250</v>
      </c>
      <c r="AP323" s="56">
        <f t="shared" si="110"/>
        <v>1</v>
      </c>
      <c r="AR323" s="11">
        <f ca="1">IFERROR(OFFSET(ITEM_RES!$A$1,MATCH(AS323,ITEM_RES!$J:$J,0)-1,0),0)</f>
        <v>211020901</v>
      </c>
      <c r="AS323" s="10" t="s">
        <v>466</v>
      </c>
      <c r="AT323" s="11">
        <v>6250</v>
      </c>
      <c r="AW323" s="11">
        <f ca="1">IFERROR(OFFSET(ITEM_RES!$A$1,MATCH(AX323,ITEM_RES!$J:$J,0)-1,0),0)</f>
        <v>0</v>
      </c>
      <c r="BB323" s="11">
        <f ca="1">IFERROR(OFFSET(ITEM_RES!$A$1,MATCH(BC323,ITEM_RES!$J:$J,0)-1,0),0)</f>
        <v>0</v>
      </c>
      <c r="BG323" s="11">
        <f ca="1">IFERROR(OFFSET(ITEM_RES!$A$1,MATCH(BH323,ITEM_RES!$J:$J,0)-1,0),0)</f>
        <v>0</v>
      </c>
      <c r="BL323" s="11">
        <f ca="1">IFERROR(OFFSET(ITEM_RES!$A$1,MATCH(BM323,ITEM_RES!$J:$J,0)-1,0),0)</f>
        <v>0</v>
      </c>
    </row>
    <row r="324" spans="1:67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1058</v>
      </c>
      <c r="L324" s="9" t="s">
        <v>1059</v>
      </c>
      <c r="M324" s="9" t="s">
        <v>1060</v>
      </c>
      <c r="N324" s="9">
        <v>0</v>
      </c>
      <c r="O324" s="9">
        <v>15</v>
      </c>
      <c r="P324" s="9" t="s">
        <v>815</v>
      </c>
      <c r="T324" s="9" t="s">
        <v>745</v>
      </c>
      <c r="W324" s="9">
        <f ca="1">IFERROR(OFFSET(ITEM_RES!$A$5,MATCH(BUILDING!V324,ITEM_RES!$J$5:$J$226,0)-1,0),0)</f>
        <v>0</v>
      </c>
      <c r="Z324" s="9">
        <f ca="1">IFERROR(OFFSET(ITEM_RES!$A$5,MATCH(BUILDING!Y324,ITEM_RES!$J$5:$J$226,0)-1,0),0)</f>
        <v>0</v>
      </c>
      <c r="AB324" s="9" t="s">
        <v>550</v>
      </c>
      <c r="AC324" s="9">
        <v>20</v>
      </c>
      <c r="AE324" s="9">
        <v>60000</v>
      </c>
      <c r="AG324" s="56">
        <f t="shared" si="109"/>
        <v>24000</v>
      </c>
      <c r="AH324" s="10">
        <f t="shared" si="111"/>
        <v>44000</v>
      </c>
      <c r="AJ324" s="11">
        <f t="shared" si="108"/>
        <v>100</v>
      </c>
      <c r="AK324" s="10">
        <v>100</v>
      </c>
      <c r="AL324" s="11">
        <f t="shared" si="115"/>
        <v>1500</v>
      </c>
      <c r="AM324" s="10">
        <v>1500</v>
      </c>
      <c r="AN324" s="11">
        <f t="shared" si="115"/>
        <v>1500</v>
      </c>
      <c r="AO324" s="10">
        <v>1500</v>
      </c>
      <c r="AP324" s="56">
        <f t="shared" si="110"/>
        <v>1</v>
      </c>
      <c r="AR324" s="11">
        <f ca="1">IFERROR(OFFSET(ITEM_RES!$A$1,MATCH(AS324,ITEM_RES!$J:$J,0)-1,0),0)</f>
        <v>211020901</v>
      </c>
      <c r="AS324" s="10" t="s">
        <v>466</v>
      </c>
      <c r="AT324" s="11">
        <v>7500</v>
      </c>
      <c r="AW324" s="11">
        <f ca="1">IFERROR(OFFSET(ITEM_RES!$A$1,MATCH(AX324,ITEM_RES!$J:$J,0)-1,0),0)</f>
        <v>0</v>
      </c>
      <c r="BB324" s="11">
        <f ca="1">IFERROR(OFFSET(ITEM_RES!$A$1,MATCH(BC324,ITEM_RES!$J:$J,0)-1,0),0)</f>
        <v>0</v>
      </c>
      <c r="BG324" s="11">
        <f ca="1">IFERROR(OFFSET(ITEM_RES!$A$1,MATCH(BH324,ITEM_RES!$J:$J,0)-1,0),0)</f>
        <v>0</v>
      </c>
      <c r="BL324" s="11">
        <f ca="1">IFERROR(OFFSET(ITEM_RES!$A$1,MATCH(BM324,ITEM_RES!$J:$J,0)-1,0),0)</f>
        <v>0</v>
      </c>
    </row>
    <row r="325" spans="1:67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 t="s">
        <v>989</v>
      </c>
      <c r="M325" s="16" t="s">
        <v>1008</v>
      </c>
      <c r="N325" s="16">
        <v>1</v>
      </c>
      <c r="O325" s="16">
        <v>15</v>
      </c>
      <c r="P325" s="16" t="s">
        <v>813</v>
      </c>
      <c r="Q325" s="17"/>
      <c r="R325" s="17"/>
      <c r="S325" s="18"/>
      <c r="T325" s="16" t="s">
        <v>746</v>
      </c>
      <c r="U325" s="79"/>
      <c r="V325" s="87" t="s">
        <v>579</v>
      </c>
      <c r="W325" s="16">
        <f ca="1">IFERROR(OFFSET(ITEM_RES!$A$5,MATCH(BUILDING!V325,ITEM_RES!$J$5:$J$226,0)-1,0),0)</f>
        <v>211020601</v>
      </c>
      <c r="X325" s="18">
        <v>2</v>
      </c>
      <c r="Y325" s="87" t="s">
        <v>574</v>
      </c>
      <c r="Z325" s="16">
        <f ca="1">IFERROR(OFFSET(ITEM_RES!$A$5,MATCH(BUILDING!Y325,ITEM_RES!$J$5:$J$226,0)-1,0),0)</f>
        <v>211020701</v>
      </c>
      <c r="AA325" s="79"/>
      <c r="AB325" s="16" t="s">
        <v>551</v>
      </c>
      <c r="AC325" s="16">
        <v>1</v>
      </c>
      <c r="AD325" s="79"/>
      <c r="AE325" s="16">
        <v>0</v>
      </c>
      <c r="AF325" s="79"/>
      <c r="AG325" s="57">
        <f t="shared" si="109"/>
        <v>605</v>
      </c>
      <c r="AH325" s="17">
        <f>AG325</f>
        <v>605</v>
      </c>
      <c r="AI325" s="79"/>
      <c r="AJ325" s="18">
        <f t="shared" si="108"/>
        <v>5</v>
      </c>
      <c r="AK325" s="17">
        <v>5</v>
      </c>
      <c r="AL325" s="18">
        <f t="shared" si="115"/>
        <v>5</v>
      </c>
      <c r="AM325" s="17">
        <v>5</v>
      </c>
      <c r="AN325" s="18">
        <f t="shared" si="115"/>
        <v>5</v>
      </c>
      <c r="AO325" s="17">
        <v>5</v>
      </c>
      <c r="AP325" s="57">
        <f t="shared" si="110"/>
        <v>3</v>
      </c>
      <c r="AQ325" s="18"/>
      <c r="AR325" s="18">
        <f ca="1">IFERROR(OFFSET(ITEM_RES!$A$1,MATCH(AS325,ITEM_RES!$J:$J,0)-1,0),0)</f>
        <v>211020401</v>
      </c>
      <c r="AS325" s="17" t="s">
        <v>455</v>
      </c>
      <c r="AT325" s="18">
        <v>25</v>
      </c>
      <c r="AU325" s="17"/>
      <c r="AV325" s="18"/>
      <c r="AW325" s="18">
        <f ca="1">IFERROR(OFFSET(ITEM_RES!$A$1,MATCH(AX325,ITEM_RES!$J:$J,0)-1,0),0)</f>
        <v>211020801</v>
      </c>
      <c r="AX325" s="17" t="s">
        <v>454</v>
      </c>
      <c r="AY325" s="18">
        <v>25</v>
      </c>
      <c r="AZ325" s="17"/>
      <c r="BA325" s="18"/>
      <c r="BB325" s="18">
        <f ca="1">IFERROR(OFFSET(ITEM_RES!$A$1,MATCH(BC325,ITEM_RES!$J:$J,0)-1,0),0)</f>
        <v>213010101</v>
      </c>
      <c r="BC325" s="17" t="s">
        <v>477</v>
      </c>
      <c r="BD325" s="18">
        <v>1</v>
      </c>
      <c r="BE325" s="17"/>
      <c r="BF325" s="18"/>
      <c r="BG325" s="18">
        <f ca="1">IFERROR(OFFSET(ITEM_RES!$A$1,MATCH(BH325,ITEM_RES!$J:$J,0)-1,0),0)</f>
        <v>0</v>
      </c>
      <c r="BH325" s="17"/>
      <c r="BI325" s="18"/>
      <c r="BJ325" s="17"/>
      <c r="BK325" s="18"/>
      <c r="BL325" s="18">
        <f ca="1">IFERROR(OFFSET(ITEM_RES!$A$1,MATCH(BM325,ITEM_RES!$J:$J,0)-1,0),0)</f>
        <v>0</v>
      </c>
      <c r="BM325" s="17"/>
      <c r="BN325" s="18"/>
      <c r="BO325" s="17"/>
    </row>
    <row r="326" spans="1:67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372</v>
      </c>
      <c r="L326" s="9" t="s">
        <v>989</v>
      </c>
      <c r="M326" s="9" t="s">
        <v>1008</v>
      </c>
      <c r="N326" s="9">
        <v>1</v>
      </c>
      <c r="O326" s="9">
        <v>15</v>
      </c>
      <c r="P326" s="9" t="s">
        <v>813</v>
      </c>
      <c r="T326" s="9" t="s">
        <v>746</v>
      </c>
      <c r="V326" s="85" t="s">
        <v>579</v>
      </c>
      <c r="W326" s="9">
        <f ca="1">IFERROR(OFFSET(ITEM_RES!$A$5,MATCH(BUILDING!V326,ITEM_RES!$J$5:$J$226,0)-1,0),0)</f>
        <v>211020601</v>
      </c>
      <c r="X326" s="11">
        <v>2</v>
      </c>
      <c r="Y326" s="85" t="s">
        <v>574</v>
      </c>
      <c r="Z326" s="9">
        <f ca="1">IFERROR(OFFSET(ITEM_RES!$A$5,MATCH(BUILDING!Y326,ITEM_RES!$J$5:$J$226,0)-1,0),0)</f>
        <v>211020701</v>
      </c>
      <c r="AB326" s="9" t="s">
        <v>551</v>
      </c>
      <c r="AC326" s="9">
        <v>2</v>
      </c>
      <c r="AE326" s="9">
        <v>800</v>
      </c>
      <c r="AG326" s="56">
        <f t="shared" si="109"/>
        <v>210</v>
      </c>
      <c r="AH326" s="10">
        <f>AG325+AG326</f>
        <v>815</v>
      </c>
      <c r="AJ326" s="11">
        <f t="shared" si="108"/>
        <v>10</v>
      </c>
      <c r="AK326" s="10">
        <v>10</v>
      </c>
      <c r="AL326" s="11">
        <f t="shared" si="115"/>
        <v>10</v>
      </c>
      <c r="AM326" s="10">
        <v>10</v>
      </c>
      <c r="AN326" s="11">
        <f t="shared" si="115"/>
        <v>10</v>
      </c>
      <c r="AO326" s="10">
        <v>10</v>
      </c>
      <c r="AP326" s="56">
        <f t="shared" si="110"/>
        <v>2</v>
      </c>
      <c r="AR326" s="11">
        <f ca="1">IFERROR(OFFSET(ITEM_RES!$A$1,MATCH(AS326,ITEM_RES!$J:$J,0)-1,0),0)</f>
        <v>211020401</v>
      </c>
      <c r="AS326" s="10" t="s">
        <v>455</v>
      </c>
      <c r="AT326" s="11">
        <v>50</v>
      </c>
      <c r="AW326" s="11">
        <f ca="1">IFERROR(OFFSET(ITEM_RES!$A$1,MATCH(AX326,ITEM_RES!$J:$J,0)-1,0),0)</f>
        <v>211020801</v>
      </c>
      <c r="AX326" s="10" t="s">
        <v>454</v>
      </c>
      <c r="AY326" s="11">
        <v>50</v>
      </c>
      <c r="BB326" s="11">
        <f ca="1">IFERROR(OFFSET(ITEM_RES!$A$1,MATCH(BC326,ITEM_RES!$J:$J,0)-1,0),0)</f>
        <v>0</v>
      </c>
      <c r="BG326" s="11">
        <f ca="1">IFERROR(OFFSET(ITEM_RES!$A$1,MATCH(BH326,ITEM_RES!$J:$J,0)-1,0),0)</f>
        <v>0</v>
      </c>
      <c r="BL326" s="11">
        <f ca="1">IFERROR(OFFSET(ITEM_RES!$A$1,MATCH(BM326,ITEM_RES!$J:$J,0)-1,0),0)</f>
        <v>0</v>
      </c>
    </row>
    <row r="327" spans="1:67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372</v>
      </c>
      <c r="L327" s="9" t="s">
        <v>989</v>
      </c>
      <c r="M327" s="9" t="s">
        <v>1008</v>
      </c>
      <c r="N327" s="9">
        <v>1</v>
      </c>
      <c r="O327" s="9">
        <v>15</v>
      </c>
      <c r="P327" s="9" t="s">
        <v>813</v>
      </c>
      <c r="T327" s="9" t="s">
        <v>746</v>
      </c>
      <c r="V327" s="85" t="s">
        <v>579</v>
      </c>
      <c r="W327" s="9">
        <f ca="1">IFERROR(OFFSET(ITEM_RES!$A$5,MATCH(BUILDING!V327,ITEM_RES!$J$5:$J$226,0)-1,0),0)</f>
        <v>211020601</v>
      </c>
      <c r="X327" s="11">
        <v>2</v>
      </c>
      <c r="Y327" s="85" t="s">
        <v>574</v>
      </c>
      <c r="Z327" s="9">
        <f ca="1">IFERROR(OFFSET(ITEM_RES!$A$5,MATCH(BUILDING!Y327,ITEM_RES!$J$5:$J$226,0)-1,0),0)</f>
        <v>211020701</v>
      </c>
      <c r="AB327" s="9" t="s">
        <v>551</v>
      </c>
      <c r="AC327" s="9">
        <v>3</v>
      </c>
      <c r="AE327" s="9">
        <v>1200</v>
      </c>
      <c r="AG327" s="56">
        <f t="shared" si="109"/>
        <v>315</v>
      </c>
      <c r="AH327" s="10">
        <f t="shared" ref="AH327:AH344" si="116">AG326+AG327</f>
        <v>525</v>
      </c>
      <c r="AJ327" s="11">
        <f t="shared" si="108"/>
        <v>15</v>
      </c>
      <c r="AK327" s="10">
        <v>15</v>
      </c>
      <c r="AL327" s="11">
        <f t="shared" si="115"/>
        <v>15</v>
      </c>
      <c r="AM327" s="10">
        <v>15</v>
      </c>
      <c r="AN327" s="11">
        <f t="shared" si="115"/>
        <v>15</v>
      </c>
      <c r="AO327" s="10">
        <v>15</v>
      </c>
      <c r="AP327" s="56">
        <f t="shared" si="110"/>
        <v>2</v>
      </c>
      <c r="AR327" s="11">
        <f ca="1">IFERROR(OFFSET(ITEM_RES!$A$1,MATCH(AS327,ITEM_RES!$J:$J,0)-1,0),0)</f>
        <v>211020401</v>
      </c>
      <c r="AS327" s="10" t="s">
        <v>455</v>
      </c>
      <c r="AT327" s="11">
        <v>75</v>
      </c>
      <c r="AW327" s="11">
        <f ca="1">IFERROR(OFFSET(ITEM_RES!$A$1,MATCH(AX327,ITEM_RES!$J:$J,0)-1,0),0)</f>
        <v>211020801</v>
      </c>
      <c r="AX327" s="10" t="s">
        <v>454</v>
      </c>
      <c r="AY327" s="11">
        <v>75</v>
      </c>
      <c r="BB327" s="11">
        <f ca="1">IFERROR(OFFSET(ITEM_RES!$A$1,MATCH(BC327,ITEM_RES!$J:$J,0)-1,0),0)</f>
        <v>0</v>
      </c>
      <c r="BG327" s="11">
        <f ca="1">IFERROR(OFFSET(ITEM_RES!$A$1,MATCH(BH327,ITEM_RES!$J:$J,0)-1,0),0)</f>
        <v>0</v>
      </c>
      <c r="BL327" s="11">
        <f ca="1">IFERROR(OFFSET(ITEM_RES!$A$1,MATCH(BM327,ITEM_RES!$J:$J,0)-1,0),0)</f>
        <v>0</v>
      </c>
    </row>
    <row r="328" spans="1:67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372</v>
      </c>
      <c r="L328" s="9" t="s">
        <v>989</v>
      </c>
      <c r="M328" s="9" t="s">
        <v>1008</v>
      </c>
      <c r="N328" s="9">
        <v>1</v>
      </c>
      <c r="O328" s="9">
        <v>15</v>
      </c>
      <c r="P328" s="9" t="s">
        <v>813</v>
      </c>
      <c r="T328" s="9" t="s">
        <v>746</v>
      </c>
      <c r="V328" s="85" t="s">
        <v>579</v>
      </c>
      <c r="W328" s="9">
        <f ca="1">IFERROR(OFFSET(ITEM_RES!$A$5,MATCH(BUILDING!V328,ITEM_RES!$J$5:$J$226,0)-1,0),0)</f>
        <v>211020601</v>
      </c>
      <c r="X328" s="11">
        <v>2</v>
      </c>
      <c r="Y328" s="85" t="s">
        <v>574</v>
      </c>
      <c r="Z328" s="9">
        <f ca="1">IFERROR(OFFSET(ITEM_RES!$A$5,MATCH(BUILDING!Y328,ITEM_RES!$J$5:$J$226,0)-1,0),0)</f>
        <v>211020701</v>
      </c>
      <c r="AB328" s="9" t="s">
        <v>551</v>
      </c>
      <c r="AC328" s="9">
        <v>4</v>
      </c>
      <c r="AE328" s="9">
        <v>2000</v>
      </c>
      <c r="AG328" s="56">
        <f t="shared" si="109"/>
        <v>525</v>
      </c>
      <c r="AH328" s="10">
        <f t="shared" si="116"/>
        <v>840</v>
      </c>
      <c r="AJ328" s="11">
        <f t="shared" si="108"/>
        <v>20</v>
      </c>
      <c r="AK328" s="10">
        <v>20</v>
      </c>
      <c r="AL328" s="11">
        <f t="shared" si="115"/>
        <v>25</v>
      </c>
      <c r="AM328" s="10">
        <v>25</v>
      </c>
      <c r="AN328" s="11">
        <f t="shared" si="115"/>
        <v>25</v>
      </c>
      <c r="AO328" s="10">
        <v>25</v>
      </c>
      <c r="AP328" s="56">
        <f t="shared" si="110"/>
        <v>2</v>
      </c>
      <c r="AR328" s="11">
        <f ca="1">IFERROR(OFFSET(ITEM_RES!$A$1,MATCH(AS328,ITEM_RES!$J:$J,0)-1,0),0)</f>
        <v>211020401</v>
      </c>
      <c r="AS328" s="10" t="s">
        <v>455</v>
      </c>
      <c r="AT328" s="11">
        <v>125</v>
      </c>
      <c r="AW328" s="11">
        <f ca="1">IFERROR(OFFSET(ITEM_RES!$A$1,MATCH(AX328,ITEM_RES!$J:$J,0)-1,0),0)</f>
        <v>211020801</v>
      </c>
      <c r="AX328" s="10" t="s">
        <v>454</v>
      </c>
      <c r="AY328" s="11">
        <v>125</v>
      </c>
      <c r="BB328" s="11">
        <f ca="1">IFERROR(OFFSET(ITEM_RES!$A$1,MATCH(BC328,ITEM_RES!$J:$J,0)-1,0),0)</f>
        <v>0</v>
      </c>
      <c r="BG328" s="11">
        <f ca="1">IFERROR(OFFSET(ITEM_RES!$A$1,MATCH(BH328,ITEM_RES!$J:$J,0)-1,0),0)</f>
        <v>0</v>
      </c>
      <c r="BL328" s="11">
        <f ca="1">IFERROR(OFFSET(ITEM_RES!$A$1,MATCH(BM328,ITEM_RES!$J:$J,0)-1,0),0)</f>
        <v>0</v>
      </c>
    </row>
    <row r="329" spans="1:67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372</v>
      </c>
      <c r="L329" s="9" t="s">
        <v>989</v>
      </c>
      <c r="M329" s="9" t="s">
        <v>1008</v>
      </c>
      <c r="N329" s="9">
        <v>1</v>
      </c>
      <c r="O329" s="9">
        <v>15</v>
      </c>
      <c r="P329" s="9" t="s">
        <v>813</v>
      </c>
      <c r="T329" s="9" t="s">
        <v>746</v>
      </c>
      <c r="V329" s="85" t="s">
        <v>579</v>
      </c>
      <c r="W329" s="9">
        <f ca="1">IFERROR(OFFSET(ITEM_RES!$A$5,MATCH(BUILDING!V329,ITEM_RES!$J$5:$J$226,0)-1,0),0)</f>
        <v>211020601</v>
      </c>
      <c r="X329" s="11">
        <v>2</v>
      </c>
      <c r="Y329" s="85" t="s">
        <v>574</v>
      </c>
      <c r="Z329" s="9">
        <f ca="1">IFERROR(OFFSET(ITEM_RES!$A$5,MATCH(BUILDING!Y329,ITEM_RES!$J$5:$J$226,0)-1,0),0)</f>
        <v>211020701</v>
      </c>
      <c r="AB329" s="9" t="s">
        <v>551</v>
      </c>
      <c r="AC329" s="9">
        <v>5</v>
      </c>
      <c r="AE329" s="9">
        <v>3200</v>
      </c>
      <c r="AG329" s="56">
        <f t="shared" si="109"/>
        <v>840</v>
      </c>
      <c r="AH329" s="10">
        <f t="shared" si="116"/>
        <v>1365</v>
      </c>
      <c r="AJ329" s="11">
        <f t="shared" si="108"/>
        <v>25</v>
      </c>
      <c r="AK329" s="10">
        <v>25</v>
      </c>
      <c r="AL329" s="11">
        <f t="shared" si="115"/>
        <v>40</v>
      </c>
      <c r="AM329" s="10">
        <v>40</v>
      </c>
      <c r="AN329" s="11">
        <f t="shared" si="115"/>
        <v>40</v>
      </c>
      <c r="AO329" s="10">
        <v>40</v>
      </c>
      <c r="AP329" s="56">
        <f t="shared" si="110"/>
        <v>2</v>
      </c>
      <c r="AR329" s="11">
        <f ca="1">IFERROR(OFFSET(ITEM_RES!$A$1,MATCH(AS329,ITEM_RES!$J:$J,0)-1,0),0)</f>
        <v>211020401</v>
      </c>
      <c r="AS329" s="10" t="s">
        <v>455</v>
      </c>
      <c r="AT329" s="11">
        <v>200</v>
      </c>
      <c r="AW329" s="11">
        <f ca="1">IFERROR(OFFSET(ITEM_RES!$A$1,MATCH(AX329,ITEM_RES!$J:$J,0)-1,0),0)</f>
        <v>211020801</v>
      </c>
      <c r="AX329" s="10" t="s">
        <v>454</v>
      </c>
      <c r="AY329" s="11">
        <v>200</v>
      </c>
      <c r="BB329" s="11">
        <f ca="1">IFERROR(OFFSET(ITEM_RES!$A$1,MATCH(BC329,ITEM_RES!$J:$J,0)-1,0),0)</f>
        <v>0</v>
      </c>
      <c r="BG329" s="11">
        <f ca="1">IFERROR(OFFSET(ITEM_RES!$A$1,MATCH(BH329,ITEM_RES!$J:$J,0)-1,0),0)</f>
        <v>0</v>
      </c>
      <c r="BL329" s="11">
        <f ca="1">IFERROR(OFFSET(ITEM_RES!$A$1,MATCH(BM329,ITEM_RES!$J:$J,0)-1,0),0)</f>
        <v>0</v>
      </c>
    </row>
    <row r="330" spans="1:67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372</v>
      </c>
      <c r="L330" s="9" t="s">
        <v>989</v>
      </c>
      <c r="M330" s="9" t="s">
        <v>1008</v>
      </c>
      <c r="N330" s="9">
        <v>1</v>
      </c>
      <c r="O330" s="9">
        <v>15</v>
      </c>
      <c r="P330" s="9" t="s">
        <v>813</v>
      </c>
      <c r="T330" s="9" t="s">
        <v>746</v>
      </c>
      <c r="V330" s="85" t="s">
        <v>579</v>
      </c>
      <c r="W330" s="9">
        <f ca="1">IFERROR(OFFSET(ITEM_RES!$A$5,MATCH(BUILDING!V330,ITEM_RES!$J$5:$J$226,0)-1,0),0)</f>
        <v>211020601</v>
      </c>
      <c r="X330" s="11">
        <v>2</v>
      </c>
      <c r="Y330" s="85" t="s">
        <v>574</v>
      </c>
      <c r="Z330" s="9">
        <f ca="1">IFERROR(OFFSET(ITEM_RES!$A$5,MATCH(BUILDING!Y330,ITEM_RES!$J$5:$J$226,0)-1,0),0)</f>
        <v>211020701</v>
      </c>
      <c r="AB330" s="9" t="s">
        <v>551</v>
      </c>
      <c r="AC330" s="9">
        <v>6</v>
      </c>
      <c r="AE330" s="9">
        <v>4000</v>
      </c>
      <c r="AG330" s="56">
        <f t="shared" si="109"/>
        <v>1050</v>
      </c>
      <c r="AH330" s="10">
        <f t="shared" si="116"/>
        <v>1890</v>
      </c>
      <c r="AJ330" s="11">
        <f t="shared" si="108"/>
        <v>30</v>
      </c>
      <c r="AK330" s="10">
        <v>30</v>
      </c>
      <c r="AL330" s="11">
        <f t="shared" si="115"/>
        <v>50</v>
      </c>
      <c r="AM330" s="10">
        <v>50</v>
      </c>
      <c r="AN330" s="11">
        <f t="shared" si="115"/>
        <v>50</v>
      </c>
      <c r="AO330" s="10">
        <v>50</v>
      </c>
      <c r="AP330" s="56">
        <f t="shared" si="110"/>
        <v>2</v>
      </c>
      <c r="AR330" s="11">
        <f ca="1">IFERROR(OFFSET(ITEM_RES!$A$1,MATCH(AS330,ITEM_RES!$J:$J,0)-1,0),0)</f>
        <v>211020401</v>
      </c>
      <c r="AS330" s="10" t="s">
        <v>455</v>
      </c>
      <c r="AT330" s="11">
        <v>250</v>
      </c>
      <c r="AW330" s="11">
        <f ca="1">IFERROR(OFFSET(ITEM_RES!$A$1,MATCH(AX330,ITEM_RES!$J:$J,0)-1,0),0)</f>
        <v>211020801</v>
      </c>
      <c r="AX330" s="10" t="s">
        <v>454</v>
      </c>
      <c r="AY330" s="11">
        <v>250</v>
      </c>
      <c r="BB330" s="11">
        <f ca="1">IFERROR(OFFSET(ITEM_RES!$A$1,MATCH(BC330,ITEM_RES!$J:$J,0)-1,0),0)</f>
        <v>0</v>
      </c>
      <c r="BG330" s="11">
        <f ca="1">IFERROR(OFFSET(ITEM_RES!$A$1,MATCH(BH330,ITEM_RES!$J:$J,0)-1,0),0)</f>
        <v>0</v>
      </c>
      <c r="BL330" s="11">
        <f ca="1">IFERROR(OFFSET(ITEM_RES!$A$1,MATCH(BM330,ITEM_RES!$J:$J,0)-1,0),0)</f>
        <v>0</v>
      </c>
    </row>
    <row r="331" spans="1:67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371</v>
      </c>
      <c r="L331" s="9" t="s">
        <v>989</v>
      </c>
      <c r="M331" s="9" t="s">
        <v>1008</v>
      </c>
      <c r="N331" s="9">
        <v>1</v>
      </c>
      <c r="O331" s="9">
        <v>15</v>
      </c>
      <c r="P331" s="9" t="s">
        <v>813</v>
      </c>
      <c r="T331" s="9" t="s">
        <v>746</v>
      </c>
      <c r="V331" s="85" t="s">
        <v>579</v>
      </c>
      <c r="W331" s="9">
        <f ca="1">IFERROR(OFFSET(ITEM_RES!$A$5,MATCH(BUILDING!V331,ITEM_RES!$J$5:$J$226,0)-1,0),0)</f>
        <v>211020601</v>
      </c>
      <c r="X331" s="11">
        <v>2</v>
      </c>
      <c r="Y331" s="85" t="s">
        <v>574</v>
      </c>
      <c r="Z331" s="9">
        <f ca="1">IFERROR(OFFSET(ITEM_RES!$A$5,MATCH(BUILDING!Y331,ITEM_RES!$J$5:$J$226,0)-1,0),0)</f>
        <v>211020701</v>
      </c>
      <c r="AB331" s="9" t="s">
        <v>551</v>
      </c>
      <c r="AC331" s="9">
        <v>7</v>
      </c>
      <c r="AE331" s="9">
        <v>8000</v>
      </c>
      <c r="AG331" s="56">
        <f t="shared" si="109"/>
        <v>2100</v>
      </c>
      <c r="AH331" s="10">
        <f t="shared" si="116"/>
        <v>3150</v>
      </c>
      <c r="AJ331" s="11">
        <f t="shared" si="108"/>
        <v>35</v>
      </c>
      <c r="AK331" s="10">
        <v>35</v>
      </c>
      <c r="AL331" s="11">
        <f t="shared" si="115"/>
        <v>100</v>
      </c>
      <c r="AM331" s="10">
        <v>100</v>
      </c>
      <c r="AN331" s="11">
        <f t="shared" si="115"/>
        <v>100</v>
      </c>
      <c r="AO331" s="10">
        <v>100</v>
      </c>
      <c r="AP331" s="56">
        <f t="shared" si="110"/>
        <v>2</v>
      </c>
      <c r="AR331" s="11">
        <f ca="1">IFERROR(OFFSET(ITEM_RES!$A$1,MATCH(AS331,ITEM_RES!$J:$J,0)-1,0),0)</f>
        <v>211020401</v>
      </c>
      <c r="AS331" s="10" t="s">
        <v>455</v>
      </c>
      <c r="AT331" s="11">
        <v>500</v>
      </c>
      <c r="AW331" s="11">
        <f ca="1">IFERROR(OFFSET(ITEM_RES!$A$1,MATCH(AX331,ITEM_RES!$J:$J,0)-1,0),0)</f>
        <v>211020801</v>
      </c>
      <c r="AX331" s="10" t="s">
        <v>454</v>
      </c>
      <c r="AY331" s="11">
        <v>500</v>
      </c>
      <c r="BB331" s="11">
        <f ca="1">IFERROR(OFFSET(ITEM_RES!$A$1,MATCH(BC331,ITEM_RES!$J:$J,0)-1,0),0)</f>
        <v>0</v>
      </c>
      <c r="BG331" s="11">
        <f ca="1">IFERROR(OFFSET(ITEM_RES!$A$1,MATCH(BH331,ITEM_RES!$J:$J,0)-1,0),0)</f>
        <v>0</v>
      </c>
      <c r="BL331" s="11">
        <f ca="1">IFERROR(OFFSET(ITEM_RES!$A$1,MATCH(BM331,ITEM_RES!$J:$J,0)-1,0),0)</f>
        <v>0</v>
      </c>
    </row>
    <row r="332" spans="1:67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371</v>
      </c>
      <c r="L332" s="9" t="s">
        <v>989</v>
      </c>
      <c r="M332" s="9" t="s">
        <v>1008</v>
      </c>
      <c r="N332" s="9">
        <v>1</v>
      </c>
      <c r="O332" s="9">
        <v>15</v>
      </c>
      <c r="P332" s="9" t="s">
        <v>813</v>
      </c>
      <c r="T332" s="9" t="s">
        <v>746</v>
      </c>
      <c r="V332" s="85" t="s">
        <v>579</v>
      </c>
      <c r="W332" s="9">
        <f ca="1">IFERROR(OFFSET(ITEM_RES!$A$5,MATCH(BUILDING!V332,ITEM_RES!$J$5:$J$226,0)-1,0),0)</f>
        <v>211020601</v>
      </c>
      <c r="X332" s="11">
        <v>2</v>
      </c>
      <c r="Y332" s="85" t="s">
        <v>574</v>
      </c>
      <c r="Z332" s="9">
        <f ca="1">IFERROR(OFFSET(ITEM_RES!$A$5,MATCH(BUILDING!Y332,ITEM_RES!$J$5:$J$226,0)-1,0),0)</f>
        <v>211020701</v>
      </c>
      <c r="AB332" s="9" t="s">
        <v>551</v>
      </c>
      <c r="AC332" s="9">
        <v>8</v>
      </c>
      <c r="AE332" s="9">
        <v>8000</v>
      </c>
      <c r="AG332" s="56">
        <f t="shared" si="109"/>
        <v>2600</v>
      </c>
      <c r="AH332" s="10">
        <f t="shared" si="116"/>
        <v>4700</v>
      </c>
      <c r="AJ332" s="11">
        <f t="shared" si="108"/>
        <v>40</v>
      </c>
      <c r="AK332" s="10">
        <v>40</v>
      </c>
      <c r="AL332" s="11">
        <f t="shared" si="115"/>
        <v>100</v>
      </c>
      <c r="AM332" s="10">
        <v>100</v>
      </c>
      <c r="AN332" s="11">
        <f t="shared" si="115"/>
        <v>100</v>
      </c>
      <c r="AO332" s="10">
        <v>100</v>
      </c>
      <c r="AP332" s="56">
        <f t="shared" si="110"/>
        <v>3</v>
      </c>
      <c r="AR332" s="11">
        <f ca="1">IFERROR(OFFSET(ITEM_RES!$A$1,MATCH(AS332,ITEM_RES!$J:$J,0)-1,0),0)</f>
        <v>211020401</v>
      </c>
      <c r="AS332" s="10" t="s">
        <v>455</v>
      </c>
      <c r="AT332" s="11">
        <v>500</v>
      </c>
      <c r="AW332" s="11">
        <f ca="1">IFERROR(OFFSET(ITEM_RES!$A$1,MATCH(AX332,ITEM_RES!$J:$J,0)-1,0),0)</f>
        <v>211020801</v>
      </c>
      <c r="AX332" s="10" t="s">
        <v>454</v>
      </c>
      <c r="AY332" s="11">
        <v>500</v>
      </c>
      <c r="BB332" s="11">
        <f ca="1">IFERROR(OFFSET(ITEM_RES!$A$1,MATCH(BC332,ITEM_RES!$J:$J,0)-1,0),0)</f>
        <v>0</v>
      </c>
      <c r="BG332" s="11">
        <f ca="1">IFERROR(OFFSET(ITEM_RES!$A$1,MATCH(BH332,ITEM_RES!$J:$J,0)-1,0),0)</f>
        <v>213011001</v>
      </c>
      <c r="BH332" s="10" t="s">
        <v>490</v>
      </c>
      <c r="BI332" s="11">
        <v>1</v>
      </c>
      <c r="BL332" s="11">
        <f ca="1">IFERROR(OFFSET(ITEM_RES!$A$1,MATCH(BM332,ITEM_RES!$J:$J,0)-1,0),0)</f>
        <v>0</v>
      </c>
    </row>
    <row r="333" spans="1:67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371</v>
      </c>
      <c r="L333" s="9" t="s">
        <v>989</v>
      </c>
      <c r="M333" s="9" t="s">
        <v>1008</v>
      </c>
      <c r="N333" s="9">
        <v>1</v>
      </c>
      <c r="O333" s="9">
        <v>15</v>
      </c>
      <c r="P333" s="9" t="s">
        <v>813</v>
      </c>
      <c r="T333" s="9" t="s">
        <v>746</v>
      </c>
      <c r="V333" s="85" t="s">
        <v>579</v>
      </c>
      <c r="W333" s="9">
        <f ca="1">IFERROR(OFFSET(ITEM_RES!$A$5,MATCH(BUILDING!V333,ITEM_RES!$J$5:$J$226,0)-1,0),0)</f>
        <v>211020601</v>
      </c>
      <c r="X333" s="11">
        <v>2</v>
      </c>
      <c r="Y333" s="85" t="s">
        <v>574</v>
      </c>
      <c r="Z333" s="9">
        <f ca="1">IFERROR(OFFSET(ITEM_RES!$A$5,MATCH(BUILDING!Y333,ITEM_RES!$J$5:$J$226,0)-1,0),0)</f>
        <v>211020701</v>
      </c>
      <c r="AB333" s="9" t="s">
        <v>551</v>
      </c>
      <c r="AC333" s="9">
        <v>9</v>
      </c>
      <c r="AE333" s="9">
        <v>12000</v>
      </c>
      <c r="AG333" s="56">
        <f t="shared" si="109"/>
        <v>3150</v>
      </c>
      <c r="AH333" s="10">
        <f t="shared" si="116"/>
        <v>5750</v>
      </c>
      <c r="AJ333" s="11">
        <f t="shared" si="108"/>
        <v>45</v>
      </c>
      <c r="AK333" s="10">
        <v>45</v>
      </c>
      <c r="AL333" s="11">
        <f t="shared" si="115"/>
        <v>150</v>
      </c>
      <c r="AM333" s="10">
        <v>150</v>
      </c>
      <c r="AN333" s="11">
        <f t="shared" si="115"/>
        <v>150</v>
      </c>
      <c r="AO333" s="10">
        <v>150</v>
      </c>
      <c r="AP333" s="56">
        <f t="shared" si="110"/>
        <v>2</v>
      </c>
      <c r="AR333" s="11">
        <f ca="1">IFERROR(OFFSET(ITEM_RES!$A$1,MATCH(AS333,ITEM_RES!$J:$J,0)-1,0),0)</f>
        <v>211020501</v>
      </c>
      <c r="AS333" s="10" t="s">
        <v>451</v>
      </c>
      <c r="AT333" s="11">
        <v>750</v>
      </c>
      <c r="AW333" s="11">
        <f ca="1">IFERROR(OFFSET(ITEM_RES!$A$1,MATCH(AX333,ITEM_RES!$J:$J,0)-1,0),0)</f>
        <v>211020801</v>
      </c>
      <c r="AX333" s="10" t="s">
        <v>454</v>
      </c>
      <c r="AY333" s="11">
        <v>750</v>
      </c>
      <c r="BB333" s="11">
        <f ca="1">IFERROR(OFFSET(ITEM_RES!$A$1,MATCH(BC333,ITEM_RES!$J:$J,0)-1,0),0)</f>
        <v>0</v>
      </c>
      <c r="BG333" s="11">
        <f ca="1">IFERROR(OFFSET(ITEM_RES!$A$1,MATCH(BH333,ITEM_RES!$J:$J,0)-1,0),0)</f>
        <v>0</v>
      </c>
      <c r="BL333" s="11">
        <f ca="1">IFERROR(OFFSET(ITEM_RES!$A$1,MATCH(BM333,ITEM_RES!$J:$J,0)-1,0),0)</f>
        <v>0</v>
      </c>
    </row>
    <row r="334" spans="1:67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371</v>
      </c>
      <c r="L334" s="9" t="s">
        <v>989</v>
      </c>
      <c r="M334" s="9" t="s">
        <v>1008</v>
      </c>
      <c r="N334" s="9">
        <v>1</v>
      </c>
      <c r="O334" s="9">
        <v>15</v>
      </c>
      <c r="P334" s="9" t="s">
        <v>813</v>
      </c>
      <c r="T334" s="9" t="s">
        <v>746</v>
      </c>
      <c r="V334" s="85" t="s">
        <v>579</v>
      </c>
      <c r="W334" s="9">
        <f ca="1">IFERROR(OFFSET(ITEM_RES!$A$5,MATCH(BUILDING!V334,ITEM_RES!$J$5:$J$226,0)-1,0),0)</f>
        <v>211020601</v>
      </c>
      <c r="X334" s="11">
        <v>2</v>
      </c>
      <c r="Y334" s="85" t="s">
        <v>574</v>
      </c>
      <c r="Z334" s="9">
        <f ca="1">IFERROR(OFFSET(ITEM_RES!$A$5,MATCH(BUILDING!Y334,ITEM_RES!$J$5:$J$226,0)-1,0),0)</f>
        <v>211020701</v>
      </c>
      <c r="AB334" s="9" t="s">
        <v>551</v>
      </c>
      <c r="AC334" s="9">
        <v>10</v>
      </c>
      <c r="AE334" s="9">
        <v>16000</v>
      </c>
      <c r="AG334" s="56">
        <f t="shared" si="109"/>
        <v>4200</v>
      </c>
      <c r="AH334" s="10">
        <f t="shared" si="116"/>
        <v>7350</v>
      </c>
      <c r="AJ334" s="11">
        <f t="shared" si="108"/>
        <v>50</v>
      </c>
      <c r="AK334" s="10">
        <v>50</v>
      </c>
      <c r="AL334" s="11">
        <f t="shared" si="115"/>
        <v>200</v>
      </c>
      <c r="AM334" s="10">
        <v>200</v>
      </c>
      <c r="AN334" s="11">
        <f t="shared" si="115"/>
        <v>200</v>
      </c>
      <c r="AO334" s="10">
        <v>200</v>
      </c>
      <c r="AP334" s="56">
        <f t="shared" si="110"/>
        <v>2</v>
      </c>
      <c r="AR334" s="11">
        <f ca="1">IFERROR(OFFSET(ITEM_RES!$A$1,MATCH(AS334,ITEM_RES!$J:$J,0)-1,0),0)</f>
        <v>211020501</v>
      </c>
      <c r="AS334" s="10" t="s">
        <v>451</v>
      </c>
      <c r="AT334" s="11">
        <v>1000</v>
      </c>
      <c r="AW334" s="11">
        <f ca="1">IFERROR(OFFSET(ITEM_RES!$A$1,MATCH(AX334,ITEM_RES!$J:$J,0)-1,0),0)</f>
        <v>211020801</v>
      </c>
      <c r="AX334" s="10" t="s">
        <v>454</v>
      </c>
      <c r="AY334" s="11">
        <v>1000</v>
      </c>
      <c r="BB334" s="11">
        <f ca="1">IFERROR(OFFSET(ITEM_RES!$A$1,MATCH(BC334,ITEM_RES!$J:$J,0)-1,0),0)</f>
        <v>0</v>
      </c>
      <c r="BG334" s="11">
        <f ca="1">IFERROR(OFFSET(ITEM_RES!$A$1,MATCH(BH334,ITEM_RES!$J:$J,0)-1,0),0)</f>
        <v>0</v>
      </c>
      <c r="BL334" s="11">
        <f ca="1">IFERROR(OFFSET(ITEM_RES!$A$1,MATCH(BM334,ITEM_RES!$J:$J,0)-1,0),0)</f>
        <v>0</v>
      </c>
    </row>
    <row r="335" spans="1:67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371</v>
      </c>
      <c r="L335" s="9" t="s">
        <v>989</v>
      </c>
      <c r="M335" s="9" t="s">
        <v>1008</v>
      </c>
      <c r="N335" s="9">
        <v>1</v>
      </c>
      <c r="O335" s="9">
        <v>15</v>
      </c>
      <c r="P335" s="9" t="s">
        <v>813</v>
      </c>
      <c r="T335" s="9" t="s">
        <v>746</v>
      </c>
      <c r="V335" s="85" t="s">
        <v>579</v>
      </c>
      <c r="W335" s="9">
        <f ca="1">IFERROR(OFFSET(ITEM_RES!$A$5,MATCH(BUILDING!V335,ITEM_RES!$J$5:$J$226,0)-1,0),0)</f>
        <v>211020601</v>
      </c>
      <c r="X335" s="11">
        <v>2</v>
      </c>
      <c r="Y335" s="85" t="s">
        <v>574</v>
      </c>
      <c r="Z335" s="9">
        <f ca="1">IFERROR(OFFSET(ITEM_RES!$A$5,MATCH(BUILDING!Y335,ITEM_RES!$J$5:$J$226,0)-1,0),0)</f>
        <v>211020701</v>
      </c>
      <c r="AB335" s="9" t="s">
        <v>551</v>
      </c>
      <c r="AC335" s="9">
        <v>11</v>
      </c>
      <c r="AE335" s="9">
        <v>20000</v>
      </c>
      <c r="AG335" s="56">
        <f t="shared" si="109"/>
        <v>5250</v>
      </c>
      <c r="AH335" s="10">
        <f t="shared" si="116"/>
        <v>9450</v>
      </c>
      <c r="AJ335" s="11">
        <f t="shared" si="108"/>
        <v>55</v>
      </c>
      <c r="AK335" s="10">
        <v>55</v>
      </c>
      <c r="AL335" s="11">
        <f t="shared" si="115"/>
        <v>250</v>
      </c>
      <c r="AM335" s="10">
        <v>250</v>
      </c>
      <c r="AN335" s="11">
        <f t="shared" si="115"/>
        <v>250</v>
      </c>
      <c r="AO335" s="10">
        <v>250</v>
      </c>
      <c r="AP335" s="56">
        <f t="shared" si="110"/>
        <v>2</v>
      </c>
      <c r="AR335" s="11">
        <f ca="1">IFERROR(OFFSET(ITEM_RES!$A$1,MATCH(AS335,ITEM_RES!$J:$J,0)-1,0),0)</f>
        <v>211020501</v>
      </c>
      <c r="AS335" s="10" t="s">
        <v>451</v>
      </c>
      <c r="AT335" s="11">
        <v>1250</v>
      </c>
      <c r="AW335" s="11">
        <f ca="1">IFERROR(OFFSET(ITEM_RES!$A$1,MATCH(AX335,ITEM_RES!$J:$J,0)-1,0),0)</f>
        <v>211020801</v>
      </c>
      <c r="AX335" s="10" t="s">
        <v>454</v>
      </c>
      <c r="AY335" s="11">
        <v>1250</v>
      </c>
      <c r="BB335" s="11">
        <f ca="1">IFERROR(OFFSET(ITEM_RES!$A$1,MATCH(BC335,ITEM_RES!$J:$J,0)-1,0),0)</f>
        <v>0</v>
      </c>
      <c r="BG335" s="11">
        <f ca="1">IFERROR(OFFSET(ITEM_RES!$A$1,MATCH(BH335,ITEM_RES!$J:$J,0)-1,0),0)</f>
        <v>0</v>
      </c>
      <c r="BL335" s="11">
        <f ca="1">IFERROR(OFFSET(ITEM_RES!$A$1,MATCH(BM335,ITEM_RES!$J:$J,0)-1,0),0)</f>
        <v>0</v>
      </c>
    </row>
    <row r="336" spans="1:67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371</v>
      </c>
      <c r="L336" s="9" t="s">
        <v>989</v>
      </c>
      <c r="M336" s="9" t="s">
        <v>1008</v>
      </c>
      <c r="N336" s="9">
        <v>1</v>
      </c>
      <c r="O336" s="9">
        <v>15</v>
      </c>
      <c r="P336" s="9" t="s">
        <v>813</v>
      </c>
      <c r="T336" s="9" t="s">
        <v>746</v>
      </c>
      <c r="V336" s="85" t="s">
        <v>579</v>
      </c>
      <c r="W336" s="9">
        <f ca="1">IFERROR(OFFSET(ITEM_RES!$A$5,MATCH(BUILDING!V336,ITEM_RES!$J$5:$J$226,0)-1,0),0)</f>
        <v>211020601</v>
      </c>
      <c r="X336" s="11">
        <v>2</v>
      </c>
      <c r="Y336" s="85" t="s">
        <v>574</v>
      </c>
      <c r="Z336" s="9">
        <f ca="1">IFERROR(OFFSET(ITEM_RES!$A$5,MATCH(BUILDING!Y336,ITEM_RES!$J$5:$J$226,0)-1,0),0)</f>
        <v>211020701</v>
      </c>
      <c r="AB336" s="9" t="s">
        <v>551</v>
      </c>
      <c r="AC336" s="9">
        <v>12</v>
      </c>
      <c r="AE336" s="9">
        <v>24000</v>
      </c>
      <c r="AG336" s="56">
        <f t="shared" si="109"/>
        <v>6300</v>
      </c>
      <c r="AH336" s="10">
        <f t="shared" si="116"/>
        <v>11550</v>
      </c>
      <c r="AJ336" s="11">
        <f t="shared" si="108"/>
        <v>60</v>
      </c>
      <c r="AK336" s="10">
        <v>60</v>
      </c>
      <c r="AL336" s="11">
        <f t="shared" si="115"/>
        <v>300</v>
      </c>
      <c r="AM336" s="10">
        <v>300</v>
      </c>
      <c r="AN336" s="11">
        <f t="shared" si="115"/>
        <v>300</v>
      </c>
      <c r="AO336" s="10">
        <v>300</v>
      </c>
      <c r="AP336" s="56">
        <f t="shared" si="110"/>
        <v>2</v>
      </c>
      <c r="AR336" s="11">
        <f ca="1">IFERROR(OFFSET(ITEM_RES!$A$1,MATCH(AS336,ITEM_RES!$J:$J,0)-1,0),0)</f>
        <v>211020501</v>
      </c>
      <c r="AS336" s="10" t="s">
        <v>451</v>
      </c>
      <c r="AT336" s="11">
        <v>1500</v>
      </c>
      <c r="AW336" s="11">
        <f ca="1">IFERROR(OFFSET(ITEM_RES!$A$1,MATCH(AX336,ITEM_RES!$J:$J,0)-1,0),0)</f>
        <v>211020801</v>
      </c>
      <c r="AX336" s="10" t="s">
        <v>454</v>
      </c>
      <c r="AY336" s="11">
        <v>1500</v>
      </c>
      <c r="BB336" s="11">
        <f ca="1">IFERROR(OFFSET(ITEM_RES!$A$1,MATCH(BC336,ITEM_RES!$J:$J,0)-1,0),0)</f>
        <v>0</v>
      </c>
      <c r="BG336" s="11">
        <f ca="1">IFERROR(OFFSET(ITEM_RES!$A$1,MATCH(BH336,ITEM_RES!$J:$J,0)-1,0),0)</f>
        <v>0</v>
      </c>
      <c r="BL336" s="11">
        <f ca="1">IFERROR(OFFSET(ITEM_RES!$A$1,MATCH(BM336,ITEM_RES!$J:$J,0)-1,0),0)</f>
        <v>0</v>
      </c>
    </row>
    <row r="337" spans="1:67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371</v>
      </c>
      <c r="L337" s="9" t="s">
        <v>989</v>
      </c>
      <c r="M337" s="9" t="s">
        <v>1008</v>
      </c>
      <c r="N337" s="9">
        <v>1</v>
      </c>
      <c r="O337" s="9">
        <v>15</v>
      </c>
      <c r="P337" s="9" t="s">
        <v>813</v>
      </c>
      <c r="T337" s="9" t="s">
        <v>746</v>
      </c>
      <c r="V337" s="85" t="s">
        <v>579</v>
      </c>
      <c r="W337" s="9">
        <f ca="1">IFERROR(OFFSET(ITEM_RES!$A$5,MATCH(BUILDING!V337,ITEM_RES!$J$5:$J$226,0)-1,0),0)</f>
        <v>211020601</v>
      </c>
      <c r="X337" s="11">
        <v>2</v>
      </c>
      <c r="Y337" s="85" t="s">
        <v>574</v>
      </c>
      <c r="Z337" s="9">
        <f ca="1">IFERROR(OFFSET(ITEM_RES!$A$5,MATCH(BUILDING!Y337,ITEM_RES!$J$5:$J$226,0)-1,0),0)</f>
        <v>211020701</v>
      </c>
      <c r="AB337" s="9" t="s">
        <v>551</v>
      </c>
      <c r="AC337" s="9">
        <v>13</v>
      </c>
      <c r="AE337" s="9">
        <v>28000</v>
      </c>
      <c r="AG337" s="56">
        <f t="shared" si="109"/>
        <v>7350</v>
      </c>
      <c r="AH337" s="10">
        <f t="shared" si="116"/>
        <v>13650</v>
      </c>
      <c r="AJ337" s="11">
        <f t="shared" si="108"/>
        <v>65</v>
      </c>
      <c r="AK337" s="10">
        <v>65</v>
      </c>
      <c r="AL337" s="11">
        <f t="shared" si="115"/>
        <v>350</v>
      </c>
      <c r="AM337" s="10">
        <v>350</v>
      </c>
      <c r="AN337" s="11">
        <f t="shared" si="115"/>
        <v>350</v>
      </c>
      <c r="AO337" s="10">
        <v>350</v>
      </c>
      <c r="AP337" s="56">
        <f t="shared" si="110"/>
        <v>2</v>
      </c>
      <c r="AR337" s="11">
        <f ca="1">IFERROR(OFFSET(ITEM_RES!$A$1,MATCH(AS337,ITEM_RES!$J:$J,0)-1,0),0)</f>
        <v>211020501</v>
      </c>
      <c r="AS337" s="10" t="s">
        <v>451</v>
      </c>
      <c r="AT337" s="11">
        <v>1750</v>
      </c>
      <c r="AW337" s="11">
        <f ca="1">IFERROR(OFFSET(ITEM_RES!$A$1,MATCH(AX337,ITEM_RES!$J:$J,0)-1,0),0)</f>
        <v>211020801</v>
      </c>
      <c r="AX337" s="10" t="s">
        <v>454</v>
      </c>
      <c r="AY337" s="11">
        <v>1750</v>
      </c>
      <c r="BB337" s="11">
        <f ca="1">IFERROR(OFFSET(ITEM_RES!$A$1,MATCH(BC337,ITEM_RES!$J:$J,0)-1,0),0)</f>
        <v>0</v>
      </c>
      <c r="BG337" s="11">
        <f ca="1">IFERROR(OFFSET(ITEM_RES!$A$1,MATCH(BH337,ITEM_RES!$J:$J,0)-1,0),0)</f>
        <v>0</v>
      </c>
      <c r="BL337" s="11">
        <f ca="1">IFERROR(OFFSET(ITEM_RES!$A$1,MATCH(BM337,ITEM_RES!$J:$J,0)-1,0),0)</f>
        <v>0</v>
      </c>
    </row>
    <row r="338" spans="1:67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371</v>
      </c>
      <c r="L338" s="9" t="s">
        <v>989</v>
      </c>
      <c r="M338" s="9" t="s">
        <v>1008</v>
      </c>
      <c r="N338" s="9">
        <v>1</v>
      </c>
      <c r="O338" s="9">
        <v>15</v>
      </c>
      <c r="P338" s="9" t="s">
        <v>813</v>
      </c>
      <c r="T338" s="9" t="s">
        <v>746</v>
      </c>
      <c r="V338" s="85" t="s">
        <v>579</v>
      </c>
      <c r="W338" s="9">
        <f ca="1">IFERROR(OFFSET(ITEM_RES!$A$5,MATCH(BUILDING!V338,ITEM_RES!$J$5:$J$226,0)-1,0),0)</f>
        <v>211020601</v>
      </c>
      <c r="X338" s="11">
        <v>2</v>
      </c>
      <c r="Y338" s="85" t="s">
        <v>574</v>
      </c>
      <c r="Z338" s="9">
        <f ca="1">IFERROR(OFFSET(ITEM_RES!$A$5,MATCH(BUILDING!Y338,ITEM_RES!$J$5:$J$226,0)-1,0),0)</f>
        <v>211020701</v>
      </c>
      <c r="AB338" s="9" t="s">
        <v>551</v>
      </c>
      <c r="AC338" s="9">
        <v>14</v>
      </c>
      <c r="AE338" s="9">
        <v>36000</v>
      </c>
      <c r="AG338" s="56">
        <f t="shared" si="109"/>
        <v>9450</v>
      </c>
      <c r="AH338" s="10">
        <f t="shared" si="116"/>
        <v>16800</v>
      </c>
      <c r="AJ338" s="11">
        <f t="shared" si="108"/>
        <v>70</v>
      </c>
      <c r="AK338" s="10">
        <v>70</v>
      </c>
      <c r="AL338" s="11">
        <f t="shared" si="115"/>
        <v>450</v>
      </c>
      <c r="AM338" s="10">
        <v>450</v>
      </c>
      <c r="AN338" s="11">
        <f t="shared" si="115"/>
        <v>450</v>
      </c>
      <c r="AO338" s="10">
        <v>450</v>
      </c>
      <c r="AP338" s="56">
        <f t="shared" si="110"/>
        <v>2</v>
      </c>
      <c r="AR338" s="11">
        <f ca="1">IFERROR(OFFSET(ITEM_RES!$A$1,MATCH(AS338,ITEM_RES!$J:$J,0)-1,0),0)</f>
        <v>211020501</v>
      </c>
      <c r="AS338" s="10" t="s">
        <v>451</v>
      </c>
      <c r="AT338" s="11">
        <v>2250</v>
      </c>
      <c r="AW338" s="11">
        <f ca="1">IFERROR(OFFSET(ITEM_RES!$A$1,MATCH(AX338,ITEM_RES!$J:$J,0)-1,0),0)</f>
        <v>211020801</v>
      </c>
      <c r="AX338" s="10" t="s">
        <v>454</v>
      </c>
      <c r="AY338" s="11">
        <v>2250</v>
      </c>
      <c r="BB338" s="11">
        <f ca="1">IFERROR(OFFSET(ITEM_RES!$A$1,MATCH(BC338,ITEM_RES!$J:$J,0)-1,0),0)</f>
        <v>0</v>
      </c>
      <c r="BG338" s="11">
        <f ca="1">IFERROR(OFFSET(ITEM_RES!$A$1,MATCH(BH338,ITEM_RES!$J:$J,0)-1,0),0)</f>
        <v>0</v>
      </c>
      <c r="BL338" s="11">
        <f ca="1">IFERROR(OFFSET(ITEM_RES!$A$1,MATCH(BM338,ITEM_RES!$J:$J,0)-1,0),0)</f>
        <v>0</v>
      </c>
    </row>
    <row r="339" spans="1:67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371</v>
      </c>
      <c r="L339" s="9" t="s">
        <v>989</v>
      </c>
      <c r="M339" s="9" t="s">
        <v>1008</v>
      </c>
      <c r="N339" s="9">
        <v>1</v>
      </c>
      <c r="O339" s="9">
        <v>15</v>
      </c>
      <c r="P339" s="9" t="s">
        <v>813</v>
      </c>
      <c r="T339" s="9" t="s">
        <v>746</v>
      </c>
      <c r="V339" s="85" t="s">
        <v>579</v>
      </c>
      <c r="W339" s="9">
        <f ca="1">IFERROR(OFFSET(ITEM_RES!$A$5,MATCH(BUILDING!V339,ITEM_RES!$J$5:$J$226,0)-1,0),0)</f>
        <v>211020601</v>
      </c>
      <c r="X339" s="11">
        <v>2</v>
      </c>
      <c r="Y339" s="85" t="s">
        <v>574</v>
      </c>
      <c r="Z339" s="9">
        <f ca="1">IFERROR(OFFSET(ITEM_RES!$A$5,MATCH(BUILDING!Y339,ITEM_RES!$J$5:$J$226,0)-1,0),0)</f>
        <v>211020701</v>
      </c>
      <c r="AB339" s="9" t="s">
        <v>551</v>
      </c>
      <c r="AC339" s="9">
        <v>15</v>
      </c>
      <c r="AE339" s="9">
        <v>44000</v>
      </c>
      <c r="AG339" s="56">
        <f t="shared" si="109"/>
        <v>11550</v>
      </c>
      <c r="AH339" s="10">
        <f t="shared" si="116"/>
        <v>21000</v>
      </c>
      <c r="AJ339" s="11">
        <f t="shared" si="108"/>
        <v>75</v>
      </c>
      <c r="AK339" s="10">
        <v>75</v>
      </c>
      <c r="AL339" s="11">
        <f t="shared" si="115"/>
        <v>550</v>
      </c>
      <c r="AM339" s="10">
        <v>550</v>
      </c>
      <c r="AN339" s="11">
        <f t="shared" si="115"/>
        <v>550</v>
      </c>
      <c r="AO339" s="10">
        <v>550</v>
      </c>
      <c r="AP339" s="56">
        <f t="shared" si="110"/>
        <v>2</v>
      </c>
      <c r="AR339" s="11">
        <f ca="1">IFERROR(OFFSET(ITEM_RES!$A$1,MATCH(AS339,ITEM_RES!$J:$J,0)-1,0),0)</f>
        <v>211020501</v>
      </c>
      <c r="AS339" s="10" t="s">
        <v>451</v>
      </c>
      <c r="AT339" s="11">
        <v>2750</v>
      </c>
      <c r="AW339" s="11">
        <f ca="1">IFERROR(OFFSET(ITEM_RES!$A$1,MATCH(AX339,ITEM_RES!$J:$J,0)-1,0),0)</f>
        <v>211020801</v>
      </c>
      <c r="AX339" s="10" t="s">
        <v>454</v>
      </c>
      <c r="AY339" s="11">
        <v>2750</v>
      </c>
      <c r="BB339" s="11">
        <f ca="1">IFERROR(OFFSET(ITEM_RES!$A$1,MATCH(BC339,ITEM_RES!$J:$J,0)-1,0),0)</f>
        <v>0</v>
      </c>
      <c r="BG339" s="11">
        <f ca="1">IFERROR(OFFSET(ITEM_RES!$A$1,MATCH(BH339,ITEM_RES!$J:$J,0)-1,0),0)</f>
        <v>0</v>
      </c>
      <c r="BL339" s="11">
        <f ca="1">IFERROR(OFFSET(ITEM_RES!$A$1,MATCH(BM339,ITEM_RES!$J:$J,0)-1,0),0)</f>
        <v>0</v>
      </c>
    </row>
    <row r="340" spans="1:67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371</v>
      </c>
      <c r="L340" s="9" t="s">
        <v>989</v>
      </c>
      <c r="M340" s="9" t="s">
        <v>1008</v>
      </c>
      <c r="N340" s="9">
        <v>0</v>
      </c>
      <c r="O340" s="9">
        <v>15</v>
      </c>
      <c r="P340" s="9" t="s">
        <v>813</v>
      </c>
      <c r="T340" s="9" t="s">
        <v>746</v>
      </c>
      <c r="V340" s="85" t="s">
        <v>579</v>
      </c>
      <c r="W340" s="9">
        <f ca="1">IFERROR(OFFSET(ITEM_RES!$A$5,MATCH(BUILDING!V340,ITEM_RES!$J$5:$J$226,0)-1,0),0)</f>
        <v>211020601</v>
      </c>
      <c r="X340" s="11">
        <v>2</v>
      </c>
      <c r="Y340" s="85" t="s">
        <v>574</v>
      </c>
      <c r="Z340" s="9">
        <f ca="1">IFERROR(OFFSET(ITEM_RES!$A$5,MATCH(BUILDING!Y340,ITEM_RES!$J$5:$J$226,0)-1,0),0)</f>
        <v>211020701</v>
      </c>
      <c r="AB340" s="9" t="s">
        <v>551</v>
      </c>
      <c r="AC340" s="9">
        <v>16</v>
      </c>
      <c r="AE340" s="9">
        <v>56000</v>
      </c>
      <c r="AG340" s="56">
        <f t="shared" si="109"/>
        <v>14700</v>
      </c>
      <c r="AH340" s="10">
        <f t="shared" si="116"/>
        <v>26250</v>
      </c>
      <c r="AJ340" s="11">
        <f t="shared" si="108"/>
        <v>80</v>
      </c>
      <c r="AK340" s="10">
        <v>80</v>
      </c>
      <c r="AL340" s="11">
        <f t="shared" si="115"/>
        <v>700</v>
      </c>
      <c r="AM340" s="10">
        <v>700</v>
      </c>
      <c r="AN340" s="11">
        <f t="shared" si="115"/>
        <v>700</v>
      </c>
      <c r="AO340" s="10">
        <v>700</v>
      </c>
      <c r="AP340" s="56">
        <f t="shared" si="110"/>
        <v>2</v>
      </c>
      <c r="AR340" s="11">
        <f ca="1">IFERROR(OFFSET(ITEM_RES!$A$1,MATCH(AS340,ITEM_RES!$J:$J,0)-1,0),0)</f>
        <v>211020501</v>
      </c>
      <c r="AS340" s="10" t="s">
        <v>451</v>
      </c>
      <c r="AT340" s="11">
        <v>3500</v>
      </c>
      <c r="AW340" s="11">
        <f ca="1">IFERROR(OFFSET(ITEM_RES!$A$1,MATCH(AX340,ITEM_RES!$J:$J,0)-1,0),0)</f>
        <v>211020801</v>
      </c>
      <c r="AX340" s="10" t="s">
        <v>454</v>
      </c>
      <c r="AY340" s="11">
        <v>3500</v>
      </c>
      <c r="BB340" s="11">
        <f ca="1">IFERROR(OFFSET(ITEM_RES!$A$1,MATCH(BC340,ITEM_RES!$J:$J,0)-1,0),0)</f>
        <v>0</v>
      </c>
      <c r="BG340" s="11">
        <f ca="1">IFERROR(OFFSET(ITEM_RES!$A$1,MATCH(BH340,ITEM_RES!$J:$J,0)-1,0),0)</f>
        <v>0</v>
      </c>
      <c r="BL340" s="11">
        <f ca="1">IFERROR(OFFSET(ITEM_RES!$A$1,MATCH(BM340,ITEM_RES!$J:$J,0)-1,0),0)</f>
        <v>0</v>
      </c>
    </row>
    <row r="341" spans="1:67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371</v>
      </c>
      <c r="L341" s="9" t="s">
        <v>989</v>
      </c>
      <c r="M341" s="9" t="s">
        <v>1008</v>
      </c>
      <c r="N341" s="9">
        <v>0</v>
      </c>
      <c r="O341" s="9">
        <v>15</v>
      </c>
      <c r="P341" s="9" t="s">
        <v>813</v>
      </c>
      <c r="T341" s="9" t="s">
        <v>746</v>
      </c>
      <c r="V341" s="85" t="s">
        <v>579</v>
      </c>
      <c r="W341" s="9">
        <f ca="1">IFERROR(OFFSET(ITEM_RES!$A$5,MATCH(BUILDING!V341,ITEM_RES!$J$5:$J$226,0)-1,0),0)</f>
        <v>211020601</v>
      </c>
      <c r="X341" s="11">
        <v>2</v>
      </c>
      <c r="Y341" s="85" t="s">
        <v>574</v>
      </c>
      <c r="Z341" s="9">
        <f ca="1">IFERROR(OFFSET(ITEM_RES!$A$5,MATCH(BUILDING!Y341,ITEM_RES!$J$5:$J$226,0)-1,0),0)</f>
        <v>211020701</v>
      </c>
      <c r="AB341" s="9" t="s">
        <v>551</v>
      </c>
      <c r="AC341" s="9">
        <v>17</v>
      </c>
      <c r="AE341" s="9">
        <v>68000</v>
      </c>
      <c r="AG341" s="56">
        <f t="shared" si="109"/>
        <v>17850</v>
      </c>
      <c r="AH341" s="10">
        <f t="shared" si="116"/>
        <v>32550</v>
      </c>
      <c r="AJ341" s="11">
        <f t="shared" si="108"/>
        <v>85</v>
      </c>
      <c r="AK341" s="10">
        <v>85</v>
      </c>
      <c r="AL341" s="11">
        <f t="shared" si="115"/>
        <v>850</v>
      </c>
      <c r="AM341" s="10">
        <v>850</v>
      </c>
      <c r="AN341" s="11">
        <f t="shared" si="115"/>
        <v>850</v>
      </c>
      <c r="AO341" s="10">
        <v>850</v>
      </c>
      <c r="AP341" s="56">
        <f t="shared" si="110"/>
        <v>2</v>
      </c>
      <c r="AR341" s="11">
        <f ca="1">IFERROR(OFFSET(ITEM_RES!$A$1,MATCH(AS341,ITEM_RES!$J:$J,0)-1,0),0)</f>
        <v>211020501</v>
      </c>
      <c r="AS341" s="10" t="s">
        <v>451</v>
      </c>
      <c r="AT341" s="11">
        <v>4250</v>
      </c>
      <c r="AW341" s="11">
        <f ca="1">IFERROR(OFFSET(ITEM_RES!$A$1,MATCH(AX341,ITEM_RES!$J:$J,0)-1,0),0)</f>
        <v>211020801</v>
      </c>
      <c r="AX341" s="10" t="s">
        <v>454</v>
      </c>
      <c r="AY341" s="11">
        <v>4250</v>
      </c>
      <c r="BB341" s="11">
        <f ca="1">IFERROR(OFFSET(ITEM_RES!$A$1,MATCH(BC341,ITEM_RES!$J:$J,0)-1,0),0)</f>
        <v>0</v>
      </c>
      <c r="BG341" s="11">
        <f ca="1">IFERROR(OFFSET(ITEM_RES!$A$1,MATCH(BH341,ITEM_RES!$J:$J,0)-1,0),0)</f>
        <v>0</v>
      </c>
      <c r="BL341" s="11">
        <f ca="1">IFERROR(OFFSET(ITEM_RES!$A$1,MATCH(BM341,ITEM_RES!$J:$J,0)-1,0),0)</f>
        <v>0</v>
      </c>
    </row>
    <row r="342" spans="1:67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371</v>
      </c>
      <c r="L342" s="9" t="s">
        <v>989</v>
      </c>
      <c r="M342" s="9" t="s">
        <v>1008</v>
      </c>
      <c r="N342" s="9">
        <v>0</v>
      </c>
      <c r="O342" s="9">
        <v>15</v>
      </c>
      <c r="P342" s="9" t="s">
        <v>813</v>
      </c>
      <c r="T342" s="9" t="s">
        <v>746</v>
      </c>
      <c r="V342" s="85" t="s">
        <v>579</v>
      </c>
      <c r="W342" s="9">
        <f ca="1">IFERROR(OFFSET(ITEM_RES!$A$5,MATCH(BUILDING!V342,ITEM_RES!$J$5:$J$226,0)-1,0),0)</f>
        <v>211020601</v>
      </c>
      <c r="X342" s="11">
        <v>2</v>
      </c>
      <c r="Y342" s="85" t="s">
        <v>574</v>
      </c>
      <c r="Z342" s="9">
        <f ca="1">IFERROR(OFFSET(ITEM_RES!$A$5,MATCH(BUILDING!Y342,ITEM_RES!$J$5:$J$226,0)-1,0),0)</f>
        <v>211020701</v>
      </c>
      <c r="AB342" s="9" t="s">
        <v>551</v>
      </c>
      <c r="AC342" s="9">
        <v>18</v>
      </c>
      <c r="AE342" s="9">
        <v>84000</v>
      </c>
      <c r="AG342" s="56">
        <f t="shared" si="109"/>
        <v>22050</v>
      </c>
      <c r="AH342" s="10">
        <f t="shared" si="116"/>
        <v>39900</v>
      </c>
      <c r="AJ342" s="11">
        <f t="shared" si="108"/>
        <v>90</v>
      </c>
      <c r="AK342" s="10">
        <v>90</v>
      </c>
      <c r="AL342" s="11">
        <f t="shared" si="115"/>
        <v>1050</v>
      </c>
      <c r="AM342" s="10">
        <v>1050</v>
      </c>
      <c r="AN342" s="11">
        <f t="shared" si="115"/>
        <v>1050</v>
      </c>
      <c r="AO342" s="10">
        <v>1050</v>
      </c>
      <c r="AP342" s="56">
        <f t="shared" si="110"/>
        <v>2</v>
      </c>
      <c r="AR342" s="11">
        <f ca="1">IFERROR(OFFSET(ITEM_RES!$A$1,MATCH(AS342,ITEM_RES!$J:$J,0)-1,0),0)</f>
        <v>211020501</v>
      </c>
      <c r="AS342" s="10" t="s">
        <v>451</v>
      </c>
      <c r="AT342" s="11">
        <v>5250</v>
      </c>
      <c r="AW342" s="11">
        <f ca="1">IFERROR(OFFSET(ITEM_RES!$A$1,MATCH(AX342,ITEM_RES!$J:$J,0)-1,0),0)</f>
        <v>211020801</v>
      </c>
      <c r="AX342" s="10" t="s">
        <v>454</v>
      </c>
      <c r="AY342" s="11">
        <v>5250</v>
      </c>
      <c r="BB342" s="11">
        <f ca="1">IFERROR(OFFSET(ITEM_RES!$A$1,MATCH(BC342,ITEM_RES!$J:$J,0)-1,0),0)</f>
        <v>0</v>
      </c>
      <c r="BG342" s="11">
        <f ca="1">IFERROR(OFFSET(ITEM_RES!$A$1,MATCH(BH342,ITEM_RES!$J:$J,0)-1,0),0)</f>
        <v>0</v>
      </c>
      <c r="BL342" s="11">
        <f ca="1">IFERROR(OFFSET(ITEM_RES!$A$1,MATCH(BM342,ITEM_RES!$J:$J,0)-1,0),0)</f>
        <v>0</v>
      </c>
    </row>
    <row r="343" spans="1:67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371</v>
      </c>
      <c r="L343" s="9" t="s">
        <v>989</v>
      </c>
      <c r="M343" s="9" t="s">
        <v>1008</v>
      </c>
      <c r="N343" s="9">
        <v>0</v>
      </c>
      <c r="O343" s="9">
        <v>15</v>
      </c>
      <c r="P343" s="9" t="s">
        <v>813</v>
      </c>
      <c r="T343" s="9" t="s">
        <v>746</v>
      </c>
      <c r="V343" s="85" t="s">
        <v>579</v>
      </c>
      <c r="W343" s="9">
        <f ca="1">IFERROR(OFFSET(ITEM_RES!$A$5,MATCH(BUILDING!V343,ITEM_RES!$J$5:$J$226,0)-1,0),0)</f>
        <v>211020601</v>
      </c>
      <c r="X343" s="11">
        <v>2</v>
      </c>
      <c r="Y343" s="85" t="s">
        <v>574</v>
      </c>
      <c r="Z343" s="9">
        <f ca="1">IFERROR(OFFSET(ITEM_RES!$A$5,MATCH(BUILDING!Y343,ITEM_RES!$J$5:$J$226,0)-1,0),0)</f>
        <v>211020701</v>
      </c>
      <c r="AB343" s="9" t="s">
        <v>551</v>
      </c>
      <c r="AC343" s="9">
        <v>19</v>
      </c>
      <c r="AE343" s="9">
        <v>100000</v>
      </c>
      <c r="AG343" s="56">
        <f t="shared" si="109"/>
        <v>26250</v>
      </c>
      <c r="AH343" s="10">
        <f t="shared" si="116"/>
        <v>48300</v>
      </c>
      <c r="AJ343" s="11">
        <f t="shared" si="108"/>
        <v>95</v>
      </c>
      <c r="AK343" s="10">
        <v>95</v>
      </c>
      <c r="AL343" s="11">
        <f t="shared" si="115"/>
        <v>1250</v>
      </c>
      <c r="AM343" s="10">
        <v>1250</v>
      </c>
      <c r="AN343" s="11">
        <f t="shared" si="115"/>
        <v>1250</v>
      </c>
      <c r="AO343" s="10">
        <v>1250</v>
      </c>
      <c r="AP343" s="56">
        <f t="shared" si="110"/>
        <v>2</v>
      </c>
      <c r="AR343" s="11">
        <f ca="1">IFERROR(OFFSET(ITEM_RES!$A$1,MATCH(AS343,ITEM_RES!$J:$J,0)-1,0),0)</f>
        <v>211020501</v>
      </c>
      <c r="AS343" s="10" t="s">
        <v>451</v>
      </c>
      <c r="AT343" s="11">
        <v>6250</v>
      </c>
      <c r="AW343" s="11">
        <f ca="1">IFERROR(OFFSET(ITEM_RES!$A$1,MATCH(AX343,ITEM_RES!$J:$J,0)-1,0),0)</f>
        <v>211020801</v>
      </c>
      <c r="AX343" s="10" t="s">
        <v>454</v>
      </c>
      <c r="AY343" s="11">
        <v>6250</v>
      </c>
      <c r="BB343" s="11">
        <f ca="1">IFERROR(OFFSET(ITEM_RES!$A$1,MATCH(BC343,ITEM_RES!$J:$J,0)-1,0),0)</f>
        <v>0</v>
      </c>
      <c r="BG343" s="11">
        <f ca="1">IFERROR(OFFSET(ITEM_RES!$A$1,MATCH(BH343,ITEM_RES!$J:$J,0)-1,0),0)</f>
        <v>0</v>
      </c>
      <c r="BL343" s="11">
        <f ca="1">IFERROR(OFFSET(ITEM_RES!$A$1,MATCH(BM343,ITEM_RES!$J:$J,0)-1,0),0)</f>
        <v>0</v>
      </c>
    </row>
    <row r="344" spans="1:67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371</v>
      </c>
      <c r="L344" s="9" t="s">
        <v>989</v>
      </c>
      <c r="M344" s="9" t="s">
        <v>1008</v>
      </c>
      <c r="N344" s="9">
        <v>0</v>
      </c>
      <c r="O344" s="9">
        <v>15</v>
      </c>
      <c r="P344" s="9" t="s">
        <v>813</v>
      </c>
      <c r="T344" s="9" t="s">
        <v>746</v>
      </c>
      <c r="V344" s="85" t="s">
        <v>579</v>
      </c>
      <c r="W344" s="9">
        <f ca="1">IFERROR(OFFSET(ITEM_RES!$A$5,MATCH(BUILDING!V344,ITEM_RES!$J$5:$J$226,0)-1,0),0)</f>
        <v>211020601</v>
      </c>
      <c r="X344" s="11">
        <v>2</v>
      </c>
      <c r="Y344" s="85" t="s">
        <v>574</v>
      </c>
      <c r="Z344" s="9">
        <f ca="1">IFERROR(OFFSET(ITEM_RES!$A$5,MATCH(BUILDING!Y344,ITEM_RES!$J$5:$J$226,0)-1,0),0)</f>
        <v>211020701</v>
      </c>
      <c r="AB344" s="9" t="s">
        <v>551</v>
      </c>
      <c r="AC344" s="9">
        <v>20</v>
      </c>
      <c r="AE344" s="9">
        <v>120000</v>
      </c>
      <c r="AG344" s="56">
        <f t="shared" si="109"/>
        <v>31500</v>
      </c>
      <c r="AH344" s="10">
        <f t="shared" si="116"/>
        <v>57750</v>
      </c>
      <c r="AJ344" s="11">
        <f t="shared" si="108"/>
        <v>100</v>
      </c>
      <c r="AK344" s="10">
        <v>100</v>
      </c>
      <c r="AL344" s="11">
        <f t="shared" si="115"/>
        <v>1500</v>
      </c>
      <c r="AM344" s="10">
        <v>1500</v>
      </c>
      <c r="AN344" s="11">
        <f t="shared" si="115"/>
        <v>1500</v>
      </c>
      <c r="AO344" s="10">
        <v>1500</v>
      </c>
      <c r="AP344" s="56">
        <f t="shared" si="110"/>
        <v>2</v>
      </c>
      <c r="AR344" s="11">
        <f ca="1">IFERROR(OFFSET(ITEM_RES!$A$1,MATCH(AS344,ITEM_RES!$J:$J,0)-1,0),0)</f>
        <v>211020501</v>
      </c>
      <c r="AS344" s="10" t="s">
        <v>451</v>
      </c>
      <c r="AT344" s="11">
        <v>7500</v>
      </c>
      <c r="AW344" s="11">
        <f ca="1">IFERROR(OFFSET(ITEM_RES!$A$1,MATCH(AX344,ITEM_RES!$J:$J,0)-1,0),0)</f>
        <v>211020801</v>
      </c>
      <c r="AX344" s="10" t="s">
        <v>454</v>
      </c>
      <c r="AY344" s="11">
        <v>7500</v>
      </c>
      <c r="BB344" s="11">
        <f ca="1">IFERROR(OFFSET(ITEM_RES!$A$1,MATCH(BC344,ITEM_RES!$J:$J,0)-1,0),0)</f>
        <v>0</v>
      </c>
      <c r="BG344" s="11">
        <f ca="1">IFERROR(OFFSET(ITEM_RES!$A$1,MATCH(BH344,ITEM_RES!$J:$J,0)-1,0),0)</f>
        <v>0</v>
      </c>
      <c r="BL344" s="11">
        <f ca="1">IFERROR(OFFSET(ITEM_RES!$A$1,MATCH(BM344,ITEM_RES!$J:$J,0)-1,0),0)</f>
        <v>0</v>
      </c>
    </row>
    <row r="345" spans="1:67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 t="s">
        <v>990</v>
      </c>
      <c r="M345" s="16" t="s">
        <v>1009</v>
      </c>
      <c r="N345" s="16">
        <v>1</v>
      </c>
      <c r="O345" s="16">
        <v>15</v>
      </c>
      <c r="P345" s="16" t="s">
        <v>814</v>
      </c>
      <c r="Q345" s="17"/>
      <c r="R345" s="17"/>
      <c r="S345" s="18"/>
      <c r="T345" s="16" t="s">
        <v>747</v>
      </c>
      <c r="U345" s="79"/>
      <c r="V345" s="87" t="s">
        <v>580</v>
      </c>
      <c r="W345" s="16">
        <f ca="1">IFERROR(OFFSET(ITEM_RES!$A$5,MATCH(BUILDING!V345,ITEM_RES!$J$5:$J$226,0)-1,0),0)</f>
        <v>211020801</v>
      </c>
      <c r="X345" s="18">
        <v>1</v>
      </c>
      <c r="Y345" s="87" t="s">
        <v>408</v>
      </c>
      <c r="Z345" s="16">
        <f ca="1">IFERROR(OFFSET(ITEM_RES!$A$5,MATCH(BUILDING!Y345,ITEM_RES!$J$5:$J$226,0)-1,0),0)</f>
        <v>211020901</v>
      </c>
      <c r="AA345" s="79"/>
      <c r="AB345" s="16" t="s">
        <v>552</v>
      </c>
      <c r="AC345" s="16">
        <v>1</v>
      </c>
      <c r="AD345" s="79"/>
      <c r="AE345" s="16">
        <v>0</v>
      </c>
      <c r="AF345" s="79"/>
      <c r="AG345" s="57">
        <f t="shared" si="109"/>
        <v>605</v>
      </c>
      <c r="AH345" s="17">
        <f>AG345</f>
        <v>605</v>
      </c>
      <c r="AI345" s="79"/>
      <c r="AJ345" s="18">
        <f t="shared" si="108"/>
        <v>5</v>
      </c>
      <c r="AK345" s="17">
        <v>5</v>
      </c>
      <c r="AL345" s="18">
        <f t="shared" si="115"/>
        <v>5</v>
      </c>
      <c r="AM345" s="17">
        <v>5</v>
      </c>
      <c r="AN345" s="18">
        <f t="shared" si="115"/>
        <v>5</v>
      </c>
      <c r="AO345" s="17">
        <v>5</v>
      </c>
      <c r="AP345" s="57">
        <f t="shared" si="110"/>
        <v>3</v>
      </c>
      <c r="AQ345" s="18"/>
      <c r="AR345" s="18">
        <f ca="1">IFERROR(OFFSET(ITEM_RES!$A$1,MATCH(AS345,ITEM_RES!$J:$J,0)-1,0),0)</f>
        <v>211020401</v>
      </c>
      <c r="AS345" s="17" t="s">
        <v>455</v>
      </c>
      <c r="AT345" s="18">
        <v>25</v>
      </c>
      <c r="AU345" s="17"/>
      <c r="AV345" s="18"/>
      <c r="AW345" s="18">
        <f ca="1">IFERROR(OFFSET(ITEM_RES!$A$1,MATCH(AX345,ITEM_RES!$J:$J,0)-1,0),0)</f>
        <v>211020801</v>
      </c>
      <c r="AX345" s="17" t="s">
        <v>454</v>
      </c>
      <c r="AY345" s="18">
        <v>25</v>
      </c>
      <c r="AZ345" s="17"/>
      <c r="BA345" s="18"/>
      <c r="BB345" s="18">
        <f ca="1">IFERROR(OFFSET(ITEM_RES!$A$1,MATCH(BC345,ITEM_RES!$J:$J,0)-1,0),0)</f>
        <v>213010101</v>
      </c>
      <c r="BC345" s="17" t="s">
        <v>477</v>
      </c>
      <c r="BD345" s="18">
        <v>1</v>
      </c>
      <c r="BE345" s="17"/>
      <c r="BF345" s="18"/>
      <c r="BG345" s="18">
        <f ca="1">IFERROR(OFFSET(ITEM_RES!$A$1,MATCH(BH345,ITEM_RES!$J:$J,0)-1,0),0)</f>
        <v>0</v>
      </c>
      <c r="BH345" s="17"/>
      <c r="BI345" s="18"/>
      <c r="BJ345" s="17"/>
      <c r="BK345" s="18"/>
      <c r="BL345" s="18">
        <f ca="1">IFERROR(OFFSET(ITEM_RES!$A$1,MATCH(BM345,ITEM_RES!$J:$J,0)-1,0),0)</f>
        <v>0</v>
      </c>
      <c r="BM345" s="17"/>
      <c r="BN345" s="18"/>
      <c r="BO345" s="17"/>
    </row>
    <row r="346" spans="1:67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367</v>
      </c>
      <c r="L346" s="9" t="s">
        <v>990</v>
      </c>
      <c r="M346" s="9" t="s">
        <v>1009</v>
      </c>
      <c r="N346" s="9">
        <v>1</v>
      </c>
      <c r="O346" s="9">
        <v>15</v>
      </c>
      <c r="P346" s="9" t="s">
        <v>814</v>
      </c>
      <c r="T346" s="9" t="s">
        <v>747</v>
      </c>
      <c r="V346" s="85" t="s">
        <v>580</v>
      </c>
      <c r="W346" s="9">
        <f ca="1">IFERROR(OFFSET(ITEM_RES!$A$5,MATCH(BUILDING!V346,ITEM_RES!$J$5:$J$226,0)-1,0),0)</f>
        <v>211020801</v>
      </c>
      <c r="X346" s="11">
        <v>1</v>
      </c>
      <c r="Y346" s="85" t="s">
        <v>408</v>
      </c>
      <c r="Z346" s="9">
        <f ca="1">IFERROR(OFFSET(ITEM_RES!$A$5,MATCH(BUILDING!Y346,ITEM_RES!$J$5:$J$226,0)-1,0),0)</f>
        <v>211020901</v>
      </c>
      <c r="AB346" s="9" t="s">
        <v>552</v>
      </c>
      <c r="AC346" s="9">
        <v>2</v>
      </c>
      <c r="AE346" s="9">
        <v>800</v>
      </c>
      <c r="AG346" s="56">
        <f t="shared" si="109"/>
        <v>210</v>
      </c>
      <c r="AH346" s="10">
        <f>AG345+AG346</f>
        <v>815</v>
      </c>
      <c r="AJ346" s="11">
        <f t="shared" si="108"/>
        <v>10</v>
      </c>
      <c r="AK346" s="10">
        <v>10</v>
      </c>
      <c r="AL346" s="11">
        <f t="shared" si="115"/>
        <v>10</v>
      </c>
      <c r="AM346" s="10">
        <v>10</v>
      </c>
      <c r="AN346" s="11">
        <f t="shared" si="115"/>
        <v>10</v>
      </c>
      <c r="AO346" s="10">
        <v>10</v>
      </c>
      <c r="AP346" s="56">
        <f t="shared" si="110"/>
        <v>2</v>
      </c>
      <c r="AR346" s="11">
        <f ca="1">IFERROR(OFFSET(ITEM_RES!$A$1,MATCH(AS346,ITEM_RES!$J:$J,0)-1,0),0)</f>
        <v>211020401</v>
      </c>
      <c r="AS346" s="10" t="s">
        <v>455</v>
      </c>
      <c r="AT346" s="11">
        <v>50</v>
      </c>
      <c r="AW346" s="11">
        <f ca="1">IFERROR(OFFSET(ITEM_RES!$A$1,MATCH(AX346,ITEM_RES!$J:$J,0)-1,0),0)</f>
        <v>211020801</v>
      </c>
      <c r="AX346" s="10" t="s">
        <v>454</v>
      </c>
      <c r="AY346" s="11">
        <v>50</v>
      </c>
      <c r="BB346" s="11">
        <f ca="1">IFERROR(OFFSET(ITEM_RES!$A$1,MATCH(BC346,ITEM_RES!$J:$J,0)-1,0),0)</f>
        <v>0</v>
      </c>
      <c r="BG346" s="11">
        <f ca="1">IFERROR(OFFSET(ITEM_RES!$A$1,MATCH(BH346,ITEM_RES!$J:$J,0)-1,0),0)</f>
        <v>0</v>
      </c>
      <c r="BL346" s="11">
        <f ca="1">IFERROR(OFFSET(ITEM_RES!$A$1,MATCH(BM346,ITEM_RES!$J:$J,0)-1,0),0)</f>
        <v>0</v>
      </c>
    </row>
    <row r="347" spans="1:67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367</v>
      </c>
      <c r="L347" s="9" t="s">
        <v>990</v>
      </c>
      <c r="M347" s="9" t="s">
        <v>1009</v>
      </c>
      <c r="N347" s="9">
        <v>1</v>
      </c>
      <c r="O347" s="9">
        <v>15</v>
      </c>
      <c r="P347" s="9" t="s">
        <v>814</v>
      </c>
      <c r="T347" s="9" t="s">
        <v>747</v>
      </c>
      <c r="V347" s="85" t="s">
        <v>580</v>
      </c>
      <c r="W347" s="9">
        <f ca="1">IFERROR(OFFSET(ITEM_RES!$A$5,MATCH(BUILDING!V347,ITEM_RES!$J$5:$J$226,0)-1,0),0)</f>
        <v>211020801</v>
      </c>
      <c r="X347" s="11">
        <v>1</v>
      </c>
      <c r="Y347" s="85" t="s">
        <v>408</v>
      </c>
      <c r="Z347" s="9">
        <f ca="1">IFERROR(OFFSET(ITEM_RES!$A$5,MATCH(BUILDING!Y347,ITEM_RES!$J$5:$J$226,0)-1,0),0)</f>
        <v>211020901</v>
      </c>
      <c r="AB347" s="9" t="s">
        <v>552</v>
      </c>
      <c r="AC347" s="9">
        <v>3</v>
      </c>
      <c r="AE347" s="9">
        <v>1200</v>
      </c>
      <c r="AG347" s="56">
        <f t="shared" si="109"/>
        <v>315</v>
      </c>
      <c r="AH347" s="10">
        <f t="shared" ref="AH347:AH364" si="117">AG346+AG347</f>
        <v>525</v>
      </c>
      <c r="AJ347" s="11">
        <f t="shared" si="108"/>
        <v>15</v>
      </c>
      <c r="AK347" s="10">
        <v>15</v>
      </c>
      <c r="AL347" s="11">
        <f t="shared" si="115"/>
        <v>15</v>
      </c>
      <c r="AM347" s="10">
        <v>15</v>
      </c>
      <c r="AN347" s="11">
        <f t="shared" si="115"/>
        <v>15</v>
      </c>
      <c r="AO347" s="10">
        <v>15</v>
      </c>
      <c r="AP347" s="56">
        <f t="shared" si="110"/>
        <v>2</v>
      </c>
      <c r="AR347" s="11">
        <f ca="1">IFERROR(OFFSET(ITEM_RES!$A$1,MATCH(AS347,ITEM_RES!$J:$J,0)-1,0),0)</f>
        <v>211020401</v>
      </c>
      <c r="AS347" s="10" t="s">
        <v>455</v>
      </c>
      <c r="AT347" s="11">
        <v>75</v>
      </c>
      <c r="AW347" s="11">
        <f ca="1">IFERROR(OFFSET(ITEM_RES!$A$1,MATCH(AX347,ITEM_RES!$J:$J,0)-1,0),0)</f>
        <v>211020801</v>
      </c>
      <c r="AX347" s="10" t="s">
        <v>454</v>
      </c>
      <c r="AY347" s="11">
        <v>75</v>
      </c>
      <c r="BB347" s="11">
        <f ca="1">IFERROR(OFFSET(ITEM_RES!$A$1,MATCH(BC347,ITEM_RES!$J:$J,0)-1,0),0)</f>
        <v>0</v>
      </c>
      <c r="BG347" s="11">
        <f ca="1">IFERROR(OFFSET(ITEM_RES!$A$1,MATCH(BH347,ITEM_RES!$J:$J,0)-1,0),0)</f>
        <v>0</v>
      </c>
      <c r="BL347" s="11">
        <f ca="1">IFERROR(OFFSET(ITEM_RES!$A$1,MATCH(BM347,ITEM_RES!$J:$J,0)-1,0),0)</f>
        <v>0</v>
      </c>
    </row>
    <row r="348" spans="1:67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367</v>
      </c>
      <c r="L348" s="9" t="s">
        <v>990</v>
      </c>
      <c r="M348" s="9" t="s">
        <v>1009</v>
      </c>
      <c r="N348" s="9">
        <v>1</v>
      </c>
      <c r="O348" s="9">
        <v>15</v>
      </c>
      <c r="P348" s="9" t="s">
        <v>814</v>
      </c>
      <c r="T348" s="9" t="s">
        <v>747</v>
      </c>
      <c r="V348" s="85" t="s">
        <v>580</v>
      </c>
      <c r="W348" s="9">
        <f ca="1">IFERROR(OFFSET(ITEM_RES!$A$5,MATCH(BUILDING!V348,ITEM_RES!$J$5:$J$226,0)-1,0),0)</f>
        <v>211020801</v>
      </c>
      <c r="X348" s="11">
        <v>1</v>
      </c>
      <c r="Y348" s="85" t="s">
        <v>408</v>
      </c>
      <c r="Z348" s="9">
        <f ca="1">IFERROR(OFFSET(ITEM_RES!$A$5,MATCH(BUILDING!Y348,ITEM_RES!$J$5:$J$226,0)-1,0),0)</f>
        <v>211020901</v>
      </c>
      <c r="AB348" s="9" t="s">
        <v>552</v>
      </c>
      <c r="AC348" s="9">
        <v>4</v>
      </c>
      <c r="AE348" s="9">
        <v>2000</v>
      </c>
      <c r="AG348" s="56">
        <f t="shared" si="109"/>
        <v>525</v>
      </c>
      <c r="AH348" s="10">
        <f t="shared" si="117"/>
        <v>840</v>
      </c>
      <c r="AJ348" s="11">
        <f t="shared" si="108"/>
        <v>20</v>
      </c>
      <c r="AK348" s="10">
        <v>20</v>
      </c>
      <c r="AL348" s="11">
        <f t="shared" si="115"/>
        <v>25</v>
      </c>
      <c r="AM348" s="10">
        <v>25</v>
      </c>
      <c r="AN348" s="11">
        <f t="shared" si="115"/>
        <v>25</v>
      </c>
      <c r="AO348" s="10">
        <v>25</v>
      </c>
      <c r="AP348" s="56">
        <f t="shared" si="110"/>
        <v>2</v>
      </c>
      <c r="AR348" s="11">
        <f ca="1">IFERROR(OFFSET(ITEM_RES!$A$1,MATCH(AS348,ITEM_RES!$J:$J,0)-1,0),0)</f>
        <v>211020401</v>
      </c>
      <c r="AS348" s="10" t="s">
        <v>455</v>
      </c>
      <c r="AT348" s="11">
        <v>125</v>
      </c>
      <c r="AW348" s="11">
        <f ca="1">IFERROR(OFFSET(ITEM_RES!$A$1,MATCH(AX348,ITEM_RES!$J:$J,0)-1,0),0)</f>
        <v>211020801</v>
      </c>
      <c r="AX348" s="10" t="s">
        <v>454</v>
      </c>
      <c r="AY348" s="11">
        <v>125</v>
      </c>
      <c r="BB348" s="11">
        <f ca="1">IFERROR(OFFSET(ITEM_RES!$A$1,MATCH(BC348,ITEM_RES!$J:$J,0)-1,0),0)</f>
        <v>0</v>
      </c>
      <c r="BG348" s="11">
        <f ca="1">IFERROR(OFFSET(ITEM_RES!$A$1,MATCH(BH348,ITEM_RES!$J:$J,0)-1,0),0)</f>
        <v>0</v>
      </c>
      <c r="BL348" s="11">
        <f ca="1">IFERROR(OFFSET(ITEM_RES!$A$1,MATCH(BM348,ITEM_RES!$J:$J,0)-1,0),0)</f>
        <v>0</v>
      </c>
    </row>
    <row r="349" spans="1:67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367</v>
      </c>
      <c r="L349" s="9" t="s">
        <v>990</v>
      </c>
      <c r="M349" s="9" t="s">
        <v>1009</v>
      </c>
      <c r="N349" s="9">
        <v>1</v>
      </c>
      <c r="O349" s="9">
        <v>15</v>
      </c>
      <c r="P349" s="9" t="s">
        <v>814</v>
      </c>
      <c r="T349" s="9" t="s">
        <v>747</v>
      </c>
      <c r="V349" s="85" t="s">
        <v>580</v>
      </c>
      <c r="W349" s="9">
        <f ca="1">IFERROR(OFFSET(ITEM_RES!$A$5,MATCH(BUILDING!V349,ITEM_RES!$J$5:$J$226,0)-1,0),0)</f>
        <v>211020801</v>
      </c>
      <c r="X349" s="11">
        <v>1</v>
      </c>
      <c r="Y349" s="85" t="s">
        <v>408</v>
      </c>
      <c r="Z349" s="9">
        <f ca="1">IFERROR(OFFSET(ITEM_RES!$A$5,MATCH(BUILDING!Y349,ITEM_RES!$J$5:$J$226,0)-1,0),0)</f>
        <v>211020901</v>
      </c>
      <c r="AB349" s="9" t="s">
        <v>552</v>
      </c>
      <c r="AC349" s="9">
        <v>5</v>
      </c>
      <c r="AE349" s="9">
        <v>3200</v>
      </c>
      <c r="AG349" s="56">
        <f t="shared" si="109"/>
        <v>840</v>
      </c>
      <c r="AH349" s="10">
        <f t="shared" si="117"/>
        <v>1365</v>
      </c>
      <c r="AJ349" s="11">
        <f t="shared" si="108"/>
        <v>25</v>
      </c>
      <c r="AK349" s="10">
        <v>25</v>
      </c>
      <c r="AL349" s="11">
        <f t="shared" si="115"/>
        <v>40</v>
      </c>
      <c r="AM349" s="10">
        <v>40</v>
      </c>
      <c r="AN349" s="11">
        <f t="shared" si="115"/>
        <v>40</v>
      </c>
      <c r="AO349" s="10">
        <v>40</v>
      </c>
      <c r="AP349" s="56">
        <f t="shared" si="110"/>
        <v>2</v>
      </c>
      <c r="AR349" s="11">
        <f ca="1">IFERROR(OFFSET(ITEM_RES!$A$1,MATCH(AS349,ITEM_RES!$J:$J,0)-1,0),0)</f>
        <v>211020401</v>
      </c>
      <c r="AS349" s="10" t="s">
        <v>455</v>
      </c>
      <c r="AT349" s="11">
        <v>200</v>
      </c>
      <c r="AW349" s="11">
        <f ca="1">IFERROR(OFFSET(ITEM_RES!$A$1,MATCH(AX349,ITEM_RES!$J:$J,0)-1,0),0)</f>
        <v>211020801</v>
      </c>
      <c r="AX349" s="10" t="s">
        <v>454</v>
      </c>
      <c r="AY349" s="11">
        <v>200</v>
      </c>
      <c r="BB349" s="11">
        <f ca="1">IFERROR(OFFSET(ITEM_RES!$A$1,MATCH(BC349,ITEM_RES!$J:$J,0)-1,0),0)</f>
        <v>0</v>
      </c>
      <c r="BG349" s="11">
        <f ca="1">IFERROR(OFFSET(ITEM_RES!$A$1,MATCH(BH349,ITEM_RES!$J:$J,0)-1,0),0)</f>
        <v>0</v>
      </c>
      <c r="BL349" s="11">
        <f ca="1">IFERROR(OFFSET(ITEM_RES!$A$1,MATCH(BM349,ITEM_RES!$J:$J,0)-1,0),0)</f>
        <v>0</v>
      </c>
    </row>
    <row r="350" spans="1:67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367</v>
      </c>
      <c r="L350" s="9" t="s">
        <v>990</v>
      </c>
      <c r="M350" s="9" t="s">
        <v>1009</v>
      </c>
      <c r="N350" s="9">
        <v>1</v>
      </c>
      <c r="O350" s="9">
        <v>15</v>
      </c>
      <c r="P350" s="9" t="s">
        <v>814</v>
      </c>
      <c r="T350" s="9" t="s">
        <v>747</v>
      </c>
      <c r="V350" s="85" t="s">
        <v>580</v>
      </c>
      <c r="W350" s="9">
        <f ca="1">IFERROR(OFFSET(ITEM_RES!$A$5,MATCH(BUILDING!V350,ITEM_RES!$J$5:$J$226,0)-1,0),0)</f>
        <v>211020801</v>
      </c>
      <c r="X350" s="11">
        <v>1</v>
      </c>
      <c r="Y350" s="85" t="s">
        <v>408</v>
      </c>
      <c r="Z350" s="9">
        <f ca="1">IFERROR(OFFSET(ITEM_RES!$A$5,MATCH(BUILDING!Y350,ITEM_RES!$J$5:$J$226,0)-1,0),0)</f>
        <v>211020901</v>
      </c>
      <c r="AB350" s="9" t="s">
        <v>552</v>
      </c>
      <c r="AC350" s="9">
        <v>6</v>
      </c>
      <c r="AE350" s="9">
        <v>4000</v>
      </c>
      <c r="AG350" s="56">
        <f t="shared" si="109"/>
        <v>1050</v>
      </c>
      <c r="AH350" s="10">
        <f t="shared" si="117"/>
        <v>1890</v>
      </c>
      <c r="AJ350" s="11">
        <f t="shared" si="108"/>
        <v>30</v>
      </c>
      <c r="AK350" s="10">
        <v>30</v>
      </c>
      <c r="AL350" s="11">
        <f t="shared" si="115"/>
        <v>50</v>
      </c>
      <c r="AM350" s="10">
        <v>50</v>
      </c>
      <c r="AN350" s="11">
        <f t="shared" si="115"/>
        <v>50</v>
      </c>
      <c r="AO350" s="10">
        <v>50</v>
      </c>
      <c r="AP350" s="56">
        <f t="shared" si="110"/>
        <v>2</v>
      </c>
      <c r="AR350" s="11">
        <f ca="1">IFERROR(OFFSET(ITEM_RES!$A$1,MATCH(AS350,ITEM_RES!$J:$J,0)-1,0),0)</f>
        <v>211020401</v>
      </c>
      <c r="AS350" s="10" t="s">
        <v>455</v>
      </c>
      <c r="AT350" s="11">
        <v>250</v>
      </c>
      <c r="AW350" s="11">
        <f ca="1">IFERROR(OFFSET(ITEM_RES!$A$1,MATCH(AX350,ITEM_RES!$J:$J,0)-1,0),0)</f>
        <v>211020801</v>
      </c>
      <c r="AX350" s="10" t="s">
        <v>454</v>
      </c>
      <c r="AY350" s="11">
        <v>250</v>
      </c>
      <c r="BB350" s="11">
        <f ca="1">IFERROR(OFFSET(ITEM_RES!$A$1,MATCH(BC350,ITEM_RES!$J:$J,0)-1,0),0)</f>
        <v>0</v>
      </c>
      <c r="BG350" s="11">
        <f ca="1">IFERROR(OFFSET(ITEM_RES!$A$1,MATCH(BH350,ITEM_RES!$J:$J,0)-1,0),0)</f>
        <v>0</v>
      </c>
      <c r="BL350" s="11">
        <f ca="1">IFERROR(OFFSET(ITEM_RES!$A$1,MATCH(BM350,ITEM_RES!$J:$J,0)-1,0),0)</f>
        <v>0</v>
      </c>
    </row>
    <row r="351" spans="1:67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367</v>
      </c>
      <c r="L351" s="9" t="s">
        <v>990</v>
      </c>
      <c r="M351" s="9" t="s">
        <v>1009</v>
      </c>
      <c r="N351" s="9">
        <v>1</v>
      </c>
      <c r="O351" s="9">
        <v>15</v>
      </c>
      <c r="P351" s="9" t="s">
        <v>814</v>
      </c>
      <c r="T351" s="9" t="s">
        <v>747</v>
      </c>
      <c r="V351" s="85" t="s">
        <v>580</v>
      </c>
      <c r="W351" s="9">
        <f ca="1">IFERROR(OFFSET(ITEM_RES!$A$5,MATCH(BUILDING!V351,ITEM_RES!$J$5:$J$226,0)-1,0),0)</f>
        <v>211020801</v>
      </c>
      <c r="X351" s="11">
        <v>1</v>
      </c>
      <c r="Y351" s="85" t="s">
        <v>408</v>
      </c>
      <c r="Z351" s="9">
        <f ca="1">IFERROR(OFFSET(ITEM_RES!$A$5,MATCH(BUILDING!Y351,ITEM_RES!$J$5:$J$226,0)-1,0),0)</f>
        <v>211020901</v>
      </c>
      <c r="AB351" s="9" t="s">
        <v>552</v>
      </c>
      <c r="AC351" s="9">
        <v>7</v>
      </c>
      <c r="AE351" s="9">
        <v>8000</v>
      </c>
      <c r="AG351" s="56">
        <f t="shared" si="109"/>
        <v>2600</v>
      </c>
      <c r="AH351" s="10">
        <f t="shared" si="117"/>
        <v>3650</v>
      </c>
      <c r="AJ351" s="11">
        <f t="shared" si="108"/>
        <v>35</v>
      </c>
      <c r="AK351" s="10">
        <v>35</v>
      </c>
      <c r="AL351" s="11">
        <f t="shared" si="115"/>
        <v>100</v>
      </c>
      <c r="AM351" s="10">
        <v>100</v>
      </c>
      <c r="AN351" s="11">
        <f t="shared" si="115"/>
        <v>100</v>
      </c>
      <c r="AO351" s="10">
        <v>100</v>
      </c>
      <c r="AP351" s="56">
        <f t="shared" si="110"/>
        <v>3</v>
      </c>
      <c r="AR351" s="11">
        <f ca="1">IFERROR(OFFSET(ITEM_RES!$A$1,MATCH(AS351,ITEM_RES!$J:$J,0)-1,0),0)</f>
        <v>211020401</v>
      </c>
      <c r="AS351" s="10" t="s">
        <v>455</v>
      </c>
      <c r="AT351" s="11">
        <v>500</v>
      </c>
      <c r="AW351" s="11">
        <f ca="1">IFERROR(OFFSET(ITEM_RES!$A$1,MATCH(AX351,ITEM_RES!$J:$J,0)-1,0),0)</f>
        <v>211020801</v>
      </c>
      <c r="AX351" s="10" t="s">
        <v>454</v>
      </c>
      <c r="AY351" s="11">
        <v>500</v>
      </c>
      <c r="BB351" s="11">
        <f ca="1">IFERROR(OFFSET(ITEM_RES!$A$1,MATCH(BC351,ITEM_RES!$J:$J,0)-1,0),0)</f>
        <v>0</v>
      </c>
      <c r="BG351" s="11">
        <f ca="1">IFERROR(OFFSET(ITEM_RES!$A$1,MATCH(BH351,ITEM_RES!$J:$J,0)-1,0),0)</f>
        <v>213011101</v>
      </c>
      <c r="BH351" s="10" t="s">
        <v>491</v>
      </c>
      <c r="BI351" s="11">
        <v>1</v>
      </c>
      <c r="BL351" s="11">
        <f ca="1">IFERROR(OFFSET(ITEM_RES!$A$1,MATCH(BM351,ITEM_RES!$J:$J,0)-1,0),0)</f>
        <v>0</v>
      </c>
    </row>
    <row r="352" spans="1:67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367</v>
      </c>
      <c r="L352" s="9" t="s">
        <v>990</v>
      </c>
      <c r="M352" s="9" t="s">
        <v>1009</v>
      </c>
      <c r="N352" s="9">
        <v>1</v>
      </c>
      <c r="O352" s="9">
        <v>15</v>
      </c>
      <c r="P352" s="9" t="s">
        <v>814</v>
      </c>
      <c r="T352" s="9" t="s">
        <v>747</v>
      </c>
      <c r="V352" s="85" t="s">
        <v>580</v>
      </c>
      <c r="W352" s="9">
        <f ca="1">IFERROR(OFFSET(ITEM_RES!$A$5,MATCH(BUILDING!V352,ITEM_RES!$J$5:$J$226,0)-1,0),0)</f>
        <v>211020801</v>
      </c>
      <c r="X352" s="11">
        <v>1</v>
      </c>
      <c r="Y352" s="85" t="s">
        <v>408</v>
      </c>
      <c r="Z352" s="9">
        <f ca="1">IFERROR(OFFSET(ITEM_RES!$A$5,MATCH(BUILDING!Y352,ITEM_RES!$J$5:$J$226,0)-1,0),0)</f>
        <v>211020901</v>
      </c>
      <c r="AB352" s="9" t="s">
        <v>552</v>
      </c>
      <c r="AC352" s="9">
        <v>8</v>
      </c>
      <c r="AE352" s="9">
        <v>8000</v>
      </c>
      <c r="AG352" s="56">
        <f t="shared" si="109"/>
        <v>2100</v>
      </c>
      <c r="AH352" s="10">
        <f t="shared" si="117"/>
        <v>4700</v>
      </c>
      <c r="AJ352" s="11">
        <f t="shared" si="108"/>
        <v>40</v>
      </c>
      <c r="AK352" s="10">
        <v>40</v>
      </c>
      <c r="AL352" s="11">
        <f t="shared" si="115"/>
        <v>100</v>
      </c>
      <c r="AM352" s="10">
        <v>100</v>
      </c>
      <c r="AN352" s="11">
        <f t="shared" si="115"/>
        <v>100</v>
      </c>
      <c r="AO352" s="10">
        <v>100</v>
      </c>
      <c r="AP352" s="56">
        <f t="shared" si="110"/>
        <v>2</v>
      </c>
      <c r="AR352" s="11">
        <f ca="1">IFERROR(OFFSET(ITEM_RES!$A$1,MATCH(AS352,ITEM_RES!$J:$J,0)-1,0),0)</f>
        <v>211020401</v>
      </c>
      <c r="AS352" s="10" t="s">
        <v>455</v>
      </c>
      <c r="AT352" s="11">
        <v>500</v>
      </c>
      <c r="AW352" s="11">
        <f ca="1">IFERROR(OFFSET(ITEM_RES!$A$1,MATCH(AX352,ITEM_RES!$J:$J,0)-1,0),0)</f>
        <v>211020801</v>
      </c>
      <c r="AX352" s="10" t="s">
        <v>454</v>
      </c>
      <c r="AY352" s="11">
        <v>500</v>
      </c>
      <c r="BB352" s="11">
        <f ca="1">IFERROR(OFFSET(ITEM_RES!$A$1,MATCH(BC352,ITEM_RES!$J:$J,0)-1,0),0)</f>
        <v>0</v>
      </c>
      <c r="BG352" s="11">
        <f ca="1">IFERROR(OFFSET(ITEM_RES!$A$1,MATCH(BH352,ITEM_RES!$J:$J,0)-1,0),0)</f>
        <v>0</v>
      </c>
      <c r="BL352" s="11">
        <f ca="1">IFERROR(OFFSET(ITEM_RES!$A$1,MATCH(BM352,ITEM_RES!$J:$J,0)-1,0),0)</f>
        <v>0</v>
      </c>
    </row>
    <row r="353" spans="1:67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367</v>
      </c>
      <c r="L353" s="9" t="s">
        <v>990</v>
      </c>
      <c r="M353" s="9" t="s">
        <v>1009</v>
      </c>
      <c r="N353" s="9">
        <v>1</v>
      </c>
      <c r="O353" s="9">
        <v>15</v>
      </c>
      <c r="P353" s="9" t="s">
        <v>814</v>
      </c>
      <c r="T353" s="9" t="s">
        <v>747</v>
      </c>
      <c r="V353" s="85" t="s">
        <v>580</v>
      </c>
      <c r="W353" s="9">
        <f ca="1">IFERROR(OFFSET(ITEM_RES!$A$5,MATCH(BUILDING!V353,ITEM_RES!$J$5:$J$226,0)-1,0),0)</f>
        <v>211020801</v>
      </c>
      <c r="X353" s="11">
        <v>1</v>
      </c>
      <c r="Y353" s="85" t="s">
        <v>408</v>
      </c>
      <c r="Z353" s="9">
        <f ca="1">IFERROR(OFFSET(ITEM_RES!$A$5,MATCH(BUILDING!Y353,ITEM_RES!$J$5:$J$226,0)-1,0),0)</f>
        <v>211020901</v>
      </c>
      <c r="AB353" s="9" t="s">
        <v>552</v>
      </c>
      <c r="AC353" s="9">
        <v>9</v>
      </c>
      <c r="AE353" s="9">
        <v>12000</v>
      </c>
      <c r="AG353" s="56">
        <f t="shared" si="109"/>
        <v>3150</v>
      </c>
      <c r="AH353" s="10">
        <f t="shared" si="117"/>
        <v>5250</v>
      </c>
      <c r="AJ353" s="11">
        <f t="shared" si="108"/>
        <v>45</v>
      </c>
      <c r="AK353" s="10">
        <v>45</v>
      </c>
      <c r="AL353" s="11">
        <f t="shared" si="115"/>
        <v>150</v>
      </c>
      <c r="AM353" s="10">
        <v>150</v>
      </c>
      <c r="AN353" s="11">
        <f t="shared" si="115"/>
        <v>150</v>
      </c>
      <c r="AO353" s="10">
        <v>150</v>
      </c>
      <c r="AP353" s="56">
        <f t="shared" si="110"/>
        <v>2</v>
      </c>
      <c r="AR353" s="11">
        <f ca="1">IFERROR(OFFSET(ITEM_RES!$A$1,MATCH(AS353,ITEM_RES!$J:$J,0)-1,0),0)</f>
        <v>211020401</v>
      </c>
      <c r="AS353" s="10" t="s">
        <v>455</v>
      </c>
      <c r="AT353" s="11">
        <v>750</v>
      </c>
      <c r="AW353" s="11">
        <f ca="1">IFERROR(OFFSET(ITEM_RES!$A$1,MATCH(AX353,ITEM_RES!$J:$J,0)-1,0),0)</f>
        <v>211020801</v>
      </c>
      <c r="AX353" s="10" t="s">
        <v>454</v>
      </c>
      <c r="AY353" s="11">
        <v>750</v>
      </c>
      <c r="BB353" s="11">
        <f ca="1">IFERROR(OFFSET(ITEM_RES!$A$1,MATCH(BC353,ITEM_RES!$J:$J,0)-1,0),0)</f>
        <v>0</v>
      </c>
      <c r="BG353" s="11">
        <f ca="1">IFERROR(OFFSET(ITEM_RES!$A$1,MATCH(BH353,ITEM_RES!$J:$J,0)-1,0),0)</f>
        <v>0</v>
      </c>
      <c r="BL353" s="11">
        <f ca="1">IFERROR(OFFSET(ITEM_RES!$A$1,MATCH(BM353,ITEM_RES!$J:$J,0)-1,0),0)</f>
        <v>0</v>
      </c>
    </row>
    <row r="354" spans="1:67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367</v>
      </c>
      <c r="L354" s="9" t="s">
        <v>990</v>
      </c>
      <c r="M354" s="9" t="s">
        <v>1009</v>
      </c>
      <c r="N354" s="9">
        <v>1</v>
      </c>
      <c r="O354" s="9">
        <v>15</v>
      </c>
      <c r="P354" s="9" t="s">
        <v>814</v>
      </c>
      <c r="T354" s="9" t="s">
        <v>747</v>
      </c>
      <c r="V354" s="85" t="s">
        <v>580</v>
      </c>
      <c r="W354" s="9">
        <f ca="1">IFERROR(OFFSET(ITEM_RES!$A$5,MATCH(BUILDING!V354,ITEM_RES!$J$5:$J$226,0)-1,0),0)</f>
        <v>211020801</v>
      </c>
      <c r="X354" s="11">
        <v>1</v>
      </c>
      <c r="Y354" s="85" t="s">
        <v>408</v>
      </c>
      <c r="Z354" s="9">
        <f ca="1">IFERROR(OFFSET(ITEM_RES!$A$5,MATCH(BUILDING!Y354,ITEM_RES!$J$5:$J$226,0)-1,0),0)</f>
        <v>211020901</v>
      </c>
      <c r="AB354" s="9" t="s">
        <v>552</v>
      </c>
      <c r="AC354" s="9">
        <v>10</v>
      </c>
      <c r="AE354" s="9">
        <v>16000</v>
      </c>
      <c r="AG354" s="56">
        <f t="shared" si="109"/>
        <v>4200</v>
      </c>
      <c r="AH354" s="10">
        <f t="shared" si="117"/>
        <v>7350</v>
      </c>
      <c r="AJ354" s="11">
        <f t="shared" si="108"/>
        <v>50</v>
      </c>
      <c r="AK354" s="10">
        <v>50</v>
      </c>
      <c r="AL354" s="11">
        <f t="shared" si="115"/>
        <v>200</v>
      </c>
      <c r="AM354" s="10">
        <v>200</v>
      </c>
      <c r="AN354" s="11">
        <f t="shared" si="115"/>
        <v>200</v>
      </c>
      <c r="AO354" s="10">
        <v>200</v>
      </c>
      <c r="AP354" s="56">
        <f t="shared" si="110"/>
        <v>2</v>
      </c>
      <c r="AR354" s="11">
        <f ca="1">IFERROR(OFFSET(ITEM_RES!$A$1,MATCH(AS354,ITEM_RES!$J:$J,0)-1,0),0)</f>
        <v>211020401</v>
      </c>
      <c r="AS354" s="10" t="s">
        <v>455</v>
      </c>
      <c r="AT354" s="11">
        <v>1000</v>
      </c>
      <c r="AW354" s="11">
        <f ca="1">IFERROR(OFFSET(ITEM_RES!$A$1,MATCH(AX354,ITEM_RES!$J:$J,0)-1,0),0)</f>
        <v>211020801</v>
      </c>
      <c r="AX354" s="10" t="s">
        <v>454</v>
      </c>
      <c r="AY354" s="11">
        <v>1000</v>
      </c>
      <c r="BB354" s="11">
        <f ca="1">IFERROR(OFFSET(ITEM_RES!$A$1,MATCH(BC354,ITEM_RES!$J:$J,0)-1,0),0)</f>
        <v>0</v>
      </c>
      <c r="BG354" s="11">
        <f ca="1">IFERROR(OFFSET(ITEM_RES!$A$1,MATCH(BH354,ITEM_RES!$J:$J,0)-1,0),0)</f>
        <v>0</v>
      </c>
      <c r="BL354" s="11">
        <f ca="1">IFERROR(OFFSET(ITEM_RES!$A$1,MATCH(BM354,ITEM_RES!$J:$J,0)-1,0),0)</f>
        <v>0</v>
      </c>
    </row>
    <row r="355" spans="1:67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367</v>
      </c>
      <c r="L355" s="9" t="s">
        <v>990</v>
      </c>
      <c r="M355" s="9" t="s">
        <v>1009</v>
      </c>
      <c r="N355" s="9">
        <v>1</v>
      </c>
      <c r="O355" s="9">
        <v>15</v>
      </c>
      <c r="P355" s="9" t="s">
        <v>814</v>
      </c>
      <c r="T355" s="9" t="s">
        <v>747</v>
      </c>
      <c r="V355" s="85" t="s">
        <v>580</v>
      </c>
      <c r="W355" s="9">
        <f ca="1">IFERROR(OFFSET(ITEM_RES!$A$5,MATCH(BUILDING!V355,ITEM_RES!$J$5:$J$226,0)-1,0),0)</f>
        <v>211020801</v>
      </c>
      <c r="X355" s="11">
        <v>1</v>
      </c>
      <c r="Y355" s="85" t="s">
        <v>408</v>
      </c>
      <c r="Z355" s="9">
        <f ca="1">IFERROR(OFFSET(ITEM_RES!$A$5,MATCH(BUILDING!Y355,ITEM_RES!$J$5:$J$226,0)-1,0),0)</f>
        <v>211020901</v>
      </c>
      <c r="AB355" s="9" t="s">
        <v>552</v>
      </c>
      <c r="AC355" s="9">
        <v>11</v>
      </c>
      <c r="AE355" s="9">
        <v>20000</v>
      </c>
      <c r="AG355" s="56">
        <f t="shared" si="109"/>
        <v>5250</v>
      </c>
      <c r="AH355" s="10">
        <f t="shared" si="117"/>
        <v>9450</v>
      </c>
      <c r="AJ355" s="11">
        <f t="shared" si="108"/>
        <v>55</v>
      </c>
      <c r="AK355" s="10">
        <v>55</v>
      </c>
      <c r="AL355" s="11">
        <f t="shared" si="115"/>
        <v>250</v>
      </c>
      <c r="AM355" s="10">
        <v>250</v>
      </c>
      <c r="AN355" s="11">
        <f t="shared" si="115"/>
        <v>250</v>
      </c>
      <c r="AO355" s="10">
        <v>250</v>
      </c>
      <c r="AP355" s="56">
        <f t="shared" si="110"/>
        <v>2</v>
      </c>
      <c r="AR355" s="11">
        <f ca="1">IFERROR(OFFSET(ITEM_RES!$A$1,MATCH(AS355,ITEM_RES!$J:$J,0)-1,0),0)</f>
        <v>211020401</v>
      </c>
      <c r="AS355" s="10" t="s">
        <v>455</v>
      </c>
      <c r="AT355" s="11">
        <v>1250</v>
      </c>
      <c r="AW355" s="11">
        <f ca="1">IFERROR(OFFSET(ITEM_RES!$A$1,MATCH(AX355,ITEM_RES!$J:$J,0)-1,0),0)</f>
        <v>211020801</v>
      </c>
      <c r="AX355" s="10" t="s">
        <v>454</v>
      </c>
      <c r="AY355" s="11">
        <v>1250</v>
      </c>
      <c r="BB355" s="11">
        <f ca="1">IFERROR(OFFSET(ITEM_RES!$A$1,MATCH(BC355,ITEM_RES!$J:$J,0)-1,0),0)</f>
        <v>0</v>
      </c>
      <c r="BG355" s="11">
        <f ca="1">IFERROR(OFFSET(ITEM_RES!$A$1,MATCH(BH355,ITEM_RES!$J:$J,0)-1,0),0)</f>
        <v>0</v>
      </c>
      <c r="BL355" s="11">
        <f ca="1">IFERROR(OFFSET(ITEM_RES!$A$1,MATCH(BM355,ITEM_RES!$J:$J,0)-1,0),0)</f>
        <v>0</v>
      </c>
    </row>
    <row r="356" spans="1:67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367</v>
      </c>
      <c r="L356" s="9" t="s">
        <v>990</v>
      </c>
      <c r="M356" s="9" t="s">
        <v>1009</v>
      </c>
      <c r="N356" s="9">
        <v>1</v>
      </c>
      <c r="O356" s="9">
        <v>15</v>
      </c>
      <c r="P356" s="9" t="s">
        <v>814</v>
      </c>
      <c r="T356" s="9" t="s">
        <v>747</v>
      </c>
      <c r="V356" s="85" t="s">
        <v>580</v>
      </c>
      <c r="W356" s="9">
        <f ca="1">IFERROR(OFFSET(ITEM_RES!$A$5,MATCH(BUILDING!V356,ITEM_RES!$J$5:$J$226,0)-1,0),0)</f>
        <v>211020801</v>
      </c>
      <c r="X356" s="11">
        <v>1</v>
      </c>
      <c r="Y356" s="85" t="s">
        <v>408</v>
      </c>
      <c r="Z356" s="9">
        <f ca="1">IFERROR(OFFSET(ITEM_RES!$A$5,MATCH(BUILDING!Y356,ITEM_RES!$J$5:$J$226,0)-1,0),0)</f>
        <v>211020901</v>
      </c>
      <c r="AB356" s="9" t="s">
        <v>552</v>
      </c>
      <c r="AC356" s="9">
        <v>12</v>
      </c>
      <c r="AE356" s="9">
        <v>24000</v>
      </c>
      <c r="AG356" s="56">
        <f t="shared" si="109"/>
        <v>6300</v>
      </c>
      <c r="AH356" s="10">
        <f t="shared" si="117"/>
        <v>11550</v>
      </c>
      <c r="AJ356" s="11">
        <f t="shared" si="108"/>
        <v>60</v>
      </c>
      <c r="AK356" s="10">
        <v>60</v>
      </c>
      <c r="AL356" s="11">
        <f t="shared" si="115"/>
        <v>300</v>
      </c>
      <c r="AM356" s="10">
        <v>300</v>
      </c>
      <c r="AN356" s="11">
        <f t="shared" si="115"/>
        <v>300</v>
      </c>
      <c r="AO356" s="10">
        <v>300</v>
      </c>
      <c r="AP356" s="56">
        <f t="shared" si="110"/>
        <v>2</v>
      </c>
      <c r="AR356" s="11">
        <f ca="1">IFERROR(OFFSET(ITEM_RES!$A$1,MATCH(AS356,ITEM_RES!$J:$J,0)-1,0),0)</f>
        <v>211020501</v>
      </c>
      <c r="AS356" s="10" t="s">
        <v>451</v>
      </c>
      <c r="AT356" s="11">
        <v>1500</v>
      </c>
      <c r="AW356" s="11">
        <f ca="1">IFERROR(OFFSET(ITEM_RES!$A$1,MATCH(AX356,ITEM_RES!$J:$J,0)-1,0),0)</f>
        <v>211020801</v>
      </c>
      <c r="AX356" s="10" t="s">
        <v>454</v>
      </c>
      <c r="AY356" s="11">
        <v>1500</v>
      </c>
      <c r="BB356" s="11">
        <f ca="1">IFERROR(OFFSET(ITEM_RES!$A$1,MATCH(BC356,ITEM_RES!$J:$J,0)-1,0),0)</f>
        <v>0</v>
      </c>
      <c r="BG356" s="11">
        <f ca="1">IFERROR(OFFSET(ITEM_RES!$A$1,MATCH(BH356,ITEM_RES!$J:$J,0)-1,0),0)</f>
        <v>0</v>
      </c>
      <c r="BL356" s="11">
        <f ca="1">IFERROR(OFFSET(ITEM_RES!$A$1,MATCH(BM356,ITEM_RES!$J:$J,0)-1,0),0)</f>
        <v>0</v>
      </c>
    </row>
    <row r="357" spans="1:67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367</v>
      </c>
      <c r="L357" s="9" t="s">
        <v>990</v>
      </c>
      <c r="M357" s="9" t="s">
        <v>1009</v>
      </c>
      <c r="N357" s="9">
        <v>1</v>
      </c>
      <c r="O357" s="9">
        <v>15</v>
      </c>
      <c r="P357" s="9" t="s">
        <v>814</v>
      </c>
      <c r="T357" s="9" t="s">
        <v>747</v>
      </c>
      <c r="V357" s="85" t="s">
        <v>580</v>
      </c>
      <c r="W357" s="9">
        <f ca="1">IFERROR(OFFSET(ITEM_RES!$A$5,MATCH(BUILDING!V357,ITEM_RES!$J$5:$J$226,0)-1,0),0)</f>
        <v>211020801</v>
      </c>
      <c r="X357" s="11">
        <v>1</v>
      </c>
      <c r="Y357" s="85" t="s">
        <v>408</v>
      </c>
      <c r="Z357" s="9">
        <f ca="1">IFERROR(OFFSET(ITEM_RES!$A$5,MATCH(BUILDING!Y357,ITEM_RES!$J$5:$J$226,0)-1,0),0)</f>
        <v>211020901</v>
      </c>
      <c r="AB357" s="9" t="s">
        <v>552</v>
      </c>
      <c r="AC357" s="9">
        <v>13</v>
      </c>
      <c r="AE357" s="9">
        <v>28000</v>
      </c>
      <c r="AG357" s="56">
        <f t="shared" si="109"/>
        <v>7350</v>
      </c>
      <c r="AH357" s="10">
        <f t="shared" si="117"/>
        <v>13650</v>
      </c>
      <c r="AJ357" s="11">
        <f t="shared" si="108"/>
        <v>65</v>
      </c>
      <c r="AK357" s="10">
        <v>65</v>
      </c>
      <c r="AL357" s="11">
        <f t="shared" si="115"/>
        <v>350</v>
      </c>
      <c r="AM357" s="10">
        <v>350</v>
      </c>
      <c r="AN357" s="11">
        <f t="shared" si="115"/>
        <v>350</v>
      </c>
      <c r="AO357" s="10">
        <v>350</v>
      </c>
      <c r="AP357" s="56">
        <f t="shared" si="110"/>
        <v>2</v>
      </c>
      <c r="AR357" s="11">
        <f ca="1">IFERROR(OFFSET(ITEM_RES!$A$1,MATCH(AS357,ITEM_RES!$J:$J,0)-1,0),0)</f>
        <v>211020501</v>
      </c>
      <c r="AS357" s="10" t="s">
        <v>451</v>
      </c>
      <c r="AT357" s="11">
        <v>1750</v>
      </c>
      <c r="AW357" s="11">
        <f ca="1">IFERROR(OFFSET(ITEM_RES!$A$1,MATCH(AX357,ITEM_RES!$J:$J,0)-1,0),0)</f>
        <v>211020801</v>
      </c>
      <c r="AX357" s="10" t="s">
        <v>454</v>
      </c>
      <c r="AY357" s="11">
        <v>1750</v>
      </c>
      <c r="BB357" s="11">
        <f ca="1">IFERROR(OFFSET(ITEM_RES!$A$1,MATCH(BC357,ITEM_RES!$J:$J,0)-1,0),0)</f>
        <v>0</v>
      </c>
      <c r="BG357" s="11">
        <f ca="1">IFERROR(OFFSET(ITEM_RES!$A$1,MATCH(BH357,ITEM_RES!$J:$J,0)-1,0),0)</f>
        <v>0</v>
      </c>
      <c r="BL357" s="11">
        <f ca="1">IFERROR(OFFSET(ITEM_RES!$A$1,MATCH(BM357,ITEM_RES!$J:$J,0)-1,0),0)</f>
        <v>0</v>
      </c>
    </row>
    <row r="358" spans="1:67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367</v>
      </c>
      <c r="L358" s="9" t="s">
        <v>990</v>
      </c>
      <c r="M358" s="9" t="s">
        <v>1009</v>
      </c>
      <c r="N358" s="9">
        <v>1</v>
      </c>
      <c r="O358" s="9">
        <v>15</v>
      </c>
      <c r="P358" s="9" t="s">
        <v>814</v>
      </c>
      <c r="T358" s="9" t="s">
        <v>747</v>
      </c>
      <c r="V358" s="85" t="s">
        <v>580</v>
      </c>
      <c r="W358" s="9">
        <f ca="1">IFERROR(OFFSET(ITEM_RES!$A$5,MATCH(BUILDING!V358,ITEM_RES!$J$5:$J$226,0)-1,0),0)</f>
        <v>211020801</v>
      </c>
      <c r="X358" s="11">
        <v>1</v>
      </c>
      <c r="Y358" s="85" t="s">
        <v>408</v>
      </c>
      <c r="Z358" s="9">
        <f ca="1">IFERROR(OFFSET(ITEM_RES!$A$5,MATCH(BUILDING!Y358,ITEM_RES!$J$5:$J$226,0)-1,0),0)</f>
        <v>211020901</v>
      </c>
      <c r="AB358" s="9" t="s">
        <v>552</v>
      </c>
      <c r="AC358" s="9">
        <v>14</v>
      </c>
      <c r="AE358" s="9">
        <v>36000</v>
      </c>
      <c r="AG358" s="56">
        <f t="shared" si="109"/>
        <v>9450</v>
      </c>
      <c r="AH358" s="10">
        <f t="shared" si="117"/>
        <v>16800</v>
      </c>
      <c r="AJ358" s="11">
        <f t="shared" si="108"/>
        <v>70</v>
      </c>
      <c r="AK358" s="10">
        <v>70</v>
      </c>
      <c r="AL358" s="11">
        <f t="shared" si="115"/>
        <v>450</v>
      </c>
      <c r="AM358" s="10">
        <v>450</v>
      </c>
      <c r="AN358" s="11">
        <f t="shared" si="115"/>
        <v>450</v>
      </c>
      <c r="AO358" s="10">
        <v>450</v>
      </c>
      <c r="AP358" s="56">
        <f t="shared" si="110"/>
        <v>2</v>
      </c>
      <c r="AR358" s="11">
        <f ca="1">IFERROR(OFFSET(ITEM_RES!$A$1,MATCH(AS358,ITEM_RES!$J:$J,0)-1,0),0)</f>
        <v>211020501</v>
      </c>
      <c r="AS358" s="10" t="s">
        <v>451</v>
      </c>
      <c r="AT358" s="11">
        <v>2250</v>
      </c>
      <c r="AW358" s="11">
        <f ca="1">IFERROR(OFFSET(ITEM_RES!$A$1,MATCH(AX358,ITEM_RES!$J:$J,0)-1,0),0)</f>
        <v>211020801</v>
      </c>
      <c r="AX358" s="10" t="s">
        <v>454</v>
      </c>
      <c r="AY358" s="11">
        <v>2250</v>
      </c>
      <c r="BB358" s="11">
        <f ca="1">IFERROR(OFFSET(ITEM_RES!$A$1,MATCH(BC358,ITEM_RES!$J:$J,0)-1,0),0)</f>
        <v>0</v>
      </c>
      <c r="BG358" s="11">
        <f ca="1">IFERROR(OFFSET(ITEM_RES!$A$1,MATCH(BH358,ITEM_RES!$J:$J,0)-1,0),0)</f>
        <v>0</v>
      </c>
      <c r="BL358" s="11">
        <f ca="1">IFERROR(OFFSET(ITEM_RES!$A$1,MATCH(BM358,ITEM_RES!$J:$J,0)-1,0),0)</f>
        <v>0</v>
      </c>
    </row>
    <row r="359" spans="1:67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367</v>
      </c>
      <c r="L359" s="9" t="s">
        <v>990</v>
      </c>
      <c r="M359" s="9" t="s">
        <v>1009</v>
      </c>
      <c r="N359" s="9">
        <v>1</v>
      </c>
      <c r="O359" s="9">
        <v>15</v>
      </c>
      <c r="P359" s="9" t="s">
        <v>814</v>
      </c>
      <c r="T359" s="9" t="s">
        <v>747</v>
      </c>
      <c r="V359" s="85" t="s">
        <v>580</v>
      </c>
      <c r="W359" s="9">
        <f ca="1">IFERROR(OFFSET(ITEM_RES!$A$5,MATCH(BUILDING!V359,ITEM_RES!$J$5:$J$226,0)-1,0),0)</f>
        <v>211020801</v>
      </c>
      <c r="X359" s="11">
        <v>1</v>
      </c>
      <c r="Y359" s="85" t="s">
        <v>408</v>
      </c>
      <c r="Z359" s="9">
        <f ca="1">IFERROR(OFFSET(ITEM_RES!$A$5,MATCH(BUILDING!Y359,ITEM_RES!$J$5:$J$226,0)-1,0),0)</f>
        <v>211020901</v>
      </c>
      <c r="AB359" s="9" t="s">
        <v>552</v>
      </c>
      <c r="AC359" s="9">
        <v>15</v>
      </c>
      <c r="AE359" s="9">
        <v>44000</v>
      </c>
      <c r="AG359" s="56">
        <f t="shared" si="109"/>
        <v>11550</v>
      </c>
      <c r="AH359" s="10">
        <f t="shared" si="117"/>
        <v>21000</v>
      </c>
      <c r="AJ359" s="11">
        <f t="shared" si="108"/>
        <v>75</v>
      </c>
      <c r="AK359" s="10">
        <v>75</v>
      </c>
      <c r="AL359" s="11">
        <f t="shared" si="115"/>
        <v>550</v>
      </c>
      <c r="AM359" s="10">
        <v>550</v>
      </c>
      <c r="AN359" s="11">
        <f t="shared" si="115"/>
        <v>550</v>
      </c>
      <c r="AO359" s="10">
        <v>550</v>
      </c>
      <c r="AP359" s="56">
        <f t="shared" si="110"/>
        <v>2</v>
      </c>
      <c r="AR359" s="11">
        <f ca="1">IFERROR(OFFSET(ITEM_RES!$A$1,MATCH(AS359,ITEM_RES!$J:$J,0)-1,0),0)</f>
        <v>211020501</v>
      </c>
      <c r="AS359" s="10" t="s">
        <v>451</v>
      </c>
      <c r="AT359" s="11">
        <v>2750</v>
      </c>
      <c r="AW359" s="11">
        <f ca="1">IFERROR(OFFSET(ITEM_RES!$A$1,MATCH(AX359,ITEM_RES!$J:$J,0)-1,0),0)</f>
        <v>211020801</v>
      </c>
      <c r="AX359" s="10" t="s">
        <v>454</v>
      </c>
      <c r="AY359" s="11">
        <v>2750</v>
      </c>
      <c r="BB359" s="11">
        <f ca="1">IFERROR(OFFSET(ITEM_RES!$A$1,MATCH(BC359,ITEM_RES!$J:$J,0)-1,0),0)</f>
        <v>0</v>
      </c>
      <c r="BG359" s="11">
        <f ca="1">IFERROR(OFFSET(ITEM_RES!$A$1,MATCH(BH359,ITEM_RES!$J:$J,0)-1,0),0)</f>
        <v>0</v>
      </c>
      <c r="BL359" s="11">
        <f ca="1">IFERROR(OFFSET(ITEM_RES!$A$1,MATCH(BM359,ITEM_RES!$J:$J,0)-1,0),0)</f>
        <v>0</v>
      </c>
    </row>
    <row r="360" spans="1:67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367</v>
      </c>
      <c r="L360" s="9" t="s">
        <v>990</v>
      </c>
      <c r="M360" s="9" t="s">
        <v>1009</v>
      </c>
      <c r="N360" s="9">
        <v>0</v>
      </c>
      <c r="O360" s="9">
        <v>15</v>
      </c>
      <c r="P360" s="9" t="s">
        <v>814</v>
      </c>
      <c r="T360" s="9" t="s">
        <v>747</v>
      </c>
      <c r="V360" s="85" t="s">
        <v>580</v>
      </c>
      <c r="W360" s="9">
        <f ca="1">IFERROR(OFFSET(ITEM_RES!$A$5,MATCH(BUILDING!V360,ITEM_RES!$J$5:$J$226,0)-1,0),0)</f>
        <v>211020801</v>
      </c>
      <c r="X360" s="11">
        <v>1</v>
      </c>
      <c r="Y360" s="85" t="s">
        <v>408</v>
      </c>
      <c r="Z360" s="9">
        <f ca="1">IFERROR(OFFSET(ITEM_RES!$A$5,MATCH(BUILDING!Y360,ITEM_RES!$J$5:$J$226,0)-1,0),0)</f>
        <v>211020901</v>
      </c>
      <c r="AB360" s="9" t="s">
        <v>552</v>
      </c>
      <c r="AC360" s="9">
        <v>16</v>
      </c>
      <c r="AE360" s="9">
        <v>56000</v>
      </c>
      <c r="AG360" s="56">
        <f t="shared" si="109"/>
        <v>14700</v>
      </c>
      <c r="AH360" s="10">
        <f t="shared" si="117"/>
        <v>26250</v>
      </c>
      <c r="AJ360" s="11">
        <f t="shared" si="108"/>
        <v>80</v>
      </c>
      <c r="AK360" s="10">
        <v>80</v>
      </c>
      <c r="AL360" s="11">
        <f t="shared" si="115"/>
        <v>700</v>
      </c>
      <c r="AM360" s="10">
        <v>700</v>
      </c>
      <c r="AN360" s="11">
        <f t="shared" si="115"/>
        <v>700</v>
      </c>
      <c r="AO360" s="10">
        <v>700</v>
      </c>
      <c r="AP360" s="56">
        <f t="shared" si="110"/>
        <v>2</v>
      </c>
      <c r="AR360" s="11">
        <f ca="1">IFERROR(OFFSET(ITEM_RES!$A$1,MATCH(AS360,ITEM_RES!$J:$J,0)-1,0),0)</f>
        <v>211020501</v>
      </c>
      <c r="AS360" s="10" t="s">
        <v>451</v>
      </c>
      <c r="AT360" s="11">
        <v>3500</v>
      </c>
      <c r="AW360" s="11">
        <f ca="1">IFERROR(OFFSET(ITEM_RES!$A$1,MATCH(AX360,ITEM_RES!$J:$J,0)-1,0),0)</f>
        <v>211020801</v>
      </c>
      <c r="AX360" s="10" t="s">
        <v>454</v>
      </c>
      <c r="AY360" s="11">
        <v>3500</v>
      </c>
      <c r="BB360" s="11">
        <f ca="1">IFERROR(OFFSET(ITEM_RES!$A$1,MATCH(BC360,ITEM_RES!$J:$J,0)-1,0),0)</f>
        <v>0</v>
      </c>
      <c r="BG360" s="11">
        <f ca="1">IFERROR(OFFSET(ITEM_RES!$A$1,MATCH(BH360,ITEM_RES!$J:$J,0)-1,0),0)</f>
        <v>0</v>
      </c>
      <c r="BL360" s="11">
        <f ca="1">IFERROR(OFFSET(ITEM_RES!$A$1,MATCH(BM360,ITEM_RES!$J:$J,0)-1,0),0)</f>
        <v>0</v>
      </c>
    </row>
    <row r="361" spans="1:67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367</v>
      </c>
      <c r="L361" s="9" t="s">
        <v>990</v>
      </c>
      <c r="M361" s="9" t="s">
        <v>1009</v>
      </c>
      <c r="N361" s="9">
        <v>0</v>
      </c>
      <c r="O361" s="9">
        <v>15</v>
      </c>
      <c r="P361" s="9" t="s">
        <v>814</v>
      </c>
      <c r="T361" s="9" t="s">
        <v>747</v>
      </c>
      <c r="V361" s="85" t="s">
        <v>580</v>
      </c>
      <c r="W361" s="9">
        <f ca="1">IFERROR(OFFSET(ITEM_RES!$A$5,MATCH(BUILDING!V361,ITEM_RES!$J$5:$J$226,0)-1,0),0)</f>
        <v>211020801</v>
      </c>
      <c r="X361" s="11">
        <v>1</v>
      </c>
      <c r="Y361" s="85" t="s">
        <v>408</v>
      </c>
      <c r="Z361" s="9">
        <f ca="1">IFERROR(OFFSET(ITEM_RES!$A$5,MATCH(BUILDING!Y361,ITEM_RES!$J$5:$J$226,0)-1,0),0)</f>
        <v>211020901</v>
      </c>
      <c r="AB361" s="9" t="s">
        <v>552</v>
      </c>
      <c r="AC361" s="9">
        <v>17</v>
      </c>
      <c r="AE361" s="9">
        <v>68000</v>
      </c>
      <c r="AG361" s="56">
        <f t="shared" si="109"/>
        <v>17850</v>
      </c>
      <c r="AH361" s="10">
        <f t="shared" si="117"/>
        <v>32550</v>
      </c>
      <c r="AJ361" s="11">
        <f t="shared" si="108"/>
        <v>85</v>
      </c>
      <c r="AK361" s="10">
        <v>85</v>
      </c>
      <c r="AL361" s="11">
        <f t="shared" si="115"/>
        <v>850</v>
      </c>
      <c r="AM361" s="10">
        <v>850</v>
      </c>
      <c r="AN361" s="11">
        <f t="shared" si="115"/>
        <v>850</v>
      </c>
      <c r="AO361" s="10">
        <v>850</v>
      </c>
      <c r="AP361" s="56">
        <f t="shared" si="110"/>
        <v>2</v>
      </c>
      <c r="AR361" s="11">
        <f ca="1">IFERROR(OFFSET(ITEM_RES!$A$1,MATCH(AS361,ITEM_RES!$J:$J,0)-1,0),0)</f>
        <v>211020501</v>
      </c>
      <c r="AS361" s="10" t="s">
        <v>451</v>
      </c>
      <c r="AT361" s="11">
        <v>4250</v>
      </c>
      <c r="AW361" s="11">
        <f ca="1">IFERROR(OFFSET(ITEM_RES!$A$1,MATCH(AX361,ITEM_RES!$J:$J,0)-1,0),0)</f>
        <v>211020801</v>
      </c>
      <c r="AX361" s="10" t="s">
        <v>454</v>
      </c>
      <c r="AY361" s="11">
        <v>4250</v>
      </c>
      <c r="BB361" s="11">
        <f ca="1">IFERROR(OFFSET(ITEM_RES!$A$1,MATCH(BC361,ITEM_RES!$J:$J,0)-1,0),0)</f>
        <v>0</v>
      </c>
      <c r="BG361" s="11">
        <f ca="1">IFERROR(OFFSET(ITEM_RES!$A$1,MATCH(BH361,ITEM_RES!$J:$J,0)-1,0),0)</f>
        <v>0</v>
      </c>
      <c r="BL361" s="11">
        <f ca="1">IFERROR(OFFSET(ITEM_RES!$A$1,MATCH(BM361,ITEM_RES!$J:$J,0)-1,0),0)</f>
        <v>0</v>
      </c>
    </row>
    <row r="362" spans="1:67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367</v>
      </c>
      <c r="L362" s="9" t="s">
        <v>990</v>
      </c>
      <c r="M362" s="9" t="s">
        <v>1009</v>
      </c>
      <c r="N362" s="9">
        <v>0</v>
      </c>
      <c r="O362" s="9">
        <v>15</v>
      </c>
      <c r="P362" s="9" t="s">
        <v>814</v>
      </c>
      <c r="T362" s="9" t="s">
        <v>747</v>
      </c>
      <c r="V362" s="85" t="s">
        <v>580</v>
      </c>
      <c r="W362" s="9">
        <f ca="1">IFERROR(OFFSET(ITEM_RES!$A$5,MATCH(BUILDING!V362,ITEM_RES!$J$5:$J$226,0)-1,0),0)</f>
        <v>211020801</v>
      </c>
      <c r="X362" s="11">
        <v>1</v>
      </c>
      <c r="Y362" s="85" t="s">
        <v>408</v>
      </c>
      <c r="Z362" s="9">
        <f ca="1">IFERROR(OFFSET(ITEM_RES!$A$5,MATCH(BUILDING!Y362,ITEM_RES!$J$5:$J$226,0)-1,0),0)</f>
        <v>211020901</v>
      </c>
      <c r="AB362" s="9" t="s">
        <v>552</v>
      </c>
      <c r="AC362" s="9">
        <v>18</v>
      </c>
      <c r="AE362" s="9">
        <v>84000</v>
      </c>
      <c r="AG362" s="56">
        <f t="shared" si="109"/>
        <v>22050</v>
      </c>
      <c r="AH362" s="10">
        <f t="shared" si="117"/>
        <v>39900</v>
      </c>
      <c r="AJ362" s="11">
        <f t="shared" si="108"/>
        <v>90</v>
      </c>
      <c r="AK362" s="10">
        <v>90</v>
      </c>
      <c r="AL362" s="11">
        <f t="shared" si="115"/>
        <v>1050</v>
      </c>
      <c r="AM362" s="10">
        <v>1050</v>
      </c>
      <c r="AN362" s="11">
        <f t="shared" si="115"/>
        <v>1050</v>
      </c>
      <c r="AO362" s="10">
        <v>1050</v>
      </c>
      <c r="AP362" s="56">
        <f t="shared" si="110"/>
        <v>2</v>
      </c>
      <c r="AR362" s="11">
        <f ca="1">IFERROR(OFFSET(ITEM_RES!$A$1,MATCH(AS362,ITEM_RES!$J:$J,0)-1,0),0)</f>
        <v>211020501</v>
      </c>
      <c r="AS362" s="10" t="s">
        <v>451</v>
      </c>
      <c r="AT362" s="11">
        <v>5250</v>
      </c>
      <c r="AW362" s="11">
        <f ca="1">IFERROR(OFFSET(ITEM_RES!$A$1,MATCH(AX362,ITEM_RES!$J:$J,0)-1,0),0)</f>
        <v>211020801</v>
      </c>
      <c r="AX362" s="10" t="s">
        <v>454</v>
      </c>
      <c r="AY362" s="11">
        <v>5250</v>
      </c>
      <c r="BB362" s="11">
        <f ca="1">IFERROR(OFFSET(ITEM_RES!$A$1,MATCH(BC362,ITEM_RES!$J:$J,0)-1,0),0)</f>
        <v>0</v>
      </c>
      <c r="BG362" s="11">
        <f ca="1">IFERROR(OFFSET(ITEM_RES!$A$1,MATCH(BH362,ITEM_RES!$J:$J,0)-1,0),0)</f>
        <v>0</v>
      </c>
      <c r="BL362" s="11">
        <f ca="1">IFERROR(OFFSET(ITEM_RES!$A$1,MATCH(BM362,ITEM_RES!$J:$J,0)-1,0),0)</f>
        <v>0</v>
      </c>
    </row>
    <row r="363" spans="1:67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367</v>
      </c>
      <c r="L363" s="9" t="s">
        <v>990</v>
      </c>
      <c r="M363" s="9" t="s">
        <v>1009</v>
      </c>
      <c r="N363" s="9">
        <v>0</v>
      </c>
      <c r="O363" s="9">
        <v>15</v>
      </c>
      <c r="P363" s="9" t="s">
        <v>814</v>
      </c>
      <c r="T363" s="9" t="s">
        <v>747</v>
      </c>
      <c r="V363" s="85" t="s">
        <v>580</v>
      </c>
      <c r="W363" s="9">
        <f ca="1">IFERROR(OFFSET(ITEM_RES!$A$5,MATCH(BUILDING!V363,ITEM_RES!$J$5:$J$226,0)-1,0),0)</f>
        <v>211020801</v>
      </c>
      <c r="X363" s="11">
        <v>1</v>
      </c>
      <c r="Y363" s="85" t="s">
        <v>408</v>
      </c>
      <c r="Z363" s="9">
        <f ca="1">IFERROR(OFFSET(ITEM_RES!$A$5,MATCH(BUILDING!Y363,ITEM_RES!$J$5:$J$226,0)-1,0),0)</f>
        <v>211020901</v>
      </c>
      <c r="AB363" s="9" t="s">
        <v>552</v>
      </c>
      <c r="AC363" s="9">
        <v>19</v>
      </c>
      <c r="AE363" s="9">
        <v>100000</v>
      </c>
      <c r="AG363" s="56">
        <f t="shared" si="109"/>
        <v>26250</v>
      </c>
      <c r="AH363" s="10">
        <f t="shared" si="117"/>
        <v>48300</v>
      </c>
      <c r="AJ363" s="11">
        <f t="shared" si="108"/>
        <v>95</v>
      </c>
      <c r="AK363" s="10">
        <v>95</v>
      </c>
      <c r="AL363" s="11">
        <f t="shared" si="115"/>
        <v>1250</v>
      </c>
      <c r="AM363" s="10">
        <v>1250</v>
      </c>
      <c r="AN363" s="11">
        <f t="shared" si="115"/>
        <v>1250</v>
      </c>
      <c r="AO363" s="10">
        <v>1250</v>
      </c>
      <c r="AP363" s="56">
        <f t="shared" si="110"/>
        <v>2</v>
      </c>
      <c r="AR363" s="11">
        <f ca="1">IFERROR(OFFSET(ITEM_RES!$A$1,MATCH(AS363,ITEM_RES!$J:$J,0)-1,0),0)</f>
        <v>211020501</v>
      </c>
      <c r="AS363" s="10" t="s">
        <v>451</v>
      </c>
      <c r="AT363" s="11">
        <v>6250</v>
      </c>
      <c r="AW363" s="11">
        <f ca="1">IFERROR(OFFSET(ITEM_RES!$A$1,MATCH(AX363,ITEM_RES!$J:$J,0)-1,0),0)</f>
        <v>211020801</v>
      </c>
      <c r="AX363" s="10" t="s">
        <v>454</v>
      </c>
      <c r="AY363" s="11">
        <v>6250</v>
      </c>
      <c r="BB363" s="11">
        <f ca="1">IFERROR(OFFSET(ITEM_RES!$A$1,MATCH(BC363,ITEM_RES!$J:$J,0)-1,0),0)</f>
        <v>0</v>
      </c>
      <c r="BG363" s="11">
        <f ca="1">IFERROR(OFFSET(ITEM_RES!$A$1,MATCH(BH363,ITEM_RES!$J:$J,0)-1,0),0)</f>
        <v>0</v>
      </c>
      <c r="BL363" s="11">
        <f ca="1">IFERROR(OFFSET(ITEM_RES!$A$1,MATCH(BM363,ITEM_RES!$J:$J,0)-1,0),0)</f>
        <v>0</v>
      </c>
    </row>
    <row r="364" spans="1:67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367</v>
      </c>
      <c r="L364" s="9" t="s">
        <v>990</v>
      </c>
      <c r="M364" s="9" t="s">
        <v>1009</v>
      </c>
      <c r="N364" s="9">
        <v>0</v>
      </c>
      <c r="O364" s="9">
        <v>15</v>
      </c>
      <c r="P364" s="9" t="s">
        <v>814</v>
      </c>
      <c r="T364" s="9" t="s">
        <v>747</v>
      </c>
      <c r="V364" s="85" t="s">
        <v>580</v>
      </c>
      <c r="W364" s="9">
        <f ca="1">IFERROR(OFFSET(ITEM_RES!$A$5,MATCH(BUILDING!V364,ITEM_RES!$J$5:$J$226,0)-1,0),0)</f>
        <v>211020801</v>
      </c>
      <c r="X364" s="11">
        <v>1</v>
      </c>
      <c r="Y364" s="85" t="s">
        <v>408</v>
      </c>
      <c r="Z364" s="9">
        <f ca="1">IFERROR(OFFSET(ITEM_RES!$A$5,MATCH(BUILDING!Y364,ITEM_RES!$J$5:$J$226,0)-1,0),0)</f>
        <v>211020901</v>
      </c>
      <c r="AB364" s="9" t="s">
        <v>552</v>
      </c>
      <c r="AC364" s="9">
        <v>20</v>
      </c>
      <c r="AE364" s="9">
        <v>120000</v>
      </c>
      <c r="AG364" s="56">
        <f t="shared" si="109"/>
        <v>31500</v>
      </c>
      <c r="AH364" s="10">
        <f t="shared" si="117"/>
        <v>57750</v>
      </c>
      <c r="AJ364" s="11">
        <f t="shared" si="108"/>
        <v>100</v>
      </c>
      <c r="AK364" s="10">
        <v>100</v>
      </c>
      <c r="AL364" s="11">
        <f t="shared" si="115"/>
        <v>1500</v>
      </c>
      <c r="AM364" s="10">
        <v>1500</v>
      </c>
      <c r="AN364" s="11">
        <f t="shared" si="115"/>
        <v>1500</v>
      </c>
      <c r="AO364" s="10">
        <v>1500</v>
      </c>
      <c r="AP364" s="56">
        <f t="shared" si="110"/>
        <v>2</v>
      </c>
      <c r="AR364" s="11">
        <f ca="1">IFERROR(OFFSET(ITEM_RES!$A$1,MATCH(AS364,ITEM_RES!$J:$J,0)-1,0),0)</f>
        <v>211020501</v>
      </c>
      <c r="AS364" s="10" t="s">
        <v>451</v>
      </c>
      <c r="AT364" s="11">
        <v>7500</v>
      </c>
      <c r="AW364" s="11">
        <f ca="1">IFERROR(OFFSET(ITEM_RES!$A$1,MATCH(AX364,ITEM_RES!$J:$J,0)-1,0),0)</f>
        <v>211020801</v>
      </c>
      <c r="AX364" s="10" t="s">
        <v>454</v>
      </c>
      <c r="AY364" s="11">
        <v>7500</v>
      </c>
      <c r="BB364" s="11">
        <f ca="1">IFERROR(OFFSET(ITEM_RES!$A$1,MATCH(BC364,ITEM_RES!$J:$J,0)-1,0),0)</f>
        <v>0</v>
      </c>
      <c r="BG364" s="11">
        <f ca="1">IFERROR(OFFSET(ITEM_RES!$A$1,MATCH(BH364,ITEM_RES!$J:$J,0)-1,0),0)</f>
        <v>0</v>
      </c>
      <c r="BL364" s="11">
        <f ca="1">IFERROR(OFFSET(ITEM_RES!$A$1,MATCH(BM364,ITEM_RES!$J:$J,0)-1,0),0)</f>
        <v>0</v>
      </c>
    </row>
    <row r="365" spans="1:67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 t="s">
        <v>991</v>
      </c>
      <c r="M365" s="16" t="s">
        <v>1010</v>
      </c>
      <c r="N365" s="16">
        <v>1</v>
      </c>
      <c r="O365" s="16">
        <v>15</v>
      </c>
      <c r="P365" s="16" t="s">
        <v>812</v>
      </c>
      <c r="Q365" s="17"/>
      <c r="R365" s="17"/>
      <c r="S365" s="18"/>
      <c r="T365" s="16" t="s">
        <v>753</v>
      </c>
      <c r="U365" s="79"/>
      <c r="V365" s="87"/>
      <c r="W365" s="16">
        <f ca="1">IFERROR(OFFSET(ITEM_RES!$A$5,MATCH(BUILDING!V365,ITEM_RES!$J$5:$J$226,0)-1,0),0)</f>
        <v>0</v>
      </c>
      <c r="X365" s="18"/>
      <c r="Y365" s="87" t="s">
        <v>575</v>
      </c>
      <c r="Z365" s="16">
        <f ca="1">IFERROR(OFFSET(ITEM_RES!$A$5,MATCH(BUILDING!Y365,ITEM_RES!$J$5:$J$226,0)-1,0),0)</f>
        <v>211020201</v>
      </c>
      <c r="AA365" s="79"/>
      <c r="AB365" s="16" t="s">
        <v>553</v>
      </c>
      <c r="AC365" s="16">
        <v>1</v>
      </c>
      <c r="AD365" s="79"/>
      <c r="AE365" s="16">
        <v>0</v>
      </c>
      <c r="AF365" s="79"/>
      <c r="AG365" s="57">
        <f t="shared" si="109"/>
        <v>605</v>
      </c>
      <c r="AH365" s="17">
        <f>AG365</f>
        <v>605</v>
      </c>
      <c r="AI365" s="79"/>
      <c r="AJ365" s="18">
        <f t="shared" ref="AJ365:AJ408" si="118">ROUND(AK365,0)</f>
        <v>5</v>
      </c>
      <c r="AK365" s="17">
        <v>5</v>
      </c>
      <c r="AL365" s="18">
        <f t="shared" si="115"/>
        <v>5</v>
      </c>
      <c r="AM365" s="17">
        <v>5</v>
      </c>
      <c r="AN365" s="18">
        <f t="shared" si="115"/>
        <v>5</v>
      </c>
      <c r="AO365" s="17">
        <v>5</v>
      </c>
      <c r="AP365" s="57">
        <f t="shared" si="110"/>
        <v>3</v>
      </c>
      <c r="AQ365" s="18"/>
      <c r="AR365" s="18">
        <f ca="1">IFERROR(OFFSET(ITEM_RES!$A$1,MATCH(AS365,ITEM_RES!$J:$J,0)-1,0),0)</f>
        <v>211010501</v>
      </c>
      <c r="AS365" s="17" t="s">
        <v>445</v>
      </c>
      <c r="AT365" s="18">
        <v>25</v>
      </c>
      <c r="AU365" s="17"/>
      <c r="AV365" s="18"/>
      <c r="AW365" s="18">
        <f ca="1">IFERROR(OFFSET(ITEM_RES!$A$1,MATCH(AX365,ITEM_RES!$J:$J,0)-1,0),0)</f>
        <v>211020101</v>
      </c>
      <c r="AX365" s="17" t="s">
        <v>471</v>
      </c>
      <c r="AY365" s="18">
        <v>25</v>
      </c>
      <c r="AZ365" s="17"/>
      <c r="BA365" s="18"/>
      <c r="BB365" s="18">
        <f ca="1">IFERROR(OFFSET(ITEM_RES!$A$1,MATCH(BC365,ITEM_RES!$J:$J,0)-1,0),0)</f>
        <v>213010101</v>
      </c>
      <c r="BC365" s="17" t="s">
        <v>477</v>
      </c>
      <c r="BD365" s="18">
        <v>1</v>
      </c>
      <c r="BE365" s="17"/>
      <c r="BF365" s="18"/>
      <c r="BG365" s="18">
        <f ca="1">IFERROR(OFFSET(ITEM_RES!$A$1,MATCH(BH365,ITEM_RES!$J:$J,0)-1,0),0)</f>
        <v>0</v>
      </c>
      <c r="BH365" s="17"/>
      <c r="BI365" s="18"/>
      <c r="BJ365" s="17"/>
      <c r="BK365" s="18"/>
      <c r="BL365" s="18">
        <f ca="1">IFERROR(OFFSET(ITEM_RES!$A$1,MATCH(BM365,ITEM_RES!$J:$J,0)-1,0),0)</f>
        <v>0</v>
      </c>
      <c r="BM365" s="17"/>
      <c r="BN365" s="18"/>
      <c r="BO365" s="17"/>
    </row>
    <row r="366" spans="1:67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377</v>
      </c>
      <c r="L366" s="9" t="s">
        <v>991</v>
      </c>
      <c r="M366" s="9" t="s">
        <v>1010</v>
      </c>
      <c r="N366" s="9">
        <v>1</v>
      </c>
      <c r="O366" s="9">
        <v>15</v>
      </c>
      <c r="P366" s="9" t="s">
        <v>812</v>
      </c>
      <c r="T366" s="9" t="s">
        <v>753</v>
      </c>
      <c r="W366" s="9">
        <f ca="1">IFERROR(OFFSET(ITEM_RES!$A$5,MATCH(BUILDING!V366,ITEM_RES!$J$5:$J$226,0)-1,0),0)</f>
        <v>0</v>
      </c>
      <c r="Y366" s="85" t="s">
        <v>575</v>
      </c>
      <c r="Z366" s="9">
        <f ca="1">IFERROR(OFFSET(ITEM_RES!$A$5,MATCH(BUILDING!Y366,ITEM_RES!$J$5:$J$226,0)-1,0),0)</f>
        <v>211020201</v>
      </c>
      <c r="AB366" s="9" t="s">
        <v>553</v>
      </c>
      <c r="AC366" s="9">
        <v>2</v>
      </c>
      <c r="AE366" s="9">
        <v>200</v>
      </c>
      <c r="AG366" s="56">
        <f t="shared" ref="AG366:AG409" si="119">AM366*10+AO366+AT366+AY366+500*BD366+500*BI366+500*BN366</f>
        <v>210</v>
      </c>
      <c r="AH366" s="10">
        <f>AG365+AG366</f>
        <v>815</v>
      </c>
      <c r="AJ366" s="11">
        <f t="shared" si="118"/>
        <v>10</v>
      </c>
      <c r="AK366" s="10">
        <v>10</v>
      </c>
      <c r="AL366" s="11">
        <f t="shared" si="115"/>
        <v>10</v>
      </c>
      <c r="AM366" s="10">
        <v>10</v>
      </c>
      <c r="AN366" s="11">
        <f t="shared" si="115"/>
        <v>10</v>
      </c>
      <c r="AO366" s="10">
        <v>10</v>
      </c>
      <c r="AP366" s="56">
        <f t="shared" ref="AP366:AP409" si="120">(AT366&gt;0)*1+(AY366&gt;0)*1+(BD366&gt;0)*1+(BI366&gt;0)*1+(BN366&gt;0)*1</f>
        <v>2</v>
      </c>
      <c r="AR366" s="11">
        <f ca="1">IFERROR(OFFSET(ITEM_RES!$A$1,MATCH(AS366,ITEM_RES!$J:$J,0)-1,0),0)</f>
        <v>211010501</v>
      </c>
      <c r="AS366" s="10" t="s">
        <v>445</v>
      </c>
      <c r="AT366" s="11">
        <v>50</v>
      </c>
      <c r="AW366" s="11">
        <f ca="1">IFERROR(OFFSET(ITEM_RES!$A$1,MATCH(AX366,ITEM_RES!$J:$J,0)-1,0),0)</f>
        <v>211020101</v>
      </c>
      <c r="AX366" s="10" t="s">
        <v>471</v>
      </c>
      <c r="AY366" s="11">
        <v>50</v>
      </c>
      <c r="BB366" s="11">
        <f ca="1">IFERROR(OFFSET(ITEM_RES!$A$1,MATCH(BC366,ITEM_RES!$J:$J,0)-1,0),0)</f>
        <v>0</v>
      </c>
      <c r="BG366" s="11">
        <f ca="1">IFERROR(OFFSET(ITEM_RES!$A$1,MATCH(BH366,ITEM_RES!$J:$J,0)-1,0),0)</f>
        <v>0</v>
      </c>
      <c r="BL366" s="11">
        <f ca="1">IFERROR(OFFSET(ITEM_RES!$A$1,MATCH(BM366,ITEM_RES!$J:$J,0)-1,0),0)</f>
        <v>0</v>
      </c>
    </row>
    <row r="367" spans="1:67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377</v>
      </c>
      <c r="L367" s="9" t="s">
        <v>991</v>
      </c>
      <c r="M367" s="9" t="s">
        <v>1010</v>
      </c>
      <c r="N367" s="9">
        <v>1</v>
      </c>
      <c r="O367" s="9">
        <v>15</v>
      </c>
      <c r="P367" s="9" t="s">
        <v>812</v>
      </c>
      <c r="T367" s="9" t="s">
        <v>753</v>
      </c>
      <c r="W367" s="9">
        <f ca="1">IFERROR(OFFSET(ITEM_RES!$A$5,MATCH(BUILDING!V367,ITEM_RES!$J$5:$J$226,0)-1,0),0)</f>
        <v>0</v>
      </c>
      <c r="Y367" s="85" t="s">
        <v>575</v>
      </c>
      <c r="Z367" s="9">
        <f ca="1">IFERROR(OFFSET(ITEM_RES!$A$5,MATCH(BUILDING!Y367,ITEM_RES!$J$5:$J$226,0)-1,0),0)</f>
        <v>211020201</v>
      </c>
      <c r="AB367" s="9" t="s">
        <v>553</v>
      </c>
      <c r="AC367" s="9">
        <v>3</v>
      </c>
      <c r="AE367" s="9">
        <v>600</v>
      </c>
      <c r="AG367" s="56">
        <f t="shared" si="119"/>
        <v>315</v>
      </c>
      <c r="AH367" s="10">
        <f t="shared" ref="AH367:AH384" si="121">AG366+AG367</f>
        <v>525</v>
      </c>
      <c r="AJ367" s="11">
        <f t="shared" si="118"/>
        <v>15</v>
      </c>
      <c r="AK367" s="10">
        <v>15</v>
      </c>
      <c r="AL367" s="11">
        <f t="shared" si="115"/>
        <v>15</v>
      </c>
      <c r="AM367" s="10">
        <v>15</v>
      </c>
      <c r="AN367" s="11">
        <f t="shared" si="115"/>
        <v>15</v>
      </c>
      <c r="AO367" s="10">
        <v>15</v>
      </c>
      <c r="AP367" s="56">
        <f t="shared" si="120"/>
        <v>2</v>
      </c>
      <c r="AR367" s="11">
        <f ca="1">IFERROR(OFFSET(ITEM_RES!$A$1,MATCH(AS367,ITEM_RES!$J:$J,0)-1,0),0)</f>
        <v>211010501</v>
      </c>
      <c r="AS367" s="10" t="s">
        <v>445</v>
      </c>
      <c r="AT367" s="11">
        <v>75</v>
      </c>
      <c r="AW367" s="11">
        <f ca="1">IFERROR(OFFSET(ITEM_RES!$A$1,MATCH(AX367,ITEM_RES!$J:$J,0)-1,0),0)</f>
        <v>211020101</v>
      </c>
      <c r="AX367" s="10" t="s">
        <v>471</v>
      </c>
      <c r="AY367" s="11">
        <v>75</v>
      </c>
      <c r="BB367" s="11">
        <f ca="1">IFERROR(OFFSET(ITEM_RES!$A$1,MATCH(BC367,ITEM_RES!$J:$J,0)-1,0),0)</f>
        <v>0</v>
      </c>
      <c r="BG367" s="11">
        <f ca="1">IFERROR(OFFSET(ITEM_RES!$A$1,MATCH(BH367,ITEM_RES!$J:$J,0)-1,0),0)</f>
        <v>0</v>
      </c>
      <c r="BL367" s="11">
        <f ca="1">IFERROR(OFFSET(ITEM_RES!$A$1,MATCH(BM367,ITEM_RES!$J:$J,0)-1,0),0)</f>
        <v>0</v>
      </c>
    </row>
    <row r="368" spans="1:67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377</v>
      </c>
      <c r="L368" s="9" t="s">
        <v>991</v>
      </c>
      <c r="M368" s="9" t="s">
        <v>1010</v>
      </c>
      <c r="N368" s="9">
        <v>1</v>
      </c>
      <c r="O368" s="9">
        <v>15</v>
      </c>
      <c r="P368" s="9" t="s">
        <v>812</v>
      </c>
      <c r="T368" s="9" t="s">
        <v>753</v>
      </c>
      <c r="W368" s="9">
        <f ca="1">IFERROR(OFFSET(ITEM_RES!$A$5,MATCH(BUILDING!V368,ITEM_RES!$J$5:$J$226,0)-1,0),0)</f>
        <v>0</v>
      </c>
      <c r="Y368" s="85" t="s">
        <v>575</v>
      </c>
      <c r="Z368" s="9">
        <f ca="1">IFERROR(OFFSET(ITEM_RES!$A$5,MATCH(BUILDING!Y368,ITEM_RES!$J$5:$J$226,0)-1,0),0)</f>
        <v>211020201</v>
      </c>
      <c r="AB368" s="9" t="s">
        <v>553</v>
      </c>
      <c r="AC368" s="9">
        <v>4</v>
      </c>
      <c r="AE368" s="9">
        <v>1000</v>
      </c>
      <c r="AG368" s="56">
        <f t="shared" si="119"/>
        <v>525</v>
      </c>
      <c r="AH368" s="10">
        <f t="shared" si="121"/>
        <v>840</v>
      </c>
      <c r="AJ368" s="11">
        <f t="shared" si="118"/>
        <v>20</v>
      </c>
      <c r="AK368" s="10">
        <v>20</v>
      </c>
      <c r="AL368" s="11">
        <f t="shared" si="115"/>
        <v>25</v>
      </c>
      <c r="AM368" s="10">
        <v>25</v>
      </c>
      <c r="AN368" s="11">
        <f t="shared" si="115"/>
        <v>25</v>
      </c>
      <c r="AO368" s="10">
        <v>25</v>
      </c>
      <c r="AP368" s="56">
        <f t="shared" si="120"/>
        <v>2</v>
      </c>
      <c r="AR368" s="11">
        <f ca="1">IFERROR(OFFSET(ITEM_RES!$A$1,MATCH(AS368,ITEM_RES!$J:$J,0)-1,0),0)</f>
        <v>211010501</v>
      </c>
      <c r="AS368" s="10" t="s">
        <v>445</v>
      </c>
      <c r="AT368" s="11">
        <v>125</v>
      </c>
      <c r="AW368" s="11">
        <f ca="1">IFERROR(OFFSET(ITEM_RES!$A$1,MATCH(AX368,ITEM_RES!$J:$J,0)-1,0),0)</f>
        <v>211020101</v>
      </c>
      <c r="AX368" s="10" t="s">
        <v>471</v>
      </c>
      <c r="AY368" s="11">
        <v>125</v>
      </c>
      <c r="BB368" s="11">
        <f ca="1">IFERROR(OFFSET(ITEM_RES!$A$1,MATCH(BC368,ITEM_RES!$J:$J,0)-1,0),0)</f>
        <v>0</v>
      </c>
      <c r="BG368" s="11">
        <f ca="1">IFERROR(OFFSET(ITEM_RES!$A$1,MATCH(BH368,ITEM_RES!$J:$J,0)-1,0),0)</f>
        <v>0</v>
      </c>
      <c r="BL368" s="11">
        <f ca="1">IFERROR(OFFSET(ITEM_RES!$A$1,MATCH(BM368,ITEM_RES!$J:$J,0)-1,0),0)</f>
        <v>0</v>
      </c>
    </row>
    <row r="369" spans="1:64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377</v>
      </c>
      <c r="L369" s="9" t="s">
        <v>991</v>
      </c>
      <c r="M369" s="9" t="s">
        <v>1010</v>
      </c>
      <c r="N369" s="9">
        <v>1</v>
      </c>
      <c r="O369" s="9">
        <v>15</v>
      </c>
      <c r="P369" s="9" t="s">
        <v>812</v>
      </c>
      <c r="T369" s="9" t="s">
        <v>753</v>
      </c>
      <c r="W369" s="9">
        <f ca="1">IFERROR(OFFSET(ITEM_RES!$A$5,MATCH(BUILDING!V369,ITEM_RES!$J$5:$J$226,0)-1,0),0)</f>
        <v>0</v>
      </c>
      <c r="Y369" s="85" t="s">
        <v>575</v>
      </c>
      <c r="Z369" s="9">
        <f ca="1">IFERROR(OFFSET(ITEM_RES!$A$5,MATCH(BUILDING!Y369,ITEM_RES!$J$5:$J$226,0)-1,0),0)</f>
        <v>211020201</v>
      </c>
      <c r="AB369" s="9" t="s">
        <v>553</v>
      </c>
      <c r="AC369" s="9">
        <v>5</v>
      </c>
      <c r="AE369" s="9">
        <v>1600</v>
      </c>
      <c r="AG369" s="56">
        <f t="shared" si="119"/>
        <v>840</v>
      </c>
      <c r="AH369" s="10">
        <f t="shared" si="121"/>
        <v>1365</v>
      </c>
      <c r="AJ369" s="11">
        <f t="shared" si="118"/>
        <v>25</v>
      </c>
      <c r="AK369" s="10">
        <v>25</v>
      </c>
      <c r="AL369" s="11">
        <f t="shared" si="115"/>
        <v>40</v>
      </c>
      <c r="AM369" s="10">
        <v>40</v>
      </c>
      <c r="AN369" s="11">
        <f t="shared" si="115"/>
        <v>40</v>
      </c>
      <c r="AO369" s="10">
        <v>40</v>
      </c>
      <c r="AP369" s="56">
        <f t="shared" si="120"/>
        <v>2</v>
      </c>
      <c r="AR369" s="11">
        <f ca="1">IFERROR(OFFSET(ITEM_RES!$A$1,MATCH(AS369,ITEM_RES!$J:$J,0)-1,0),0)</f>
        <v>211010501</v>
      </c>
      <c r="AS369" s="10" t="s">
        <v>445</v>
      </c>
      <c r="AT369" s="11">
        <v>200</v>
      </c>
      <c r="AW369" s="11">
        <f ca="1">IFERROR(OFFSET(ITEM_RES!$A$1,MATCH(AX369,ITEM_RES!$J:$J,0)-1,0),0)</f>
        <v>211020101</v>
      </c>
      <c r="AX369" s="10" t="s">
        <v>471</v>
      </c>
      <c r="AY369" s="11">
        <v>200</v>
      </c>
      <c r="BB369" s="11">
        <f ca="1">IFERROR(OFFSET(ITEM_RES!$A$1,MATCH(BC369,ITEM_RES!$J:$J,0)-1,0),0)</f>
        <v>0</v>
      </c>
      <c r="BG369" s="11">
        <f ca="1">IFERROR(OFFSET(ITEM_RES!$A$1,MATCH(BH369,ITEM_RES!$J:$J,0)-1,0),0)</f>
        <v>0</v>
      </c>
      <c r="BL369" s="11">
        <f ca="1">IFERROR(OFFSET(ITEM_RES!$A$1,MATCH(BM369,ITEM_RES!$J:$J,0)-1,0),0)</f>
        <v>0</v>
      </c>
    </row>
    <row r="370" spans="1:64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377</v>
      </c>
      <c r="L370" s="9" t="s">
        <v>991</v>
      </c>
      <c r="M370" s="9" t="s">
        <v>1010</v>
      </c>
      <c r="N370" s="9">
        <v>1</v>
      </c>
      <c r="O370" s="9">
        <v>15</v>
      </c>
      <c r="P370" s="9" t="s">
        <v>812</v>
      </c>
      <c r="T370" s="9" t="s">
        <v>753</v>
      </c>
      <c r="W370" s="9">
        <f ca="1">IFERROR(OFFSET(ITEM_RES!$A$5,MATCH(BUILDING!V370,ITEM_RES!$J$5:$J$226,0)-1,0),0)</f>
        <v>0</v>
      </c>
      <c r="Y370" s="85" t="s">
        <v>575</v>
      </c>
      <c r="Z370" s="9">
        <f ca="1">IFERROR(OFFSET(ITEM_RES!$A$5,MATCH(BUILDING!Y370,ITEM_RES!$J$5:$J$226,0)-1,0),0)</f>
        <v>211020201</v>
      </c>
      <c r="AB370" s="9" t="s">
        <v>553</v>
      </c>
      <c r="AC370" s="9">
        <v>6</v>
      </c>
      <c r="AE370" s="9">
        <v>2000</v>
      </c>
      <c r="AG370" s="56">
        <f t="shared" si="119"/>
        <v>1050</v>
      </c>
      <c r="AH370" s="10">
        <f t="shared" si="121"/>
        <v>1890</v>
      </c>
      <c r="AJ370" s="11">
        <f t="shared" si="118"/>
        <v>30</v>
      </c>
      <c r="AK370" s="10">
        <v>30</v>
      </c>
      <c r="AL370" s="11">
        <f t="shared" si="115"/>
        <v>50</v>
      </c>
      <c r="AM370" s="10">
        <v>50</v>
      </c>
      <c r="AN370" s="11">
        <f t="shared" si="115"/>
        <v>50</v>
      </c>
      <c r="AO370" s="10">
        <v>50</v>
      </c>
      <c r="AP370" s="56">
        <f t="shared" si="120"/>
        <v>2</v>
      </c>
      <c r="AR370" s="11">
        <f ca="1">IFERROR(OFFSET(ITEM_RES!$A$1,MATCH(AS370,ITEM_RES!$J:$J,0)-1,0),0)</f>
        <v>211010501</v>
      </c>
      <c r="AS370" s="10" t="s">
        <v>445</v>
      </c>
      <c r="AT370" s="11">
        <v>250</v>
      </c>
      <c r="AW370" s="11">
        <f ca="1">IFERROR(OFFSET(ITEM_RES!$A$1,MATCH(AX370,ITEM_RES!$J:$J,0)-1,0),0)</f>
        <v>211020101</v>
      </c>
      <c r="AX370" s="10" t="s">
        <v>471</v>
      </c>
      <c r="AY370" s="11">
        <v>250</v>
      </c>
      <c r="BB370" s="11">
        <f ca="1">IFERROR(OFFSET(ITEM_RES!$A$1,MATCH(BC370,ITEM_RES!$J:$J,0)-1,0),0)</f>
        <v>0</v>
      </c>
      <c r="BG370" s="11">
        <f ca="1">IFERROR(OFFSET(ITEM_RES!$A$1,MATCH(BH370,ITEM_RES!$J:$J,0)-1,0),0)</f>
        <v>0</v>
      </c>
      <c r="BL370" s="11">
        <f ca="1">IFERROR(OFFSET(ITEM_RES!$A$1,MATCH(BM370,ITEM_RES!$J:$J,0)-1,0),0)</f>
        <v>0</v>
      </c>
    </row>
    <row r="371" spans="1:64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377</v>
      </c>
      <c r="L371" s="9" t="s">
        <v>991</v>
      </c>
      <c r="M371" s="9" t="s">
        <v>1010</v>
      </c>
      <c r="N371" s="9">
        <v>1</v>
      </c>
      <c r="O371" s="9">
        <v>15</v>
      </c>
      <c r="P371" s="9" t="s">
        <v>812</v>
      </c>
      <c r="T371" s="9" t="s">
        <v>753</v>
      </c>
      <c r="W371" s="9">
        <f ca="1">IFERROR(OFFSET(ITEM_RES!$A$5,MATCH(BUILDING!V371,ITEM_RES!$J$5:$J$226,0)-1,0),0)</f>
        <v>0</v>
      </c>
      <c r="Y371" s="85" t="s">
        <v>575</v>
      </c>
      <c r="Z371" s="9">
        <f ca="1">IFERROR(OFFSET(ITEM_RES!$A$5,MATCH(BUILDING!Y371,ITEM_RES!$J$5:$J$226,0)-1,0),0)</f>
        <v>211020201</v>
      </c>
      <c r="AB371" s="9" t="s">
        <v>553</v>
      </c>
      <c r="AC371" s="9">
        <v>7</v>
      </c>
      <c r="AE371" s="9">
        <v>4000</v>
      </c>
      <c r="AG371" s="56">
        <f t="shared" si="119"/>
        <v>2100</v>
      </c>
      <c r="AH371" s="10">
        <f t="shared" si="121"/>
        <v>3150</v>
      </c>
      <c r="AJ371" s="11">
        <f t="shared" si="118"/>
        <v>35</v>
      </c>
      <c r="AK371" s="10">
        <v>35</v>
      </c>
      <c r="AL371" s="11">
        <f t="shared" si="115"/>
        <v>100</v>
      </c>
      <c r="AM371" s="10">
        <v>100</v>
      </c>
      <c r="AN371" s="11">
        <f t="shared" si="115"/>
        <v>100</v>
      </c>
      <c r="AO371" s="10">
        <v>100</v>
      </c>
      <c r="AP371" s="56">
        <f t="shared" si="120"/>
        <v>2</v>
      </c>
      <c r="AR371" s="11">
        <f ca="1">IFERROR(OFFSET(ITEM_RES!$A$1,MATCH(AS371,ITEM_RES!$J:$J,0)-1,0),0)</f>
        <v>211010501</v>
      </c>
      <c r="AS371" s="10" t="s">
        <v>445</v>
      </c>
      <c r="AT371" s="11">
        <v>500</v>
      </c>
      <c r="AW371" s="11">
        <f ca="1">IFERROR(OFFSET(ITEM_RES!$A$1,MATCH(AX371,ITEM_RES!$J:$J,0)-1,0),0)</f>
        <v>211020101</v>
      </c>
      <c r="AX371" s="10" t="s">
        <v>471</v>
      </c>
      <c r="AY371" s="11">
        <v>500</v>
      </c>
      <c r="BB371" s="11">
        <f ca="1">IFERROR(OFFSET(ITEM_RES!$A$1,MATCH(BC371,ITEM_RES!$J:$J,0)-1,0),0)</f>
        <v>0</v>
      </c>
      <c r="BG371" s="11">
        <f ca="1">IFERROR(OFFSET(ITEM_RES!$A$1,MATCH(BH371,ITEM_RES!$J:$J,0)-1,0),0)</f>
        <v>0</v>
      </c>
      <c r="BL371" s="11">
        <f ca="1">IFERROR(OFFSET(ITEM_RES!$A$1,MATCH(BM371,ITEM_RES!$J:$J,0)-1,0),0)</f>
        <v>0</v>
      </c>
    </row>
    <row r="372" spans="1:64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377</v>
      </c>
      <c r="L372" s="9" t="s">
        <v>991</v>
      </c>
      <c r="M372" s="9" t="s">
        <v>1010</v>
      </c>
      <c r="N372" s="9">
        <v>1</v>
      </c>
      <c r="O372" s="9">
        <v>15</v>
      </c>
      <c r="P372" s="9" t="s">
        <v>812</v>
      </c>
      <c r="T372" s="9" t="s">
        <v>753</v>
      </c>
      <c r="W372" s="9">
        <f ca="1">IFERROR(OFFSET(ITEM_RES!$A$5,MATCH(BUILDING!V372,ITEM_RES!$J$5:$J$226,0)-1,0),0)</f>
        <v>0</v>
      </c>
      <c r="Y372" s="85" t="s">
        <v>575</v>
      </c>
      <c r="Z372" s="9">
        <f ca="1">IFERROR(OFFSET(ITEM_RES!$A$5,MATCH(BUILDING!Y372,ITEM_RES!$J$5:$J$226,0)-1,0),0)</f>
        <v>211020201</v>
      </c>
      <c r="AB372" s="9" t="s">
        <v>553</v>
      </c>
      <c r="AC372" s="9">
        <v>8</v>
      </c>
      <c r="AE372" s="9">
        <v>4000</v>
      </c>
      <c r="AG372" s="56">
        <f t="shared" si="119"/>
        <v>2100</v>
      </c>
      <c r="AH372" s="10">
        <f t="shared" si="121"/>
        <v>4200</v>
      </c>
      <c r="AJ372" s="11">
        <f t="shared" si="118"/>
        <v>40</v>
      </c>
      <c r="AK372" s="10">
        <v>40</v>
      </c>
      <c r="AL372" s="11">
        <f t="shared" si="115"/>
        <v>100</v>
      </c>
      <c r="AM372" s="10">
        <v>100</v>
      </c>
      <c r="AN372" s="11">
        <f t="shared" si="115"/>
        <v>100</v>
      </c>
      <c r="AO372" s="10">
        <v>100</v>
      </c>
      <c r="AP372" s="56">
        <f t="shared" si="120"/>
        <v>2</v>
      </c>
      <c r="AR372" s="11">
        <f ca="1">IFERROR(OFFSET(ITEM_RES!$A$1,MATCH(AS372,ITEM_RES!$J:$J,0)-1,0),0)</f>
        <v>211010501</v>
      </c>
      <c r="AS372" s="10" t="s">
        <v>445</v>
      </c>
      <c r="AT372" s="11">
        <v>500</v>
      </c>
      <c r="AW372" s="11">
        <f ca="1">IFERROR(OFFSET(ITEM_RES!$A$1,MATCH(AX372,ITEM_RES!$J:$J,0)-1,0),0)</f>
        <v>211020101</v>
      </c>
      <c r="AX372" s="10" t="s">
        <v>471</v>
      </c>
      <c r="AY372" s="11">
        <v>500</v>
      </c>
      <c r="BB372" s="11">
        <f ca="1">IFERROR(OFFSET(ITEM_RES!$A$1,MATCH(BC372,ITEM_RES!$J:$J,0)-1,0),0)</f>
        <v>0</v>
      </c>
      <c r="BG372" s="11">
        <f ca="1">IFERROR(OFFSET(ITEM_RES!$A$1,MATCH(BH372,ITEM_RES!$J:$J,0)-1,0),0)</f>
        <v>0</v>
      </c>
      <c r="BL372" s="11">
        <f ca="1">IFERROR(OFFSET(ITEM_RES!$A$1,MATCH(BM372,ITEM_RES!$J:$J,0)-1,0),0)</f>
        <v>0</v>
      </c>
    </row>
    <row r="373" spans="1:64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377</v>
      </c>
      <c r="L373" s="9" t="s">
        <v>991</v>
      </c>
      <c r="M373" s="9" t="s">
        <v>1010</v>
      </c>
      <c r="N373" s="9">
        <v>1</v>
      </c>
      <c r="O373" s="9">
        <v>15</v>
      </c>
      <c r="P373" s="9" t="s">
        <v>812</v>
      </c>
      <c r="T373" s="9" t="s">
        <v>753</v>
      </c>
      <c r="W373" s="9">
        <f ca="1">IFERROR(OFFSET(ITEM_RES!$A$5,MATCH(BUILDING!V373,ITEM_RES!$J$5:$J$226,0)-1,0),0)</f>
        <v>0</v>
      </c>
      <c r="Y373" s="85" t="s">
        <v>575</v>
      </c>
      <c r="Z373" s="9">
        <f ca="1">IFERROR(OFFSET(ITEM_RES!$A$5,MATCH(BUILDING!Y373,ITEM_RES!$J$5:$J$226,0)-1,0),0)</f>
        <v>211020201</v>
      </c>
      <c r="AB373" s="9" t="s">
        <v>553</v>
      </c>
      <c r="AC373" s="9">
        <v>9</v>
      </c>
      <c r="AE373" s="9">
        <v>6000</v>
      </c>
      <c r="AG373" s="56">
        <f t="shared" si="119"/>
        <v>3150</v>
      </c>
      <c r="AH373" s="10">
        <f t="shared" si="121"/>
        <v>5250</v>
      </c>
      <c r="AJ373" s="11">
        <f t="shared" si="118"/>
        <v>45</v>
      </c>
      <c r="AK373" s="10">
        <v>45</v>
      </c>
      <c r="AL373" s="11">
        <f t="shared" si="115"/>
        <v>150</v>
      </c>
      <c r="AM373" s="10">
        <v>150</v>
      </c>
      <c r="AN373" s="11">
        <f t="shared" si="115"/>
        <v>150</v>
      </c>
      <c r="AO373" s="10">
        <v>150</v>
      </c>
      <c r="AP373" s="56">
        <f t="shared" si="120"/>
        <v>2</v>
      </c>
      <c r="AR373" s="11">
        <f ca="1">IFERROR(OFFSET(ITEM_RES!$A$1,MATCH(AS373,ITEM_RES!$J:$J,0)-1,0),0)</f>
        <v>211010501</v>
      </c>
      <c r="AS373" s="10" t="s">
        <v>445</v>
      </c>
      <c r="AT373" s="11">
        <v>750</v>
      </c>
      <c r="AW373" s="11">
        <f ca="1">IFERROR(OFFSET(ITEM_RES!$A$1,MATCH(AX373,ITEM_RES!$J:$J,0)-1,0),0)</f>
        <v>211020101</v>
      </c>
      <c r="AX373" s="10" t="s">
        <v>471</v>
      </c>
      <c r="AY373" s="11">
        <v>750</v>
      </c>
      <c r="BB373" s="11">
        <f ca="1">IFERROR(OFFSET(ITEM_RES!$A$1,MATCH(BC373,ITEM_RES!$J:$J,0)-1,0),0)</f>
        <v>0</v>
      </c>
      <c r="BG373" s="11">
        <f ca="1">IFERROR(OFFSET(ITEM_RES!$A$1,MATCH(BH373,ITEM_RES!$J:$J,0)-1,0),0)</f>
        <v>0</v>
      </c>
      <c r="BL373" s="11">
        <f ca="1">IFERROR(OFFSET(ITEM_RES!$A$1,MATCH(BM373,ITEM_RES!$J:$J,0)-1,0),0)</f>
        <v>0</v>
      </c>
    </row>
    <row r="374" spans="1:64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377</v>
      </c>
      <c r="L374" s="9" t="s">
        <v>991</v>
      </c>
      <c r="M374" s="9" t="s">
        <v>1010</v>
      </c>
      <c r="N374" s="9">
        <v>1</v>
      </c>
      <c r="O374" s="9">
        <v>15</v>
      </c>
      <c r="P374" s="9" t="s">
        <v>812</v>
      </c>
      <c r="T374" s="9" t="s">
        <v>753</v>
      </c>
      <c r="W374" s="9">
        <f ca="1">IFERROR(OFFSET(ITEM_RES!$A$5,MATCH(BUILDING!V374,ITEM_RES!$J$5:$J$226,0)-1,0),0)</f>
        <v>0</v>
      </c>
      <c r="Y374" s="85" t="s">
        <v>575</v>
      </c>
      <c r="Z374" s="9">
        <f ca="1">IFERROR(OFFSET(ITEM_RES!$A$5,MATCH(BUILDING!Y374,ITEM_RES!$J$5:$J$226,0)-1,0),0)</f>
        <v>211020201</v>
      </c>
      <c r="AB374" s="9" t="s">
        <v>553</v>
      </c>
      <c r="AC374" s="9">
        <v>10</v>
      </c>
      <c r="AE374" s="9">
        <v>8000</v>
      </c>
      <c r="AG374" s="56">
        <f t="shared" si="119"/>
        <v>4200</v>
      </c>
      <c r="AH374" s="10">
        <f t="shared" si="121"/>
        <v>7350</v>
      </c>
      <c r="AJ374" s="11">
        <f t="shared" si="118"/>
        <v>50</v>
      </c>
      <c r="AK374" s="10">
        <v>50</v>
      </c>
      <c r="AL374" s="11">
        <f t="shared" si="115"/>
        <v>200</v>
      </c>
      <c r="AM374" s="10">
        <v>200</v>
      </c>
      <c r="AN374" s="11">
        <f t="shared" si="115"/>
        <v>200</v>
      </c>
      <c r="AO374" s="10">
        <v>200</v>
      </c>
      <c r="AP374" s="56">
        <f t="shared" si="120"/>
        <v>2</v>
      </c>
      <c r="AR374" s="11">
        <f ca="1">IFERROR(OFFSET(ITEM_RES!$A$1,MATCH(AS374,ITEM_RES!$J:$J,0)-1,0),0)</f>
        <v>211010501</v>
      </c>
      <c r="AS374" s="10" t="s">
        <v>445</v>
      </c>
      <c r="AT374" s="11">
        <v>1000</v>
      </c>
      <c r="AW374" s="11">
        <f ca="1">IFERROR(OFFSET(ITEM_RES!$A$1,MATCH(AX374,ITEM_RES!$J:$J,0)-1,0),0)</f>
        <v>211020101</v>
      </c>
      <c r="AX374" s="10" t="s">
        <v>471</v>
      </c>
      <c r="AY374" s="11">
        <v>1000</v>
      </c>
      <c r="BB374" s="11">
        <f ca="1">IFERROR(OFFSET(ITEM_RES!$A$1,MATCH(BC374,ITEM_RES!$J:$J,0)-1,0),0)</f>
        <v>0</v>
      </c>
      <c r="BG374" s="11">
        <f ca="1">IFERROR(OFFSET(ITEM_RES!$A$1,MATCH(BH374,ITEM_RES!$J:$J,0)-1,0),0)</f>
        <v>0</v>
      </c>
      <c r="BL374" s="11">
        <f ca="1">IFERROR(OFFSET(ITEM_RES!$A$1,MATCH(BM374,ITEM_RES!$J:$J,0)-1,0),0)</f>
        <v>0</v>
      </c>
    </row>
    <row r="375" spans="1:64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377</v>
      </c>
      <c r="L375" s="9" t="s">
        <v>991</v>
      </c>
      <c r="M375" s="9" t="s">
        <v>1010</v>
      </c>
      <c r="N375" s="9">
        <v>1</v>
      </c>
      <c r="O375" s="9">
        <v>15</v>
      </c>
      <c r="P375" s="9" t="s">
        <v>812</v>
      </c>
      <c r="T375" s="9" t="s">
        <v>753</v>
      </c>
      <c r="W375" s="9">
        <f ca="1">IFERROR(OFFSET(ITEM_RES!$A$5,MATCH(BUILDING!V375,ITEM_RES!$J$5:$J$226,0)-1,0),0)</f>
        <v>0</v>
      </c>
      <c r="Y375" s="85" t="s">
        <v>575</v>
      </c>
      <c r="Z375" s="9">
        <f ca="1">IFERROR(OFFSET(ITEM_RES!$A$5,MATCH(BUILDING!Y375,ITEM_RES!$J$5:$J$226,0)-1,0),0)</f>
        <v>211020201</v>
      </c>
      <c r="AB375" s="9" t="s">
        <v>553</v>
      </c>
      <c r="AC375" s="9">
        <v>11</v>
      </c>
      <c r="AE375" s="9">
        <v>10000</v>
      </c>
      <c r="AG375" s="56">
        <f t="shared" si="119"/>
        <v>5250</v>
      </c>
      <c r="AH375" s="10">
        <f t="shared" si="121"/>
        <v>9450</v>
      </c>
      <c r="AJ375" s="11">
        <f t="shared" si="118"/>
        <v>55</v>
      </c>
      <c r="AK375" s="10">
        <v>55</v>
      </c>
      <c r="AL375" s="11">
        <f t="shared" si="115"/>
        <v>250</v>
      </c>
      <c r="AM375" s="10">
        <v>250</v>
      </c>
      <c r="AN375" s="11">
        <f t="shared" si="115"/>
        <v>250</v>
      </c>
      <c r="AO375" s="10">
        <v>250</v>
      </c>
      <c r="AP375" s="56">
        <f t="shared" si="120"/>
        <v>2</v>
      </c>
      <c r="AR375" s="11">
        <f ca="1">IFERROR(OFFSET(ITEM_RES!$A$1,MATCH(AS375,ITEM_RES!$J:$J,0)-1,0),0)</f>
        <v>211010501</v>
      </c>
      <c r="AS375" s="10" t="s">
        <v>445</v>
      </c>
      <c r="AT375" s="11">
        <v>1250</v>
      </c>
      <c r="AW375" s="11">
        <f ca="1">IFERROR(OFFSET(ITEM_RES!$A$1,MATCH(AX375,ITEM_RES!$J:$J,0)-1,0),0)</f>
        <v>211020101</v>
      </c>
      <c r="AX375" s="10" t="s">
        <v>471</v>
      </c>
      <c r="AY375" s="11">
        <v>1250</v>
      </c>
      <c r="BB375" s="11">
        <f ca="1">IFERROR(OFFSET(ITEM_RES!$A$1,MATCH(BC375,ITEM_RES!$J:$J,0)-1,0),0)</f>
        <v>0</v>
      </c>
      <c r="BG375" s="11">
        <f ca="1">IFERROR(OFFSET(ITEM_RES!$A$1,MATCH(BH375,ITEM_RES!$J:$J,0)-1,0),0)</f>
        <v>0</v>
      </c>
      <c r="BL375" s="11">
        <f ca="1">IFERROR(OFFSET(ITEM_RES!$A$1,MATCH(BM375,ITEM_RES!$J:$J,0)-1,0),0)</f>
        <v>0</v>
      </c>
    </row>
    <row r="376" spans="1:64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377</v>
      </c>
      <c r="L376" s="9" t="s">
        <v>991</v>
      </c>
      <c r="M376" s="9" t="s">
        <v>1010</v>
      </c>
      <c r="N376" s="9">
        <v>1</v>
      </c>
      <c r="O376" s="9">
        <v>15</v>
      </c>
      <c r="P376" s="9" t="s">
        <v>812</v>
      </c>
      <c r="T376" s="9" t="s">
        <v>753</v>
      </c>
      <c r="W376" s="9">
        <f ca="1">IFERROR(OFFSET(ITEM_RES!$A$5,MATCH(BUILDING!V376,ITEM_RES!$J$5:$J$226,0)-1,0),0)</f>
        <v>0</v>
      </c>
      <c r="Y376" s="85" t="s">
        <v>575</v>
      </c>
      <c r="Z376" s="9">
        <f ca="1">IFERROR(OFFSET(ITEM_RES!$A$5,MATCH(BUILDING!Y376,ITEM_RES!$J$5:$J$226,0)-1,0),0)</f>
        <v>211020201</v>
      </c>
      <c r="AB376" s="9" t="s">
        <v>553</v>
      </c>
      <c r="AC376" s="9">
        <v>12</v>
      </c>
      <c r="AE376" s="9">
        <v>12000</v>
      </c>
      <c r="AG376" s="56">
        <f t="shared" si="119"/>
        <v>6300</v>
      </c>
      <c r="AH376" s="10">
        <f t="shared" si="121"/>
        <v>11550</v>
      </c>
      <c r="AJ376" s="11">
        <f t="shared" si="118"/>
        <v>60</v>
      </c>
      <c r="AK376" s="10">
        <v>60</v>
      </c>
      <c r="AL376" s="11">
        <f t="shared" si="115"/>
        <v>300</v>
      </c>
      <c r="AM376" s="10">
        <v>300</v>
      </c>
      <c r="AN376" s="11">
        <f t="shared" si="115"/>
        <v>300</v>
      </c>
      <c r="AO376" s="10">
        <v>300</v>
      </c>
      <c r="AP376" s="56">
        <f t="shared" si="120"/>
        <v>2</v>
      </c>
      <c r="AR376" s="11">
        <f ca="1">IFERROR(OFFSET(ITEM_RES!$A$1,MATCH(AS376,ITEM_RES!$J:$J,0)-1,0),0)</f>
        <v>211010501</v>
      </c>
      <c r="AS376" s="10" t="s">
        <v>445</v>
      </c>
      <c r="AT376" s="11">
        <v>1500</v>
      </c>
      <c r="AW376" s="11">
        <f ca="1">IFERROR(OFFSET(ITEM_RES!$A$1,MATCH(AX376,ITEM_RES!$J:$J,0)-1,0),0)</f>
        <v>211020101</v>
      </c>
      <c r="AX376" s="10" t="s">
        <v>471</v>
      </c>
      <c r="AY376" s="11">
        <v>1500</v>
      </c>
      <c r="BB376" s="11">
        <f ca="1">IFERROR(OFFSET(ITEM_RES!$A$1,MATCH(BC376,ITEM_RES!$J:$J,0)-1,0),0)</f>
        <v>0</v>
      </c>
      <c r="BG376" s="11">
        <f ca="1">IFERROR(OFFSET(ITEM_RES!$A$1,MATCH(BH376,ITEM_RES!$J:$J,0)-1,0),0)</f>
        <v>0</v>
      </c>
      <c r="BL376" s="11">
        <f ca="1">IFERROR(OFFSET(ITEM_RES!$A$1,MATCH(BM376,ITEM_RES!$J:$J,0)-1,0),0)</f>
        <v>0</v>
      </c>
    </row>
    <row r="377" spans="1:64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377</v>
      </c>
      <c r="L377" s="9" t="s">
        <v>991</v>
      </c>
      <c r="M377" s="9" t="s">
        <v>1010</v>
      </c>
      <c r="N377" s="9">
        <v>1</v>
      </c>
      <c r="O377" s="9">
        <v>15</v>
      </c>
      <c r="P377" s="9" t="s">
        <v>812</v>
      </c>
      <c r="T377" s="9" t="s">
        <v>753</v>
      </c>
      <c r="W377" s="9">
        <f ca="1">IFERROR(OFFSET(ITEM_RES!$A$5,MATCH(BUILDING!V377,ITEM_RES!$J$5:$J$226,0)-1,0),0)</f>
        <v>0</v>
      </c>
      <c r="Y377" s="85" t="s">
        <v>575</v>
      </c>
      <c r="Z377" s="9">
        <f ca="1">IFERROR(OFFSET(ITEM_RES!$A$5,MATCH(BUILDING!Y377,ITEM_RES!$J$5:$J$226,0)-1,0),0)</f>
        <v>211020201</v>
      </c>
      <c r="AB377" s="9" t="s">
        <v>553</v>
      </c>
      <c r="AC377" s="9">
        <v>13</v>
      </c>
      <c r="AE377" s="9">
        <v>14000</v>
      </c>
      <c r="AG377" s="56">
        <f t="shared" si="119"/>
        <v>7350</v>
      </c>
      <c r="AH377" s="10">
        <f t="shared" si="121"/>
        <v>13650</v>
      </c>
      <c r="AJ377" s="11">
        <f t="shared" si="118"/>
        <v>65</v>
      </c>
      <c r="AK377" s="10">
        <v>65</v>
      </c>
      <c r="AL377" s="11">
        <f t="shared" si="115"/>
        <v>350</v>
      </c>
      <c r="AM377" s="10">
        <v>350</v>
      </c>
      <c r="AN377" s="11">
        <f t="shared" si="115"/>
        <v>350</v>
      </c>
      <c r="AO377" s="10">
        <v>350</v>
      </c>
      <c r="AP377" s="56">
        <f t="shared" si="120"/>
        <v>2</v>
      </c>
      <c r="AR377" s="11">
        <f ca="1">IFERROR(OFFSET(ITEM_RES!$A$1,MATCH(AS377,ITEM_RES!$J:$J,0)-1,0),0)</f>
        <v>211010501</v>
      </c>
      <c r="AS377" s="10" t="s">
        <v>445</v>
      </c>
      <c r="AT377" s="11">
        <v>1750</v>
      </c>
      <c r="AW377" s="11">
        <f ca="1">IFERROR(OFFSET(ITEM_RES!$A$1,MATCH(AX377,ITEM_RES!$J:$J,0)-1,0),0)</f>
        <v>211020101</v>
      </c>
      <c r="AX377" s="10" t="s">
        <v>471</v>
      </c>
      <c r="AY377" s="11">
        <v>1750</v>
      </c>
      <c r="BB377" s="11">
        <f ca="1">IFERROR(OFFSET(ITEM_RES!$A$1,MATCH(BC377,ITEM_RES!$J:$J,0)-1,0),0)</f>
        <v>0</v>
      </c>
      <c r="BG377" s="11">
        <f ca="1">IFERROR(OFFSET(ITEM_RES!$A$1,MATCH(BH377,ITEM_RES!$J:$J,0)-1,0),0)</f>
        <v>0</v>
      </c>
      <c r="BL377" s="11">
        <f ca="1">IFERROR(OFFSET(ITEM_RES!$A$1,MATCH(BM377,ITEM_RES!$J:$J,0)-1,0),0)</f>
        <v>0</v>
      </c>
    </row>
    <row r="378" spans="1:64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377</v>
      </c>
      <c r="L378" s="9" t="s">
        <v>991</v>
      </c>
      <c r="M378" s="9" t="s">
        <v>1010</v>
      </c>
      <c r="N378" s="9">
        <v>1</v>
      </c>
      <c r="O378" s="9">
        <v>15</v>
      </c>
      <c r="P378" s="9" t="s">
        <v>812</v>
      </c>
      <c r="T378" s="9" t="s">
        <v>753</v>
      </c>
      <c r="W378" s="9">
        <f ca="1">IFERROR(OFFSET(ITEM_RES!$A$5,MATCH(BUILDING!V378,ITEM_RES!$J$5:$J$226,0)-1,0),0)</f>
        <v>0</v>
      </c>
      <c r="Y378" s="85" t="s">
        <v>575</v>
      </c>
      <c r="Z378" s="9">
        <f ca="1">IFERROR(OFFSET(ITEM_RES!$A$5,MATCH(BUILDING!Y378,ITEM_RES!$J$5:$J$226,0)-1,0),0)</f>
        <v>211020201</v>
      </c>
      <c r="AB378" s="9" t="s">
        <v>553</v>
      </c>
      <c r="AC378" s="9">
        <v>14</v>
      </c>
      <c r="AE378" s="9">
        <v>18000</v>
      </c>
      <c r="AG378" s="56">
        <f t="shared" si="119"/>
        <v>9450</v>
      </c>
      <c r="AH378" s="10">
        <f t="shared" si="121"/>
        <v>16800</v>
      </c>
      <c r="AJ378" s="11">
        <f t="shared" si="118"/>
        <v>70</v>
      </c>
      <c r="AK378" s="10">
        <v>70</v>
      </c>
      <c r="AL378" s="11">
        <f t="shared" si="115"/>
        <v>450</v>
      </c>
      <c r="AM378" s="10">
        <v>450</v>
      </c>
      <c r="AN378" s="11">
        <f t="shared" si="115"/>
        <v>450</v>
      </c>
      <c r="AO378" s="10">
        <v>450</v>
      </c>
      <c r="AP378" s="56">
        <f t="shared" si="120"/>
        <v>2</v>
      </c>
      <c r="AR378" s="11">
        <f ca="1">IFERROR(OFFSET(ITEM_RES!$A$1,MATCH(AS378,ITEM_RES!$J:$J,0)-1,0),0)</f>
        <v>211010501</v>
      </c>
      <c r="AS378" s="10" t="s">
        <v>445</v>
      </c>
      <c r="AT378" s="11">
        <v>2250</v>
      </c>
      <c r="AW378" s="11">
        <f ca="1">IFERROR(OFFSET(ITEM_RES!$A$1,MATCH(AX378,ITEM_RES!$J:$J,0)-1,0),0)</f>
        <v>211020101</v>
      </c>
      <c r="AX378" s="10" t="s">
        <v>471</v>
      </c>
      <c r="AY378" s="11">
        <v>2250</v>
      </c>
      <c r="BB378" s="11">
        <f ca="1">IFERROR(OFFSET(ITEM_RES!$A$1,MATCH(BC378,ITEM_RES!$J:$J,0)-1,0),0)</f>
        <v>0</v>
      </c>
      <c r="BG378" s="11">
        <f ca="1">IFERROR(OFFSET(ITEM_RES!$A$1,MATCH(BH378,ITEM_RES!$J:$J,0)-1,0),0)</f>
        <v>0</v>
      </c>
      <c r="BL378" s="11">
        <f ca="1">IFERROR(OFFSET(ITEM_RES!$A$1,MATCH(BM378,ITEM_RES!$J:$J,0)-1,0),0)</f>
        <v>0</v>
      </c>
    </row>
    <row r="379" spans="1:64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377</v>
      </c>
      <c r="L379" s="9" t="s">
        <v>991</v>
      </c>
      <c r="M379" s="9" t="s">
        <v>1010</v>
      </c>
      <c r="N379" s="9">
        <v>1</v>
      </c>
      <c r="O379" s="9">
        <v>15</v>
      </c>
      <c r="P379" s="9" t="s">
        <v>812</v>
      </c>
      <c r="T379" s="9" t="s">
        <v>753</v>
      </c>
      <c r="W379" s="9">
        <f ca="1">IFERROR(OFFSET(ITEM_RES!$A$5,MATCH(BUILDING!V379,ITEM_RES!$J$5:$J$226,0)-1,0),0)</f>
        <v>0</v>
      </c>
      <c r="Y379" s="85" t="s">
        <v>575</v>
      </c>
      <c r="Z379" s="9">
        <f ca="1">IFERROR(OFFSET(ITEM_RES!$A$5,MATCH(BUILDING!Y379,ITEM_RES!$J$5:$J$226,0)-1,0),0)</f>
        <v>211020201</v>
      </c>
      <c r="AB379" s="9" t="s">
        <v>553</v>
      </c>
      <c r="AC379" s="9">
        <v>15</v>
      </c>
      <c r="AE379" s="9">
        <v>22000</v>
      </c>
      <c r="AG379" s="56">
        <f t="shared" si="119"/>
        <v>11550</v>
      </c>
      <c r="AH379" s="10">
        <f t="shared" si="121"/>
        <v>21000</v>
      </c>
      <c r="AJ379" s="11">
        <f t="shared" si="118"/>
        <v>75</v>
      </c>
      <c r="AK379" s="10">
        <v>75</v>
      </c>
      <c r="AL379" s="11">
        <f t="shared" si="115"/>
        <v>550</v>
      </c>
      <c r="AM379" s="10">
        <v>550</v>
      </c>
      <c r="AN379" s="11">
        <f t="shared" si="115"/>
        <v>550</v>
      </c>
      <c r="AO379" s="10">
        <v>550</v>
      </c>
      <c r="AP379" s="56">
        <f t="shared" si="120"/>
        <v>2</v>
      </c>
      <c r="AR379" s="11">
        <f ca="1">IFERROR(OFFSET(ITEM_RES!$A$1,MATCH(AS379,ITEM_RES!$J:$J,0)-1,0),0)</f>
        <v>211010601</v>
      </c>
      <c r="AS379" s="10" t="s">
        <v>462</v>
      </c>
      <c r="AT379" s="11">
        <v>2750</v>
      </c>
      <c r="AW379" s="11">
        <f ca="1">IFERROR(OFFSET(ITEM_RES!$A$1,MATCH(AX379,ITEM_RES!$J:$J,0)-1,0),0)</f>
        <v>211020101</v>
      </c>
      <c r="AX379" s="10" t="s">
        <v>471</v>
      </c>
      <c r="AY379" s="11">
        <v>2750</v>
      </c>
      <c r="BB379" s="11">
        <f ca="1">IFERROR(OFFSET(ITEM_RES!$A$1,MATCH(BC379,ITEM_RES!$J:$J,0)-1,0),0)</f>
        <v>0</v>
      </c>
      <c r="BG379" s="11">
        <f ca="1">IFERROR(OFFSET(ITEM_RES!$A$1,MATCH(BH379,ITEM_RES!$J:$J,0)-1,0),0)</f>
        <v>0</v>
      </c>
      <c r="BL379" s="11">
        <f ca="1">IFERROR(OFFSET(ITEM_RES!$A$1,MATCH(BM379,ITEM_RES!$J:$J,0)-1,0),0)</f>
        <v>0</v>
      </c>
    </row>
    <row r="380" spans="1:64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377</v>
      </c>
      <c r="L380" s="9" t="s">
        <v>991</v>
      </c>
      <c r="M380" s="9" t="s">
        <v>1010</v>
      </c>
      <c r="N380" s="9">
        <v>0</v>
      </c>
      <c r="O380" s="9">
        <v>15</v>
      </c>
      <c r="P380" s="9" t="s">
        <v>812</v>
      </c>
      <c r="T380" s="9" t="s">
        <v>753</v>
      </c>
      <c r="W380" s="9">
        <f ca="1">IFERROR(OFFSET(ITEM_RES!$A$5,MATCH(BUILDING!V380,ITEM_RES!$J$5:$J$226,0)-1,0),0)</f>
        <v>0</v>
      </c>
      <c r="Y380" s="85" t="s">
        <v>575</v>
      </c>
      <c r="Z380" s="9">
        <f ca="1">IFERROR(OFFSET(ITEM_RES!$A$5,MATCH(BUILDING!Y380,ITEM_RES!$J$5:$J$226,0)-1,0),0)</f>
        <v>211020201</v>
      </c>
      <c r="AB380" s="9" t="s">
        <v>553</v>
      </c>
      <c r="AC380" s="9">
        <v>16</v>
      </c>
      <c r="AE380" s="9">
        <v>28000</v>
      </c>
      <c r="AG380" s="56">
        <f t="shared" si="119"/>
        <v>14700</v>
      </c>
      <c r="AH380" s="10">
        <f t="shared" si="121"/>
        <v>26250</v>
      </c>
      <c r="AJ380" s="11">
        <f t="shared" si="118"/>
        <v>80</v>
      </c>
      <c r="AK380" s="10">
        <v>80</v>
      </c>
      <c r="AL380" s="11">
        <f t="shared" si="115"/>
        <v>700</v>
      </c>
      <c r="AM380" s="10">
        <v>700</v>
      </c>
      <c r="AN380" s="11">
        <f t="shared" si="115"/>
        <v>700</v>
      </c>
      <c r="AO380" s="10">
        <v>700</v>
      </c>
      <c r="AP380" s="56">
        <f t="shared" si="120"/>
        <v>2</v>
      </c>
      <c r="AR380" s="11">
        <f ca="1">IFERROR(OFFSET(ITEM_RES!$A$1,MATCH(AS380,ITEM_RES!$J:$J,0)-1,0),0)</f>
        <v>211010601</v>
      </c>
      <c r="AS380" s="10" t="s">
        <v>462</v>
      </c>
      <c r="AT380" s="11">
        <v>3500</v>
      </c>
      <c r="AW380" s="11">
        <f ca="1">IFERROR(OFFSET(ITEM_RES!$A$1,MATCH(AX380,ITEM_RES!$J:$J,0)-1,0),0)</f>
        <v>211020101</v>
      </c>
      <c r="AX380" s="10" t="s">
        <v>471</v>
      </c>
      <c r="AY380" s="11">
        <v>3500</v>
      </c>
      <c r="BB380" s="11">
        <f ca="1">IFERROR(OFFSET(ITEM_RES!$A$1,MATCH(BC380,ITEM_RES!$J:$J,0)-1,0),0)</f>
        <v>0</v>
      </c>
      <c r="BG380" s="11">
        <f ca="1">IFERROR(OFFSET(ITEM_RES!$A$1,MATCH(BH380,ITEM_RES!$J:$J,0)-1,0),0)</f>
        <v>0</v>
      </c>
      <c r="BL380" s="11">
        <f ca="1">IFERROR(OFFSET(ITEM_RES!$A$1,MATCH(BM380,ITEM_RES!$J:$J,0)-1,0),0)</f>
        <v>0</v>
      </c>
    </row>
    <row r="381" spans="1:64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377</v>
      </c>
      <c r="L381" s="9" t="s">
        <v>991</v>
      </c>
      <c r="M381" s="9" t="s">
        <v>1010</v>
      </c>
      <c r="N381" s="9">
        <v>0</v>
      </c>
      <c r="O381" s="9">
        <v>15</v>
      </c>
      <c r="P381" s="9" t="s">
        <v>812</v>
      </c>
      <c r="T381" s="9" t="s">
        <v>753</v>
      </c>
      <c r="W381" s="9">
        <f ca="1">IFERROR(OFFSET(ITEM_RES!$A$5,MATCH(BUILDING!V381,ITEM_RES!$J$5:$J$226,0)-1,0),0)</f>
        <v>0</v>
      </c>
      <c r="Y381" s="85" t="s">
        <v>575</v>
      </c>
      <c r="Z381" s="9">
        <f ca="1">IFERROR(OFFSET(ITEM_RES!$A$5,MATCH(BUILDING!Y381,ITEM_RES!$J$5:$J$226,0)-1,0),0)</f>
        <v>211020201</v>
      </c>
      <c r="AB381" s="9" t="s">
        <v>553</v>
      </c>
      <c r="AC381" s="9">
        <v>17</v>
      </c>
      <c r="AE381" s="9">
        <v>34000</v>
      </c>
      <c r="AG381" s="56">
        <f t="shared" si="119"/>
        <v>17850</v>
      </c>
      <c r="AH381" s="10">
        <f t="shared" si="121"/>
        <v>32550</v>
      </c>
      <c r="AJ381" s="11">
        <f t="shared" si="118"/>
        <v>85</v>
      </c>
      <c r="AK381" s="10">
        <v>85</v>
      </c>
      <c r="AL381" s="11">
        <f t="shared" si="115"/>
        <v>850</v>
      </c>
      <c r="AM381" s="10">
        <v>850</v>
      </c>
      <c r="AN381" s="11">
        <f t="shared" si="115"/>
        <v>850</v>
      </c>
      <c r="AO381" s="10">
        <v>850</v>
      </c>
      <c r="AP381" s="56">
        <f t="shared" si="120"/>
        <v>2</v>
      </c>
      <c r="AR381" s="11">
        <f ca="1">IFERROR(OFFSET(ITEM_RES!$A$1,MATCH(AS381,ITEM_RES!$J:$J,0)-1,0),0)</f>
        <v>211010601</v>
      </c>
      <c r="AS381" s="10" t="s">
        <v>462</v>
      </c>
      <c r="AT381" s="11">
        <v>4250</v>
      </c>
      <c r="AW381" s="11">
        <f ca="1">IFERROR(OFFSET(ITEM_RES!$A$1,MATCH(AX381,ITEM_RES!$J:$J,0)-1,0),0)</f>
        <v>211020101</v>
      </c>
      <c r="AX381" s="10" t="s">
        <v>471</v>
      </c>
      <c r="AY381" s="11">
        <v>4250</v>
      </c>
      <c r="BB381" s="11">
        <f ca="1">IFERROR(OFFSET(ITEM_RES!$A$1,MATCH(BC381,ITEM_RES!$J:$J,0)-1,0),0)</f>
        <v>0</v>
      </c>
      <c r="BG381" s="11">
        <f ca="1">IFERROR(OFFSET(ITEM_RES!$A$1,MATCH(BH381,ITEM_RES!$J:$J,0)-1,0),0)</f>
        <v>0</v>
      </c>
      <c r="BL381" s="11">
        <f ca="1">IFERROR(OFFSET(ITEM_RES!$A$1,MATCH(BM381,ITEM_RES!$J:$J,0)-1,0),0)</f>
        <v>0</v>
      </c>
    </row>
    <row r="382" spans="1:64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377</v>
      </c>
      <c r="L382" s="9" t="s">
        <v>991</v>
      </c>
      <c r="M382" s="9" t="s">
        <v>1010</v>
      </c>
      <c r="N382" s="9">
        <v>0</v>
      </c>
      <c r="O382" s="9">
        <v>15</v>
      </c>
      <c r="P382" s="9" t="s">
        <v>812</v>
      </c>
      <c r="T382" s="9" t="s">
        <v>753</v>
      </c>
      <c r="W382" s="9">
        <f ca="1">IFERROR(OFFSET(ITEM_RES!$A$5,MATCH(BUILDING!V382,ITEM_RES!$J$5:$J$226,0)-1,0),0)</f>
        <v>0</v>
      </c>
      <c r="Y382" s="85" t="s">
        <v>575</v>
      </c>
      <c r="Z382" s="9">
        <f ca="1">IFERROR(OFFSET(ITEM_RES!$A$5,MATCH(BUILDING!Y382,ITEM_RES!$J$5:$J$226,0)-1,0),0)</f>
        <v>211020201</v>
      </c>
      <c r="AB382" s="9" t="s">
        <v>553</v>
      </c>
      <c r="AC382" s="9">
        <v>18</v>
      </c>
      <c r="AE382" s="9">
        <v>42000</v>
      </c>
      <c r="AG382" s="56">
        <f t="shared" si="119"/>
        <v>22050</v>
      </c>
      <c r="AH382" s="10">
        <f t="shared" si="121"/>
        <v>39900</v>
      </c>
      <c r="AJ382" s="11">
        <f t="shared" si="118"/>
        <v>90</v>
      </c>
      <c r="AK382" s="10">
        <v>90</v>
      </c>
      <c r="AL382" s="11">
        <f t="shared" si="115"/>
        <v>1050</v>
      </c>
      <c r="AM382" s="10">
        <v>1050</v>
      </c>
      <c r="AN382" s="11">
        <f t="shared" si="115"/>
        <v>1050</v>
      </c>
      <c r="AO382" s="10">
        <v>1050</v>
      </c>
      <c r="AP382" s="56">
        <f t="shared" si="120"/>
        <v>2</v>
      </c>
      <c r="AR382" s="11">
        <f ca="1">IFERROR(OFFSET(ITEM_RES!$A$1,MATCH(AS382,ITEM_RES!$J:$J,0)-1,0),0)</f>
        <v>211010601</v>
      </c>
      <c r="AS382" s="10" t="s">
        <v>462</v>
      </c>
      <c r="AT382" s="11">
        <v>5250</v>
      </c>
      <c r="AW382" s="11">
        <f ca="1">IFERROR(OFFSET(ITEM_RES!$A$1,MATCH(AX382,ITEM_RES!$J:$J,0)-1,0),0)</f>
        <v>211020101</v>
      </c>
      <c r="AX382" s="10" t="s">
        <v>471</v>
      </c>
      <c r="AY382" s="11">
        <v>5250</v>
      </c>
      <c r="BB382" s="11">
        <f ca="1">IFERROR(OFFSET(ITEM_RES!$A$1,MATCH(BC382,ITEM_RES!$J:$J,0)-1,0),0)</f>
        <v>0</v>
      </c>
      <c r="BG382" s="11">
        <f ca="1">IFERROR(OFFSET(ITEM_RES!$A$1,MATCH(BH382,ITEM_RES!$J:$J,0)-1,0),0)</f>
        <v>0</v>
      </c>
      <c r="BL382" s="11">
        <f ca="1">IFERROR(OFFSET(ITEM_RES!$A$1,MATCH(BM382,ITEM_RES!$J:$J,0)-1,0),0)</f>
        <v>0</v>
      </c>
    </row>
    <row r="383" spans="1:64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377</v>
      </c>
      <c r="L383" s="9" t="s">
        <v>991</v>
      </c>
      <c r="M383" s="9" t="s">
        <v>1010</v>
      </c>
      <c r="N383" s="9">
        <v>0</v>
      </c>
      <c r="O383" s="9">
        <v>15</v>
      </c>
      <c r="P383" s="9" t="s">
        <v>812</v>
      </c>
      <c r="T383" s="9" t="s">
        <v>753</v>
      </c>
      <c r="W383" s="9">
        <f ca="1">IFERROR(OFFSET(ITEM_RES!$A$5,MATCH(BUILDING!V383,ITEM_RES!$J$5:$J$226,0)-1,0),0)</f>
        <v>0</v>
      </c>
      <c r="Y383" s="85" t="s">
        <v>575</v>
      </c>
      <c r="Z383" s="9">
        <f ca="1">IFERROR(OFFSET(ITEM_RES!$A$5,MATCH(BUILDING!Y383,ITEM_RES!$J$5:$J$226,0)-1,0),0)</f>
        <v>211020201</v>
      </c>
      <c r="AB383" s="9" t="s">
        <v>553</v>
      </c>
      <c r="AC383" s="9">
        <v>19</v>
      </c>
      <c r="AE383" s="9">
        <v>50000</v>
      </c>
      <c r="AG383" s="56">
        <f t="shared" si="119"/>
        <v>26250</v>
      </c>
      <c r="AH383" s="10">
        <f t="shared" si="121"/>
        <v>48300</v>
      </c>
      <c r="AJ383" s="11">
        <f t="shared" si="118"/>
        <v>95</v>
      </c>
      <c r="AK383" s="10">
        <v>95</v>
      </c>
      <c r="AL383" s="11">
        <f t="shared" si="115"/>
        <v>1250</v>
      </c>
      <c r="AM383" s="10">
        <v>1250</v>
      </c>
      <c r="AN383" s="11">
        <f t="shared" si="115"/>
        <v>1250</v>
      </c>
      <c r="AO383" s="10">
        <v>1250</v>
      </c>
      <c r="AP383" s="56">
        <f t="shared" si="120"/>
        <v>2</v>
      </c>
      <c r="AR383" s="11">
        <f ca="1">IFERROR(OFFSET(ITEM_RES!$A$1,MATCH(AS383,ITEM_RES!$J:$J,0)-1,0),0)</f>
        <v>211010601</v>
      </c>
      <c r="AS383" s="10" t="s">
        <v>462</v>
      </c>
      <c r="AT383" s="11">
        <v>6250</v>
      </c>
      <c r="AW383" s="11">
        <f ca="1">IFERROR(OFFSET(ITEM_RES!$A$1,MATCH(AX383,ITEM_RES!$J:$J,0)-1,0),0)</f>
        <v>211020101</v>
      </c>
      <c r="AX383" s="10" t="s">
        <v>471</v>
      </c>
      <c r="AY383" s="11">
        <v>6250</v>
      </c>
      <c r="BB383" s="11">
        <f ca="1">IFERROR(OFFSET(ITEM_RES!$A$1,MATCH(BC383,ITEM_RES!$J:$J,0)-1,0),0)</f>
        <v>0</v>
      </c>
      <c r="BG383" s="11">
        <f ca="1">IFERROR(OFFSET(ITEM_RES!$A$1,MATCH(BH383,ITEM_RES!$J:$J,0)-1,0),0)</f>
        <v>0</v>
      </c>
      <c r="BL383" s="11">
        <f ca="1">IFERROR(OFFSET(ITEM_RES!$A$1,MATCH(BM383,ITEM_RES!$J:$J,0)-1,0),0)</f>
        <v>0</v>
      </c>
    </row>
    <row r="384" spans="1:64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377</v>
      </c>
      <c r="L384" s="9" t="s">
        <v>991</v>
      </c>
      <c r="M384" s="9" t="s">
        <v>1010</v>
      </c>
      <c r="N384" s="9">
        <v>0</v>
      </c>
      <c r="O384" s="9">
        <v>15</v>
      </c>
      <c r="P384" s="9" t="s">
        <v>812</v>
      </c>
      <c r="T384" s="9" t="s">
        <v>753</v>
      </c>
      <c r="W384" s="9">
        <f ca="1">IFERROR(OFFSET(ITEM_RES!$A$5,MATCH(BUILDING!V384,ITEM_RES!$J$5:$J$226,0)-1,0),0)</f>
        <v>0</v>
      </c>
      <c r="Y384" s="85" t="s">
        <v>575</v>
      </c>
      <c r="Z384" s="9">
        <f ca="1">IFERROR(OFFSET(ITEM_RES!$A$5,MATCH(BUILDING!Y384,ITEM_RES!$J$5:$J$226,0)-1,0),0)</f>
        <v>211020201</v>
      </c>
      <c r="AB384" s="9" t="s">
        <v>553</v>
      </c>
      <c r="AC384" s="9">
        <v>20</v>
      </c>
      <c r="AE384" s="9">
        <v>60000</v>
      </c>
      <c r="AG384" s="56">
        <f t="shared" si="119"/>
        <v>31500</v>
      </c>
      <c r="AH384" s="10">
        <f t="shared" si="121"/>
        <v>57750</v>
      </c>
      <c r="AJ384" s="11">
        <f t="shared" si="118"/>
        <v>100</v>
      </c>
      <c r="AK384" s="10">
        <v>100</v>
      </c>
      <c r="AL384" s="11">
        <f t="shared" si="115"/>
        <v>1500</v>
      </c>
      <c r="AM384" s="10">
        <v>1500</v>
      </c>
      <c r="AN384" s="11">
        <f t="shared" si="115"/>
        <v>1500</v>
      </c>
      <c r="AO384" s="10">
        <v>1500</v>
      </c>
      <c r="AP384" s="56">
        <f t="shared" si="120"/>
        <v>2</v>
      </c>
      <c r="AR384" s="11">
        <f ca="1">IFERROR(OFFSET(ITEM_RES!$A$1,MATCH(AS384,ITEM_RES!$J:$J,0)-1,0),0)</f>
        <v>211010601</v>
      </c>
      <c r="AS384" s="10" t="s">
        <v>462</v>
      </c>
      <c r="AT384" s="11">
        <v>7500</v>
      </c>
      <c r="AW384" s="11">
        <f ca="1">IFERROR(OFFSET(ITEM_RES!$A$1,MATCH(AX384,ITEM_RES!$J:$J,0)-1,0),0)</f>
        <v>211020101</v>
      </c>
      <c r="AX384" s="10" t="s">
        <v>471</v>
      </c>
      <c r="AY384" s="11">
        <v>7500</v>
      </c>
      <c r="BB384" s="11">
        <f ca="1">IFERROR(OFFSET(ITEM_RES!$A$1,MATCH(BC384,ITEM_RES!$J:$J,0)-1,0),0)</f>
        <v>0</v>
      </c>
      <c r="BG384" s="11">
        <f ca="1">IFERROR(OFFSET(ITEM_RES!$A$1,MATCH(BH384,ITEM_RES!$J:$J,0)-1,0),0)</f>
        <v>0</v>
      </c>
      <c r="BL384" s="11">
        <f ca="1">IFERROR(OFFSET(ITEM_RES!$A$1,MATCH(BM384,ITEM_RES!$J:$J,0)-1,0),0)</f>
        <v>0</v>
      </c>
    </row>
    <row r="385" spans="1:67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79"/>
      <c r="H385" s="16">
        <v>2</v>
      </c>
      <c r="I385" s="16">
        <v>1</v>
      </c>
      <c r="J385" s="79"/>
      <c r="K385" s="16" t="s">
        <v>439</v>
      </c>
      <c r="L385" s="16" t="s">
        <v>992</v>
      </c>
      <c r="M385" s="16" t="s">
        <v>1011</v>
      </c>
      <c r="N385" s="16">
        <v>1</v>
      </c>
      <c r="O385" s="16">
        <v>15</v>
      </c>
      <c r="P385" s="16"/>
      <c r="Q385" s="17"/>
      <c r="R385" s="17"/>
      <c r="S385" s="18"/>
      <c r="T385" s="16" t="s">
        <v>752</v>
      </c>
      <c r="U385" s="79"/>
      <c r="V385" s="87" t="s">
        <v>581</v>
      </c>
      <c r="W385" s="16">
        <f ca="1">IFERROR(OFFSET(ITEM_RES!$A$5,MATCH(BUILDING!V385,ITEM_RES!$J$5:$J$226,0)-1,0),0)</f>
        <v>211020401</v>
      </c>
      <c r="X385" s="18">
        <v>1</v>
      </c>
      <c r="Y385" s="87" t="s">
        <v>576</v>
      </c>
      <c r="Z385" s="16">
        <f ca="1">IFERROR(OFFSET(ITEM_RES!$A$5,MATCH(BUILDING!Y385,ITEM_RES!$J$5:$J$226,0)-1,0),0)</f>
        <v>211020501</v>
      </c>
      <c r="AA385" s="79"/>
      <c r="AB385" s="16" t="s">
        <v>554</v>
      </c>
      <c r="AC385" s="16">
        <v>1</v>
      </c>
      <c r="AD385" s="79"/>
      <c r="AE385" s="16">
        <v>0</v>
      </c>
      <c r="AF385" s="79"/>
      <c r="AG385" s="57">
        <f t="shared" si="119"/>
        <v>605</v>
      </c>
      <c r="AH385" s="17">
        <f>AG385</f>
        <v>605</v>
      </c>
      <c r="AI385" s="79"/>
      <c r="AJ385" s="18">
        <f t="shared" si="118"/>
        <v>5</v>
      </c>
      <c r="AK385" s="17">
        <v>5</v>
      </c>
      <c r="AL385" s="18">
        <f t="shared" ref="AL385:AN429" si="125">ROUND(AM385,0)</f>
        <v>5</v>
      </c>
      <c r="AM385" s="17">
        <v>5</v>
      </c>
      <c r="AN385" s="18">
        <f t="shared" si="125"/>
        <v>5</v>
      </c>
      <c r="AO385" s="17">
        <v>5</v>
      </c>
      <c r="AP385" s="57">
        <f t="shared" si="120"/>
        <v>3</v>
      </c>
      <c r="AQ385" s="18"/>
      <c r="AR385" s="18">
        <f ca="1">IFERROR(OFFSET(ITEM_RES!$A$1,MATCH(AS385,ITEM_RES!$J:$J,0)-1,0),0)</f>
        <v>211020401</v>
      </c>
      <c r="AS385" s="17" t="s">
        <v>455</v>
      </c>
      <c r="AT385" s="18">
        <v>25</v>
      </c>
      <c r="AU385" s="17"/>
      <c r="AV385" s="18"/>
      <c r="AW385" s="18">
        <f ca="1">IFERROR(OFFSET(ITEM_RES!$A$1,MATCH(AX385,ITEM_RES!$J:$J,0)-1,0),0)</f>
        <v>211020801</v>
      </c>
      <c r="AX385" s="17" t="s">
        <v>456</v>
      </c>
      <c r="AY385" s="18">
        <v>25</v>
      </c>
      <c r="AZ385" s="17"/>
      <c r="BA385" s="18"/>
      <c r="BB385" s="18">
        <f ca="1">IFERROR(OFFSET(ITEM_RES!$A$1,MATCH(BC385,ITEM_RES!$J:$J,0)-1,0),0)</f>
        <v>213010101</v>
      </c>
      <c r="BC385" s="17" t="s">
        <v>477</v>
      </c>
      <c r="BD385" s="18">
        <v>1</v>
      </c>
      <c r="BE385" s="17"/>
      <c r="BF385" s="18"/>
      <c r="BG385" s="18">
        <f ca="1">IFERROR(OFFSET(ITEM_RES!$A$1,MATCH(BH385,ITEM_RES!$J:$J,0)-1,0),0)</f>
        <v>0</v>
      </c>
      <c r="BH385" s="17"/>
      <c r="BI385" s="18"/>
      <c r="BJ385" s="17"/>
      <c r="BK385" s="18"/>
      <c r="BL385" s="18">
        <f ca="1">IFERROR(OFFSET(ITEM_RES!$A$1,MATCH(BM385,ITEM_RES!$J:$J,0)-1,0),0)</f>
        <v>0</v>
      </c>
      <c r="BM385" s="17"/>
      <c r="BN385" s="18"/>
      <c r="BO385" s="17"/>
    </row>
    <row r="386" spans="1:67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439</v>
      </c>
      <c r="L386" s="9" t="s">
        <v>992</v>
      </c>
      <c r="M386" s="9" t="s">
        <v>1011</v>
      </c>
      <c r="N386" s="9">
        <v>1</v>
      </c>
      <c r="O386" s="9">
        <v>15</v>
      </c>
      <c r="T386" s="9" t="s">
        <v>752</v>
      </c>
      <c r="V386" s="85" t="s">
        <v>581</v>
      </c>
      <c r="W386" s="9">
        <f ca="1">IFERROR(OFFSET(ITEM_RES!$A$5,MATCH(BUILDING!V386,ITEM_RES!$J$5:$J$226,0)-1,0),0)</f>
        <v>211020401</v>
      </c>
      <c r="X386" s="11">
        <v>1</v>
      </c>
      <c r="Y386" s="85" t="s">
        <v>576</v>
      </c>
      <c r="Z386" s="9">
        <f ca="1">IFERROR(OFFSET(ITEM_RES!$A$5,MATCH(BUILDING!Y386,ITEM_RES!$J$5:$J$226,0)-1,0),0)</f>
        <v>211020501</v>
      </c>
      <c r="AB386" s="9" t="s">
        <v>554</v>
      </c>
      <c r="AC386" s="9">
        <v>2</v>
      </c>
      <c r="AE386" s="9">
        <v>200</v>
      </c>
      <c r="AG386" s="56">
        <f t="shared" si="119"/>
        <v>210</v>
      </c>
      <c r="AH386" s="10">
        <f>AG385+AG386</f>
        <v>815</v>
      </c>
      <c r="AJ386" s="11">
        <f t="shared" si="118"/>
        <v>10</v>
      </c>
      <c r="AK386" s="10">
        <v>10</v>
      </c>
      <c r="AL386" s="11">
        <f t="shared" si="125"/>
        <v>10</v>
      </c>
      <c r="AM386" s="10">
        <v>10</v>
      </c>
      <c r="AN386" s="11">
        <f t="shared" si="125"/>
        <v>10</v>
      </c>
      <c r="AO386" s="10">
        <v>10</v>
      </c>
      <c r="AP386" s="56">
        <f t="shared" si="120"/>
        <v>2</v>
      </c>
      <c r="AR386" s="11">
        <f ca="1">IFERROR(OFFSET(ITEM_RES!$A$1,MATCH(AS386,ITEM_RES!$J:$J,0)-1,0),0)</f>
        <v>211020401</v>
      </c>
      <c r="AS386" s="10" t="s">
        <v>455</v>
      </c>
      <c r="AT386" s="11">
        <v>50</v>
      </c>
      <c r="AW386" s="11">
        <f ca="1">IFERROR(OFFSET(ITEM_RES!$A$1,MATCH(AX386,ITEM_RES!$J:$J,0)-1,0),0)</f>
        <v>211020801</v>
      </c>
      <c r="AX386" s="10" t="s">
        <v>456</v>
      </c>
      <c r="AY386" s="11">
        <v>50</v>
      </c>
      <c r="BB386" s="11">
        <f ca="1">IFERROR(OFFSET(ITEM_RES!$A$1,MATCH(BC386,ITEM_RES!$J:$J,0)-1,0),0)</f>
        <v>0</v>
      </c>
      <c r="BG386" s="11">
        <f ca="1">IFERROR(OFFSET(ITEM_RES!$A$1,MATCH(BH386,ITEM_RES!$J:$J,0)-1,0),0)</f>
        <v>0</v>
      </c>
      <c r="BL386" s="11">
        <f ca="1">IFERROR(OFFSET(ITEM_RES!$A$1,MATCH(BM386,ITEM_RES!$J:$J,0)-1,0),0)</f>
        <v>0</v>
      </c>
    </row>
    <row r="387" spans="1:67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439</v>
      </c>
      <c r="L387" s="9" t="s">
        <v>992</v>
      </c>
      <c r="M387" s="9" t="s">
        <v>1011</v>
      </c>
      <c r="N387" s="9">
        <v>1</v>
      </c>
      <c r="O387" s="9">
        <v>15</v>
      </c>
      <c r="T387" s="9" t="s">
        <v>752</v>
      </c>
      <c r="V387" s="85" t="s">
        <v>581</v>
      </c>
      <c r="W387" s="9">
        <f ca="1">IFERROR(OFFSET(ITEM_RES!$A$5,MATCH(BUILDING!V387,ITEM_RES!$J$5:$J$226,0)-1,0),0)</f>
        <v>211020401</v>
      </c>
      <c r="X387" s="11">
        <v>1</v>
      </c>
      <c r="Y387" s="85" t="s">
        <v>576</v>
      </c>
      <c r="Z387" s="9">
        <f ca="1">IFERROR(OFFSET(ITEM_RES!$A$5,MATCH(BUILDING!Y387,ITEM_RES!$J$5:$J$226,0)-1,0),0)</f>
        <v>211020501</v>
      </c>
      <c r="AB387" s="9" t="s">
        <v>554</v>
      </c>
      <c r="AC387" s="9">
        <v>3</v>
      </c>
      <c r="AE387" s="9">
        <v>600</v>
      </c>
      <c r="AG387" s="56">
        <f t="shared" si="119"/>
        <v>315</v>
      </c>
      <c r="AH387" s="10">
        <f t="shared" ref="AH387:AH404" si="126">AG386+AG387</f>
        <v>525</v>
      </c>
      <c r="AJ387" s="11">
        <f t="shared" si="118"/>
        <v>15</v>
      </c>
      <c r="AK387" s="10">
        <v>15</v>
      </c>
      <c r="AL387" s="11">
        <f t="shared" si="125"/>
        <v>15</v>
      </c>
      <c r="AM387" s="10">
        <v>15</v>
      </c>
      <c r="AN387" s="11">
        <f t="shared" si="125"/>
        <v>15</v>
      </c>
      <c r="AO387" s="10">
        <v>15</v>
      </c>
      <c r="AP387" s="56">
        <f t="shared" si="120"/>
        <v>2</v>
      </c>
      <c r="AR387" s="11">
        <f ca="1">IFERROR(OFFSET(ITEM_RES!$A$1,MATCH(AS387,ITEM_RES!$J:$J,0)-1,0),0)</f>
        <v>211020401</v>
      </c>
      <c r="AS387" s="10" t="s">
        <v>455</v>
      </c>
      <c r="AT387" s="11">
        <v>75</v>
      </c>
      <c r="AW387" s="11">
        <f ca="1">IFERROR(OFFSET(ITEM_RES!$A$1,MATCH(AX387,ITEM_RES!$J:$J,0)-1,0),0)</f>
        <v>211020801</v>
      </c>
      <c r="AX387" s="10" t="s">
        <v>456</v>
      </c>
      <c r="AY387" s="11">
        <v>75</v>
      </c>
      <c r="BB387" s="11">
        <f ca="1">IFERROR(OFFSET(ITEM_RES!$A$1,MATCH(BC387,ITEM_RES!$J:$J,0)-1,0),0)</f>
        <v>0</v>
      </c>
      <c r="BG387" s="11">
        <f ca="1">IFERROR(OFFSET(ITEM_RES!$A$1,MATCH(BH387,ITEM_RES!$J:$J,0)-1,0),0)</f>
        <v>0</v>
      </c>
      <c r="BL387" s="11">
        <f ca="1">IFERROR(OFFSET(ITEM_RES!$A$1,MATCH(BM387,ITEM_RES!$J:$J,0)-1,0),0)</f>
        <v>0</v>
      </c>
    </row>
    <row r="388" spans="1:67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439</v>
      </c>
      <c r="L388" s="9" t="s">
        <v>992</v>
      </c>
      <c r="M388" s="9" t="s">
        <v>1011</v>
      </c>
      <c r="N388" s="9">
        <v>1</v>
      </c>
      <c r="O388" s="9">
        <v>15</v>
      </c>
      <c r="T388" s="9" t="s">
        <v>752</v>
      </c>
      <c r="V388" s="85" t="s">
        <v>581</v>
      </c>
      <c r="W388" s="9">
        <f ca="1">IFERROR(OFFSET(ITEM_RES!$A$5,MATCH(BUILDING!V388,ITEM_RES!$J$5:$J$226,0)-1,0),0)</f>
        <v>211020401</v>
      </c>
      <c r="X388" s="11">
        <v>1</v>
      </c>
      <c r="Y388" s="85" t="s">
        <v>576</v>
      </c>
      <c r="Z388" s="9">
        <f ca="1">IFERROR(OFFSET(ITEM_RES!$A$5,MATCH(BUILDING!Y388,ITEM_RES!$J$5:$J$226,0)-1,0),0)</f>
        <v>211020501</v>
      </c>
      <c r="AB388" s="9" t="s">
        <v>554</v>
      </c>
      <c r="AC388" s="9">
        <v>4</v>
      </c>
      <c r="AE388" s="9">
        <v>1000</v>
      </c>
      <c r="AG388" s="56">
        <f t="shared" si="119"/>
        <v>525</v>
      </c>
      <c r="AH388" s="10">
        <f t="shared" si="126"/>
        <v>840</v>
      </c>
      <c r="AJ388" s="11">
        <f t="shared" si="118"/>
        <v>20</v>
      </c>
      <c r="AK388" s="10">
        <v>20</v>
      </c>
      <c r="AL388" s="11">
        <f t="shared" si="125"/>
        <v>25</v>
      </c>
      <c r="AM388" s="10">
        <v>25</v>
      </c>
      <c r="AN388" s="11">
        <f t="shared" si="125"/>
        <v>25</v>
      </c>
      <c r="AO388" s="10">
        <v>25</v>
      </c>
      <c r="AP388" s="56">
        <f t="shared" si="120"/>
        <v>2</v>
      </c>
      <c r="AR388" s="11">
        <f ca="1">IFERROR(OFFSET(ITEM_RES!$A$1,MATCH(AS388,ITEM_RES!$J:$J,0)-1,0),0)</f>
        <v>211020401</v>
      </c>
      <c r="AS388" s="10" t="s">
        <v>455</v>
      </c>
      <c r="AT388" s="11">
        <v>125</v>
      </c>
      <c r="AW388" s="11">
        <f ca="1">IFERROR(OFFSET(ITEM_RES!$A$1,MATCH(AX388,ITEM_RES!$J:$J,0)-1,0),0)</f>
        <v>211020801</v>
      </c>
      <c r="AX388" s="10" t="s">
        <v>456</v>
      </c>
      <c r="AY388" s="11">
        <v>125</v>
      </c>
      <c r="BB388" s="11">
        <f ca="1">IFERROR(OFFSET(ITEM_RES!$A$1,MATCH(BC388,ITEM_RES!$J:$J,0)-1,0),0)</f>
        <v>0</v>
      </c>
      <c r="BG388" s="11">
        <f ca="1">IFERROR(OFFSET(ITEM_RES!$A$1,MATCH(BH388,ITEM_RES!$J:$J,0)-1,0),0)</f>
        <v>0</v>
      </c>
      <c r="BL388" s="11">
        <f ca="1">IFERROR(OFFSET(ITEM_RES!$A$1,MATCH(BM388,ITEM_RES!$J:$J,0)-1,0),0)</f>
        <v>0</v>
      </c>
    </row>
    <row r="389" spans="1:67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439</v>
      </c>
      <c r="L389" s="9" t="s">
        <v>992</v>
      </c>
      <c r="M389" s="9" t="s">
        <v>1011</v>
      </c>
      <c r="N389" s="9">
        <v>1</v>
      </c>
      <c r="O389" s="9">
        <v>15</v>
      </c>
      <c r="T389" s="9" t="s">
        <v>752</v>
      </c>
      <c r="V389" s="85" t="s">
        <v>581</v>
      </c>
      <c r="W389" s="9">
        <f ca="1">IFERROR(OFFSET(ITEM_RES!$A$5,MATCH(BUILDING!V389,ITEM_RES!$J$5:$J$226,0)-1,0),0)</f>
        <v>211020401</v>
      </c>
      <c r="X389" s="11">
        <v>1</v>
      </c>
      <c r="Y389" s="85" t="s">
        <v>576</v>
      </c>
      <c r="Z389" s="9">
        <f ca="1">IFERROR(OFFSET(ITEM_RES!$A$5,MATCH(BUILDING!Y389,ITEM_RES!$J$5:$J$226,0)-1,0),0)</f>
        <v>211020501</v>
      </c>
      <c r="AB389" s="9" t="s">
        <v>554</v>
      </c>
      <c r="AC389" s="9">
        <v>5</v>
      </c>
      <c r="AE389" s="9">
        <v>1600</v>
      </c>
      <c r="AG389" s="56">
        <f t="shared" si="119"/>
        <v>840</v>
      </c>
      <c r="AH389" s="10">
        <f t="shared" si="126"/>
        <v>1365</v>
      </c>
      <c r="AJ389" s="11">
        <f t="shared" si="118"/>
        <v>25</v>
      </c>
      <c r="AK389" s="10">
        <v>25</v>
      </c>
      <c r="AL389" s="11">
        <f t="shared" si="125"/>
        <v>40</v>
      </c>
      <c r="AM389" s="10">
        <v>40</v>
      </c>
      <c r="AN389" s="11">
        <f t="shared" si="125"/>
        <v>40</v>
      </c>
      <c r="AO389" s="10">
        <v>40</v>
      </c>
      <c r="AP389" s="56">
        <f t="shared" si="120"/>
        <v>2</v>
      </c>
      <c r="AR389" s="11">
        <f ca="1">IFERROR(OFFSET(ITEM_RES!$A$1,MATCH(AS389,ITEM_RES!$J:$J,0)-1,0),0)</f>
        <v>211020401</v>
      </c>
      <c r="AS389" s="10" t="s">
        <v>455</v>
      </c>
      <c r="AT389" s="11">
        <v>200</v>
      </c>
      <c r="AW389" s="11">
        <f ca="1">IFERROR(OFFSET(ITEM_RES!$A$1,MATCH(AX389,ITEM_RES!$J:$J,0)-1,0),0)</f>
        <v>211020801</v>
      </c>
      <c r="AX389" s="10" t="s">
        <v>456</v>
      </c>
      <c r="AY389" s="11">
        <v>200</v>
      </c>
      <c r="BB389" s="11">
        <f ca="1">IFERROR(OFFSET(ITEM_RES!$A$1,MATCH(BC389,ITEM_RES!$J:$J,0)-1,0),0)</f>
        <v>0</v>
      </c>
      <c r="BG389" s="11">
        <f ca="1">IFERROR(OFFSET(ITEM_RES!$A$1,MATCH(BH389,ITEM_RES!$J:$J,0)-1,0),0)</f>
        <v>0</v>
      </c>
      <c r="BL389" s="11">
        <f ca="1">IFERROR(OFFSET(ITEM_RES!$A$1,MATCH(BM389,ITEM_RES!$J:$J,0)-1,0),0)</f>
        <v>0</v>
      </c>
    </row>
    <row r="390" spans="1:67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439</v>
      </c>
      <c r="L390" s="9" t="s">
        <v>992</v>
      </c>
      <c r="M390" s="9" t="s">
        <v>1011</v>
      </c>
      <c r="N390" s="9">
        <v>1</v>
      </c>
      <c r="O390" s="9">
        <v>15</v>
      </c>
      <c r="T390" s="9" t="s">
        <v>752</v>
      </c>
      <c r="V390" s="85" t="s">
        <v>581</v>
      </c>
      <c r="W390" s="9">
        <f ca="1">IFERROR(OFFSET(ITEM_RES!$A$5,MATCH(BUILDING!V390,ITEM_RES!$J$5:$J$226,0)-1,0),0)</f>
        <v>211020401</v>
      </c>
      <c r="X390" s="11">
        <v>1</v>
      </c>
      <c r="Y390" s="85" t="s">
        <v>576</v>
      </c>
      <c r="Z390" s="9">
        <f ca="1">IFERROR(OFFSET(ITEM_RES!$A$5,MATCH(BUILDING!Y390,ITEM_RES!$J$5:$J$226,0)-1,0),0)</f>
        <v>211020501</v>
      </c>
      <c r="AB390" s="9" t="s">
        <v>554</v>
      </c>
      <c r="AC390" s="9">
        <v>6</v>
      </c>
      <c r="AE390" s="9">
        <v>2000</v>
      </c>
      <c r="AG390" s="56">
        <f t="shared" si="119"/>
        <v>1550</v>
      </c>
      <c r="AH390" s="10">
        <f t="shared" si="126"/>
        <v>2390</v>
      </c>
      <c r="AJ390" s="11">
        <f t="shared" si="118"/>
        <v>30</v>
      </c>
      <c r="AK390" s="10">
        <v>30</v>
      </c>
      <c r="AL390" s="11">
        <f t="shared" si="125"/>
        <v>50</v>
      </c>
      <c r="AM390" s="10">
        <v>50</v>
      </c>
      <c r="AN390" s="11">
        <f t="shared" si="125"/>
        <v>50</v>
      </c>
      <c r="AO390" s="10">
        <v>50</v>
      </c>
      <c r="AP390" s="56">
        <f t="shared" si="120"/>
        <v>3</v>
      </c>
      <c r="AR390" s="11">
        <f ca="1">IFERROR(OFFSET(ITEM_RES!$A$1,MATCH(AS390,ITEM_RES!$J:$J,0)-1,0),0)</f>
        <v>211020401</v>
      </c>
      <c r="AS390" s="10" t="s">
        <v>455</v>
      </c>
      <c r="AT390" s="11">
        <v>250</v>
      </c>
      <c r="AW390" s="11">
        <f ca="1">IFERROR(OFFSET(ITEM_RES!$A$1,MATCH(AX390,ITEM_RES!$J:$J,0)-1,0),0)</f>
        <v>211020801</v>
      </c>
      <c r="AX390" s="10" t="s">
        <v>456</v>
      </c>
      <c r="AY390" s="11">
        <v>250</v>
      </c>
      <c r="BB390" s="11">
        <f ca="1">IFERROR(OFFSET(ITEM_RES!$A$1,MATCH(BC390,ITEM_RES!$J:$J,0)-1,0),0)</f>
        <v>0</v>
      </c>
      <c r="BG390" s="11">
        <f ca="1">IFERROR(OFFSET(ITEM_RES!$A$1,MATCH(BH390,ITEM_RES!$J:$J,0)-1,0),0)</f>
        <v>213011301</v>
      </c>
      <c r="BH390" s="10" t="s">
        <v>494</v>
      </c>
      <c r="BI390" s="11">
        <v>1</v>
      </c>
      <c r="BL390" s="11">
        <f ca="1">IFERROR(OFFSET(ITEM_RES!$A$1,MATCH(BM390,ITEM_RES!$J:$J,0)-1,0),0)</f>
        <v>0</v>
      </c>
    </row>
    <row r="391" spans="1:67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439</v>
      </c>
      <c r="L391" s="9" t="s">
        <v>992</v>
      </c>
      <c r="M391" s="9" t="s">
        <v>1011</v>
      </c>
      <c r="N391" s="9">
        <v>1</v>
      </c>
      <c r="O391" s="9">
        <v>15</v>
      </c>
      <c r="T391" s="9" t="s">
        <v>752</v>
      </c>
      <c r="V391" s="85" t="s">
        <v>581</v>
      </c>
      <c r="W391" s="9">
        <f ca="1">IFERROR(OFFSET(ITEM_RES!$A$5,MATCH(BUILDING!V391,ITEM_RES!$J$5:$J$226,0)-1,0),0)</f>
        <v>211020401</v>
      </c>
      <c r="X391" s="11">
        <v>1</v>
      </c>
      <c r="Y391" s="85" t="s">
        <v>576</v>
      </c>
      <c r="Z391" s="9">
        <f ca="1">IFERROR(OFFSET(ITEM_RES!$A$5,MATCH(BUILDING!Y391,ITEM_RES!$J$5:$J$226,0)-1,0),0)</f>
        <v>211020501</v>
      </c>
      <c r="AB391" s="9" t="s">
        <v>554</v>
      </c>
      <c r="AC391" s="9">
        <v>7</v>
      </c>
      <c r="AE391" s="9">
        <v>4000</v>
      </c>
      <c r="AG391" s="56">
        <f t="shared" si="119"/>
        <v>2100</v>
      </c>
      <c r="AH391" s="10">
        <f t="shared" si="126"/>
        <v>3650</v>
      </c>
      <c r="AJ391" s="11">
        <f t="shared" si="118"/>
        <v>35</v>
      </c>
      <c r="AK391" s="10">
        <v>35</v>
      </c>
      <c r="AL391" s="11">
        <f t="shared" si="125"/>
        <v>100</v>
      </c>
      <c r="AM391" s="10">
        <v>100</v>
      </c>
      <c r="AN391" s="11">
        <f t="shared" si="125"/>
        <v>100</v>
      </c>
      <c r="AO391" s="10">
        <v>100</v>
      </c>
      <c r="AP391" s="56">
        <f t="shared" si="120"/>
        <v>2</v>
      </c>
      <c r="AR391" s="11">
        <f ca="1">IFERROR(OFFSET(ITEM_RES!$A$1,MATCH(AS391,ITEM_RES!$J:$J,0)-1,0),0)</f>
        <v>211020401</v>
      </c>
      <c r="AS391" s="10" t="s">
        <v>455</v>
      </c>
      <c r="AT391" s="11">
        <v>500</v>
      </c>
      <c r="AW391" s="11">
        <f ca="1">IFERROR(OFFSET(ITEM_RES!$A$1,MATCH(AX391,ITEM_RES!$J:$J,0)-1,0),0)</f>
        <v>211020801</v>
      </c>
      <c r="AX391" s="10" t="s">
        <v>456</v>
      </c>
      <c r="AY391" s="11">
        <v>500</v>
      </c>
      <c r="BB391" s="11">
        <f ca="1">IFERROR(OFFSET(ITEM_RES!$A$1,MATCH(BC391,ITEM_RES!$J:$J,0)-1,0),0)</f>
        <v>0</v>
      </c>
      <c r="BG391" s="11">
        <f ca="1">IFERROR(OFFSET(ITEM_RES!$A$1,MATCH(BH391,ITEM_RES!$J:$J,0)-1,0),0)</f>
        <v>0</v>
      </c>
      <c r="BL391" s="11">
        <f ca="1">IFERROR(OFFSET(ITEM_RES!$A$1,MATCH(BM391,ITEM_RES!$J:$J,0)-1,0),0)</f>
        <v>0</v>
      </c>
    </row>
    <row r="392" spans="1:67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439</v>
      </c>
      <c r="L392" s="9" t="s">
        <v>992</v>
      </c>
      <c r="M392" s="9" t="s">
        <v>1011</v>
      </c>
      <c r="N392" s="9">
        <v>1</v>
      </c>
      <c r="O392" s="9">
        <v>15</v>
      </c>
      <c r="T392" s="9" t="s">
        <v>752</v>
      </c>
      <c r="V392" s="85" t="s">
        <v>581</v>
      </c>
      <c r="W392" s="9">
        <f ca="1">IFERROR(OFFSET(ITEM_RES!$A$5,MATCH(BUILDING!V392,ITEM_RES!$J$5:$J$226,0)-1,0),0)</f>
        <v>211020401</v>
      </c>
      <c r="X392" s="11">
        <v>1</v>
      </c>
      <c r="Y392" s="85" t="s">
        <v>576</v>
      </c>
      <c r="Z392" s="9">
        <f ca="1">IFERROR(OFFSET(ITEM_RES!$A$5,MATCH(BUILDING!Y392,ITEM_RES!$J$5:$J$226,0)-1,0),0)</f>
        <v>211020501</v>
      </c>
      <c r="AB392" s="9" t="s">
        <v>554</v>
      </c>
      <c r="AC392" s="9">
        <v>8</v>
      </c>
      <c r="AE392" s="9">
        <v>4000</v>
      </c>
      <c r="AG392" s="56">
        <f t="shared" si="119"/>
        <v>2100</v>
      </c>
      <c r="AH392" s="10">
        <f t="shared" si="126"/>
        <v>4200</v>
      </c>
      <c r="AJ392" s="11">
        <f t="shared" si="118"/>
        <v>40</v>
      </c>
      <c r="AK392" s="10">
        <v>40</v>
      </c>
      <c r="AL392" s="11">
        <f t="shared" si="125"/>
        <v>100</v>
      </c>
      <c r="AM392" s="10">
        <v>100</v>
      </c>
      <c r="AN392" s="11">
        <f t="shared" si="125"/>
        <v>100</v>
      </c>
      <c r="AO392" s="10">
        <v>100</v>
      </c>
      <c r="AP392" s="56">
        <f t="shared" si="120"/>
        <v>2</v>
      </c>
      <c r="AR392" s="11">
        <f ca="1">IFERROR(OFFSET(ITEM_RES!$A$1,MATCH(AS392,ITEM_RES!$J:$J,0)-1,0),0)</f>
        <v>211020401</v>
      </c>
      <c r="AS392" s="10" t="s">
        <v>455</v>
      </c>
      <c r="AT392" s="11">
        <v>500</v>
      </c>
      <c r="AW392" s="11">
        <f ca="1">IFERROR(OFFSET(ITEM_RES!$A$1,MATCH(AX392,ITEM_RES!$J:$J,0)-1,0),0)</f>
        <v>211020801</v>
      </c>
      <c r="AX392" s="10" t="s">
        <v>456</v>
      </c>
      <c r="AY392" s="11">
        <v>500</v>
      </c>
      <c r="BB392" s="11">
        <f ca="1">IFERROR(OFFSET(ITEM_RES!$A$1,MATCH(BC392,ITEM_RES!$J:$J,0)-1,0),0)</f>
        <v>0</v>
      </c>
      <c r="BG392" s="11">
        <f ca="1">IFERROR(OFFSET(ITEM_RES!$A$1,MATCH(BH392,ITEM_RES!$J:$J,0)-1,0),0)</f>
        <v>0</v>
      </c>
      <c r="BL392" s="11">
        <f ca="1">IFERROR(OFFSET(ITEM_RES!$A$1,MATCH(BM392,ITEM_RES!$J:$J,0)-1,0),0)</f>
        <v>0</v>
      </c>
    </row>
    <row r="393" spans="1:67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439</v>
      </c>
      <c r="L393" s="9" t="s">
        <v>992</v>
      </c>
      <c r="M393" s="9" t="s">
        <v>1011</v>
      </c>
      <c r="N393" s="9">
        <v>1</v>
      </c>
      <c r="O393" s="9">
        <v>15</v>
      </c>
      <c r="T393" s="9" t="s">
        <v>752</v>
      </c>
      <c r="V393" s="85" t="s">
        <v>581</v>
      </c>
      <c r="W393" s="9">
        <f ca="1">IFERROR(OFFSET(ITEM_RES!$A$5,MATCH(BUILDING!V393,ITEM_RES!$J$5:$J$226,0)-1,0),0)</f>
        <v>211020401</v>
      </c>
      <c r="X393" s="11">
        <v>1</v>
      </c>
      <c r="Y393" s="85" t="s">
        <v>576</v>
      </c>
      <c r="Z393" s="9">
        <f ca="1">IFERROR(OFFSET(ITEM_RES!$A$5,MATCH(BUILDING!Y393,ITEM_RES!$J$5:$J$226,0)-1,0),0)</f>
        <v>211020501</v>
      </c>
      <c r="AB393" s="9" t="s">
        <v>554</v>
      </c>
      <c r="AC393" s="9">
        <v>9</v>
      </c>
      <c r="AE393" s="9">
        <v>6000</v>
      </c>
      <c r="AG393" s="56">
        <f t="shared" si="119"/>
        <v>3150</v>
      </c>
      <c r="AH393" s="10">
        <f t="shared" si="126"/>
        <v>5250</v>
      </c>
      <c r="AJ393" s="11">
        <f t="shared" si="118"/>
        <v>45</v>
      </c>
      <c r="AK393" s="10">
        <v>45</v>
      </c>
      <c r="AL393" s="11">
        <f t="shared" si="125"/>
        <v>150</v>
      </c>
      <c r="AM393" s="10">
        <v>150</v>
      </c>
      <c r="AN393" s="11">
        <f t="shared" si="125"/>
        <v>150</v>
      </c>
      <c r="AO393" s="10">
        <v>150</v>
      </c>
      <c r="AP393" s="56">
        <f t="shared" si="120"/>
        <v>2</v>
      </c>
      <c r="AR393" s="11">
        <f ca="1">IFERROR(OFFSET(ITEM_RES!$A$1,MATCH(AS393,ITEM_RES!$J:$J,0)-1,0),0)</f>
        <v>211020401</v>
      </c>
      <c r="AS393" s="10" t="s">
        <v>455</v>
      </c>
      <c r="AT393" s="11">
        <v>750</v>
      </c>
      <c r="AW393" s="11">
        <f ca="1">IFERROR(OFFSET(ITEM_RES!$A$1,MATCH(AX393,ITEM_RES!$J:$J,0)-1,0),0)</f>
        <v>211020801</v>
      </c>
      <c r="AX393" s="10" t="s">
        <v>456</v>
      </c>
      <c r="AY393" s="11">
        <v>750</v>
      </c>
      <c r="BB393" s="11">
        <f ca="1">IFERROR(OFFSET(ITEM_RES!$A$1,MATCH(BC393,ITEM_RES!$J:$J,0)-1,0),0)</f>
        <v>0</v>
      </c>
      <c r="BG393" s="11">
        <f ca="1">IFERROR(OFFSET(ITEM_RES!$A$1,MATCH(BH393,ITEM_RES!$J:$J,0)-1,0),0)</f>
        <v>0</v>
      </c>
      <c r="BL393" s="11">
        <f ca="1">IFERROR(OFFSET(ITEM_RES!$A$1,MATCH(BM393,ITEM_RES!$J:$J,0)-1,0),0)</f>
        <v>0</v>
      </c>
    </row>
    <row r="394" spans="1:67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439</v>
      </c>
      <c r="L394" s="9" t="s">
        <v>992</v>
      </c>
      <c r="M394" s="9" t="s">
        <v>1011</v>
      </c>
      <c r="N394" s="9">
        <v>1</v>
      </c>
      <c r="O394" s="9">
        <v>15</v>
      </c>
      <c r="T394" s="9" t="s">
        <v>752</v>
      </c>
      <c r="V394" s="85" t="s">
        <v>581</v>
      </c>
      <c r="W394" s="9">
        <f ca="1">IFERROR(OFFSET(ITEM_RES!$A$5,MATCH(BUILDING!V394,ITEM_RES!$J$5:$J$226,0)-1,0),0)</f>
        <v>211020401</v>
      </c>
      <c r="X394" s="11">
        <v>1</v>
      </c>
      <c r="Y394" s="85" t="s">
        <v>576</v>
      </c>
      <c r="Z394" s="9">
        <f ca="1">IFERROR(OFFSET(ITEM_RES!$A$5,MATCH(BUILDING!Y394,ITEM_RES!$J$5:$J$226,0)-1,0),0)</f>
        <v>211020501</v>
      </c>
      <c r="AB394" s="9" t="s">
        <v>554</v>
      </c>
      <c r="AC394" s="9">
        <v>10</v>
      </c>
      <c r="AE394" s="9">
        <v>8000</v>
      </c>
      <c r="AG394" s="56">
        <f t="shared" si="119"/>
        <v>4200</v>
      </c>
      <c r="AH394" s="10">
        <f t="shared" si="126"/>
        <v>7350</v>
      </c>
      <c r="AJ394" s="11">
        <f t="shared" si="118"/>
        <v>50</v>
      </c>
      <c r="AK394" s="10">
        <v>50</v>
      </c>
      <c r="AL394" s="11">
        <f t="shared" si="125"/>
        <v>200</v>
      </c>
      <c r="AM394" s="10">
        <v>200</v>
      </c>
      <c r="AN394" s="11">
        <f t="shared" si="125"/>
        <v>200</v>
      </c>
      <c r="AO394" s="10">
        <v>200</v>
      </c>
      <c r="AP394" s="56">
        <f t="shared" si="120"/>
        <v>2</v>
      </c>
      <c r="AR394" s="11">
        <f ca="1">IFERROR(OFFSET(ITEM_RES!$A$1,MATCH(AS394,ITEM_RES!$J:$J,0)-1,0),0)</f>
        <v>211020401</v>
      </c>
      <c r="AS394" s="10" t="s">
        <v>455</v>
      </c>
      <c r="AT394" s="11">
        <v>1000</v>
      </c>
      <c r="AW394" s="11">
        <f ca="1">IFERROR(OFFSET(ITEM_RES!$A$1,MATCH(AX394,ITEM_RES!$J:$J,0)-1,0),0)</f>
        <v>211020801</v>
      </c>
      <c r="AX394" s="10" t="s">
        <v>456</v>
      </c>
      <c r="AY394" s="11">
        <v>1000</v>
      </c>
      <c r="BB394" s="11">
        <f ca="1">IFERROR(OFFSET(ITEM_RES!$A$1,MATCH(BC394,ITEM_RES!$J:$J,0)-1,0),0)</f>
        <v>0</v>
      </c>
      <c r="BG394" s="11">
        <f ca="1">IFERROR(OFFSET(ITEM_RES!$A$1,MATCH(BH394,ITEM_RES!$J:$J,0)-1,0),0)</f>
        <v>0</v>
      </c>
      <c r="BL394" s="11">
        <f ca="1">IFERROR(OFFSET(ITEM_RES!$A$1,MATCH(BM394,ITEM_RES!$J:$J,0)-1,0),0)</f>
        <v>0</v>
      </c>
    </row>
    <row r="395" spans="1:67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439</v>
      </c>
      <c r="L395" s="9" t="s">
        <v>992</v>
      </c>
      <c r="M395" s="9" t="s">
        <v>1011</v>
      </c>
      <c r="N395" s="9">
        <v>1</v>
      </c>
      <c r="O395" s="9">
        <v>15</v>
      </c>
      <c r="T395" s="9" t="s">
        <v>752</v>
      </c>
      <c r="V395" s="85" t="s">
        <v>581</v>
      </c>
      <c r="W395" s="9">
        <f ca="1">IFERROR(OFFSET(ITEM_RES!$A$5,MATCH(BUILDING!V395,ITEM_RES!$J$5:$J$226,0)-1,0),0)</f>
        <v>211020401</v>
      </c>
      <c r="X395" s="11">
        <v>1</v>
      </c>
      <c r="Y395" s="85" t="s">
        <v>576</v>
      </c>
      <c r="Z395" s="9">
        <f ca="1">IFERROR(OFFSET(ITEM_RES!$A$5,MATCH(BUILDING!Y395,ITEM_RES!$J$5:$J$226,0)-1,0),0)</f>
        <v>211020501</v>
      </c>
      <c r="AB395" s="9" t="s">
        <v>554</v>
      </c>
      <c r="AC395" s="9">
        <v>11</v>
      </c>
      <c r="AE395" s="9">
        <v>10000</v>
      </c>
      <c r="AG395" s="56">
        <f t="shared" si="119"/>
        <v>5250</v>
      </c>
      <c r="AH395" s="10">
        <f t="shared" si="126"/>
        <v>9450</v>
      </c>
      <c r="AJ395" s="11">
        <f t="shared" si="118"/>
        <v>55</v>
      </c>
      <c r="AK395" s="10">
        <v>55</v>
      </c>
      <c r="AL395" s="11">
        <f t="shared" si="125"/>
        <v>250</v>
      </c>
      <c r="AM395" s="10">
        <v>250</v>
      </c>
      <c r="AN395" s="11">
        <f t="shared" si="125"/>
        <v>250</v>
      </c>
      <c r="AO395" s="10">
        <v>250</v>
      </c>
      <c r="AP395" s="56">
        <f t="shared" si="120"/>
        <v>2</v>
      </c>
      <c r="AR395" s="11">
        <f ca="1">IFERROR(OFFSET(ITEM_RES!$A$1,MATCH(AS395,ITEM_RES!$J:$J,0)-1,0),0)</f>
        <v>211020401</v>
      </c>
      <c r="AS395" s="10" t="s">
        <v>455</v>
      </c>
      <c r="AT395" s="11">
        <v>1250</v>
      </c>
      <c r="AW395" s="11">
        <f ca="1">IFERROR(OFFSET(ITEM_RES!$A$1,MATCH(AX395,ITEM_RES!$J:$J,0)-1,0),0)</f>
        <v>211020801</v>
      </c>
      <c r="AX395" s="10" t="s">
        <v>456</v>
      </c>
      <c r="AY395" s="11">
        <v>1250</v>
      </c>
      <c r="BB395" s="11">
        <f ca="1">IFERROR(OFFSET(ITEM_RES!$A$1,MATCH(BC395,ITEM_RES!$J:$J,0)-1,0),0)</f>
        <v>0</v>
      </c>
      <c r="BG395" s="11">
        <f ca="1">IFERROR(OFFSET(ITEM_RES!$A$1,MATCH(BH395,ITEM_RES!$J:$J,0)-1,0),0)</f>
        <v>0</v>
      </c>
      <c r="BL395" s="11">
        <f ca="1">IFERROR(OFFSET(ITEM_RES!$A$1,MATCH(BM395,ITEM_RES!$J:$J,0)-1,0),0)</f>
        <v>0</v>
      </c>
    </row>
    <row r="396" spans="1:67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439</v>
      </c>
      <c r="L396" s="9" t="s">
        <v>992</v>
      </c>
      <c r="M396" s="9" t="s">
        <v>1011</v>
      </c>
      <c r="N396" s="9">
        <v>1</v>
      </c>
      <c r="O396" s="9">
        <v>15</v>
      </c>
      <c r="T396" s="9" t="s">
        <v>752</v>
      </c>
      <c r="V396" s="85" t="s">
        <v>581</v>
      </c>
      <c r="W396" s="9">
        <f ca="1">IFERROR(OFFSET(ITEM_RES!$A$5,MATCH(BUILDING!V396,ITEM_RES!$J$5:$J$226,0)-1,0),0)</f>
        <v>211020401</v>
      </c>
      <c r="X396" s="11">
        <v>1</v>
      </c>
      <c r="Y396" s="85" t="s">
        <v>576</v>
      </c>
      <c r="Z396" s="9">
        <f ca="1">IFERROR(OFFSET(ITEM_RES!$A$5,MATCH(BUILDING!Y396,ITEM_RES!$J$5:$J$226,0)-1,0),0)</f>
        <v>211020501</v>
      </c>
      <c r="AB396" s="9" t="s">
        <v>554</v>
      </c>
      <c r="AC396" s="9">
        <v>12</v>
      </c>
      <c r="AE396" s="9">
        <v>12000</v>
      </c>
      <c r="AG396" s="56">
        <f t="shared" si="119"/>
        <v>6300</v>
      </c>
      <c r="AH396" s="10">
        <f t="shared" si="126"/>
        <v>11550</v>
      </c>
      <c r="AJ396" s="11">
        <f t="shared" si="118"/>
        <v>60</v>
      </c>
      <c r="AK396" s="10">
        <v>60</v>
      </c>
      <c r="AL396" s="11">
        <f t="shared" si="125"/>
        <v>300</v>
      </c>
      <c r="AM396" s="10">
        <v>300</v>
      </c>
      <c r="AN396" s="11">
        <f t="shared" si="125"/>
        <v>300</v>
      </c>
      <c r="AO396" s="10">
        <v>300</v>
      </c>
      <c r="AP396" s="56">
        <f t="shared" si="120"/>
        <v>2</v>
      </c>
      <c r="AR396" s="11">
        <f ca="1">IFERROR(OFFSET(ITEM_RES!$A$1,MATCH(AS396,ITEM_RES!$J:$J,0)-1,0),0)</f>
        <v>211020401</v>
      </c>
      <c r="AS396" s="10" t="s">
        <v>455</v>
      </c>
      <c r="AT396" s="11">
        <v>1500</v>
      </c>
      <c r="AW396" s="11">
        <f ca="1">IFERROR(OFFSET(ITEM_RES!$A$1,MATCH(AX396,ITEM_RES!$J:$J,0)-1,0),0)</f>
        <v>211020801</v>
      </c>
      <c r="AX396" s="10" t="s">
        <v>456</v>
      </c>
      <c r="AY396" s="11">
        <v>1500</v>
      </c>
      <c r="BB396" s="11">
        <f ca="1">IFERROR(OFFSET(ITEM_RES!$A$1,MATCH(BC396,ITEM_RES!$J:$J,0)-1,0),0)</f>
        <v>0</v>
      </c>
      <c r="BG396" s="11">
        <f ca="1">IFERROR(OFFSET(ITEM_RES!$A$1,MATCH(BH396,ITEM_RES!$J:$J,0)-1,0),0)</f>
        <v>0</v>
      </c>
      <c r="BL396" s="11">
        <f ca="1">IFERROR(OFFSET(ITEM_RES!$A$1,MATCH(BM396,ITEM_RES!$J:$J,0)-1,0),0)</f>
        <v>0</v>
      </c>
    </row>
    <row r="397" spans="1:67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439</v>
      </c>
      <c r="L397" s="9" t="s">
        <v>992</v>
      </c>
      <c r="M397" s="9" t="s">
        <v>1011</v>
      </c>
      <c r="N397" s="9">
        <v>1</v>
      </c>
      <c r="O397" s="9">
        <v>15</v>
      </c>
      <c r="T397" s="9" t="s">
        <v>752</v>
      </c>
      <c r="V397" s="85" t="s">
        <v>581</v>
      </c>
      <c r="W397" s="9">
        <f ca="1">IFERROR(OFFSET(ITEM_RES!$A$5,MATCH(BUILDING!V397,ITEM_RES!$J$5:$J$226,0)-1,0),0)</f>
        <v>211020401</v>
      </c>
      <c r="X397" s="11">
        <v>1</v>
      </c>
      <c r="Y397" s="85" t="s">
        <v>576</v>
      </c>
      <c r="Z397" s="9">
        <f ca="1">IFERROR(OFFSET(ITEM_RES!$A$5,MATCH(BUILDING!Y397,ITEM_RES!$J$5:$J$226,0)-1,0),0)</f>
        <v>211020501</v>
      </c>
      <c r="AB397" s="9" t="s">
        <v>554</v>
      </c>
      <c r="AC397" s="9">
        <v>13</v>
      </c>
      <c r="AE397" s="9">
        <v>14000</v>
      </c>
      <c r="AG397" s="56">
        <f t="shared" si="119"/>
        <v>7350</v>
      </c>
      <c r="AH397" s="10">
        <f t="shared" si="126"/>
        <v>13650</v>
      </c>
      <c r="AJ397" s="11">
        <f t="shared" si="118"/>
        <v>65</v>
      </c>
      <c r="AK397" s="10">
        <v>65</v>
      </c>
      <c r="AL397" s="11">
        <f t="shared" si="125"/>
        <v>350</v>
      </c>
      <c r="AM397" s="10">
        <v>350</v>
      </c>
      <c r="AN397" s="11">
        <f t="shared" si="125"/>
        <v>350</v>
      </c>
      <c r="AO397" s="10">
        <v>350</v>
      </c>
      <c r="AP397" s="56">
        <f t="shared" si="120"/>
        <v>2</v>
      </c>
      <c r="AR397" s="11">
        <f ca="1">IFERROR(OFFSET(ITEM_RES!$A$1,MATCH(AS397,ITEM_RES!$J:$J,0)-1,0),0)</f>
        <v>211020401</v>
      </c>
      <c r="AS397" s="10" t="s">
        <v>455</v>
      </c>
      <c r="AT397" s="11">
        <v>1750</v>
      </c>
      <c r="AW397" s="11">
        <f ca="1">IFERROR(OFFSET(ITEM_RES!$A$1,MATCH(AX397,ITEM_RES!$J:$J,0)-1,0),0)</f>
        <v>211020801</v>
      </c>
      <c r="AX397" s="10" t="s">
        <v>456</v>
      </c>
      <c r="AY397" s="11">
        <v>1750</v>
      </c>
      <c r="BB397" s="11">
        <f ca="1">IFERROR(OFFSET(ITEM_RES!$A$1,MATCH(BC397,ITEM_RES!$J:$J,0)-1,0),0)</f>
        <v>0</v>
      </c>
      <c r="BG397" s="11">
        <f ca="1">IFERROR(OFFSET(ITEM_RES!$A$1,MATCH(BH397,ITEM_RES!$J:$J,0)-1,0),0)</f>
        <v>0</v>
      </c>
      <c r="BL397" s="11">
        <f ca="1">IFERROR(OFFSET(ITEM_RES!$A$1,MATCH(BM397,ITEM_RES!$J:$J,0)-1,0),0)</f>
        <v>0</v>
      </c>
    </row>
    <row r="398" spans="1:67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439</v>
      </c>
      <c r="L398" s="9" t="s">
        <v>992</v>
      </c>
      <c r="M398" s="9" t="s">
        <v>1011</v>
      </c>
      <c r="N398" s="9">
        <v>1</v>
      </c>
      <c r="O398" s="9">
        <v>15</v>
      </c>
      <c r="T398" s="9" t="s">
        <v>752</v>
      </c>
      <c r="V398" s="85" t="s">
        <v>581</v>
      </c>
      <c r="W398" s="9">
        <f ca="1">IFERROR(OFFSET(ITEM_RES!$A$5,MATCH(BUILDING!V398,ITEM_RES!$J$5:$J$226,0)-1,0),0)</f>
        <v>211020401</v>
      </c>
      <c r="X398" s="11">
        <v>1</v>
      </c>
      <c r="Y398" s="85" t="s">
        <v>576</v>
      </c>
      <c r="Z398" s="9">
        <f ca="1">IFERROR(OFFSET(ITEM_RES!$A$5,MATCH(BUILDING!Y398,ITEM_RES!$J$5:$J$226,0)-1,0),0)</f>
        <v>211020501</v>
      </c>
      <c r="AB398" s="9" t="s">
        <v>554</v>
      </c>
      <c r="AC398" s="9">
        <v>14</v>
      </c>
      <c r="AE398" s="9">
        <v>18000</v>
      </c>
      <c r="AG398" s="56">
        <f t="shared" si="119"/>
        <v>9450</v>
      </c>
      <c r="AH398" s="10">
        <f t="shared" si="126"/>
        <v>16800</v>
      </c>
      <c r="AJ398" s="11">
        <f t="shared" si="118"/>
        <v>70</v>
      </c>
      <c r="AK398" s="10">
        <v>70</v>
      </c>
      <c r="AL398" s="11">
        <f t="shared" si="125"/>
        <v>450</v>
      </c>
      <c r="AM398" s="10">
        <v>450</v>
      </c>
      <c r="AN398" s="11">
        <f t="shared" si="125"/>
        <v>450</v>
      </c>
      <c r="AO398" s="10">
        <v>450</v>
      </c>
      <c r="AP398" s="56">
        <f t="shared" si="120"/>
        <v>2</v>
      </c>
      <c r="AR398" s="11">
        <f ca="1">IFERROR(OFFSET(ITEM_RES!$A$1,MATCH(AS398,ITEM_RES!$J:$J,0)-1,0),0)</f>
        <v>211020401</v>
      </c>
      <c r="AS398" s="10" t="s">
        <v>455</v>
      </c>
      <c r="AT398" s="11">
        <v>2250</v>
      </c>
      <c r="AW398" s="11">
        <f ca="1">IFERROR(OFFSET(ITEM_RES!$A$1,MATCH(AX398,ITEM_RES!$J:$J,0)-1,0),0)</f>
        <v>211020801</v>
      </c>
      <c r="AX398" s="10" t="s">
        <v>456</v>
      </c>
      <c r="AY398" s="11">
        <v>2250</v>
      </c>
      <c r="BB398" s="11">
        <f ca="1">IFERROR(OFFSET(ITEM_RES!$A$1,MATCH(BC398,ITEM_RES!$J:$J,0)-1,0),0)</f>
        <v>0</v>
      </c>
      <c r="BG398" s="11">
        <f ca="1">IFERROR(OFFSET(ITEM_RES!$A$1,MATCH(BH398,ITEM_RES!$J:$J,0)-1,0),0)</f>
        <v>0</v>
      </c>
      <c r="BL398" s="11">
        <f ca="1">IFERROR(OFFSET(ITEM_RES!$A$1,MATCH(BM398,ITEM_RES!$J:$J,0)-1,0),0)</f>
        <v>0</v>
      </c>
    </row>
    <row r="399" spans="1:67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439</v>
      </c>
      <c r="L399" s="9" t="s">
        <v>992</v>
      </c>
      <c r="M399" s="9" t="s">
        <v>1011</v>
      </c>
      <c r="N399" s="9">
        <v>1</v>
      </c>
      <c r="O399" s="9">
        <v>15</v>
      </c>
      <c r="T399" s="9" t="s">
        <v>752</v>
      </c>
      <c r="V399" s="85" t="s">
        <v>581</v>
      </c>
      <c r="W399" s="9">
        <f ca="1">IFERROR(OFFSET(ITEM_RES!$A$5,MATCH(BUILDING!V399,ITEM_RES!$J$5:$J$226,0)-1,0),0)</f>
        <v>211020401</v>
      </c>
      <c r="X399" s="11">
        <v>1</v>
      </c>
      <c r="Y399" s="85" t="s">
        <v>576</v>
      </c>
      <c r="Z399" s="9">
        <f ca="1">IFERROR(OFFSET(ITEM_RES!$A$5,MATCH(BUILDING!Y399,ITEM_RES!$J$5:$J$226,0)-1,0),0)</f>
        <v>211020501</v>
      </c>
      <c r="AB399" s="9" t="s">
        <v>554</v>
      </c>
      <c r="AC399" s="9">
        <v>15</v>
      </c>
      <c r="AE399" s="9">
        <v>22000</v>
      </c>
      <c r="AG399" s="56">
        <f t="shared" si="119"/>
        <v>11550</v>
      </c>
      <c r="AH399" s="10">
        <f t="shared" si="126"/>
        <v>21000</v>
      </c>
      <c r="AJ399" s="11">
        <f t="shared" si="118"/>
        <v>75</v>
      </c>
      <c r="AK399" s="10">
        <v>75</v>
      </c>
      <c r="AL399" s="11">
        <f t="shared" si="125"/>
        <v>550</v>
      </c>
      <c r="AM399" s="10">
        <v>550</v>
      </c>
      <c r="AN399" s="11">
        <f t="shared" si="125"/>
        <v>550</v>
      </c>
      <c r="AO399" s="10">
        <v>550</v>
      </c>
      <c r="AP399" s="56">
        <f t="shared" si="120"/>
        <v>2</v>
      </c>
      <c r="AR399" s="11">
        <f ca="1">IFERROR(OFFSET(ITEM_RES!$A$1,MATCH(AS399,ITEM_RES!$J:$J,0)-1,0),0)</f>
        <v>211020501</v>
      </c>
      <c r="AS399" s="10" t="s">
        <v>451</v>
      </c>
      <c r="AT399" s="11">
        <v>2750</v>
      </c>
      <c r="AW399" s="11">
        <f ca="1">IFERROR(OFFSET(ITEM_RES!$A$1,MATCH(AX399,ITEM_RES!$J:$J,0)-1,0),0)</f>
        <v>211020801</v>
      </c>
      <c r="AX399" s="10" t="s">
        <v>456</v>
      </c>
      <c r="AY399" s="11">
        <v>2750</v>
      </c>
      <c r="BB399" s="11">
        <f ca="1">IFERROR(OFFSET(ITEM_RES!$A$1,MATCH(BC399,ITEM_RES!$J:$J,0)-1,0),0)</f>
        <v>0</v>
      </c>
      <c r="BG399" s="11">
        <f ca="1">IFERROR(OFFSET(ITEM_RES!$A$1,MATCH(BH399,ITEM_RES!$J:$J,0)-1,0),0)</f>
        <v>0</v>
      </c>
      <c r="BL399" s="11">
        <f ca="1">IFERROR(OFFSET(ITEM_RES!$A$1,MATCH(BM399,ITEM_RES!$J:$J,0)-1,0),0)</f>
        <v>0</v>
      </c>
    </row>
    <row r="400" spans="1:67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439</v>
      </c>
      <c r="L400" s="9" t="s">
        <v>992</v>
      </c>
      <c r="M400" s="9" t="s">
        <v>1011</v>
      </c>
      <c r="N400" s="9">
        <v>0</v>
      </c>
      <c r="O400" s="9">
        <v>15</v>
      </c>
      <c r="T400" s="9" t="s">
        <v>752</v>
      </c>
      <c r="V400" s="85" t="s">
        <v>581</v>
      </c>
      <c r="W400" s="9">
        <f ca="1">IFERROR(OFFSET(ITEM_RES!$A$5,MATCH(BUILDING!V400,ITEM_RES!$J$5:$J$226,0)-1,0),0)</f>
        <v>211020401</v>
      </c>
      <c r="X400" s="11">
        <v>1</v>
      </c>
      <c r="Y400" s="85" t="s">
        <v>576</v>
      </c>
      <c r="Z400" s="9">
        <f ca="1">IFERROR(OFFSET(ITEM_RES!$A$5,MATCH(BUILDING!Y400,ITEM_RES!$J$5:$J$226,0)-1,0),0)</f>
        <v>211020501</v>
      </c>
      <c r="AB400" s="9" t="s">
        <v>554</v>
      </c>
      <c r="AC400" s="9">
        <v>16</v>
      </c>
      <c r="AE400" s="9">
        <v>28000</v>
      </c>
      <c r="AG400" s="56">
        <f t="shared" si="119"/>
        <v>14700</v>
      </c>
      <c r="AH400" s="10">
        <f t="shared" si="126"/>
        <v>26250</v>
      </c>
      <c r="AJ400" s="11">
        <f t="shared" si="118"/>
        <v>80</v>
      </c>
      <c r="AK400" s="10">
        <v>80</v>
      </c>
      <c r="AL400" s="11">
        <f t="shared" si="125"/>
        <v>700</v>
      </c>
      <c r="AM400" s="10">
        <v>700</v>
      </c>
      <c r="AN400" s="11">
        <f t="shared" si="125"/>
        <v>700</v>
      </c>
      <c r="AO400" s="10">
        <v>700</v>
      </c>
      <c r="AP400" s="56">
        <f t="shared" si="120"/>
        <v>2</v>
      </c>
      <c r="AR400" s="11">
        <f ca="1">IFERROR(OFFSET(ITEM_RES!$A$1,MATCH(AS400,ITEM_RES!$J:$J,0)-1,0),0)</f>
        <v>211020501</v>
      </c>
      <c r="AS400" s="10" t="s">
        <v>451</v>
      </c>
      <c r="AT400" s="11">
        <v>3500</v>
      </c>
      <c r="AW400" s="11">
        <f ca="1">IFERROR(OFFSET(ITEM_RES!$A$1,MATCH(AX400,ITEM_RES!$J:$J,0)-1,0),0)</f>
        <v>211020801</v>
      </c>
      <c r="AX400" s="10" t="s">
        <v>456</v>
      </c>
      <c r="AY400" s="11">
        <v>3500</v>
      </c>
      <c r="BB400" s="11">
        <f ca="1">IFERROR(OFFSET(ITEM_RES!$A$1,MATCH(BC400,ITEM_RES!$J:$J,0)-1,0),0)</f>
        <v>0</v>
      </c>
      <c r="BG400" s="11">
        <f ca="1">IFERROR(OFFSET(ITEM_RES!$A$1,MATCH(BH400,ITEM_RES!$J:$J,0)-1,0),0)</f>
        <v>0</v>
      </c>
      <c r="BL400" s="11">
        <f ca="1">IFERROR(OFFSET(ITEM_RES!$A$1,MATCH(BM400,ITEM_RES!$J:$J,0)-1,0),0)</f>
        <v>0</v>
      </c>
    </row>
    <row r="401" spans="1:67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439</v>
      </c>
      <c r="L401" s="9" t="s">
        <v>992</v>
      </c>
      <c r="M401" s="9" t="s">
        <v>1011</v>
      </c>
      <c r="N401" s="9">
        <v>0</v>
      </c>
      <c r="O401" s="9">
        <v>15</v>
      </c>
      <c r="T401" s="9" t="s">
        <v>752</v>
      </c>
      <c r="V401" s="85" t="s">
        <v>581</v>
      </c>
      <c r="W401" s="9">
        <f ca="1">IFERROR(OFFSET(ITEM_RES!$A$5,MATCH(BUILDING!V401,ITEM_RES!$J$5:$J$226,0)-1,0),0)</f>
        <v>211020401</v>
      </c>
      <c r="X401" s="11">
        <v>1</v>
      </c>
      <c r="Y401" s="85" t="s">
        <v>576</v>
      </c>
      <c r="Z401" s="9">
        <f ca="1">IFERROR(OFFSET(ITEM_RES!$A$5,MATCH(BUILDING!Y401,ITEM_RES!$J$5:$J$226,0)-1,0),0)</f>
        <v>211020501</v>
      </c>
      <c r="AB401" s="9" t="s">
        <v>554</v>
      </c>
      <c r="AC401" s="9">
        <v>17</v>
      </c>
      <c r="AE401" s="9">
        <v>34000</v>
      </c>
      <c r="AG401" s="56">
        <f t="shared" si="119"/>
        <v>17850</v>
      </c>
      <c r="AH401" s="10">
        <f t="shared" si="126"/>
        <v>32550</v>
      </c>
      <c r="AJ401" s="11">
        <f t="shared" si="118"/>
        <v>85</v>
      </c>
      <c r="AK401" s="10">
        <v>85</v>
      </c>
      <c r="AL401" s="11">
        <f t="shared" si="125"/>
        <v>850</v>
      </c>
      <c r="AM401" s="10">
        <v>850</v>
      </c>
      <c r="AN401" s="11">
        <f t="shared" si="125"/>
        <v>850</v>
      </c>
      <c r="AO401" s="10">
        <v>850</v>
      </c>
      <c r="AP401" s="56">
        <f t="shared" si="120"/>
        <v>2</v>
      </c>
      <c r="AR401" s="11">
        <f ca="1">IFERROR(OFFSET(ITEM_RES!$A$1,MATCH(AS401,ITEM_RES!$J:$J,0)-1,0),0)</f>
        <v>211020501</v>
      </c>
      <c r="AS401" s="10" t="s">
        <v>451</v>
      </c>
      <c r="AT401" s="11">
        <v>4250</v>
      </c>
      <c r="AW401" s="11">
        <f ca="1">IFERROR(OFFSET(ITEM_RES!$A$1,MATCH(AX401,ITEM_RES!$J:$J,0)-1,0),0)</f>
        <v>211020801</v>
      </c>
      <c r="AX401" s="10" t="s">
        <v>456</v>
      </c>
      <c r="AY401" s="11">
        <v>4250</v>
      </c>
      <c r="BB401" s="11">
        <f ca="1">IFERROR(OFFSET(ITEM_RES!$A$1,MATCH(BC401,ITEM_RES!$J:$J,0)-1,0),0)</f>
        <v>0</v>
      </c>
      <c r="BG401" s="11">
        <f ca="1">IFERROR(OFFSET(ITEM_RES!$A$1,MATCH(BH401,ITEM_RES!$J:$J,0)-1,0),0)</f>
        <v>0</v>
      </c>
      <c r="BL401" s="11">
        <f ca="1">IFERROR(OFFSET(ITEM_RES!$A$1,MATCH(BM401,ITEM_RES!$J:$J,0)-1,0),0)</f>
        <v>0</v>
      </c>
    </row>
    <row r="402" spans="1:67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439</v>
      </c>
      <c r="L402" s="9" t="s">
        <v>992</v>
      </c>
      <c r="M402" s="9" t="s">
        <v>1011</v>
      </c>
      <c r="N402" s="9">
        <v>0</v>
      </c>
      <c r="O402" s="9">
        <v>15</v>
      </c>
      <c r="T402" s="9" t="s">
        <v>752</v>
      </c>
      <c r="V402" s="85" t="s">
        <v>581</v>
      </c>
      <c r="W402" s="9">
        <f ca="1">IFERROR(OFFSET(ITEM_RES!$A$5,MATCH(BUILDING!V402,ITEM_RES!$J$5:$J$226,0)-1,0),0)</f>
        <v>211020401</v>
      </c>
      <c r="X402" s="11">
        <v>1</v>
      </c>
      <c r="Y402" s="85" t="s">
        <v>576</v>
      </c>
      <c r="Z402" s="9">
        <f ca="1">IFERROR(OFFSET(ITEM_RES!$A$5,MATCH(BUILDING!Y402,ITEM_RES!$J$5:$J$226,0)-1,0),0)</f>
        <v>211020501</v>
      </c>
      <c r="AB402" s="9" t="s">
        <v>554</v>
      </c>
      <c r="AC402" s="9">
        <v>18</v>
      </c>
      <c r="AE402" s="9">
        <v>42000</v>
      </c>
      <c r="AG402" s="56">
        <f t="shared" si="119"/>
        <v>22050</v>
      </c>
      <c r="AH402" s="10">
        <f t="shared" si="126"/>
        <v>39900</v>
      </c>
      <c r="AJ402" s="11">
        <f t="shared" si="118"/>
        <v>90</v>
      </c>
      <c r="AK402" s="10">
        <v>90</v>
      </c>
      <c r="AL402" s="11">
        <f t="shared" si="125"/>
        <v>1050</v>
      </c>
      <c r="AM402" s="10">
        <v>1050</v>
      </c>
      <c r="AN402" s="11">
        <f t="shared" si="125"/>
        <v>1050</v>
      </c>
      <c r="AO402" s="10">
        <v>1050</v>
      </c>
      <c r="AP402" s="56">
        <f t="shared" si="120"/>
        <v>2</v>
      </c>
      <c r="AR402" s="11">
        <f ca="1">IFERROR(OFFSET(ITEM_RES!$A$1,MATCH(AS402,ITEM_RES!$J:$J,0)-1,0),0)</f>
        <v>211020501</v>
      </c>
      <c r="AS402" s="10" t="s">
        <v>451</v>
      </c>
      <c r="AT402" s="11">
        <v>5250</v>
      </c>
      <c r="AW402" s="11">
        <f ca="1">IFERROR(OFFSET(ITEM_RES!$A$1,MATCH(AX402,ITEM_RES!$J:$J,0)-1,0),0)</f>
        <v>211020801</v>
      </c>
      <c r="AX402" s="10" t="s">
        <v>456</v>
      </c>
      <c r="AY402" s="11">
        <v>5250</v>
      </c>
      <c r="BB402" s="11">
        <f ca="1">IFERROR(OFFSET(ITEM_RES!$A$1,MATCH(BC402,ITEM_RES!$J:$J,0)-1,0),0)</f>
        <v>0</v>
      </c>
      <c r="BG402" s="11">
        <f ca="1">IFERROR(OFFSET(ITEM_RES!$A$1,MATCH(BH402,ITEM_RES!$J:$J,0)-1,0),0)</f>
        <v>0</v>
      </c>
      <c r="BL402" s="11">
        <f ca="1">IFERROR(OFFSET(ITEM_RES!$A$1,MATCH(BM402,ITEM_RES!$J:$J,0)-1,0),0)</f>
        <v>0</v>
      </c>
    </row>
    <row r="403" spans="1:67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439</v>
      </c>
      <c r="L403" s="9" t="s">
        <v>992</v>
      </c>
      <c r="M403" s="9" t="s">
        <v>1011</v>
      </c>
      <c r="N403" s="9">
        <v>0</v>
      </c>
      <c r="O403" s="9">
        <v>15</v>
      </c>
      <c r="T403" s="9" t="s">
        <v>752</v>
      </c>
      <c r="V403" s="85" t="s">
        <v>581</v>
      </c>
      <c r="W403" s="9">
        <f ca="1">IFERROR(OFFSET(ITEM_RES!$A$5,MATCH(BUILDING!V403,ITEM_RES!$J$5:$J$226,0)-1,0),0)</f>
        <v>211020401</v>
      </c>
      <c r="X403" s="11">
        <v>1</v>
      </c>
      <c r="Y403" s="85" t="s">
        <v>576</v>
      </c>
      <c r="Z403" s="9">
        <f ca="1">IFERROR(OFFSET(ITEM_RES!$A$5,MATCH(BUILDING!Y403,ITEM_RES!$J$5:$J$226,0)-1,0),0)</f>
        <v>211020501</v>
      </c>
      <c r="AB403" s="9" t="s">
        <v>554</v>
      </c>
      <c r="AC403" s="9">
        <v>19</v>
      </c>
      <c r="AE403" s="9">
        <v>50000</v>
      </c>
      <c r="AG403" s="56">
        <f t="shared" si="119"/>
        <v>26250</v>
      </c>
      <c r="AH403" s="10">
        <f t="shared" si="126"/>
        <v>48300</v>
      </c>
      <c r="AJ403" s="11">
        <f t="shared" si="118"/>
        <v>95</v>
      </c>
      <c r="AK403" s="10">
        <v>95</v>
      </c>
      <c r="AL403" s="11">
        <f t="shared" si="125"/>
        <v>1250</v>
      </c>
      <c r="AM403" s="10">
        <v>1250</v>
      </c>
      <c r="AN403" s="11">
        <f t="shared" si="125"/>
        <v>1250</v>
      </c>
      <c r="AO403" s="10">
        <v>1250</v>
      </c>
      <c r="AP403" s="56">
        <f t="shared" si="120"/>
        <v>2</v>
      </c>
      <c r="AR403" s="11">
        <f ca="1">IFERROR(OFFSET(ITEM_RES!$A$1,MATCH(AS403,ITEM_RES!$J:$J,0)-1,0),0)</f>
        <v>211020501</v>
      </c>
      <c r="AS403" s="10" t="s">
        <v>451</v>
      </c>
      <c r="AT403" s="11">
        <v>6250</v>
      </c>
      <c r="AW403" s="11">
        <f ca="1">IFERROR(OFFSET(ITEM_RES!$A$1,MATCH(AX403,ITEM_RES!$J:$J,0)-1,0),0)</f>
        <v>211020801</v>
      </c>
      <c r="AX403" s="10" t="s">
        <v>456</v>
      </c>
      <c r="AY403" s="11">
        <v>6250</v>
      </c>
      <c r="BB403" s="11">
        <f ca="1">IFERROR(OFFSET(ITEM_RES!$A$1,MATCH(BC403,ITEM_RES!$J:$J,0)-1,0),0)</f>
        <v>0</v>
      </c>
      <c r="BG403" s="11">
        <f ca="1">IFERROR(OFFSET(ITEM_RES!$A$1,MATCH(BH403,ITEM_RES!$J:$J,0)-1,0),0)</f>
        <v>0</v>
      </c>
      <c r="BL403" s="11">
        <f ca="1">IFERROR(OFFSET(ITEM_RES!$A$1,MATCH(BM403,ITEM_RES!$J:$J,0)-1,0),0)</f>
        <v>0</v>
      </c>
    </row>
    <row r="404" spans="1:67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439</v>
      </c>
      <c r="L404" s="9" t="s">
        <v>992</v>
      </c>
      <c r="M404" s="9" t="s">
        <v>1011</v>
      </c>
      <c r="N404" s="9">
        <v>0</v>
      </c>
      <c r="O404" s="9">
        <v>15</v>
      </c>
      <c r="T404" s="9" t="s">
        <v>752</v>
      </c>
      <c r="V404" s="85" t="s">
        <v>581</v>
      </c>
      <c r="W404" s="9">
        <f ca="1">IFERROR(OFFSET(ITEM_RES!$A$5,MATCH(BUILDING!V404,ITEM_RES!$J$5:$J$226,0)-1,0),0)</f>
        <v>211020401</v>
      </c>
      <c r="X404" s="11">
        <v>1</v>
      </c>
      <c r="Y404" s="85" t="s">
        <v>576</v>
      </c>
      <c r="Z404" s="9">
        <f ca="1">IFERROR(OFFSET(ITEM_RES!$A$5,MATCH(BUILDING!Y404,ITEM_RES!$J$5:$J$226,0)-1,0),0)</f>
        <v>211020501</v>
      </c>
      <c r="AB404" s="9" t="s">
        <v>554</v>
      </c>
      <c r="AC404" s="9">
        <v>20</v>
      </c>
      <c r="AE404" s="9">
        <v>60000</v>
      </c>
      <c r="AG404" s="56">
        <f t="shared" si="119"/>
        <v>31500</v>
      </c>
      <c r="AH404" s="10">
        <f t="shared" si="126"/>
        <v>57750</v>
      </c>
      <c r="AJ404" s="11">
        <f t="shared" si="118"/>
        <v>100</v>
      </c>
      <c r="AK404" s="10">
        <v>100</v>
      </c>
      <c r="AL404" s="11">
        <f t="shared" si="125"/>
        <v>1500</v>
      </c>
      <c r="AM404" s="10">
        <v>1500</v>
      </c>
      <c r="AN404" s="11">
        <f t="shared" si="125"/>
        <v>1500</v>
      </c>
      <c r="AO404" s="10">
        <v>1500</v>
      </c>
      <c r="AP404" s="56">
        <f t="shared" si="120"/>
        <v>2</v>
      </c>
      <c r="AR404" s="11">
        <f ca="1">IFERROR(OFFSET(ITEM_RES!$A$1,MATCH(AS404,ITEM_RES!$J:$J,0)-1,0),0)</f>
        <v>211020501</v>
      </c>
      <c r="AS404" s="10" t="s">
        <v>451</v>
      </c>
      <c r="AT404" s="11">
        <v>7500</v>
      </c>
      <c r="AW404" s="11">
        <f ca="1">IFERROR(OFFSET(ITEM_RES!$A$1,MATCH(AX404,ITEM_RES!$J:$J,0)-1,0),0)</f>
        <v>211020801</v>
      </c>
      <c r="AX404" s="10" t="s">
        <v>456</v>
      </c>
      <c r="AY404" s="11">
        <v>7500</v>
      </c>
      <c r="BB404" s="11">
        <f ca="1">IFERROR(OFFSET(ITEM_RES!$A$1,MATCH(BC404,ITEM_RES!$J:$J,0)-1,0),0)</f>
        <v>0</v>
      </c>
      <c r="BG404" s="11">
        <f ca="1">IFERROR(OFFSET(ITEM_RES!$A$1,MATCH(BH404,ITEM_RES!$J:$J,0)-1,0),0)</f>
        <v>0</v>
      </c>
      <c r="BL404" s="11">
        <f ca="1">IFERROR(OFFSET(ITEM_RES!$A$1,MATCH(BM404,ITEM_RES!$J:$J,0)-1,0),0)</f>
        <v>0</v>
      </c>
    </row>
    <row r="405" spans="1:67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79"/>
      <c r="H405" s="16">
        <v>2</v>
      </c>
      <c r="I405" s="16">
        <v>1</v>
      </c>
      <c r="J405" s="79"/>
      <c r="K405" s="16" t="s">
        <v>560</v>
      </c>
      <c r="L405" s="16" t="s">
        <v>993</v>
      </c>
      <c r="M405" s="16" t="s">
        <v>1012</v>
      </c>
      <c r="N405" s="16">
        <v>1</v>
      </c>
      <c r="O405" s="16">
        <v>15</v>
      </c>
      <c r="P405" s="16" t="s">
        <v>811</v>
      </c>
      <c r="Q405" s="17"/>
      <c r="R405" s="17"/>
      <c r="S405" s="18"/>
      <c r="T405" s="16" t="s">
        <v>748</v>
      </c>
      <c r="U405" s="79"/>
      <c r="V405" s="87" t="s">
        <v>575</v>
      </c>
      <c r="W405" s="16">
        <f ca="1">IFERROR(OFFSET(ITEM_RES!$A$5,MATCH(BUILDING!V405,ITEM_RES!$J$5:$J$226,0)-1,0),0)</f>
        <v>211020201</v>
      </c>
      <c r="X405" s="18">
        <v>1</v>
      </c>
      <c r="Y405" s="87" t="s">
        <v>577</v>
      </c>
      <c r="Z405" s="16">
        <f ca="1">IFERROR(OFFSET(ITEM_RES!$A$5,MATCH(BUILDING!Y405,ITEM_RES!$J$5:$J$226,0)-1,0),0)</f>
        <v>211020301</v>
      </c>
      <c r="AA405" s="79"/>
      <c r="AB405" s="16" t="s">
        <v>555</v>
      </c>
      <c r="AC405" s="16">
        <v>1</v>
      </c>
      <c r="AD405" s="79"/>
      <c r="AE405" s="16">
        <v>0</v>
      </c>
      <c r="AF405" s="79"/>
      <c r="AG405" s="57">
        <f t="shared" si="119"/>
        <v>605</v>
      </c>
      <c r="AH405" s="17">
        <f>AG405</f>
        <v>605</v>
      </c>
      <c r="AI405" s="79"/>
      <c r="AJ405" s="18">
        <f t="shared" si="118"/>
        <v>5</v>
      </c>
      <c r="AK405" s="17">
        <v>5</v>
      </c>
      <c r="AL405" s="18">
        <f t="shared" si="125"/>
        <v>5</v>
      </c>
      <c r="AM405" s="17">
        <v>5</v>
      </c>
      <c r="AN405" s="18">
        <f t="shared" si="125"/>
        <v>5</v>
      </c>
      <c r="AO405" s="17">
        <v>5</v>
      </c>
      <c r="AP405" s="57">
        <f t="shared" si="120"/>
        <v>3</v>
      </c>
      <c r="AQ405" s="18"/>
      <c r="AR405" s="18">
        <f ca="1">IFERROR(OFFSET(ITEM_RES!$A$1,MATCH(AS405,ITEM_RES!$J:$J,0)-1,0),0)</f>
        <v>211020401</v>
      </c>
      <c r="AS405" s="17" t="s">
        <v>455</v>
      </c>
      <c r="AT405" s="18">
        <v>25</v>
      </c>
      <c r="AU405" s="17"/>
      <c r="AV405" s="18"/>
      <c r="AW405" s="18">
        <f ca="1">IFERROR(OFFSET(ITEM_RES!$A$1,MATCH(AX405,ITEM_RES!$J:$J,0)-1,0),0)</f>
        <v>211020201</v>
      </c>
      <c r="AX405" s="17" t="s">
        <v>448</v>
      </c>
      <c r="AY405" s="18">
        <v>25</v>
      </c>
      <c r="AZ405" s="17"/>
      <c r="BA405" s="18"/>
      <c r="BB405" s="18">
        <f ca="1">IFERROR(OFFSET(ITEM_RES!$A$1,MATCH(BC405,ITEM_RES!$J:$J,0)-1,0),0)</f>
        <v>213010101</v>
      </c>
      <c r="BC405" s="17" t="s">
        <v>477</v>
      </c>
      <c r="BD405" s="18">
        <v>1</v>
      </c>
      <c r="BE405" s="17"/>
      <c r="BF405" s="18"/>
      <c r="BG405" s="18">
        <f ca="1">IFERROR(OFFSET(ITEM_RES!$A$1,MATCH(BH405,ITEM_RES!$J:$J,0)-1,0),0)</f>
        <v>0</v>
      </c>
      <c r="BH405" s="17"/>
      <c r="BI405" s="18"/>
      <c r="BJ405" s="17"/>
      <c r="BK405" s="18"/>
      <c r="BL405" s="18">
        <f ca="1">IFERROR(OFFSET(ITEM_RES!$A$1,MATCH(BM405,ITEM_RES!$J:$J,0)-1,0),0)</f>
        <v>0</v>
      </c>
      <c r="BM405" s="17"/>
      <c r="BN405" s="18"/>
      <c r="BO405" s="17"/>
    </row>
    <row r="406" spans="1:67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368</v>
      </c>
      <c r="L406" s="9" t="s">
        <v>993</v>
      </c>
      <c r="M406" s="9" t="s">
        <v>1012</v>
      </c>
      <c r="N406" s="9">
        <v>1</v>
      </c>
      <c r="O406" s="9">
        <v>15</v>
      </c>
      <c r="P406" s="9" t="s">
        <v>811</v>
      </c>
      <c r="T406" s="9" t="s">
        <v>748</v>
      </c>
      <c r="V406" s="85" t="s">
        <v>575</v>
      </c>
      <c r="W406" s="9">
        <f ca="1">IFERROR(OFFSET(ITEM_RES!$A$5,MATCH(BUILDING!V406,ITEM_RES!$J$5:$J$226,0)-1,0),0)</f>
        <v>211020201</v>
      </c>
      <c r="X406" s="11">
        <v>1</v>
      </c>
      <c r="Y406" s="85" t="s">
        <v>577</v>
      </c>
      <c r="Z406" s="9">
        <f ca="1">IFERROR(OFFSET(ITEM_RES!$A$5,MATCH(BUILDING!Y406,ITEM_RES!$J$5:$J$226,0)-1,0),0)</f>
        <v>211020301</v>
      </c>
      <c r="AB406" s="9" t="s">
        <v>555</v>
      </c>
      <c r="AC406" s="9">
        <v>2</v>
      </c>
      <c r="AE406" s="9">
        <v>800</v>
      </c>
      <c r="AG406" s="56">
        <f t="shared" si="119"/>
        <v>210</v>
      </c>
      <c r="AH406" s="10">
        <f>AG405+AG406</f>
        <v>815</v>
      </c>
      <c r="AJ406" s="11">
        <f t="shared" si="118"/>
        <v>10</v>
      </c>
      <c r="AK406" s="10">
        <v>10</v>
      </c>
      <c r="AL406" s="11">
        <f t="shared" si="125"/>
        <v>10</v>
      </c>
      <c r="AM406" s="10">
        <v>10</v>
      </c>
      <c r="AN406" s="11">
        <f t="shared" si="125"/>
        <v>10</v>
      </c>
      <c r="AO406" s="10">
        <v>10</v>
      </c>
      <c r="AP406" s="56">
        <f t="shared" si="120"/>
        <v>2</v>
      </c>
      <c r="AR406" s="11">
        <f ca="1">IFERROR(OFFSET(ITEM_RES!$A$1,MATCH(AS406,ITEM_RES!$J:$J,0)-1,0),0)</f>
        <v>211020401</v>
      </c>
      <c r="AS406" s="10" t="s">
        <v>455</v>
      </c>
      <c r="AT406" s="11">
        <v>50</v>
      </c>
      <c r="AW406" s="11">
        <f ca="1">IFERROR(OFFSET(ITEM_RES!$A$1,MATCH(AX406,ITEM_RES!$J:$J,0)-1,0),0)</f>
        <v>211020201</v>
      </c>
      <c r="AX406" s="10" t="s">
        <v>448</v>
      </c>
      <c r="AY406" s="11">
        <v>50</v>
      </c>
      <c r="BB406" s="11">
        <f ca="1">IFERROR(OFFSET(ITEM_RES!$A$1,MATCH(BC406,ITEM_RES!$J:$J,0)-1,0),0)</f>
        <v>0</v>
      </c>
      <c r="BG406" s="11">
        <f ca="1">IFERROR(OFFSET(ITEM_RES!$A$1,MATCH(BH406,ITEM_RES!$J:$J,0)-1,0),0)</f>
        <v>0</v>
      </c>
      <c r="BL406" s="11">
        <f ca="1">IFERROR(OFFSET(ITEM_RES!$A$1,MATCH(BM406,ITEM_RES!$J:$J,0)-1,0),0)</f>
        <v>0</v>
      </c>
    </row>
    <row r="407" spans="1:67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368</v>
      </c>
      <c r="L407" s="9" t="s">
        <v>993</v>
      </c>
      <c r="M407" s="9" t="s">
        <v>1012</v>
      </c>
      <c r="N407" s="9">
        <v>1</v>
      </c>
      <c r="O407" s="9">
        <v>15</v>
      </c>
      <c r="P407" s="9" t="s">
        <v>811</v>
      </c>
      <c r="T407" s="9" t="s">
        <v>748</v>
      </c>
      <c r="V407" s="85" t="s">
        <v>575</v>
      </c>
      <c r="W407" s="9">
        <f ca="1">IFERROR(OFFSET(ITEM_RES!$A$5,MATCH(BUILDING!V407,ITEM_RES!$J$5:$J$226,0)-1,0),0)</f>
        <v>211020201</v>
      </c>
      <c r="X407" s="11">
        <v>1</v>
      </c>
      <c r="Y407" s="85" t="s">
        <v>577</v>
      </c>
      <c r="Z407" s="9">
        <f ca="1">IFERROR(OFFSET(ITEM_RES!$A$5,MATCH(BUILDING!Y407,ITEM_RES!$J$5:$J$226,0)-1,0),0)</f>
        <v>211020301</v>
      </c>
      <c r="AB407" s="9" t="s">
        <v>555</v>
      </c>
      <c r="AC407" s="9">
        <v>3</v>
      </c>
      <c r="AE407" s="9">
        <v>1200</v>
      </c>
      <c r="AG407" s="56">
        <f t="shared" si="119"/>
        <v>315</v>
      </c>
      <c r="AH407" s="10">
        <f t="shared" ref="AH407:AH424" si="127">AG406+AG407</f>
        <v>525</v>
      </c>
      <c r="AJ407" s="11">
        <f t="shared" si="118"/>
        <v>15</v>
      </c>
      <c r="AK407" s="10">
        <v>15</v>
      </c>
      <c r="AL407" s="11">
        <f t="shared" si="125"/>
        <v>15</v>
      </c>
      <c r="AM407" s="10">
        <v>15</v>
      </c>
      <c r="AN407" s="11">
        <f t="shared" si="125"/>
        <v>15</v>
      </c>
      <c r="AO407" s="10">
        <v>15</v>
      </c>
      <c r="AP407" s="56">
        <f t="shared" si="120"/>
        <v>2</v>
      </c>
      <c r="AR407" s="11">
        <f ca="1">IFERROR(OFFSET(ITEM_RES!$A$1,MATCH(AS407,ITEM_RES!$J:$J,0)-1,0),0)</f>
        <v>211020401</v>
      </c>
      <c r="AS407" s="10" t="s">
        <v>455</v>
      </c>
      <c r="AT407" s="11">
        <v>75</v>
      </c>
      <c r="AW407" s="11">
        <f ca="1">IFERROR(OFFSET(ITEM_RES!$A$1,MATCH(AX407,ITEM_RES!$J:$J,0)-1,0),0)</f>
        <v>211020201</v>
      </c>
      <c r="AX407" s="10" t="s">
        <v>448</v>
      </c>
      <c r="AY407" s="11">
        <v>75</v>
      </c>
      <c r="BB407" s="11">
        <f ca="1">IFERROR(OFFSET(ITEM_RES!$A$1,MATCH(BC407,ITEM_RES!$J:$J,0)-1,0),0)</f>
        <v>0</v>
      </c>
      <c r="BG407" s="11">
        <f ca="1">IFERROR(OFFSET(ITEM_RES!$A$1,MATCH(BH407,ITEM_RES!$J:$J,0)-1,0),0)</f>
        <v>0</v>
      </c>
      <c r="BL407" s="11">
        <f ca="1">IFERROR(OFFSET(ITEM_RES!$A$1,MATCH(BM407,ITEM_RES!$J:$J,0)-1,0),0)</f>
        <v>0</v>
      </c>
    </row>
    <row r="408" spans="1:67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368</v>
      </c>
      <c r="L408" s="9" t="s">
        <v>993</v>
      </c>
      <c r="M408" s="9" t="s">
        <v>1012</v>
      </c>
      <c r="N408" s="9">
        <v>1</v>
      </c>
      <c r="O408" s="9">
        <v>15</v>
      </c>
      <c r="P408" s="9" t="s">
        <v>811</v>
      </c>
      <c r="T408" s="9" t="s">
        <v>748</v>
      </c>
      <c r="V408" s="85" t="s">
        <v>575</v>
      </c>
      <c r="W408" s="9">
        <f ca="1">IFERROR(OFFSET(ITEM_RES!$A$5,MATCH(BUILDING!V408,ITEM_RES!$J$5:$J$226,0)-1,0),0)</f>
        <v>211020201</v>
      </c>
      <c r="X408" s="11">
        <v>1</v>
      </c>
      <c r="Y408" s="85" t="s">
        <v>577</v>
      </c>
      <c r="Z408" s="9">
        <f ca="1">IFERROR(OFFSET(ITEM_RES!$A$5,MATCH(BUILDING!Y408,ITEM_RES!$J$5:$J$226,0)-1,0),0)</f>
        <v>211020301</v>
      </c>
      <c r="AB408" s="9" t="s">
        <v>555</v>
      </c>
      <c r="AC408" s="9">
        <v>4</v>
      </c>
      <c r="AE408" s="9">
        <v>2000</v>
      </c>
      <c r="AG408" s="56">
        <f t="shared" si="119"/>
        <v>525</v>
      </c>
      <c r="AH408" s="10">
        <f t="shared" si="127"/>
        <v>840</v>
      </c>
      <c r="AJ408" s="11">
        <f t="shared" si="118"/>
        <v>20</v>
      </c>
      <c r="AK408" s="10">
        <v>20</v>
      </c>
      <c r="AL408" s="11">
        <f t="shared" si="125"/>
        <v>25</v>
      </c>
      <c r="AM408" s="10">
        <v>25</v>
      </c>
      <c r="AN408" s="11">
        <f t="shared" si="125"/>
        <v>25</v>
      </c>
      <c r="AO408" s="10">
        <v>25</v>
      </c>
      <c r="AP408" s="56">
        <f t="shared" si="120"/>
        <v>2</v>
      </c>
      <c r="AR408" s="11">
        <f ca="1">IFERROR(OFFSET(ITEM_RES!$A$1,MATCH(AS408,ITEM_RES!$J:$J,0)-1,0),0)</f>
        <v>211020401</v>
      </c>
      <c r="AS408" s="10" t="s">
        <v>455</v>
      </c>
      <c r="AT408" s="11">
        <v>125</v>
      </c>
      <c r="AW408" s="11">
        <f ca="1">IFERROR(OFFSET(ITEM_RES!$A$1,MATCH(AX408,ITEM_RES!$J:$J,0)-1,0),0)</f>
        <v>211020201</v>
      </c>
      <c r="AX408" s="10" t="s">
        <v>448</v>
      </c>
      <c r="AY408" s="11">
        <v>125</v>
      </c>
      <c r="BB408" s="11">
        <f ca="1">IFERROR(OFFSET(ITEM_RES!$A$1,MATCH(BC408,ITEM_RES!$J:$J,0)-1,0),0)</f>
        <v>0</v>
      </c>
      <c r="BG408" s="11">
        <f ca="1">IFERROR(OFFSET(ITEM_RES!$A$1,MATCH(BH408,ITEM_RES!$J:$J,0)-1,0),0)</f>
        <v>0</v>
      </c>
      <c r="BL408" s="11">
        <f ca="1">IFERROR(OFFSET(ITEM_RES!$A$1,MATCH(BM408,ITEM_RES!$J:$J,0)-1,0),0)</f>
        <v>0</v>
      </c>
    </row>
    <row r="409" spans="1:67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368</v>
      </c>
      <c r="L409" s="9" t="s">
        <v>993</v>
      </c>
      <c r="M409" s="9" t="s">
        <v>1012</v>
      </c>
      <c r="N409" s="9">
        <v>1</v>
      </c>
      <c r="O409" s="9">
        <v>15</v>
      </c>
      <c r="P409" s="9" t="s">
        <v>811</v>
      </c>
      <c r="T409" s="9" t="s">
        <v>748</v>
      </c>
      <c r="V409" s="85" t="s">
        <v>575</v>
      </c>
      <c r="W409" s="9">
        <f ca="1">IFERROR(OFFSET(ITEM_RES!$A$5,MATCH(BUILDING!V409,ITEM_RES!$J$5:$J$226,0)-1,0),0)</f>
        <v>211020201</v>
      </c>
      <c r="X409" s="11">
        <v>1</v>
      </c>
      <c r="Y409" s="85" t="s">
        <v>577</v>
      </c>
      <c r="Z409" s="9">
        <f ca="1">IFERROR(OFFSET(ITEM_RES!$A$5,MATCH(BUILDING!Y409,ITEM_RES!$J$5:$J$226,0)-1,0),0)</f>
        <v>211020301</v>
      </c>
      <c r="AB409" s="9" t="s">
        <v>555</v>
      </c>
      <c r="AC409" s="9">
        <v>5</v>
      </c>
      <c r="AE409" s="9">
        <v>3200</v>
      </c>
      <c r="AG409" s="56">
        <f t="shared" si="119"/>
        <v>840</v>
      </c>
      <c r="AH409" s="10">
        <f t="shared" si="127"/>
        <v>1365</v>
      </c>
      <c r="AJ409" s="11">
        <f t="shared" ref="AJ409:AJ472" si="128">ROUND(AK409,0)</f>
        <v>25</v>
      </c>
      <c r="AK409" s="10">
        <v>25</v>
      </c>
      <c r="AL409" s="11">
        <f t="shared" si="125"/>
        <v>40</v>
      </c>
      <c r="AM409" s="10">
        <v>40</v>
      </c>
      <c r="AN409" s="11">
        <f t="shared" si="125"/>
        <v>40</v>
      </c>
      <c r="AO409" s="10">
        <v>40</v>
      </c>
      <c r="AP409" s="56">
        <f t="shared" si="120"/>
        <v>2</v>
      </c>
      <c r="AR409" s="11">
        <f ca="1">IFERROR(OFFSET(ITEM_RES!$A$1,MATCH(AS409,ITEM_RES!$J:$J,0)-1,0),0)</f>
        <v>211020401</v>
      </c>
      <c r="AS409" s="10" t="s">
        <v>455</v>
      </c>
      <c r="AT409" s="11">
        <v>200</v>
      </c>
      <c r="AW409" s="11">
        <f ca="1">IFERROR(OFFSET(ITEM_RES!$A$1,MATCH(AX409,ITEM_RES!$J:$J,0)-1,0),0)</f>
        <v>211020201</v>
      </c>
      <c r="AX409" s="10" t="s">
        <v>448</v>
      </c>
      <c r="AY409" s="11">
        <v>200</v>
      </c>
      <c r="BB409" s="11">
        <f ca="1">IFERROR(OFFSET(ITEM_RES!$A$1,MATCH(BC409,ITEM_RES!$J:$J,0)-1,0),0)</f>
        <v>0</v>
      </c>
      <c r="BG409" s="11">
        <f ca="1">IFERROR(OFFSET(ITEM_RES!$A$1,MATCH(BH409,ITEM_RES!$J:$J,0)-1,0),0)</f>
        <v>0</v>
      </c>
      <c r="BL409" s="11">
        <f ca="1">IFERROR(OFFSET(ITEM_RES!$A$1,MATCH(BM409,ITEM_RES!$J:$J,0)-1,0),0)</f>
        <v>0</v>
      </c>
    </row>
    <row r="410" spans="1:67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368</v>
      </c>
      <c r="L410" s="9" t="s">
        <v>993</v>
      </c>
      <c r="M410" s="9" t="s">
        <v>1012</v>
      </c>
      <c r="N410" s="9">
        <v>1</v>
      </c>
      <c r="O410" s="9">
        <v>15</v>
      </c>
      <c r="P410" s="9" t="s">
        <v>811</v>
      </c>
      <c r="T410" s="9" t="s">
        <v>748</v>
      </c>
      <c r="V410" s="85" t="s">
        <v>575</v>
      </c>
      <c r="W410" s="9">
        <f ca="1">IFERROR(OFFSET(ITEM_RES!$A$5,MATCH(BUILDING!V410,ITEM_RES!$J$5:$J$226,0)-1,0),0)</f>
        <v>211020201</v>
      </c>
      <c r="X410" s="11">
        <v>1</v>
      </c>
      <c r="Y410" s="85" t="s">
        <v>577</v>
      </c>
      <c r="Z410" s="9">
        <f ca="1">IFERROR(OFFSET(ITEM_RES!$A$5,MATCH(BUILDING!Y410,ITEM_RES!$J$5:$J$226,0)-1,0),0)</f>
        <v>211020301</v>
      </c>
      <c r="AB410" s="9" t="s">
        <v>555</v>
      </c>
      <c r="AC410" s="9">
        <v>6</v>
      </c>
      <c r="AE410" s="9">
        <v>4000</v>
      </c>
      <c r="AG410" s="56">
        <f t="shared" ref="AG410:AG473" si="129">AM410*10+AO410+AT410+AY410+500*BD410+500*BI410+500*BN410</f>
        <v>1050</v>
      </c>
      <c r="AH410" s="10">
        <f t="shared" si="127"/>
        <v>1890</v>
      </c>
      <c r="AJ410" s="11">
        <f t="shared" si="128"/>
        <v>30</v>
      </c>
      <c r="AK410" s="10">
        <v>30</v>
      </c>
      <c r="AL410" s="11">
        <f t="shared" si="125"/>
        <v>50</v>
      </c>
      <c r="AM410" s="10">
        <v>50</v>
      </c>
      <c r="AN410" s="11">
        <f t="shared" si="125"/>
        <v>50</v>
      </c>
      <c r="AO410" s="10">
        <v>50</v>
      </c>
      <c r="AP410" s="56">
        <f t="shared" ref="AP410:AP473" si="130">(AT410&gt;0)*1+(AY410&gt;0)*1+(BD410&gt;0)*1+(BI410&gt;0)*1+(BN410&gt;0)*1</f>
        <v>2</v>
      </c>
      <c r="AR410" s="11">
        <f ca="1">IFERROR(OFFSET(ITEM_RES!$A$1,MATCH(AS410,ITEM_RES!$J:$J,0)-1,0),0)</f>
        <v>211020401</v>
      </c>
      <c r="AS410" s="10" t="s">
        <v>455</v>
      </c>
      <c r="AT410" s="11">
        <v>250</v>
      </c>
      <c r="AW410" s="11">
        <f ca="1">IFERROR(OFFSET(ITEM_RES!$A$1,MATCH(AX410,ITEM_RES!$J:$J,0)-1,0),0)</f>
        <v>211020201</v>
      </c>
      <c r="AX410" s="10" t="s">
        <v>448</v>
      </c>
      <c r="AY410" s="11">
        <v>250</v>
      </c>
      <c r="BB410" s="11">
        <f ca="1">IFERROR(OFFSET(ITEM_RES!$A$1,MATCH(BC410,ITEM_RES!$J:$J,0)-1,0),0)</f>
        <v>0</v>
      </c>
      <c r="BG410" s="11">
        <f ca="1">IFERROR(OFFSET(ITEM_RES!$A$1,MATCH(BH410,ITEM_RES!$J:$J,0)-1,0),0)</f>
        <v>0</v>
      </c>
      <c r="BL410" s="11">
        <f ca="1">IFERROR(OFFSET(ITEM_RES!$A$1,MATCH(BM410,ITEM_RES!$J:$J,0)-1,0),0)</f>
        <v>0</v>
      </c>
    </row>
    <row r="411" spans="1:67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368</v>
      </c>
      <c r="L411" s="9" t="s">
        <v>993</v>
      </c>
      <c r="M411" s="9" t="s">
        <v>1012</v>
      </c>
      <c r="N411" s="9">
        <v>1</v>
      </c>
      <c r="O411" s="9">
        <v>15</v>
      </c>
      <c r="P411" s="9" t="s">
        <v>811</v>
      </c>
      <c r="T411" s="9" t="s">
        <v>748</v>
      </c>
      <c r="V411" s="85" t="s">
        <v>575</v>
      </c>
      <c r="W411" s="9">
        <f ca="1">IFERROR(OFFSET(ITEM_RES!$A$5,MATCH(BUILDING!V411,ITEM_RES!$J$5:$J$226,0)-1,0),0)</f>
        <v>211020201</v>
      </c>
      <c r="X411" s="11">
        <v>1</v>
      </c>
      <c r="Y411" s="85" t="s">
        <v>577</v>
      </c>
      <c r="Z411" s="9">
        <f ca="1">IFERROR(OFFSET(ITEM_RES!$A$5,MATCH(BUILDING!Y411,ITEM_RES!$J$5:$J$226,0)-1,0),0)</f>
        <v>211020301</v>
      </c>
      <c r="AB411" s="9" t="s">
        <v>555</v>
      </c>
      <c r="AC411" s="9">
        <v>7</v>
      </c>
      <c r="AE411" s="9">
        <v>8000</v>
      </c>
      <c r="AG411" s="56">
        <f t="shared" si="129"/>
        <v>2100</v>
      </c>
      <c r="AH411" s="10">
        <f t="shared" si="127"/>
        <v>3150</v>
      </c>
      <c r="AJ411" s="11">
        <f t="shared" si="128"/>
        <v>35</v>
      </c>
      <c r="AK411" s="10">
        <v>35</v>
      </c>
      <c r="AL411" s="11">
        <f t="shared" si="125"/>
        <v>100</v>
      </c>
      <c r="AM411" s="10">
        <v>100</v>
      </c>
      <c r="AN411" s="11">
        <f t="shared" si="125"/>
        <v>100</v>
      </c>
      <c r="AO411" s="10">
        <v>100</v>
      </c>
      <c r="AP411" s="56">
        <f t="shared" si="130"/>
        <v>2</v>
      </c>
      <c r="AR411" s="11">
        <f ca="1">IFERROR(OFFSET(ITEM_RES!$A$1,MATCH(AS411,ITEM_RES!$J:$J,0)-1,0),0)</f>
        <v>211020401</v>
      </c>
      <c r="AS411" s="10" t="s">
        <v>455</v>
      </c>
      <c r="AT411" s="11">
        <v>500</v>
      </c>
      <c r="AW411" s="11">
        <f ca="1">IFERROR(OFFSET(ITEM_RES!$A$1,MATCH(AX411,ITEM_RES!$J:$J,0)-1,0),0)</f>
        <v>211020201</v>
      </c>
      <c r="AX411" s="10" t="s">
        <v>448</v>
      </c>
      <c r="AY411" s="11">
        <v>500</v>
      </c>
      <c r="BB411" s="11">
        <f ca="1">IFERROR(OFFSET(ITEM_RES!$A$1,MATCH(BC411,ITEM_RES!$J:$J,0)-1,0),0)</f>
        <v>0</v>
      </c>
      <c r="BG411" s="11">
        <f ca="1">IFERROR(OFFSET(ITEM_RES!$A$1,MATCH(BH411,ITEM_RES!$J:$J,0)-1,0),0)</f>
        <v>0</v>
      </c>
      <c r="BL411" s="11">
        <f ca="1">IFERROR(OFFSET(ITEM_RES!$A$1,MATCH(BM411,ITEM_RES!$J:$J,0)-1,0),0)</f>
        <v>0</v>
      </c>
    </row>
    <row r="412" spans="1:67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368</v>
      </c>
      <c r="L412" s="9" t="s">
        <v>993</v>
      </c>
      <c r="M412" s="9" t="s">
        <v>1012</v>
      </c>
      <c r="N412" s="9">
        <v>1</v>
      </c>
      <c r="O412" s="9">
        <v>15</v>
      </c>
      <c r="P412" s="9" t="s">
        <v>811</v>
      </c>
      <c r="T412" s="9" t="s">
        <v>748</v>
      </c>
      <c r="V412" s="85" t="s">
        <v>575</v>
      </c>
      <c r="W412" s="9">
        <f ca="1">IFERROR(OFFSET(ITEM_RES!$A$5,MATCH(BUILDING!V412,ITEM_RES!$J$5:$J$226,0)-1,0),0)</f>
        <v>211020201</v>
      </c>
      <c r="X412" s="11">
        <v>1</v>
      </c>
      <c r="Y412" s="85" t="s">
        <v>577</v>
      </c>
      <c r="Z412" s="9">
        <f ca="1">IFERROR(OFFSET(ITEM_RES!$A$5,MATCH(BUILDING!Y412,ITEM_RES!$J$5:$J$226,0)-1,0),0)</f>
        <v>211020301</v>
      </c>
      <c r="AB412" s="9" t="s">
        <v>555</v>
      </c>
      <c r="AC412" s="9">
        <v>8</v>
      </c>
      <c r="AE412" s="9">
        <v>8000</v>
      </c>
      <c r="AG412" s="56">
        <f t="shared" si="129"/>
        <v>2100</v>
      </c>
      <c r="AH412" s="10">
        <f t="shared" si="127"/>
        <v>4200</v>
      </c>
      <c r="AJ412" s="11">
        <f t="shared" si="128"/>
        <v>40</v>
      </c>
      <c r="AK412" s="10">
        <v>40</v>
      </c>
      <c r="AL412" s="11">
        <f t="shared" si="125"/>
        <v>100</v>
      </c>
      <c r="AM412" s="10">
        <v>100</v>
      </c>
      <c r="AN412" s="11">
        <f t="shared" si="125"/>
        <v>100</v>
      </c>
      <c r="AO412" s="10">
        <v>100</v>
      </c>
      <c r="AP412" s="56">
        <f t="shared" si="130"/>
        <v>2</v>
      </c>
      <c r="AR412" s="11">
        <f ca="1">IFERROR(OFFSET(ITEM_RES!$A$1,MATCH(AS412,ITEM_RES!$J:$J,0)-1,0),0)</f>
        <v>211020401</v>
      </c>
      <c r="AS412" s="10" t="s">
        <v>455</v>
      </c>
      <c r="AT412" s="11">
        <v>500</v>
      </c>
      <c r="AW412" s="11">
        <f ca="1">IFERROR(OFFSET(ITEM_RES!$A$1,MATCH(AX412,ITEM_RES!$J:$J,0)-1,0),0)</f>
        <v>211020201</v>
      </c>
      <c r="AX412" s="10" t="s">
        <v>448</v>
      </c>
      <c r="AY412" s="11">
        <v>500</v>
      </c>
      <c r="BB412" s="11">
        <f ca="1">IFERROR(OFFSET(ITEM_RES!$A$1,MATCH(BC412,ITEM_RES!$J:$J,0)-1,0),0)</f>
        <v>0</v>
      </c>
      <c r="BG412" s="11">
        <f ca="1">IFERROR(OFFSET(ITEM_RES!$A$1,MATCH(BH412,ITEM_RES!$J:$J,0)-1,0),0)</f>
        <v>0</v>
      </c>
      <c r="BL412" s="11">
        <f ca="1">IFERROR(OFFSET(ITEM_RES!$A$1,MATCH(BM412,ITEM_RES!$J:$J,0)-1,0),0)</f>
        <v>0</v>
      </c>
    </row>
    <row r="413" spans="1:67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368</v>
      </c>
      <c r="L413" s="9" t="s">
        <v>993</v>
      </c>
      <c r="M413" s="9" t="s">
        <v>1012</v>
      </c>
      <c r="N413" s="9">
        <v>1</v>
      </c>
      <c r="O413" s="9">
        <v>15</v>
      </c>
      <c r="P413" s="9" t="s">
        <v>811</v>
      </c>
      <c r="T413" s="9" t="s">
        <v>748</v>
      </c>
      <c r="V413" s="85" t="s">
        <v>575</v>
      </c>
      <c r="W413" s="9">
        <f ca="1">IFERROR(OFFSET(ITEM_RES!$A$5,MATCH(BUILDING!V413,ITEM_RES!$J$5:$J$226,0)-1,0),0)</f>
        <v>211020201</v>
      </c>
      <c r="X413" s="11">
        <v>1</v>
      </c>
      <c r="Y413" s="85" t="s">
        <v>577</v>
      </c>
      <c r="Z413" s="9">
        <f ca="1">IFERROR(OFFSET(ITEM_RES!$A$5,MATCH(BUILDING!Y413,ITEM_RES!$J$5:$J$226,0)-1,0),0)</f>
        <v>211020301</v>
      </c>
      <c r="AB413" s="9" t="s">
        <v>555</v>
      </c>
      <c r="AC413" s="9">
        <v>9</v>
      </c>
      <c r="AE413" s="9">
        <v>12000</v>
      </c>
      <c r="AG413" s="56">
        <f t="shared" si="129"/>
        <v>3150</v>
      </c>
      <c r="AH413" s="10">
        <f t="shared" si="127"/>
        <v>5250</v>
      </c>
      <c r="AJ413" s="11">
        <f t="shared" si="128"/>
        <v>45</v>
      </c>
      <c r="AK413" s="10">
        <v>45</v>
      </c>
      <c r="AL413" s="11">
        <f t="shared" si="125"/>
        <v>150</v>
      </c>
      <c r="AM413" s="10">
        <v>150</v>
      </c>
      <c r="AN413" s="11">
        <f t="shared" si="125"/>
        <v>150</v>
      </c>
      <c r="AO413" s="10">
        <v>150</v>
      </c>
      <c r="AP413" s="56">
        <f t="shared" si="130"/>
        <v>2</v>
      </c>
      <c r="AR413" s="11">
        <f ca="1">IFERROR(OFFSET(ITEM_RES!$A$1,MATCH(AS413,ITEM_RES!$J:$J,0)-1,0),0)</f>
        <v>211020401</v>
      </c>
      <c r="AS413" s="10" t="s">
        <v>455</v>
      </c>
      <c r="AT413" s="11">
        <v>750</v>
      </c>
      <c r="AW413" s="11">
        <f ca="1">IFERROR(OFFSET(ITEM_RES!$A$1,MATCH(AX413,ITEM_RES!$J:$J,0)-1,0),0)</f>
        <v>211020201</v>
      </c>
      <c r="AX413" s="10" t="s">
        <v>448</v>
      </c>
      <c r="AY413" s="11">
        <v>750</v>
      </c>
      <c r="BB413" s="11">
        <f ca="1">IFERROR(OFFSET(ITEM_RES!$A$1,MATCH(BC413,ITEM_RES!$J:$J,0)-1,0),0)</f>
        <v>0</v>
      </c>
      <c r="BG413" s="11">
        <f ca="1">IFERROR(OFFSET(ITEM_RES!$A$1,MATCH(BH413,ITEM_RES!$J:$J,0)-1,0),0)</f>
        <v>0</v>
      </c>
      <c r="BL413" s="11">
        <f ca="1">IFERROR(OFFSET(ITEM_RES!$A$1,MATCH(BM413,ITEM_RES!$J:$J,0)-1,0),0)</f>
        <v>0</v>
      </c>
    </row>
    <row r="414" spans="1:67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368</v>
      </c>
      <c r="L414" s="9" t="s">
        <v>993</v>
      </c>
      <c r="M414" s="9" t="s">
        <v>1012</v>
      </c>
      <c r="N414" s="9">
        <v>1</v>
      </c>
      <c r="O414" s="9">
        <v>15</v>
      </c>
      <c r="P414" s="9" t="s">
        <v>811</v>
      </c>
      <c r="T414" s="9" t="s">
        <v>748</v>
      </c>
      <c r="V414" s="85" t="s">
        <v>575</v>
      </c>
      <c r="W414" s="9">
        <f ca="1">IFERROR(OFFSET(ITEM_RES!$A$5,MATCH(BUILDING!V414,ITEM_RES!$J$5:$J$226,0)-1,0),0)</f>
        <v>211020201</v>
      </c>
      <c r="X414" s="11">
        <v>1</v>
      </c>
      <c r="Y414" s="85" t="s">
        <v>577</v>
      </c>
      <c r="Z414" s="9">
        <f ca="1">IFERROR(OFFSET(ITEM_RES!$A$5,MATCH(BUILDING!Y414,ITEM_RES!$J$5:$J$226,0)-1,0),0)</f>
        <v>211020301</v>
      </c>
      <c r="AB414" s="9" t="s">
        <v>555</v>
      </c>
      <c r="AC414" s="9">
        <v>10</v>
      </c>
      <c r="AE414" s="9">
        <v>16000</v>
      </c>
      <c r="AG414" s="56">
        <f t="shared" si="129"/>
        <v>4200</v>
      </c>
      <c r="AH414" s="10">
        <f t="shared" si="127"/>
        <v>7350</v>
      </c>
      <c r="AJ414" s="11">
        <f t="shared" si="128"/>
        <v>50</v>
      </c>
      <c r="AK414" s="10">
        <v>50</v>
      </c>
      <c r="AL414" s="11">
        <f t="shared" si="125"/>
        <v>200</v>
      </c>
      <c r="AM414" s="10">
        <v>200</v>
      </c>
      <c r="AN414" s="11">
        <f t="shared" si="125"/>
        <v>200</v>
      </c>
      <c r="AO414" s="10">
        <v>200</v>
      </c>
      <c r="AP414" s="56">
        <f t="shared" si="130"/>
        <v>2</v>
      </c>
      <c r="AR414" s="11">
        <f ca="1">IFERROR(OFFSET(ITEM_RES!$A$1,MATCH(AS414,ITEM_RES!$J:$J,0)-1,0),0)</f>
        <v>211020401</v>
      </c>
      <c r="AS414" s="10" t="s">
        <v>455</v>
      </c>
      <c r="AT414" s="11">
        <v>1000</v>
      </c>
      <c r="AW414" s="11">
        <f ca="1">IFERROR(OFFSET(ITEM_RES!$A$1,MATCH(AX414,ITEM_RES!$J:$J,0)-1,0),0)</f>
        <v>211020201</v>
      </c>
      <c r="AX414" s="10" t="s">
        <v>448</v>
      </c>
      <c r="AY414" s="11">
        <v>1000</v>
      </c>
      <c r="BB414" s="11">
        <f ca="1">IFERROR(OFFSET(ITEM_RES!$A$1,MATCH(BC414,ITEM_RES!$J:$J,0)-1,0),0)</f>
        <v>0</v>
      </c>
      <c r="BG414" s="11">
        <f ca="1">IFERROR(OFFSET(ITEM_RES!$A$1,MATCH(BH414,ITEM_RES!$J:$J,0)-1,0),0)</f>
        <v>0</v>
      </c>
      <c r="BL414" s="11">
        <f ca="1">IFERROR(OFFSET(ITEM_RES!$A$1,MATCH(BM414,ITEM_RES!$J:$J,0)-1,0),0)</f>
        <v>0</v>
      </c>
    </row>
    <row r="415" spans="1:67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368</v>
      </c>
      <c r="L415" s="9" t="s">
        <v>993</v>
      </c>
      <c r="M415" s="9" t="s">
        <v>1012</v>
      </c>
      <c r="N415" s="9">
        <v>1</v>
      </c>
      <c r="O415" s="9">
        <v>15</v>
      </c>
      <c r="P415" s="9" t="s">
        <v>811</v>
      </c>
      <c r="T415" s="9" t="s">
        <v>748</v>
      </c>
      <c r="V415" s="85" t="s">
        <v>575</v>
      </c>
      <c r="W415" s="9">
        <f ca="1">IFERROR(OFFSET(ITEM_RES!$A$5,MATCH(BUILDING!V415,ITEM_RES!$J$5:$J$226,0)-1,0),0)</f>
        <v>211020201</v>
      </c>
      <c r="X415" s="11">
        <v>1</v>
      </c>
      <c r="Y415" s="85" t="s">
        <v>577</v>
      </c>
      <c r="Z415" s="9">
        <f ca="1">IFERROR(OFFSET(ITEM_RES!$A$5,MATCH(BUILDING!Y415,ITEM_RES!$J$5:$J$226,0)-1,0),0)</f>
        <v>211020301</v>
      </c>
      <c r="AB415" s="9" t="s">
        <v>555</v>
      </c>
      <c r="AC415" s="9">
        <v>11</v>
      </c>
      <c r="AE415" s="9">
        <v>20000</v>
      </c>
      <c r="AG415" s="56">
        <f t="shared" si="129"/>
        <v>5750</v>
      </c>
      <c r="AH415" s="10">
        <f t="shared" si="127"/>
        <v>9950</v>
      </c>
      <c r="AJ415" s="11">
        <f t="shared" si="128"/>
        <v>55</v>
      </c>
      <c r="AK415" s="10">
        <v>55</v>
      </c>
      <c r="AL415" s="11">
        <f t="shared" si="125"/>
        <v>250</v>
      </c>
      <c r="AM415" s="10">
        <v>250</v>
      </c>
      <c r="AN415" s="11">
        <f t="shared" si="125"/>
        <v>250</v>
      </c>
      <c r="AO415" s="10">
        <v>250</v>
      </c>
      <c r="AP415" s="56">
        <f t="shared" si="130"/>
        <v>3</v>
      </c>
      <c r="AR415" s="11">
        <f ca="1">IFERROR(OFFSET(ITEM_RES!$A$1,MATCH(AS415,ITEM_RES!$J:$J,0)-1,0),0)</f>
        <v>211020401</v>
      </c>
      <c r="AS415" s="10" t="s">
        <v>455</v>
      </c>
      <c r="AT415" s="11">
        <v>1250</v>
      </c>
      <c r="AW415" s="11">
        <f ca="1">IFERROR(OFFSET(ITEM_RES!$A$1,MATCH(AX415,ITEM_RES!$J:$J,0)-1,0),0)</f>
        <v>211020201</v>
      </c>
      <c r="AX415" s="10" t="s">
        <v>448</v>
      </c>
      <c r="AY415" s="11">
        <v>1250</v>
      </c>
      <c r="BB415" s="11">
        <f ca="1">IFERROR(OFFSET(ITEM_RES!$A$1,MATCH(BC415,ITEM_RES!$J:$J,0)-1,0),0)</f>
        <v>0</v>
      </c>
      <c r="BG415" s="11">
        <f ca="1">IFERROR(OFFSET(ITEM_RES!$A$1,MATCH(BH415,ITEM_RES!$J:$J,0)-1,0),0)</f>
        <v>213011201</v>
      </c>
      <c r="BH415" s="10" t="s">
        <v>492</v>
      </c>
      <c r="BI415" s="11">
        <v>1</v>
      </c>
      <c r="BL415" s="11">
        <f ca="1">IFERROR(OFFSET(ITEM_RES!$A$1,MATCH(BM415,ITEM_RES!$J:$J,0)-1,0),0)</f>
        <v>0</v>
      </c>
    </row>
    <row r="416" spans="1:67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368</v>
      </c>
      <c r="L416" s="9" t="s">
        <v>993</v>
      </c>
      <c r="M416" s="9" t="s">
        <v>1012</v>
      </c>
      <c r="N416" s="9">
        <v>1</v>
      </c>
      <c r="O416" s="9">
        <v>15</v>
      </c>
      <c r="P416" s="9" t="s">
        <v>811</v>
      </c>
      <c r="T416" s="9" t="s">
        <v>748</v>
      </c>
      <c r="V416" s="85" t="s">
        <v>575</v>
      </c>
      <c r="W416" s="9">
        <f ca="1">IFERROR(OFFSET(ITEM_RES!$A$5,MATCH(BUILDING!V416,ITEM_RES!$J$5:$J$226,0)-1,0),0)</f>
        <v>211020201</v>
      </c>
      <c r="X416" s="11">
        <v>1</v>
      </c>
      <c r="Y416" s="85" t="s">
        <v>577</v>
      </c>
      <c r="Z416" s="9">
        <f ca="1">IFERROR(OFFSET(ITEM_RES!$A$5,MATCH(BUILDING!Y416,ITEM_RES!$J$5:$J$226,0)-1,0),0)</f>
        <v>211020301</v>
      </c>
      <c r="AB416" s="9" t="s">
        <v>555</v>
      </c>
      <c r="AC416" s="9">
        <v>12</v>
      </c>
      <c r="AE416" s="9">
        <v>24000</v>
      </c>
      <c r="AG416" s="56">
        <f t="shared" si="129"/>
        <v>6300</v>
      </c>
      <c r="AH416" s="10">
        <f t="shared" si="127"/>
        <v>12050</v>
      </c>
      <c r="AJ416" s="11">
        <f t="shared" si="128"/>
        <v>60</v>
      </c>
      <c r="AK416" s="10">
        <v>60</v>
      </c>
      <c r="AL416" s="11">
        <f t="shared" si="125"/>
        <v>300</v>
      </c>
      <c r="AM416" s="10">
        <v>300</v>
      </c>
      <c r="AN416" s="11">
        <f t="shared" si="125"/>
        <v>300</v>
      </c>
      <c r="AO416" s="10">
        <v>300</v>
      </c>
      <c r="AP416" s="56">
        <f t="shared" si="130"/>
        <v>2</v>
      </c>
      <c r="AR416" s="11">
        <f ca="1">IFERROR(OFFSET(ITEM_RES!$A$1,MATCH(AS416,ITEM_RES!$J:$J,0)-1,0),0)</f>
        <v>211020401</v>
      </c>
      <c r="AS416" s="10" t="s">
        <v>455</v>
      </c>
      <c r="AT416" s="11">
        <v>1500</v>
      </c>
      <c r="AW416" s="11">
        <f ca="1">IFERROR(OFFSET(ITEM_RES!$A$1,MATCH(AX416,ITEM_RES!$J:$J,0)-1,0),0)</f>
        <v>211020201</v>
      </c>
      <c r="AX416" s="10" t="s">
        <v>448</v>
      </c>
      <c r="AY416" s="11">
        <v>1500</v>
      </c>
      <c r="BB416" s="11">
        <f ca="1">IFERROR(OFFSET(ITEM_RES!$A$1,MATCH(BC416,ITEM_RES!$J:$J,0)-1,0),0)</f>
        <v>0</v>
      </c>
      <c r="BG416" s="11">
        <f ca="1">IFERROR(OFFSET(ITEM_RES!$A$1,MATCH(BH416,ITEM_RES!$J:$J,0)-1,0),0)</f>
        <v>0</v>
      </c>
      <c r="BL416" s="11">
        <f ca="1">IFERROR(OFFSET(ITEM_RES!$A$1,MATCH(BM416,ITEM_RES!$J:$J,0)-1,0),0)</f>
        <v>0</v>
      </c>
    </row>
    <row r="417" spans="1:67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368</v>
      </c>
      <c r="L417" s="9" t="s">
        <v>993</v>
      </c>
      <c r="M417" s="9" t="s">
        <v>1012</v>
      </c>
      <c r="N417" s="9">
        <v>1</v>
      </c>
      <c r="O417" s="9">
        <v>15</v>
      </c>
      <c r="P417" s="9" t="s">
        <v>811</v>
      </c>
      <c r="T417" s="9" t="s">
        <v>748</v>
      </c>
      <c r="V417" s="85" t="s">
        <v>575</v>
      </c>
      <c r="W417" s="9">
        <f ca="1">IFERROR(OFFSET(ITEM_RES!$A$5,MATCH(BUILDING!V417,ITEM_RES!$J$5:$J$226,0)-1,0),0)</f>
        <v>211020201</v>
      </c>
      <c r="X417" s="11">
        <v>1</v>
      </c>
      <c r="Y417" s="85" t="s">
        <v>577</v>
      </c>
      <c r="Z417" s="9">
        <f ca="1">IFERROR(OFFSET(ITEM_RES!$A$5,MATCH(BUILDING!Y417,ITEM_RES!$J$5:$J$226,0)-1,0),0)</f>
        <v>211020301</v>
      </c>
      <c r="AB417" s="9" t="s">
        <v>555</v>
      </c>
      <c r="AC417" s="9">
        <v>13</v>
      </c>
      <c r="AE417" s="9">
        <v>28000</v>
      </c>
      <c r="AG417" s="56">
        <f t="shared" si="129"/>
        <v>7350</v>
      </c>
      <c r="AH417" s="10">
        <f t="shared" si="127"/>
        <v>13650</v>
      </c>
      <c r="AJ417" s="11">
        <f t="shared" si="128"/>
        <v>65</v>
      </c>
      <c r="AK417" s="10">
        <v>65</v>
      </c>
      <c r="AL417" s="11">
        <f t="shared" si="125"/>
        <v>350</v>
      </c>
      <c r="AM417" s="10">
        <v>350</v>
      </c>
      <c r="AN417" s="11">
        <f t="shared" si="125"/>
        <v>350</v>
      </c>
      <c r="AO417" s="10">
        <v>350</v>
      </c>
      <c r="AP417" s="56">
        <f t="shared" si="130"/>
        <v>2</v>
      </c>
      <c r="AR417" s="11">
        <f ca="1">IFERROR(OFFSET(ITEM_RES!$A$1,MATCH(AS417,ITEM_RES!$J:$J,0)-1,0),0)</f>
        <v>211020401</v>
      </c>
      <c r="AS417" s="10" t="s">
        <v>455</v>
      </c>
      <c r="AT417" s="11">
        <v>1750</v>
      </c>
      <c r="AW417" s="11">
        <f ca="1">IFERROR(OFFSET(ITEM_RES!$A$1,MATCH(AX417,ITEM_RES!$J:$J,0)-1,0),0)</f>
        <v>211020201</v>
      </c>
      <c r="AX417" s="10" t="s">
        <v>448</v>
      </c>
      <c r="AY417" s="11">
        <v>1750</v>
      </c>
      <c r="BB417" s="11">
        <f ca="1">IFERROR(OFFSET(ITEM_RES!$A$1,MATCH(BC417,ITEM_RES!$J:$J,0)-1,0),0)</f>
        <v>0</v>
      </c>
      <c r="BG417" s="11">
        <f ca="1">IFERROR(OFFSET(ITEM_RES!$A$1,MATCH(BH417,ITEM_RES!$J:$J,0)-1,0),0)</f>
        <v>0</v>
      </c>
      <c r="BL417" s="11">
        <f ca="1">IFERROR(OFFSET(ITEM_RES!$A$1,MATCH(BM417,ITEM_RES!$J:$J,0)-1,0),0)</f>
        <v>0</v>
      </c>
    </row>
    <row r="418" spans="1:67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368</v>
      </c>
      <c r="L418" s="9" t="s">
        <v>993</v>
      </c>
      <c r="M418" s="9" t="s">
        <v>1012</v>
      </c>
      <c r="N418" s="9">
        <v>1</v>
      </c>
      <c r="O418" s="9">
        <v>15</v>
      </c>
      <c r="P418" s="9" t="s">
        <v>811</v>
      </c>
      <c r="T418" s="9" t="s">
        <v>748</v>
      </c>
      <c r="V418" s="85" t="s">
        <v>575</v>
      </c>
      <c r="W418" s="9">
        <f ca="1">IFERROR(OFFSET(ITEM_RES!$A$5,MATCH(BUILDING!V418,ITEM_RES!$J$5:$J$226,0)-1,0),0)</f>
        <v>211020201</v>
      </c>
      <c r="X418" s="11">
        <v>1</v>
      </c>
      <c r="Y418" s="85" t="s">
        <v>577</v>
      </c>
      <c r="Z418" s="9">
        <f ca="1">IFERROR(OFFSET(ITEM_RES!$A$5,MATCH(BUILDING!Y418,ITEM_RES!$J$5:$J$226,0)-1,0),0)</f>
        <v>211020301</v>
      </c>
      <c r="AB418" s="9" t="s">
        <v>555</v>
      </c>
      <c r="AC418" s="9">
        <v>14</v>
      </c>
      <c r="AE418" s="9">
        <v>36000</v>
      </c>
      <c r="AG418" s="56">
        <f t="shared" si="129"/>
        <v>9450</v>
      </c>
      <c r="AH418" s="10">
        <f t="shared" si="127"/>
        <v>16800</v>
      </c>
      <c r="AJ418" s="11">
        <f t="shared" si="128"/>
        <v>70</v>
      </c>
      <c r="AK418" s="10">
        <v>70</v>
      </c>
      <c r="AL418" s="11">
        <f t="shared" si="125"/>
        <v>450</v>
      </c>
      <c r="AM418" s="10">
        <v>450</v>
      </c>
      <c r="AN418" s="11">
        <f t="shared" si="125"/>
        <v>450</v>
      </c>
      <c r="AO418" s="10">
        <v>450</v>
      </c>
      <c r="AP418" s="56">
        <f t="shared" si="130"/>
        <v>2</v>
      </c>
      <c r="AR418" s="11">
        <f ca="1">IFERROR(OFFSET(ITEM_RES!$A$1,MATCH(AS418,ITEM_RES!$J:$J,0)-1,0),0)</f>
        <v>211020401</v>
      </c>
      <c r="AS418" s="10" t="s">
        <v>455</v>
      </c>
      <c r="AT418" s="11">
        <v>2250</v>
      </c>
      <c r="AW418" s="11">
        <f ca="1">IFERROR(OFFSET(ITEM_RES!$A$1,MATCH(AX418,ITEM_RES!$J:$J,0)-1,0),0)</f>
        <v>0</v>
      </c>
      <c r="AX418" s="10" t="s">
        <v>463</v>
      </c>
      <c r="AY418" s="11">
        <v>2250</v>
      </c>
      <c r="BB418" s="11">
        <f ca="1">IFERROR(OFFSET(ITEM_RES!$A$1,MATCH(BC418,ITEM_RES!$J:$J,0)-1,0),0)</f>
        <v>0</v>
      </c>
      <c r="BG418" s="11">
        <f ca="1">IFERROR(OFFSET(ITEM_RES!$A$1,MATCH(BH418,ITEM_RES!$J:$J,0)-1,0),0)</f>
        <v>0</v>
      </c>
      <c r="BL418" s="11">
        <f ca="1">IFERROR(OFFSET(ITEM_RES!$A$1,MATCH(BM418,ITEM_RES!$J:$J,0)-1,0),0)</f>
        <v>0</v>
      </c>
    </row>
    <row r="419" spans="1:67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368</v>
      </c>
      <c r="L419" s="9" t="s">
        <v>993</v>
      </c>
      <c r="M419" s="9" t="s">
        <v>1012</v>
      </c>
      <c r="N419" s="9">
        <v>1</v>
      </c>
      <c r="O419" s="9">
        <v>15</v>
      </c>
      <c r="P419" s="9" t="s">
        <v>811</v>
      </c>
      <c r="T419" s="9" t="s">
        <v>748</v>
      </c>
      <c r="V419" s="85" t="s">
        <v>575</v>
      </c>
      <c r="W419" s="9">
        <f ca="1">IFERROR(OFFSET(ITEM_RES!$A$5,MATCH(BUILDING!V419,ITEM_RES!$J$5:$J$226,0)-1,0),0)</f>
        <v>211020201</v>
      </c>
      <c r="X419" s="11">
        <v>1</v>
      </c>
      <c r="Y419" s="85" t="s">
        <v>577</v>
      </c>
      <c r="Z419" s="9">
        <f ca="1">IFERROR(OFFSET(ITEM_RES!$A$5,MATCH(BUILDING!Y419,ITEM_RES!$J$5:$J$226,0)-1,0),0)</f>
        <v>211020301</v>
      </c>
      <c r="AB419" s="9" t="s">
        <v>555</v>
      </c>
      <c r="AC419" s="9">
        <v>15</v>
      </c>
      <c r="AE419" s="9">
        <v>44000</v>
      </c>
      <c r="AG419" s="56">
        <f t="shared" si="129"/>
        <v>11550</v>
      </c>
      <c r="AH419" s="10">
        <f t="shared" si="127"/>
        <v>21000</v>
      </c>
      <c r="AJ419" s="11">
        <f t="shared" si="128"/>
        <v>75</v>
      </c>
      <c r="AK419" s="10">
        <v>75</v>
      </c>
      <c r="AL419" s="11">
        <f t="shared" si="125"/>
        <v>550</v>
      </c>
      <c r="AM419" s="10">
        <v>550</v>
      </c>
      <c r="AN419" s="11">
        <f t="shared" si="125"/>
        <v>550</v>
      </c>
      <c r="AO419" s="10">
        <v>550</v>
      </c>
      <c r="AP419" s="56">
        <f t="shared" si="130"/>
        <v>2</v>
      </c>
      <c r="AR419" s="11">
        <f ca="1">IFERROR(OFFSET(ITEM_RES!$A$1,MATCH(AS419,ITEM_RES!$J:$J,0)-1,0),0)</f>
        <v>211020501</v>
      </c>
      <c r="AS419" s="10" t="s">
        <v>451</v>
      </c>
      <c r="AT419" s="11">
        <v>2750</v>
      </c>
      <c r="AW419" s="11">
        <f ca="1">IFERROR(OFFSET(ITEM_RES!$A$1,MATCH(AX419,ITEM_RES!$J:$J,0)-1,0),0)</f>
        <v>0</v>
      </c>
      <c r="AX419" s="10" t="s">
        <v>463</v>
      </c>
      <c r="AY419" s="11">
        <v>2750</v>
      </c>
      <c r="BB419" s="11">
        <f ca="1">IFERROR(OFFSET(ITEM_RES!$A$1,MATCH(BC419,ITEM_RES!$J:$J,0)-1,0),0)</f>
        <v>0</v>
      </c>
      <c r="BG419" s="11">
        <f ca="1">IFERROR(OFFSET(ITEM_RES!$A$1,MATCH(BH419,ITEM_RES!$J:$J,0)-1,0),0)</f>
        <v>0</v>
      </c>
      <c r="BL419" s="11">
        <f ca="1">IFERROR(OFFSET(ITEM_RES!$A$1,MATCH(BM419,ITEM_RES!$J:$J,0)-1,0),0)</f>
        <v>0</v>
      </c>
    </row>
    <row r="420" spans="1:67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368</v>
      </c>
      <c r="L420" s="9" t="s">
        <v>993</v>
      </c>
      <c r="M420" s="9" t="s">
        <v>1012</v>
      </c>
      <c r="N420" s="9">
        <v>0</v>
      </c>
      <c r="O420" s="9">
        <v>15</v>
      </c>
      <c r="P420" s="9" t="s">
        <v>811</v>
      </c>
      <c r="T420" s="9" t="s">
        <v>748</v>
      </c>
      <c r="V420" s="85" t="s">
        <v>575</v>
      </c>
      <c r="W420" s="9">
        <f ca="1">IFERROR(OFFSET(ITEM_RES!$A$5,MATCH(BUILDING!V420,ITEM_RES!$J$5:$J$226,0)-1,0),0)</f>
        <v>211020201</v>
      </c>
      <c r="X420" s="11">
        <v>1</v>
      </c>
      <c r="Y420" s="85" t="s">
        <v>577</v>
      </c>
      <c r="Z420" s="9">
        <f ca="1">IFERROR(OFFSET(ITEM_RES!$A$5,MATCH(BUILDING!Y420,ITEM_RES!$J$5:$J$226,0)-1,0),0)</f>
        <v>211020301</v>
      </c>
      <c r="AB420" s="9" t="s">
        <v>555</v>
      </c>
      <c r="AC420" s="9">
        <v>16</v>
      </c>
      <c r="AE420" s="9">
        <v>56000</v>
      </c>
      <c r="AG420" s="56">
        <f t="shared" si="129"/>
        <v>14700</v>
      </c>
      <c r="AH420" s="10">
        <f t="shared" si="127"/>
        <v>26250</v>
      </c>
      <c r="AJ420" s="11">
        <f t="shared" si="128"/>
        <v>80</v>
      </c>
      <c r="AK420" s="10">
        <v>80</v>
      </c>
      <c r="AL420" s="11">
        <f t="shared" si="125"/>
        <v>700</v>
      </c>
      <c r="AM420" s="10">
        <v>700</v>
      </c>
      <c r="AN420" s="11">
        <f t="shared" si="125"/>
        <v>700</v>
      </c>
      <c r="AO420" s="10">
        <v>700</v>
      </c>
      <c r="AP420" s="56">
        <f t="shared" si="130"/>
        <v>2</v>
      </c>
      <c r="AR420" s="11">
        <f ca="1">IFERROR(OFFSET(ITEM_RES!$A$1,MATCH(AS420,ITEM_RES!$J:$J,0)-1,0),0)</f>
        <v>211020501</v>
      </c>
      <c r="AS420" s="10" t="s">
        <v>451</v>
      </c>
      <c r="AT420" s="11">
        <v>3500</v>
      </c>
      <c r="AW420" s="11">
        <f ca="1">IFERROR(OFFSET(ITEM_RES!$A$1,MATCH(AX420,ITEM_RES!$J:$J,0)-1,0),0)</f>
        <v>0</v>
      </c>
      <c r="AX420" s="10" t="s">
        <v>463</v>
      </c>
      <c r="AY420" s="11">
        <v>3500</v>
      </c>
      <c r="BB420" s="11">
        <f ca="1">IFERROR(OFFSET(ITEM_RES!$A$1,MATCH(BC420,ITEM_RES!$J:$J,0)-1,0),0)</f>
        <v>0</v>
      </c>
      <c r="BG420" s="11">
        <f ca="1">IFERROR(OFFSET(ITEM_RES!$A$1,MATCH(BH420,ITEM_RES!$J:$J,0)-1,0),0)</f>
        <v>0</v>
      </c>
      <c r="BL420" s="11">
        <f ca="1">IFERROR(OFFSET(ITEM_RES!$A$1,MATCH(BM420,ITEM_RES!$J:$J,0)-1,0),0)</f>
        <v>0</v>
      </c>
    </row>
    <row r="421" spans="1:67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368</v>
      </c>
      <c r="L421" s="9" t="s">
        <v>993</v>
      </c>
      <c r="M421" s="9" t="s">
        <v>1012</v>
      </c>
      <c r="N421" s="9">
        <v>0</v>
      </c>
      <c r="O421" s="9">
        <v>15</v>
      </c>
      <c r="P421" s="9" t="s">
        <v>811</v>
      </c>
      <c r="T421" s="9" t="s">
        <v>748</v>
      </c>
      <c r="V421" s="85" t="s">
        <v>575</v>
      </c>
      <c r="W421" s="9">
        <f ca="1">IFERROR(OFFSET(ITEM_RES!$A$5,MATCH(BUILDING!V421,ITEM_RES!$J$5:$J$226,0)-1,0),0)</f>
        <v>211020201</v>
      </c>
      <c r="X421" s="11">
        <v>1</v>
      </c>
      <c r="Y421" s="85" t="s">
        <v>577</v>
      </c>
      <c r="Z421" s="9">
        <f ca="1">IFERROR(OFFSET(ITEM_RES!$A$5,MATCH(BUILDING!Y421,ITEM_RES!$J$5:$J$226,0)-1,0),0)</f>
        <v>211020301</v>
      </c>
      <c r="AB421" s="9" t="s">
        <v>555</v>
      </c>
      <c r="AC421" s="9">
        <v>17</v>
      </c>
      <c r="AE421" s="9">
        <v>68000</v>
      </c>
      <c r="AG421" s="56">
        <f t="shared" si="129"/>
        <v>17850</v>
      </c>
      <c r="AH421" s="10">
        <f t="shared" si="127"/>
        <v>32550</v>
      </c>
      <c r="AJ421" s="11">
        <f t="shared" si="128"/>
        <v>85</v>
      </c>
      <c r="AK421" s="10">
        <v>85</v>
      </c>
      <c r="AL421" s="11">
        <f t="shared" si="125"/>
        <v>850</v>
      </c>
      <c r="AM421" s="10">
        <v>850</v>
      </c>
      <c r="AN421" s="11">
        <f t="shared" si="125"/>
        <v>850</v>
      </c>
      <c r="AO421" s="10">
        <v>850</v>
      </c>
      <c r="AP421" s="56">
        <f t="shared" si="130"/>
        <v>2</v>
      </c>
      <c r="AR421" s="11">
        <f ca="1">IFERROR(OFFSET(ITEM_RES!$A$1,MATCH(AS421,ITEM_RES!$J:$J,0)-1,0),0)</f>
        <v>211020501</v>
      </c>
      <c r="AS421" s="10" t="s">
        <v>451</v>
      </c>
      <c r="AT421" s="11">
        <v>4250</v>
      </c>
      <c r="AW421" s="11">
        <f ca="1">IFERROR(OFFSET(ITEM_RES!$A$1,MATCH(AX421,ITEM_RES!$J:$J,0)-1,0),0)</f>
        <v>0</v>
      </c>
      <c r="AX421" s="10" t="s">
        <v>463</v>
      </c>
      <c r="AY421" s="11">
        <v>4250</v>
      </c>
      <c r="BB421" s="11">
        <f ca="1">IFERROR(OFFSET(ITEM_RES!$A$1,MATCH(BC421,ITEM_RES!$J:$J,0)-1,0),0)</f>
        <v>0</v>
      </c>
      <c r="BG421" s="11">
        <f ca="1">IFERROR(OFFSET(ITEM_RES!$A$1,MATCH(BH421,ITEM_RES!$J:$J,0)-1,0),0)</f>
        <v>0</v>
      </c>
      <c r="BL421" s="11">
        <f ca="1">IFERROR(OFFSET(ITEM_RES!$A$1,MATCH(BM421,ITEM_RES!$J:$J,0)-1,0),0)</f>
        <v>0</v>
      </c>
    </row>
    <row r="422" spans="1:67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368</v>
      </c>
      <c r="L422" s="9" t="s">
        <v>993</v>
      </c>
      <c r="M422" s="9" t="s">
        <v>1012</v>
      </c>
      <c r="N422" s="9">
        <v>0</v>
      </c>
      <c r="O422" s="9">
        <v>15</v>
      </c>
      <c r="P422" s="9" t="s">
        <v>811</v>
      </c>
      <c r="T422" s="9" t="s">
        <v>748</v>
      </c>
      <c r="V422" s="85" t="s">
        <v>575</v>
      </c>
      <c r="W422" s="9">
        <f ca="1">IFERROR(OFFSET(ITEM_RES!$A$5,MATCH(BUILDING!V422,ITEM_RES!$J$5:$J$226,0)-1,0),0)</f>
        <v>211020201</v>
      </c>
      <c r="X422" s="11">
        <v>1</v>
      </c>
      <c r="Y422" s="85" t="s">
        <v>577</v>
      </c>
      <c r="Z422" s="9">
        <f ca="1">IFERROR(OFFSET(ITEM_RES!$A$5,MATCH(BUILDING!Y422,ITEM_RES!$J$5:$J$226,0)-1,0),0)</f>
        <v>211020301</v>
      </c>
      <c r="AB422" s="9" t="s">
        <v>555</v>
      </c>
      <c r="AC422" s="9">
        <v>18</v>
      </c>
      <c r="AE422" s="9">
        <v>84000</v>
      </c>
      <c r="AG422" s="56">
        <f t="shared" si="129"/>
        <v>22050</v>
      </c>
      <c r="AH422" s="10">
        <f t="shared" si="127"/>
        <v>39900</v>
      </c>
      <c r="AJ422" s="11">
        <f t="shared" si="128"/>
        <v>90</v>
      </c>
      <c r="AK422" s="10">
        <v>90</v>
      </c>
      <c r="AL422" s="11">
        <f t="shared" si="125"/>
        <v>1050</v>
      </c>
      <c r="AM422" s="10">
        <v>1050</v>
      </c>
      <c r="AN422" s="11">
        <f t="shared" si="125"/>
        <v>1050</v>
      </c>
      <c r="AO422" s="10">
        <v>1050</v>
      </c>
      <c r="AP422" s="56">
        <f t="shared" si="130"/>
        <v>2</v>
      </c>
      <c r="AR422" s="11">
        <f ca="1">IFERROR(OFFSET(ITEM_RES!$A$1,MATCH(AS422,ITEM_RES!$J:$J,0)-1,0),0)</f>
        <v>211020501</v>
      </c>
      <c r="AS422" s="10" t="s">
        <v>451</v>
      </c>
      <c r="AT422" s="11">
        <v>5250</v>
      </c>
      <c r="AW422" s="11">
        <f ca="1">IFERROR(OFFSET(ITEM_RES!$A$1,MATCH(AX422,ITEM_RES!$J:$J,0)-1,0),0)</f>
        <v>0</v>
      </c>
      <c r="AX422" s="10" t="s">
        <v>463</v>
      </c>
      <c r="AY422" s="11">
        <v>5250</v>
      </c>
      <c r="BB422" s="11">
        <f ca="1">IFERROR(OFFSET(ITEM_RES!$A$1,MATCH(BC422,ITEM_RES!$J:$J,0)-1,0),0)</f>
        <v>0</v>
      </c>
      <c r="BG422" s="11">
        <f ca="1">IFERROR(OFFSET(ITEM_RES!$A$1,MATCH(BH422,ITEM_RES!$J:$J,0)-1,0),0)</f>
        <v>0</v>
      </c>
      <c r="BL422" s="11">
        <f ca="1">IFERROR(OFFSET(ITEM_RES!$A$1,MATCH(BM422,ITEM_RES!$J:$J,0)-1,0),0)</f>
        <v>0</v>
      </c>
    </row>
    <row r="423" spans="1:67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368</v>
      </c>
      <c r="L423" s="9" t="s">
        <v>993</v>
      </c>
      <c r="M423" s="9" t="s">
        <v>1012</v>
      </c>
      <c r="N423" s="9">
        <v>0</v>
      </c>
      <c r="O423" s="9">
        <v>15</v>
      </c>
      <c r="P423" s="9" t="s">
        <v>811</v>
      </c>
      <c r="T423" s="9" t="s">
        <v>748</v>
      </c>
      <c r="V423" s="85" t="s">
        <v>575</v>
      </c>
      <c r="W423" s="9">
        <f ca="1">IFERROR(OFFSET(ITEM_RES!$A$5,MATCH(BUILDING!V423,ITEM_RES!$J$5:$J$226,0)-1,0),0)</f>
        <v>211020201</v>
      </c>
      <c r="X423" s="11">
        <v>1</v>
      </c>
      <c r="Y423" s="85" t="s">
        <v>577</v>
      </c>
      <c r="Z423" s="9">
        <f ca="1">IFERROR(OFFSET(ITEM_RES!$A$5,MATCH(BUILDING!Y423,ITEM_RES!$J$5:$J$226,0)-1,0),0)</f>
        <v>211020301</v>
      </c>
      <c r="AB423" s="9" t="s">
        <v>555</v>
      </c>
      <c r="AC423" s="9">
        <v>19</v>
      </c>
      <c r="AE423" s="9">
        <v>100000</v>
      </c>
      <c r="AG423" s="56">
        <f t="shared" si="129"/>
        <v>26250</v>
      </c>
      <c r="AH423" s="10">
        <f t="shared" si="127"/>
        <v>48300</v>
      </c>
      <c r="AJ423" s="11">
        <f t="shared" si="128"/>
        <v>95</v>
      </c>
      <c r="AK423" s="10">
        <v>95</v>
      </c>
      <c r="AL423" s="11">
        <f t="shared" si="125"/>
        <v>1250</v>
      </c>
      <c r="AM423" s="10">
        <v>1250</v>
      </c>
      <c r="AN423" s="11">
        <f t="shared" si="125"/>
        <v>1250</v>
      </c>
      <c r="AO423" s="10">
        <v>1250</v>
      </c>
      <c r="AP423" s="56">
        <f t="shared" si="130"/>
        <v>2</v>
      </c>
      <c r="AR423" s="11">
        <f ca="1">IFERROR(OFFSET(ITEM_RES!$A$1,MATCH(AS423,ITEM_RES!$J:$J,0)-1,0),0)</f>
        <v>211020501</v>
      </c>
      <c r="AS423" s="10" t="s">
        <v>451</v>
      </c>
      <c r="AT423" s="11">
        <v>6250</v>
      </c>
      <c r="AW423" s="11">
        <f ca="1">IFERROR(OFFSET(ITEM_RES!$A$1,MATCH(AX423,ITEM_RES!$J:$J,0)-1,0),0)</f>
        <v>0</v>
      </c>
      <c r="AX423" s="10" t="s">
        <v>463</v>
      </c>
      <c r="AY423" s="11">
        <v>6250</v>
      </c>
      <c r="BB423" s="11">
        <f ca="1">IFERROR(OFFSET(ITEM_RES!$A$1,MATCH(BC423,ITEM_RES!$J:$J,0)-1,0),0)</f>
        <v>0</v>
      </c>
      <c r="BG423" s="11">
        <f ca="1">IFERROR(OFFSET(ITEM_RES!$A$1,MATCH(BH423,ITEM_RES!$J:$J,0)-1,0),0)</f>
        <v>0</v>
      </c>
      <c r="BL423" s="11">
        <f ca="1">IFERROR(OFFSET(ITEM_RES!$A$1,MATCH(BM423,ITEM_RES!$J:$J,0)-1,0),0)</f>
        <v>0</v>
      </c>
    </row>
    <row r="424" spans="1:67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368</v>
      </c>
      <c r="L424" s="9" t="s">
        <v>993</v>
      </c>
      <c r="M424" s="9" t="s">
        <v>1012</v>
      </c>
      <c r="N424" s="9">
        <v>0</v>
      </c>
      <c r="O424" s="9">
        <v>15</v>
      </c>
      <c r="P424" s="9" t="s">
        <v>811</v>
      </c>
      <c r="T424" s="9" t="s">
        <v>748</v>
      </c>
      <c r="V424" s="85" t="s">
        <v>575</v>
      </c>
      <c r="W424" s="9">
        <f ca="1">IFERROR(OFFSET(ITEM_RES!$A$5,MATCH(BUILDING!V424,ITEM_RES!$J$5:$J$226,0)-1,0),0)</f>
        <v>211020201</v>
      </c>
      <c r="X424" s="11">
        <v>1</v>
      </c>
      <c r="Y424" s="85" t="s">
        <v>577</v>
      </c>
      <c r="Z424" s="9">
        <f ca="1">IFERROR(OFFSET(ITEM_RES!$A$5,MATCH(BUILDING!Y424,ITEM_RES!$J$5:$J$226,0)-1,0),0)</f>
        <v>211020301</v>
      </c>
      <c r="AB424" s="9" t="s">
        <v>555</v>
      </c>
      <c r="AC424" s="9">
        <v>20</v>
      </c>
      <c r="AE424" s="9">
        <v>120000</v>
      </c>
      <c r="AG424" s="56">
        <f t="shared" si="129"/>
        <v>31500</v>
      </c>
      <c r="AH424" s="10">
        <f t="shared" si="127"/>
        <v>57750</v>
      </c>
      <c r="AJ424" s="11">
        <f t="shared" si="128"/>
        <v>100</v>
      </c>
      <c r="AK424" s="10">
        <v>100</v>
      </c>
      <c r="AL424" s="11">
        <f t="shared" si="125"/>
        <v>1500</v>
      </c>
      <c r="AM424" s="10">
        <v>1500</v>
      </c>
      <c r="AN424" s="11">
        <f t="shared" si="125"/>
        <v>1500</v>
      </c>
      <c r="AO424" s="10">
        <v>1500</v>
      </c>
      <c r="AP424" s="56">
        <f t="shared" si="130"/>
        <v>2</v>
      </c>
      <c r="AR424" s="11">
        <f ca="1">IFERROR(OFFSET(ITEM_RES!$A$1,MATCH(AS424,ITEM_RES!$J:$J,0)-1,0),0)</f>
        <v>211020501</v>
      </c>
      <c r="AS424" s="10" t="s">
        <v>451</v>
      </c>
      <c r="AT424" s="11">
        <v>7500</v>
      </c>
      <c r="AW424" s="11">
        <f ca="1">IFERROR(OFFSET(ITEM_RES!$A$1,MATCH(AX424,ITEM_RES!$J:$J,0)-1,0),0)</f>
        <v>0</v>
      </c>
      <c r="AX424" s="10" t="s">
        <v>463</v>
      </c>
      <c r="AY424" s="11">
        <v>7500</v>
      </c>
      <c r="BB424" s="11">
        <f ca="1">IFERROR(OFFSET(ITEM_RES!$A$1,MATCH(BC424,ITEM_RES!$J:$J,0)-1,0),0)</f>
        <v>0</v>
      </c>
      <c r="BG424" s="11">
        <f ca="1">IFERROR(OFFSET(ITEM_RES!$A$1,MATCH(BH424,ITEM_RES!$J:$J,0)-1,0),0)</f>
        <v>0</v>
      </c>
      <c r="BL424" s="11">
        <f ca="1">IFERROR(OFFSET(ITEM_RES!$A$1,MATCH(BM424,ITEM_RES!$J:$J,0)-1,0),0)</f>
        <v>0</v>
      </c>
    </row>
    <row r="425" spans="1:67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79"/>
      <c r="H425" s="16">
        <v>4</v>
      </c>
      <c r="I425" s="16">
        <v>1</v>
      </c>
      <c r="J425" s="79"/>
      <c r="K425" s="16" t="s">
        <v>457</v>
      </c>
      <c r="L425" s="16"/>
      <c r="M425" s="16"/>
      <c r="N425" s="16">
        <v>1</v>
      </c>
      <c r="O425" s="16">
        <v>15</v>
      </c>
      <c r="P425" s="141"/>
      <c r="Q425" s="17"/>
      <c r="R425" s="17"/>
      <c r="S425" s="18"/>
      <c r="T425" s="16" t="s">
        <v>749</v>
      </c>
      <c r="U425" s="79"/>
      <c r="V425" s="87"/>
      <c r="W425" s="16">
        <f ca="1">IFERROR(OFFSET(ITEM_RES!$A$5,MATCH(BUILDING!V425,ITEM_RES!$J$5:$J$226,0)-1,0),0)</f>
        <v>0</v>
      </c>
      <c r="X425" s="18"/>
      <c r="Y425" s="87"/>
      <c r="Z425" s="16">
        <f ca="1">IFERROR(OFFSET(ITEM_RES!$A$5,MATCH(BUILDING!Y425,ITEM_RES!$J$5:$J$226,0)-1,0),0)</f>
        <v>0</v>
      </c>
      <c r="AA425" s="79"/>
      <c r="AB425" s="16" t="s">
        <v>556</v>
      </c>
      <c r="AC425" s="16">
        <v>1</v>
      </c>
      <c r="AD425" s="79"/>
      <c r="AE425" s="16">
        <v>0</v>
      </c>
      <c r="AF425" s="79"/>
      <c r="AG425" s="57">
        <f t="shared" si="129"/>
        <v>580</v>
      </c>
      <c r="AH425" s="17">
        <f>AG425</f>
        <v>580</v>
      </c>
      <c r="AI425" s="79"/>
      <c r="AJ425" s="18">
        <f t="shared" si="128"/>
        <v>5</v>
      </c>
      <c r="AK425" s="17">
        <v>5</v>
      </c>
      <c r="AL425" s="18">
        <f t="shared" si="125"/>
        <v>5</v>
      </c>
      <c r="AM425" s="17">
        <v>5</v>
      </c>
      <c r="AN425" s="18">
        <f t="shared" si="125"/>
        <v>5</v>
      </c>
      <c r="AO425" s="17">
        <v>5</v>
      </c>
      <c r="AP425" s="57">
        <f t="shared" si="130"/>
        <v>2</v>
      </c>
      <c r="AQ425" s="18"/>
      <c r="AR425" s="18">
        <f ca="1">IFERROR(OFFSET(ITEM_RES!$A$1,MATCH(AS425,ITEM_RES!$J:$J,0)-1,0),0)</f>
        <v>211020401</v>
      </c>
      <c r="AS425" s="17" t="s">
        <v>455</v>
      </c>
      <c r="AT425" s="18">
        <v>25</v>
      </c>
      <c r="AU425" s="17"/>
      <c r="AV425" s="18"/>
      <c r="AW425" s="18">
        <f ca="1">IFERROR(OFFSET(ITEM_RES!$A$1,MATCH(AX425,ITEM_RES!$J:$J,0)-1,0),0)</f>
        <v>0</v>
      </c>
      <c r="AX425" s="17"/>
      <c r="AY425" s="18"/>
      <c r="AZ425" s="17"/>
      <c r="BA425" s="18"/>
      <c r="BB425" s="18">
        <f ca="1">IFERROR(OFFSET(ITEM_RES!$A$1,MATCH(BC425,ITEM_RES!$J:$J,0)-1,0),0)</f>
        <v>213010101</v>
      </c>
      <c r="BC425" s="17" t="s">
        <v>477</v>
      </c>
      <c r="BD425" s="18">
        <v>1</v>
      </c>
      <c r="BE425" s="17"/>
      <c r="BF425" s="18"/>
      <c r="BG425" s="18">
        <f ca="1">IFERROR(OFFSET(ITEM_RES!$A$1,MATCH(BH425,ITEM_RES!$J:$J,0)-1,0),0)</f>
        <v>0</v>
      </c>
      <c r="BH425" s="17"/>
      <c r="BI425" s="18"/>
      <c r="BJ425" s="17"/>
      <c r="BK425" s="18"/>
      <c r="BL425" s="18">
        <f ca="1">IFERROR(OFFSET(ITEM_RES!$A$1,MATCH(BM425,ITEM_RES!$J:$J,0)-1,0),0)</f>
        <v>0</v>
      </c>
      <c r="BM425" s="17"/>
      <c r="BN425" s="18"/>
      <c r="BO425" s="17"/>
    </row>
    <row r="426" spans="1:67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457</v>
      </c>
      <c r="N426" s="9">
        <v>1</v>
      </c>
      <c r="O426" s="9">
        <v>15</v>
      </c>
      <c r="P426" s="142"/>
      <c r="T426" s="9" t="s">
        <v>749</v>
      </c>
      <c r="W426" s="9">
        <f ca="1">IFERROR(OFFSET(ITEM_RES!$A$5,MATCH(BUILDING!V426,ITEM_RES!$J$5:$J$226,0)-1,0),0)</f>
        <v>0</v>
      </c>
      <c r="Z426" s="9">
        <f ca="1">IFERROR(OFFSET(ITEM_RES!$A$5,MATCH(BUILDING!Y426,ITEM_RES!$J$5:$J$226,0)-1,0),0)</f>
        <v>0</v>
      </c>
      <c r="AB426" s="9" t="s">
        <v>556</v>
      </c>
      <c r="AC426" s="9">
        <v>2</v>
      </c>
      <c r="AE426" s="9">
        <v>400</v>
      </c>
      <c r="AG426" s="56">
        <f t="shared" si="129"/>
        <v>160</v>
      </c>
      <c r="AH426" s="10">
        <f>AG425+AG426</f>
        <v>740</v>
      </c>
      <c r="AJ426" s="11">
        <f t="shared" si="128"/>
        <v>10</v>
      </c>
      <c r="AK426" s="10">
        <v>10</v>
      </c>
      <c r="AL426" s="11">
        <f t="shared" si="125"/>
        <v>10</v>
      </c>
      <c r="AM426" s="10">
        <v>10</v>
      </c>
      <c r="AN426" s="11">
        <f t="shared" si="125"/>
        <v>10</v>
      </c>
      <c r="AO426" s="10">
        <v>10</v>
      </c>
      <c r="AP426" s="56">
        <f t="shared" si="130"/>
        <v>1</v>
      </c>
      <c r="AR426" s="11">
        <f ca="1">IFERROR(OFFSET(ITEM_RES!$A$1,MATCH(AS426,ITEM_RES!$J:$J,0)-1,0),0)</f>
        <v>211020401</v>
      </c>
      <c r="AS426" s="10" t="s">
        <v>455</v>
      </c>
      <c r="AT426" s="11">
        <v>50</v>
      </c>
      <c r="AW426" s="11">
        <f ca="1">IFERROR(OFFSET(ITEM_RES!$A$1,MATCH(AX426,ITEM_RES!$J:$J,0)-1,0),0)</f>
        <v>0</v>
      </c>
      <c r="BB426" s="11">
        <f ca="1">IFERROR(OFFSET(ITEM_RES!$A$1,MATCH(BC426,ITEM_RES!$J:$J,0)-1,0),0)</f>
        <v>0</v>
      </c>
      <c r="BG426" s="11">
        <f ca="1">IFERROR(OFFSET(ITEM_RES!$A$1,MATCH(BH426,ITEM_RES!$J:$J,0)-1,0),0)</f>
        <v>0</v>
      </c>
      <c r="BL426" s="11">
        <f ca="1">IFERROR(OFFSET(ITEM_RES!$A$1,MATCH(BM426,ITEM_RES!$J:$J,0)-1,0),0)</f>
        <v>0</v>
      </c>
    </row>
    <row r="427" spans="1:67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457</v>
      </c>
      <c r="N427" s="9">
        <v>1</v>
      </c>
      <c r="O427" s="9">
        <v>15</v>
      </c>
      <c r="P427" s="142"/>
      <c r="T427" s="9" t="s">
        <v>749</v>
      </c>
      <c r="W427" s="9">
        <f ca="1">IFERROR(OFFSET(ITEM_RES!$A$5,MATCH(BUILDING!V427,ITEM_RES!$J$5:$J$226,0)-1,0),0)</f>
        <v>0</v>
      </c>
      <c r="Z427" s="9">
        <f ca="1">IFERROR(OFFSET(ITEM_RES!$A$5,MATCH(BUILDING!Y427,ITEM_RES!$J$5:$J$226,0)-1,0),0)</f>
        <v>0</v>
      </c>
      <c r="AB427" s="9" t="s">
        <v>556</v>
      </c>
      <c r="AC427" s="9">
        <v>3</v>
      </c>
      <c r="AE427" s="9">
        <v>1200</v>
      </c>
      <c r="AG427" s="56">
        <f t="shared" si="129"/>
        <v>240</v>
      </c>
      <c r="AH427" s="10">
        <f t="shared" ref="AH427:AH444" si="131">AG426+AG427</f>
        <v>400</v>
      </c>
      <c r="AJ427" s="11">
        <f t="shared" si="128"/>
        <v>15</v>
      </c>
      <c r="AK427" s="10">
        <v>15</v>
      </c>
      <c r="AL427" s="11">
        <f t="shared" si="125"/>
        <v>15</v>
      </c>
      <c r="AM427" s="10">
        <v>15</v>
      </c>
      <c r="AN427" s="11">
        <f t="shared" si="125"/>
        <v>15</v>
      </c>
      <c r="AO427" s="10">
        <v>15</v>
      </c>
      <c r="AP427" s="56">
        <f t="shared" si="130"/>
        <v>1</v>
      </c>
      <c r="AR427" s="11">
        <f ca="1">IFERROR(OFFSET(ITEM_RES!$A$1,MATCH(AS427,ITEM_RES!$J:$J,0)-1,0),0)</f>
        <v>211020401</v>
      </c>
      <c r="AS427" s="10" t="s">
        <v>455</v>
      </c>
      <c r="AT427" s="11">
        <v>75</v>
      </c>
      <c r="AW427" s="11">
        <f ca="1">IFERROR(OFFSET(ITEM_RES!$A$1,MATCH(AX427,ITEM_RES!$J:$J,0)-1,0),0)</f>
        <v>0</v>
      </c>
      <c r="BB427" s="11">
        <f ca="1">IFERROR(OFFSET(ITEM_RES!$A$1,MATCH(BC427,ITEM_RES!$J:$J,0)-1,0),0)</f>
        <v>0</v>
      </c>
      <c r="BG427" s="11">
        <f ca="1">IFERROR(OFFSET(ITEM_RES!$A$1,MATCH(BH427,ITEM_RES!$J:$J,0)-1,0),0)</f>
        <v>0</v>
      </c>
      <c r="BL427" s="11">
        <f ca="1">IFERROR(OFFSET(ITEM_RES!$A$1,MATCH(BM427,ITEM_RES!$J:$J,0)-1,0),0)</f>
        <v>0</v>
      </c>
    </row>
    <row r="428" spans="1:67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457</v>
      </c>
      <c r="N428" s="9">
        <v>1</v>
      </c>
      <c r="O428" s="9">
        <v>15</v>
      </c>
      <c r="P428" s="142"/>
      <c r="T428" s="9" t="s">
        <v>749</v>
      </c>
      <c r="W428" s="9">
        <f ca="1">IFERROR(OFFSET(ITEM_RES!$A$5,MATCH(BUILDING!V428,ITEM_RES!$J$5:$J$226,0)-1,0),0)</f>
        <v>0</v>
      </c>
      <c r="Z428" s="9">
        <f ca="1">IFERROR(OFFSET(ITEM_RES!$A$5,MATCH(BUILDING!Y428,ITEM_RES!$J$5:$J$226,0)-1,0),0)</f>
        <v>0</v>
      </c>
      <c r="AB428" s="9" t="s">
        <v>556</v>
      </c>
      <c r="AC428" s="9">
        <v>4</v>
      </c>
      <c r="AE428" s="9">
        <v>2000</v>
      </c>
      <c r="AG428" s="56">
        <f t="shared" si="129"/>
        <v>400</v>
      </c>
      <c r="AH428" s="10">
        <f t="shared" si="131"/>
        <v>640</v>
      </c>
      <c r="AJ428" s="11">
        <f t="shared" si="128"/>
        <v>20</v>
      </c>
      <c r="AK428" s="10">
        <v>20</v>
      </c>
      <c r="AL428" s="11">
        <f t="shared" si="125"/>
        <v>25</v>
      </c>
      <c r="AM428" s="10">
        <v>25</v>
      </c>
      <c r="AN428" s="11">
        <f t="shared" si="125"/>
        <v>25</v>
      </c>
      <c r="AO428" s="10">
        <v>25</v>
      </c>
      <c r="AP428" s="56">
        <f t="shared" si="130"/>
        <v>1</v>
      </c>
      <c r="AR428" s="11">
        <f ca="1">IFERROR(OFFSET(ITEM_RES!$A$1,MATCH(AS428,ITEM_RES!$J:$J,0)-1,0),0)</f>
        <v>211020401</v>
      </c>
      <c r="AS428" s="10" t="s">
        <v>455</v>
      </c>
      <c r="AT428" s="11">
        <v>125</v>
      </c>
      <c r="AW428" s="11">
        <f ca="1">IFERROR(OFFSET(ITEM_RES!$A$1,MATCH(AX428,ITEM_RES!$J:$J,0)-1,0),0)</f>
        <v>0</v>
      </c>
      <c r="BB428" s="11">
        <f ca="1">IFERROR(OFFSET(ITEM_RES!$A$1,MATCH(BC428,ITEM_RES!$J:$J,0)-1,0),0)</f>
        <v>0</v>
      </c>
      <c r="BG428" s="11">
        <f ca="1">IFERROR(OFFSET(ITEM_RES!$A$1,MATCH(BH428,ITEM_RES!$J:$J,0)-1,0),0)</f>
        <v>0</v>
      </c>
      <c r="BL428" s="11">
        <f ca="1">IFERROR(OFFSET(ITEM_RES!$A$1,MATCH(BM428,ITEM_RES!$J:$J,0)-1,0),0)</f>
        <v>0</v>
      </c>
    </row>
    <row r="429" spans="1:67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457</v>
      </c>
      <c r="N429" s="9">
        <v>1</v>
      </c>
      <c r="O429" s="9">
        <v>15</v>
      </c>
      <c r="P429" s="142"/>
      <c r="T429" s="9" t="s">
        <v>749</v>
      </c>
      <c r="W429" s="9">
        <f ca="1">IFERROR(OFFSET(ITEM_RES!$A$5,MATCH(BUILDING!V429,ITEM_RES!$J$5:$J$226,0)-1,0),0)</f>
        <v>0</v>
      </c>
      <c r="Z429" s="9">
        <f ca="1">IFERROR(OFFSET(ITEM_RES!$A$5,MATCH(BUILDING!Y429,ITEM_RES!$J$5:$J$226,0)-1,0),0)</f>
        <v>0</v>
      </c>
      <c r="AB429" s="9" t="s">
        <v>556</v>
      </c>
      <c r="AC429" s="9">
        <v>5</v>
      </c>
      <c r="AE429" s="9">
        <v>3200</v>
      </c>
      <c r="AG429" s="56">
        <f t="shared" si="129"/>
        <v>640</v>
      </c>
      <c r="AH429" s="10">
        <f t="shared" si="131"/>
        <v>1040</v>
      </c>
      <c r="AJ429" s="11">
        <f t="shared" si="128"/>
        <v>25</v>
      </c>
      <c r="AK429" s="10">
        <v>25</v>
      </c>
      <c r="AL429" s="11">
        <f t="shared" si="125"/>
        <v>40</v>
      </c>
      <c r="AM429" s="10">
        <v>40</v>
      </c>
      <c r="AN429" s="11">
        <f t="shared" si="125"/>
        <v>40</v>
      </c>
      <c r="AO429" s="10">
        <v>40</v>
      </c>
      <c r="AP429" s="56">
        <f t="shared" si="130"/>
        <v>1</v>
      </c>
      <c r="AR429" s="11">
        <f ca="1">IFERROR(OFFSET(ITEM_RES!$A$1,MATCH(AS429,ITEM_RES!$J:$J,0)-1,0),0)</f>
        <v>211020401</v>
      </c>
      <c r="AS429" s="10" t="s">
        <v>455</v>
      </c>
      <c r="AT429" s="11">
        <v>200</v>
      </c>
      <c r="AW429" s="11">
        <f ca="1">IFERROR(OFFSET(ITEM_RES!$A$1,MATCH(AX429,ITEM_RES!$J:$J,0)-1,0),0)</f>
        <v>0</v>
      </c>
      <c r="BB429" s="11">
        <f ca="1">IFERROR(OFFSET(ITEM_RES!$A$1,MATCH(BC429,ITEM_RES!$J:$J,0)-1,0),0)</f>
        <v>0</v>
      </c>
      <c r="BG429" s="11">
        <f ca="1">IFERROR(OFFSET(ITEM_RES!$A$1,MATCH(BH429,ITEM_RES!$J:$J,0)-1,0),0)</f>
        <v>0</v>
      </c>
      <c r="BL429" s="11">
        <f ca="1">IFERROR(OFFSET(ITEM_RES!$A$1,MATCH(BM429,ITEM_RES!$J:$J,0)-1,0),0)</f>
        <v>0</v>
      </c>
    </row>
    <row r="430" spans="1:67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457</v>
      </c>
      <c r="N430" s="9">
        <v>1</v>
      </c>
      <c r="O430" s="9">
        <v>15</v>
      </c>
      <c r="P430" s="142"/>
      <c r="T430" s="9" t="s">
        <v>749</v>
      </c>
      <c r="W430" s="9">
        <f ca="1">IFERROR(OFFSET(ITEM_RES!$A$5,MATCH(BUILDING!V430,ITEM_RES!$J$5:$J$226,0)-1,0),0)</f>
        <v>0</v>
      </c>
      <c r="Z430" s="9">
        <f ca="1">IFERROR(OFFSET(ITEM_RES!$A$5,MATCH(BUILDING!Y430,ITEM_RES!$J$5:$J$226,0)-1,0),0)</f>
        <v>0</v>
      </c>
      <c r="AB430" s="9" t="s">
        <v>556</v>
      </c>
      <c r="AC430" s="9">
        <v>6</v>
      </c>
      <c r="AE430" s="9">
        <v>4000</v>
      </c>
      <c r="AG430" s="56">
        <f t="shared" si="129"/>
        <v>800</v>
      </c>
      <c r="AH430" s="10">
        <f t="shared" si="131"/>
        <v>1440</v>
      </c>
      <c r="AJ430" s="11">
        <f t="shared" si="128"/>
        <v>30</v>
      </c>
      <c r="AK430" s="10">
        <v>30</v>
      </c>
      <c r="AL430" s="11">
        <f t="shared" ref="AL430:AN493" si="135">ROUND(AM430,0)</f>
        <v>50</v>
      </c>
      <c r="AM430" s="10">
        <v>50</v>
      </c>
      <c r="AN430" s="11">
        <f t="shared" si="135"/>
        <v>50</v>
      </c>
      <c r="AO430" s="10">
        <v>50</v>
      </c>
      <c r="AP430" s="56">
        <f t="shared" si="130"/>
        <v>1</v>
      </c>
      <c r="AR430" s="11">
        <f ca="1">IFERROR(OFFSET(ITEM_RES!$A$1,MATCH(AS430,ITEM_RES!$J:$J,0)-1,0),0)</f>
        <v>211020401</v>
      </c>
      <c r="AS430" s="10" t="s">
        <v>455</v>
      </c>
      <c r="AT430" s="11">
        <v>250</v>
      </c>
      <c r="AW430" s="11">
        <f ca="1">IFERROR(OFFSET(ITEM_RES!$A$1,MATCH(AX430,ITEM_RES!$J:$J,0)-1,0),0)</f>
        <v>0</v>
      </c>
      <c r="BB430" s="11">
        <f ca="1">IFERROR(OFFSET(ITEM_RES!$A$1,MATCH(BC430,ITEM_RES!$J:$J,0)-1,0),0)</f>
        <v>0</v>
      </c>
      <c r="BG430" s="11">
        <f ca="1">IFERROR(OFFSET(ITEM_RES!$A$1,MATCH(BH430,ITEM_RES!$J:$J,0)-1,0),0)</f>
        <v>0</v>
      </c>
      <c r="BL430" s="11">
        <f ca="1">IFERROR(OFFSET(ITEM_RES!$A$1,MATCH(BM430,ITEM_RES!$J:$J,0)-1,0),0)</f>
        <v>0</v>
      </c>
    </row>
    <row r="431" spans="1:67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457</v>
      </c>
      <c r="N431" s="9">
        <v>1</v>
      </c>
      <c r="O431" s="9">
        <v>15</v>
      </c>
      <c r="P431" s="142"/>
      <c r="T431" s="9" t="s">
        <v>749</v>
      </c>
      <c r="W431" s="9">
        <f ca="1">IFERROR(OFFSET(ITEM_RES!$A$5,MATCH(BUILDING!V431,ITEM_RES!$J$5:$J$226,0)-1,0),0)</f>
        <v>0</v>
      </c>
      <c r="Z431" s="9">
        <f ca="1">IFERROR(OFFSET(ITEM_RES!$A$5,MATCH(BUILDING!Y431,ITEM_RES!$J$5:$J$226,0)-1,0),0)</f>
        <v>0</v>
      </c>
      <c r="AB431" s="9" t="s">
        <v>556</v>
      </c>
      <c r="AC431" s="9">
        <v>7</v>
      </c>
      <c r="AE431" s="9">
        <v>8000</v>
      </c>
      <c r="AG431" s="56">
        <f t="shared" si="129"/>
        <v>1600</v>
      </c>
      <c r="AH431" s="10">
        <f t="shared" si="131"/>
        <v>2400</v>
      </c>
      <c r="AJ431" s="11">
        <f t="shared" si="128"/>
        <v>35</v>
      </c>
      <c r="AK431" s="10">
        <v>35</v>
      </c>
      <c r="AL431" s="11">
        <f t="shared" si="135"/>
        <v>100</v>
      </c>
      <c r="AM431" s="10">
        <v>100</v>
      </c>
      <c r="AN431" s="11">
        <f t="shared" si="135"/>
        <v>100</v>
      </c>
      <c r="AO431" s="10">
        <v>100</v>
      </c>
      <c r="AP431" s="56">
        <f t="shared" si="130"/>
        <v>1</v>
      </c>
      <c r="AR431" s="11">
        <f ca="1">IFERROR(OFFSET(ITEM_RES!$A$1,MATCH(AS431,ITEM_RES!$J:$J,0)-1,0),0)</f>
        <v>211020401</v>
      </c>
      <c r="AS431" s="10" t="s">
        <v>455</v>
      </c>
      <c r="AT431" s="11">
        <v>500</v>
      </c>
      <c r="AW431" s="11">
        <f ca="1">IFERROR(OFFSET(ITEM_RES!$A$1,MATCH(AX431,ITEM_RES!$J:$J,0)-1,0),0)</f>
        <v>0</v>
      </c>
      <c r="BB431" s="11">
        <f ca="1">IFERROR(OFFSET(ITEM_RES!$A$1,MATCH(BC431,ITEM_RES!$J:$J,0)-1,0),0)</f>
        <v>0</v>
      </c>
      <c r="BG431" s="11">
        <f ca="1">IFERROR(OFFSET(ITEM_RES!$A$1,MATCH(BH431,ITEM_RES!$J:$J,0)-1,0),0)</f>
        <v>0</v>
      </c>
      <c r="BL431" s="11">
        <f ca="1">IFERROR(OFFSET(ITEM_RES!$A$1,MATCH(BM431,ITEM_RES!$J:$J,0)-1,0),0)</f>
        <v>0</v>
      </c>
    </row>
    <row r="432" spans="1:67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379</v>
      </c>
      <c r="N432" s="9">
        <v>1</v>
      </c>
      <c r="O432" s="9">
        <v>15</v>
      </c>
      <c r="P432" s="142"/>
      <c r="T432" s="9" t="s">
        <v>750</v>
      </c>
      <c r="W432" s="9">
        <f ca="1">IFERROR(OFFSET(ITEM_RES!$A$5,MATCH(BUILDING!V432,ITEM_RES!$J$5:$J$226,0)-1,0),0)</f>
        <v>0</v>
      </c>
      <c r="Z432" s="9">
        <f ca="1">IFERROR(OFFSET(ITEM_RES!$A$5,MATCH(BUILDING!Y432,ITEM_RES!$J$5:$J$226,0)-1,0),0)</f>
        <v>0</v>
      </c>
      <c r="AB432" s="9" t="s">
        <v>556</v>
      </c>
      <c r="AC432" s="9">
        <v>8</v>
      </c>
      <c r="AE432" s="9">
        <v>8000</v>
      </c>
      <c r="AG432" s="56">
        <f t="shared" si="129"/>
        <v>1600</v>
      </c>
      <c r="AH432" s="10">
        <f t="shared" si="131"/>
        <v>3200</v>
      </c>
      <c r="AJ432" s="11">
        <f t="shared" si="128"/>
        <v>40</v>
      </c>
      <c r="AK432" s="10">
        <v>40</v>
      </c>
      <c r="AL432" s="11">
        <f t="shared" si="135"/>
        <v>100</v>
      </c>
      <c r="AM432" s="10">
        <v>100</v>
      </c>
      <c r="AN432" s="11">
        <f t="shared" si="135"/>
        <v>100</v>
      </c>
      <c r="AO432" s="10">
        <v>100</v>
      </c>
      <c r="AP432" s="56">
        <f t="shared" si="130"/>
        <v>1</v>
      </c>
      <c r="AR432" s="11">
        <f ca="1">IFERROR(OFFSET(ITEM_RES!$A$1,MATCH(AS432,ITEM_RES!$J:$J,0)-1,0),0)</f>
        <v>211020501</v>
      </c>
      <c r="AS432" s="10" t="s">
        <v>451</v>
      </c>
      <c r="AT432" s="11">
        <v>500</v>
      </c>
      <c r="AW432" s="11">
        <f ca="1">IFERROR(OFFSET(ITEM_RES!$A$1,MATCH(AX432,ITEM_RES!$J:$J,0)-1,0),0)</f>
        <v>0</v>
      </c>
      <c r="BB432" s="11">
        <f ca="1">IFERROR(OFFSET(ITEM_RES!$A$1,MATCH(BC432,ITEM_RES!$J:$J,0)-1,0),0)</f>
        <v>0</v>
      </c>
      <c r="BG432" s="11">
        <f ca="1">IFERROR(OFFSET(ITEM_RES!$A$1,MATCH(BH432,ITEM_RES!$J:$J,0)-1,0),0)</f>
        <v>0</v>
      </c>
      <c r="BL432" s="11">
        <f ca="1">IFERROR(OFFSET(ITEM_RES!$A$1,MATCH(BM432,ITEM_RES!$J:$J,0)-1,0),0)</f>
        <v>0</v>
      </c>
    </row>
    <row r="433" spans="1:67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379</v>
      </c>
      <c r="N433" s="9">
        <v>1</v>
      </c>
      <c r="O433" s="9">
        <v>15</v>
      </c>
      <c r="P433" s="142"/>
      <c r="T433" s="9" t="s">
        <v>750</v>
      </c>
      <c r="W433" s="9">
        <f ca="1">IFERROR(OFFSET(ITEM_RES!$A$5,MATCH(BUILDING!V433,ITEM_RES!$J$5:$J$226,0)-1,0),0)</f>
        <v>0</v>
      </c>
      <c r="Z433" s="9">
        <f ca="1">IFERROR(OFFSET(ITEM_RES!$A$5,MATCH(BUILDING!Y433,ITEM_RES!$J$5:$J$226,0)-1,0),0)</f>
        <v>0</v>
      </c>
      <c r="AB433" s="9" t="s">
        <v>556</v>
      </c>
      <c r="AC433" s="9">
        <v>9</v>
      </c>
      <c r="AE433" s="9">
        <v>12000</v>
      </c>
      <c r="AG433" s="56">
        <f t="shared" si="129"/>
        <v>2400</v>
      </c>
      <c r="AH433" s="10">
        <f t="shared" si="131"/>
        <v>4000</v>
      </c>
      <c r="AJ433" s="11">
        <f t="shared" si="128"/>
        <v>45</v>
      </c>
      <c r="AK433" s="10">
        <v>45</v>
      </c>
      <c r="AL433" s="11">
        <f t="shared" si="135"/>
        <v>150</v>
      </c>
      <c r="AM433" s="10">
        <v>150</v>
      </c>
      <c r="AN433" s="11">
        <f t="shared" si="135"/>
        <v>150</v>
      </c>
      <c r="AO433" s="10">
        <v>150</v>
      </c>
      <c r="AP433" s="56">
        <f t="shared" si="130"/>
        <v>1</v>
      </c>
      <c r="AR433" s="11">
        <f ca="1">IFERROR(OFFSET(ITEM_RES!$A$1,MATCH(AS433,ITEM_RES!$J:$J,0)-1,0),0)</f>
        <v>211020501</v>
      </c>
      <c r="AS433" s="10" t="s">
        <v>451</v>
      </c>
      <c r="AT433" s="11">
        <v>750</v>
      </c>
      <c r="AW433" s="11">
        <f ca="1">IFERROR(OFFSET(ITEM_RES!$A$1,MATCH(AX433,ITEM_RES!$J:$J,0)-1,0),0)</f>
        <v>0</v>
      </c>
      <c r="BB433" s="11">
        <f ca="1">IFERROR(OFFSET(ITEM_RES!$A$1,MATCH(BC433,ITEM_RES!$J:$J,0)-1,0),0)</f>
        <v>0</v>
      </c>
      <c r="BG433" s="11">
        <f ca="1">IFERROR(OFFSET(ITEM_RES!$A$1,MATCH(BH433,ITEM_RES!$J:$J,0)-1,0),0)</f>
        <v>0</v>
      </c>
      <c r="BL433" s="11">
        <f ca="1">IFERROR(OFFSET(ITEM_RES!$A$1,MATCH(BM433,ITEM_RES!$J:$J,0)-1,0),0)</f>
        <v>0</v>
      </c>
    </row>
    <row r="434" spans="1:67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379</v>
      </c>
      <c r="N434" s="9">
        <v>1</v>
      </c>
      <c r="O434" s="9">
        <v>15</v>
      </c>
      <c r="P434" s="142"/>
      <c r="T434" s="9" t="s">
        <v>750</v>
      </c>
      <c r="W434" s="9">
        <f ca="1">IFERROR(OFFSET(ITEM_RES!$A$5,MATCH(BUILDING!V434,ITEM_RES!$J$5:$J$226,0)-1,0),0)</f>
        <v>0</v>
      </c>
      <c r="Z434" s="9">
        <f ca="1">IFERROR(OFFSET(ITEM_RES!$A$5,MATCH(BUILDING!Y434,ITEM_RES!$J$5:$J$226,0)-1,0),0)</f>
        <v>0</v>
      </c>
      <c r="AB434" s="9" t="s">
        <v>556</v>
      </c>
      <c r="AC434" s="9">
        <v>10</v>
      </c>
      <c r="AE434" s="9">
        <v>16000</v>
      </c>
      <c r="AG434" s="56">
        <f t="shared" si="129"/>
        <v>3200</v>
      </c>
      <c r="AH434" s="10">
        <f t="shared" si="131"/>
        <v>5600</v>
      </c>
      <c r="AJ434" s="11">
        <f t="shared" si="128"/>
        <v>50</v>
      </c>
      <c r="AK434" s="10">
        <v>50</v>
      </c>
      <c r="AL434" s="11">
        <f t="shared" si="135"/>
        <v>200</v>
      </c>
      <c r="AM434" s="10">
        <v>200</v>
      </c>
      <c r="AN434" s="11">
        <f t="shared" si="135"/>
        <v>200</v>
      </c>
      <c r="AO434" s="10">
        <v>200</v>
      </c>
      <c r="AP434" s="56">
        <f t="shared" si="130"/>
        <v>1</v>
      </c>
      <c r="AR434" s="11">
        <f ca="1">IFERROR(OFFSET(ITEM_RES!$A$1,MATCH(AS434,ITEM_RES!$J:$J,0)-1,0),0)</f>
        <v>211020501</v>
      </c>
      <c r="AS434" s="10" t="s">
        <v>451</v>
      </c>
      <c r="AT434" s="11">
        <v>1000</v>
      </c>
      <c r="AW434" s="11">
        <f ca="1">IFERROR(OFFSET(ITEM_RES!$A$1,MATCH(AX434,ITEM_RES!$J:$J,0)-1,0),0)</f>
        <v>0</v>
      </c>
      <c r="BB434" s="11">
        <f ca="1">IFERROR(OFFSET(ITEM_RES!$A$1,MATCH(BC434,ITEM_RES!$J:$J,0)-1,0),0)</f>
        <v>0</v>
      </c>
      <c r="BG434" s="11">
        <f ca="1">IFERROR(OFFSET(ITEM_RES!$A$1,MATCH(BH434,ITEM_RES!$J:$J,0)-1,0),0)</f>
        <v>0</v>
      </c>
      <c r="BL434" s="11">
        <f ca="1">IFERROR(OFFSET(ITEM_RES!$A$1,MATCH(BM434,ITEM_RES!$J:$J,0)-1,0),0)</f>
        <v>0</v>
      </c>
    </row>
    <row r="435" spans="1:67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379</v>
      </c>
      <c r="N435" s="9">
        <v>1</v>
      </c>
      <c r="O435" s="9">
        <v>15</v>
      </c>
      <c r="P435" s="142"/>
      <c r="T435" s="9" t="s">
        <v>750</v>
      </c>
      <c r="W435" s="9">
        <f ca="1">IFERROR(OFFSET(ITEM_RES!$A$5,MATCH(BUILDING!V435,ITEM_RES!$J$5:$J$226,0)-1,0),0)</f>
        <v>0</v>
      </c>
      <c r="Z435" s="9">
        <f ca="1">IFERROR(OFFSET(ITEM_RES!$A$5,MATCH(BUILDING!Y435,ITEM_RES!$J$5:$J$226,0)-1,0),0)</f>
        <v>0</v>
      </c>
      <c r="AB435" s="9" t="s">
        <v>556</v>
      </c>
      <c r="AC435" s="9">
        <v>11</v>
      </c>
      <c r="AE435" s="9">
        <v>20000</v>
      </c>
      <c r="AG435" s="56">
        <f t="shared" si="129"/>
        <v>4000</v>
      </c>
      <c r="AH435" s="10">
        <f t="shared" si="131"/>
        <v>7200</v>
      </c>
      <c r="AJ435" s="11">
        <f t="shared" si="128"/>
        <v>55</v>
      </c>
      <c r="AK435" s="10">
        <v>55</v>
      </c>
      <c r="AL435" s="11">
        <f t="shared" si="135"/>
        <v>250</v>
      </c>
      <c r="AM435" s="10">
        <v>250</v>
      </c>
      <c r="AN435" s="11">
        <f t="shared" si="135"/>
        <v>250</v>
      </c>
      <c r="AO435" s="10">
        <v>250</v>
      </c>
      <c r="AP435" s="56">
        <f t="shared" si="130"/>
        <v>1</v>
      </c>
      <c r="AR435" s="11">
        <f ca="1">IFERROR(OFFSET(ITEM_RES!$A$1,MATCH(AS435,ITEM_RES!$J:$J,0)-1,0),0)</f>
        <v>211020501</v>
      </c>
      <c r="AS435" s="10" t="s">
        <v>451</v>
      </c>
      <c r="AT435" s="11">
        <v>1250</v>
      </c>
      <c r="AW435" s="11">
        <f ca="1">IFERROR(OFFSET(ITEM_RES!$A$1,MATCH(AX435,ITEM_RES!$J:$J,0)-1,0),0)</f>
        <v>0</v>
      </c>
      <c r="BB435" s="11">
        <f ca="1">IFERROR(OFFSET(ITEM_RES!$A$1,MATCH(BC435,ITEM_RES!$J:$J,0)-1,0),0)</f>
        <v>0</v>
      </c>
      <c r="BG435" s="11">
        <f ca="1">IFERROR(OFFSET(ITEM_RES!$A$1,MATCH(BH435,ITEM_RES!$J:$J,0)-1,0),0)</f>
        <v>0</v>
      </c>
      <c r="BL435" s="11">
        <f ca="1">IFERROR(OFFSET(ITEM_RES!$A$1,MATCH(BM435,ITEM_RES!$J:$J,0)-1,0),0)</f>
        <v>0</v>
      </c>
    </row>
    <row r="436" spans="1:67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379</v>
      </c>
      <c r="N436" s="9">
        <v>1</v>
      </c>
      <c r="O436" s="9">
        <v>15</v>
      </c>
      <c r="P436" s="142"/>
      <c r="T436" s="9" t="s">
        <v>750</v>
      </c>
      <c r="W436" s="9">
        <f ca="1">IFERROR(OFFSET(ITEM_RES!$A$5,MATCH(BUILDING!V436,ITEM_RES!$J$5:$J$226,0)-1,0),0)</f>
        <v>0</v>
      </c>
      <c r="Z436" s="9">
        <f ca="1">IFERROR(OFFSET(ITEM_RES!$A$5,MATCH(BUILDING!Y436,ITEM_RES!$J$5:$J$226,0)-1,0),0)</f>
        <v>0</v>
      </c>
      <c r="AB436" s="9" t="s">
        <v>556</v>
      </c>
      <c r="AC436" s="9">
        <v>12</v>
      </c>
      <c r="AE436" s="9">
        <v>24000</v>
      </c>
      <c r="AG436" s="56">
        <f t="shared" si="129"/>
        <v>4800</v>
      </c>
      <c r="AH436" s="10">
        <f t="shared" si="131"/>
        <v>8800</v>
      </c>
      <c r="AJ436" s="11">
        <f t="shared" si="128"/>
        <v>60</v>
      </c>
      <c r="AK436" s="10">
        <v>60</v>
      </c>
      <c r="AL436" s="11">
        <f t="shared" si="135"/>
        <v>300</v>
      </c>
      <c r="AM436" s="10">
        <v>300</v>
      </c>
      <c r="AN436" s="11">
        <f t="shared" si="135"/>
        <v>300</v>
      </c>
      <c r="AO436" s="10">
        <v>300</v>
      </c>
      <c r="AP436" s="56">
        <f t="shared" si="130"/>
        <v>1</v>
      </c>
      <c r="AR436" s="11">
        <f ca="1">IFERROR(OFFSET(ITEM_RES!$A$1,MATCH(AS436,ITEM_RES!$J:$J,0)-1,0),0)</f>
        <v>211020501</v>
      </c>
      <c r="AS436" s="10" t="s">
        <v>451</v>
      </c>
      <c r="AT436" s="11">
        <v>1500</v>
      </c>
      <c r="AW436" s="11">
        <f ca="1">IFERROR(OFFSET(ITEM_RES!$A$1,MATCH(AX436,ITEM_RES!$J:$J,0)-1,0),0)</f>
        <v>0</v>
      </c>
      <c r="BB436" s="11">
        <f ca="1">IFERROR(OFFSET(ITEM_RES!$A$1,MATCH(BC436,ITEM_RES!$J:$J,0)-1,0),0)</f>
        <v>0</v>
      </c>
      <c r="BG436" s="11">
        <f ca="1">IFERROR(OFFSET(ITEM_RES!$A$1,MATCH(BH436,ITEM_RES!$J:$J,0)-1,0),0)</f>
        <v>0</v>
      </c>
      <c r="BL436" s="11">
        <f ca="1">IFERROR(OFFSET(ITEM_RES!$A$1,MATCH(BM436,ITEM_RES!$J:$J,0)-1,0),0)</f>
        <v>0</v>
      </c>
    </row>
    <row r="437" spans="1:67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379</v>
      </c>
      <c r="N437" s="9">
        <v>1</v>
      </c>
      <c r="O437" s="9">
        <v>15</v>
      </c>
      <c r="P437" s="142"/>
      <c r="T437" s="9" t="s">
        <v>750</v>
      </c>
      <c r="W437" s="9">
        <f ca="1">IFERROR(OFFSET(ITEM_RES!$A$5,MATCH(BUILDING!V437,ITEM_RES!$J$5:$J$226,0)-1,0),0)</f>
        <v>0</v>
      </c>
      <c r="Z437" s="9">
        <f ca="1">IFERROR(OFFSET(ITEM_RES!$A$5,MATCH(BUILDING!Y437,ITEM_RES!$J$5:$J$226,0)-1,0),0)</f>
        <v>0</v>
      </c>
      <c r="AB437" s="9" t="s">
        <v>556</v>
      </c>
      <c r="AC437" s="9">
        <v>13</v>
      </c>
      <c r="AE437" s="9">
        <v>28000</v>
      </c>
      <c r="AG437" s="56">
        <f t="shared" si="129"/>
        <v>6100</v>
      </c>
      <c r="AH437" s="10">
        <f t="shared" si="131"/>
        <v>10900</v>
      </c>
      <c r="AJ437" s="11">
        <f t="shared" si="128"/>
        <v>65</v>
      </c>
      <c r="AK437" s="10">
        <v>65</v>
      </c>
      <c r="AL437" s="11">
        <f t="shared" si="135"/>
        <v>350</v>
      </c>
      <c r="AM437" s="10">
        <v>350</v>
      </c>
      <c r="AN437" s="11">
        <f t="shared" si="135"/>
        <v>350</v>
      </c>
      <c r="AO437" s="10">
        <v>350</v>
      </c>
      <c r="AP437" s="56">
        <f t="shared" si="130"/>
        <v>2</v>
      </c>
      <c r="AR437" s="11">
        <f ca="1">IFERROR(OFFSET(ITEM_RES!$A$1,MATCH(AS437,ITEM_RES!$J:$J,0)-1,0),0)</f>
        <v>211020501</v>
      </c>
      <c r="AS437" s="10" t="s">
        <v>451</v>
      </c>
      <c r="AT437" s="11">
        <v>1750</v>
      </c>
      <c r="AW437" s="11">
        <f ca="1">IFERROR(OFFSET(ITEM_RES!$A$1,MATCH(AX437,ITEM_RES!$J:$J,0)-1,0),0)</f>
        <v>0</v>
      </c>
      <c r="BB437" s="11">
        <f ca="1">IFERROR(OFFSET(ITEM_RES!$A$1,MATCH(BC437,ITEM_RES!$J:$J,0)-1,0),0)</f>
        <v>0</v>
      </c>
      <c r="BG437" s="11">
        <f ca="1">IFERROR(OFFSET(ITEM_RES!$A$1,MATCH(BH437,ITEM_RES!$J:$J,0)-1,0),0)</f>
        <v>213011301</v>
      </c>
      <c r="BH437" s="10" t="s">
        <v>495</v>
      </c>
      <c r="BI437" s="11">
        <v>1</v>
      </c>
      <c r="BL437" s="11">
        <f ca="1">IFERROR(OFFSET(ITEM_RES!$A$1,MATCH(BM437,ITEM_RES!$J:$J,0)-1,0),0)</f>
        <v>0</v>
      </c>
    </row>
    <row r="438" spans="1:67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379</v>
      </c>
      <c r="N438" s="9">
        <v>1</v>
      </c>
      <c r="O438" s="9">
        <v>15</v>
      </c>
      <c r="P438" s="142"/>
      <c r="T438" s="9" t="s">
        <v>750</v>
      </c>
      <c r="W438" s="9">
        <f ca="1">IFERROR(OFFSET(ITEM_RES!$A$5,MATCH(BUILDING!V438,ITEM_RES!$J$5:$J$226,0)-1,0),0)</f>
        <v>0</v>
      </c>
      <c r="Z438" s="9">
        <f ca="1">IFERROR(OFFSET(ITEM_RES!$A$5,MATCH(BUILDING!Y438,ITEM_RES!$J$5:$J$226,0)-1,0),0)</f>
        <v>0</v>
      </c>
      <c r="AB438" s="9" t="s">
        <v>556</v>
      </c>
      <c r="AC438" s="9">
        <v>14</v>
      </c>
      <c r="AE438" s="9">
        <v>36000</v>
      </c>
      <c r="AG438" s="56">
        <f t="shared" si="129"/>
        <v>7200</v>
      </c>
      <c r="AH438" s="10">
        <f t="shared" si="131"/>
        <v>13300</v>
      </c>
      <c r="AJ438" s="11">
        <f t="shared" si="128"/>
        <v>70</v>
      </c>
      <c r="AK438" s="10">
        <v>70</v>
      </c>
      <c r="AL438" s="11">
        <f t="shared" si="135"/>
        <v>450</v>
      </c>
      <c r="AM438" s="10">
        <v>450</v>
      </c>
      <c r="AN438" s="11">
        <f t="shared" si="135"/>
        <v>450</v>
      </c>
      <c r="AO438" s="10">
        <v>450</v>
      </c>
      <c r="AP438" s="56">
        <f t="shared" si="130"/>
        <v>1</v>
      </c>
      <c r="AR438" s="11">
        <f ca="1">IFERROR(OFFSET(ITEM_RES!$A$1,MATCH(AS438,ITEM_RES!$J:$J,0)-1,0),0)</f>
        <v>211020501</v>
      </c>
      <c r="AS438" s="10" t="s">
        <v>451</v>
      </c>
      <c r="AT438" s="11">
        <v>2250</v>
      </c>
      <c r="AW438" s="11">
        <f ca="1">IFERROR(OFFSET(ITEM_RES!$A$1,MATCH(AX438,ITEM_RES!$J:$J,0)-1,0),0)</f>
        <v>0</v>
      </c>
      <c r="BB438" s="11">
        <f ca="1">IFERROR(OFFSET(ITEM_RES!$A$1,MATCH(BC438,ITEM_RES!$J:$J,0)-1,0),0)</f>
        <v>0</v>
      </c>
      <c r="BG438" s="11">
        <f ca="1">IFERROR(OFFSET(ITEM_RES!$A$1,MATCH(BH438,ITEM_RES!$J:$J,0)-1,0),0)</f>
        <v>0</v>
      </c>
      <c r="BL438" s="11">
        <f ca="1">IFERROR(OFFSET(ITEM_RES!$A$1,MATCH(BM438,ITEM_RES!$J:$J,0)-1,0),0)</f>
        <v>0</v>
      </c>
    </row>
    <row r="439" spans="1:67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379</v>
      </c>
      <c r="N439" s="9">
        <v>1</v>
      </c>
      <c r="O439" s="9">
        <v>15</v>
      </c>
      <c r="P439" s="142"/>
      <c r="T439" s="9" t="s">
        <v>750</v>
      </c>
      <c r="W439" s="9">
        <f ca="1">IFERROR(OFFSET(ITEM_RES!$A$5,MATCH(BUILDING!V439,ITEM_RES!$J$5:$J$226,0)-1,0),0)</f>
        <v>0</v>
      </c>
      <c r="Z439" s="9">
        <f ca="1">IFERROR(OFFSET(ITEM_RES!$A$5,MATCH(BUILDING!Y439,ITEM_RES!$J$5:$J$226,0)-1,0),0)</f>
        <v>0</v>
      </c>
      <c r="AB439" s="9" t="s">
        <v>556</v>
      </c>
      <c r="AC439" s="9">
        <v>15</v>
      </c>
      <c r="AE439" s="9">
        <v>44000</v>
      </c>
      <c r="AG439" s="56">
        <f t="shared" si="129"/>
        <v>8800</v>
      </c>
      <c r="AH439" s="10">
        <f t="shared" si="131"/>
        <v>16000</v>
      </c>
      <c r="AJ439" s="11">
        <f t="shared" si="128"/>
        <v>75</v>
      </c>
      <c r="AK439" s="10">
        <v>75</v>
      </c>
      <c r="AL439" s="11">
        <f t="shared" si="135"/>
        <v>550</v>
      </c>
      <c r="AM439" s="10">
        <v>550</v>
      </c>
      <c r="AN439" s="11">
        <f t="shared" si="135"/>
        <v>550</v>
      </c>
      <c r="AO439" s="10">
        <v>550</v>
      </c>
      <c r="AP439" s="56">
        <f t="shared" si="130"/>
        <v>1</v>
      </c>
      <c r="AR439" s="11">
        <f ca="1">IFERROR(OFFSET(ITEM_RES!$A$1,MATCH(AS439,ITEM_RES!$J:$J,0)-1,0),0)</f>
        <v>211020501</v>
      </c>
      <c r="AS439" s="10" t="s">
        <v>451</v>
      </c>
      <c r="AT439" s="11">
        <v>2750</v>
      </c>
      <c r="AW439" s="11">
        <f ca="1">IFERROR(OFFSET(ITEM_RES!$A$1,MATCH(AX439,ITEM_RES!$J:$J,0)-1,0),0)</f>
        <v>0</v>
      </c>
      <c r="BB439" s="11">
        <f ca="1">IFERROR(OFFSET(ITEM_RES!$A$1,MATCH(BC439,ITEM_RES!$J:$J,0)-1,0),0)</f>
        <v>0</v>
      </c>
      <c r="BG439" s="11">
        <f ca="1">IFERROR(OFFSET(ITEM_RES!$A$1,MATCH(BH439,ITEM_RES!$J:$J,0)-1,0),0)</f>
        <v>0</v>
      </c>
      <c r="BL439" s="11">
        <f ca="1">IFERROR(OFFSET(ITEM_RES!$A$1,MATCH(BM439,ITEM_RES!$J:$J,0)-1,0),0)</f>
        <v>0</v>
      </c>
    </row>
    <row r="440" spans="1:67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379</v>
      </c>
      <c r="N440" s="9">
        <v>0</v>
      </c>
      <c r="O440" s="9">
        <v>15</v>
      </c>
      <c r="P440" s="142"/>
      <c r="T440" s="9" t="s">
        <v>750</v>
      </c>
      <c r="W440" s="9">
        <f ca="1">IFERROR(OFFSET(ITEM_RES!$A$5,MATCH(BUILDING!V440,ITEM_RES!$J$5:$J$226,0)-1,0),0)</f>
        <v>0</v>
      </c>
      <c r="Z440" s="9">
        <f ca="1">IFERROR(OFFSET(ITEM_RES!$A$5,MATCH(BUILDING!Y440,ITEM_RES!$J$5:$J$226,0)-1,0),0)</f>
        <v>0</v>
      </c>
      <c r="AB440" s="9" t="s">
        <v>556</v>
      </c>
      <c r="AC440" s="9">
        <v>16</v>
      </c>
      <c r="AE440" s="9">
        <v>56000</v>
      </c>
      <c r="AG440" s="56">
        <f t="shared" si="129"/>
        <v>11200</v>
      </c>
      <c r="AH440" s="10">
        <f t="shared" si="131"/>
        <v>20000</v>
      </c>
      <c r="AJ440" s="11">
        <f t="shared" si="128"/>
        <v>80</v>
      </c>
      <c r="AK440" s="10">
        <v>80</v>
      </c>
      <c r="AL440" s="11">
        <f t="shared" si="135"/>
        <v>700</v>
      </c>
      <c r="AM440" s="10">
        <v>700</v>
      </c>
      <c r="AN440" s="11">
        <f t="shared" si="135"/>
        <v>700</v>
      </c>
      <c r="AO440" s="10">
        <v>700</v>
      </c>
      <c r="AP440" s="56">
        <f t="shared" si="130"/>
        <v>1</v>
      </c>
      <c r="AR440" s="11">
        <f ca="1">IFERROR(OFFSET(ITEM_RES!$A$1,MATCH(AS440,ITEM_RES!$J:$J,0)-1,0),0)</f>
        <v>211020501</v>
      </c>
      <c r="AS440" s="10" t="s">
        <v>451</v>
      </c>
      <c r="AT440" s="11">
        <v>3500</v>
      </c>
      <c r="AW440" s="11">
        <f ca="1">IFERROR(OFFSET(ITEM_RES!$A$1,MATCH(AX440,ITEM_RES!$J:$J,0)-1,0),0)</f>
        <v>0</v>
      </c>
      <c r="BB440" s="11">
        <f ca="1">IFERROR(OFFSET(ITEM_RES!$A$1,MATCH(BC440,ITEM_RES!$J:$J,0)-1,0),0)</f>
        <v>0</v>
      </c>
      <c r="BG440" s="11">
        <f ca="1">IFERROR(OFFSET(ITEM_RES!$A$1,MATCH(BH440,ITEM_RES!$J:$J,0)-1,0),0)</f>
        <v>0</v>
      </c>
      <c r="BL440" s="11">
        <f ca="1">IFERROR(OFFSET(ITEM_RES!$A$1,MATCH(BM440,ITEM_RES!$J:$J,0)-1,0),0)</f>
        <v>0</v>
      </c>
    </row>
    <row r="441" spans="1:67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379</v>
      </c>
      <c r="N441" s="9">
        <v>0</v>
      </c>
      <c r="O441" s="9">
        <v>15</v>
      </c>
      <c r="P441" s="142"/>
      <c r="T441" s="9" t="s">
        <v>750</v>
      </c>
      <c r="W441" s="9">
        <f ca="1">IFERROR(OFFSET(ITEM_RES!$A$5,MATCH(BUILDING!V441,ITEM_RES!$J$5:$J$226,0)-1,0),0)</f>
        <v>0</v>
      </c>
      <c r="Z441" s="9">
        <f ca="1">IFERROR(OFFSET(ITEM_RES!$A$5,MATCH(BUILDING!Y441,ITEM_RES!$J$5:$J$226,0)-1,0),0)</f>
        <v>0</v>
      </c>
      <c r="AB441" s="9" t="s">
        <v>556</v>
      </c>
      <c r="AC441" s="9">
        <v>17</v>
      </c>
      <c r="AE441" s="9">
        <v>68000</v>
      </c>
      <c r="AG441" s="56">
        <f t="shared" si="129"/>
        <v>13600</v>
      </c>
      <c r="AH441" s="10">
        <f t="shared" si="131"/>
        <v>24800</v>
      </c>
      <c r="AJ441" s="11">
        <f t="shared" si="128"/>
        <v>85</v>
      </c>
      <c r="AK441" s="10">
        <v>85</v>
      </c>
      <c r="AL441" s="11">
        <f t="shared" si="135"/>
        <v>850</v>
      </c>
      <c r="AM441" s="10">
        <v>850</v>
      </c>
      <c r="AN441" s="11">
        <f t="shared" si="135"/>
        <v>850</v>
      </c>
      <c r="AO441" s="10">
        <v>850</v>
      </c>
      <c r="AP441" s="56">
        <f t="shared" si="130"/>
        <v>1</v>
      </c>
      <c r="AR441" s="11">
        <f ca="1">IFERROR(OFFSET(ITEM_RES!$A$1,MATCH(AS441,ITEM_RES!$J:$J,0)-1,0),0)</f>
        <v>211020501</v>
      </c>
      <c r="AS441" s="10" t="s">
        <v>451</v>
      </c>
      <c r="AT441" s="11">
        <v>4250</v>
      </c>
      <c r="AW441" s="11">
        <f ca="1">IFERROR(OFFSET(ITEM_RES!$A$1,MATCH(AX441,ITEM_RES!$J:$J,0)-1,0),0)</f>
        <v>0</v>
      </c>
      <c r="BB441" s="11">
        <f ca="1">IFERROR(OFFSET(ITEM_RES!$A$1,MATCH(BC441,ITEM_RES!$J:$J,0)-1,0),0)</f>
        <v>0</v>
      </c>
      <c r="BG441" s="11">
        <f ca="1">IFERROR(OFFSET(ITEM_RES!$A$1,MATCH(BH441,ITEM_RES!$J:$J,0)-1,0),0)</f>
        <v>0</v>
      </c>
      <c r="BL441" s="11">
        <f ca="1">IFERROR(OFFSET(ITEM_RES!$A$1,MATCH(BM441,ITEM_RES!$J:$J,0)-1,0),0)</f>
        <v>0</v>
      </c>
    </row>
    <row r="442" spans="1:67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379</v>
      </c>
      <c r="N442" s="9">
        <v>0</v>
      </c>
      <c r="O442" s="9">
        <v>15</v>
      </c>
      <c r="P442" s="142"/>
      <c r="T442" s="9" t="s">
        <v>750</v>
      </c>
      <c r="W442" s="9">
        <f ca="1">IFERROR(OFFSET(ITEM_RES!$A$5,MATCH(BUILDING!V442,ITEM_RES!$J$5:$J$226,0)-1,0),0)</f>
        <v>0</v>
      </c>
      <c r="Z442" s="9">
        <f ca="1">IFERROR(OFFSET(ITEM_RES!$A$5,MATCH(BUILDING!Y442,ITEM_RES!$J$5:$J$226,0)-1,0),0)</f>
        <v>0</v>
      </c>
      <c r="AB442" s="9" t="s">
        <v>556</v>
      </c>
      <c r="AC442" s="9">
        <v>18</v>
      </c>
      <c r="AE442" s="9">
        <v>84000</v>
      </c>
      <c r="AG442" s="56">
        <f t="shared" si="129"/>
        <v>16800</v>
      </c>
      <c r="AH442" s="10">
        <f t="shared" si="131"/>
        <v>30400</v>
      </c>
      <c r="AJ442" s="11">
        <f t="shared" si="128"/>
        <v>90</v>
      </c>
      <c r="AK442" s="10">
        <v>90</v>
      </c>
      <c r="AL442" s="11">
        <f t="shared" si="135"/>
        <v>1050</v>
      </c>
      <c r="AM442" s="10">
        <v>1050</v>
      </c>
      <c r="AN442" s="11">
        <f t="shared" si="135"/>
        <v>1050</v>
      </c>
      <c r="AO442" s="10">
        <v>1050</v>
      </c>
      <c r="AP442" s="56">
        <f t="shared" si="130"/>
        <v>1</v>
      </c>
      <c r="AR442" s="11">
        <f ca="1">IFERROR(OFFSET(ITEM_RES!$A$1,MATCH(AS442,ITEM_RES!$J:$J,0)-1,0),0)</f>
        <v>211020501</v>
      </c>
      <c r="AS442" s="10" t="s">
        <v>451</v>
      </c>
      <c r="AT442" s="11">
        <v>5250</v>
      </c>
      <c r="AW442" s="11">
        <f ca="1">IFERROR(OFFSET(ITEM_RES!$A$1,MATCH(AX442,ITEM_RES!$J:$J,0)-1,0),0)</f>
        <v>0</v>
      </c>
      <c r="BB442" s="11">
        <f ca="1">IFERROR(OFFSET(ITEM_RES!$A$1,MATCH(BC442,ITEM_RES!$J:$J,0)-1,0),0)</f>
        <v>0</v>
      </c>
      <c r="BG442" s="11">
        <f ca="1">IFERROR(OFFSET(ITEM_RES!$A$1,MATCH(BH442,ITEM_RES!$J:$J,0)-1,0),0)</f>
        <v>0</v>
      </c>
      <c r="BL442" s="11">
        <f ca="1">IFERROR(OFFSET(ITEM_RES!$A$1,MATCH(BM442,ITEM_RES!$J:$J,0)-1,0),0)</f>
        <v>0</v>
      </c>
    </row>
    <row r="443" spans="1:67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379</v>
      </c>
      <c r="N443" s="9">
        <v>0</v>
      </c>
      <c r="O443" s="9">
        <v>15</v>
      </c>
      <c r="P443" s="142"/>
      <c r="T443" s="9" t="s">
        <v>750</v>
      </c>
      <c r="W443" s="9">
        <f ca="1">IFERROR(OFFSET(ITEM_RES!$A$5,MATCH(BUILDING!V443,ITEM_RES!$J$5:$J$226,0)-1,0),0)</f>
        <v>0</v>
      </c>
      <c r="Z443" s="9">
        <f ca="1">IFERROR(OFFSET(ITEM_RES!$A$5,MATCH(BUILDING!Y443,ITEM_RES!$J$5:$J$226,0)-1,0),0)</f>
        <v>0</v>
      </c>
      <c r="AB443" s="9" t="s">
        <v>556</v>
      </c>
      <c r="AC443" s="9">
        <v>19</v>
      </c>
      <c r="AE443" s="9">
        <v>100000</v>
      </c>
      <c r="AG443" s="56">
        <f t="shared" si="129"/>
        <v>20000</v>
      </c>
      <c r="AH443" s="10">
        <f t="shared" si="131"/>
        <v>36800</v>
      </c>
      <c r="AJ443" s="11">
        <f t="shared" si="128"/>
        <v>95</v>
      </c>
      <c r="AK443" s="10">
        <v>95</v>
      </c>
      <c r="AL443" s="11">
        <f t="shared" si="135"/>
        <v>1250</v>
      </c>
      <c r="AM443" s="10">
        <v>1250</v>
      </c>
      <c r="AN443" s="11">
        <f t="shared" si="135"/>
        <v>1250</v>
      </c>
      <c r="AO443" s="10">
        <v>1250</v>
      </c>
      <c r="AP443" s="56">
        <f t="shared" si="130"/>
        <v>1</v>
      </c>
      <c r="AR443" s="11">
        <f ca="1">IFERROR(OFFSET(ITEM_RES!$A$1,MATCH(AS443,ITEM_RES!$J:$J,0)-1,0),0)</f>
        <v>211020501</v>
      </c>
      <c r="AS443" s="10" t="s">
        <v>451</v>
      </c>
      <c r="AT443" s="11">
        <v>6250</v>
      </c>
      <c r="AW443" s="11">
        <f ca="1">IFERROR(OFFSET(ITEM_RES!$A$1,MATCH(AX443,ITEM_RES!$J:$J,0)-1,0),0)</f>
        <v>0</v>
      </c>
      <c r="BB443" s="11">
        <f ca="1">IFERROR(OFFSET(ITEM_RES!$A$1,MATCH(BC443,ITEM_RES!$J:$J,0)-1,0),0)</f>
        <v>0</v>
      </c>
      <c r="BG443" s="11">
        <f ca="1">IFERROR(OFFSET(ITEM_RES!$A$1,MATCH(BH443,ITEM_RES!$J:$J,0)-1,0),0)</f>
        <v>0</v>
      </c>
      <c r="BL443" s="11">
        <f ca="1">IFERROR(OFFSET(ITEM_RES!$A$1,MATCH(BM443,ITEM_RES!$J:$J,0)-1,0),0)</f>
        <v>0</v>
      </c>
    </row>
    <row r="444" spans="1:67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379</v>
      </c>
      <c r="N444" s="9">
        <v>0</v>
      </c>
      <c r="O444" s="9">
        <v>15</v>
      </c>
      <c r="P444" s="142"/>
      <c r="T444" s="9" t="s">
        <v>750</v>
      </c>
      <c r="W444" s="9">
        <f ca="1">IFERROR(OFFSET(ITEM_RES!$A$5,MATCH(BUILDING!V444,ITEM_RES!$J$5:$J$226,0)-1,0),0)</f>
        <v>0</v>
      </c>
      <c r="Z444" s="9">
        <f ca="1">IFERROR(OFFSET(ITEM_RES!$A$5,MATCH(BUILDING!Y444,ITEM_RES!$J$5:$J$226,0)-1,0),0)</f>
        <v>0</v>
      </c>
      <c r="AB444" s="9" t="s">
        <v>556</v>
      </c>
      <c r="AC444" s="9">
        <v>20</v>
      </c>
      <c r="AE444" s="9">
        <v>120000</v>
      </c>
      <c r="AG444" s="56">
        <f t="shared" si="129"/>
        <v>24000</v>
      </c>
      <c r="AH444" s="10">
        <f t="shared" si="131"/>
        <v>44000</v>
      </c>
      <c r="AJ444" s="11">
        <f t="shared" si="128"/>
        <v>100</v>
      </c>
      <c r="AK444" s="10">
        <v>100</v>
      </c>
      <c r="AL444" s="11">
        <f t="shared" si="135"/>
        <v>1500</v>
      </c>
      <c r="AM444" s="10">
        <v>1500</v>
      </c>
      <c r="AN444" s="11">
        <f t="shared" si="135"/>
        <v>1500</v>
      </c>
      <c r="AO444" s="10">
        <v>1500</v>
      </c>
      <c r="AP444" s="56">
        <f t="shared" si="130"/>
        <v>1</v>
      </c>
      <c r="AR444" s="11">
        <f ca="1">IFERROR(OFFSET(ITEM_RES!$A$1,MATCH(AS444,ITEM_RES!$J:$J,0)-1,0),0)</f>
        <v>211020501</v>
      </c>
      <c r="AS444" s="10" t="s">
        <v>451</v>
      </c>
      <c r="AT444" s="11">
        <v>7500</v>
      </c>
      <c r="AW444" s="11">
        <f ca="1">IFERROR(OFFSET(ITEM_RES!$A$1,MATCH(AX444,ITEM_RES!$J:$J,0)-1,0),0)</f>
        <v>0</v>
      </c>
      <c r="BB444" s="11">
        <f ca="1">IFERROR(OFFSET(ITEM_RES!$A$1,MATCH(BC444,ITEM_RES!$J:$J,0)-1,0),0)</f>
        <v>0</v>
      </c>
      <c r="BG444" s="11">
        <f ca="1">IFERROR(OFFSET(ITEM_RES!$A$1,MATCH(BH444,ITEM_RES!$J:$J,0)-1,0),0)</f>
        <v>0</v>
      </c>
      <c r="BL444" s="11">
        <f ca="1">IFERROR(OFFSET(ITEM_RES!$A$1,MATCH(BM444,ITEM_RES!$J:$J,0)-1,0),0)</f>
        <v>0</v>
      </c>
    </row>
    <row r="445" spans="1:67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79"/>
      <c r="H445" s="16">
        <v>4</v>
      </c>
      <c r="I445" s="16">
        <v>1</v>
      </c>
      <c r="J445" s="79"/>
      <c r="K445" s="16" t="s">
        <v>385</v>
      </c>
      <c r="L445" s="16"/>
      <c r="M445" s="16"/>
      <c r="N445" s="16">
        <v>1</v>
      </c>
      <c r="O445" s="16">
        <v>15</v>
      </c>
      <c r="P445" s="16" t="s">
        <v>810</v>
      </c>
      <c r="Q445" s="17"/>
      <c r="R445" s="17"/>
      <c r="S445" s="18"/>
      <c r="T445" s="16" t="s">
        <v>751</v>
      </c>
      <c r="U445" s="79"/>
      <c r="V445" s="87"/>
      <c r="W445" s="16">
        <f ca="1">IFERROR(OFFSET(ITEM_RES!$A$5,MATCH(BUILDING!V445,ITEM_RES!$J$5:$J$226,0)-1,0),0)</f>
        <v>0</v>
      </c>
      <c r="X445" s="18"/>
      <c r="Y445" s="87"/>
      <c r="Z445" s="16">
        <f ca="1">IFERROR(OFFSET(ITEM_RES!$A$5,MATCH(BUILDING!Y445,ITEM_RES!$J$5:$J$226,0)-1,0),0)</f>
        <v>0</v>
      </c>
      <c r="AA445" s="79"/>
      <c r="AB445" s="16" t="s">
        <v>557</v>
      </c>
      <c r="AC445" s="16">
        <v>1</v>
      </c>
      <c r="AD445" s="79"/>
      <c r="AE445" s="16">
        <v>0</v>
      </c>
      <c r="AF445" s="79"/>
      <c r="AG445" s="57">
        <f t="shared" si="129"/>
        <v>580</v>
      </c>
      <c r="AH445" s="17">
        <f>AG445</f>
        <v>580</v>
      </c>
      <c r="AI445" s="79"/>
      <c r="AJ445" s="18">
        <f t="shared" si="128"/>
        <v>5</v>
      </c>
      <c r="AK445" s="17">
        <v>5</v>
      </c>
      <c r="AL445" s="18">
        <f t="shared" si="135"/>
        <v>5</v>
      </c>
      <c r="AM445" s="17">
        <v>5</v>
      </c>
      <c r="AN445" s="18">
        <f t="shared" si="135"/>
        <v>5</v>
      </c>
      <c r="AO445" s="17">
        <v>5</v>
      </c>
      <c r="AP445" s="57">
        <f t="shared" si="130"/>
        <v>2</v>
      </c>
      <c r="AQ445" s="18"/>
      <c r="AR445" s="18">
        <f ca="1">IFERROR(OFFSET(ITEM_RES!$A$1,MATCH(AS445,ITEM_RES!$J:$J,0)-1,0),0)</f>
        <v>211020801</v>
      </c>
      <c r="AS445" s="17" t="s">
        <v>456</v>
      </c>
      <c r="AT445" s="18">
        <v>25</v>
      </c>
      <c r="AU445" s="17"/>
      <c r="AV445" s="18"/>
      <c r="AW445" s="18">
        <f ca="1">IFERROR(OFFSET(ITEM_RES!$A$1,MATCH(AX445,ITEM_RES!$J:$J,0)-1,0),0)</f>
        <v>0</v>
      </c>
      <c r="AX445" s="17"/>
      <c r="AY445" s="18"/>
      <c r="AZ445" s="17"/>
      <c r="BA445" s="18"/>
      <c r="BB445" s="18">
        <f ca="1">IFERROR(OFFSET(ITEM_RES!$A$1,MATCH(BC445,ITEM_RES!$J:$J,0)-1,0),0)</f>
        <v>213010101</v>
      </c>
      <c r="BC445" s="17" t="s">
        <v>477</v>
      </c>
      <c r="BD445" s="18">
        <v>1</v>
      </c>
      <c r="BE445" s="17"/>
      <c r="BF445" s="18"/>
      <c r="BG445" s="18">
        <f ca="1">IFERROR(OFFSET(ITEM_RES!$A$1,MATCH(BH445,ITEM_RES!$J:$J,0)-1,0),0)</f>
        <v>0</v>
      </c>
      <c r="BH445" s="17"/>
      <c r="BI445" s="18"/>
      <c r="BJ445" s="17"/>
      <c r="BK445" s="18"/>
      <c r="BL445" s="18">
        <f ca="1">IFERROR(OFFSET(ITEM_RES!$A$1,MATCH(BM445,ITEM_RES!$J:$J,0)-1,0),0)</f>
        <v>0</v>
      </c>
      <c r="BM445" s="17"/>
      <c r="BN445" s="18"/>
      <c r="BO445" s="17"/>
    </row>
    <row r="446" spans="1:67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385</v>
      </c>
      <c r="N446" s="9">
        <v>1</v>
      </c>
      <c r="O446" s="9">
        <v>15</v>
      </c>
      <c r="P446" s="9" t="s">
        <v>810</v>
      </c>
      <c r="T446" s="9" t="s">
        <v>751</v>
      </c>
      <c r="W446" s="9">
        <f ca="1">IFERROR(OFFSET(ITEM_RES!$A$5,MATCH(BUILDING!V446,ITEM_RES!$J$5:$J$226,0)-1,0),0)</f>
        <v>0</v>
      </c>
      <c r="Z446" s="9">
        <f ca="1">IFERROR(OFFSET(ITEM_RES!$A$5,MATCH(BUILDING!Y446,ITEM_RES!$J$5:$J$226,0)-1,0),0)</f>
        <v>0</v>
      </c>
      <c r="AB446" s="9" t="s">
        <v>557</v>
      </c>
      <c r="AC446" s="9">
        <v>2</v>
      </c>
      <c r="AE446" s="9">
        <v>400</v>
      </c>
      <c r="AG446" s="56">
        <f t="shared" si="129"/>
        <v>160</v>
      </c>
      <c r="AH446" s="10">
        <f>AG445+AG446</f>
        <v>740</v>
      </c>
      <c r="AJ446" s="11">
        <f t="shared" si="128"/>
        <v>10</v>
      </c>
      <c r="AK446" s="10">
        <v>10</v>
      </c>
      <c r="AL446" s="11">
        <f t="shared" si="135"/>
        <v>10</v>
      </c>
      <c r="AM446" s="10">
        <v>10</v>
      </c>
      <c r="AN446" s="11">
        <f t="shared" si="135"/>
        <v>10</v>
      </c>
      <c r="AO446" s="10">
        <v>10</v>
      </c>
      <c r="AP446" s="56">
        <f t="shared" si="130"/>
        <v>1</v>
      </c>
      <c r="AR446" s="11">
        <f ca="1">IFERROR(OFFSET(ITEM_RES!$A$1,MATCH(AS446,ITEM_RES!$J:$J,0)-1,0),0)</f>
        <v>211020801</v>
      </c>
      <c r="AS446" s="10" t="s">
        <v>456</v>
      </c>
      <c r="AT446" s="11">
        <v>50</v>
      </c>
      <c r="AW446" s="11">
        <f ca="1">IFERROR(OFFSET(ITEM_RES!$A$1,MATCH(AX446,ITEM_RES!$J:$J,0)-1,0),0)</f>
        <v>0</v>
      </c>
      <c r="BB446" s="11">
        <f ca="1">IFERROR(OFFSET(ITEM_RES!$A$1,MATCH(BC446,ITEM_RES!$J:$J,0)-1,0),0)</f>
        <v>0</v>
      </c>
      <c r="BG446" s="11">
        <f ca="1">IFERROR(OFFSET(ITEM_RES!$A$1,MATCH(BH446,ITEM_RES!$J:$J,0)-1,0),0)</f>
        <v>0</v>
      </c>
      <c r="BL446" s="11">
        <f ca="1">IFERROR(OFFSET(ITEM_RES!$A$1,MATCH(BM446,ITEM_RES!$J:$J,0)-1,0),0)</f>
        <v>0</v>
      </c>
    </row>
    <row r="447" spans="1:67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385</v>
      </c>
      <c r="N447" s="9">
        <v>1</v>
      </c>
      <c r="O447" s="9">
        <v>15</v>
      </c>
      <c r="P447" s="9" t="s">
        <v>810</v>
      </c>
      <c r="T447" s="9" t="s">
        <v>751</v>
      </c>
      <c r="W447" s="9">
        <f ca="1">IFERROR(OFFSET(ITEM_RES!$A$5,MATCH(BUILDING!V447,ITEM_RES!$J$5:$J$226,0)-1,0),0)</f>
        <v>0</v>
      </c>
      <c r="Z447" s="9">
        <f ca="1">IFERROR(OFFSET(ITEM_RES!$A$5,MATCH(BUILDING!Y447,ITEM_RES!$J$5:$J$226,0)-1,0),0)</f>
        <v>0</v>
      </c>
      <c r="AB447" s="9" t="s">
        <v>557</v>
      </c>
      <c r="AC447" s="9">
        <v>3</v>
      </c>
      <c r="AE447" s="9">
        <v>1200</v>
      </c>
      <c r="AG447" s="56">
        <f t="shared" si="129"/>
        <v>240</v>
      </c>
      <c r="AH447" s="10">
        <f t="shared" ref="AH447:AH464" si="136">AG446+AG447</f>
        <v>400</v>
      </c>
      <c r="AJ447" s="11">
        <f t="shared" si="128"/>
        <v>15</v>
      </c>
      <c r="AK447" s="10">
        <v>15</v>
      </c>
      <c r="AL447" s="11">
        <f t="shared" si="135"/>
        <v>15</v>
      </c>
      <c r="AM447" s="10">
        <v>15</v>
      </c>
      <c r="AN447" s="11">
        <f t="shared" si="135"/>
        <v>15</v>
      </c>
      <c r="AO447" s="10">
        <v>15</v>
      </c>
      <c r="AP447" s="56">
        <f t="shared" si="130"/>
        <v>1</v>
      </c>
      <c r="AR447" s="11">
        <f ca="1">IFERROR(OFFSET(ITEM_RES!$A$1,MATCH(AS447,ITEM_RES!$J:$J,0)-1,0),0)</f>
        <v>211020801</v>
      </c>
      <c r="AS447" s="10" t="s">
        <v>456</v>
      </c>
      <c r="AT447" s="11">
        <v>75</v>
      </c>
      <c r="AW447" s="11">
        <f ca="1">IFERROR(OFFSET(ITEM_RES!$A$1,MATCH(AX447,ITEM_RES!$J:$J,0)-1,0),0)</f>
        <v>0</v>
      </c>
      <c r="BB447" s="11">
        <f ca="1">IFERROR(OFFSET(ITEM_RES!$A$1,MATCH(BC447,ITEM_RES!$J:$J,0)-1,0),0)</f>
        <v>0</v>
      </c>
      <c r="BG447" s="11">
        <f ca="1">IFERROR(OFFSET(ITEM_RES!$A$1,MATCH(BH447,ITEM_RES!$J:$J,0)-1,0),0)</f>
        <v>0</v>
      </c>
      <c r="BL447" s="11">
        <f ca="1">IFERROR(OFFSET(ITEM_RES!$A$1,MATCH(BM447,ITEM_RES!$J:$J,0)-1,0),0)</f>
        <v>0</v>
      </c>
    </row>
    <row r="448" spans="1:67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385</v>
      </c>
      <c r="N448" s="9">
        <v>1</v>
      </c>
      <c r="O448" s="9">
        <v>15</v>
      </c>
      <c r="P448" s="9" t="s">
        <v>810</v>
      </c>
      <c r="T448" s="9" t="s">
        <v>751</v>
      </c>
      <c r="W448" s="9">
        <f ca="1">IFERROR(OFFSET(ITEM_RES!$A$5,MATCH(BUILDING!V448,ITEM_RES!$J$5:$J$226,0)-1,0),0)</f>
        <v>0</v>
      </c>
      <c r="Z448" s="9">
        <f ca="1">IFERROR(OFFSET(ITEM_RES!$A$5,MATCH(BUILDING!Y448,ITEM_RES!$J$5:$J$226,0)-1,0),0)</f>
        <v>0</v>
      </c>
      <c r="AB448" s="9" t="s">
        <v>557</v>
      </c>
      <c r="AC448" s="9">
        <v>4</v>
      </c>
      <c r="AE448" s="9">
        <v>2000</v>
      </c>
      <c r="AG448" s="56">
        <f t="shared" si="129"/>
        <v>400</v>
      </c>
      <c r="AH448" s="10">
        <f t="shared" si="136"/>
        <v>640</v>
      </c>
      <c r="AJ448" s="11">
        <f t="shared" si="128"/>
        <v>20</v>
      </c>
      <c r="AK448" s="10">
        <v>20</v>
      </c>
      <c r="AL448" s="11">
        <f t="shared" si="135"/>
        <v>25</v>
      </c>
      <c r="AM448" s="10">
        <v>25</v>
      </c>
      <c r="AN448" s="11">
        <f t="shared" si="135"/>
        <v>25</v>
      </c>
      <c r="AO448" s="10">
        <v>25</v>
      </c>
      <c r="AP448" s="56">
        <f t="shared" si="130"/>
        <v>1</v>
      </c>
      <c r="AR448" s="11">
        <f ca="1">IFERROR(OFFSET(ITEM_RES!$A$1,MATCH(AS448,ITEM_RES!$J:$J,0)-1,0),0)</f>
        <v>211020801</v>
      </c>
      <c r="AS448" s="10" t="s">
        <v>456</v>
      </c>
      <c r="AT448" s="11">
        <v>125</v>
      </c>
      <c r="AW448" s="11">
        <f ca="1">IFERROR(OFFSET(ITEM_RES!$A$1,MATCH(AX448,ITEM_RES!$J:$J,0)-1,0),0)</f>
        <v>0</v>
      </c>
      <c r="BB448" s="11">
        <f ca="1">IFERROR(OFFSET(ITEM_RES!$A$1,MATCH(BC448,ITEM_RES!$J:$J,0)-1,0),0)</f>
        <v>0</v>
      </c>
      <c r="BG448" s="11">
        <f ca="1">IFERROR(OFFSET(ITEM_RES!$A$1,MATCH(BH448,ITEM_RES!$J:$J,0)-1,0),0)</f>
        <v>0</v>
      </c>
      <c r="BL448" s="11">
        <f ca="1">IFERROR(OFFSET(ITEM_RES!$A$1,MATCH(BM448,ITEM_RES!$J:$J,0)-1,0),0)</f>
        <v>0</v>
      </c>
    </row>
    <row r="449" spans="1:64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385</v>
      </c>
      <c r="N449" s="9">
        <v>1</v>
      </c>
      <c r="O449" s="9">
        <v>15</v>
      </c>
      <c r="P449" s="9" t="s">
        <v>810</v>
      </c>
      <c r="T449" s="9" t="s">
        <v>751</v>
      </c>
      <c r="W449" s="9">
        <f ca="1">IFERROR(OFFSET(ITEM_RES!$A$5,MATCH(BUILDING!V449,ITEM_RES!$J$5:$J$226,0)-1,0),0)</f>
        <v>0</v>
      </c>
      <c r="Z449" s="9">
        <f ca="1">IFERROR(OFFSET(ITEM_RES!$A$5,MATCH(BUILDING!Y449,ITEM_RES!$J$5:$J$226,0)-1,0),0)</f>
        <v>0</v>
      </c>
      <c r="AB449" s="9" t="s">
        <v>557</v>
      </c>
      <c r="AC449" s="9">
        <v>5</v>
      </c>
      <c r="AE449" s="9">
        <v>3200</v>
      </c>
      <c r="AG449" s="56">
        <f t="shared" si="129"/>
        <v>640</v>
      </c>
      <c r="AH449" s="10">
        <f t="shared" si="136"/>
        <v>1040</v>
      </c>
      <c r="AJ449" s="11">
        <f t="shared" si="128"/>
        <v>25</v>
      </c>
      <c r="AK449" s="10">
        <v>25</v>
      </c>
      <c r="AL449" s="11">
        <f t="shared" si="135"/>
        <v>40</v>
      </c>
      <c r="AM449" s="10">
        <v>40</v>
      </c>
      <c r="AN449" s="11">
        <f t="shared" si="135"/>
        <v>40</v>
      </c>
      <c r="AO449" s="10">
        <v>40</v>
      </c>
      <c r="AP449" s="56">
        <f t="shared" si="130"/>
        <v>1</v>
      </c>
      <c r="AR449" s="11">
        <f ca="1">IFERROR(OFFSET(ITEM_RES!$A$1,MATCH(AS449,ITEM_RES!$J:$J,0)-1,0),0)</f>
        <v>211020801</v>
      </c>
      <c r="AS449" s="10" t="s">
        <v>456</v>
      </c>
      <c r="AT449" s="11">
        <v>200</v>
      </c>
      <c r="AW449" s="11">
        <f ca="1">IFERROR(OFFSET(ITEM_RES!$A$1,MATCH(AX449,ITEM_RES!$J:$J,0)-1,0),0)</f>
        <v>0</v>
      </c>
      <c r="BB449" s="11">
        <f ca="1">IFERROR(OFFSET(ITEM_RES!$A$1,MATCH(BC449,ITEM_RES!$J:$J,0)-1,0),0)</f>
        <v>0</v>
      </c>
      <c r="BG449" s="11">
        <f ca="1">IFERROR(OFFSET(ITEM_RES!$A$1,MATCH(BH449,ITEM_RES!$J:$J,0)-1,0),0)</f>
        <v>0</v>
      </c>
      <c r="BL449" s="11">
        <f ca="1">IFERROR(OFFSET(ITEM_RES!$A$1,MATCH(BM449,ITEM_RES!$J:$J,0)-1,0),0)</f>
        <v>0</v>
      </c>
    </row>
    <row r="450" spans="1:64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385</v>
      </c>
      <c r="N450" s="9">
        <v>1</v>
      </c>
      <c r="O450" s="9">
        <v>15</v>
      </c>
      <c r="P450" s="9" t="s">
        <v>810</v>
      </c>
      <c r="T450" s="9" t="s">
        <v>751</v>
      </c>
      <c r="W450" s="9">
        <f ca="1">IFERROR(OFFSET(ITEM_RES!$A$5,MATCH(BUILDING!V450,ITEM_RES!$J$5:$J$226,0)-1,0),0)</f>
        <v>0</v>
      </c>
      <c r="Z450" s="9">
        <f ca="1">IFERROR(OFFSET(ITEM_RES!$A$5,MATCH(BUILDING!Y450,ITEM_RES!$J$5:$J$226,0)-1,0),0)</f>
        <v>0</v>
      </c>
      <c r="AB450" s="9" t="s">
        <v>557</v>
      </c>
      <c r="AC450" s="9">
        <v>6</v>
      </c>
      <c r="AE450" s="9">
        <v>4000</v>
      </c>
      <c r="AG450" s="56">
        <f t="shared" si="129"/>
        <v>800</v>
      </c>
      <c r="AH450" s="10">
        <f t="shared" si="136"/>
        <v>1440</v>
      </c>
      <c r="AJ450" s="11">
        <f t="shared" si="128"/>
        <v>30</v>
      </c>
      <c r="AK450" s="10">
        <v>30</v>
      </c>
      <c r="AL450" s="11">
        <f t="shared" si="135"/>
        <v>50</v>
      </c>
      <c r="AM450" s="10">
        <v>50</v>
      </c>
      <c r="AN450" s="11">
        <f t="shared" si="135"/>
        <v>50</v>
      </c>
      <c r="AO450" s="10">
        <v>50</v>
      </c>
      <c r="AP450" s="56">
        <f t="shared" si="130"/>
        <v>1</v>
      </c>
      <c r="AR450" s="11">
        <f ca="1">IFERROR(OFFSET(ITEM_RES!$A$1,MATCH(AS450,ITEM_RES!$J:$J,0)-1,0),0)</f>
        <v>211020801</v>
      </c>
      <c r="AS450" s="10" t="s">
        <v>468</v>
      </c>
      <c r="AT450" s="11">
        <v>250</v>
      </c>
      <c r="AW450" s="11">
        <f ca="1">IFERROR(OFFSET(ITEM_RES!$A$1,MATCH(AX450,ITEM_RES!$J:$J,0)-1,0),0)</f>
        <v>0</v>
      </c>
      <c r="BB450" s="11">
        <f ca="1">IFERROR(OFFSET(ITEM_RES!$A$1,MATCH(BC450,ITEM_RES!$J:$J,0)-1,0),0)</f>
        <v>0</v>
      </c>
      <c r="BG450" s="11">
        <f ca="1">IFERROR(OFFSET(ITEM_RES!$A$1,MATCH(BH450,ITEM_RES!$J:$J,0)-1,0),0)</f>
        <v>0</v>
      </c>
      <c r="BL450" s="11">
        <f ca="1">IFERROR(OFFSET(ITEM_RES!$A$1,MATCH(BM450,ITEM_RES!$J:$J,0)-1,0),0)</f>
        <v>0</v>
      </c>
    </row>
    <row r="451" spans="1:64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385</v>
      </c>
      <c r="N451" s="9">
        <v>1</v>
      </c>
      <c r="O451" s="9">
        <v>15</v>
      </c>
      <c r="P451" s="9" t="s">
        <v>810</v>
      </c>
      <c r="T451" s="9" t="s">
        <v>751</v>
      </c>
      <c r="W451" s="9">
        <f ca="1">IFERROR(OFFSET(ITEM_RES!$A$5,MATCH(BUILDING!V451,ITEM_RES!$J$5:$J$226,0)-1,0),0)</f>
        <v>0</v>
      </c>
      <c r="Z451" s="9">
        <f ca="1">IFERROR(OFFSET(ITEM_RES!$A$5,MATCH(BUILDING!Y451,ITEM_RES!$J$5:$J$226,0)-1,0),0)</f>
        <v>0</v>
      </c>
      <c r="AB451" s="9" t="s">
        <v>557</v>
      </c>
      <c r="AC451" s="9">
        <v>7</v>
      </c>
      <c r="AE451" s="9">
        <v>8000</v>
      </c>
      <c r="AG451" s="56">
        <f t="shared" si="129"/>
        <v>1600</v>
      </c>
      <c r="AH451" s="10">
        <f t="shared" si="136"/>
        <v>2400</v>
      </c>
      <c r="AJ451" s="11">
        <f t="shared" si="128"/>
        <v>35</v>
      </c>
      <c r="AK451" s="10">
        <v>35</v>
      </c>
      <c r="AL451" s="11">
        <f t="shared" si="135"/>
        <v>100</v>
      </c>
      <c r="AM451" s="10">
        <v>100</v>
      </c>
      <c r="AN451" s="11">
        <f t="shared" si="135"/>
        <v>100</v>
      </c>
      <c r="AO451" s="10">
        <v>100</v>
      </c>
      <c r="AP451" s="56">
        <f t="shared" si="130"/>
        <v>1</v>
      </c>
      <c r="AR451" s="11">
        <f ca="1">IFERROR(OFFSET(ITEM_RES!$A$1,MATCH(AS451,ITEM_RES!$J:$J,0)-1,0),0)</f>
        <v>211020801</v>
      </c>
      <c r="AS451" s="10" t="s">
        <v>456</v>
      </c>
      <c r="AT451" s="11">
        <v>500</v>
      </c>
      <c r="AW451" s="11">
        <f ca="1">IFERROR(OFFSET(ITEM_RES!$A$1,MATCH(AX451,ITEM_RES!$J:$J,0)-1,0),0)</f>
        <v>0</v>
      </c>
      <c r="BB451" s="11">
        <f ca="1">IFERROR(OFFSET(ITEM_RES!$A$1,MATCH(BC451,ITEM_RES!$J:$J,0)-1,0),0)</f>
        <v>0</v>
      </c>
      <c r="BG451" s="11">
        <f ca="1">IFERROR(OFFSET(ITEM_RES!$A$1,MATCH(BH451,ITEM_RES!$J:$J,0)-1,0),0)</f>
        <v>0</v>
      </c>
      <c r="BL451" s="11">
        <f ca="1">IFERROR(OFFSET(ITEM_RES!$A$1,MATCH(BM451,ITEM_RES!$J:$J,0)-1,0),0)</f>
        <v>0</v>
      </c>
    </row>
    <row r="452" spans="1:64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385</v>
      </c>
      <c r="N452" s="9">
        <v>1</v>
      </c>
      <c r="O452" s="9">
        <v>15</v>
      </c>
      <c r="P452" s="9" t="s">
        <v>810</v>
      </c>
      <c r="T452" s="9" t="s">
        <v>751</v>
      </c>
      <c r="W452" s="9">
        <f ca="1">IFERROR(OFFSET(ITEM_RES!$A$5,MATCH(BUILDING!V452,ITEM_RES!$J$5:$J$226,0)-1,0),0)</f>
        <v>0</v>
      </c>
      <c r="Z452" s="9">
        <f ca="1">IFERROR(OFFSET(ITEM_RES!$A$5,MATCH(BUILDING!Y452,ITEM_RES!$J$5:$J$226,0)-1,0),0)</f>
        <v>0</v>
      </c>
      <c r="AB452" s="9" t="s">
        <v>557</v>
      </c>
      <c r="AC452" s="9">
        <v>8</v>
      </c>
      <c r="AE452" s="9">
        <v>8000</v>
      </c>
      <c r="AG452" s="56">
        <f t="shared" si="129"/>
        <v>1600</v>
      </c>
      <c r="AH452" s="10">
        <f t="shared" si="136"/>
        <v>3200</v>
      </c>
      <c r="AJ452" s="11">
        <f t="shared" si="128"/>
        <v>40</v>
      </c>
      <c r="AK452" s="10">
        <v>40</v>
      </c>
      <c r="AL452" s="11">
        <f t="shared" si="135"/>
        <v>100</v>
      </c>
      <c r="AM452" s="10">
        <v>100</v>
      </c>
      <c r="AN452" s="11">
        <f t="shared" si="135"/>
        <v>100</v>
      </c>
      <c r="AO452" s="10">
        <v>100</v>
      </c>
      <c r="AP452" s="56">
        <f t="shared" si="130"/>
        <v>1</v>
      </c>
      <c r="AR452" s="11">
        <f ca="1">IFERROR(OFFSET(ITEM_RES!$A$1,MATCH(AS452,ITEM_RES!$J:$J,0)-1,0),0)</f>
        <v>211020801</v>
      </c>
      <c r="AS452" s="10" t="s">
        <v>456</v>
      </c>
      <c r="AT452" s="11">
        <v>500</v>
      </c>
      <c r="AW452" s="11">
        <f ca="1">IFERROR(OFFSET(ITEM_RES!$A$1,MATCH(AX452,ITEM_RES!$J:$J,0)-1,0),0)</f>
        <v>0</v>
      </c>
      <c r="BB452" s="11">
        <f ca="1">IFERROR(OFFSET(ITEM_RES!$A$1,MATCH(BC452,ITEM_RES!$J:$J,0)-1,0),0)</f>
        <v>0</v>
      </c>
      <c r="BG452" s="11">
        <f ca="1">IFERROR(OFFSET(ITEM_RES!$A$1,MATCH(BH452,ITEM_RES!$J:$J,0)-1,0),0)</f>
        <v>0</v>
      </c>
      <c r="BL452" s="11">
        <f ca="1">IFERROR(OFFSET(ITEM_RES!$A$1,MATCH(BM452,ITEM_RES!$J:$J,0)-1,0),0)</f>
        <v>0</v>
      </c>
    </row>
    <row r="453" spans="1:64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385</v>
      </c>
      <c r="N453" s="9">
        <v>1</v>
      </c>
      <c r="O453" s="9">
        <v>15</v>
      </c>
      <c r="P453" s="56" t="s">
        <v>810</v>
      </c>
      <c r="T453" s="9" t="s">
        <v>751</v>
      </c>
      <c r="W453" s="9">
        <f ca="1">IFERROR(OFFSET(ITEM_RES!$A$5,MATCH(BUILDING!V453,ITEM_RES!$J$5:$J$226,0)-1,0),0)</f>
        <v>0</v>
      </c>
      <c r="Z453" s="9">
        <f ca="1">IFERROR(OFFSET(ITEM_RES!$A$5,MATCH(BUILDING!Y453,ITEM_RES!$J$5:$J$226,0)-1,0),0)</f>
        <v>0</v>
      </c>
      <c r="AB453" s="9" t="s">
        <v>557</v>
      </c>
      <c r="AC453" s="9">
        <v>9</v>
      </c>
      <c r="AE453" s="9">
        <v>12000</v>
      </c>
      <c r="AG453" s="56">
        <f t="shared" si="129"/>
        <v>2400</v>
      </c>
      <c r="AH453" s="10">
        <f t="shared" si="136"/>
        <v>4000</v>
      </c>
      <c r="AJ453" s="11">
        <f t="shared" si="128"/>
        <v>45</v>
      </c>
      <c r="AK453" s="10">
        <v>45</v>
      </c>
      <c r="AL453" s="11">
        <f t="shared" si="135"/>
        <v>150</v>
      </c>
      <c r="AM453" s="10">
        <v>150</v>
      </c>
      <c r="AN453" s="11">
        <f t="shared" si="135"/>
        <v>150</v>
      </c>
      <c r="AO453" s="10">
        <v>150</v>
      </c>
      <c r="AP453" s="56">
        <f t="shared" si="130"/>
        <v>1</v>
      </c>
      <c r="AR453" s="11">
        <f ca="1">IFERROR(OFFSET(ITEM_RES!$A$1,MATCH(AS453,ITEM_RES!$J:$J,0)-1,0),0)</f>
        <v>211020901</v>
      </c>
      <c r="AS453" s="10" t="s">
        <v>469</v>
      </c>
      <c r="AT453" s="11">
        <v>750</v>
      </c>
      <c r="AW453" s="11">
        <f ca="1">IFERROR(OFFSET(ITEM_RES!$A$1,MATCH(AX453,ITEM_RES!$J:$J,0)-1,0),0)</f>
        <v>0</v>
      </c>
      <c r="BB453" s="11">
        <f ca="1">IFERROR(OFFSET(ITEM_RES!$A$1,MATCH(BC453,ITEM_RES!$J:$J,0)-1,0),0)</f>
        <v>0</v>
      </c>
      <c r="BG453" s="11">
        <f ca="1">IFERROR(OFFSET(ITEM_RES!$A$1,MATCH(BH453,ITEM_RES!$J:$J,0)-1,0),0)</f>
        <v>0</v>
      </c>
      <c r="BL453" s="11">
        <f ca="1">IFERROR(OFFSET(ITEM_RES!$A$1,MATCH(BM453,ITEM_RES!$J:$J,0)-1,0),0)</f>
        <v>0</v>
      </c>
    </row>
    <row r="454" spans="1:64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385</v>
      </c>
      <c r="N454" s="9">
        <v>1</v>
      </c>
      <c r="O454" s="9">
        <v>15</v>
      </c>
      <c r="P454" s="63" t="s">
        <v>810</v>
      </c>
      <c r="T454" s="9" t="s">
        <v>751</v>
      </c>
      <c r="W454" s="9">
        <f ca="1">IFERROR(OFFSET(ITEM_RES!$A$5,MATCH(BUILDING!V454,ITEM_RES!$J$5:$J$226,0)-1,0),0)</f>
        <v>0</v>
      </c>
      <c r="Z454" s="9">
        <f ca="1">IFERROR(OFFSET(ITEM_RES!$A$5,MATCH(BUILDING!Y454,ITEM_RES!$J$5:$J$226,0)-1,0),0)</f>
        <v>0</v>
      </c>
      <c r="AB454" s="9" t="s">
        <v>557</v>
      </c>
      <c r="AC454" s="9">
        <v>10</v>
      </c>
      <c r="AE454" s="9">
        <v>16000</v>
      </c>
      <c r="AG454" s="56">
        <f t="shared" si="129"/>
        <v>3200</v>
      </c>
      <c r="AH454" s="10">
        <f t="shared" si="136"/>
        <v>5600</v>
      </c>
      <c r="AJ454" s="11">
        <f t="shared" si="128"/>
        <v>50</v>
      </c>
      <c r="AK454" s="10">
        <v>50</v>
      </c>
      <c r="AL454" s="11">
        <f t="shared" si="135"/>
        <v>200</v>
      </c>
      <c r="AM454" s="10">
        <v>200</v>
      </c>
      <c r="AN454" s="11">
        <f t="shared" si="135"/>
        <v>200</v>
      </c>
      <c r="AO454" s="10">
        <v>200</v>
      </c>
      <c r="AP454" s="56">
        <f t="shared" si="130"/>
        <v>1</v>
      </c>
      <c r="AR454" s="11">
        <f ca="1">IFERROR(OFFSET(ITEM_RES!$A$1,MATCH(AS454,ITEM_RES!$J:$J,0)-1,0),0)</f>
        <v>211020901</v>
      </c>
      <c r="AS454" s="10" t="s">
        <v>469</v>
      </c>
      <c r="AT454" s="11">
        <v>1000</v>
      </c>
      <c r="AW454" s="11">
        <f ca="1">IFERROR(OFFSET(ITEM_RES!$A$1,MATCH(AX454,ITEM_RES!$J:$J,0)-1,0),0)</f>
        <v>0</v>
      </c>
      <c r="BB454" s="11">
        <f ca="1">IFERROR(OFFSET(ITEM_RES!$A$1,MATCH(BC454,ITEM_RES!$J:$J,0)-1,0),0)</f>
        <v>0</v>
      </c>
      <c r="BG454" s="11">
        <f ca="1">IFERROR(OFFSET(ITEM_RES!$A$1,MATCH(BH454,ITEM_RES!$J:$J,0)-1,0),0)</f>
        <v>0</v>
      </c>
      <c r="BL454" s="11">
        <f ca="1">IFERROR(OFFSET(ITEM_RES!$A$1,MATCH(BM454,ITEM_RES!$J:$J,0)-1,0),0)</f>
        <v>0</v>
      </c>
    </row>
    <row r="455" spans="1:64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385</v>
      </c>
      <c r="N455" s="9">
        <v>1</v>
      </c>
      <c r="O455" s="9">
        <v>15</v>
      </c>
      <c r="P455" s="63" t="s">
        <v>810</v>
      </c>
      <c r="T455" s="9" t="s">
        <v>751</v>
      </c>
      <c r="W455" s="9">
        <f ca="1">IFERROR(OFFSET(ITEM_RES!$A$5,MATCH(BUILDING!V455,ITEM_RES!$J$5:$J$226,0)-1,0),0)</f>
        <v>0</v>
      </c>
      <c r="Z455" s="9">
        <f ca="1">IFERROR(OFFSET(ITEM_RES!$A$5,MATCH(BUILDING!Y455,ITEM_RES!$J$5:$J$226,0)-1,0),0)</f>
        <v>0</v>
      </c>
      <c r="AB455" s="9" t="s">
        <v>557</v>
      </c>
      <c r="AC455" s="9">
        <v>11</v>
      </c>
      <c r="AE455" s="9">
        <v>20000</v>
      </c>
      <c r="AG455" s="56">
        <f t="shared" si="129"/>
        <v>4000</v>
      </c>
      <c r="AH455" s="10">
        <f t="shared" si="136"/>
        <v>7200</v>
      </c>
      <c r="AJ455" s="11">
        <f t="shared" si="128"/>
        <v>55</v>
      </c>
      <c r="AK455" s="10">
        <v>55</v>
      </c>
      <c r="AL455" s="11">
        <f t="shared" si="135"/>
        <v>250</v>
      </c>
      <c r="AM455" s="10">
        <v>250</v>
      </c>
      <c r="AN455" s="11">
        <f t="shared" si="135"/>
        <v>250</v>
      </c>
      <c r="AO455" s="10">
        <v>250</v>
      </c>
      <c r="AP455" s="56">
        <f t="shared" si="130"/>
        <v>1</v>
      </c>
      <c r="AR455" s="11">
        <f ca="1">IFERROR(OFFSET(ITEM_RES!$A$1,MATCH(AS455,ITEM_RES!$J:$J,0)-1,0),0)</f>
        <v>211020901</v>
      </c>
      <c r="AS455" s="10" t="s">
        <v>469</v>
      </c>
      <c r="AT455" s="11">
        <v>1250</v>
      </c>
      <c r="AW455" s="11">
        <f ca="1">IFERROR(OFFSET(ITEM_RES!$A$1,MATCH(AX455,ITEM_RES!$J:$J,0)-1,0),0)</f>
        <v>0</v>
      </c>
      <c r="BB455" s="11">
        <f ca="1">IFERROR(OFFSET(ITEM_RES!$A$1,MATCH(BC455,ITEM_RES!$J:$J,0)-1,0),0)</f>
        <v>0</v>
      </c>
      <c r="BG455" s="11">
        <f ca="1">IFERROR(OFFSET(ITEM_RES!$A$1,MATCH(BH455,ITEM_RES!$J:$J,0)-1,0),0)</f>
        <v>0</v>
      </c>
      <c r="BL455" s="11">
        <f ca="1">IFERROR(OFFSET(ITEM_RES!$A$1,MATCH(BM455,ITEM_RES!$J:$J,0)-1,0),0)</f>
        <v>0</v>
      </c>
    </row>
    <row r="456" spans="1:64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385</v>
      </c>
      <c r="N456" s="9">
        <v>1</v>
      </c>
      <c r="O456" s="9">
        <v>15</v>
      </c>
      <c r="P456" s="9" t="s">
        <v>810</v>
      </c>
      <c r="T456" s="9" t="s">
        <v>751</v>
      </c>
      <c r="W456" s="9">
        <f ca="1">IFERROR(OFFSET(ITEM_RES!$A$5,MATCH(BUILDING!V456,ITEM_RES!$J$5:$J$226,0)-1,0),0)</f>
        <v>0</v>
      </c>
      <c r="Z456" s="9">
        <f ca="1">IFERROR(OFFSET(ITEM_RES!$A$5,MATCH(BUILDING!Y456,ITEM_RES!$J$5:$J$226,0)-1,0),0)</f>
        <v>0</v>
      </c>
      <c r="AB456" s="9" t="s">
        <v>557</v>
      </c>
      <c r="AC456" s="9">
        <v>12</v>
      </c>
      <c r="AE456" s="9">
        <v>24000</v>
      </c>
      <c r="AG456" s="56">
        <f t="shared" si="129"/>
        <v>5300</v>
      </c>
      <c r="AH456" s="10">
        <f t="shared" si="136"/>
        <v>9300</v>
      </c>
      <c r="AJ456" s="11">
        <f t="shared" si="128"/>
        <v>60</v>
      </c>
      <c r="AK456" s="10">
        <v>60</v>
      </c>
      <c r="AL456" s="11">
        <f t="shared" si="135"/>
        <v>300</v>
      </c>
      <c r="AM456" s="10">
        <v>300</v>
      </c>
      <c r="AN456" s="11">
        <f t="shared" si="135"/>
        <v>300</v>
      </c>
      <c r="AO456" s="10">
        <v>300</v>
      </c>
      <c r="AP456" s="56">
        <f t="shared" si="130"/>
        <v>2</v>
      </c>
      <c r="AR456" s="11">
        <f ca="1">IFERROR(OFFSET(ITEM_RES!$A$1,MATCH(AS456,ITEM_RES!$J:$J,0)-1,0),0)</f>
        <v>211020901</v>
      </c>
      <c r="AS456" s="10" t="s">
        <v>469</v>
      </c>
      <c r="AT456" s="11">
        <v>1500</v>
      </c>
      <c r="AW456" s="11">
        <f ca="1">IFERROR(OFFSET(ITEM_RES!$A$1,MATCH(AX456,ITEM_RES!$J:$J,0)-1,0),0)</f>
        <v>0</v>
      </c>
      <c r="BB456" s="11">
        <f ca="1">IFERROR(OFFSET(ITEM_RES!$A$1,MATCH(BC456,ITEM_RES!$J:$J,0)-1,0),0)</f>
        <v>0</v>
      </c>
      <c r="BG456" s="11">
        <f ca="1">IFERROR(OFFSET(ITEM_RES!$A$1,MATCH(BH456,ITEM_RES!$J:$J,0)-1,0),0)</f>
        <v>213011401</v>
      </c>
      <c r="BH456" s="10" t="s">
        <v>496</v>
      </c>
      <c r="BI456" s="11">
        <v>1</v>
      </c>
      <c r="BL456" s="11">
        <f ca="1">IFERROR(OFFSET(ITEM_RES!$A$1,MATCH(BM456,ITEM_RES!$J:$J,0)-1,0),0)</f>
        <v>0</v>
      </c>
    </row>
    <row r="457" spans="1:64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385</v>
      </c>
      <c r="N457" s="9">
        <v>1</v>
      </c>
      <c r="O457" s="9">
        <v>15</v>
      </c>
      <c r="P457" s="9" t="s">
        <v>810</v>
      </c>
      <c r="T457" s="9" t="s">
        <v>751</v>
      </c>
      <c r="W457" s="9">
        <f ca="1">IFERROR(OFFSET(ITEM_RES!$A$5,MATCH(BUILDING!V457,ITEM_RES!$J$5:$J$226,0)-1,0),0)</f>
        <v>0</v>
      </c>
      <c r="Z457" s="9">
        <f ca="1">IFERROR(OFFSET(ITEM_RES!$A$5,MATCH(BUILDING!Y457,ITEM_RES!$J$5:$J$226,0)-1,0),0)</f>
        <v>0</v>
      </c>
      <c r="AB457" s="9" t="s">
        <v>557</v>
      </c>
      <c r="AC457" s="9">
        <v>13</v>
      </c>
      <c r="AE457" s="9">
        <v>28000</v>
      </c>
      <c r="AG457" s="56">
        <f t="shared" si="129"/>
        <v>5600</v>
      </c>
      <c r="AH457" s="10">
        <f t="shared" si="136"/>
        <v>10900</v>
      </c>
      <c r="AJ457" s="11">
        <f t="shared" si="128"/>
        <v>65</v>
      </c>
      <c r="AK457" s="10">
        <v>65</v>
      </c>
      <c r="AL457" s="11">
        <f t="shared" si="135"/>
        <v>350</v>
      </c>
      <c r="AM457" s="10">
        <v>350</v>
      </c>
      <c r="AN457" s="11">
        <f t="shared" si="135"/>
        <v>350</v>
      </c>
      <c r="AO457" s="10">
        <v>350</v>
      </c>
      <c r="AP457" s="56">
        <f t="shared" si="130"/>
        <v>1</v>
      </c>
      <c r="AR457" s="11">
        <f ca="1">IFERROR(OFFSET(ITEM_RES!$A$1,MATCH(AS457,ITEM_RES!$J:$J,0)-1,0),0)</f>
        <v>211020901</v>
      </c>
      <c r="AS457" s="10" t="s">
        <v>469</v>
      </c>
      <c r="AT457" s="11">
        <v>1750</v>
      </c>
      <c r="AW457" s="11">
        <f ca="1">IFERROR(OFFSET(ITEM_RES!$A$1,MATCH(AX457,ITEM_RES!$J:$J,0)-1,0),0)</f>
        <v>0</v>
      </c>
      <c r="BB457" s="11">
        <f ca="1">IFERROR(OFFSET(ITEM_RES!$A$1,MATCH(BC457,ITEM_RES!$J:$J,0)-1,0),0)</f>
        <v>0</v>
      </c>
      <c r="BG457" s="11">
        <f ca="1">IFERROR(OFFSET(ITEM_RES!$A$1,MATCH(BH457,ITEM_RES!$J:$J,0)-1,0),0)</f>
        <v>0</v>
      </c>
      <c r="BL457" s="11">
        <f ca="1">IFERROR(OFFSET(ITEM_RES!$A$1,MATCH(BM457,ITEM_RES!$J:$J,0)-1,0),0)</f>
        <v>0</v>
      </c>
    </row>
    <row r="458" spans="1:64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385</v>
      </c>
      <c r="N458" s="9">
        <v>1</v>
      </c>
      <c r="O458" s="9">
        <v>15</v>
      </c>
      <c r="P458" s="9" t="s">
        <v>810</v>
      </c>
      <c r="T458" s="9" t="s">
        <v>751</v>
      </c>
      <c r="W458" s="9">
        <f ca="1">IFERROR(OFFSET(ITEM_RES!$A$5,MATCH(BUILDING!V458,ITEM_RES!$J$5:$J$226,0)-1,0),0)</f>
        <v>0</v>
      </c>
      <c r="Z458" s="9">
        <f ca="1">IFERROR(OFFSET(ITEM_RES!$A$5,MATCH(BUILDING!Y458,ITEM_RES!$J$5:$J$226,0)-1,0),0)</f>
        <v>0</v>
      </c>
      <c r="AB458" s="9" t="s">
        <v>557</v>
      </c>
      <c r="AC458" s="9">
        <v>14</v>
      </c>
      <c r="AE458" s="9">
        <v>36000</v>
      </c>
      <c r="AG458" s="56">
        <f t="shared" si="129"/>
        <v>7200</v>
      </c>
      <c r="AH458" s="10">
        <f t="shared" si="136"/>
        <v>12800</v>
      </c>
      <c r="AJ458" s="11">
        <f t="shared" si="128"/>
        <v>70</v>
      </c>
      <c r="AK458" s="10">
        <v>70</v>
      </c>
      <c r="AL458" s="11">
        <f t="shared" si="135"/>
        <v>450</v>
      </c>
      <c r="AM458" s="10">
        <v>450</v>
      </c>
      <c r="AN458" s="11">
        <f t="shared" si="135"/>
        <v>450</v>
      </c>
      <c r="AO458" s="10">
        <v>450</v>
      </c>
      <c r="AP458" s="56">
        <f t="shared" si="130"/>
        <v>1</v>
      </c>
      <c r="AR458" s="11">
        <f ca="1">IFERROR(OFFSET(ITEM_RES!$A$1,MATCH(AS458,ITEM_RES!$J:$J,0)-1,0),0)</f>
        <v>211020901</v>
      </c>
      <c r="AS458" s="10" t="s">
        <v>469</v>
      </c>
      <c r="AT458" s="11">
        <v>2250</v>
      </c>
      <c r="AW458" s="11">
        <f ca="1">IFERROR(OFFSET(ITEM_RES!$A$1,MATCH(AX458,ITEM_RES!$J:$J,0)-1,0),0)</f>
        <v>0</v>
      </c>
      <c r="BB458" s="11">
        <f ca="1">IFERROR(OFFSET(ITEM_RES!$A$1,MATCH(BC458,ITEM_RES!$J:$J,0)-1,0),0)</f>
        <v>0</v>
      </c>
      <c r="BG458" s="11">
        <f ca="1">IFERROR(OFFSET(ITEM_RES!$A$1,MATCH(BH458,ITEM_RES!$J:$J,0)-1,0),0)</f>
        <v>0</v>
      </c>
      <c r="BL458" s="11">
        <f ca="1">IFERROR(OFFSET(ITEM_RES!$A$1,MATCH(BM458,ITEM_RES!$J:$J,0)-1,0),0)</f>
        <v>0</v>
      </c>
    </row>
    <row r="459" spans="1:64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385</v>
      </c>
      <c r="N459" s="9">
        <v>1</v>
      </c>
      <c r="O459" s="9">
        <v>15</v>
      </c>
      <c r="P459" s="9" t="s">
        <v>810</v>
      </c>
      <c r="T459" s="9" t="s">
        <v>751</v>
      </c>
      <c r="W459" s="9">
        <f ca="1">IFERROR(OFFSET(ITEM_RES!$A$5,MATCH(BUILDING!V459,ITEM_RES!$J$5:$J$226,0)-1,0),0)</f>
        <v>0</v>
      </c>
      <c r="Z459" s="9">
        <f ca="1">IFERROR(OFFSET(ITEM_RES!$A$5,MATCH(BUILDING!Y459,ITEM_RES!$J$5:$J$226,0)-1,0),0)</f>
        <v>0</v>
      </c>
      <c r="AB459" s="9" t="s">
        <v>557</v>
      </c>
      <c r="AC459" s="9">
        <v>15</v>
      </c>
      <c r="AE459" s="9">
        <v>44000</v>
      </c>
      <c r="AG459" s="56">
        <f t="shared" si="129"/>
        <v>8800</v>
      </c>
      <c r="AH459" s="10">
        <f t="shared" si="136"/>
        <v>16000</v>
      </c>
      <c r="AJ459" s="11">
        <f t="shared" si="128"/>
        <v>75</v>
      </c>
      <c r="AK459" s="10">
        <v>75</v>
      </c>
      <c r="AL459" s="11">
        <f t="shared" si="135"/>
        <v>550</v>
      </c>
      <c r="AM459" s="10">
        <v>550</v>
      </c>
      <c r="AN459" s="11">
        <f t="shared" si="135"/>
        <v>550</v>
      </c>
      <c r="AO459" s="10">
        <v>550</v>
      </c>
      <c r="AP459" s="56">
        <f t="shared" si="130"/>
        <v>1</v>
      </c>
      <c r="AR459" s="11">
        <f ca="1">IFERROR(OFFSET(ITEM_RES!$A$1,MATCH(AS459,ITEM_RES!$J:$J,0)-1,0),0)</f>
        <v>211020901</v>
      </c>
      <c r="AS459" s="10" t="s">
        <v>469</v>
      </c>
      <c r="AT459" s="11">
        <v>2750</v>
      </c>
      <c r="AW459" s="11">
        <f ca="1">IFERROR(OFFSET(ITEM_RES!$A$1,MATCH(AX459,ITEM_RES!$J:$J,0)-1,0),0)</f>
        <v>0</v>
      </c>
      <c r="BB459" s="11">
        <f ca="1">IFERROR(OFFSET(ITEM_RES!$A$1,MATCH(BC459,ITEM_RES!$J:$J,0)-1,0),0)</f>
        <v>0</v>
      </c>
      <c r="BG459" s="11">
        <f ca="1">IFERROR(OFFSET(ITEM_RES!$A$1,MATCH(BH459,ITEM_RES!$J:$J,0)-1,0),0)</f>
        <v>0</v>
      </c>
      <c r="BL459" s="11">
        <f ca="1">IFERROR(OFFSET(ITEM_RES!$A$1,MATCH(BM459,ITEM_RES!$J:$J,0)-1,0),0)</f>
        <v>0</v>
      </c>
    </row>
    <row r="460" spans="1:64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385</v>
      </c>
      <c r="N460" s="9">
        <v>0</v>
      </c>
      <c r="O460" s="9">
        <v>15</v>
      </c>
      <c r="P460" s="9" t="s">
        <v>810</v>
      </c>
      <c r="T460" s="9" t="s">
        <v>751</v>
      </c>
      <c r="W460" s="9">
        <f ca="1">IFERROR(OFFSET(ITEM_RES!$A$5,MATCH(BUILDING!V460,ITEM_RES!$J$5:$J$226,0)-1,0),0)</f>
        <v>0</v>
      </c>
      <c r="Z460" s="9">
        <f ca="1">IFERROR(OFFSET(ITEM_RES!$A$5,MATCH(BUILDING!Y460,ITEM_RES!$J$5:$J$226,0)-1,0),0)</f>
        <v>0</v>
      </c>
      <c r="AB460" s="9" t="s">
        <v>557</v>
      </c>
      <c r="AC460" s="9">
        <v>16</v>
      </c>
      <c r="AE460" s="9">
        <v>56000</v>
      </c>
      <c r="AG460" s="56">
        <f t="shared" si="129"/>
        <v>11200</v>
      </c>
      <c r="AH460" s="10">
        <f t="shared" si="136"/>
        <v>20000</v>
      </c>
      <c r="AJ460" s="11">
        <f t="shared" si="128"/>
        <v>80</v>
      </c>
      <c r="AK460" s="10">
        <v>80</v>
      </c>
      <c r="AL460" s="11">
        <f t="shared" si="135"/>
        <v>700</v>
      </c>
      <c r="AM460" s="10">
        <v>700</v>
      </c>
      <c r="AN460" s="11">
        <f t="shared" si="135"/>
        <v>700</v>
      </c>
      <c r="AO460" s="10">
        <v>700</v>
      </c>
      <c r="AP460" s="56">
        <f t="shared" si="130"/>
        <v>1</v>
      </c>
      <c r="AR460" s="11">
        <f ca="1">IFERROR(OFFSET(ITEM_RES!$A$1,MATCH(AS460,ITEM_RES!$J:$J,0)-1,0),0)</f>
        <v>211020901</v>
      </c>
      <c r="AS460" s="10" t="s">
        <v>469</v>
      </c>
      <c r="AT460" s="11">
        <v>3500</v>
      </c>
      <c r="AW460" s="11">
        <f ca="1">IFERROR(OFFSET(ITEM_RES!$A$1,MATCH(AX460,ITEM_RES!$J:$J,0)-1,0),0)</f>
        <v>0</v>
      </c>
      <c r="BB460" s="11">
        <f ca="1">IFERROR(OFFSET(ITEM_RES!$A$1,MATCH(BC460,ITEM_RES!$J:$J,0)-1,0),0)</f>
        <v>0</v>
      </c>
      <c r="BG460" s="11">
        <f ca="1">IFERROR(OFFSET(ITEM_RES!$A$1,MATCH(BH460,ITEM_RES!$J:$J,0)-1,0),0)</f>
        <v>0</v>
      </c>
      <c r="BL460" s="11">
        <f ca="1">IFERROR(OFFSET(ITEM_RES!$A$1,MATCH(BM460,ITEM_RES!$J:$J,0)-1,0),0)</f>
        <v>0</v>
      </c>
    </row>
    <row r="461" spans="1:64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385</v>
      </c>
      <c r="N461" s="9">
        <v>0</v>
      </c>
      <c r="O461" s="9">
        <v>15</v>
      </c>
      <c r="P461" s="9" t="s">
        <v>810</v>
      </c>
      <c r="T461" s="9" t="s">
        <v>751</v>
      </c>
      <c r="W461" s="9">
        <f ca="1">IFERROR(OFFSET(ITEM_RES!$A$5,MATCH(BUILDING!V461,ITEM_RES!$J$5:$J$226,0)-1,0),0)</f>
        <v>0</v>
      </c>
      <c r="Z461" s="9">
        <f ca="1">IFERROR(OFFSET(ITEM_RES!$A$5,MATCH(BUILDING!Y461,ITEM_RES!$J$5:$J$226,0)-1,0),0)</f>
        <v>0</v>
      </c>
      <c r="AB461" s="9" t="s">
        <v>557</v>
      </c>
      <c r="AC461" s="9">
        <v>17</v>
      </c>
      <c r="AE461" s="9">
        <v>68000</v>
      </c>
      <c r="AG461" s="56">
        <f t="shared" si="129"/>
        <v>13600</v>
      </c>
      <c r="AH461" s="10">
        <f t="shared" si="136"/>
        <v>24800</v>
      </c>
      <c r="AJ461" s="11">
        <f t="shared" si="128"/>
        <v>85</v>
      </c>
      <c r="AK461" s="10">
        <v>85</v>
      </c>
      <c r="AL461" s="11">
        <f t="shared" si="135"/>
        <v>850</v>
      </c>
      <c r="AM461" s="10">
        <v>850</v>
      </c>
      <c r="AN461" s="11">
        <f t="shared" si="135"/>
        <v>850</v>
      </c>
      <c r="AO461" s="10">
        <v>850</v>
      </c>
      <c r="AP461" s="56">
        <f t="shared" si="130"/>
        <v>1</v>
      </c>
      <c r="AR461" s="11">
        <f ca="1">IFERROR(OFFSET(ITEM_RES!$A$1,MATCH(AS461,ITEM_RES!$J:$J,0)-1,0),0)</f>
        <v>211020901</v>
      </c>
      <c r="AS461" s="10" t="s">
        <v>469</v>
      </c>
      <c r="AT461" s="11">
        <v>4250</v>
      </c>
      <c r="AW461" s="11">
        <f ca="1">IFERROR(OFFSET(ITEM_RES!$A$1,MATCH(AX461,ITEM_RES!$J:$J,0)-1,0),0)</f>
        <v>0</v>
      </c>
      <c r="BB461" s="11">
        <f ca="1">IFERROR(OFFSET(ITEM_RES!$A$1,MATCH(BC461,ITEM_RES!$J:$J,0)-1,0),0)</f>
        <v>0</v>
      </c>
      <c r="BG461" s="11">
        <f ca="1">IFERROR(OFFSET(ITEM_RES!$A$1,MATCH(BH461,ITEM_RES!$J:$J,0)-1,0),0)</f>
        <v>0</v>
      </c>
      <c r="BL461" s="11">
        <f ca="1">IFERROR(OFFSET(ITEM_RES!$A$1,MATCH(BM461,ITEM_RES!$J:$J,0)-1,0),0)</f>
        <v>0</v>
      </c>
    </row>
    <row r="462" spans="1:64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385</v>
      </c>
      <c r="N462" s="9">
        <v>0</v>
      </c>
      <c r="O462" s="9">
        <v>15</v>
      </c>
      <c r="P462" s="9" t="s">
        <v>810</v>
      </c>
      <c r="T462" s="9" t="s">
        <v>751</v>
      </c>
      <c r="W462" s="9">
        <f ca="1">IFERROR(OFFSET(ITEM_RES!$A$5,MATCH(BUILDING!V462,ITEM_RES!$J$5:$J$226,0)-1,0),0)</f>
        <v>0</v>
      </c>
      <c r="Z462" s="9">
        <f ca="1">IFERROR(OFFSET(ITEM_RES!$A$5,MATCH(BUILDING!Y462,ITEM_RES!$J$5:$J$226,0)-1,0),0)</f>
        <v>0</v>
      </c>
      <c r="AB462" s="9" t="s">
        <v>557</v>
      </c>
      <c r="AC462" s="9">
        <v>18</v>
      </c>
      <c r="AE462" s="9">
        <v>84000</v>
      </c>
      <c r="AG462" s="56">
        <f t="shared" si="129"/>
        <v>16800</v>
      </c>
      <c r="AH462" s="10">
        <f t="shared" si="136"/>
        <v>30400</v>
      </c>
      <c r="AJ462" s="11">
        <f t="shared" si="128"/>
        <v>90</v>
      </c>
      <c r="AK462" s="10">
        <v>90</v>
      </c>
      <c r="AL462" s="11">
        <f t="shared" si="135"/>
        <v>1050</v>
      </c>
      <c r="AM462" s="10">
        <v>1050</v>
      </c>
      <c r="AN462" s="11">
        <f t="shared" si="135"/>
        <v>1050</v>
      </c>
      <c r="AO462" s="10">
        <v>1050</v>
      </c>
      <c r="AP462" s="56">
        <f t="shared" si="130"/>
        <v>1</v>
      </c>
      <c r="AR462" s="11">
        <f ca="1">IFERROR(OFFSET(ITEM_RES!$A$1,MATCH(AS462,ITEM_RES!$J:$J,0)-1,0),0)</f>
        <v>211020901</v>
      </c>
      <c r="AS462" s="10" t="s">
        <v>469</v>
      </c>
      <c r="AT462" s="11">
        <v>5250</v>
      </c>
      <c r="AW462" s="11">
        <f ca="1">IFERROR(OFFSET(ITEM_RES!$A$1,MATCH(AX462,ITEM_RES!$J:$J,0)-1,0),0)</f>
        <v>0</v>
      </c>
      <c r="BB462" s="11">
        <f ca="1">IFERROR(OFFSET(ITEM_RES!$A$1,MATCH(BC462,ITEM_RES!$J:$J,0)-1,0),0)</f>
        <v>0</v>
      </c>
      <c r="BG462" s="11">
        <f ca="1">IFERROR(OFFSET(ITEM_RES!$A$1,MATCH(BH462,ITEM_RES!$J:$J,0)-1,0),0)</f>
        <v>0</v>
      </c>
      <c r="BL462" s="11">
        <f ca="1">IFERROR(OFFSET(ITEM_RES!$A$1,MATCH(BM462,ITEM_RES!$J:$J,0)-1,0),0)</f>
        <v>0</v>
      </c>
    </row>
    <row r="463" spans="1:64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385</v>
      </c>
      <c r="N463" s="9">
        <v>0</v>
      </c>
      <c r="O463" s="9">
        <v>15</v>
      </c>
      <c r="P463" s="9" t="s">
        <v>810</v>
      </c>
      <c r="T463" s="9" t="s">
        <v>751</v>
      </c>
      <c r="W463" s="9">
        <f ca="1">IFERROR(OFFSET(ITEM_RES!$A$5,MATCH(BUILDING!V463,ITEM_RES!$J$5:$J$226,0)-1,0),0)</f>
        <v>0</v>
      </c>
      <c r="Z463" s="9">
        <f ca="1">IFERROR(OFFSET(ITEM_RES!$A$5,MATCH(BUILDING!Y463,ITEM_RES!$J$5:$J$226,0)-1,0),0)</f>
        <v>0</v>
      </c>
      <c r="AB463" s="9" t="s">
        <v>557</v>
      </c>
      <c r="AC463" s="9">
        <v>19</v>
      </c>
      <c r="AE463" s="9">
        <v>100000</v>
      </c>
      <c r="AG463" s="56">
        <f t="shared" si="129"/>
        <v>20000</v>
      </c>
      <c r="AH463" s="10">
        <f t="shared" si="136"/>
        <v>36800</v>
      </c>
      <c r="AJ463" s="11">
        <f t="shared" si="128"/>
        <v>95</v>
      </c>
      <c r="AK463" s="10">
        <v>95</v>
      </c>
      <c r="AL463" s="11">
        <f t="shared" si="135"/>
        <v>1250</v>
      </c>
      <c r="AM463" s="10">
        <v>1250</v>
      </c>
      <c r="AN463" s="11">
        <f t="shared" si="135"/>
        <v>1250</v>
      </c>
      <c r="AO463" s="10">
        <v>1250</v>
      </c>
      <c r="AP463" s="56">
        <f t="shared" si="130"/>
        <v>1</v>
      </c>
      <c r="AR463" s="11">
        <f ca="1">IFERROR(OFFSET(ITEM_RES!$A$1,MATCH(AS463,ITEM_RES!$J:$J,0)-1,0),0)</f>
        <v>211020901</v>
      </c>
      <c r="AS463" s="10" t="s">
        <v>469</v>
      </c>
      <c r="AT463" s="11">
        <v>6250</v>
      </c>
      <c r="AW463" s="11">
        <f ca="1">IFERROR(OFFSET(ITEM_RES!$A$1,MATCH(AX463,ITEM_RES!$J:$J,0)-1,0),0)</f>
        <v>0</v>
      </c>
      <c r="BB463" s="11">
        <f ca="1">IFERROR(OFFSET(ITEM_RES!$A$1,MATCH(BC463,ITEM_RES!$J:$J,0)-1,0),0)</f>
        <v>0</v>
      </c>
      <c r="BG463" s="11">
        <f ca="1">IFERROR(OFFSET(ITEM_RES!$A$1,MATCH(BH463,ITEM_RES!$J:$J,0)-1,0),0)</f>
        <v>0</v>
      </c>
      <c r="BL463" s="11">
        <f ca="1">IFERROR(OFFSET(ITEM_RES!$A$1,MATCH(BM463,ITEM_RES!$J:$J,0)-1,0),0)</f>
        <v>0</v>
      </c>
    </row>
    <row r="464" spans="1:64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385</v>
      </c>
      <c r="N464" s="9">
        <v>0</v>
      </c>
      <c r="O464" s="9">
        <v>15</v>
      </c>
      <c r="P464" s="9" t="s">
        <v>810</v>
      </c>
      <c r="T464" s="9" t="s">
        <v>751</v>
      </c>
      <c r="W464" s="9">
        <f ca="1">IFERROR(OFFSET(ITEM_RES!$A$5,MATCH(BUILDING!V464,ITEM_RES!$J$5:$J$226,0)-1,0),0)</f>
        <v>0</v>
      </c>
      <c r="Z464" s="9">
        <f ca="1">IFERROR(OFFSET(ITEM_RES!$A$5,MATCH(BUILDING!Y464,ITEM_RES!$J$5:$J$226,0)-1,0),0)</f>
        <v>0</v>
      </c>
      <c r="AB464" s="9" t="s">
        <v>557</v>
      </c>
      <c r="AC464" s="9">
        <v>20</v>
      </c>
      <c r="AE464" s="9">
        <v>120000</v>
      </c>
      <c r="AG464" s="56">
        <f t="shared" si="129"/>
        <v>24000</v>
      </c>
      <c r="AH464" s="10">
        <f t="shared" si="136"/>
        <v>44000</v>
      </c>
      <c r="AJ464" s="11">
        <f t="shared" si="128"/>
        <v>100</v>
      </c>
      <c r="AK464" s="10">
        <v>100</v>
      </c>
      <c r="AL464" s="11">
        <f t="shared" si="135"/>
        <v>1500</v>
      </c>
      <c r="AM464" s="10">
        <v>1500</v>
      </c>
      <c r="AN464" s="11">
        <f t="shared" si="135"/>
        <v>1500</v>
      </c>
      <c r="AO464" s="10">
        <v>1500</v>
      </c>
      <c r="AP464" s="56">
        <f t="shared" si="130"/>
        <v>1</v>
      </c>
      <c r="AR464" s="11">
        <f ca="1">IFERROR(OFFSET(ITEM_RES!$A$1,MATCH(AS464,ITEM_RES!$J:$J,0)-1,0),0)</f>
        <v>211020901</v>
      </c>
      <c r="AS464" s="10" t="s">
        <v>469</v>
      </c>
      <c r="AT464" s="11">
        <v>7500</v>
      </c>
      <c r="AW464" s="11">
        <f ca="1">IFERROR(OFFSET(ITEM_RES!$A$1,MATCH(AX464,ITEM_RES!$J:$J,0)-1,0),0)</f>
        <v>0</v>
      </c>
      <c r="BB464" s="11">
        <f ca="1">IFERROR(OFFSET(ITEM_RES!$A$1,MATCH(BC464,ITEM_RES!$J:$J,0)-1,0),0)</f>
        <v>0</v>
      </c>
      <c r="BG464" s="11">
        <f ca="1">IFERROR(OFFSET(ITEM_RES!$A$1,MATCH(BH464,ITEM_RES!$J:$J,0)-1,0),0)</f>
        <v>0</v>
      </c>
      <c r="BL464" s="11">
        <f ca="1">IFERROR(OFFSET(ITEM_RES!$A$1,MATCH(BM464,ITEM_RES!$J:$J,0)-1,0),0)</f>
        <v>0</v>
      </c>
    </row>
    <row r="465" spans="1:67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/>
      <c r="M465" s="16"/>
      <c r="N465" s="16">
        <v>1</v>
      </c>
      <c r="O465" s="16">
        <v>15</v>
      </c>
      <c r="P465" s="16"/>
      <c r="Q465" s="17"/>
      <c r="R465" s="17"/>
      <c r="S465" s="18"/>
      <c r="T465" s="16">
        <v>2222</v>
      </c>
      <c r="U465" s="79"/>
      <c r="V465" s="87"/>
      <c r="W465" s="16">
        <f ca="1">IFERROR(OFFSET(ITEM_RES!$A$5,MATCH(BUILDING!V465,ITEM_RES!$J$5:$J$226,0)-1,0),0)</f>
        <v>0</v>
      </c>
      <c r="X465" s="18"/>
      <c r="Y465" s="87"/>
      <c r="Z465" s="16">
        <f ca="1">IFERROR(OFFSET(ITEM_RES!$A$5,MATCH(BUILDING!Y465,ITEM_RES!$J$5:$J$226,0)-1,0),0)</f>
        <v>0</v>
      </c>
      <c r="AA465" s="79"/>
      <c r="AB465" s="16" t="s">
        <v>558</v>
      </c>
      <c r="AC465" s="16">
        <v>1</v>
      </c>
      <c r="AD465" s="79"/>
      <c r="AE465" s="16">
        <v>0</v>
      </c>
      <c r="AF465" s="79"/>
      <c r="AG465" s="57">
        <f t="shared" si="129"/>
        <v>1080</v>
      </c>
      <c r="AH465" s="17">
        <f>AG465</f>
        <v>1080</v>
      </c>
      <c r="AI465" s="79"/>
      <c r="AJ465" s="18">
        <f t="shared" si="128"/>
        <v>5</v>
      </c>
      <c r="AK465" s="17">
        <v>5</v>
      </c>
      <c r="AL465" s="18">
        <f t="shared" si="135"/>
        <v>5</v>
      </c>
      <c r="AM465" s="17">
        <v>5</v>
      </c>
      <c r="AN465" s="18">
        <f t="shared" si="135"/>
        <v>5</v>
      </c>
      <c r="AO465" s="17">
        <v>5</v>
      </c>
      <c r="AP465" s="57">
        <f t="shared" si="130"/>
        <v>3</v>
      </c>
      <c r="AQ465" s="18"/>
      <c r="AR465" s="18">
        <f ca="1">IFERROR(OFFSET(ITEM_RES!$A$1,MATCH(AS465,ITEM_RES!$J:$J,0)-1,0),0)</f>
        <v>211020801</v>
      </c>
      <c r="AS465" s="17" t="s">
        <v>456</v>
      </c>
      <c r="AT465" s="18">
        <v>25</v>
      </c>
      <c r="AU465" s="17"/>
      <c r="AV465" s="18"/>
      <c r="AW465" s="18">
        <f ca="1">IFERROR(OFFSET(ITEM_RES!$A$1,MATCH(AX465,ITEM_RES!$J:$J,0)-1,0),0)</f>
        <v>0</v>
      </c>
      <c r="AX465" s="17"/>
      <c r="AY465" s="18"/>
      <c r="AZ465" s="17"/>
      <c r="BA465" s="18"/>
      <c r="BB465" s="18">
        <f ca="1">IFERROR(OFFSET(ITEM_RES!$A$1,MATCH(BC465,ITEM_RES!$J:$J,0)-1,0),0)</f>
        <v>213010101</v>
      </c>
      <c r="BC465" s="17" t="s">
        <v>477</v>
      </c>
      <c r="BD465" s="18">
        <v>1</v>
      </c>
      <c r="BE465" s="17"/>
      <c r="BF465" s="18"/>
      <c r="BG465" s="18">
        <f ca="1">IFERROR(OFFSET(ITEM_RES!$A$1,MATCH(BH465,ITEM_RES!$J:$J,0)-1,0),0)</f>
        <v>213010201</v>
      </c>
      <c r="BH465" s="17" t="s">
        <v>499</v>
      </c>
      <c r="BI465" s="18">
        <v>1</v>
      </c>
      <c r="BJ465" s="17"/>
      <c r="BK465" s="18"/>
      <c r="BL465" s="18">
        <f ca="1">IFERROR(OFFSET(ITEM_RES!$A$1,MATCH(BM465,ITEM_RES!$J:$J,0)-1,0),0)</f>
        <v>0</v>
      </c>
      <c r="BM465" s="17"/>
      <c r="BN465" s="18"/>
      <c r="BO465" s="17"/>
    </row>
    <row r="466" spans="1:67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N466" s="9">
        <v>1</v>
      </c>
      <c r="O466" s="9">
        <v>15</v>
      </c>
      <c r="T466" s="9">
        <v>2222</v>
      </c>
      <c r="W466" s="9">
        <f ca="1">IFERROR(OFFSET(ITEM_RES!$A$5,MATCH(BUILDING!V466,ITEM_RES!$J$5:$J$226,0)-1,0),0)</f>
        <v>0</v>
      </c>
      <c r="Z466" s="9">
        <f ca="1">IFERROR(OFFSET(ITEM_RES!$A$5,MATCH(BUILDING!Y466,ITEM_RES!$J$5:$J$226,0)-1,0),0)</f>
        <v>0</v>
      </c>
      <c r="AB466" s="9" t="s">
        <v>558</v>
      </c>
      <c r="AC466" s="9">
        <v>2</v>
      </c>
      <c r="AE466" s="9">
        <v>200</v>
      </c>
      <c r="AG466" s="56">
        <f t="shared" si="129"/>
        <v>160</v>
      </c>
      <c r="AH466" s="10">
        <f>AG465+AG466</f>
        <v>1240</v>
      </c>
      <c r="AJ466" s="11">
        <f t="shared" si="128"/>
        <v>10</v>
      </c>
      <c r="AK466" s="10">
        <v>10</v>
      </c>
      <c r="AL466" s="11">
        <f t="shared" si="135"/>
        <v>10</v>
      </c>
      <c r="AM466" s="10">
        <v>10</v>
      </c>
      <c r="AN466" s="11">
        <f t="shared" si="135"/>
        <v>10</v>
      </c>
      <c r="AO466" s="10">
        <v>10</v>
      </c>
      <c r="AP466" s="56">
        <f t="shared" si="130"/>
        <v>1</v>
      </c>
      <c r="AR466" s="11">
        <f ca="1">IFERROR(OFFSET(ITEM_RES!$A$1,MATCH(AS466,ITEM_RES!$J:$J,0)-1,0),0)</f>
        <v>211020801</v>
      </c>
      <c r="AS466" s="10" t="s">
        <v>456</v>
      </c>
      <c r="AT466" s="11">
        <v>50</v>
      </c>
      <c r="AW466" s="11">
        <f ca="1">IFERROR(OFFSET(ITEM_RES!$A$1,MATCH(AX466,ITEM_RES!$J:$J,0)-1,0),0)</f>
        <v>0</v>
      </c>
      <c r="BB466" s="11">
        <f ca="1">IFERROR(OFFSET(ITEM_RES!$A$1,MATCH(BC466,ITEM_RES!$J:$J,0)-1,0),0)</f>
        <v>0</v>
      </c>
      <c r="BG466" s="11">
        <f ca="1">IFERROR(OFFSET(ITEM_RES!$A$1,MATCH(BH466,ITEM_RES!$J:$J,0)-1,0),0)</f>
        <v>0</v>
      </c>
      <c r="BL466" s="11">
        <f ca="1">IFERROR(OFFSET(ITEM_RES!$A$1,MATCH(BM466,ITEM_RES!$J:$J,0)-1,0),0)</f>
        <v>0</v>
      </c>
    </row>
    <row r="467" spans="1:67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N467" s="9">
        <v>1</v>
      </c>
      <c r="O467" s="9">
        <v>15</v>
      </c>
      <c r="T467" s="9">
        <v>2222</v>
      </c>
      <c r="W467" s="9">
        <f ca="1">IFERROR(OFFSET(ITEM_RES!$A$5,MATCH(BUILDING!V467,ITEM_RES!$J$5:$J$226,0)-1,0),0)</f>
        <v>0</v>
      </c>
      <c r="Z467" s="9">
        <f ca="1">IFERROR(OFFSET(ITEM_RES!$A$5,MATCH(BUILDING!Y467,ITEM_RES!$J$5:$J$226,0)-1,0),0)</f>
        <v>0</v>
      </c>
      <c r="AB467" s="9" t="s">
        <v>558</v>
      </c>
      <c r="AC467" s="9">
        <v>3</v>
      </c>
      <c r="AE467" s="9">
        <v>600</v>
      </c>
      <c r="AG467" s="56">
        <f t="shared" si="129"/>
        <v>240</v>
      </c>
      <c r="AH467" s="10">
        <f t="shared" ref="AH467:AH484" si="137">AG466+AG467</f>
        <v>400</v>
      </c>
      <c r="AJ467" s="11">
        <f t="shared" si="128"/>
        <v>15</v>
      </c>
      <c r="AK467" s="10">
        <v>15</v>
      </c>
      <c r="AL467" s="11">
        <f t="shared" si="135"/>
        <v>15</v>
      </c>
      <c r="AM467" s="10">
        <v>15</v>
      </c>
      <c r="AN467" s="11">
        <f t="shared" si="135"/>
        <v>15</v>
      </c>
      <c r="AO467" s="10">
        <v>15</v>
      </c>
      <c r="AP467" s="56">
        <f t="shared" si="130"/>
        <v>1</v>
      </c>
      <c r="AR467" s="11">
        <f ca="1">IFERROR(OFFSET(ITEM_RES!$A$1,MATCH(AS467,ITEM_RES!$J:$J,0)-1,0),0)</f>
        <v>211020801</v>
      </c>
      <c r="AS467" s="10" t="s">
        <v>456</v>
      </c>
      <c r="AT467" s="11">
        <v>75</v>
      </c>
      <c r="AW467" s="11">
        <f ca="1">IFERROR(OFFSET(ITEM_RES!$A$1,MATCH(AX467,ITEM_RES!$J:$J,0)-1,0),0)</f>
        <v>0</v>
      </c>
      <c r="BB467" s="11">
        <f ca="1">IFERROR(OFFSET(ITEM_RES!$A$1,MATCH(BC467,ITEM_RES!$J:$J,0)-1,0),0)</f>
        <v>0</v>
      </c>
      <c r="BG467" s="11">
        <f ca="1">IFERROR(OFFSET(ITEM_RES!$A$1,MATCH(BH467,ITEM_RES!$J:$J,0)-1,0),0)</f>
        <v>0</v>
      </c>
      <c r="BL467" s="11">
        <f ca="1">IFERROR(OFFSET(ITEM_RES!$A$1,MATCH(BM467,ITEM_RES!$J:$J,0)-1,0),0)</f>
        <v>0</v>
      </c>
    </row>
    <row r="468" spans="1:67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N468" s="9">
        <v>1</v>
      </c>
      <c r="O468" s="9">
        <v>15</v>
      </c>
      <c r="T468" s="9">
        <v>2222</v>
      </c>
      <c r="W468" s="9">
        <f ca="1">IFERROR(OFFSET(ITEM_RES!$A$5,MATCH(BUILDING!V468,ITEM_RES!$J$5:$J$226,0)-1,0),0)</f>
        <v>0</v>
      </c>
      <c r="Z468" s="9">
        <f ca="1">IFERROR(OFFSET(ITEM_RES!$A$5,MATCH(BUILDING!Y468,ITEM_RES!$J$5:$J$226,0)-1,0),0)</f>
        <v>0</v>
      </c>
      <c r="AB468" s="9" t="s">
        <v>558</v>
      </c>
      <c r="AC468" s="9">
        <v>4</v>
      </c>
      <c r="AE468" s="9">
        <v>1000</v>
      </c>
      <c r="AG468" s="56">
        <f t="shared" si="129"/>
        <v>400</v>
      </c>
      <c r="AH468" s="10">
        <f t="shared" si="137"/>
        <v>640</v>
      </c>
      <c r="AJ468" s="11">
        <f t="shared" si="128"/>
        <v>20</v>
      </c>
      <c r="AK468" s="10">
        <v>20</v>
      </c>
      <c r="AL468" s="11">
        <f t="shared" si="135"/>
        <v>25</v>
      </c>
      <c r="AM468" s="10">
        <v>25</v>
      </c>
      <c r="AN468" s="11">
        <f t="shared" si="135"/>
        <v>25</v>
      </c>
      <c r="AO468" s="10">
        <v>25</v>
      </c>
      <c r="AP468" s="56">
        <f t="shared" si="130"/>
        <v>1</v>
      </c>
      <c r="AR468" s="11">
        <f ca="1">IFERROR(OFFSET(ITEM_RES!$A$1,MATCH(AS468,ITEM_RES!$J:$J,0)-1,0),0)</f>
        <v>211020801</v>
      </c>
      <c r="AS468" s="10" t="s">
        <v>456</v>
      </c>
      <c r="AT468" s="11">
        <v>125</v>
      </c>
      <c r="AW468" s="11">
        <f ca="1">IFERROR(OFFSET(ITEM_RES!$A$1,MATCH(AX468,ITEM_RES!$J:$J,0)-1,0),0)</f>
        <v>0</v>
      </c>
      <c r="BB468" s="11">
        <f ca="1">IFERROR(OFFSET(ITEM_RES!$A$1,MATCH(BC468,ITEM_RES!$J:$J,0)-1,0),0)</f>
        <v>0</v>
      </c>
      <c r="BG468" s="11">
        <f ca="1">IFERROR(OFFSET(ITEM_RES!$A$1,MATCH(BH468,ITEM_RES!$J:$J,0)-1,0),0)</f>
        <v>0</v>
      </c>
      <c r="BL468" s="11">
        <f ca="1">IFERROR(OFFSET(ITEM_RES!$A$1,MATCH(BM468,ITEM_RES!$J:$J,0)-1,0),0)</f>
        <v>0</v>
      </c>
    </row>
    <row r="469" spans="1:67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N469" s="9">
        <v>1</v>
      </c>
      <c r="O469" s="9">
        <v>15</v>
      </c>
      <c r="T469" s="9">
        <v>2222</v>
      </c>
      <c r="W469" s="9">
        <f ca="1">IFERROR(OFFSET(ITEM_RES!$A$5,MATCH(BUILDING!V469,ITEM_RES!$J$5:$J$226,0)-1,0),0)</f>
        <v>0</v>
      </c>
      <c r="Z469" s="9">
        <f ca="1">IFERROR(OFFSET(ITEM_RES!$A$5,MATCH(BUILDING!Y469,ITEM_RES!$J$5:$J$226,0)-1,0),0)</f>
        <v>0</v>
      </c>
      <c r="AB469" s="9" t="s">
        <v>558</v>
      </c>
      <c r="AC469" s="9">
        <v>5</v>
      </c>
      <c r="AE469" s="9">
        <v>1600</v>
      </c>
      <c r="AG469" s="56">
        <f t="shared" si="129"/>
        <v>640</v>
      </c>
      <c r="AH469" s="10">
        <f t="shared" si="137"/>
        <v>1040</v>
      </c>
      <c r="AJ469" s="11">
        <f t="shared" si="128"/>
        <v>25</v>
      </c>
      <c r="AK469" s="10">
        <v>25</v>
      </c>
      <c r="AL469" s="11">
        <f t="shared" si="135"/>
        <v>40</v>
      </c>
      <c r="AM469" s="10">
        <v>40</v>
      </c>
      <c r="AN469" s="11">
        <f t="shared" si="135"/>
        <v>40</v>
      </c>
      <c r="AO469" s="10">
        <v>40</v>
      </c>
      <c r="AP469" s="56">
        <f t="shared" si="130"/>
        <v>1</v>
      </c>
      <c r="AR469" s="11">
        <f ca="1">IFERROR(OFFSET(ITEM_RES!$A$1,MATCH(AS469,ITEM_RES!$J:$J,0)-1,0),0)</f>
        <v>211020801</v>
      </c>
      <c r="AS469" s="10" t="s">
        <v>456</v>
      </c>
      <c r="AT469" s="11">
        <v>200</v>
      </c>
      <c r="AW469" s="11">
        <f ca="1">IFERROR(OFFSET(ITEM_RES!$A$1,MATCH(AX469,ITEM_RES!$J:$J,0)-1,0),0)</f>
        <v>0</v>
      </c>
      <c r="BB469" s="11">
        <f ca="1">IFERROR(OFFSET(ITEM_RES!$A$1,MATCH(BC469,ITEM_RES!$J:$J,0)-1,0),0)</f>
        <v>0</v>
      </c>
      <c r="BG469" s="11">
        <f ca="1">IFERROR(OFFSET(ITEM_RES!$A$1,MATCH(BH469,ITEM_RES!$J:$J,0)-1,0),0)</f>
        <v>0</v>
      </c>
      <c r="BL469" s="11">
        <f ca="1">IFERROR(OFFSET(ITEM_RES!$A$1,MATCH(BM469,ITEM_RES!$J:$J,0)-1,0),0)</f>
        <v>0</v>
      </c>
    </row>
    <row r="470" spans="1:67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N470" s="9">
        <v>1</v>
      </c>
      <c r="O470" s="9">
        <v>15</v>
      </c>
      <c r="T470" s="9">
        <v>2222</v>
      </c>
      <c r="W470" s="9">
        <f ca="1">IFERROR(OFFSET(ITEM_RES!$A$5,MATCH(BUILDING!V470,ITEM_RES!$J$5:$J$226,0)-1,0),0)</f>
        <v>0</v>
      </c>
      <c r="Z470" s="9">
        <f ca="1">IFERROR(OFFSET(ITEM_RES!$A$5,MATCH(BUILDING!Y470,ITEM_RES!$J$5:$J$226,0)-1,0),0)</f>
        <v>0</v>
      </c>
      <c r="AB470" s="9" t="s">
        <v>558</v>
      </c>
      <c r="AC470" s="9">
        <v>6</v>
      </c>
      <c r="AE470" s="9">
        <v>2000</v>
      </c>
      <c r="AG470" s="56">
        <f t="shared" si="129"/>
        <v>800</v>
      </c>
      <c r="AH470" s="10">
        <f t="shared" si="137"/>
        <v>1440</v>
      </c>
      <c r="AJ470" s="11">
        <f t="shared" si="128"/>
        <v>30</v>
      </c>
      <c r="AK470" s="10">
        <v>30</v>
      </c>
      <c r="AL470" s="11">
        <f t="shared" si="135"/>
        <v>50</v>
      </c>
      <c r="AM470" s="10">
        <v>50</v>
      </c>
      <c r="AN470" s="11">
        <f t="shared" si="135"/>
        <v>50</v>
      </c>
      <c r="AO470" s="10">
        <v>50</v>
      </c>
      <c r="AP470" s="56">
        <f t="shared" si="130"/>
        <v>1</v>
      </c>
      <c r="AR470" s="11">
        <f ca="1">IFERROR(OFFSET(ITEM_RES!$A$1,MATCH(AS470,ITEM_RES!$J:$J,0)-1,0),0)</f>
        <v>211020801</v>
      </c>
      <c r="AS470" s="10" t="s">
        <v>456</v>
      </c>
      <c r="AT470" s="11">
        <v>250</v>
      </c>
      <c r="AW470" s="11">
        <f ca="1">IFERROR(OFFSET(ITEM_RES!$A$1,MATCH(AX470,ITEM_RES!$J:$J,0)-1,0),0)</f>
        <v>0</v>
      </c>
      <c r="BB470" s="11">
        <f ca="1">IFERROR(OFFSET(ITEM_RES!$A$1,MATCH(BC470,ITEM_RES!$J:$J,0)-1,0),0)</f>
        <v>0</v>
      </c>
      <c r="BG470" s="11">
        <f ca="1">IFERROR(OFFSET(ITEM_RES!$A$1,MATCH(BH470,ITEM_RES!$J:$J,0)-1,0),0)</f>
        <v>0</v>
      </c>
      <c r="BL470" s="11">
        <f ca="1">IFERROR(OFFSET(ITEM_RES!$A$1,MATCH(BM470,ITEM_RES!$J:$J,0)-1,0),0)</f>
        <v>0</v>
      </c>
    </row>
    <row r="471" spans="1:67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N471" s="9">
        <v>1</v>
      </c>
      <c r="O471" s="9">
        <v>15</v>
      </c>
      <c r="T471" s="9">
        <v>2222</v>
      </c>
      <c r="W471" s="9">
        <f ca="1">IFERROR(OFFSET(ITEM_RES!$A$5,MATCH(BUILDING!V471,ITEM_RES!$J$5:$J$226,0)-1,0),0)</f>
        <v>0</v>
      </c>
      <c r="Z471" s="9">
        <f ca="1">IFERROR(OFFSET(ITEM_RES!$A$5,MATCH(BUILDING!Y471,ITEM_RES!$J$5:$J$226,0)-1,0),0)</f>
        <v>0</v>
      </c>
      <c r="AB471" s="9" t="s">
        <v>558</v>
      </c>
      <c r="AC471" s="9">
        <v>7</v>
      </c>
      <c r="AE471" s="9">
        <v>4000</v>
      </c>
      <c r="AG471" s="56">
        <f t="shared" si="129"/>
        <v>1600</v>
      </c>
      <c r="AH471" s="10">
        <f t="shared" si="137"/>
        <v>2400</v>
      </c>
      <c r="AJ471" s="11">
        <f t="shared" si="128"/>
        <v>35</v>
      </c>
      <c r="AK471" s="10">
        <v>35</v>
      </c>
      <c r="AL471" s="11">
        <f t="shared" si="135"/>
        <v>100</v>
      </c>
      <c r="AM471" s="10">
        <v>100</v>
      </c>
      <c r="AN471" s="11">
        <f t="shared" si="135"/>
        <v>100</v>
      </c>
      <c r="AO471" s="10">
        <v>100</v>
      </c>
      <c r="AP471" s="56">
        <f t="shared" si="130"/>
        <v>1</v>
      </c>
      <c r="AR471" s="11">
        <f ca="1">IFERROR(OFFSET(ITEM_RES!$A$1,MATCH(AS471,ITEM_RES!$J:$J,0)-1,0),0)</f>
        <v>211020801</v>
      </c>
      <c r="AS471" s="10" t="s">
        <v>456</v>
      </c>
      <c r="AT471" s="11">
        <v>500</v>
      </c>
      <c r="AW471" s="11">
        <f ca="1">IFERROR(OFFSET(ITEM_RES!$A$1,MATCH(AX471,ITEM_RES!$J:$J,0)-1,0),0)</f>
        <v>0</v>
      </c>
      <c r="BB471" s="11">
        <f ca="1">IFERROR(OFFSET(ITEM_RES!$A$1,MATCH(BC471,ITEM_RES!$J:$J,0)-1,0),0)</f>
        <v>0</v>
      </c>
      <c r="BG471" s="11">
        <f ca="1">IFERROR(OFFSET(ITEM_RES!$A$1,MATCH(BH471,ITEM_RES!$J:$J,0)-1,0),0)</f>
        <v>0</v>
      </c>
      <c r="BL471" s="11">
        <f ca="1">IFERROR(OFFSET(ITEM_RES!$A$1,MATCH(BM471,ITEM_RES!$J:$J,0)-1,0),0)</f>
        <v>0</v>
      </c>
    </row>
    <row r="472" spans="1:67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N472" s="9">
        <v>1</v>
      </c>
      <c r="O472" s="9">
        <v>15</v>
      </c>
      <c r="T472" s="9">
        <v>2222</v>
      </c>
      <c r="W472" s="9">
        <f ca="1">IFERROR(OFFSET(ITEM_RES!$A$5,MATCH(BUILDING!V472,ITEM_RES!$J$5:$J$226,0)-1,0),0)</f>
        <v>0</v>
      </c>
      <c r="Z472" s="9">
        <f ca="1">IFERROR(OFFSET(ITEM_RES!$A$5,MATCH(BUILDING!Y472,ITEM_RES!$J$5:$J$226,0)-1,0),0)</f>
        <v>0</v>
      </c>
      <c r="AB472" s="9" t="s">
        <v>558</v>
      </c>
      <c r="AC472" s="9">
        <v>8</v>
      </c>
      <c r="AE472" s="9">
        <v>4000</v>
      </c>
      <c r="AG472" s="56">
        <f t="shared" si="129"/>
        <v>1600</v>
      </c>
      <c r="AH472" s="10">
        <f t="shared" si="137"/>
        <v>3200</v>
      </c>
      <c r="AJ472" s="11">
        <f t="shared" si="128"/>
        <v>40</v>
      </c>
      <c r="AK472" s="10">
        <v>40</v>
      </c>
      <c r="AL472" s="11">
        <f t="shared" si="135"/>
        <v>100</v>
      </c>
      <c r="AM472" s="10">
        <v>100</v>
      </c>
      <c r="AN472" s="11">
        <f t="shared" si="135"/>
        <v>100</v>
      </c>
      <c r="AO472" s="10">
        <v>100</v>
      </c>
      <c r="AP472" s="56">
        <f t="shared" si="130"/>
        <v>1</v>
      </c>
      <c r="AR472" s="11">
        <f ca="1">IFERROR(OFFSET(ITEM_RES!$A$1,MATCH(AS472,ITEM_RES!$J:$J,0)-1,0),0)</f>
        <v>211020801</v>
      </c>
      <c r="AS472" s="10" t="s">
        <v>456</v>
      </c>
      <c r="AT472" s="11">
        <v>500</v>
      </c>
      <c r="AW472" s="11">
        <f ca="1">IFERROR(OFFSET(ITEM_RES!$A$1,MATCH(AX472,ITEM_RES!$J:$J,0)-1,0),0)</f>
        <v>0</v>
      </c>
      <c r="BB472" s="11">
        <f ca="1">IFERROR(OFFSET(ITEM_RES!$A$1,MATCH(BC472,ITEM_RES!$J:$J,0)-1,0),0)</f>
        <v>0</v>
      </c>
      <c r="BG472" s="11">
        <f ca="1">IFERROR(OFFSET(ITEM_RES!$A$1,MATCH(BH472,ITEM_RES!$J:$J,0)-1,0),0)</f>
        <v>0</v>
      </c>
      <c r="BL472" s="11">
        <f ca="1">IFERROR(OFFSET(ITEM_RES!$A$1,MATCH(BM472,ITEM_RES!$J:$J,0)-1,0),0)</f>
        <v>0</v>
      </c>
    </row>
    <row r="473" spans="1:67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N473" s="9">
        <v>1</v>
      </c>
      <c r="O473" s="9">
        <v>15</v>
      </c>
      <c r="T473" s="9">
        <v>2222</v>
      </c>
      <c r="W473" s="9">
        <f ca="1">IFERROR(OFFSET(ITEM_RES!$A$5,MATCH(BUILDING!V473,ITEM_RES!$J$5:$J$226,0)-1,0),0)</f>
        <v>0</v>
      </c>
      <c r="Z473" s="9">
        <f ca="1">IFERROR(OFFSET(ITEM_RES!$A$5,MATCH(BUILDING!Y473,ITEM_RES!$J$5:$J$226,0)-1,0),0)</f>
        <v>0</v>
      </c>
      <c r="AB473" s="9" t="s">
        <v>558</v>
      </c>
      <c r="AC473" s="9">
        <v>9</v>
      </c>
      <c r="AE473" s="9">
        <v>6000</v>
      </c>
      <c r="AG473" s="56">
        <f t="shared" si="129"/>
        <v>2400</v>
      </c>
      <c r="AH473" s="10">
        <f t="shared" si="137"/>
        <v>4000</v>
      </c>
      <c r="AJ473" s="11">
        <f t="shared" ref="AJ473:AJ536" si="138">ROUND(AK473,0)</f>
        <v>45</v>
      </c>
      <c r="AK473" s="10">
        <v>45</v>
      </c>
      <c r="AL473" s="11">
        <f t="shared" si="135"/>
        <v>150</v>
      </c>
      <c r="AM473" s="10">
        <v>150</v>
      </c>
      <c r="AN473" s="11">
        <f t="shared" si="135"/>
        <v>150</v>
      </c>
      <c r="AO473" s="10">
        <v>150</v>
      </c>
      <c r="AP473" s="56">
        <f t="shared" si="130"/>
        <v>1</v>
      </c>
      <c r="AR473" s="11">
        <f ca="1">IFERROR(OFFSET(ITEM_RES!$A$1,MATCH(AS473,ITEM_RES!$J:$J,0)-1,0),0)</f>
        <v>211020801</v>
      </c>
      <c r="AS473" s="10" t="s">
        <v>456</v>
      </c>
      <c r="AT473" s="11">
        <v>750</v>
      </c>
      <c r="AW473" s="11">
        <f ca="1">IFERROR(OFFSET(ITEM_RES!$A$1,MATCH(AX473,ITEM_RES!$J:$J,0)-1,0),0)</f>
        <v>0</v>
      </c>
      <c r="BB473" s="11">
        <f ca="1">IFERROR(OFFSET(ITEM_RES!$A$1,MATCH(BC473,ITEM_RES!$J:$J,0)-1,0),0)</f>
        <v>0</v>
      </c>
      <c r="BG473" s="11">
        <f ca="1">IFERROR(OFFSET(ITEM_RES!$A$1,MATCH(BH473,ITEM_RES!$J:$J,0)-1,0),0)</f>
        <v>0</v>
      </c>
      <c r="BL473" s="11">
        <f ca="1">IFERROR(OFFSET(ITEM_RES!$A$1,MATCH(BM473,ITEM_RES!$J:$J,0)-1,0),0)</f>
        <v>0</v>
      </c>
    </row>
    <row r="474" spans="1:67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N474" s="9">
        <v>1</v>
      </c>
      <c r="O474" s="9">
        <v>15</v>
      </c>
      <c r="T474" s="9">
        <v>2222</v>
      </c>
      <c r="W474" s="9">
        <f ca="1">IFERROR(OFFSET(ITEM_RES!$A$5,MATCH(BUILDING!V474,ITEM_RES!$J$5:$J$226,0)-1,0),0)</f>
        <v>0</v>
      </c>
      <c r="Z474" s="9">
        <f ca="1">IFERROR(OFFSET(ITEM_RES!$A$5,MATCH(BUILDING!Y474,ITEM_RES!$J$5:$J$226,0)-1,0),0)</f>
        <v>0</v>
      </c>
      <c r="AB474" s="9" t="s">
        <v>558</v>
      </c>
      <c r="AC474" s="9">
        <v>10</v>
      </c>
      <c r="AE474" s="9">
        <v>8000</v>
      </c>
      <c r="AG474" s="56">
        <f t="shared" ref="AG474:AG537" si="139">AM474*10+AO474+AT474+AY474+500*BD474+500*BI474+500*BN474</f>
        <v>3700</v>
      </c>
      <c r="AH474" s="10">
        <f t="shared" si="137"/>
        <v>6100</v>
      </c>
      <c r="AJ474" s="11">
        <f t="shared" si="138"/>
        <v>50</v>
      </c>
      <c r="AK474" s="10">
        <v>50</v>
      </c>
      <c r="AL474" s="11">
        <f t="shared" si="135"/>
        <v>200</v>
      </c>
      <c r="AM474" s="10">
        <v>200</v>
      </c>
      <c r="AN474" s="11">
        <f t="shared" si="135"/>
        <v>200</v>
      </c>
      <c r="AO474" s="10">
        <v>200</v>
      </c>
      <c r="AP474" s="56">
        <f t="shared" ref="AP474:AP537" si="140">(AT474&gt;0)*1+(AY474&gt;0)*1+(BD474&gt;0)*1+(BI474&gt;0)*1+(BN474&gt;0)*1</f>
        <v>2</v>
      </c>
      <c r="AR474" s="11">
        <f ca="1">IFERROR(OFFSET(ITEM_RES!$A$1,MATCH(AS474,ITEM_RES!$J:$J,0)-1,0),0)</f>
        <v>211020801</v>
      </c>
      <c r="AS474" s="10" t="s">
        <v>456</v>
      </c>
      <c r="AT474" s="11">
        <v>1000</v>
      </c>
      <c r="AW474" s="11">
        <f ca="1">IFERROR(OFFSET(ITEM_RES!$A$1,MATCH(AX474,ITEM_RES!$J:$J,0)-1,0),0)</f>
        <v>0</v>
      </c>
      <c r="BB474" s="11">
        <f ca="1">IFERROR(OFFSET(ITEM_RES!$A$1,MATCH(BC474,ITEM_RES!$J:$J,0)-1,0),0)</f>
        <v>0</v>
      </c>
      <c r="BG474" s="11">
        <f ca="1">IFERROR(OFFSET(ITEM_RES!$A$1,MATCH(BH474,ITEM_RES!$J:$J,0)-1,0),0)</f>
        <v>213011501</v>
      </c>
      <c r="BH474" s="10" t="s">
        <v>502</v>
      </c>
      <c r="BI474" s="11">
        <v>1</v>
      </c>
      <c r="BL474" s="11">
        <f ca="1">IFERROR(OFFSET(ITEM_RES!$A$1,MATCH(BM474,ITEM_RES!$J:$J,0)-1,0),0)</f>
        <v>0</v>
      </c>
    </row>
    <row r="475" spans="1:67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N475" s="9">
        <v>1</v>
      </c>
      <c r="O475" s="9">
        <v>15</v>
      </c>
      <c r="T475" s="9">
        <v>2222</v>
      </c>
      <c r="W475" s="9">
        <f ca="1">IFERROR(OFFSET(ITEM_RES!$A$5,MATCH(BUILDING!V475,ITEM_RES!$J$5:$J$226,0)-1,0),0)</f>
        <v>0</v>
      </c>
      <c r="Z475" s="9">
        <f ca="1">IFERROR(OFFSET(ITEM_RES!$A$5,MATCH(BUILDING!Y475,ITEM_RES!$J$5:$J$226,0)-1,0),0)</f>
        <v>0</v>
      </c>
      <c r="AB475" s="9" t="s">
        <v>558</v>
      </c>
      <c r="AC475" s="9">
        <v>11</v>
      </c>
      <c r="AE475" s="9">
        <v>10000</v>
      </c>
      <c r="AG475" s="56">
        <f t="shared" si="139"/>
        <v>4000</v>
      </c>
      <c r="AH475" s="10">
        <f t="shared" si="137"/>
        <v>7700</v>
      </c>
      <c r="AJ475" s="11">
        <f t="shared" si="138"/>
        <v>55</v>
      </c>
      <c r="AK475" s="10">
        <v>55</v>
      </c>
      <c r="AL475" s="11">
        <f t="shared" si="135"/>
        <v>250</v>
      </c>
      <c r="AM475" s="10">
        <v>250</v>
      </c>
      <c r="AN475" s="11">
        <f t="shared" si="135"/>
        <v>250</v>
      </c>
      <c r="AO475" s="10">
        <v>250</v>
      </c>
      <c r="AP475" s="56">
        <f t="shared" si="140"/>
        <v>1</v>
      </c>
      <c r="AR475" s="11">
        <f ca="1">IFERROR(OFFSET(ITEM_RES!$A$1,MATCH(AS475,ITEM_RES!$J:$J,0)-1,0),0)</f>
        <v>211020801</v>
      </c>
      <c r="AS475" s="10" t="s">
        <v>456</v>
      </c>
      <c r="AT475" s="11">
        <v>1250</v>
      </c>
      <c r="AW475" s="11">
        <f ca="1">IFERROR(OFFSET(ITEM_RES!$A$1,MATCH(AX475,ITEM_RES!$J:$J,0)-1,0),0)</f>
        <v>0</v>
      </c>
      <c r="BB475" s="11">
        <f ca="1">IFERROR(OFFSET(ITEM_RES!$A$1,MATCH(BC475,ITEM_RES!$J:$J,0)-1,0),0)</f>
        <v>0</v>
      </c>
      <c r="BG475" s="11">
        <f ca="1">IFERROR(OFFSET(ITEM_RES!$A$1,MATCH(BH475,ITEM_RES!$J:$J,0)-1,0),0)</f>
        <v>0</v>
      </c>
      <c r="BL475" s="11">
        <f ca="1">IFERROR(OFFSET(ITEM_RES!$A$1,MATCH(BM475,ITEM_RES!$J:$J,0)-1,0),0)</f>
        <v>0</v>
      </c>
    </row>
    <row r="476" spans="1:67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N476" s="9">
        <v>1</v>
      </c>
      <c r="O476" s="9">
        <v>15</v>
      </c>
      <c r="T476" s="9">
        <v>2222</v>
      </c>
      <c r="W476" s="9">
        <f ca="1">IFERROR(OFFSET(ITEM_RES!$A$5,MATCH(BUILDING!V476,ITEM_RES!$J$5:$J$226,0)-1,0),0)</f>
        <v>0</v>
      </c>
      <c r="Z476" s="9">
        <f ca="1">IFERROR(OFFSET(ITEM_RES!$A$5,MATCH(BUILDING!Y476,ITEM_RES!$J$5:$J$226,0)-1,0),0)</f>
        <v>0</v>
      </c>
      <c r="AB476" s="9" t="s">
        <v>558</v>
      </c>
      <c r="AC476" s="9">
        <v>12</v>
      </c>
      <c r="AE476" s="9">
        <v>12000</v>
      </c>
      <c r="AG476" s="56">
        <f t="shared" si="139"/>
        <v>4800</v>
      </c>
      <c r="AH476" s="10">
        <f t="shared" si="137"/>
        <v>8800</v>
      </c>
      <c r="AJ476" s="11">
        <f t="shared" si="138"/>
        <v>60</v>
      </c>
      <c r="AK476" s="10">
        <v>60</v>
      </c>
      <c r="AL476" s="11">
        <f t="shared" si="135"/>
        <v>300</v>
      </c>
      <c r="AM476" s="10">
        <v>300</v>
      </c>
      <c r="AN476" s="11">
        <f t="shared" si="135"/>
        <v>300</v>
      </c>
      <c r="AO476" s="10">
        <v>300</v>
      </c>
      <c r="AP476" s="56">
        <f t="shared" si="140"/>
        <v>1</v>
      </c>
      <c r="AR476" s="11">
        <f ca="1">IFERROR(OFFSET(ITEM_RES!$A$1,MATCH(AS476,ITEM_RES!$J:$J,0)-1,0),0)</f>
        <v>211020801</v>
      </c>
      <c r="AS476" s="10" t="s">
        <v>456</v>
      </c>
      <c r="AT476" s="11">
        <v>1500</v>
      </c>
      <c r="AW476" s="11">
        <f ca="1">IFERROR(OFFSET(ITEM_RES!$A$1,MATCH(AX476,ITEM_RES!$J:$J,0)-1,0),0)</f>
        <v>0</v>
      </c>
      <c r="BB476" s="11">
        <f ca="1">IFERROR(OFFSET(ITEM_RES!$A$1,MATCH(BC476,ITEM_RES!$J:$J,0)-1,0),0)</f>
        <v>0</v>
      </c>
      <c r="BG476" s="11">
        <f ca="1">IFERROR(OFFSET(ITEM_RES!$A$1,MATCH(BH476,ITEM_RES!$J:$J,0)-1,0),0)</f>
        <v>0</v>
      </c>
      <c r="BL476" s="11">
        <f ca="1">IFERROR(OFFSET(ITEM_RES!$A$1,MATCH(BM476,ITEM_RES!$J:$J,0)-1,0),0)</f>
        <v>0</v>
      </c>
    </row>
    <row r="477" spans="1:67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N477" s="9">
        <v>1</v>
      </c>
      <c r="O477" s="9">
        <v>15</v>
      </c>
      <c r="T477" s="9">
        <v>2222</v>
      </c>
      <c r="W477" s="9">
        <f ca="1">IFERROR(OFFSET(ITEM_RES!$A$5,MATCH(BUILDING!V477,ITEM_RES!$J$5:$J$226,0)-1,0),0)</f>
        <v>0</v>
      </c>
      <c r="Z477" s="9">
        <f ca="1">IFERROR(OFFSET(ITEM_RES!$A$5,MATCH(BUILDING!Y477,ITEM_RES!$J$5:$J$226,0)-1,0),0)</f>
        <v>0</v>
      </c>
      <c r="AB477" s="9" t="s">
        <v>558</v>
      </c>
      <c r="AC477" s="9">
        <v>13</v>
      </c>
      <c r="AE477" s="9">
        <v>14000</v>
      </c>
      <c r="AG477" s="56">
        <f t="shared" si="139"/>
        <v>5600</v>
      </c>
      <c r="AH477" s="10">
        <f t="shared" si="137"/>
        <v>10400</v>
      </c>
      <c r="AJ477" s="11">
        <f t="shared" si="138"/>
        <v>65</v>
      </c>
      <c r="AK477" s="10">
        <v>65</v>
      </c>
      <c r="AL477" s="11">
        <f t="shared" si="135"/>
        <v>350</v>
      </c>
      <c r="AM477" s="10">
        <v>350</v>
      </c>
      <c r="AN477" s="11">
        <f t="shared" si="135"/>
        <v>350</v>
      </c>
      <c r="AO477" s="10">
        <v>350</v>
      </c>
      <c r="AP477" s="56">
        <f t="shared" si="140"/>
        <v>1</v>
      </c>
      <c r="AR477" s="11">
        <f ca="1">IFERROR(OFFSET(ITEM_RES!$A$1,MATCH(AS477,ITEM_RES!$J:$J,0)-1,0),0)</f>
        <v>211020801</v>
      </c>
      <c r="AS477" s="10" t="s">
        <v>456</v>
      </c>
      <c r="AT477" s="11">
        <v>1750</v>
      </c>
      <c r="AW477" s="11">
        <f ca="1">IFERROR(OFFSET(ITEM_RES!$A$1,MATCH(AX477,ITEM_RES!$J:$J,0)-1,0),0)</f>
        <v>0</v>
      </c>
      <c r="BB477" s="11">
        <f ca="1">IFERROR(OFFSET(ITEM_RES!$A$1,MATCH(BC477,ITEM_RES!$J:$J,0)-1,0),0)</f>
        <v>0</v>
      </c>
      <c r="BG477" s="11">
        <f ca="1">IFERROR(OFFSET(ITEM_RES!$A$1,MATCH(BH477,ITEM_RES!$J:$J,0)-1,0),0)</f>
        <v>0</v>
      </c>
      <c r="BL477" s="11">
        <f ca="1">IFERROR(OFFSET(ITEM_RES!$A$1,MATCH(BM477,ITEM_RES!$J:$J,0)-1,0),0)</f>
        <v>0</v>
      </c>
    </row>
    <row r="478" spans="1:67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N478" s="9">
        <v>1</v>
      </c>
      <c r="O478" s="9">
        <v>15</v>
      </c>
      <c r="T478" s="9">
        <v>2222</v>
      </c>
      <c r="W478" s="9">
        <f ca="1">IFERROR(OFFSET(ITEM_RES!$A$5,MATCH(BUILDING!V478,ITEM_RES!$J$5:$J$226,0)-1,0),0)</f>
        <v>0</v>
      </c>
      <c r="Z478" s="9">
        <f ca="1">IFERROR(OFFSET(ITEM_RES!$A$5,MATCH(BUILDING!Y478,ITEM_RES!$J$5:$J$226,0)-1,0),0)</f>
        <v>0</v>
      </c>
      <c r="AB478" s="9" t="s">
        <v>558</v>
      </c>
      <c r="AC478" s="9">
        <v>14</v>
      </c>
      <c r="AE478" s="9">
        <v>18000</v>
      </c>
      <c r="AG478" s="56">
        <f t="shared" si="139"/>
        <v>7200</v>
      </c>
      <c r="AH478" s="10">
        <f t="shared" si="137"/>
        <v>12800</v>
      </c>
      <c r="AJ478" s="11">
        <f t="shared" si="138"/>
        <v>70</v>
      </c>
      <c r="AK478" s="10">
        <v>70</v>
      </c>
      <c r="AL478" s="11">
        <f t="shared" si="135"/>
        <v>450</v>
      </c>
      <c r="AM478" s="10">
        <v>450</v>
      </c>
      <c r="AN478" s="11">
        <f t="shared" si="135"/>
        <v>450</v>
      </c>
      <c r="AO478" s="10">
        <v>450</v>
      </c>
      <c r="AP478" s="56">
        <f t="shared" si="140"/>
        <v>1</v>
      </c>
      <c r="AR478" s="11">
        <f ca="1">IFERROR(OFFSET(ITEM_RES!$A$1,MATCH(AS478,ITEM_RES!$J:$J,0)-1,0),0)</f>
        <v>211020801</v>
      </c>
      <c r="AS478" s="10" t="s">
        <v>456</v>
      </c>
      <c r="AT478" s="11">
        <v>2250</v>
      </c>
      <c r="AW478" s="11">
        <f ca="1">IFERROR(OFFSET(ITEM_RES!$A$1,MATCH(AX478,ITEM_RES!$J:$J,0)-1,0),0)</f>
        <v>0</v>
      </c>
      <c r="BB478" s="11">
        <f ca="1">IFERROR(OFFSET(ITEM_RES!$A$1,MATCH(BC478,ITEM_RES!$J:$J,0)-1,0),0)</f>
        <v>0</v>
      </c>
      <c r="BG478" s="11">
        <f ca="1">IFERROR(OFFSET(ITEM_RES!$A$1,MATCH(BH478,ITEM_RES!$J:$J,0)-1,0),0)</f>
        <v>0</v>
      </c>
      <c r="BL478" s="11">
        <f ca="1">IFERROR(OFFSET(ITEM_RES!$A$1,MATCH(BM478,ITEM_RES!$J:$J,0)-1,0),0)</f>
        <v>0</v>
      </c>
    </row>
    <row r="479" spans="1:67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N479" s="9">
        <v>1</v>
      </c>
      <c r="O479" s="9">
        <v>15</v>
      </c>
      <c r="T479" s="9">
        <v>2222</v>
      </c>
      <c r="W479" s="9">
        <f ca="1">IFERROR(OFFSET(ITEM_RES!$A$5,MATCH(BUILDING!V479,ITEM_RES!$J$5:$J$226,0)-1,0),0)</f>
        <v>0</v>
      </c>
      <c r="Z479" s="9">
        <f ca="1">IFERROR(OFFSET(ITEM_RES!$A$5,MATCH(BUILDING!Y479,ITEM_RES!$J$5:$J$226,0)-1,0),0)</f>
        <v>0</v>
      </c>
      <c r="AB479" s="9" t="s">
        <v>558</v>
      </c>
      <c r="AC479" s="9">
        <v>15</v>
      </c>
      <c r="AE479" s="9">
        <v>22000</v>
      </c>
      <c r="AG479" s="56">
        <f t="shared" si="139"/>
        <v>8800</v>
      </c>
      <c r="AH479" s="10">
        <f t="shared" si="137"/>
        <v>16000</v>
      </c>
      <c r="AJ479" s="11">
        <f t="shared" si="138"/>
        <v>75</v>
      </c>
      <c r="AK479" s="10">
        <v>75</v>
      </c>
      <c r="AL479" s="11">
        <f t="shared" si="135"/>
        <v>550</v>
      </c>
      <c r="AM479" s="10">
        <v>550</v>
      </c>
      <c r="AN479" s="11">
        <f t="shared" si="135"/>
        <v>550</v>
      </c>
      <c r="AO479" s="10">
        <v>550</v>
      </c>
      <c r="AP479" s="56">
        <f t="shared" si="140"/>
        <v>1</v>
      </c>
      <c r="AR479" s="11">
        <f ca="1">IFERROR(OFFSET(ITEM_RES!$A$1,MATCH(AS479,ITEM_RES!$J:$J,0)-1,0),0)</f>
        <v>211020801</v>
      </c>
      <c r="AS479" s="10" t="s">
        <v>456</v>
      </c>
      <c r="AT479" s="11">
        <v>2750</v>
      </c>
      <c r="AW479" s="11">
        <f ca="1">IFERROR(OFFSET(ITEM_RES!$A$1,MATCH(AX479,ITEM_RES!$J:$J,0)-1,0),0)</f>
        <v>0</v>
      </c>
      <c r="BB479" s="11">
        <f ca="1">IFERROR(OFFSET(ITEM_RES!$A$1,MATCH(BC479,ITEM_RES!$J:$J,0)-1,0),0)</f>
        <v>0</v>
      </c>
      <c r="BG479" s="11">
        <f ca="1">IFERROR(OFFSET(ITEM_RES!$A$1,MATCH(BH479,ITEM_RES!$J:$J,0)-1,0),0)</f>
        <v>0</v>
      </c>
      <c r="BL479" s="11">
        <f ca="1">IFERROR(OFFSET(ITEM_RES!$A$1,MATCH(BM479,ITEM_RES!$J:$J,0)-1,0),0)</f>
        <v>0</v>
      </c>
    </row>
    <row r="480" spans="1:67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N480" s="9">
        <v>0</v>
      </c>
      <c r="O480" s="9">
        <v>15</v>
      </c>
      <c r="T480" s="9">
        <v>2222</v>
      </c>
      <c r="W480" s="9">
        <f ca="1">IFERROR(OFFSET(ITEM_RES!$A$5,MATCH(BUILDING!V480,ITEM_RES!$J$5:$J$226,0)-1,0),0)</f>
        <v>0</v>
      </c>
      <c r="Z480" s="9">
        <f ca="1">IFERROR(OFFSET(ITEM_RES!$A$5,MATCH(BUILDING!Y480,ITEM_RES!$J$5:$J$226,0)-1,0),0)</f>
        <v>0</v>
      </c>
      <c r="AB480" s="9" t="s">
        <v>558</v>
      </c>
      <c r="AC480" s="9">
        <v>16</v>
      </c>
      <c r="AE480" s="9">
        <v>28000</v>
      </c>
      <c r="AG480" s="56">
        <f t="shared" si="139"/>
        <v>11200</v>
      </c>
      <c r="AH480" s="10">
        <f t="shared" si="137"/>
        <v>20000</v>
      </c>
      <c r="AJ480" s="11">
        <f t="shared" si="138"/>
        <v>80</v>
      </c>
      <c r="AK480" s="10">
        <v>80</v>
      </c>
      <c r="AL480" s="11">
        <f t="shared" si="135"/>
        <v>700</v>
      </c>
      <c r="AM480" s="10">
        <v>700</v>
      </c>
      <c r="AN480" s="11">
        <f t="shared" si="135"/>
        <v>700</v>
      </c>
      <c r="AO480" s="10">
        <v>700</v>
      </c>
      <c r="AP480" s="56">
        <f t="shared" si="140"/>
        <v>1</v>
      </c>
      <c r="AR480" s="11">
        <f ca="1">IFERROR(OFFSET(ITEM_RES!$A$1,MATCH(AS480,ITEM_RES!$J:$J,0)-1,0),0)</f>
        <v>211020901</v>
      </c>
      <c r="AS480" s="10" t="s">
        <v>466</v>
      </c>
      <c r="AT480" s="11">
        <v>3500</v>
      </c>
      <c r="AW480" s="11">
        <f ca="1">IFERROR(OFFSET(ITEM_RES!$A$1,MATCH(AX480,ITEM_RES!$J:$J,0)-1,0),0)</f>
        <v>0</v>
      </c>
      <c r="BB480" s="11">
        <f ca="1">IFERROR(OFFSET(ITEM_RES!$A$1,MATCH(BC480,ITEM_RES!$J:$J,0)-1,0),0)</f>
        <v>0</v>
      </c>
      <c r="BG480" s="11">
        <f ca="1">IFERROR(OFFSET(ITEM_RES!$A$1,MATCH(BH480,ITEM_RES!$J:$J,0)-1,0),0)</f>
        <v>0</v>
      </c>
      <c r="BL480" s="11">
        <f ca="1">IFERROR(OFFSET(ITEM_RES!$A$1,MATCH(BM480,ITEM_RES!$J:$J,0)-1,0),0)</f>
        <v>0</v>
      </c>
    </row>
    <row r="481" spans="1:67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N481" s="9">
        <v>0</v>
      </c>
      <c r="O481" s="9">
        <v>15</v>
      </c>
      <c r="T481" s="9">
        <v>2222</v>
      </c>
      <c r="W481" s="9">
        <f ca="1">IFERROR(OFFSET(ITEM_RES!$A$5,MATCH(BUILDING!V481,ITEM_RES!$J$5:$J$226,0)-1,0),0)</f>
        <v>0</v>
      </c>
      <c r="Z481" s="9">
        <f ca="1">IFERROR(OFFSET(ITEM_RES!$A$5,MATCH(BUILDING!Y481,ITEM_RES!$J$5:$J$226,0)-1,0),0)</f>
        <v>0</v>
      </c>
      <c r="AB481" s="9" t="s">
        <v>558</v>
      </c>
      <c r="AC481" s="9">
        <v>17</v>
      </c>
      <c r="AE481" s="9">
        <v>34000</v>
      </c>
      <c r="AG481" s="56">
        <f t="shared" si="139"/>
        <v>13600</v>
      </c>
      <c r="AH481" s="10">
        <f t="shared" si="137"/>
        <v>24800</v>
      </c>
      <c r="AJ481" s="11">
        <f t="shared" si="138"/>
        <v>85</v>
      </c>
      <c r="AK481" s="10">
        <v>85</v>
      </c>
      <c r="AL481" s="11">
        <f t="shared" si="135"/>
        <v>850</v>
      </c>
      <c r="AM481" s="10">
        <v>850</v>
      </c>
      <c r="AN481" s="11">
        <f t="shared" si="135"/>
        <v>850</v>
      </c>
      <c r="AO481" s="10">
        <v>850</v>
      </c>
      <c r="AP481" s="56">
        <f t="shared" si="140"/>
        <v>1</v>
      </c>
      <c r="AR481" s="11">
        <f ca="1">IFERROR(OFFSET(ITEM_RES!$A$1,MATCH(AS481,ITEM_RES!$J:$J,0)-1,0),0)</f>
        <v>211020901</v>
      </c>
      <c r="AS481" s="10" t="s">
        <v>466</v>
      </c>
      <c r="AT481" s="11">
        <v>4250</v>
      </c>
      <c r="AW481" s="11">
        <f ca="1">IFERROR(OFFSET(ITEM_RES!$A$1,MATCH(AX481,ITEM_RES!$J:$J,0)-1,0),0)</f>
        <v>0</v>
      </c>
      <c r="BB481" s="11">
        <f ca="1">IFERROR(OFFSET(ITEM_RES!$A$1,MATCH(BC481,ITEM_RES!$J:$J,0)-1,0),0)</f>
        <v>0</v>
      </c>
      <c r="BG481" s="11">
        <f ca="1">IFERROR(OFFSET(ITEM_RES!$A$1,MATCH(BH481,ITEM_RES!$J:$J,0)-1,0),0)</f>
        <v>0</v>
      </c>
      <c r="BL481" s="11">
        <f ca="1">IFERROR(OFFSET(ITEM_RES!$A$1,MATCH(BM481,ITEM_RES!$J:$J,0)-1,0),0)</f>
        <v>0</v>
      </c>
    </row>
    <row r="482" spans="1:67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N482" s="9">
        <v>0</v>
      </c>
      <c r="O482" s="9">
        <v>15</v>
      </c>
      <c r="T482" s="9">
        <v>2222</v>
      </c>
      <c r="W482" s="9">
        <f ca="1">IFERROR(OFFSET(ITEM_RES!$A$5,MATCH(BUILDING!V482,ITEM_RES!$J$5:$J$226,0)-1,0),0)</f>
        <v>0</v>
      </c>
      <c r="Z482" s="9">
        <f ca="1">IFERROR(OFFSET(ITEM_RES!$A$5,MATCH(BUILDING!Y482,ITEM_RES!$J$5:$J$226,0)-1,0),0)</f>
        <v>0</v>
      </c>
      <c r="AB482" s="9" t="s">
        <v>558</v>
      </c>
      <c r="AC482" s="9">
        <v>18</v>
      </c>
      <c r="AE482" s="9">
        <v>42000</v>
      </c>
      <c r="AG482" s="56">
        <f t="shared" si="139"/>
        <v>16800</v>
      </c>
      <c r="AH482" s="10">
        <f t="shared" si="137"/>
        <v>30400</v>
      </c>
      <c r="AJ482" s="11">
        <f t="shared" si="138"/>
        <v>90</v>
      </c>
      <c r="AK482" s="10">
        <v>90</v>
      </c>
      <c r="AL482" s="11">
        <f t="shared" si="135"/>
        <v>1050</v>
      </c>
      <c r="AM482" s="10">
        <v>1050</v>
      </c>
      <c r="AN482" s="11">
        <f t="shared" si="135"/>
        <v>1050</v>
      </c>
      <c r="AO482" s="10">
        <v>1050</v>
      </c>
      <c r="AP482" s="56">
        <f t="shared" si="140"/>
        <v>1</v>
      </c>
      <c r="AR482" s="11">
        <f ca="1">IFERROR(OFFSET(ITEM_RES!$A$1,MATCH(AS482,ITEM_RES!$J:$J,0)-1,0),0)</f>
        <v>211020901</v>
      </c>
      <c r="AS482" s="10" t="s">
        <v>466</v>
      </c>
      <c r="AT482" s="11">
        <v>5250</v>
      </c>
      <c r="AW482" s="11">
        <f ca="1">IFERROR(OFFSET(ITEM_RES!$A$1,MATCH(AX482,ITEM_RES!$J:$J,0)-1,0),0)</f>
        <v>0</v>
      </c>
      <c r="BB482" s="11">
        <f ca="1">IFERROR(OFFSET(ITEM_RES!$A$1,MATCH(BC482,ITEM_RES!$J:$J,0)-1,0),0)</f>
        <v>0</v>
      </c>
      <c r="BG482" s="11">
        <f ca="1">IFERROR(OFFSET(ITEM_RES!$A$1,MATCH(BH482,ITEM_RES!$J:$J,0)-1,0),0)</f>
        <v>0</v>
      </c>
      <c r="BL482" s="11">
        <f ca="1">IFERROR(OFFSET(ITEM_RES!$A$1,MATCH(BM482,ITEM_RES!$J:$J,0)-1,0),0)</f>
        <v>0</v>
      </c>
    </row>
    <row r="483" spans="1:67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N483" s="9">
        <v>0</v>
      </c>
      <c r="O483" s="9">
        <v>15</v>
      </c>
      <c r="T483" s="9">
        <v>2222</v>
      </c>
      <c r="W483" s="9">
        <f ca="1">IFERROR(OFFSET(ITEM_RES!$A$5,MATCH(BUILDING!V483,ITEM_RES!$J$5:$J$226,0)-1,0),0)</f>
        <v>0</v>
      </c>
      <c r="Z483" s="9">
        <f ca="1">IFERROR(OFFSET(ITEM_RES!$A$5,MATCH(BUILDING!Y483,ITEM_RES!$J$5:$J$226,0)-1,0),0)</f>
        <v>0</v>
      </c>
      <c r="AB483" s="9" t="s">
        <v>558</v>
      </c>
      <c r="AC483" s="9">
        <v>19</v>
      </c>
      <c r="AE483" s="9">
        <v>50000</v>
      </c>
      <c r="AG483" s="56">
        <f t="shared" si="139"/>
        <v>20000</v>
      </c>
      <c r="AH483" s="10">
        <f t="shared" si="137"/>
        <v>36800</v>
      </c>
      <c r="AJ483" s="11">
        <f t="shared" si="138"/>
        <v>95</v>
      </c>
      <c r="AK483" s="10">
        <v>95</v>
      </c>
      <c r="AL483" s="11">
        <f t="shared" si="135"/>
        <v>1250</v>
      </c>
      <c r="AM483" s="10">
        <v>1250</v>
      </c>
      <c r="AN483" s="11">
        <f t="shared" si="135"/>
        <v>1250</v>
      </c>
      <c r="AO483" s="10">
        <v>1250</v>
      </c>
      <c r="AP483" s="56">
        <f t="shared" si="140"/>
        <v>1</v>
      </c>
      <c r="AR483" s="11">
        <f ca="1">IFERROR(OFFSET(ITEM_RES!$A$1,MATCH(AS483,ITEM_RES!$J:$J,0)-1,0),0)</f>
        <v>211020901</v>
      </c>
      <c r="AS483" s="10" t="s">
        <v>466</v>
      </c>
      <c r="AT483" s="11">
        <v>6250</v>
      </c>
      <c r="AW483" s="11">
        <f ca="1">IFERROR(OFFSET(ITEM_RES!$A$1,MATCH(AX483,ITEM_RES!$J:$J,0)-1,0),0)</f>
        <v>0</v>
      </c>
      <c r="BB483" s="11">
        <f ca="1">IFERROR(OFFSET(ITEM_RES!$A$1,MATCH(BC483,ITEM_RES!$J:$J,0)-1,0),0)</f>
        <v>0</v>
      </c>
      <c r="BG483" s="11">
        <f ca="1">IFERROR(OFFSET(ITEM_RES!$A$1,MATCH(BH483,ITEM_RES!$J:$J,0)-1,0),0)</f>
        <v>0</v>
      </c>
      <c r="BL483" s="11">
        <f ca="1">IFERROR(OFFSET(ITEM_RES!$A$1,MATCH(BM483,ITEM_RES!$J:$J,0)-1,0),0)</f>
        <v>0</v>
      </c>
    </row>
    <row r="484" spans="1:67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N484" s="9">
        <v>0</v>
      </c>
      <c r="O484" s="9">
        <v>15</v>
      </c>
      <c r="T484" s="9">
        <v>2222</v>
      </c>
      <c r="W484" s="9">
        <f ca="1">IFERROR(OFFSET(ITEM_RES!$A$5,MATCH(BUILDING!V484,ITEM_RES!$J$5:$J$226,0)-1,0),0)</f>
        <v>0</v>
      </c>
      <c r="Z484" s="9">
        <f ca="1">IFERROR(OFFSET(ITEM_RES!$A$5,MATCH(BUILDING!Y484,ITEM_RES!$J$5:$J$226,0)-1,0),0)</f>
        <v>0</v>
      </c>
      <c r="AB484" s="9" t="s">
        <v>558</v>
      </c>
      <c r="AC484" s="9">
        <v>20</v>
      </c>
      <c r="AE484" s="9">
        <v>60000</v>
      </c>
      <c r="AG484" s="56">
        <f t="shared" si="139"/>
        <v>24000</v>
      </c>
      <c r="AH484" s="10">
        <f t="shared" si="137"/>
        <v>44000</v>
      </c>
      <c r="AJ484" s="11">
        <f t="shared" si="138"/>
        <v>100</v>
      </c>
      <c r="AK484" s="10">
        <v>100</v>
      </c>
      <c r="AL484" s="11">
        <f t="shared" si="135"/>
        <v>1500</v>
      </c>
      <c r="AM484" s="10">
        <v>1500</v>
      </c>
      <c r="AN484" s="11">
        <f t="shared" si="135"/>
        <v>1500</v>
      </c>
      <c r="AO484" s="10">
        <v>1500</v>
      </c>
      <c r="AP484" s="56">
        <f t="shared" si="140"/>
        <v>1</v>
      </c>
      <c r="AR484" s="11">
        <f ca="1">IFERROR(OFFSET(ITEM_RES!$A$1,MATCH(AS484,ITEM_RES!$J:$J,0)-1,0),0)</f>
        <v>211020901</v>
      </c>
      <c r="AS484" s="10" t="s">
        <v>466</v>
      </c>
      <c r="AT484" s="11">
        <v>7500</v>
      </c>
      <c r="AW484" s="11">
        <f ca="1">IFERROR(OFFSET(ITEM_RES!$A$1,MATCH(AX484,ITEM_RES!$J:$J,0)-1,0),0)</f>
        <v>0</v>
      </c>
      <c r="BB484" s="11">
        <f ca="1">IFERROR(OFFSET(ITEM_RES!$A$1,MATCH(BC484,ITEM_RES!$J:$J,0)-1,0),0)</f>
        <v>0</v>
      </c>
      <c r="BG484" s="11">
        <f ca="1">IFERROR(OFFSET(ITEM_RES!$A$1,MATCH(BH484,ITEM_RES!$J:$J,0)-1,0),0)</f>
        <v>0</v>
      </c>
      <c r="BL484" s="11">
        <f ca="1">IFERROR(OFFSET(ITEM_RES!$A$1,MATCH(BM484,ITEM_RES!$J:$J,0)-1,0),0)</f>
        <v>0</v>
      </c>
    </row>
    <row r="485" spans="1:67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/>
      <c r="M485" s="16"/>
      <c r="N485" s="16">
        <v>1</v>
      </c>
      <c r="O485" s="16">
        <v>15</v>
      </c>
      <c r="P485" s="16"/>
      <c r="Q485" s="17"/>
      <c r="R485" s="17"/>
      <c r="S485" s="18"/>
      <c r="T485" s="16">
        <v>3333</v>
      </c>
      <c r="U485" s="79"/>
      <c r="V485" s="87"/>
      <c r="W485" s="16">
        <f ca="1">IFERROR(OFFSET(ITEM_RES!$A$5,MATCH(BUILDING!V485,ITEM_RES!$J$5:$J$226,0)-1,0),0)</f>
        <v>0</v>
      </c>
      <c r="X485" s="18"/>
      <c r="Y485" s="87"/>
      <c r="Z485" s="16">
        <f ca="1">IFERROR(OFFSET(ITEM_RES!$A$5,MATCH(BUILDING!Y485,ITEM_RES!$J$5:$J$226,0)-1,0),0)</f>
        <v>0</v>
      </c>
      <c r="AA485" s="79"/>
      <c r="AB485" s="16" t="s">
        <v>392</v>
      </c>
      <c r="AC485" s="16">
        <v>1</v>
      </c>
      <c r="AD485" s="79"/>
      <c r="AE485" s="16">
        <v>0</v>
      </c>
      <c r="AF485" s="79"/>
      <c r="AG485" s="57">
        <f t="shared" si="139"/>
        <v>1080</v>
      </c>
      <c r="AH485" s="17">
        <f>AG485</f>
        <v>1080</v>
      </c>
      <c r="AI485" s="79"/>
      <c r="AJ485" s="18">
        <f t="shared" si="138"/>
        <v>5</v>
      </c>
      <c r="AK485" s="17">
        <v>5</v>
      </c>
      <c r="AL485" s="18">
        <f t="shared" si="135"/>
        <v>5</v>
      </c>
      <c r="AM485" s="17">
        <v>5</v>
      </c>
      <c r="AN485" s="18">
        <f t="shared" si="135"/>
        <v>5</v>
      </c>
      <c r="AO485" s="17">
        <v>5</v>
      </c>
      <c r="AP485" s="57">
        <f t="shared" si="140"/>
        <v>3</v>
      </c>
      <c r="AQ485" s="18"/>
      <c r="AR485" s="18">
        <f ca="1">IFERROR(OFFSET(ITEM_RES!$A$1,MATCH(AS485,ITEM_RES!$J:$J,0)-1,0),0)</f>
        <v>211020801</v>
      </c>
      <c r="AS485" s="17" t="s">
        <v>456</v>
      </c>
      <c r="AT485" s="18">
        <v>25</v>
      </c>
      <c r="AU485" s="17"/>
      <c r="AV485" s="18"/>
      <c r="AW485" s="18">
        <f ca="1">IFERROR(OFFSET(ITEM_RES!$A$1,MATCH(AX485,ITEM_RES!$J:$J,0)-1,0),0)</f>
        <v>0</v>
      </c>
      <c r="AX485" s="17"/>
      <c r="AY485" s="18"/>
      <c r="AZ485" s="17"/>
      <c r="BA485" s="18"/>
      <c r="BB485" s="18">
        <f ca="1">IFERROR(OFFSET(ITEM_RES!$A$1,MATCH(BC485,ITEM_RES!$J:$J,0)-1,0),0)</f>
        <v>213010101</v>
      </c>
      <c r="BC485" s="17" t="s">
        <v>477</v>
      </c>
      <c r="BD485" s="18">
        <v>1</v>
      </c>
      <c r="BE485" s="17"/>
      <c r="BF485" s="18"/>
      <c r="BG485" s="18">
        <f ca="1">IFERROR(OFFSET(ITEM_RES!$A$1,MATCH(BH485,ITEM_RES!$J:$J,0)-1,0),0)</f>
        <v>213010201</v>
      </c>
      <c r="BH485" s="17" t="s">
        <v>499</v>
      </c>
      <c r="BI485" s="18">
        <v>1</v>
      </c>
      <c r="BJ485" s="17"/>
      <c r="BK485" s="18"/>
      <c r="BL485" s="18">
        <f ca="1">IFERROR(OFFSET(ITEM_RES!$A$1,MATCH(BM485,ITEM_RES!$J:$J,0)-1,0),0)</f>
        <v>0</v>
      </c>
      <c r="BM485" s="17"/>
      <c r="BN485" s="18"/>
      <c r="BO485" s="17"/>
    </row>
    <row r="486" spans="1:67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N486" s="9">
        <v>1</v>
      </c>
      <c r="O486" s="9">
        <v>15</v>
      </c>
      <c r="T486" s="9">
        <v>3333</v>
      </c>
      <c r="W486" s="9">
        <f ca="1">IFERROR(OFFSET(ITEM_RES!$A$5,MATCH(BUILDING!V486,ITEM_RES!$J$5:$J$226,0)-1,0),0)</f>
        <v>0</v>
      </c>
      <c r="Z486" s="9">
        <f ca="1">IFERROR(OFFSET(ITEM_RES!$A$5,MATCH(BUILDING!Y486,ITEM_RES!$J$5:$J$226,0)-1,0),0)</f>
        <v>0</v>
      </c>
      <c r="AB486" s="9" t="s">
        <v>388</v>
      </c>
      <c r="AC486" s="9">
        <v>2</v>
      </c>
      <c r="AE486" s="9">
        <v>400</v>
      </c>
      <c r="AG486" s="56">
        <f t="shared" si="139"/>
        <v>160</v>
      </c>
      <c r="AH486" s="10">
        <f>AG485+AG486</f>
        <v>1240</v>
      </c>
      <c r="AJ486" s="11">
        <f t="shared" si="138"/>
        <v>10</v>
      </c>
      <c r="AK486" s="10">
        <v>10</v>
      </c>
      <c r="AL486" s="11">
        <f t="shared" si="135"/>
        <v>10</v>
      </c>
      <c r="AM486" s="10">
        <v>10</v>
      </c>
      <c r="AN486" s="11">
        <f t="shared" si="135"/>
        <v>10</v>
      </c>
      <c r="AO486" s="10">
        <v>10</v>
      </c>
      <c r="AP486" s="56">
        <f t="shared" si="140"/>
        <v>1</v>
      </c>
      <c r="AR486" s="11">
        <f ca="1">IFERROR(OFFSET(ITEM_RES!$A$1,MATCH(AS486,ITEM_RES!$J:$J,0)-1,0),0)</f>
        <v>211020801</v>
      </c>
      <c r="AS486" s="10" t="s">
        <v>456</v>
      </c>
      <c r="AT486" s="11">
        <v>50</v>
      </c>
      <c r="AW486" s="11">
        <f ca="1">IFERROR(OFFSET(ITEM_RES!$A$1,MATCH(AX486,ITEM_RES!$J:$J,0)-1,0),0)</f>
        <v>0</v>
      </c>
      <c r="BB486" s="11">
        <f ca="1">IFERROR(OFFSET(ITEM_RES!$A$1,MATCH(BC486,ITEM_RES!$J:$J,0)-1,0),0)</f>
        <v>0</v>
      </c>
      <c r="BG486" s="11">
        <f ca="1">IFERROR(OFFSET(ITEM_RES!$A$1,MATCH(BH486,ITEM_RES!$J:$J,0)-1,0),0)</f>
        <v>0</v>
      </c>
      <c r="BL486" s="11">
        <f ca="1">IFERROR(OFFSET(ITEM_RES!$A$1,MATCH(BM486,ITEM_RES!$J:$J,0)-1,0),0)</f>
        <v>0</v>
      </c>
    </row>
    <row r="487" spans="1:67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N487" s="9">
        <v>1</v>
      </c>
      <c r="O487" s="9">
        <v>15</v>
      </c>
      <c r="T487" s="9">
        <v>3333</v>
      </c>
      <c r="W487" s="9">
        <f ca="1">IFERROR(OFFSET(ITEM_RES!$A$5,MATCH(BUILDING!V487,ITEM_RES!$J$5:$J$226,0)-1,0),0)</f>
        <v>0</v>
      </c>
      <c r="Z487" s="9">
        <f ca="1">IFERROR(OFFSET(ITEM_RES!$A$5,MATCH(BUILDING!Y487,ITEM_RES!$J$5:$J$226,0)-1,0),0)</f>
        <v>0</v>
      </c>
      <c r="AB487" s="9" t="s">
        <v>387</v>
      </c>
      <c r="AC487" s="9">
        <v>3</v>
      </c>
      <c r="AE487" s="9">
        <v>1200</v>
      </c>
      <c r="AG487" s="56">
        <f t="shared" si="139"/>
        <v>240</v>
      </c>
      <c r="AH487" s="10">
        <f t="shared" ref="AH487:AH504" si="141">AG486+AG487</f>
        <v>400</v>
      </c>
      <c r="AJ487" s="11">
        <f t="shared" si="138"/>
        <v>15</v>
      </c>
      <c r="AK487" s="10">
        <v>15</v>
      </c>
      <c r="AL487" s="11">
        <f t="shared" si="135"/>
        <v>15</v>
      </c>
      <c r="AM487" s="10">
        <v>15</v>
      </c>
      <c r="AN487" s="11">
        <f t="shared" si="135"/>
        <v>15</v>
      </c>
      <c r="AO487" s="10">
        <v>15</v>
      </c>
      <c r="AP487" s="56">
        <f t="shared" si="140"/>
        <v>1</v>
      </c>
      <c r="AR487" s="11">
        <f ca="1">IFERROR(OFFSET(ITEM_RES!$A$1,MATCH(AS487,ITEM_RES!$J:$J,0)-1,0),0)</f>
        <v>211020801</v>
      </c>
      <c r="AS487" s="10" t="s">
        <v>456</v>
      </c>
      <c r="AT487" s="11">
        <v>75</v>
      </c>
      <c r="AW487" s="11">
        <f ca="1">IFERROR(OFFSET(ITEM_RES!$A$1,MATCH(AX487,ITEM_RES!$J:$J,0)-1,0),0)</f>
        <v>0</v>
      </c>
      <c r="BB487" s="11">
        <f ca="1">IFERROR(OFFSET(ITEM_RES!$A$1,MATCH(BC487,ITEM_RES!$J:$J,0)-1,0),0)</f>
        <v>0</v>
      </c>
      <c r="BG487" s="11">
        <f ca="1">IFERROR(OFFSET(ITEM_RES!$A$1,MATCH(BH487,ITEM_RES!$J:$J,0)-1,0),0)</f>
        <v>0</v>
      </c>
      <c r="BL487" s="11">
        <f ca="1">IFERROR(OFFSET(ITEM_RES!$A$1,MATCH(BM487,ITEM_RES!$J:$J,0)-1,0),0)</f>
        <v>0</v>
      </c>
    </row>
    <row r="488" spans="1:67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N488" s="9">
        <v>1</v>
      </c>
      <c r="O488" s="9">
        <v>15</v>
      </c>
      <c r="T488" s="9">
        <v>3333</v>
      </c>
      <c r="W488" s="9">
        <f ca="1">IFERROR(OFFSET(ITEM_RES!$A$5,MATCH(BUILDING!V488,ITEM_RES!$J$5:$J$226,0)-1,0),0)</f>
        <v>0</v>
      </c>
      <c r="Z488" s="9">
        <f ca="1">IFERROR(OFFSET(ITEM_RES!$A$5,MATCH(BUILDING!Y488,ITEM_RES!$J$5:$J$226,0)-1,0),0)</f>
        <v>0</v>
      </c>
      <c r="AB488" s="9" t="s">
        <v>387</v>
      </c>
      <c r="AC488" s="9">
        <v>4</v>
      </c>
      <c r="AE488" s="9">
        <v>2000</v>
      </c>
      <c r="AG488" s="56">
        <f t="shared" si="139"/>
        <v>400</v>
      </c>
      <c r="AH488" s="10">
        <f t="shared" si="141"/>
        <v>640</v>
      </c>
      <c r="AJ488" s="11">
        <f t="shared" si="138"/>
        <v>20</v>
      </c>
      <c r="AK488" s="10">
        <v>20</v>
      </c>
      <c r="AL488" s="11">
        <f t="shared" si="135"/>
        <v>25</v>
      </c>
      <c r="AM488" s="10">
        <v>25</v>
      </c>
      <c r="AN488" s="11">
        <f t="shared" si="135"/>
        <v>25</v>
      </c>
      <c r="AO488" s="10">
        <v>25</v>
      </c>
      <c r="AP488" s="56">
        <f t="shared" si="140"/>
        <v>1</v>
      </c>
      <c r="AR488" s="11">
        <f ca="1">IFERROR(OFFSET(ITEM_RES!$A$1,MATCH(AS488,ITEM_RES!$J:$J,0)-1,0),0)</f>
        <v>211020801</v>
      </c>
      <c r="AS488" s="10" t="s">
        <v>456</v>
      </c>
      <c r="AT488" s="11">
        <v>125</v>
      </c>
      <c r="AW488" s="11">
        <f ca="1">IFERROR(OFFSET(ITEM_RES!$A$1,MATCH(AX488,ITEM_RES!$J:$J,0)-1,0),0)</f>
        <v>0</v>
      </c>
      <c r="BB488" s="11">
        <f ca="1">IFERROR(OFFSET(ITEM_RES!$A$1,MATCH(BC488,ITEM_RES!$J:$J,0)-1,0),0)</f>
        <v>0</v>
      </c>
      <c r="BG488" s="11">
        <f ca="1">IFERROR(OFFSET(ITEM_RES!$A$1,MATCH(BH488,ITEM_RES!$J:$J,0)-1,0),0)</f>
        <v>0</v>
      </c>
      <c r="BL488" s="11">
        <f ca="1">IFERROR(OFFSET(ITEM_RES!$A$1,MATCH(BM488,ITEM_RES!$J:$J,0)-1,0),0)</f>
        <v>0</v>
      </c>
    </row>
    <row r="489" spans="1:67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N489" s="9">
        <v>1</v>
      </c>
      <c r="O489" s="9">
        <v>15</v>
      </c>
      <c r="T489" s="9">
        <v>3333</v>
      </c>
      <c r="W489" s="9">
        <f ca="1">IFERROR(OFFSET(ITEM_RES!$A$5,MATCH(BUILDING!V489,ITEM_RES!$J$5:$J$226,0)-1,0),0)</f>
        <v>0</v>
      </c>
      <c r="Z489" s="9">
        <f ca="1">IFERROR(OFFSET(ITEM_RES!$A$5,MATCH(BUILDING!Y489,ITEM_RES!$J$5:$J$226,0)-1,0),0)</f>
        <v>0</v>
      </c>
      <c r="AB489" s="9" t="s">
        <v>387</v>
      </c>
      <c r="AC489" s="9">
        <v>5</v>
      </c>
      <c r="AE489" s="9">
        <v>3200</v>
      </c>
      <c r="AG489" s="56">
        <f t="shared" si="139"/>
        <v>640</v>
      </c>
      <c r="AH489" s="10">
        <f t="shared" si="141"/>
        <v>1040</v>
      </c>
      <c r="AJ489" s="11">
        <f t="shared" si="138"/>
        <v>25</v>
      </c>
      <c r="AK489" s="10">
        <v>25</v>
      </c>
      <c r="AL489" s="11">
        <f t="shared" si="135"/>
        <v>40</v>
      </c>
      <c r="AM489" s="10">
        <v>40</v>
      </c>
      <c r="AN489" s="11">
        <f t="shared" si="135"/>
        <v>40</v>
      </c>
      <c r="AO489" s="10">
        <v>40</v>
      </c>
      <c r="AP489" s="56">
        <f t="shared" si="140"/>
        <v>1</v>
      </c>
      <c r="AR489" s="11">
        <f ca="1">IFERROR(OFFSET(ITEM_RES!$A$1,MATCH(AS489,ITEM_RES!$J:$J,0)-1,0),0)</f>
        <v>211020801</v>
      </c>
      <c r="AS489" s="10" t="s">
        <v>456</v>
      </c>
      <c r="AT489" s="11">
        <v>200</v>
      </c>
      <c r="AW489" s="11">
        <f ca="1">IFERROR(OFFSET(ITEM_RES!$A$1,MATCH(AX489,ITEM_RES!$J:$J,0)-1,0),0)</f>
        <v>0</v>
      </c>
      <c r="BB489" s="11">
        <f ca="1">IFERROR(OFFSET(ITEM_RES!$A$1,MATCH(BC489,ITEM_RES!$J:$J,0)-1,0),0)</f>
        <v>0</v>
      </c>
      <c r="BG489" s="11">
        <f ca="1">IFERROR(OFFSET(ITEM_RES!$A$1,MATCH(BH489,ITEM_RES!$J:$J,0)-1,0),0)</f>
        <v>0</v>
      </c>
      <c r="BL489" s="11">
        <f ca="1">IFERROR(OFFSET(ITEM_RES!$A$1,MATCH(BM489,ITEM_RES!$J:$J,0)-1,0),0)</f>
        <v>0</v>
      </c>
    </row>
    <row r="490" spans="1:67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N490" s="9">
        <v>1</v>
      </c>
      <c r="O490" s="9">
        <v>15</v>
      </c>
      <c r="T490" s="9">
        <v>3333</v>
      </c>
      <c r="W490" s="9">
        <f ca="1">IFERROR(OFFSET(ITEM_RES!$A$5,MATCH(BUILDING!V490,ITEM_RES!$J$5:$J$226,0)-1,0),0)</f>
        <v>0</v>
      </c>
      <c r="Z490" s="9">
        <f ca="1">IFERROR(OFFSET(ITEM_RES!$A$5,MATCH(BUILDING!Y490,ITEM_RES!$J$5:$J$226,0)-1,0),0)</f>
        <v>0</v>
      </c>
      <c r="AB490" s="9" t="s">
        <v>387</v>
      </c>
      <c r="AC490" s="9">
        <v>6</v>
      </c>
      <c r="AE490" s="9">
        <v>4000</v>
      </c>
      <c r="AG490" s="56">
        <f t="shared" si="139"/>
        <v>800</v>
      </c>
      <c r="AH490" s="10">
        <f t="shared" si="141"/>
        <v>1440</v>
      </c>
      <c r="AJ490" s="11">
        <f t="shared" si="138"/>
        <v>30</v>
      </c>
      <c r="AK490" s="10">
        <v>30</v>
      </c>
      <c r="AL490" s="11">
        <f t="shared" si="135"/>
        <v>50</v>
      </c>
      <c r="AM490" s="10">
        <v>50</v>
      </c>
      <c r="AN490" s="11">
        <f t="shared" si="135"/>
        <v>50</v>
      </c>
      <c r="AO490" s="10">
        <v>50</v>
      </c>
      <c r="AP490" s="56">
        <f t="shared" si="140"/>
        <v>1</v>
      </c>
      <c r="AR490" s="11">
        <f ca="1">IFERROR(OFFSET(ITEM_RES!$A$1,MATCH(AS490,ITEM_RES!$J:$J,0)-1,0),0)</f>
        <v>211020801</v>
      </c>
      <c r="AS490" s="10" t="s">
        <v>456</v>
      </c>
      <c r="AT490" s="11">
        <v>250</v>
      </c>
      <c r="AW490" s="11">
        <f ca="1">IFERROR(OFFSET(ITEM_RES!$A$1,MATCH(AX490,ITEM_RES!$J:$J,0)-1,0),0)</f>
        <v>0</v>
      </c>
      <c r="BB490" s="11">
        <f ca="1">IFERROR(OFFSET(ITEM_RES!$A$1,MATCH(BC490,ITEM_RES!$J:$J,0)-1,0),0)</f>
        <v>0</v>
      </c>
      <c r="BG490" s="11">
        <f ca="1">IFERROR(OFFSET(ITEM_RES!$A$1,MATCH(BH490,ITEM_RES!$J:$J,0)-1,0),0)</f>
        <v>0</v>
      </c>
      <c r="BL490" s="11">
        <f ca="1">IFERROR(OFFSET(ITEM_RES!$A$1,MATCH(BM490,ITEM_RES!$J:$J,0)-1,0),0)</f>
        <v>0</v>
      </c>
    </row>
    <row r="491" spans="1:67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N491" s="9">
        <v>1</v>
      </c>
      <c r="O491" s="9">
        <v>15</v>
      </c>
      <c r="T491" s="9">
        <v>3333</v>
      </c>
      <c r="W491" s="9">
        <f ca="1">IFERROR(OFFSET(ITEM_RES!$A$5,MATCH(BUILDING!V491,ITEM_RES!$J$5:$J$226,0)-1,0),0)</f>
        <v>0</v>
      </c>
      <c r="Z491" s="9">
        <f ca="1">IFERROR(OFFSET(ITEM_RES!$A$5,MATCH(BUILDING!Y491,ITEM_RES!$J$5:$J$226,0)-1,0),0)</f>
        <v>0</v>
      </c>
      <c r="AB491" s="9" t="s">
        <v>387</v>
      </c>
      <c r="AC491" s="9">
        <v>7</v>
      </c>
      <c r="AE491" s="9">
        <v>8000</v>
      </c>
      <c r="AG491" s="56">
        <f t="shared" si="139"/>
        <v>1600</v>
      </c>
      <c r="AH491" s="10">
        <f t="shared" si="141"/>
        <v>2400</v>
      </c>
      <c r="AJ491" s="11">
        <f t="shared" si="138"/>
        <v>35</v>
      </c>
      <c r="AK491" s="10">
        <v>35</v>
      </c>
      <c r="AL491" s="11">
        <f t="shared" si="135"/>
        <v>100</v>
      </c>
      <c r="AM491" s="10">
        <v>100</v>
      </c>
      <c r="AN491" s="11">
        <f t="shared" si="135"/>
        <v>100</v>
      </c>
      <c r="AO491" s="10">
        <v>100</v>
      </c>
      <c r="AP491" s="56">
        <f t="shared" si="140"/>
        <v>1</v>
      </c>
      <c r="AR491" s="11">
        <f ca="1">IFERROR(OFFSET(ITEM_RES!$A$1,MATCH(AS491,ITEM_RES!$J:$J,0)-1,0),0)</f>
        <v>211020801</v>
      </c>
      <c r="AS491" s="10" t="s">
        <v>456</v>
      </c>
      <c r="AT491" s="11">
        <v>500</v>
      </c>
      <c r="AW491" s="11">
        <f ca="1">IFERROR(OFFSET(ITEM_RES!$A$1,MATCH(AX491,ITEM_RES!$J:$J,0)-1,0),0)</f>
        <v>0</v>
      </c>
      <c r="BB491" s="11">
        <f ca="1">IFERROR(OFFSET(ITEM_RES!$A$1,MATCH(BC491,ITEM_RES!$J:$J,0)-1,0),0)</f>
        <v>0</v>
      </c>
      <c r="BG491" s="11">
        <f ca="1">IFERROR(OFFSET(ITEM_RES!$A$1,MATCH(BH491,ITEM_RES!$J:$J,0)-1,0),0)</f>
        <v>0</v>
      </c>
      <c r="BL491" s="11">
        <f ca="1">IFERROR(OFFSET(ITEM_RES!$A$1,MATCH(BM491,ITEM_RES!$J:$J,0)-1,0),0)</f>
        <v>0</v>
      </c>
    </row>
    <row r="492" spans="1:67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N492" s="9">
        <v>1</v>
      </c>
      <c r="O492" s="9">
        <v>15</v>
      </c>
      <c r="T492" s="9">
        <v>3333</v>
      </c>
      <c r="W492" s="9">
        <f ca="1">IFERROR(OFFSET(ITEM_RES!$A$5,MATCH(BUILDING!V492,ITEM_RES!$J$5:$J$226,0)-1,0),0)</f>
        <v>0</v>
      </c>
      <c r="Z492" s="9">
        <f ca="1">IFERROR(OFFSET(ITEM_RES!$A$5,MATCH(BUILDING!Y492,ITEM_RES!$J$5:$J$226,0)-1,0),0)</f>
        <v>0</v>
      </c>
      <c r="AB492" s="9" t="s">
        <v>387</v>
      </c>
      <c r="AC492" s="9">
        <v>8</v>
      </c>
      <c r="AE492" s="9">
        <v>8000</v>
      </c>
      <c r="AG492" s="56">
        <f t="shared" si="139"/>
        <v>1600</v>
      </c>
      <c r="AH492" s="10">
        <f t="shared" si="141"/>
        <v>3200</v>
      </c>
      <c r="AJ492" s="11">
        <f t="shared" si="138"/>
        <v>40</v>
      </c>
      <c r="AK492" s="10">
        <v>40</v>
      </c>
      <c r="AL492" s="11">
        <f t="shared" si="135"/>
        <v>100</v>
      </c>
      <c r="AM492" s="10">
        <v>100</v>
      </c>
      <c r="AN492" s="11">
        <f t="shared" si="135"/>
        <v>100</v>
      </c>
      <c r="AO492" s="10">
        <v>100</v>
      </c>
      <c r="AP492" s="56">
        <f t="shared" si="140"/>
        <v>1</v>
      </c>
      <c r="AR492" s="11">
        <f ca="1">IFERROR(OFFSET(ITEM_RES!$A$1,MATCH(AS492,ITEM_RES!$J:$J,0)-1,0),0)</f>
        <v>211020801</v>
      </c>
      <c r="AS492" s="10" t="s">
        <v>456</v>
      </c>
      <c r="AT492" s="11">
        <v>500</v>
      </c>
      <c r="AW492" s="11">
        <f ca="1">IFERROR(OFFSET(ITEM_RES!$A$1,MATCH(AX492,ITEM_RES!$J:$J,0)-1,0),0)</f>
        <v>0</v>
      </c>
      <c r="BB492" s="11">
        <f ca="1">IFERROR(OFFSET(ITEM_RES!$A$1,MATCH(BC492,ITEM_RES!$J:$J,0)-1,0),0)</f>
        <v>0</v>
      </c>
      <c r="BG492" s="11">
        <f ca="1">IFERROR(OFFSET(ITEM_RES!$A$1,MATCH(BH492,ITEM_RES!$J:$J,0)-1,0),0)</f>
        <v>0</v>
      </c>
      <c r="BL492" s="11">
        <f ca="1">IFERROR(OFFSET(ITEM_RES!$A$1,MATCH(BM492,ITEM_RES!$J:$J,0)-1,0),0)</f>
        <v>0</v>
      </c>
    </row>
    <row r="493" spans="1:67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N493" s="9">
        <v>1</v>
      </c>
      <c r="O493" s="9">
        <v>15</v>
      </c>
      <c r="T493" s="9">
        <v>3333</v>
      </c>
      <c r="W493" s="9">
        <f ca="1">IFERROR(OFFSET(ITEM_RES!$A$5,MATCH(BUILDING!V493,ITEM_RES!$J$5:$J$226,0)-1,0),0)</f>
        <v>0</v>
      </c>
      <c r="Z493" s="9">
        <f ca="1">IFERROR(OFFSET(ITEM_RES!$A$5,MATCH(BUILDING!Y493,ITEM_RES!$J$5:$J$226,0)-1,0),0)</f>
        <v>0</v>
      </c>
      <c r="AB493" s="9" t="s">
        <v>387</v>
      </c>
      <c r="AC493" s="9">
        <v>9</v>
      </c>
      <c r="AE493" s="9">
        <v>12000</v>
      </c>
      <c r="AG493" s="56">
        <f t="shared" si="139"/>
        <v>2400</v>
      </c>
      <c r="AH493" s="10">
        <f t="shared" si="141"/>
        <v>4000</v>
      </c>
      <c r="AJ493" s="11">
        <f t="shared" si="138"/>
        <v>45</v>
      </c>
      <c r="AK493" s="10">
        <v>45</v>
      </c>
      <c r="AL493" s="11">
        <f t="shared" si="135"/>
        <v>150</v>
      </c>
      <c r="AM493" s="10">
        <v>150</v>
      </c>
      <c r="AN493" s="11">
        <f t="shared" si="135"/>
        <v>150</v>
      </c>
      <c r="AO493" s="10">
        <v>150</v>
      </c>
      <c r="AP493" s="56">
        <f t="shared" si="140"/>
        <v>1</v>
      </c>
      <c r="AR493" s="11">
        <f ca="1">IFERROR(OFFSET(ITEM_RES!$A$1,MATCH(AS493,ITEM_RES!$J:$J,0)-1,0),0)</f>
        <v>211020801</v>
      </c>
      <c r="AS493" s="10" t="s">
        <v>456</v>
      </c>
      <c r="AT493" s="11">
        <v>750</v>
      </c>
      <c r="AW493" s="11">
        <f ca="1">IFERROR(OFFSET(ITEM_RES!$A$1,MATCH(AX493,ITEM_RES!$J:$J,0)-1,0),0)</f>
        <v>0</v>
      </c>
      <c r="BB493" s="11">
        <f ca="1">IFERROR(OFFSET(ITEM_RES!$A$1,MATCH(BC493,ITEM_RES!$J:$J,0)-1,0),0)</f>
        <v>0</v>
      </c>
      <c r="BG493" s="11">
        <f ca="1">IFERROR(OFFSET(ITEM_RES!$A$1,MATCH(BH493,ITEM_RES!$J:$J,0)-1,0),0)</f>
        <v>0</v>
      </c>
      <c r="BL493" s="11">
        <f ca="1">IFERROR(OFFSET(ITEM_RES!$A$1,MATCH(BM493,ITEM_RES!$J:$J,0)-1,0),0)</f>
        <v>0</v>
      </c>
    </row>
    <row r="494" spans="1:67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N494" s="9">
        <v>1</v>
      </c>
      <c r="O494" s="9">
        <v>15</v>
      </c>
      <c r="T494" s="9">
        <v>3333</v>
      </c>
      <c r="W494" s="9">
        <f ca="1">IFERROR(OFFSET(ITEM_RES!$A$5,MATCH(BUILDING!V494,ITEM_RES!$J$5:$J$226,0)-1,0),0)</f>
        <v>0</v>
      </c>
      <c r="Z494" s="9">
        <f ca="1">IFERROR(OFFSET(ITEM_RES!$A$5,MATCH(BUILDING!Y494,ITEM_RES!$J$5:$J$226,0)-1,0),0)</f>
        <v>0</v>
      </c>
      <c r="AB494" s="9" t="s">
        <v>387</v>
      </c>
      <c r="AC494" s="9">
        <v>10</v>
      </c>
      <c r="AE494" s="9">
        <v>16000</v>
      </c>
      <c r="AG494" s="56">
        <f t="shared" si="139"/>
        <v>3700</v>
      </c>
      <c r="AH494" s="10">
        <f t="shared" si="141"/>
        <v>6100</v>
      </c>
      <c r="AJ494" s="11">
        <f t="shared" si="138"/>
        <v>50</v>
      </c>
      <c r="AK494" s="10">
        <v>50</v>
      </c>
      <c r="AL494" s="11">
        <f t="shared" ref="AL494:AN557" si="145">ROUND(AM494,0)</f>
        <v>200</v>
      </c>
      <c r="AM494" s="10">
        <v>200</v>
      </c>
      <c r="AN494" s="11">
        <f t="shared" si="145"/>
        <v>200</v>
      </c>
      <c r="AO494" s="10">
        <v>200</v>
      </c>
      <c r="AP494" s="56">
        <f t="shared" si="140"/>
        <v>2</v>
      </c>
      <c r="AR494" s="11">
        <f ca="1">IFERROR(OFFSET(ITEM_RES!$A$1,MATCH(AS494,ITEM_RES!$J:$J,0)-1,0),0)</f>
        <v>211020801</v>
      </c>
      <c r="AS494" s="10" t="s">
        <v>456</v>
      </c>
      <c r="AT494" s="11">
        <v>1000</v>
      </c>
      <c r="AW494" s="11">
        <f ca="1">IFERROR(OFFSET(ITEM_RES!$A$1,MATCH(AX494,ITEM_RES!$J:$J,0)-1,0),0)</f>
        <v>0</v>
      </c>
      <c r="BB494" s="11">
        <f ca="1">IFERROR(OFFSET(ITEM_RES!$A$1,MATCH(BC494,ITEM_RES!$J:$J,0)-1,0),0)</f>
        <v>0</v>
      </c>
      <c r="BG494" s="11">
        <f ca="1">IFERROR(OFFSET(ITEM_RES!$A$1,MATCH(BH494,ITEM_RES!$J:$J,0)-1,0),0)</f>
        <v>213011601</v>
      </c>
      <c r="BH494" s="10" t="s">
        <v>510</v>
      </c>
      <c r="BI494" s="11">
        <v>1</v>
      </c>
      <c r="BL494" s="11">
        <f ca="1">IFERROR(OFFSET(ITEM_RES!$A$1,MATCH(BM494,ITEM_RES!$J:$J,0)-1,0),0)</f>
        <v>0</v>
      </c>
    </row>
    <row r="495" spans="1:67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N495" s="9">
        <v>1</v>
      </c>
      <c r="O495" s="9">
        <v>15</v>
      </c>
      <c r="T495" s="9">
        <v>3333</v>
      </c>
      <c r="W495" s="9">
        <f ca="1">IFERROR(OFFSET(ITEM_RES!$A$5,MATCH(BUILDING!V495,ITEM_RES!$J$5:$J$226,0)-1,0),0)</f>
        <v>0</v>
      </c>
      <c r="Z495" s="9">
        <f ca="1">IFERROR(OFFSET(ITEM_RES!$A$5,MATCH(BUILDING!Y495,ITEM_RES!$J$5:$J$226,0)-1,0),0)</f>
        <v>0</v>
      </c>
      <c r="AB495" s="9" t="s">
        <v>387</v>
      </c>
      <c r="AC495" s="9">
        <v>11</v>
      </c>
      <c r="AE495" s="9">
        <v>20000</v>
      </c>
      <c r="AG495" s="56">
        <f t="shared" si="139"/>
        <v>4000</v>
      </c>
      <c r="AH495" s="10">
        <f t="shared" si="141"/>
        <v>7700</v>
      </c>
      <c r="AJ495" s="11">
        <f t="shared" si="138"/>
        <v>55</v>
      </c>
      <c r="AK495" s="10">
        <v>55</v>
      </c>
      <c r="AL495" s="11">
        <f t="shared" si="145"/>
        <v>250</v>
      </c>
      <c r="AM495" s="10">
        <v>250</v>
      </c>
      <c r="AN495" s="11">
        <f t="shared" si="145"/>
        <v>250</v>
      </c>
      <c r="AO495" s="10">
        <v>250</v>
      </c>
      <c r="AP495" s="56">
        <f t="shared" si="140"/>
        <v>1</v>
      </c>
      <c r="AR495" s="11">
        <f ca="1">IFERROR(OFFSET(ITEM_RES!$A$1,MATCH(AS495,ITEM_RES!$J:$J,0)-1,0),0)</f>
        <v>211020801</v>
      </c>
      <c r="AS495" s="10" t="s">
        <v>456</v>
      </c>
      <c r="AT495" s="11">
        <v>1250</v>
      </c>
      <c r="AW495" s="11">
        <f ca="1">IFERROR(OFFSET(ITEM_RES!$A$1,MATCH(AX495,ITEM_RES!$J:$J,0)-1,0),0)</f>
        <v>0</v>
      </c>
      <c r="BB495" s="11">
        <f ca="1">IFERROR(OFFSET(ITEM_RES!$A$1,MATCH(BC495,ITEM_RES!$J:$J,0)-1,0),0)</f>
        <v>0</v>
      </c>
      <c r="BG495" s="11">
        <f ca="1">IFERROR(OFFSET(ITEM_RES!$A$1,MATCH(BH495,ITEM_RES!$J:$J,0)-1,0),0)</f>
        <v>0</v>
      </c>
      <c r="BL495" s="11">
        <f ca="1">IFERROR(OFFSET(ITEM_RES!$A$1,MATCH(BM495,ITEM_RES!$J:$J,0)-1,0),0)</f>
        <v>0</v>
      </c>
    </row>
    <row r="496" spans="1:67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N496" s="9">
        <v>1</v>
      </c>
      <c r="O496" s="9">
        <v>15</v>
      </c>
      <c r="T496" s="9">
        <v>3333</v>
      </c>
      <c r="W496" s="9">
        <f ca="1">IFERROR(OFFSET(ITEM_RES!$A$5,MATCH(BUILDING!V496,ITEM_RES!$J$5:$J$226,0)-1,0),0)</f>
        <v>0</v>
      </c>
      <c r="Z496" s="9">
        <f ca="1">IFERROR(OFFSET(ITEM_RES!$A$5,MATCH(BUILDING!Y496,ITEM_RES!$J$5:$J$226,0)-1,0),0)</f>
        <v>0</v>
      </c>
      <c r="AB496" s="9" t="s">
        <v>387</v>
      </c>
      <c r="AC496" s="9">
        <v>12</v>
      </c>
      <c r="AE496" s="9">
        <v>24000</v>
      </c>
      <c r="AG496" s="56">
        <f t="shared" si="139"/>
        <v>4800</v>
      </c>
      <c r="AH496" s="10">
        <f t="shared" si="141"/>
        <v>8800</v>
      </c>
      <c r="AJ496" s="11">
        <f t="shared" si="138"/>
        <v>60</v>
      </c>
      <c r="AK496" s="10">
        <v>60</v>
      </c>
      <c r="AL496" s="11">
        <f t="shared" si="145"/>
        <v>300</v>
      </c>
      <c r="AM496" s="10">
        <v>300</v>
      </c>
      <c r="AN496" s="11">
        <f t="shared" si="145"/>
        <v>300</v>
      </c>
      <c r="AO496" s="10">
        <v>300</v>
      </c>
      <c r="AP496" s="56">
        <f t="shared" si="140"/>
        <v>1</v>
      </c>
      <c r="AR496" s="11">
        <f ca="1">IFERROR(OFFSET(ITEM_RES!$A$1,MATCH(AS496,ITEM_RES!$J:$J,0)-1,0),0)</f>
        <v>211020801</v>
      </c>
      <c r="AS496" s="10" t="s">
        <v>456</v>
      </c>
      <c r="AT496" s="11">
        <v>1500</v>
      </c>
      <c r="AW496" s="11">
        <f ca="1">IFERROR(OFFSET(ITEM_RES!$A$1,MATCH(AX496,ITEM_RES!$J:$J,0)-1,0),0)</f>
        <v>0</v>
      </c>
      <c r="BB496" s="11">
        <f ca="1">IFERROR(OFFSET(ITEM_RES!$A$1,MATCH(BC496,ITEM_RES!$J:$J,0)-1,0),0)</f>
        <v>0</v>
      </c>
      <c r="BG496" s="11">
        <f ca="1">IFERROR(OFFSET(ITEM_RES!$A$1,MATCH(BH496,ITEM_RES!$J:$J,0)-1,0),0)</f>
        <v>0</v>
      </c>
      <c r="BL496" s="11">
        <f ca="1">IFERROR(OFFSET(ITEM_RES!$A$1,MATCH(BM496,ITEM_RES!$J:$J,0)-1,0),0)</f>
        <v>0</v>
      </c>
    </row>
    <row r="497" spans="1:67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N497" s="9">
        <v>1</v>
      </c>
      <c r="O497" s="9">
        <v>15</v>
      </c>
      <c r="T497" s="9">
        <v>3333</v>
      </c>
      <c r="W497" s="9">
        <f ca="1">IFERROR(OFFSET(ITEM_RES!$A$5,MATCH(BUILDING!V497,ITEM_RES!$J$5:$J$226,0)-1,0),0)</f>
        <v>0</v>
      </c>
      <c r="Z497" s="9">
        <f ca="1">IFERROR(OFFSET(ITEM_RES!$A$5,MATCH(BUILDING!Y497,ITEM_RES!$J$5:$J$226,0)-1,0),0)</f>
        <v>0</v>
      </c>
      <c r="AB497" s="9" t="s">
        <v>387</v>
      </c>
      <c r="AC497" s="9">
        <v>13</v>
      </c>
      <c r="AE497" s="9">
        <v>28000</v>
      </c>
      <c r="AG497" s="56">
        <f t="shared" si="139"/>
        <v>5600</v>
      </c>
      <c r="AH497" s="10">
        <f t="shared" si="141"/>
        <v>10400</v>
      </c>
      <c r="AJ497" s="11">
        <f t="shared" si="138"/>
        <v>65</v>
      </c>
      <c r="AK497" s="10">
        <v>65</v>
      </c>
      <c r="AL497" s="11">
        <f t="shared" si="145"/>
        <v>350</v>
      </c>
      <c r="AM497" s="10">
        <v>350</v>
      </c>
      <c r="AN497" s="11">
        <f t="shared" si="145"/>
        <v>350</v>
      </c>
      <c r="AO497" s="10">
        <v>350</v>
      </c>
      <c r="AP497" s="56">
        <f t="shared" si="140"/>
        <v>1</v>
      </c>
      <c r="AR497" s="11">
        <f ca="1">IFERROR(OFFSET(ITEM_RES!$A$1,MATCH(AS497,ITEM_RES!$J:$J,0)-1,0),0)</f>
        <v>211020801</v>
      </c>
      <c r="AS497" s="10" t="s">
        <v>456</v>
      </c>
      <c r="AT497" s="11">
        <v>1750</v>
      </c>
      <c r="AW497" s="11">
        <f ca="1">IFERROR(OFFSET(ITEM_RES!$A$1,MATCH(AX497,ITEM_RES!$J:$J,0)-1,0),0)</f>
        <v>0</v>
      </c>
      <c r="BB497" s="11">
        <f ca="1">IFERROR(OFFSET(ITEM_RES!$A$1,MATCH(BC497,ITEM_RES!$J:$J,0)-1,0),0)</f>
        <v>0</v>
      </c>
      <c r="BG497" s="11">
        <f ca="1">IFERROR(OFFSET(ITEM_RES!$A$1,MATCH(BH497,ITEM_RES!$J:$J,0)-1,0),0)</f>
        <v>0</v>
      </c>
      <c r="BL497" s="11">
        <f ca="1">IFERROR(OFFSET(ITEM_RES!$A$1,MATCH(BM497,ITEM_RES!$J:$J,0)-1,0),0)</f>
        <v>0</v>
      </c>
    </row>
    <row r="498" spans="1:67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N498" s="9">
        <v>1</v>
      </c>
      <c r="O498" s="9">
        <v>15</v>
      </c>
      <c r="T498" s="9">
        <v>3333</v>
      </c>
      <c r="W498" s="9">
        <f ca="1">IFERROR(OFFSET(ITEM_RES!$A$5,MATCH(BUILDING!V498,ITEM_RES!$J$5:$J$226,0)-1,0),0)</f>
        <v>0</v>
      </c>
      <c r="Z498" s="9">
        <f ca="1">IFERROR(OFFSET(ITEM_RES!$A$5,MATCH(BUILDING!Y498,ITEM_RES!$J$5:$J$226,0)-1,0),0)</f>
        <v>0</v>
      </c>
      <c r="AB498" s="9" t="s">
        <v>387</v>
      </c>
      <c r="AC498" s="9">
        <v>14</v>
      </c>
      <c r="AE498" s="9">
        <v>36000</v>
      </c>
      <c r="AG498" s="56">
        <f t="shared" si="139"/>
        <v>7200</v>
      </c>
      <c r="AH498" s="10">
        <f t="shared" si="141"/>
        <v>12800</v>
      </c>
      <c r="AJ498" s="11">
        <f t="shared" si="138"/>
        <v>70</v>
      </c>
      <c r="AK498" s="10">
        <v>70</v>
      </c>
      <c r="AL498" s="11">
        <f t="shared" si="145"/>
        <v>450</v>
      </c>
      <c r="AM498" s="10">
        <v>450</v>
      </c>
      <c r="AN498" s="11">
        <f t="shared" si="145"/>
        <v>450</v>
      </c>
      <c r="AO498" s="10">
        <v>450</v>
      </c>
      <c r="AP498" s="56">
        <f t="shared" si="140"/>
        <v>1</v>
      </c>
      <c r="AR498" s="11">
        <f ca="1">IFERROR(OFFSET(ITEM_RES!$A$1,MATCH(AS498,ITEM_RES!$J:$J,0)-1,0),0)</f>
        <v>211020801</v>
      </c>
      <c r="AS498" s="10" t="s">
        <v>456</v>
      </c>
      <c r="AT498" s="11">
        <v>2250</v>
      </c>
      <c r="AW498" s="11">
        <f ca="1">IFERROR(OFFSET(ITEM_RES!$A$1,MATCH(AX498,ITEM_RES!$J:$J,0)-1,0),0)</f>
        <v>0</v>
      </c>
      <c r="BB498" s="11">
        <f ca="1">IFERROR(OFFSET(ITEM_RES!$A$1,MATCH(BC498,ITEM_RES!$J:$J,0)-1,0),0)</f>
        <v>0</v>
      </c>
      <c r="BG498" s="11">
        <f ca="1">IFERROR(OFFSET(ITEM_RES!$A$1,MATCH(BH498,ITEM_RES!$J:$J,0)-1,0),0)</f>
        <v>0</v>
      </c>
      <c r="BL498" s="11">
        <f ca="1">IFERROR(OFFSET(ITEM_RES!$A$1,MATCH(BM498,ITEM_RES!$J:$J,0)-1,0),0)</f>
        <v>0</v>
      </c>
    </row>
    <row r="499" spans="1:67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N499" s="9">
        <v>1</v>
      </c>
      <c r="O499" s="9">
        <v>15</v>
      </c>
      <c r="T499" s="9">
        <v>3333</v>
      </c>
      <c r="W499" s="9">
        <f ca="1">IFERROR(OFFSET(ITEM_RES!$A$5,MATCH(BUILDING!V499,ITEM_RES!$J$5:$J$226,0)-1,0),0)</f>
        <v>0</v>
      </c>
      <c r="Z499" s="9">
        <f ca="1">IFERROR(OFFSET(ITEM_RES!$A$5,MATCH(BUILDING!Y499,ITEM_RES!$J$5:$J$226,0)-1,0),0)</f>
        <v>0</v>
      </c>
      <c r="AB499" s="9" t="s">
        <v>387</v>
      </c>
      <c r="AC499" s="9">
        <v>15</v>
      </c>
      <c r="AE499" s="9">
        <v>44000</v>
      </c>
      <c r="AG499" s="56">
        <f t="shared" si="139"/>
        <v>8800</v>
      </c>
      <c r="AH499" s="10">
        <f t="shared" si="141"/>
        <v>16000</v>
      </c>
      <c r="AJ499" s="11">
        <f t="shared" si="138"/>
        <v>75</v>
      </c>
      <c r="AK499" s="10">
        <v>75</v>
      </c>
      <c r="AL499" s="11">
        <f t="shared" si="145"/>
        <v>550</v>
      </c>
      <c r="AM499" s="10">
        <v>550</v>
      </c>
      <c r="AN499" s="11">
        <f t="shared" si="145"/>
        <v>550</v>
      </c>
      <c r="AO499" s="10">
        <v>550</v>
      </c>
      <c r="AP499" s="56">
        <f t="shared" si="140"/>
        <v>1</v>
      </c>
      <c r="AR499" s="11">
        <f ca="1">IFERROR(OFFSET(ITEM_RES!$A$1,MATCH(AS499,ITEM_RES!$J:$J,0)-1,0),0)</f>
        <v>211020901</v>
      </c>
      <c r="AS499" s="10" t="s">
        <v>466</v>
      </c>
      <c r="AT499" s="11">
        <v>2750</v>
      </c>
      <c r="AW499" s="11">
        <f ca="1">IFERROR(OFFSET(ITEM_RES!$A$1,MATCH(AX499,ITEM_RES!$J:$J,0)-1,0),0)</f>
        <v>0</v>
      </c>
      <c r="BB499" s="11">
        <f ca="1">IFERROR(OFFSET(ITEM_RES!$A$1,MATCH(BC499,ITEM_RES!$J:$J,0)-1,0),0)</f>
        <v>0</v>
      </c>
      <c r="BG499" s="11">
        <f ca="1">IFERROR(OFFSET(ITEM_RES!$A$1,MATCH(BH499,ITEM_RES!$J:$J,0)-1,0),0)</f>
        <v>0</v>
      </c>
      <c r="BL499" s="11">
        <f ca="1">IFERROR(OFFSET(ITEM_RES!$A$1,MATCH(BM499,ITEM_RES!$J:$J,0)-1,0),0)</f>
        <v>0</v>
      </c>
    </row>
    <row r="500" spans="1:67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N500" s="9">
        <v>0</v>
      </c>
      <c r="O500" s="9">
        <v>15</v>
      </c>
      <c r="T500" s="9">
        <v>3333</v>
      </c>
      <c r="W500" s="9">
        <f ca="1">IFERROR(OFFSET(ITEM_RES!$A$5,MATCH(BUILDING!V500,ITEM_RES!$J$5:$J$226,0)-1,0),0)</f>
        <v>0</v>
      </c>
      <c r="Z500" s="9">
        <f ca="1">IFERROR(OFFSET(ITEM_RES!$A$5,MATCH(BUILDING!Y500,ITEM_RES!$J$5:$J$226,0)-1,0),0)</f>
        <v>0</v>
      </c>
      <c r="AB500" s="9" t="s">
        <v>387</v>
      </c>
      <c r="AC500" s="9">
        <v>16</v>
      </c>
      <c r="AE500" s="9">
        <v>56000</v>
      </c>
      <c r="AG500" s="56">
        <f t="shared" si="139"/>
        <v>11200</v>
      </c>
      <c r="AH500" s="10">
        <f t="shared" si="141"/>
        <v>20000</v>
      </c>
      <c r="AJ500" s="11">
        <f t="shared" si="138"/>
        <v>80</v>
      </c>
      <c r="AK500" s="10">
        <v>80</v>
      </c>
      <c r="AL500" s="11">
        <f t="shared" si="145"/>
        <v>700</v>
      </c>
      <c r="AM500" s="10">
        <v>700</v>
      </c>
      <c r="AN500" s="11">
        <f t="shared" si="145"/>
        <v>700</v>
      </c>
      <c r="AO500" s="10">
        <v>700</v>
      </c>
      <c r="AP500" s="56">
        <f t="shared" si="140"/>
        <v>1</v>
      </c>
      <c r="AR500" s="11">
        <f ca="1">IFERROR(OFFSET(ITEM_RES!$A$1,MATCH(AS500,ITEM_RES!$J:$J,0)-1,0),0)</f>
        <v>211020901</v>
      </c>
      <c r="AS500" s="10" t="s">
        <v>466</v>
      </c>
      <c r="AT500" s="11">
        <v>3500</v>
      </c>
      <c r="AW500" s="11">
        <f ca="1">IFERROR(OFFSET(ITEM_RES!$A$1,MATCH(AX500,ITEM_RES!$J:$J,0)-1,0),0)</f>
        <v>0</v>
      </c>
      <c r="BB500" s="11">
        <f ca="1">IFERROR(OFFSET(ITEM_RES!$A$1,MATCH(BC500,ITEM_RES!$J:$J,0)-1,0),0)</f>
        <v>0</v>
      </c>
      <c r="BG500" s="11">
        <f ca="1">IFERROR(OFFSET(ITEM_RES!$A$1,MATCH(BH500,ITEM_RES!$J:$J,0)-1,0),0)</f>
        <v>0</v>
      </c>
      <c r="BL500" s="11">
        <f ca="1">IFERROR(OFFSET(ITEM_RES!$A$1,MATCH(BM500,ITEM_RES!$J:$J,0)-1,0),0)</f>
        <v>0</v>
      </c>
    </row>
    <row r="501" spans="1:67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N501" s="9">
        <v>0</v>
      </c>
      <c r="O501" s="9">
        <v>15</v>
      </c>
      <c r="T501" s="9">
        <v>3333</v>
      </c>
      <c r="W501" s="9">
        <f ca="1">IFERROR(OFFSET(ITEM_RES!$A$5,MATCH(BUILDING!V501,ITEM_RES!$J$5:$J$226,0)-1,0),0)</f>
        <v>0</v>
      </c>
      <c r="Z501" s="9">
        <f ca="1">IFERROR(OFFSET(ITEM_RES!$A$5,MATCH(BUILDING!Y501,ITEM_RES!$J$5:$J$226,0)-1,0),0)</f>
        <v>0</v>
      </c>
      <c r="AB501" s="9" t="s">
        <v>387</v>
      </c>
      <c r="AC501" s="9">
        <v>17</v>
      </c>
      <c r="AE501" s="9">
        <v>68000</v>
      </c>
      <c r="AG501" s="56">
        <f t="shared" si="139"/>
        <v>13600</v>
      </c>
      <c r="AH501" s="10">
        <f t="shared" si="141"/>
        <v>24800</v>
      </c>
      <c r="AJ501" s="11">
        <f t="shared" si="138"/>
        <v>85</v>
      </c>
      <c r="AK501" s="10">
        <v>85</v>
      </c>
      <c r="AL501" s="11">
        <f t="shared" si="145"/>
        <v>850</v>
      </c>
      <c r="AM501" s="10">
        <v>850</v>
      </c>
      <c r="AN501" s="11">
        <f t="shared" si="145"/>
        <v>850</v>
      </c>
      <c r="AO501" s="10">
        <v>850</v>
      </c>
      <c r="AP501" s="56">
        <f t="shared" si="140"/>
        <v>1</v>
      </c>
      <c r="AR501" s="11">
        <f ca="1">IFERROR(OFFSET(ITEM_RES!$A$1,MATCH(AS501,ITEM_RES!$J:$J,0)-1,0),0)</f>
        <v>211020901</v>
      </c>
      <c r="AS501" s="10" t="s">
        <v>466</v>
      </c>
      <c r="AT501" s="11">
        <v>4250</v>
      </c>
      <c r="AW501" s="11">
        <f ca="1">IFERROR(OFFSET(ITEM_RES!$A$1,MATCH(AX501,ITEM_RES!$J:$J,0)-1,0),0)</f>
        <v>0</v>
      </c>
      <c r="BB501" s="11">
        <f ca="1">IFERROR(OFFSET(ITEM_RES!$A$1,MATCH(BC501,ITEM_RES!$J:$J,0)-1,0),0)</f>
        <v>0</v>
      </c>
      <c r="BG501" s="11">
        <f ca="1">IFERROR(OFFSET(ITEM_RES!$A$1,MATCH(BH501,ITEM_RES!$J:$J,0)-1,0),0)</f>
        <v>0</v>
      </c>
      <c r="BL501" s="11">
        <f ca="1">IFERROR(OFFSET(ITEM_RES!$A$1,MATCH(BM501,ITEM_RES!$J:$J,0)-1,0),0)</f>
        <v>0</v>
      </c>
    </row>
    <row r="502" spans="1:67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N502" s="9">
        <v>0</v>
      </c>
      <c r="O502" s="9">
        <v>15</v>
      </c>
      <c r="T502" s="9">
        <v>3333</v>
      </c>
      <c r="W502" s="9">
        <f ca="1">IFERROR(OFFSET(ITEM_RES!$A$5,MATCH(BUILDING!V502,ITEM_RES!$J$5:$J$226,0)-1,0),0)</f>
        <v>0</v>
      </c>
      <c r="Z502" s="9">
        <f ca="1">IFERROR(OFFSET(ITEM_RES!$A$5,MATCH(BUILDING!Y502,ITEM_RES!$J$5:$J$226,0)-1,0),0)</f>
        <v>0</v>
      </c>
      <c r="AB502" s="9" t="s">
        <v>387</v>
      </c>
      <c r="AC502" s="9">
        <v>18</v>
      </c>
      <c r="AE502" s="9">
        <v>84000</v>
      </c>
      <c r="AG502" s="56">
        <f t="shared" si="139"/>
        <v>16800</v>
      </c>
      <c r="AH502" s="10">
        <f t="shared" si="141"/>
        <v>30400</v>
      </c>
      <c r="AJ502" s="11">
        <f t="shared" si="138"/>
        <v>90</v>
      </c>
      <c r="AK502" s="10">
        <v>90</v>
      </c>
      <c r="AL502" s="11">
        <f t="shared" si="145"/>
        <v>1050</v>
      </c>
      <c r="AM502" s="10">
        <v>1050</v>
      </c>
      <c r="AN502" s="11">
        <f t="shared" si="145"/>
        <v>1050</v>
      </c>
      <c r="AO502" s="10">
        <v>1050</v>
      </c>
      <c r="AP502" s="56">
        <f t="shared" si="140"/>
        <v>1</v>
      </c>
      <c r="AR502" s="11">
        <f ca="1">IFERROR(OFFSET(ITEM_RES!$A$1,MATCH(AS502,ITEM_RES!$J:$J,0)-1,0),0)</f>
        <v>211020901</v>
      </c>
      <c r="AS502" s="10" t="s">
        <v>466</v>
      </c>
      <c r="AT502" s="11">
        <v>5250</v>
      </c>
      <c r="AW502" s="11">
        <f ca="1">IFERROR(OFFSET(ITEM_RES!$A$1,MATCH(AX502,ITEM_RES!$J:$J,0)-1,0),0)</f>
        <v>0</v>
      </c>
      <c r="BB502" s="11">
        <f ca="1">IFERROR(OFFSET(ITEM_RES!$A$1,MATCH(BC502,ITEM_RES!$J:$J,0)-1,0),0)</f>
        <v>0</v>
      </c>
      <c r="BG502" s="11">
        <f ca="1">IFERROR(OFFSET(ITEM_RES!$A$1,MATCH(BH502,ITEM_RES!$J:$J,0)-1,0),0)</f>
        <v>0</v>
      </c>
      <c r="BL502" s="11">
        <f ca="1">IFERROR(OFFSET(ITEM_RES!$A$1,MATCH(BM502,ITEM_RES!$J:$J,0)-1,0),0)</f>
        <v>0</v>
      </c>
    </row>
    <row r="503" spans="1:67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N503" s="9">
        <v>0</v>
      </c>
      <c r="O503" s="9">
        <v>15</v>
      </c>
      <c r="T503" s="9">
        <v>3333</v>
      </c>
      <c r="W503" s="9">
        <f ca="1">IFERROR(OFFSET(ITEM_RES!$A$5,MATCH(BUILDING!V503,ITEM_RES!$J$5:$J$226,0)-1,0),0)</f>
        <v>0</v>
      </c>
      <c r="Z503" s="9">
        <f ca="1">IFERROR(OFFSET(ITEM_RES!$A$5,MATCH(BUILDING!Y503,ITEM_RES!$J$5:$J$226,0)-1,0),0)</f>
        <v>0</v>
      </c>
      <c r="AB503" s="9" t="s">
        <v>387</v>
      </c>
      <c r="AC503" s="9">
        <v>19</v>
      </c>
      <c r="AE503" s="9">
        <v>100000</v>
      </c>
      <c r="AG503" s="56">
        <f t="shared" si="139"/>
        <v>20000</v>
      </c>
      <c r="AH503" s="10">
        <f t="shared" si="141"/>
        <v>36800</v>
      </c>
      <c r="AJ503" s="11">
        <f t="shared" si="138"/>
        <v>95</v>
      </c>
      <c r="AK503" s="10">
        <v>95</v>
      </c>
      <c r="AL503" s="11">
        <f t="shared" si="145"/>
        <v>1250</v>
      </c>
      <c r="AM503" s="10">
        <v>1250</v>
      </c>
      <c r="AN503" s="11">
        <f t="shared" si="145"/>
        <v>1250</v>
      </c>
      <c r="AO503" s="10">
        <v>1250</v>
      </c>
      <c r="AP503" s="56">
        <f t="shared" si="140"/>
        <v>1</v>
      </c>
      <c r="AR503" s="11">
        <f ca="1">IFERROR(OFFSET(ITEM_RES!$A$1,MATCH(AS503,ITEM_RES!$J:$J,0)-1,0),0)</f>
        <v>211020901</v>
      </c>
      <c r="AS503" s="10" t="s">
        <v>466</v>
      </c>
      <c r="AT503" s="11">
        <v>6250</v>
      </c>
      <c r="AW503" s="11">
        <f ca="1">IFERROR(OFFSET(ITEM_RES!$A$1,MATCH(AX503,ITEM_RES!$J:$J,0)-1,0),0)</f>
        <v>0</v>
      </c>
      <c r="BB503" s="11">
        <f ca="1">IFERROR(OFFSET(ITEM_RES!$A$1,MATCH(BC503,ITEM_RES!$J:$J,0)-1,0),0)</f>
        <v>0</v>
      </c>
      <c r="BG503" s="11">
        <f ca="1">IFERROR(OFFSET(ITEM_RES!$A$1,MATCH(BH503,ITEM_RES!$J:$J,0)-1,0),0)</f>
        <v>0</v>
      </c>
      <c r="BL503" s="11">
        <f ca="1">IFERROR(OFFSET(ITEM_RES!$A$1,MATCH(BM503,ITEM_RES!$J:$J,0)-1,0),0)</f>
        <v>0</v>
      </c>
    </row>
    <row r="504" spans="1:67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N504" s="9">
        <v>0</v>
      </c>
      <c r="O504" s="9">
        <v>15</v>
      </c>
      <c r="T504" s="9">
        <v>3333</v>
      </c>
      <c r="W504" s="9">
        <f ca="1">IFERROR(OFFSET(ITEM_RES!$A$5,MATCH(BUILDING!V504,ITEM_RES!$J$5:$J$226,0)-1,0),0)</f>
        <v>0</v>
      </c>
      <c r="Z504" s="9">
        <f ca="1">IFERROR(OFFSET(ITEM_RES!$A$5,MATCH(BUILDING!Y504,ITEM_RES!$J$5:$J$226,0)-1,0),0)</f>
        <v>0</v>
      </c>
      <c r="AB504" s="9" t="s">
        <v>387</v>
      </c>
      <c r="AC504" s="9">
        <v>20</v>
      </c>
      <c r="AE504" s="9">
        <v>120000</v>
      </c>
      <c r="AG504" s="56">
        <f t="shared" si="139"/>
        <v>24000</v>
      </c>
      <c r="AH504" s="10">
        <f t="shared" si="141"/>
        <v>44000</v>
      </c>
      <c r="AJ504" s="11">
        <f t="shared" si="138"/>
        <v>100</v>
      </c>
      <c r="AK504" s="10">
        <v>100</v>
      </c>
      <c r="AL504" s="11">
        <f t="shared" si="145"/>
        <v>1500</v>
      </c>
      <c r="AM504" s="10">
        <v>1500</v>
      </c>
      <c r="AN504" s="11">
        <f t="shared" si="145"/>
        <v>1500</v>
      </c>
      <c r="AO504" s="10">
        <v>1500</v>
      </c>
      <c r="AP504" s="56">
        <f t="shared" si="140"/>
        <v>1</v>
      </c>
      <c r="AR504" s="11">
        <f ca="1">IFERROR(OFFSET(ITEM_RES!$A$1,MATCH(AS504,ITEM_RES!$J:$J,0)-1,0),0)</f>
        <v>211020901</v>
      </c>
      <c r="AS504" s="10" t="s">
        <v>466</v>
      </c>
      <c r="AT504" s="11">
        <v>7500</v>
      </c>
      <c r="AW504" s="11">
        <f ca="1">IFERROR(OFFSET(ITEM_RES!$A$1,MATCH(AX504,ITEM_RES!$J:$J,0)-1,0),0)</f>
        <v>0</v>
      </c>
      <c r="BB504" s="11">
        <f ca="1">IFERROR(OFFSET(ITEM_RES!$A$1,MATCH(BC504,ITEM_RES!$J:$J,0)-1,0),0)</f>
        <v>0</v>
      </c>
      <c r="BG504" s="11">
        <f ca="1">IFERROR(OFFSET(ITEM_RES!$A$1,MATCH(BH504,ITEM_RES!$J:$J,0)-1,0),0)</f>
        <v>0</v>
      </c>
      <c r="BL504" s="11">
        <f ca="1">IFERROR(OFFSET(ITEM_RES!$A$1,MATCH(BM504,ITEM_RES!$J:$J,0)-1,0),0)</f>
        <v>0</v>
      </c>
    </row>
    <row r="505" spans="1:67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/>
      <c r="M505" s="16"/>
      <c r="N505" s="16">
        <v>1</v>
      </c>
      <c r="O505" s="16">
        <v>15</v>
      </c>
      <c r="P505" s="16"/>
      <c r="Q505" s="17"/>
      <c r="R505" s="17"/>
      <c r="S505" s="18"/>
      <c r="T505" s="16">
        <v>4444</v>
      </c>
      <c r="U505" s="79"/>
      <c r="V505" s="87"/>
      <c r="W505" s="16">
        <f ca="1">IFERROR(OFFSET(ITEM_RES!$A$5,MATCH(BUILDING!V505,ITEM_RES!$J$5:$J$226,0)-1,0),0)</f>
        <v>0</v>
      </c>
      <c r="X505" s="18"/>
      <c r="Y505" s="87"/>
      <c r="Z505" s="16">
        <f ca="1">IFERROR(OFFSET(ITEM_RES!$A$5,MATCH(BUILDING!Y505,ITEM_RES!$J$5:$J$226,0)-1,0),0)</f>
        <v>0</v>
      </c>
      <c r="AA505" s="79"/>
      <c r="AB505" s="16" t="s">
        <v>390</v>
      </c>
      <c r="AC505" s="16">
        <v>1</v>
      </c>
      <c r="AD505" s="79"/>
      <c r="AE505" s="16">
        <v>0</v>
      </c>
      <c r="AF505" s="79"/>
      <c r="AG505" s="57">
        <f t="shared" si="139"/>
        <v>1080</v>
      </c>
      <c r="AH505" s="17">
        <f>AG505</f>
        <v>1080</v>
      </c>
      <c r="AI505" s="79"/>
      <c r="AJ505" s="18">
        <f t="shared" si="138"/>
        <v>5</v>
      </c>
      <c r="AK505" s="17">
        <v>5</v>
      </c>
      <c r="AL505" s="18">
        <f t="shared" si="145"/>
        <v>5</v>
      </c>
      <c r="AM505" s="17">
        <v>5</v>
      </c>
      <c r="AN505" s="18">
        <f t="shared" si="145"/>
        <v>5</v>
      </c>
      <c r="AO505" s="17">
        <v>5</v>
      </c>
      <c r="AP505" s="57">
        <f t="shared" si="140"/>
        <v>3</v>
      </c>
      <c r="AQ505" s="18"/>
      <c r="AR505" s="18">
        <f ca="1">IFERROR(OFFSET(ITEM_RES!$A$1,MATCH(AS505,ITEM_RES!$J:$J,0)-1,0),0)</f>
        <v>211020801</v>
      </c>
      <c r="AS505" s="17" t="s">
        <v>453</v>
      </c>
      <c r="AT505" s="18">
        <v>25</v>
      </c>
      <c r="AU505" s="17"/>
      <c r="AV505" s="18"/>
      <c r="AW505" s="18">
        <f ca="1">IFERROR(OFFSET(ITEM_RES!$A$1,MATCH(AX505,ITEM_RES!$J:$J,0)-1,0),0)</f>
        <v>0</v>
      </c>
      <c r="AX505" s="17"/>
      <c r="AY505" s="18"/>
      <c r="AZ505" s="17"/>
      <c r="BA505" s="18"/>
      <c r="BB505" s="18">
        <f ca="1">IFERROR(OFFSET(ITEM_RES!$A$1,MATCH(BC505,ITEM_RES!$J:$J,0)-1,0),0)</f>
        <v>213010101</v>
      </c>
      <c r="BC505" s="17" t="s">
        <v>477</v>
      </c>
      <c r="BD505" s="18">
        <v>1</v>
      </c>
      <c r="BE505" s="17"/>
      <c r="BF505" s="18"/>
      <c r="BG505" s="18">
        <f ca="1">IFERROR(OFFSET(ITEM_RES!$A$1,MATCH(BH505,ITEM_RES!$J:$J,0)-1,0),0)</f>
        <v>213010201</v>
      </c>
      <c r="BH505" s="17" t="s">
        <v>499</v>
      </c>
      <c r="BI505" s="18">
        <v>1</v>
      </c>
      <c r="BJ505" s="17"/>
      <c r="BK505" s="18"/>
      <c r="BL505" s="18">
        <f ca="1">IFERROR(OFFSET(ITEM_RES!$A$1,MATCH(BM505,ITEM_RES!$J:$J,0)-1,0),0)</f>
        <v>0</v>
      </c>
      <c r="BM505" s="17"/>
      <c r="BN505" s="18"/>
      <c r="BO505" s="17"/>
    </row>
    <row r="506" spans="1:67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N506" s="9">
        <v>1</v>
      </c>
      <c r="O506" s="9">
        <v>15</v>
      </c>
      <c r="T506" s="9">
        <v>4444</v>
      </c>
      <c r="W506" s="9">
        <f ca="1">IFERROR(OFFSET(ITEM_RES!$A$5,MATCH(BUILDING!V506,ITEM_RES!$J$5:$J$226,0)-1,0),0)</f>
        <v>0</v>
      </c>
      <c r="Z506" s="9">
        <f ca="1">IFERROR(OFFSET(ITEM_RES!$A$5,MATCH(BUILDING!Y506,ITEM_RES!$J$5:$J$226,0)-1,0),0)</f>
        <v>0</v>
      </c>
      <c r="AB506" s="9" t="s">
        <v>389</v>
      </c>
      <c r="AC506" s="9">
        <v>2</v>
      </c>
      <c r="AE506" s="9">
        <v>200</v>
      </c>
      <c r="AG506" s="56">
        <f t="shared" si="139"/>
        <v>160</v>
      </c>
      <c r="AH506" s="10">
        <f>AG505+AG506</f>
        <v>1240</v>
      </c>
      <c r="AJ506" s="11">
        <f t="shared" si="138"/>
        <v>10</v>
      </c>
      <c r="AK506" s="10">
        <v>10</v>
      </c>
      <c r="AL506" s="11">
        <f t="shared" si="145"/>
        <v>10</v>
      </c>
      <c r="AM506" s="10">
        <v>10</v>
      </c>
      <c r="AN506" s="11">
        <f t="shared" si="145"/>
        <v>10</v>
      </c>
      <c r="AO506" s="10">
        <v>10</v>
      </c>
      <c r="AP506" s="56">
        <f t="shared" si="140"/>
        <v>1</v>
      </c>
      <c r="AR506" s="11">
        <f ca="1">IFERROR(OFFSET(ITEM_RES!$A$1,MATCH(AS506,ITEM_RES!$J:$J,0)-1,0),0)</f>
        <v>211020801</v>
      </c>
      <c r="AS506" s="10" t="s">
        <v>453</v>
      </c>
      <c r="AT506" s="11">
        <v>50</v>
      </c>
      <c r="AW506" s="11">
        <f ca="1">IFERROR(OFFSET(ITEM_RES!$A$1,MATCH(AX506,ITEM_RES!$J:$J,0)-1,0),0)</f>
        <v>0</v>
      </c>
      <c r="BB506" s="11">
        <f ca="1">IFERROR(OFFSET(ITEM_RES!$A$1,MATCH(BC506,ITEM_RES!$J:$J,0)-1,0),0)</f>
        <v>0</v>
      </c>
      <c r="BG506" s="11">
        <f ca="1">IFERROR(OFFSET(ITEM_RES!$A$1,MATCH(BH506,ITEM_RES!$J:$J,0)-1,0),0)</f>
        <v>0</v>
      </c>
      <c r="BL506" s="11">
        <f ca="1">IFERROR(OFFSET(ITEM_RES!$A$1,MATCH(BM506,ITEM_RES!$J:$J,0)-1,0),0)</f>
        <v>0</v>
      </c>
    </row>
    <row r="507" spans="1:67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N507" s="9">
        <v>1</v>
      </c>
      <c r="O507" s="9">
        <v>15</v>
      </c>
      <c r="T507" s="9">
        <v>4444</v>
      </c>
      <c r="W507" s="9">
        <f ca="1">IFERROR(OFFSET(ITEM_RES!$A$5,MATCH(BUILDING!V507,ITEM_RES!$J$5:$J$226,0)-1,0),0)</f>
        <v>0</v>
      </c>
      <c r="Z507" s="9">
        <f ca="1">IFERROR(OFFSET(ITEM_RES!$A$5,MATCH(BUILDING!Y507,ITEM_RES!$J$5:$J$226,0)-1,0),0)</f>
        <v>0</v>
      </c>
      <c r="AB507" s="9" t="s">
        <v>389</v>
      </c>
      <c r="AC507" s="9">
        <v>3</v>
      </c>
      <c r="AE507" s="9">
        <v>600</v>
      </c>
      <c r="AG507" s="56">
        <f t="shared" si="139"/>
        <v>240</v>
      </c>
      <c r="AH507" s="10">
        <f t="shared" ref="AH507:AH524" si="146">AG506+AG507</f>
        <v>400</v>
      </c>
      <c r="AJ507" s="11">
        <f t="shared" si="138"/>
        <v>15</v>
      </c>
      <c r="AK507" s="10">
        <v>15</v>
      </c>
      <c r="AL507" s="11">
        <f t="shared" si="145"/>
        <v>15</v>
      </c>
      <c r="AM507" s="10">
        <v>15</v>
      </c>
      <c r="AN507" s="11">
        <f t="shared" si="145"/>
        <v>15</v>
      </c>
      <c r="AO507" s="10">
        <v>15</v>
      </c>
      <c r="AP507" s="56">
        <f t="shared" si="140"/>
        <v>1</v>
      </c>
      <c r="AR507" s="11">
        <f ca="1">IFERROR(OFFSET(ITEM_RES!$A$1,MATCH(AS507,ITEM_RES!$J:$J,0)-1,0),0)</f>
        <v>211020801</v>
      </c>
      <c r="AS507" s="10" t="s">
        <v>453</v>
      </c>
      <c r="AT507" s="11">
        <v>75</v>
      </c>
      <c r="AW507" s="11">
        <f ca="1">IFERROR(OFFSET(ITEM_RES!$A$1,MATCH(AX507,ITEM_RES!$J:$J,0)-1,0),0)</f>
        <v>0</v>
      </c>
      <c r="BB507" s="11">
        <f ca="1">IFERROR(OFFSET(ITEM_RES!$A$1,MATCH(BC507,ITEM_RES!$J:$J,0)-1,0),0)</f>
        <v>0</v>
      </c>
      <c r="BG507" s="11">
        <f ca="1">IFERROR(OFFSET(ITEM_RES!$A$1,MATCH(BH507,ITEM_RES!$J:$J,0)-1,0),0)</f>
        <v>0</v>
      </c>
      <c r="BL507" s="11">
        <f ca="1">IFERROR(OFFSET(ITEM_RES!$A$1,MATCH(BM507,ITEM_RES!$J:$J,0)-1,0),0)</f>
        <v>0</v>
      </c>
    </row>
    <row r="508" spans="1:67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N508" s="9">
        <v>1</v>
      </c>
      <c r="O508" s="9">
        <v>15</v>
      </c>
      <c r="T508" s="9">
        <v>4444</v>
      </c>
      <c r="W508" s="9">
        <f ca="1">IFERROR(OFFSET(ITEM_RES!$A$5,MATCH(BUILDING!V508,ITEM_RES!$J$5:$J$226,0)-1,0),0)</f>
        <v>0</v>
      </c>
      <c r="Z508" s="9">
        <f ca="1">IFERROR(OFFSET(ITEM_RES!$A$5,MATCH(BUILDING!Y508,ITEM_RES!$J$5:$J$226,0)-1,0),0)</f>
        <v>0</v>
      </c>
      <c r="AB508" s="9" t="s">
        <v>389</v>
      </c>
      <c r="AC508" s="9">
        <v>4</v>
      </c>
      <c r="AE508" s="9">
        <v>1000</v>
      </c>
      <c r="AG508" s="56">
        <f t="shared" si="139"/>
        <v>400</v>
      </c>
      <c r="AH508" s="10">
        <f t="shared" si="146"/>
        <v>640</v>
      </c>
      <c r="AJ508" s="11">
        <f t="shared" si="138"/>
        <v>20</v>
      </c>
      <c r="AK508" s="10">
        <v>20</v>
      </c>
      <c r="AL508" s="11">
        <f t="shared" si="145"/>
        <v>25</v>
      </c>
      <c r="AM508" s="10">
        <v>25</v>
      </c>
      <c r="AN508" s="11">
        <f t="shared" si="145"/>
        <v>25</v>
      </c>
      <c r="AO508" s="10">
        <v>25</v>
      </c>
      <c r="AP508" s="56">
        <f t="shared" si="140"/>
        <v>1</v>
      </c>
      <c r="AR508" s="11">
        <f ca="1">IFERROR(OFFSET(ITEM_RES!$A$1,MATCH(AS508,ITEM_RES!$J:$J,0)-1,0),0)</f>
        <v>211020801</v>
      </c>
      <c r="AS508" s="10" t="s">
        <v>453</v>
      </c>
      <c r="AT508" s="11">
        <v>125</v>
      </c>
      <c r="AW508" s="11">
        <f ca="1">IFERROR(OFFSET(ITEM_RES!$A$1,MATCH(AX508,ITEM_RES!$J:$J,0)-1,0),0)</f>
        <v>0</v>
      </c>
      <c r="BB508" s="11">
        <f ca="1">IFERROR(OFFSET(ITEM_RES!$A$1,MATCH(BC508,ITEM_RES!$J:$J,0)-1,0),0)</f>
        <v>0</v>
      </c>
      <c r="BG508" s="11">
        <f ca="1">IFERROR(OFFSET(ITEM_RES!$A$1,MATCH(BH508,ITEM_RES!$J:$J,0)-1,0),0)</f>
        <v>0</v>
      </c>
      <c r="BL508" s="11">
        <f ca="1">IFERROR(OFFSET(ITEM_RES!$A$1,MATCH(BM508,ITEM_RES!$J:$J,0)-1,0),0)</f>
        <v>0</v>
      </c>
    </row>
    <row r="509" spans="1:67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N509" s="9">
        <v>1</v>
      </c>
      <c r="O509" s="9">
        <v>15</v>
      </c>
      <c r="T509" s="9">
        <v>4444</v>
      </c>
      <c r="W509" s="9">
        <f ca="1">IFERROR(OFFSET(ITEM_RES!$A$5,MATCH(BUILDING!V509,ITEM_RES!$J$5:$J$226,0)-1,0),0)</f>
        <v>0</v>
      </c>
      <c r="Z509" s="9">
        <f ca="1">IFERROR(OFFSET(ITEM_RES!$A$5,MATCH(BUILDING!Y509,ITEM_RES!$J$5:$J$226,0)-1,0),0)</f>
        <v>0</v>
      </c>
      <c r="AB509" s="9" t="s">
        <v>389</v>
      </c>
      <c r="AC509" s="9">
        <v>5</v>
      </c>
      <c r="AE509" s="9">
        <v>1600</v>
      </c>
      <c r="AG509" s="56">
        <f t="shared" si="139"/>
        <v>640</v>
      </c>
      <c r="AH509" s="10">
        <f t="shared" si="146"/>
        <v>1040</v>
      </c>
      <c r="AJ509" s="11">
        <f t="shared" si="138"/>
        <v>25</v>
      </c>
      <c r="AK509" s="10">
        <v>25</v>
      </c>
      <c r="AL509" s="11">
        <f t="shared" si="145"/>
        <v>40</v>
      </c>
      <c r="AM509" s="10">
        <v>40</v>
      </c>
      <c r="AN509" s="11">
        <f t="shared" si="145"/>
        <v>40</v>
      </c>
      <c r="AO509" s="10">
        <v>40</v>
      </c>
      <c r="AP509" s="56">
        <f t="shared" si="140"/>
        <v>1</v>
      </c>
      <c r="AR509" s="11">
        <f ca="1">IFERROR(OFFSET(ITEM_RES!$A$1,MATCH(AS509,ITEM_RES!$J:$J,0)-1,0),0)</f>
        <v>211020801</v>
      </c>
      <c r="AS509" s="10" t="s">
        <v>453</v>
      </c>
      <c r="AT509" s="11">
        <v>200</v>
      </c>
      <c r="AW509" s="11">
        <f ca="1">IFERROR(OFFSET(ITEM_RES!$A$1,MATCH(AX509,ITEM_RES!$J:$J,0)-1,0),0)</f>
        <v>0</v>
      </c>
      <c r="BB509" s="11">
        <f ca="1">IFERROR(OFFSET(ITEM_RES!$A$1,MATCH(BC509,ITEM_RES!$J:$J,0)-1,0),0)</f>
        <v>0</v>
      </c>
      <c r="BG509" s="11">
        <f ca="1">IFERROR(OFFSET(ITEM_RES!$A$1,MATCH(BH509,ITEM_RES!$J:$J,0)-1,0),0)</f>
        <v>0</v>
      </c>
      <c r="BL509" s="11">
        <f ca="1">IFERROR(OFFSET(ITEM_RES!$A$1,MATCH(BM509,ITEM_RES!$J:$J,0)-1,0),0)</f>
        <v>0</v>
      </c>
    </row>
    <row r="510" spans="1:67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N510" s="9">
        <v>1</v>
      </c>
      <c r="O510" s="9">
        <v>15</v>
      </c>
      <c r="T510" s="9">
        <v>4444</v>
      </c>
      <c r="W510" s="9">
        <f ca="1">IFERROR(OFFSET(ITEM_RES!$A$5,MATCH(BUILDING!V510,ITEM_RES!$J$5:$J$226,0)-1,0),0)</f>
        <v>0</v>
      </c>
      <c r="Z510" s="9">
        <f ca="1">IFERROR(OFFSET(ITEM_RES!$A$5,MATCH(BUILDING!Y510,ITEM_RES!$J$5:$J$226,0)-1,0),0)</f>
        <v>0</v>
      </c>
      <c r="AB510" s="9" t="s">
        <v>389</v>
      </c>
      <c r="AC510" s="9">
        <v>6</v>
      </c>
      <c r="AE510" s="9">
        <v>2000</v>
      </c>
      <c r="AG510" s="56">
        <f t="shared" si="139"/>
        <v>800</v>
      </c>
      <c r="AH510" s="10">
        <f t="shared" si="146"/>
        <v>1440</v>
      </c>
      <c r="AJ510" s="11">
        <f t="shared" si="138"/>
        <v>30</v>
      </c>
      <c r="AK510" s="10">
        <v>30</v>
      </c>
      <c r="AL510" s="11">
        <f t="shared" si="145"/>
        <v>50</v>
      </c>
      <c r="AM510" s="10">
        <v>50</v>
      </c>
      <c r="AN510" s="11">
        <f t="shared" si="145"/>
        <v>50</v>
      </c>
      <c r="AO510" s="10">
        <v>50</v>
      </c>
      <c r="AP510" s="56">
        <f t="shared" si="140"/>
        <v>1</v>
      </c>
      <c r="AR510" s="11">
        <f ca="1">IFERROR(OFFSET(ITEM_RES!$A$1,MATCH(AS510,ITEM_RES!$J:$J,0)-1,0),0)</f>
        <v>211020801</v>
      </c>
      <c r="AS510" s="10" t="s">
        <v>453</v>
      </c>
      <c r="AT510" s="11">
        <v>250</v>
      </c>
      <c r="AW510" s="11">
        <f ca="1">IFERROR(OFFSET(ITEM_RES!$A$1,MATCH(AX510,ITEM_RES!$J:$J,0)-1,0),0)</f>
        <v>0</v>
      </c>
      <c r="BB510" s="11">
        <f ca="1">IFERROR(OFFSET(ITEM_RES!$A$1,MATCH(BC510,ITEM_RES!$J:$J,0)-1,0),0)</f>
        <v>0</v>
      </c>
      <c r="BG510" s="11">
        <f ca="1">IFERROR(OFFSET(ITEM_RES!$A$1,MATCH(BH510,ITEM_RES!$J:$J,0)-1,0),0)</f>
        <v>0</v>
      </c>
      <c r="BL510" s="11">
        <f ca="1">IFERROR(OFFSET(ITEM_RES!$A$1,MATCH(BM510,ITEM_RES!$J:$J,0)-1,0),0)</f>
        <v>0</v>
      </c>
    </row>
    <row r="511" spans="1:67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N511" s="9">
        <v>1</v>
      </c>
      <c r="O511" s="9">
        <v>15</v>
      </c>
      <c r="T511" s="9">
        <v>4444</v>
      </c>
      <c r="W511" s="9">
        <f ca="1">IFERROR(OFFSET(ITEM_RES!$A$5,MATCH(BUILDING!V511,ITEM_RES!$J$5:$J$226,0)-1,0),0)</f>
        <v>0</v>
      </c>
      <c r="Z511" s="9">
        <f ca="1">IFERROR(OFFSET(ITEM_RES!$A$5,MATCH(BUILDING!Y511,ITEM_RES!$J$5:$J$226,0)-1,0),0)</f>
        <v>0</v>
      </c>
      <c r="AB511" s="9" t="s">
        <v>389</v>
      </c>
      <c r="AC511" s="9">
        <v>7</v>
      </c>
      <c r="AE511" s="9">
        <v>4000</v>
      </c>
      <c r="AG511" s="56">
        <f t="shared" si="139"/>
        <v>1600</v>
      </c>
      <c r="AH511" s="10">
        <f t="shared" si="146"/>
        <v>2400</v>
      </c>
      <c r="AJ511" s="11">
        <f t="shared" si="138"/>
        <v>35</v>
      </c>
      <c r="AK511" s="10">
        <v>35</v>
      </c>
      <c r="AL511" s="11">
        <f t="shared" si="145"/>
        <v>100</v>
      </c>
      <c r="AM511" s="10">
        <v>100</v>
      </c>
      <c r="AN511" s="11">
        <f t="shared" si="145"/>
        <v>100</v>
      </c>
      <c r="AO511" s="10">
        <v>100</v>
      </c>
      <c r="AP511" s="56">
        <f t="shared" si="140"/>
        <v>1</v>
      </c>
      <c r="AR511" s="11">
        <f ca="1">IFERROR(OFFSET(ITEM_RES!$A$1,MATCH(AS511,ITEM_RES!$J:$J,0)-1,0),0)</f>
        <v>211020801</v>
      </c>
      <c r="AS511" s="10" t="s">
        <v>453</v>
      </c>
      <c r="AT511" s="11">
        <v>500</v>
      </c>
      <c r="AW511" s="11">
        <f ca="1">IFERROR(OFFSET(ITEM_RES!$A$1,MATCH(AX511,ITEM_RES!$J:$J,0)-1,0),0)</f>
        <v>0</v>
      </c>
      <c r="BB511" s="11">
        <f ca="1">IFERROR(OFFSET(ITEM_RES!$A$1,MATCH(BC511,ITEM_RES!$J:$J,0)-1,0),0)</f>
        <v>0</v>
      </c>
      <c r="BG511" s="11">
        <f ca="1">IFERROR(OFFSET(ITEM_RES!$A$1,MATCH(BH511,ITEM_RES!$J:$J,0)-1,0),0)</f>
        <v>0</v>
      </c>
      <c r="BL511" s="11">
        <f ca="1">IFERROR(OFFSET(ITEM_RES!$A$1,MATCH(BM511,ITEM_RES!$J:$J,0)-1,0),0)</f>
        <v>0</v>
      </c>
    </row>
    <row r="512" spans="1:67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N512" s="9">
        <v>1</v>
      </c>
      <c r="O512" s="9">
        <v>15</v>
      </c>
      <c r="T512" s="9">
        <v>4444</v>
      </c>
      <c r="W512" s="9">
        <f ca="1">IFERROR(OFFSET(ITEM_RES!$A$5,MATCH(BUILDING!V512,ITEM_RES!$J$5:$J$226,0)-1,0),0)</f>
        <v>0</v>
      </c>
      <c r="Z512" s="9">
        <f ca="1">IFERROR(OFFSET(ITEM_RES!$A$5,MATCH(BUILDING!Y512,ITEM_RES!$J$5:$J$226,0)-1,0),0)</f>
        <v>0</v>
      </c>
      <c r="AB512" s="9" t="s">
        <v>389</v>
      </c>
      <c r="AC512" s="9">
        <v>8</v>
      </c>
      <c r="AE512" s="9">
        <v>4000</v>
      </c>
      <c r="AG512" s="56">
        <f t="shared" si="139"/>
        <v>2100</v>
      </c>
      <c r="AH512" s="10">
        <f t="shared" si="146"/>
        <v>3700</v>
      </c>
      <c r="AJ512" s="11">
        <f t="shared" si="138"/>
        <v>40</v>
      </c>
      <c r="AK512" s="10">
        <v>40</v>
      </c>
      <c r="AL512" s="11">
        <f t="shared" si="145"/>
        <v>100</v>
      </c>
      <c r="AM512" s="10">
        <v>100</v>
      </c>
      <c r="AN512" s="11">
        <f t="shared" si="145"/>
        <v>100</v>
      </c>
      <c r="AO512" s="10">
        <v>100</v>
      </c>
      <c r="AP512" s="56">
        <f t="shared" si="140"/>
        <v>2</v>
      </c>
      <c r="AR512" s="11">
        <f ca="1">IFERROR(OFFSET(ITEM_RES!$A$1,MATCH(AS512,ITEM_RES!$J:$J,0)-1,0),0)</f>
        <v>211020801</v>
      </c>
      <c r="AS512" s="10" t="s">
        <v>453</v>
      </c>
      <c r="AT512" s="11">
        <v>500</v>
      </c>
      <c r="AW512" s="11">
        <f ca="1">IFERROR(OFFSET(ITEM_RES!$A$1,MATCH(AX512,ITEM_RES!$J:$J,0)-1,0),0)</f>
        <v>0</v>
      </c>
      <c r="BB512" s="11">
        <f ca="1">IFERROR(OFFSET(ITEM_RES!$A$1,MATCH(BC512,ITEM_RES!$J:$J,0)-1,0),0)</f>
        <v>0</v>
      </c>
      <c r="BG512" s="11">
        <f ca="1">IFERROR(OFFSET(ITEM_RES!$A$1,MATCH(BH512,ITEM_RES!$J:$J,0)-1,0),0)</f>
        <v>213011701</v>
      </c>
      <c r="BH512" s="10" t="s">
        <v>504</v>
      </c>
      <c r="BI512" s="11">
        <v>1</v>
      </c>
      <c r="BL512" s="11">
        <f ca="1">IFERROR(OFFSET(ITEM_RES!$A$1,MATCH(BM512,ITEM_RES!$J:$J,0)-1,0),0)</f>
        <v>0</v>
      </c>
    </row>
    <row r="513" spans="1:67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N513" s="9">
        <v>1</v>
      </c>
      <c r="O513" s="9">
        <v>15</v>
      </c>
      <c r="T513" s="9">
        <v>4444</v>
      </c>
      <c r="W513" s="9">
        <f ca="1">IFERROR(OFFSET(ITEM_RES!$A$5,MATCH(BUILDING!V513,ITEM_RES!$J$5:$J$226,0)-1,0),0)</f>
        <v>0</v>
      </c>
      <c r="Z513" s="9">
        <f ca="1">IFERROR(OFFSET(ITEM_RES!$A$5,MATCH(BUILDING!Y513,ITEM_RES!$J$5:$J$226,0)-1,0),0)</f>
        <v>0</v>
      </c>
      <c r="AB513" s="9" t="s">
        <v>389</v>
      </c>
      <c r="AC513" s="9">
        <v>9</v>
      </c>
      <c r="AE513" s="9">
        <v>6000</v>
      </c>
      <c r="AG513" s="56">
        <f t="shared" si="139"/>
        <v>2400</v>
      </c>
      <c r="AH513" s="10">
        <f t="shared" si="146"/>
        <v>4500</v>
      </c>
      <c r="AJ513" s="11">
        <f t="shared" si="138"/>
        <v>45</v>
      </c>
      <c r="AK513" s="10">
        <v>45</v>
      </c>
      <c r="AL513" s="11">
        <f t="shared" si="145"/>
        <v>150</v>
      </c>
      <c r="AM513" s="10">
        <v>150</v>
      </c>
      <c r="AN513" s="11">
        <f t="shared" si="145"/>
        <v>150</v>
      </c>
      <c r="AO513" s="10">
        <v>150</v>
      </c>
      <c r="AP513" s="56">
        <f t="shared" si="140"/>
        <v>1</v>
      </c>
      <c r="AR513" s="11">
        <f ca="1">IFERROR(OFFSET(ITEM_RES!$A$1,MATCH(AS513,ITEM_RES!$J:$J,0)-1,0),0)</f>
        <v>211020801</v>
      </c>
      <c r="AS513" s="10" t="s">
        <v>453</v>
      </c>
      <c r="AT513" s="11">
        <v>750</v>
      </c>
      <c r="AW513" s="11">
        <f ca="1">IFERROR(OFFSET(ITEM_RES!$A$1,MATCH(AX513,ITEM_RES!$J:$J,0)-1,0),0)</f>
        <v>0</v>
      </c>
      <c r="BB513" s="11">
        <f ca="1">IFERROR(OFFSET(ITEM_RES!$A$1,MATCH(BC513,ITEM_RES!$J:$J,0)-1,0),0)</f>
        <v>0</v>
      </c>
      <c r="BG513" s="11">
        <f ca="1">IFERROR(OFFSET(ITEM_RES!$A$1,MATCH(BH513,ITEM_RES!$J:$J,0)-1,0),0)</f>
        <v>0</v>
      </c>
      <c r="BL513" s="11">
        <f ca="1">IFERROR(OFFSET(ITEM_RES!$A$1,MATCH(BM513,ITEM_RES!$J:$J,0)-1,0),0)</f>
        <v>0</v>
      </c>
    </row>
    <row r="514" spans="1:67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N514" s="9">
        <v>1</v>
      </c>
      <c r="O514" s="9">
        <v>15</v>
      </c>
      <c r="T514" s="9">
        <v>4444</v>
      </c>
      <c r="W514" s="9">
        <f ca="1">IFERROR(OFFSET(ITEM_RES!$A$5,MATCH(BUILDING!V514,ITEM_RES!$J$5:$J$226,0)-1,0),0)</f>
        <v>0</v>
      </c>
      <c r="Z514" s="9">
        <f ca="1">IFERROR(OFFSET(ITEM_RES!$A$5,MATCH(BUILDING!Y514,ITEM_RES!$J$5:$J$226,0)-1,0),0)</f>
        <v>0</v>
      </c>
      <c r="AB514" s="9" t="s">
        <v>389</v>
      </c>
      <c r="AC514" s="9">
        <v>10</v>
      </c>
      <c r="AE514" s="9">
        <v>8000</v>
      </c>
      <c r="AG514" s="56">
        <f t="shared" si="139"/>
        <v>3200</v>
      </c>
      <c r="AH514" s="10">
        <f t="shared" si="146"/>
        <v>5600</v>
      </c>
      <c r="AJ514" s="11">
        <f t="shared" si="138"/>
        <v>50</v>
      </c>
      <c r="AK514" s="10">
        <v>50</v>
      </c>
      <c r="AL514" s="11">
        <f t="shared" si="145"/>
        <v>200</v>
      </c>
      <c r="AM514" s="10">
        <v>200</v>
      </c>
      <c r="AN514" s="11">
        <f t="shared" si="145"/>
        <v>200</v>
      </c>
      <c r="AO514" s="10">
        <v>200</v>
      </c>
      <c r="AP514" s="56">
        <f t="shared" si="140"/>
        <v>1</v>
      </c>
      <c r="AR514" s="11">
        <f ca="1">IFERROR(OFFSET(ITEM_RES!$A$1,MATCH(AS514,ITEM_RES!$J:$J,0)-1,0),0)</f>
        <v>211020801</v>
      </c>
      <c r="AS514" s="10" t="s">
        <v>453</v>
      </c>
      <c r="AT514" s="11">
        <v>1000</v>
      </c>
      <c r="AW514" s="11">
        <f ca="1">IFERROR(OFFSET(ITEM_RES!$A$1,MATCH(AX514,ITEM_RES!$J:$J,0)-1,0),0)</f>
        <v>0</v>
      </c>
      <c r="BB514" s="11">
        <f ca="1">IFERROR(OFFSET(ITEM_RES!$A$1,MATCH(BC514,ITEM_RES!$J:$J,0)-1,0),0)</f>
        <v>0</v>
      </c>
      <c r="BG514" s="11">
        <f ca="1">IFERROR(OFFSET(ITEM_RES!$A$1,MATCH(BH514,ITEM_RES!$J:$J,0)-1,0),0)</f>
        <v>0</v>
      </c>
      <c r="BL514" s="11">
        <f ca="1">IFERROR(OFFSET(ITEM_RES!$A$1,MATCH(BM514,ITEM_RES!$J:$J,0)-1,0),0)</f>
        <v>0</v>
      </c>
    </row>
    <row r="515" spans="1:67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N515" s="9">
        <v>1</v>
      </c>
      <c r="O515" s="9">
        <v>15</v>
      </c>
      <c r="T515" s="9">
        <v>4444</v>
      </c>
      <c r="W515" s="9">
        <f ca="1">IFERROR(OFFSET(ITEM_RES!$A$5,MATCH(BUILDING!V515,ITEM_RES!$J$5:$J$226,0)-1,0),0)</f>
        <v>0</v>
      </c>
      <c r="Z515" s="9">
        <f ca="1">IFERROR(OFFSET(ITEM_RES!$A$5,MATCH(BUILDING!Y515,ITEM_RES!$J$5:$J$226,0)-1,0),0)</f>
        <v>0</v>
      </c>
      <c r="AB515" s="9" t="s">
        <v>389</v>
      </c>
      <c r="AC515" s="9">
        <v>11</v>
      </c>
      <c r="AE515" s="9">
        <v>10000</v>
      </c>
      <c r="AG515" s="56">
        <f t="shared" si="139"/>
        <v>4000</v>
      </c>
      <c r="AH515" s="10">
        <f t="shared" si="146"/>
        <v>7200</v>
      </c>
      <c r="AJ515" s="11">
        <f t="shared" si="138"/>
        <v>55</v>
      </c>
      <c r="AK515" s="10">
        <v>55</v>
      </c>
      <c r="AL515" s="11">
        <f t="shared" si="145"/>
        <v>250</v>
      </c>
      <c r="AM515" s="10">
        <v>250</v>
      </c>
      <c r="AN515" s="11">
        <f t="shared" si="145"/>
        <v>250</v>
      </c>
      <c r="AO515" s="10">
        <v>250</v>
      </c>
      <c r="AP515" s="56">
        <f t="shared" si="140"/>
        <v>1</v>
      </c>
      <c r="AR515" s="11">
        <f ca="1">IFERROR(OFFSET(ITEM_RES!$A$1,MATCH(AS515,ITEM_RES!$J:$J,0)-1,0),0)</f>
        <v>211020801</v>
      </c>
      <c r="AS515" s="10" t="s">
        <v>453</v>
      </c>
      <c r="AT515" s="11">
        <v>1250</v>
      </c>
      <c r="AW515" s="11">
        <f ca="1">IFERROR(OFFSET(ITEM_RES!$A$1,MATCH(AX515,ITEM_RES!$J:$J,0)-1,0),0)</f>
        <v>0</v>
      </c>
      <c r="BB515" s="11">
        <f ca="1">IFERROR(OFFSET(ITEM_RES!$A$1,MATCH(BC515,ITEM_RES!$J:$J,0)-1,0),0)</f>
        <v>0</v>
      </c>
      <c r="BG515" s="11">
        <f ca="1">IFERROR(OFFSET(ITEM_RES!$A$1,MATCH(BH515,ITEM_RES!$J:$J,0)-1,0),0)</f>
        <v>0</v>
      </c>
      <c r="BL515" s="11">
        <f ca="1">IFERROR(OFFSET(ITEM_RES!$A$1,MATCH(BM515,ITEM_RES!$J:$J,0)-1,0),0)</f>
        <v>0</v>
      </c>
    </row>
    <row r="516" spans="1:67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N516" s="9">
        <v>1</v>
      </c>
      <c r="O516" s="9">
        <v>15</v>
      </c>
      <c r="T516" s="9">
        <v>4444</v>
      </c>
      <c r="W516" s="9">
        <f ca="1">IFERROR(OFFSET(ITEM_RES!$A$5,MATCH(BUILDING!V516,ITEM_RES!$J$5:$J$226,0)-1,0),0)</f>
        <v>0</v>
      </c>
      <c r="Z516" s="9">
        <f ca="1">IFERROR(OFFSET(ITEM_RES!$A$5,MATCH(BUILDING!Y516,ITEM_RES!$J$5:$J$226,0)-1,0),0)</f>
        <v>0</v>
      </c>
      <c r="AB516" s="9" t="s">
        <v>389</v>
      </c>
      <c r="AC516" s="9">
        <v>12</v>
      </c>
      <c r="AE516" s="9">
        <v>12000</v>
      </c>
      <c r="AG516" s="56">
        <f t="shared" si="139"/>
        <v>4800</v>
      </c>
      <c r="AH516" s="10">
        <f t="shared" si="146"/>
        <v>8800</v>
      </c>
      <c r="AJ516" s="11">
        <f t="shared" si="138"/>
        <v>60</v>
      </c>
      <c r="AK516" s="10">
        <v>60</v>
      </c>
      <c r="AL516" s="11">
        <f t="shared" si="145"/>
        <v>300</v>
      </c>
      <c r="AM516" s="10">
        <v>300</v>
      </c>
      <c r="AN516" s="11">
        <f t="shared" si="145"/>
        <v>300</v>
      </c>
      <c r="AO516" s="10">
        <v>300</v>
      </c>
      <c r="AP516" s="56">
        <f t="shared" si="140"/>
        <v>1</v>
      </c>
      <c r="AR516" s="11">
        <f ca="1">IFERROR(OFFSET(ITEM_RES!$A$1,MATCH(AS516,ITEM_RES!$J:$J,0)-1,0),0)</f>
        <v>211020801</v>
      </c>
      <c r="AS516" s="10" t="s">
        <v>453</v>
      </c>
      <c r="AT516" s="11">
        <v>1500</v>
      </c>
      <c r="AW516" s="11">
        <f ca="1">IFERROR(OFFSET(ITEM_RES!$A$1,MATCH(AX516,ITEM_RES!$J:$J,0)-1,0),0)</f>
        <v>0</v>
      </c>
      <c r="BB516" s="11">
        <f ca="1">IFERROR(OFFSET(ITEM_RES!$A$1,MATCH(BC516,ITEM_RES!$J:$J,0)-1,0),0)</f>
        <v>0</v>
      </c>
      <c r="BG516" s="11">
        <f ca="1">IFERROR(OFFSET(ITEM_RES!$A$1,MATCH(BH516,ITEM_RES!$J:$J,0)-1,0),0)</f>
        <v>0</v>
      </c>
      <c r="BL516" s="11">
        <f ca="1">IFERROR(OFFSET(ITEM_RES!$A$1,MATCH(BM516,ITEM_RES!$J:$J,0)-1,0),0)</f>
        <v>0</v>
      </c>
    </row>
    <row r="517" spans="1:67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N517" s="9">
        <v>1</v>
      </c>
      <c r="O517" s="9">
        <v>15</v>
      </c>
      <c r="T517" s="9">
        <v>4444</v>
      </c>
      <c r="W517" s="9">
        <f ca="1">IFERROR(OFFSET(ITEM_RES!$A$5,MATCH(BUILDING!V517,ITEM_RES!$J$5:$J$226,0)-1,0),0)</f>
        <v>0</v>
      </c>
      <c r="Z517" s="9">
        <f ca="1">IFERROR(OFFSET(ITEM_RES!$A$5,MATCH(BUILDING!Y517,ITEM_RES!$J$5:$J$226,0)-1,0),0)</f>
        <v>0</v>
      </c>
      <c r="AB517" s="9" t="s">
        <v>389</v>
      </c>
      <c r="AC517" s="9">
        <v>13</v>
      </c>
      <c r="AE517" s="9">
        <v>14000</v>
      </c>
      <c r="AG517" s="56">
        <f t="shared" si="139"/>
        <v>5600</v>
      </c>
      <c r="AH517" s="10">
        <f t="shared" si="146"/>
        <v>10400</v>
      </c>
      <c r="AJ517" s="11">
        <f t="shared" si="138"/>
        <v>65</v>
      </c>
      <c r="AK517" s="10">
        <v>65</v>
      </c>
      <c r="AL517" s="11">
        <f t="shared" si="145"/>
        <v>350</v>
      </c>
      <c r="AM517" s="10">
        <v>350</v>
      </c>
      <c r="AN517" s="11">
        <f t="shared" si="145"/>
        <v>350</v>
      </c>
      <c r="AO517" s="10">
        <v>350</v>
      </c>
      <c r="AP517" s="56">
        <f t="shared" si="140"/>
        <v>1</v>
      </c>
      <c r="AR517" s="11">
        <f ca="1">IFERROR(OFFSET(ITEM_RES!$A$1,MATCH(AS517,ITEM_RES!$J:$J,0)-1,0),0)</f>
        <v>211020801</v>
      </c>
      <c r="AS517" s="10" t="s">
        <v>453</v>
      </c>
      <c r="AT517" s="11">
        <v>1750</v>
      </c>
      <c r="AW517" s="11">
        <f ca="1">IFERROR(OFFSET(ITEM_RES!$A$1,MATCH(AX517,ITEM_RES!$J:$J,0)-1,0),0)</f>
        <v>0</v>
      </c>
      <c r="BB517" s="11">
        <f ca="1">IFERROR(OFFSET(ITEM_RES!$A$1,MATCH(BC517,ITEM_RES!$J:$J,0)-1,0),0)</f>
        <v>0</v>
      </c>
      <c r="BG517" s="11">
        <f ca="1">IFERROR(OFFSET(ITEM_RES!$A$1,MATCH(BH517,ITEM_RES!$J:$J,0)-1,0),0)</f>
        <v>0</v>
      </c>
      <c r="BL517" s="11">
        <f ca="1">IFERROR(OFFSET(ITEM_RES!$A$1,MATCH(BM517,ITEM_RES!$J:$J,0)-1,0),0)</f>
        <v>0</v>
      </c>
    </row>
    <row r="518" spans="1:67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N518" s="9">
        <v>1</v>
      </c>
      <c r="O518" s="9">
        <v>15</v>
      </c>
      <c r="T518" s="9">
        <v>4444</v>
      </c>
      <c r="W518" s="9">
        <f ca="1">IFERROR(OFFSET(ITEM_RES!$A$5,MATCH(BUILDING!V518,ITEM_RES!$J$5:$J$226,0)-1,0),0)</f>
        <v>0</v>
      </c>
      <c r="Z518" s="9">
        <f ca="1">IFERROR(OFFSET(ITEM_RES!$A$5,MATCH(BUILDING!Y518,ITEM_RES!$J$5:$J$226,0)-1,0),0)</f>
        <v>0</v>
      </c>
      <c r="AB518" s="9" t="s">
        <v>389</v>
      </c>
      <c r="AC518" s="9">
        <v>14</v>
      </c>
      <c r="AE518" s="9">
        <v>18000</v>
      </c>
      <c r="AG518" s="56">
        <f t="shared" si="139"/>
        <v>7200</v>
      </c>
      <c r="AH518" s="10">
        <f t="shared" si="146"/>
        <v>12800</v>
      </c>
      <c r="AJ518" s="11">
        <f t="shared" si="138"/>
        <v>70</v>
      </c>
      <c r="AK518" s="10">
        <v>70</v>
      </c>
      <c r="AL518" s="11">
        <f t="shared" si="145"/>
        <v>450</v>
      </c>
      <c r="AM518" s="10">
        <v>450</v>
      </c>
      <c r="AN518" s="11">
        <f t="shared" si="145"/>
        <v>450</v>
      </c>
      <c r="AO518" s="10">
        <v>450</v>
      </c>
      <c r="AP518" s="56">
        <f t="shared" si="140"/>
        <v>1</v>
      </c>
      <c r="AR518" s="11">
        <f ca="1">IFERROR(OFFSET(ITEM_RES!$A$1,MATCH(AS518,ITEM_RES!$J:$J,0)-1,0),0)</f>
        <v>211020901</v>
      </c>
      <c r="AS518" s="10" t="s">
        <v>466</v>
      </c>
      <c r="AT518" s="11">
        <v>2250</v>
      </c>
      <c r="AW518" s="11">
        <f ca="1">IFERROR(OFFSET(ITEM_RES!$A$1,MATCH(AX518,ITEM_RES!$J:$J,0)-1,0),0)</f>
        <v>0</v>
      </c>
      <c r="BB518" s="11">
        <f ca="1">IFERROR(OFFSET(ITEM_RES!$A$1,MATCH(BC518,ITEM_RES!$J:$J,0)-1,0),0)</f>
        <v>0</v>
      </c>
      <c r="BG518" s="11">
        <f ca="1">IFERROR(OFFSET(ITEM_RES!$A$1,MATCH(BH518,ITEM_RES!$J:$J,0)-1,0),0)</f>
        <v>0</v>
      </c>
      <c r="BL518" s="11">
        <f ca="1">IFERROR(OFFSET(ITEM_RES!$A$1,MATCH(BM518,ITEM_RES!$J:$J,0)-1,0),0)</f>
        <v>0</v>
      </c>
    </row>
    <row r="519" spans="1:67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N519" s="9">
        <v>1</v>
      </c>
      <c r="O519" s="9">
        <v>15</v>
      </c>
      <c r="T519" s="9">
        <v>4444</v>
      </c>
      <c r="W519" s="9">
        <f ca="1">IFERROR(OFFSET(ITEM_RES!$A$5,MATCH(BUILDING!V519,ITEM_RES!$J$5:$J$226,0)-1,0),0)</f>
        <v>0</v>
      </c>
      <c r="Z519" s="9">
        <f ca="1">IFERROR(OFFSET(ITEM_RES!$A$5,MATCH(BUILDING!Y519,ITEM_RES!$J$5:$J$226,0)-1,0),0)</f>
        <v>0</v>
      </c>
      <c r="AB519" s="9" t="s">
        <v>389</v>
      </c>
      <c r="AC519" s="9">
        <v>15</v>
      </c>
      <c r="AE519" s="9">
        <v>22000</v>
      </c>
      <c r="AG519" s="56">
        <f t="shared" si="139"/>
        <v>8800</v>
      </c>
      <c r="AH519" s="10">
        <f t="shared" si="146"/>
        <v>16000</v>
      </c>
      <c r="AJ519" s="11">
        <f t="shared" si="138"/>
        <v>75</v>
      </c>
      <c r="AK519" s="10">
        <v>75</v>
      </c>
      <c r="AL519" s="11">
        <f t="shared" si="145"/>
        <v>550</v>
      </c>
      <c r="AM519" s="10">
        <v>550</v>
      </c>
      <c r="AN519" s="11">
        <f t="shared" si="145"/>
        <v>550</v>
      </c>
      <c r="AO519" s="10">
        <v>550</v>
      </c>
      <c r="AP519" s="56">
        <f t="shared" si="140"/>
        <v>1</v>
      </c>
      <c r="AR519" s="11">
        <f ca="1">IFERROR(OFFSET(ITEM_RES!$A$1,MATCH(AS519,ITEM_RES!$J:$J,0)-1,0),0)</f>
        <v>211020901</v>
      </c>
      <c r="AS519" s="10" t="s">
        <v>466</v>
      </c>
      <c r="AT519" s="11">
        <v>2750</v>
      </c>
      <c r="AW519" s="11">
        <f ca="1">IFERROR(OFFSET(ITEM_RES!$A$1,MATCH(AX519,ITEM_RES!$J:$J,0)-1,0),0)</f>
        <v>0</v>
      </c>
      <c r="BB519" s="11">
        <f ca="1">IFERROR(OFFSET(ITEM_RES!$A$1,MATCH(BC519,ITEM_RES!$J:$J,0)-1,0),0)</f>
        <v>0</v>
      </c>
      <c r="BG519" s="11">
        <f ca="1">IFERROR(OFFSET(ITEM_RES!$A$1,MATCH(BH519,ITEM_RES!$J:$J,0)-1,0),0)</f>
        <v>0</v>
      </c>
      <c r="BL519" s="11">
        <f ca="1">IFERROR(OFFSET(ITEM_RES!$A$1,MATCH(BM519,ITEM_RES!$J:$J,0)-1,0),0)</f>
        <v>0</v>
      </c>
    </row>
    <row r="520" spans="1:67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N520" s="9">
        <v>0</v>
      </c>
      <c r="O520" s="9">
        <v>15</v>
      </c>
      <c r="T520" s="9">
        <v>4444</v>
      </c>
      <c r="W520" s="9">
        <f ca="1">IFERROR(OFFSET(ITEM_RES!$A$5,MATCH(BUILDING!V520,ITEM_RES!$J$5:$J$226,0)-1,0),0)</f>
        <v>0</v>
      </c>
      <c r="Z520" s="9">
        <f ca="1">IFERROR(OFFSET(ITEM_RES!$A$5,MATCH(BUILDING!Y520,ITEM_RES!$J$5:$J$226,0)-1,0),0)</f>
        <v>0</v>
      </c>
      <c r="AB520" s="9" t="s">
        <v>389</v>
      </c>
      <c r="AC520" s="9">
        <v>16</v>
      </c>
      <c r="AE520" s="9">
        <v>28000</v>
      </c>
      <c r="AG520" s="56">
        <f t="shared" si="139"/>
        <v>11200</v>
      </c>
      <c r="AH520" s="10">
        <f t="shared" si="146"/>
        <v>20000</v>
      </c>
      <c r="AJ520" s="11">
        <f t="shared" si="138"/>
        <v>80</v>
      </c>
      <c r="AK520" s="10">
        <v>80</v>
      </c>
      <c r="AL520" s="11">
        <f t="shared" si="145"/>
        <v>700</v>
      </c>
      <c r="AM520" s="10">
        <v>700</v>
      </c>
      <c r="AN520" s="11">
        <f t="shared" si="145"/>
        <v>700</v>
      </c>
      <c r="AO520" s="10">
        <v>700</v>
      </c>
      <c r="AP520" s="56">
        <f t="shared" si="140"/>
        <v>1</v>
      </c>
      <c r="AR520" s="11">
        <f ca="1">IFERROR(OFFSET(ITEM_RES!$A$1,MATCH(AS520,ITEM_RES!$J:$J,0)-1,0),0)</f>
        <v>211020901</v>
      </c>
      <c r="AS520" s="10" t="s">
        <v>466</v>
      </c>
      <c r="AT520" s="11">
        <v>3500</v>
      </c>
      <c r="AW520" s="11">
        <f ca="1">IFERROR(OFFSET(ITEM_RES!$A$1,MATCH(AX520,ITEM_RES!$J:$J,0)-1,0),0)</f>
        <v>0</v>
      </c>
      <c r="BB520" s="11">
        <f ca="1">IFERROR(OFFSET(ITEM_RES!$A$1,MATCH(BC520,ITEM_RES!$J:$J,0)-1,0),0)</f>
        <v>0</v>
      </c>
      <c r="BG520" s="11">
        <f ca="1">IFERROR(OFFSET(ITEM_RES!$A$1,MATCH(BH520,ITEM_RES!$J:$J,0)-1,0),0)</f>
        <v>0</v>
      </c>
      <c r="BL520" s="11">
        <f ca="1">IFERROR(OFFSET(ITEM_RES!$A$1,MATCH(BM520,ITEM_RES!$J:$J,0)-1,0),0)</f>
        <v>0</v>
      </c>
    </row>
    <row r="521" spans="1:67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N521" s="9">
        <v>0</v>
      </c>
      <c r="O521" s="9">
        <v>15</v>
      </c>
      <c r="T521" s="9">
        <v>4444</v>
      </c>
      <c r="W521" s="9">
        <f ca="1">IFERROR(OFFSET(ITEM_RES!$A$5,MATCH(BUILDING!V521,ITEM_RES!$J$5:$J$226,0)-1,0),0)</f>
        <v>0</v>
      </c>
      <c r="Z521" s="9">
        <f ca="1">IFERROR(OFFSET(ITEM_RES!$A$5,MATCH(BUILDING!Y521,ITEM_RES!$J$5:$J$226,0)-1,0),0)</f>
        <v>0</v>
      </c>
      <c r="AB521" s="9" t="s">
        <v>389</v>
      </c>
      <c r="AC521" s="9">
        <v>17</v>
      </c>
      <c r="AE521" s="9">
        <v>34000</v>
      </c>
      <c r="AG521" s="56">
        <f t="shared" si="139"/>
        <v>13600</v>
      </c>
      <c r="AH521" s="10">
        <f t="shared" si="146"/>
        <v>24800</v>
      </c>
      <c r="AJ521" s="11">
        <f t="shared" si="138"/>
        <v>85</v>
      </c>
      <c r="AK521" s="10">
        <v>85</v>
      </c>
      <c r="AL521" s="11">
        <f t="shared" si="145"/>
        <v>850</v>
      </c>
      <c r="AM521" s="10">
        <v>850</v>
      </c>
      <c r="AN521" s="11">
        <f t="shared" si="145"/>
        <v>850</v>
      </c>
      <c r="AO521" s="10">
        <v>850</v>
      </c>
      <c r="AP521" s="56">
        <f t="shared" si="140"/>
        <v>1</v>
      </c>
      <c r="AR521" s="11">
        <f ca="1">IFERROR(OFFSET(ITEM_RES!$A$1,MATCH(AS521,ITEM_RES!$J:$J,0)-1,0),0)</f>
        <v>211020901</v>
      </c>
      <c r="AS521" s="10" t="s">
        <v>466</v>
      </c>
      <c r="AT521" s="11">
        <v>4250</v>
      </c>
      <c r="AW521" s="11">
        <f ca="1">IFERROR(OFFSET(ITEM_RES!$A$1,MATCH(AX521,ITEM_RES!$J:$J,0)-1,0),0)</f>
        <v>0</v>
      </c>
      <c r="BB521" s="11">
        <f ca="1">IFERROR(OFFSET(ITEM_RES!$A$1,MATCH(BC521,ITEM_RES!$J:$J,0)-1,0),0)</f>
        <v>0</v>
      </c>
      <c r="BG521" s="11">
        <f ca="1">IFERROR(OFFSET(ITEM_RES!$A$1,MATCH(BH521,ITEM_RES!$J:$J,0)-1,0),0)</f>
        <v>0</v>
      </c>
      <c r="BL521" s="11">
        <f ca="1">IFERROR(OFFSET(ITEM_RES!$A$1,MATCH(BM521,ITEM_RES!$J:$J,0)-1,0),0)</f>
        <v>0</v>
      </c>
    </row>
    <row r="522" spans="1:67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N522" s="9">
        <v>0</v>
      </c>
      <c r="O522" s="9">
        <v>15</v>
      </c>
      <c r="T522" s="9">
        <v>4444</v>
      </c>
      <c r="W522" s="9">
        <f ca="1">IFERROR(OFFSET(ITEM_RES!$A$5,MATCH(BUILDING!V522,ITEM_RES!$J$5:$J$226,0)-1,0),0)</f>
        <v>0</v>
      </c>
      <c r="Z522" s="9">
        <f ca="1">IFERROR(OFFSET(ITEM_RES!$A$5,MATCH(BUILDING!Y522,ITEM_RES!$J$5:$J$226,0)-1,0),0)</f>
        <v>0</v>
      </c>
      <c r="AB522" s="9" t="s">
        <v>389</v>
      </c>
      <c r="AC522" s="9">
        <v>18</v>
      </c>
      <c r="AE522" s="9">
        <v>42000</v>
      </c>
      <c r="AG522" s="56">
        <f t="shared" si="139"/>
        <v>16800</v>
      </c>
      <c r="AH522" s="10">
        <f t="shared" si="146"/>
        <v>30400</v>
      </c>
      <c r="AJ522" s="11">
        <f t="shared" si="138"/>
        <v>90</v>
      </c>
      <c r="AK522" s="10">
        <v>90</v>
      </c>
      <c r="AL522" s="11">
        <f t="shared" si="145"/>
        <v>1050</v>
      </c>
      <c r="AM522" s="10">
        <v>1050</v>
      </c>
      <c r="AN522" s="11">
        <f t="shared" si="145"/>
        <v>1050</v>
      </c>
      <c r="AO522" s="10">
        <v>1050</v>
      </c>
      <c r="AP522" s="56">
        <f t="shared" si="140"/>
        <v>1</v>
      </c>
      <c r="AR522" s="11">
        <f ca="1">IFERROR(OFFSET(ITEM_RES!$A$1,MATCH(AS522,ITEM_RES!$J:$J,0)-1,0),0)</f>
        <v>211020901</v>
      </c>
      <c r="AS522" s="10" t="s">
        <v>466</v>
      </c>
      <c r="AT522" s="11">
        <v>5250</v>
      </c>
      <c r="AW522" s="11">
        <f ca="1">IFERROR(OFFSET(ITEM_RES!$A$1,MATCH(AX522,ITEM_RES!$J:$J,0)-1,0),0)</f>
        <v>0</v>
      </c>
      <c r="BB522" s="11">
        <f ca="1">IFERROR(OFFSET(ITEM_RES!$A$1,MATCH(BC522,ITEM_RES!$J:$J,0)-1,0),0)</f>
        <v>0</v>
      </c>
      <c r="BG522" s="11">
        <f ca="1">IFERROR(OFFSET(ITEM_RES!$A$1,MATCH(BH522,ITEM_RES!$J:$J,0)-1,0),0)</f>
        <v>0</v>
      </c>
      <c r="BL522" s="11">
        <f ca="1">IFERROR(OFFSET(ITEM_RES!$A$1,MATCH(BM522,ITEM_RES!$J:$J,0)-1,0),0)</f>
        <v>0</v>
      </c>
    </row>
    <row r="523" spans="1:67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N523" s="9">
        <v>0</v>
      </c>
      <c r="O523" s="9">
        <v>15</v>
      </c>
      <c r="T523" s="9">
        <v>4444</v>
      </c>
      <c r="W523" s="9">
        <f ca="1">IFERROR(OFFSET(ITEM_RES!$A$5,MATCH(BUILDING!V523,ITEM_RES!$J$5:$J$226,0)-1,0),0)</f>
        <v>0</v>
      </c>
      <c r="Z523" s="9">
        <f ca="1">IFERROR(OFFSET(ITEM_RES!$A$5,MATCH(BUILDING!Y523,ITEM_RES!$J$5:$J$226,0)-1,0),0)</f>
        <v>0</v>
      </c>
      <c r="AB523" s="9" t="s">
        <v>389</v>
      </c>
      <c r="AC523" s="9">
        <v>19</v>
      </c>
      <c r="AE523" s="9">
        <v>50000</v>
      </c>
      <c r="AG523" s="56">
        <f t="shared" si="139"/>
        <v>20000</v>
      </c>
      <c r="AH523" s="10">
        <f t="shared" si="146"/>
        <v>36800</v>
      </c>
      <c r="AJ523" s="11">
        <f t="shared" si="138"/>
        <v>95</v>
      </c>
      <c r="AK523" s="10">
        <v>95</v>
      </c>
      <c r="AL523" s="11">
        <f t="shared" si="145"/>
        <v>1250</v>
      </c>
      <c r="AM523" s="10">
        <v>1250</v>
      </c>
      <c r="AN523" s="11">
        <f t="shared" si="145"/>
        <v>1250</v>
      </c>
      <c r="AO523" s="10">
        <v>1250</v>
      </c>
      <c r="AP523" s="56">
        <f t="shared" si="140"/>
        <v>1</v>
      </c>
      <c r="AR523" s="11">
        <f ca="1">IFERROR(OFFSET(ITEM_RES!$A$1,MATCH(AS523,ITEM_RES!$J:$J,0)-1,0),0)</f>
        <v>211020901</v>
      </c>
      <c r="AS523" s="10" t="s">
        <v>466</v>
      </c>
      <c r="AT523" s="11">
        <v>6250</v>
      </c>
      <c r="AW523" s="11">
        <f ca="1">IFERROR(OFFSET(ITEM_RES!$A$1,MATCH(AX523,ITEM_RES!$J:$J,0)-1,0),0)</f>
        <v>0</v>
      </c>
      <c r="BB523" s="11">
        <f ca="1">IFERROR(OFFSET(ITEM_RES!$A$1,MATCH(BC523,ITEM_RES!$J:$J,0)-1,0),0)</f>
        <v>0</v>
      </c>
      <c r="BG523" s="11">
        <f ca="1">IFERROR(OFFSET(ITEM_RES!$A$1,MATCH(BH523,ITEM_RES!$J:$J,0)-1,0),0)</f>
        <v>0</v>
      </c>
      <c r="BL523" s="11">
        <f ca="1">IFERROR(OFFSET(ITEM_RES!$A$1,MATCH(BM523,ITEM_RES!$J:$J,0)-1,0),0)</f>
        <v>0</v>
      </c>
    </row>
    <row r="524" spans="1:67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N524" s="9">
        <v>0</v>
      </c>
      <c r="O524" s="9">
        <v>15</v>
      </c>
      <c r="T524" s="9">
        <v>4444</v>
      </c>
      <c r="W524" s="9">
        <f ca="1">IFERROR(OFFSET(ITEM_RES!$A$5,MATCH(BUILDING!V524,ITEM_RES!$J$5:$J$226,0)-1,0),0)</f>
        <v>0</v>
      </c>
      <c r="Z524" s="9">
        <f ca="1">IFERROR(OFFSET(ITEM_RES!$A$5,MATCH(BUILDING!Y524,ITEM_RES!$J$5:$J$226,0)-1,0),0)</f>
        <v>0</v>
      </c>
      <c r="AB524" s="9" t="s">
        <v>389</v>
      </c>
      <c r="AC524" s="9">
        <v>20</v>
      </c>
      <c r="AE524" s="9">
        <v>60000</v>
      </c>
      <c r="AG524" s="56">
        <f t="shared" si="139"/>
        <v>24000</v>
      </c>
      <c r="AH524" s="10">
        <f t="shared" si="146"/>
        <v>44000</v>
      </c>
      <c r="AJ524" s="11">
        <f t="shared" si="138"/>
        <v>100</v>
      </c>
      <c r="AK524" s="10">
        <v>100</v>
      </c>
      <c r="AL524" s="11">
        <f t="shared" si="145"/>
        <v>1500</v>
      </c>
      <c r="AM524" s="10">
        <v>1500</v>
      </c>
      <c r="AN524" s="11">
        <f t="shared" si="145"/>
        <v>1500</v>
      </c>
      <c r="AO524" s="10">
        <v>1500</v>
      </c>
      <c r="AP524" s="56">
        <f t="shared" si="140"/>
        <v>1</v>
      </c>
      <c r="AR524" s="11">
        <f ca="1">IFERROR(OFFSET(ITEM_RES!$A$1,MATCH(AS524,ITEM_RES!$J:$J,0)-1,0),0)</f>
        <v>211020901</v>
      </c>
      <c r="AS524" s="10" t="s">
        <v>466</v>
      </c>
      <c r="AT524" s="11">
        <v>7500</v>
      </c>
      <c r="AW524" s="11">
        <f ca="1">IFERROR(OFFSET(ITEM_RES!$A$1,MATCH(AX524,ITEM_RES!$J:$J,0)-1,0),0)</f>
        <v>0</v>
      </c>
      <c r="BB524" s="11">
        <f ca="1">IFERROR(OFFSET(ITEM_RES!$A$1,MATCH(BC524,ITEM_RES!$J:$J,0)-1,0),0)</f>
        <v>0</v>
      </c>
      <c r="BG524" s="11">
        <f ca="1">IFERROR(OFFSET(ITEM_RES!$A$1,MATCH(BH524,ITEM_RES!$J:$J,0)-1,0),0)</f>
        <v>0</v>
      </c>
      <c r="BL524" s="11">
        <f ca="1">IFERROR(OFFSET(ITEM_RES!$A$1,MATCH(BM524,ITEM_RES!$J:$J,0)-1,0),0)</f>
        <v>0</v>
      </c>
    </row>
    <row r="525" spans="1:67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/>
      <c r="M525" s="16"/>
      <c r="N525" s="16">
        <v>1</v>
      </c>
      <c r="O525" s="16">
        <v>15</v>
      </c>
      <c r="P525" s="16"/>
      <c r="Q525" s="17"/>
      <c r="R525" s="17"/>
      <c r="S525" s="18"/>
      <c r="T525" s="16">
        <v>5555</v>
      </c>
      <c r="U525" s="79"/>
      <c r="V525" s="87"/>
      <c r="W525" s="16">
        <f ca="1">IFERROR(OFFSET(ITEM_RES!$A$5,MATCH(BUILDING!V525,ITEM_RES!$J$5:$J$226,0)-1,0),0)</f>
        <v>0</v>
      </c>
      <c r="X525" s="18"/>
      <c r="Y525" s="87"/>
      <c r="Z525" s="16">
        <f ca="1">IFERROR(OFFSET(ITEM_RES!$A$5,MATCH(BUILDING!Y525,ITEM_RES!$J$5:$J$226,0)-1,0),0)</f>
        <v>0</v>
      </c>
      <c r="AA525" s="79"/>
      <c r="AB525" s="16" t="s">
        <v>391</v>
      </c>
      <c r="AC525" s="16">
        <v>1</v>
      </c>
      <c r="AD525" s="79"/>
      <c r="AE525" s="16">
        <v>0</v>
      </c>
      <c r="AF525" s="79"/>
      <c r="AG525" s="57">
        <f t="shared" si="139"/>
        <v>1080</v>
      </c>
      <c r="AH525" s="17">
        <f>AG525</f>
        <v>1080</v>
      </c>
      <c r="AI525" s="79"/>
      <c r="AJ525" s="18">
        <f t="shared" si="138"/>
        <v>5</v>
      </c>
      <c r="AK525" s="17">
        <v>5</v>
      </c>
      <c r="AL525" s="18">
        <f t="shared" si="145"/>
        <v>5</v>
      </c>
      <c r="AM525" s="17">
        <v>5</v>
      </c>
      <c r="AN525" s="18">
        <f t="shared" si="145"/>
        <v>5</v>
      </c>
      <c r="AO525" s="17">
        <v>5</v>
      </c>
      <c r="AP525" s="57">
        <f t="shared" si="140"/>
        <v>3</v>
      </c>
      <c r="AQ525" s="18"/>
      <c r="AR525" s="18">
        <f ca="1">IFERROR(OFFSET(ITEM_RES!$A$1,MATCH(AS525,ITEM_RES!$J:$J,0)-1,0),0)</f>
        <v>211020801</v>
      </c>
      <c r="AS525" s="17" t="s">
        <v>458</v>
      </c>
      <c r="AT525" s="18">
        <v>25</v>
      </c>
      <c r="AU525" s="17"/>
      <c r="AV525" s="18"/>
      <c r="AW525" s="18">
        <f ca="1">IFERROR(OFFSET(ITEM_RES!$A$1,MATCH(AX525,ITEM_RES!$J:$J,0)-1,0),0)</f>
        <v>0</v>
      </c>
      <c r="AX525" s="17"/>
      <c r="AY525" s="18"/>
      <c r="AZ525" s="17"/>
      <c r="BA525" s="18"/>
      <c r="BB525" s="18">
        <f ca="1">IFERROR(OFFSET(ITEM_RES!$A$1,MATCH(BC525,ITEM_RES!$J:$J,0)-1,0),0)</f>
        <v>213010101</v>
      </c>
      <c r="BC525" s="17" t="s">
        <v>477</v>
      </c>
      <c r="BD525" s="18">
        <v>1</v>
      </c>
      <c r="BE525" s="17"/>
      <c r="BF525" s="18"/>
      <c r="BG525" s="18">
        <f ca="1">IFERROR(OFFSET(ITEM_RES!$A$1,MATCH(BH525,ITEM_RES!$J:$J,0)-1,0),0)</f>
        <v>213010401</v>
      </c>
      <c r="BH525" s="17" t="s">
        <v>500</v>
      </c>
      <c r="BI525" s="18">
        <v>1</v>
      </c>
      <c r="BJ525" s="17"/>
      <c r="BK525" s="18"/>
      <c r="BL525" s="18">
        <f ca="1">IFERROR(OFFSET(ITEM_RES!$A$1,MATCH(BM525,ITEM_RES!$J:$J,0)-1,0),0)</f>
        <v>0</v>
      </c>
      <c r="BM525" s="17"/>
      <c r="BN525" s="18"/>
      <c r="BO525" s="17"/>
    </row>
    <row r="526" spans="1:67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370</v>
      </c>
      <c r="N526" s="9">
        <v>1</v>
      </c>
      <c r="O526" s="9">
        <v>15</v>
      </c>
      <c r="T526" s="9">
        <v>5555</v>
      </c>
      <c r="W526" s="9">
        <f ca="1">IFERROR(OFFSET(ITEM_RES!$A$5,MATCH(BUILDING!V526,ITEM_RES!$J$5:$J$226,0)-1,0),0)</f>
        <v>0</v>
      </c>
      <c r="Z526" s="9">
        <f ca="1">IFERROR(OFFSET(ITEM_RES!$A$5,MATCH(BUILDING!Y526,ITEM_RES!$J$5:$J$226,0)-1,0),0)</f>
        <v>0</v>
      </c>
      <c r="AB526" s="9" t="s">
        <v>391</v>
      </c>
      <c r="AC526" s="9">
        <v>2</v>
      </c>
      <c r="AE526" s="9">
        <v>400</v>
      </c>
      <c r="AG526" s="56">
        <f t="shared" si="139"/>
        <v>160</v>
      </c>
      <c r="AH526" s="10">
        <f>AG525+AG526</f>
        <v>1240</v>
      </c>
      <c r="AJ526" s="11">
        <f t="shared" si="138"/>
        <v>10</v>
      </c>
      <c r="AK526" s="10">
        <v>10</v>
      </c>
      <c r="AL526" s="11">
        <f t="shared" si="145"/>
        <v>10</v>
      </c>
      <c r="AM526" s="10">
        <v>10</v>
      </c>
      <c r="AN526" s="11">
        <f t="shared" si="145"/>
        <v>10</v>
      </c>
      <c r="AO526" s="10">
        <v>10</v>
      </c>
      <c r="AP526" s="56">
        <f t="shared" si="140"/>
        <v>1</v>
      </c>
      <c r="AR526" s="11">
        <f ca="1">IFERROR(OFFSET(ITEM_RES!$A$1,MATCH(AS526,ITEM_RES!$J:$J,0)-1,0),0)</f>
        <v>211020801</v>
      </c>
      <c r="AS526" s="10" t="s">
        <v>458</v>
      </c>
      <c r="AT526" s="11">
        <v>50</v>
      </c>
      <c r="AW526" s="11">
        <f ca="1">IFERROR(OFFSET(ITEM_RES!$A$1,MATCH(AX526,ITEM_RES!$J:$J,0)-1,0),0)</f>
        <v>0</v>
      </c>
      <c r="BB526" s="11">
        <f ca="1">IFERROR(OFFSET(ITEM_RES!$A$1,MATCH(BC526,ITEM_RES!$J:$J,0)-1,0),0)</f>
        <v>0</v>
      </c>
      <c r="BG526" s="11">
        <f ca="1">IFERROR(OFFSET(ITEM_RES!$A$1,MATCH(BH526,ITEM_RES!$J:$J,0)-1,0),0)</f>
        <v>0</v>
      </c>
      <c r="BL526" s="11">
        <f ca="1">IFERROR(OFFSET(ITEM_RES!$A$1,MATCH(BM526,ITEM_RES!$J:$J,0)-1,0),0)</f>
        <v>0</v>
      </c>
    </row>
    <row r="527" spans="1:67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370</v>
      </c>
      <c r="N527" s="9">
        <v>1</v>
      </c>
      <c r="O527" s="9">
        <v>15</v>
      </c>
      <c r="T527" s="9">
        <v>5555</v>
      </c>
      <c r="W527" s="9">
        <f ca="1">IFERROR(OFFSET(ITEM_RES!$A$5,MATCH(BUILDING!V527,ITEM_RES!$J$5:$J$226,0)-1,0),0)</f>
        <v>0</v>
      </c>
      <c r="Z527" s="9">
        <f ca="1">IFERROR(OFFSET(ITEM_RES!$A$5,MATCH(BUILDING!Y527,ITEM_RES!$J$5:$J$226,0)-1,0),0)</f>
        <v>0</v>
      </c>
      <c r="AB527" s="9" t="s">
        <v>369</v>
      </c>
      <c r="AC527" s="9">
        <v>3</v>
      </c>
      <c r="AE527" s="9">
        <v>1200</v>
      </c>
      <c r="AG527" s="56">
        <f t="shared" si="139"/>
        <v>240</v>
      </c>
      <c r="AH527" s="10">
        <f t="shared" ref="AH527:AH544" si="147">AG526+AG527</f>
        <v>400</v>
      </c>
      <c r="AJ527" s="11">
        <f t="shared" si="138"/>
        <v>15</v>
      </c>
      <c r="AK527" s="10">
        <v>15</v>
      </c>
      <c r="AL527" s="11">
        <f t="shared" si="145"/>
        <v>15</v>
      </c>
      <c r="AM527" s="10">
        <v>15</v>
      </c>
      <c r="AN527" s="11">
        <f t="shared" si="145"/>
        <v>15</v>
      </c>
      <c r="AO527" s="10">
        <v>15</v>
      </c>
      <c r="AP527" s="56">
        <f t="shared" si="140"/>
        <v>1</v>
      </c>
      <c r="AR527" s="11">
        <f ca="1">IFERROR(OFFSET(ITEM_RES!$A$1,MATCH(AS527,ITEM_RES!$J:$J,0)-1,0),0)</f>
        <v>211020801</v>
      </c>
      <c r="AS527" s="10" t="s">
        <v>458</v>
      </c>
      <c r="AT527" s="11">
        <v>75</v>
      </c>
      <c r="AW527" s="11">
        <f ca="1">IFERROR(OFFSET(ITEM_RES!$A$1,MATCH(AX527,ITEM_RES!$J:$J,0)-1,0),0)</f>
        <v>0</v>
      </c>
      <c r="BB527" s="11">
        <f ca="1">IFERROR(OFFSET(ITEM_RES!$A$1,MATCH(BC527,ITEM_RES!$J:$J,0)-1,0),0)</f>
        <v>0</v>
      </c>
      <c r="BG527" s="11">
        <f ca="1">IFERROR(OFFSET(ITEM_RES!$A$1,MATCH(BH527,ITEM_RES!$J:$J,0)-1,0),0)</f>
        <v>0</v>
      </c>
      <c r="BL527" s="11">
        <f ca="1">IFERROR(OFFSET(ITEM_RES!$A$1,MATCH(BM527,ITEM_RES!$J:$J,0)-1,0),0)</f>
        <v>0</v>
      </c>
    </row>
    <row r="528" spans="1:67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369</v>
      </c>
      <c r="N528" s="9">
        <v>1</v>
      </c>
      <c r="O528" s="9">
        <v>15</v>
      </c>
      <c r="T528" s="9">
        <v>5555</v>
      </c>
      <c r="W528" s="9">
        <f ca="1">IFERROR(OFFSET(ITEM_RES!$A$5,MATCH(BUILDING!V528,ITEM_RES!$J$5:$J$226,0)-1,0),0)</f>
        <v>0</v>
      </c>
      <c r="Z528" s="9">
        <f ca="1">IFERROR(OFFSET(ITEM_RES!$A$5,MATCH(BUILDING!Y528,ITEM_RES!$J$5:$J$226,0)-1,0),0)</f>
        <v>0</v>
      </c>
      <c r="AB528" s="9" t="s">
        <v>369</v>
      </c>
      <c r="AC528" s="9">
        <v>4</v>
      </c>
      <c r="AE528" s="9">
        <v>2000</v>
      </c>
      <c r="AG528" s="56">
        <f t="shared" si="139"/>
        <v>400</v>
      </c>
      <c r="AH528" s="10">
        <f t="shared" si="147"/>
        <v>640</v>
      </c>
      <c r="AJ528" s="11">
        <f t="shared" si="138"/>
        <v>20</v>
      </c>
      <c r="AK528" s="10">
        <v>20</v>
      </c>
      <c r="AL528" s="11">
        <f t="shared" si="145"/>
        <v>25</v>
      </c>
      <c r="AM528" s="10">
        <v>25</v>
      </c>
      <c r="AN528" s="11">
        <f t="shared" si="145"/>
        <v>25</v>
      </c>
      <c r="AO528" s="10">
        <v>25</v>
      </c>
      <c r="AP528" s="56">
        <f t="shared" si="140"/>
        <v>1</v>
      </c>
      <c r="AR528" s="11">
        <f ca="1">IFERROR(OFFSET(ITEM_RES!$A$1,MATCH(AS528,ITEM_RES!$J:$J,0)-1,0),0)</f>
        <v>211020801</v>
      </c>
      <c r="AS528" s="10" t="s">
        <v>458</v>
      </c>
      <c r="AT528" s="11">
        <v>125</v>
      </c>
      <c r="AW528" s="11">
        <f ca="1">IFERROR(OFFSET(ITEM_RES!$A$1,MATCH(AX528,ITEM_RES!$J:$J,0)-1,0),0)</f>
        <v>0</v>
      </c>
      <c r="BB528" s="11">
        <f ca="1">IFERROR(OFFSET(ITEM_RES!$A$1,MATCH(BC528,ITEM_RES!$J:$J,0)-1,0),0)</f>
        <v>0</v>
      </c>
      <c r="BG528" s="11">
        <f ca="1">IFERROR(OFFSET(ITEM_RES!$A$1,MATCH(BH528,ITEM_RES!$J:$J,0)-1,0),0)</f>
        <v>0</v>
      </c>
      <c r="BL528" s="11">
        <f ca="1">IFERROR(OFFSET(ITEM_RES!$A$1,MATCH(BM528,ITEM_RES!$J:$J,0)-1,0),0)</f>
        <v>0</v>
      </c>
    </row>
    <row r="529" spans="1:64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369</v>
      </c>
      <c r="N529" s="9">
        <v>1</v>
      </c>
      <c r="O529" s="9">
        <v>15</v>
      </c>
      <c r="T529" s="9">
        <v>5555</v>
      </c>
      <c r="W529" s="9">
        <f ca="1">IFERROR(OFFSET(ITEM_RES!$A$5,MATCH(BUILDING!V529,ITEM_RES!$J$5:$J$226,0)-1,0),0)</f>
        <v>0</v>
      </c>
      <c r="Z529" s="9">
        <f ca="1">IFERROR(OFFSET(ITEM_RES!$A$5,MATCH(BUILDING!Y529,ITEM_RES!$J$5:$J$226,0)-1,0),0)</f>
        <v>0</v>
      </c>
      <c r="AB529" s="9" t="s">
        <v>369</v>
      </c>
      <c r="AC529" s="9">
        <v>5</v>
      </c>
      <c r="AE529" s="9">
        <v>3200</v>
      </c>
      <c r="AG529" s="56">
        <f t="shared" si="139"/>
        <v>640</v>
      </c>
      <c r="AH529" s="10">
        <f t="shared" si="147"/>
        <v>1040</v>
      </c>
      <c r="AJ529" s="11">
        <f t="shared" si="138"/>
        <v>25</v>
      </c>
      <c r="AK529" s="10">
        <v>25</v>
      </c>
      <c r="AL529" s="11">
        <f t="shared" si="145"/>
        <v>40</v>
      </c>
      <c r="AM529" s="10">
        <v>40</v>
      </c>
      <c r="AN529" s="11">
        <f t="shared" si="145"/>
        <v>40</v>
      </c>
      <c r="AO529" s="10">
        <v>40</v>
      </c>
      <c r="AP529" s="56">
        <f t="shared" si="140"/>
        <v>1</v>
      </c>
      <c r="AR529" s="11">
        <f ca="1">IFERROR(OFFSET(ITEM_RES!$A$1,MATCH(AS529,ITEM_RES!$J:$J,0)-1,0),0)</f>
        <v>211020801</v>
      </c>
      <c r="AS529" s="10" t="s">
        <v>458</v>
      </c>
      <c r="AT529" s="11">
        <v>200</v>
      </c>
      <c r="AW529" s="11">
        <f ca="1">IFERROR(OFFSET(ITEM_RES!$A$1,MATCH(AX529,ITEM_RES!$J:$J,0)-1,0),0)</f>
        <v>0</v>
      </c>
      <c r="BB529" s="11">
        <f ca="1">IFERROR(OFFSET(ITEM_RES!$A$1,MATCH(BC529,ITEM_RES!$J:$J,0)-1,0),0)</f>
        <v>0</v>
      </c>
      <c r="BG529" s="11">
        <f ca="1">IFERROR(OFFSET(ITEM_RES!$A$1,MATCH(BH529,ITEM_RES!$J:$J,0)-1,0),0)</f>
        <v>0</v>
      </c>
      <c r="BL529" s="11">
        <f ca="1">IFERROR(OFFSET(ITEM_RES!$A$1,MATCH(BM529,ITEM_RES!$J:$J,0)-1,0),0)</f>
        <v>0</v>
      </c>
    </row>
    <row r="530" spans="1:64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369</v>
      </c>
      <c r="N530" s="9">
        <v>1</v>
      </c>
      <c r="O530" s="9">
        <v>15</v>
      </c>
      <c r="T530" s="9">
        <v>5555</v>
      </c>
      <c r="W530" s="9">
        <f ca="1">IFERROR(OFFSET(ITEM_RES!$A$5,MATCH(BUILDING!V530,ITEM_RES!$J$5:$J$226,0)-1,0),0)</f>
        <v>0</v>
      </c>
      <c r="Z530" s="9">
        <f ca="1">IFERROR(OFFSET(ITEM_RES!$A$5,MATCH(BUILDING!Y530,ITEM_RES!$J$5:$J$226,0)-1,0),0)</f>
        <v>0</v>
      </c>
      <c r="AB530" s="9" t="s">
        <v>369</v>
      </c>
      <c r="AC530" s="9">
        <v>6</v>
      </c>
      <c r="AE530" s="9">
        <v>4000</v>
      </c>
      <c r="AG530" s="56">
        <f t="shared" si="139"/>
        <v>800</v>
      </c>
      <c r="AH530" s="10">
        <f t="shared" si="147"/>
        <v>1440</v>
      </c>
      <c r="AJ530" s="11">
        <f t="shared" si="138"/>
        <v>30</v>
      </c>
      <c r="AK530" s="10">
        <v>30</v>
      </c>
      <c r="AL530" s="11">
        <f t="shared" si="145"/>
        <v>50</v>
      </c>
      <c r="AM530" s="10">
        <v>50</v>
      </c>
      <c r="AN530" s="11">
        <f t="shared" si="145"/>
        <v>50</v>
      </c>
      <c r="AO530" s="10">
        <v>50</v>
      </c>
      <c r="AP530" s="56">
        <f t="shared" si="140"/>
        <v>1</v>
      </c>
      <c r="AR530" s="11">
        <f ca="1">IFERROR(OFFSET(ITEM_RES!$A$1,MATCH(AS530,ITEM_RES!$J:$J,0)-1,0),0)</f>
        <v>211020801</v>
      </c>
      <c r="AS530" s="10" t="s">
        <v>458</v>
      </c>
      <c r="AT530" s="11">
        <v>250</v>
      </c>
      <c r="AW530" s="11">
        <f ca="1">IFERROR(OFFSET(ITEM_RES!$A$1,MATCH(AX530,ITEM_RES!$J:$J,0)-1,0),0)</f>
        <v>0</v>
      </c>
      <c r="BB530" s="11">
        <f ca="1">IFERROR(OFFSET(ITEM_RES!$A$1,MATCH(BC530,ITEM_RES!$J:$J,0)-1,0),0)</f>
        <v>0</v>
      </c>
      <c r="BG530" s="11">
        <f ca="1">IFERROR(OFFSET(ITEM_RES!$A$1,MATCH(BH530,ITEM_RES!$J:$J,0)-1,0),0)</f>
        <v>0</v>
      </c>
      <c r="BL530" s="11">
        <f ca="1">IFERROR(OFFSET(ITEM_RES!$A$1,MATCH(BM530,ITEM_RES!$J:$J,0)-1,0),0)</f>
        <v>0</v>
      </c>
    </row>
    <row r="531" spans="1:64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369</v>
      </c>
      <c r="N531" s="9">
        <v>1</v>
      </c>
      <c r="O531" s="9">
        <v>15</v>
      </c>
      <c r="T531" s="9">
        <v>5555</v>
      </c>
      <c r="W531" s="9">
        <f ca="1">IFERROR(OFFSET(ITEM_RES!$A$5,MATCH(BUILDING!V531,ITEM_RES!$J$5:$J$226,0)-1,0),0)</f>
        <v>0</v>
      </c>
      <c r="Z531" s="9">
        <f ca="1">IFERROR(OFFSET(ITEM_RES!$A$5,MATCH(BUILDING!Y531,ITEM_RES!$J$5:$J$226,0)-1,0),0)</f>
        <v>0</v>
      </c>
      <c r="AB531" s="9" t="s">
        <v>369</v>
      </c>
      <c r="AC531" s="9">
        <v>7</v>
      </c>
      <c r="AE531" s="9">
        <v>8000</v>
      </c>
      <c r="AG531" s="56">
        <f t="shared" si="139"/>
        <v>1600</v>
      </c>
      <c r="AH531" s="10">
        <f t="shared" si="147"/>
        <v>2400</v>
      </c>
      <c r="AJ531" s="11">
        <f t="shared" si="138"/>
        <v>35</v>
      </c>
      <c r="AK531" s="10">
        <v>35</v>
      </c>
      <c r="AL531" s="11">
        <f t="shared" si="145"/>
        <v>100</v>
      </c>
      <c r="AM531" s="10">
        <v>100</v>
      </c>
      <c r="AN531" s="11">
        <f t="shared" si="145"/>
        <v>100</v>
      </c>
      <c r="AO531" s="10">
        <v>100</v>
      </c>
      <c r="AP531" s="56">
        <f t="shared" si="140"/>
        <v>1</v>
      </c>
      <c r="AR531" s="11">
        <f ca="1">IFERROR(OFFSET(ITEM_RES!$A$1,MATCH(AS531,ITEM_RES!$J:$J,0)-1,0),0)</f>
        <v>211020801</v>
      </c>
      <c r="AS531" s="10" t="s">
        <v>458</v>
      </c>
      <c r="AT531" s="11">
        <v>500</v>
      </c>
      <c r="AW531" s="11">
        <f ca="1">IFERROR(OFFSET(ITEM_RES!$A$1,MATCH(AX531,ITEM_RES!$J:$J,0)-1,0),0)</f>
        <v>0</v>
      </c>
      <c r="BB531" s="11">
        <f ca="1">IFERROR(OFFSET(ITEM_RES!$A$1,MATCH(BC531,ITEM_RES!$J:$J,0)-1,0),0)</f>
        <v>0</v>
      </c>
      <c r="BG531" s="11">
        <f ca="1">IFERROR(OFFSET(ITEM_RES!$A$1,MATCH(BH531,ITEM_RES!$J:$J,0)-1,0),0)</f>
        <v>0</v>
      </c>
      <c r="BL531" s="11">
        <f ca="1">IFERROR(OFFSET(ITEM_RES!$A$1,MATCH(BM531,ITEM_RES!$J:$J,0)-1,0),0)</f>
        <v>0</v>
      </c>
    </row>
    <row r="532" spans="1:64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369</v>
      </c>
      <c r="N532" s="9">
        <v>1</v>
      </c>
      <c r="O532" s="9">
        <v>15</v>
      </c>
      <c r="T532" s="9">
        <v>5555</v>
      </c>
      <c r="W532" s="9">
        <f ca="1">IFERROR(OFFSET(ITEM_RES!$A$5,MATCH(BUILDING!V532,ITEM_RES!$J$5:$J$226,0)-1,0),0)</f>
        <v>0</v>
      </c>
      <c r="Z532" s="9">
        <f ca="1">IFERROR(OFFSET(ITEM_RES!$A$5,MATCH(BUILDING!Y532,ITEM_RES!$J$5:$J$226,0)-1,0),0)</f>
        <v>0</v>
      </c>
      <c r="AB532" s="9" t="s">
        <v>369</v>
      </c>
      <c r="AC532" s="9">
        <v>8</v>
      </c>
      <c r="AE532" s="9">
        <v>8000</v>
      </c>
      <c r="AG532" s="56">
        <f t="shared" si="139"/>
        <v>1600</v>
      </c>
      <c r="AH532" s="10">
        <f t="shared" si="147"/>
        <v>3200</v>
      </c>
      <c r="AJ532" s="11">
        <f t="shared" si="138"/>
        <v>40</v>
      </c>
      <c r="AK532" s="10">
        <v>40</v>
      </c>
      <c r="AL532" s="11">
        <f t="shared" si="145"/>
        <v>100</v>
      </c>
      <c r="AM532" s="10">
        <v>100</v>
      </c>
      <c r="AN532" s="11">
        <f t="shared" si="145"/>
        <v>100</v>
      </c>
      <c r="AO532" s="10">
        <v>100</v>
      </c>
      <c r="AP532" s="56">
        <f t="shared" si="140"/>
        <v>1</v>
      </c>
      <c r="AR532" s="11">
        <f ca="1">IFERROR(OFFSET(ITEM_RES!$A$1,MATCH(AS532,ITEM_RES!$J:$J,0)-1,0),0)</f>
        <v>211020801</v>
      </c>
      <c r="AS532" s="10" t="s">
        <v>458</v>
      </c>
      <c r="AT532" s="11">
        <v>500</v>
      </c>
      <c r="AW532" s="11">
        <f ca="1">IFERROR(OFFSET(ITEM_RES!$A$1,MATCH(AX532,ITEM_RES!$J:$J,0)-1,0),0)</f>
        <v>0</v>
      </c>
      <c r="BB532" s="11">
        <f ca="1">IFERROR(OFFSET(ITEM_RES!$A$1,MATCH(BC532,ITEM_RES!$J:$J,0)-1,0),0)</f>
        <v>0</v>
      </c>
      <c r="BG532" s="11">
        <f ca="1">IFERROR(OFFSET(ITEM_RES!$A$1,MATCH(BH532,ITEM_RES!$J:$J,0)-1,0),0)</f>
        <v>0</v>
      </c>
      <c r="BL532" s="11">
        <f ca="1">IFERROR(OFFSET(ITEM_RES!$A$1,MATCH(BM532,ITEM_RES!$J:$J,0)-1,0),0)</f>
        <v>0</v>
      </c>
    </row>
    <row r="533" spans="1:64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369</v>
      </c>
      <c r="N533" s="9">
        <v>1</v>
      </c>
      <c r="O533" s="9">
        <v>15</v>
      </c>
      <c r="T533" s="9">
        <v>5555</v>
      </c>
      <c r="W533" s="9">
        <f ca="1">IFERROR(OFFSET(ITEM_RES!$A$5,MATCH(BUILDING!V533,ITEM_RES!$J$5:$J$226,0)-1,0),0)</f>
        <v>0</v>
      </c>
      <c r="Z533" s="9">
        <f ca="1">IFERROR(OFFSET(ITEM_RES!$A$5,MATCH(BUILDING!Y533,ITEM_RES!$J$5:$J$226,0)-1,0),0)</f>
        <v>0</v>
      </c>
      <c r="AB533" s="9" t="s">
        <v>369</v>
      </c>
      <c r="AC533" s="9">
        <v>9</v>
      </c>
      <c r="AE533" s="9">
        <v>12000</v>
      </c>
      <c r="AG533" s="56">
        <f t="shared" si="139"/>
        <v>2400</v>
      </c>
      <c r="AH533" s="10">
        <f t="shared" si="147"/>
        <v>4000</v>
      </c>
      <c r="AJ533" s="11">
        <f t="shared" si="138"/>
        <v>45</v>
      </c>
      <c r="AK533" s="10">
        <v>45</v>
      </c>
      <c r="AL533" s="11">
        <f t="shared" si="145"/>
        <v>150</v>
      </c>
      <c r="AM533" s="10">
        <v>150</v>
      </c>
      <c r="AN533" s="11">
        <f t="shared" si="145"/>
        <v>150</v>
      </c>
      <c r="AO533" s="10">
        <v>150</v>
      </c>
      <c r="AP533" s="56">
        <f t="shared" si="140"/>
        <v>1</v>
      </c>
      <c r="AR533" s="11">
        <f ca="1">IFERROR(OFFSET(ITEM_RES!$A$1,MATCH(AS533,ITEM_RES!$J:$J,0)-1,0),0)</f>
        <v>211020801</v>
      </c>
      <c r="AS533" s="10" t="s">
        <v>458</v>
      </c>
      <c r="AT533" s="11">
        <v>750</v>
      </c>
      <c r="AW533" s="11">
        <f ca="1">IFERROR(OFFSET(ITEM_RES!$A$1,MATCH(AX533,ITEM_RES!$J:$J,0)-1,0),0)</f>
        <v>0</v>
      </c>
      <c r="BB533" s="11">
        <f ca="1">IFERROR(OFFSET(ITEM_RES!$A$1,MATCH(BC533,ITEM_RES!$J:$J,0)-1,0),0)</f>
        <v>0</v>
      </c>
      <c r="BG533" s="11">
        <f ca="1">IFERROR(OFFSET(ITEM_RES!$A$1,MATCH(BH533,ITEM_RES!$J:$J,0)-1,0),0)</f>
        <v>0</v>
      </c>
      <c r="BL533" s="11">
        <f ca="1">IFERROR(OFFSET(ITEM_RES!$A$1,MATCH(BM533,ITEM_RES!$J:$J,0)-1,0),0)</f>
        <v>0</v>
      </c>
    </row>
    <row r="534" spans="1:64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369</v>
      </c>
      <c r="N534" s="9">
        <v>1</v>
      </c>
      <c r="O534" s="9">
        <v>15</v>
      </c>
      <c r="T534" s="9">
        <v>5555</v>
      </c>
      <c r="W534" s="9">
        <f ca="1">IFERROR(OFFSET(ITEM_RES!$A$5,MATCH(BUILDING!V534,ITEM_RES!$J$5:$J$226,0)-1,0),0)</f>
        <v>0</v>
      </c>
      <c r="Z534" s="9">
        <f ca="1">IFERROR(OFFSET(ITEM_RES!$A$5,MATCH(BUILDING!Y534,ITEM_RES!$J$5:$J$226,0)-1,0),0)</f>
        <v>0</v>
      </c>
      <c r="AB534" s="9" t="s">
        <v>369</v>
      </c>
      <c r="AC534" s="9">
        <v>10</v>
      </c>
      <c r="AE534" s="9">
        <v>16000</v>
      </c>
      <c r="AG534" s="56">
        <f t="shared" si="139"/>
        <v>3200</v>
      </c>
      <c r="AH534" s="10">
        <f t="shared" si="147"/>
        <v>5600</v>
      </c>
      <c r="AJ534" s="11">
        <f t="shared" si="138"/>
        <v>50</v>
      </c>
      <c r="AK534" s="10">
        <v>50</v>
      </c>
      <c r="AL534" s="11">
        <f t="shared" si="145"/>
        <v>200</v>
      </c>
      <c r="AM534" s="10">
        <v>200</v>
      </c>
      <c r="AN534" s="11">
        <f t="shared" si="145"/>
        <v>200</v>
      </c>
      <c r="AO534" s="10">
        <v>200</v>
      </c>
      <c r="AP534" s="56">
        <f t="shared" si="140"/>
        <v>1</v>
      </c>
      <c r="AR534" s="11">
        <f ca="1">IFERROR(OFFSET(ITEM_RES!$A$1,MATCH(AS534,ITEM_RES!$J:$J,0)-1,0),0)</f>
        <v>211020801</v>
      </c>
      <c r="AS534" s="10" t="s">
        <v>458</v>
      </c>
      <c r="AT534" s="11">
        <v>1000</v>
      </c>
      <c r="AW534" s="11">
        <f ca="1">IFERROR(OFFSET(ITEM_RES!$A$1,MATCH(AX534,ITEM_RES!$J:$J,0)-1,0),0)</f>
        <v>0</v>
      </c>
      <c r="BB534" s="11">
        <f ca="1">IFERROR(OFFSET(ITEM_RES!$A$1,MATCH(BC534,ITEM_RES!$J:$J,0)-1,0),0)</f>
        <v>0</v>
      </c>
      <c r="BG534" s="11">
        <f ca="1">IFERROR(OFFSET(ITEM_RES!$A$1,MATCH(BH534,ITEM_RES!$J:$J,0)-1,0),0)</f>
        <v>0</v>
      </c>
      <c r="BL534" s="11">
        <f ca="1">IFERROR(OFFSET(ITEM_RES!$A$1,MATCH(BM534,ITEM_RES!$J:$J,0)-1,0),0)</f>
        <v>0</v>
      </c>
    </row>
    <row r="535" spans="1:64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369</v>
      </c>
      <c r="N535" s="9">
        <v>1</v>
      </c>
      <c r="O535" s="9">
        <v>15</v>
      </c>
      <c r="T535" s="9">
        <v>5555</v>
      </c>
      <c r="W535" s="9">
        <f ca="1">IFERROR(OFFSET(ITEM_RES!$A$5,MATCH(BUILDING!V535,ITEM_RES!$J$5:$J$226,0)-1,0),0)</f>
        <v>0</v>
      </c>
      <c r="Z535" s="9">
        <f ca="1">IFERROR(OFFSET(ITEM_RES!$A$5,MATCH(BUILDING!Y535,ITEM_RES!$J$5:$J$226,0)-1,0),0)</f>
        <v>0</v>
      </c>
      <c r="AB535" s="9" t="s">
        <v>369</v>
      </c>
      <c r="AC535" s="9">
        <v>11</v>
      </c>
      <c r="AE535" s="9">
        <v>20000</v>
      </c>
      <c r="AG535" s="56">
        <f t="shared" si="139"/>
        <v>4000</v>
      </c>
      <c r="AH535" s="10">
        <f t="shared" si="147"/>
        <v>7200</v>
      </c>
      <c r="AJ535" s="11">
        <f t="shared" si="138"/>
        <v>55</v>
      </c>
      <c r="AK535" s="10">
        <v>55</v>
      </c>
      <c r="AL535" s="11">
        <f t="shared" si="145"/>
        <v>250</v>
      </c>
      <c r="AM535" s="10">
        <v>250</v>
      </c>
      <c r="AN535" s="11">
        <f t="shared" si="145"/>
        <v>250</v>
      </c>
      <c r="AO535" s="10">
        <v>250</v>
      </c>
      <c r="AP535" s="56">
        <f t="shared" si="140"/>
        <v>1</v>
      </c>
      <c r="AR535" s="11">
        <f ca="1">IFERROR(OFFSET(ITEM_RES!$A$1,MATCH(AS535,ITEM_RES!$J:$J,0)-1,0),0)</f>
        <v>211020801</v>
      </c>
      <c r="AS535" s="10" t="s">
        <v>458</v>
      </c>
      <c r="AT535" s="11">
        <v>1250</v>
      </c>
      <c r="AW535" s="11">
        <f ca="1">IFERROR(OFFSET(ITEM_RES!$A$1,MATCH(AX535,ITEM_RES!$J:$J,0)-1,0),0)</f>
        <v>0</v>
      </c>
      <c r="BB535" s="11">
        <f ca="1">IFERROR(OFFSET(ITEM_RES!$A$1,MATCH(BC535,ITEM_RES!$J:$J,0)-1,0),0)</f>
        <v>0</v>
      </c>
      <c r="BG535" s="11">
        <f ca="1">IFERROR(OFFSET(ITEM_RES!$A$1,MATCH(BH535,ITEM_RES!$J:$J,0)-1,0),0)</f>
        <v>0</v>
      </c>
      <c r="BL535" s="11">
        <f ca="1">IFERROR(OFFSET(ITEM_RES!$A$1,MATCH(BM535,ITEM_RES!$J:$J,0)-1,0),0)</f>
        <v>0</v>
      </c>
    </row>
    <row r="536" spans="1:64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369</v>
      </c>
      <c r="N536" s="9">
        <v>1</v>
      </c>
      <c r="O536" s="9">
        <v>15</v>
      </c>
      <c r="T536" s="9">
        <v>5555</v>
      </c>
      <c r="W536" s="9">
        <f ca="1">IFERROR(OFFSET(ITEM_RES!$A$5,MATCH(BUILDING!V536,ITEM_RES!$J$5:$J$226,0)-1,0),0)</f>
        <v>0</v>
      </c>
      <c r="Z536" s="9">
        <f ca="1">IFERROR(OFFSET(ITEM_RES!$A$5,MATCH(BUILDING!Y536,ITEM_RES!$J$5:$J$226,0)-1,0),0)</f>
        <v>0</v>
      </c>
      <c r="AB536" s="9" t="s">
        <v>369</v>
      </c>
      <c r="AC536" s="9">
        <v>12</v>
      </c>
      <c r="AE536" s="9">
        <v>24000</v>
      </c>
      <c r="AG536" s="56">
        <f t="shared" si="139"/>
        <v>5300</v>
      </c>
      <c r="AH536" s="10">
        <f t="shared" si="147"/>
        <v>9300</v>
      </c>
      <c r="AJ536" s="11">
        <f t="shared" si="138"/>
        <v>60</v>
      </c>
      <c r="AK536" s="10">
        <v>60</v>
      </c>
      <c r="AL536" s="11">
        <f t="shared" si="145"/>
        <v>300</v>
      </c>
      <c r="AM536" s="10">
        <v>300</v>
      </c>
      <c r="AN536" s="11">
        <f t="shared" si="145"/>
        <v>300</v>
      </c>
      <c r="AO536" s="10">
        <v>300</v>
      </c>
      <c r="AP536" s="56">
        <f t="shared" si="140"/>
        <v>2</v>
      </c>
      <c r="AR536" s="11">
        <f ca="1">IFERROR(OFFSET(ITEM_RES!$A$1,MATCH(AS536,ITEM_RES!$J:$J,0)-1,0),0)</f>
        <v>211020801</v>
      </c>
      <c r="AS536" s="10" t="s">
        <v>458</v>
      </c>
      <c r="AT536" s="11">
        <v>1500</v>
      </c>
      <c r="AW536" s="11">
        <f ca="1">IFERROR(OFFSET(ITEM_RES!$A$1,MATCH(AX536,ITEM_RES!$J:$J,0)-1,0),0)</f>
        <v>0</v>
      </c>
      <c r="BB536" s="11">
        <f ca="1">IFERROR(OFFSET(ITEM_RES!$A$1,MATCH(BC536,ITEM_RES!$J:$J,0)-1,0),0)</f>
        <v>0</v>
      </c>
      <c r="BG536" s="11">
        <f ca="1">IFERROR(OFFSET(ITEM_RES!$A$1,MATCH(BH536,ITEM_RES!$J:$J,0)-1,0),0)</f>
        <v>213011701</v>
      </c>
      <c r="BH536" s="10" t="s">
        <v>504</v>
      </c>
      <c r="BI536" s="11">
        <v>1</v>
      </c>
      <c r="BL536" s="11">
        <f ca="1">IFERROR(OFFSET(ITEM_RES!$A$1,MATCH(BM536,ITEM_RES!$J:$J,0)-1,0),0)</f>
        <v>0</v>
      </c>
    </row>
    <row r="537" spans="1:64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369</v>
      </c>
      <c r="N537" s="9">
        <v>1</v>
      </c>
      <c r="O537" s="9">
        <v>15</v>
      </c>
      <c r="T537" s="9">
        <v>5555</v>
      </c>
      <c r="W537" s="9">
        <f ca="1">IFERROR(OFFSET(ITEM_RES!$A$5,MATCH(BUILDING!V537,ITEM_RES!$J$5:$J$226,0)-1,0),0)</f>
        <v>0</v>
      </c>
      <c r="Z537" s="9">
        <f ca="1">IFERROR(OFFSET(ITEM_RES!$A$5,MATCH(BUILDING!Y537,ITEM_RES!$J$5:$J$226,0)-1,0),0)</f>
        <v>0</v>
      </c>
      <c r="AB537" s="9" t="s">
        <v>369</v>
      </c>
      <c r="AC537" s="9">
        <v>13</v>
      </c>
      <c r="AE537" s="9">
        <v>28000</v>
      </c>
      <c r="AG537" s="56">
        <f t="shared" si="139"/>
        <v>5600</v>
      </c>
      <c r="AH537" s="10">
        <f t="shared" si="147"/>
        <v>10900</v>
      </c>
      <c r="AJ537" s="11">
        <f t="shared" ref="AJ537:AJ600" si="148">ROUND(AK537,0)</f>
        <v>65</v>
      </c>
      <c r="AK537" s="10">
        <v>65</v>
      </c>
      <c r="AL537" s="11">
        <f t="shared" si="145"/>
        <v>350</v>
      </c>
      <c r="AM537" s="10">
        <v>350</v>
      </c>
      <c r="AN537" s="11">
        <f t="shared" si="145"/>
        <v>350</v>
      </c>
      <c r="AO537" s="10">
        <v>350</v>
      </c>
      <c r="AP537" s="56">
        <f t="shared" si="140"/>
        <v>1</v>
      </c>
      <c r="AR537" s="11">
        <f ca="1">IFERROR(OFFSET(ITEM_RES!$A$1,MATCH(AS537,ITEM_RES!$J:$J,0)-1,0),0)</f>
        <v>211020901</v>
      </c>
      <c r="AS537" s="10" t="s">
        <v>467</v>
      </c>
      <c r="AT537" s="11">
        <v>1750</v>
      </c>
      <c r="AW537" s="11">
        <f ca="1">IFERROR(OFFSET(ITEM_RES!$A$1,MATCH(AX537,ITEM_RES!$J:$J,0)-1,0),0)</f>
        <v>0</v>
      </c>
      <c r="BB537" s="11">
        <f ca="1">IFERROR(OFFSET(ITEM_RES!$A$1,MATCH(BC537,ITEM_RES!$J:$J,0)-1,0),0)</f>
        <v>0</v>
      </c>
      <c r="BG537" s="11">
        <f ca="1">IFERROR(OFFSET(ITEM_RES!$A$1,MATCH(BH537,ITEM_RES!$J:$J,0)-1,0),0)</f>
        <v>0</v>
      </c>
      <c r="BL537" s="11">
        <f ca="1">IFERROR(OFFSET(ITEM_RES!$A$1,MATCH(BM537,ITEM_RES!$J:$J,0)-1,0),0)</f>
        <v>0</v>
      </c>
    </row>
    <row r="538" spans="1:64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369</v>
      </c>
      <c r="N538" s="9">
        <v>1</v>
      </c>
      <c r="O538" s="9">
        <v>15</v>
      </c>
      <c r="T538" s="9">
        <v>5555</v>
      </c>
      <c r="W538" s="9">
        <f ca="1">IFERROR(OFFSET(ITEM_RES!$A$5,MATCH(BUILDING!V538,ITEM_RES!$J$5:$J$226,0)-1,0),0)</f>
        <v>0</v>
      </c>
      <c r="Z538" s="9">
        <f ca="1">IFERROR(OFFSET(ITEM_RES!$A$5,MATCH(BUILDING!Y538,ITEM_RES!$J$5:$J$226,0)-1,0),0)</f>
        <v>0</v>
      </c>
      <c r="AB538" s="9" t="s">
        <v>369</v>
      </c>
      <c r="AC538" s="9">
        <v>14</v>
      </c>
      <c r="AE538" s="9">
        <v>36000</v>
      </c>
      <c r="AG538" s="56">
        <f t="shared" ref="AG538:AG601" si="149">AM538*10+AO538+AT538+AY538+500*BD538+500*BI538+500*BN538</f>
        <v>7200</v>
      </c>
      <c r="AH538" s="10">
        <f t="shared" si="147"/>
        <v>12800</v>
      </c>
      <c r="AJ538" s="11">
        <f t="shared" si="148"/>
        <v>70</v>
      </c>
      <c r="AK538" s="10">
        <v>70</v>
      </c>
      <c r="AL538" s="11">
        <f t="shared" si="145"/>
        <v>450</v>
      </c>
      <c r="AM538" s="10">
        <v>450</v>
      </c>
      <c r="AN538" s="11">
        <f t="shared" si="145"/>
        <v>450</v>
      </c>
      <c r="AO538" s="10">
        <v>450</v>
      </c>
      <c r="AP538" s="56">
        <f t="shared" ref="AP538:AP601" si="150">(AT538&gt;0)*1+(AY538&gt;0)*1+(BD538&gt;0)*1+(BI538&gt;0)*1+(BN538&gt;0)*1</f>
        <v>1</v>
      </c>
      <c r="AR538" s="11">
        <f ca="1">IFERROR(OFFSET(ITEM_RES!$A$1,MATCH(AS538,ITEM_RES!$J:$J,0)-1,0),0)</f>
        <v>211020901</v>
      </c>
      <c r="AS538" s="10" t="s">
        <v>467</v>
      </c>
      <c r="AT538" s="11">
        <v>2250</v>
      </c>
      <c r="AW538" s="11">
        <f ca="1">IFERROR(OFFSET(ITEM_RES!$A$1,MATCH(AX538,ITEM_RES!$J:$J,0)-1,0),0)</f>
        <v>0</v>
      </c>
      <c r="BB538" s="11">
        <f ca="1">IFERROR(OFFSET(ITEM_RES!$A$1,MATCH(BC538,ITEM_RES!$J:$J,0)-1,0),0)</f>
        <v>0</v>
      </c>
      <c r="BG538" s="11">
        <f ca="1">IFERROR(OFFSET(ITEM_RES!$A$1,MATCH(BH538,ITEM_RES!$J:$J,0)-1,0),0)</f>
        <v>0</v>
      </c>
      <c r="BL538" s="11">
        <f ca="1">IFERROR(OFFSET(ITEM_RES!$A$1,MATCH(BM538,ITEM_RES!$J:$J,0)-1,0),0)</f>
        <v>0</v>
      </c>
    </row>
    <row r="539" spans="1:64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369</v>
      </c>
      <c r="N539" s="9">
        <v>1</v>
      </c>
      <c r="O539" s="9">
        <v>15</v>
      </c>
      <c r="T539" s="9">
        <v>5555</v>
      </c>
      <c r="W539" s="9">
        <f ca="1">IFERROR(OFFSET(ITEM_RES!$A$5,MATCH(BUILDING!V539,ITEM_RES!$J$5:$J$226,0)-1,0),0)</f>
        <v>0</v>
      </c>
      <c r="Z539" s="9">
        <f ca="1">IFERROR(OFFSET(ITEM_RES!$A$5,MATCH(BUILDING!Y539,ITEM_RES!$J$5:$J$226,0)-1,0),0)</f>
        <v>0</v>
      </c>
      <c r="AB539" s="9" t="s">
        <v>369</v>
      </c>
      <c r="AC539" s="9">
        <v>15</v>
      </c>
      <c r="AE539" s="9">
        <v>44000</v>
      </c>
      <c r="AG539" s="56">
        <f t="shared" si="149"/>
        <v>8800</v>
      </c>
      <c r="AH539" s="10">
        <f t="shared" si="147"/>
        <v>16000</v>
      </c>
      <c r="AJ539" s="11">
        <f t="shared" si="148"/>
        <v>75</v>
      </c>
      <c r="AK539" s="10">
        <v>75</v>
      </c>
      <c r="AL539" s="11">
        <f t="shared" si="145"/>
        <v>550</v>
      </c>
      <c r="AM539" s="10">
        <v>550</v>
      </c>
      <c r="AN539" s="11">
        <f t="shared" si="145"/>
        <v>550</v>
      </c>
      <c r="AO539" s="10">
        <v>550</v>
      </c>
      <c r="AP539" s="56">
        <f t="shared" si="150"/>
        <v>1</v>
      </c>
      <c r="AR539" s="11">
        <f ca="1">IFERROR(OFFSET(ITEM_RES!$A$1,MATCH(AS539,ITEM_RES!$J:$J,0)-1,0),0)</f>
        <v>211020901</v>
      </c>
      <c r="AS539" s="10" t="s">
        <v>467</v>
      </c>
      <c r="AT539" s="11">
        <v>2750</v>
      </c>
      <c r="AW539" s="11">
        <f ca="1">IFERROR(OFFSET(ITEM_RES!$A$1,MATCH(AX539,ITEM_RES!$J:$J,0)-1,0),0)</f>
        <v>0</v>
      </c>
      <c r="BB539" s="11">
        <f ca="1">IFERROR(OFFSET(ITEM_RES!$A$1,MATCH(BC539,ITEM_RES!$J:$J,0)-1,0),0)</f>
        <v>0</v>
      </c>
      <c r="BG539" s="11">
        <f ca="1">IFERROR(OFFSET(ITEM_RES!$A$1,MATCH(BH539,ITEM_RES!$J:$J,0)-1,0),0)</f>
        <v>0</v>
      </c>
      <c r="BL539" s="11">
        <f ca="1">IFERROR(OFFSET(ITEM_RES!$A$1,MATCH(BM539,ITEM_RES!$J:$J,0)-1,0),0)</f>
        <v>0</v>
      </c>
    </row>
    <row r="540" spans="1:64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369</v>
      </c>
      <c r="N540" s="9">
        <v>0</v>
      </c>
      <c r="O540" s="9">
        <v>15</v>
      </c>
      <c r="T540" s="9">
        <v>5555</v>
      </c>
      <c r="W540" s="9">
        <f ca="1">IFERROR(OFFSET(ITEM_RES!$A$5,MATCH(BUILDING!V540,ITEM_RES!$J$5:$J$226,0)-1,0),0)</f>
        <v>0</v>
      </c>
      <c r="Z540" s="9">
        <f ca="1">IFERROR(OFFSET(ITEM_RES!$A$5,MATCH(BUILDING!Y540,ITEM_RES!$J$5:$J$226,0)-1,0),0)</f>
        <v>0</v>
      </c>
      <c r="AB540" s="9" t="s">
        <v>369</v>
      </c>
      <c r="AC540" s="9">
        <v>16</v>
      </c>
      <c r="AE540" s="9">
        <v>56000</v>
      </c>
      <c r="AG540" s="56">
        <f t="shared" si="149"/>
        <v>11200</v>
      </c>
      <c r="AH540" s="10">
        <f t="shared" si="147"/>
        <v>20000</v>
      </c>
      <c r="AJ540" s="11">
        <f t="shared" si="148"/>
        <v>80</v>
      </c>
      <c r="AK540" s="10">
        <v>80</v>
      </c>
      <c r="AL540" s="11">
        <f t="shared" si="145"/>
        <v>700</v>
      </c>
      <c r="AM540" s="10">
        <v>700</v>
      </c>
      <c r="AN540" s="11">
        <f t="shared" si="145"/>
        <v>700</v>
      </c>
      <c r="AO540" s="10">
        <v>700</v>
      </c>
      <c r="AP540" s="56">
        <f t="shared" si="150"/>
        <v>1</v>
      </c>
      <c r="AR540" s="11">
        <f ca="1">IFERROR(OFFSET(ITEM_RES!$A$1,MATCH(AS540,ITEM_RES!$J:$J,0)-1,0),0)</f>
        <v>211020901</v>
      </c>
      <c r="AS540" s="10" t="s">
        <v>467</v>
      </c>
      <c r="AT540" s="11">
        <v>3500</v>
      </c>
      <c r="AW540" s="11">
        <f ca="1">IFERROR(OFFSET(ITEM_RES!$A$1,MATCH(AX540,ITEM_RES!$J:$J,0)-1,0),0)</f>
        <v>0</v>
      </c>
      <c r="BB540" s="11">
        <f ca="1">IFERROR(OFFSET(ITEM_RES!$A$1,MATCH(BC540,ITEM_RES!$J:$J,0)-1,0),0)</f>
        <v>0</v>
      </c>
      <c r="BG540" s="11">
        <f ca="1">IFERROR(OFFSET(ITEM_RES!$A$1,MATCH(BH540,ITEM_RES!$J:$J,0)-1,0),0)</f>
        <v>0</v>
      </c>
      <c r="BL540" s="11">
        <f ca="1">IFERROR(OFFSET(ITEM_RES!$A$1,MATCH(BM540,ITEM_RES!$J:$J,0)-1,0),0)</f>
        <v>0</v>
      </c>
    </row>
    <row r="541" spans="1:64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369</v>
      </c>
      <c r="N541" s="9">
        <v>0</v>
      </c>
      <c r="O541" s="9">
        <v>15</v>
      </c>
      <c r="T541" s="9">
        <v>5555</v>
      </c>
      <c r="W541" s="9">
        <f ca="1">IFERROR(OFFSET(ITEM_RES!$A$5,MATCH(BUILDING!V541,ITEM_RES!$J$5:$J$226,0)-1,0),0)</f>
        <v>0</v>
      </c>
      <c r="Z541" s="9">
        <f ca="1">IFERROR(OFFSET(ITEM_RES!$A$5,MATCH(BUILDING!Y541,ITEM_RES!$J$5:$J$226,0)-1,0),0)</f>
        <v>0</v>
      </c>
      <c r="AB541" s="9" t="s">
        <v>369</v>
      </c>
      <c r="AC541" s="9">
        <v>17</v>
      </c>
      <c r="AE541" s="9">
        <v>68000</v>
      </c>
      <c r="AG541" s="56">
        <f t="shared" si="149"/>
        <v>13600</v>
      </c>
      <c r="AH541" s="10">
        <f t="shared" si="147"/>
        <v>24800</v>
      </c>
      <c r="AJ541" s="11">
        <f t="shared" si="148"/>
        <v>85</v>
      </c>
      <c r="AK541" s="10">
        <v>85</v>
      </c>
      <c r="AL541" s="11">
        <f t="shared" si="145"/>
        <v>850</v>
      </c>
      <c r="AM541" s="10">
        <v>850</v>
      </c>
      <c r="AN541" s="11">
        <f t="shared" si="145"/>
        <v>850</v>
      </c>
      <c r="AO541" s="10">
        <v>850</v>
      </c>
      <c r="AP541" s="56">
        <f t="shared" si="150"/>
        <v>1</v>
      </c>
      <c r="AR541" s="11">
        <f ca="1">IFERROR(OFFSET(ITEM_RES!$A$1,MATCH(AS541,ITEM_RES!$J:$J,0)-1,0),0)</f>
        <v>211020901</v>
      </c>
      <c r="AS541" s="10" t="s">
        <v>467</v>
      </c>
      <c r="AT541" s="11">
        <v>4250</v>
      </c>
      <c r="AW541" s="11">
        <f ca="1">IFERROR(OFFSET(ITEM_RES!$A$1,MATCH(AX541,ITEM_RES!$J:$J,0)-1,0),0)</f>
        <v>0</v>
      </c>
      <c r="BB541" s="11">
        <f ca="1">IFERROR(OFFSET(ITEM_RES!$A$1,MATCH(BC541,ITEM_RES!$J:$J,0)-1,0),0)</f>
        <v>0</v>
      </c>
      <c r="BG541" s="11">
        <f ca="1">IFERROR(OFFSET(ITEM_RES!$A$1,MATCH(BH541,ITEM_RES!$J:$J,0)-1,0),0)</f>
        <v>0</v>
      </c>
      <c r="BL541" s="11">
        <f ca="1">IFERROR(OFFSET(ITEM_RES!$A$1,MATCH(BM541,ITEM_RES!$J:$J,0)-1,0),0)</f>
        <v>0</v>
      </c>
    </row>
    <row r="542" spans="1:64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369</v>
      </c>
      <c r="N542" s="9">
        <v>0</v>
      </c>
      <c r="O542" s="9">
        <v>15</v>
      </c>
      <c r="T542" s="9">
        <v>5555</v>
      </c>
      <c r="W542" s="9">
        <f ca="1">IFERROR(OFFSET(ITEM_RES!$A$5,MATCH(BUILDING!V542,ITEM_RES!$J$5:$J$226,0)-1,0),0)</f>
        <v>0</v>
      </c>
      <c r="Z542" s="9">
        <f ca="1">IFERROR(OFFSET(ITEM_RES!$A$5,MATCH(BUILDING!Y542,ITEM_RES!$J$5:$J$226,0)-1,0),0)</f>
        <v>0</v>
      </c>
      <c r="AB542" s="9" t="s">
        <v>369</v>
      </c>
      <c r="AC542" s="9">
        <v>18</v>
      </c>
      <c r="AE542" s="9">
        <v>84000</v>
      </c>
      <c r="AG542" s="56">
        <f t="shared" si="149"/>
        <v>16800</v>
      </c>
      <c r="AH542" s="10">
        <f t="shared" si="147"/>
        <v>30400</v>
      </c>
      <c r="AJ542" s="11">
        <f t="shared" si="148"/>
        <v>90</v>
      </c>
      <c r="AK542" s="10">
        <v>90</v>
      </c>
      <c r="AL542" s="11">
        <f t="shared" si="145"/>
        <v>1050</v>
      </c>
      <c r="AM542" s="10">
        <v>1050</v>
      </c>
      <c r="AN542" s="11">
        <f t="shared" si="145"/>
        <v>1050</v>
      </c>
      <c r="AO542" s="10">
        <v>1050</v>
      </c>
      <c r="AP542" s="56">
        <f t="shared" si="150"/>
        <v>1</v>
      </c>
      <c r="AR542" s="11">
        <f ca="1">IFERROR(OFFSET(ITEM_RES!$A$1,MATCH(AS542,ITEM_RES!$J:$J,0)-1,0),0)</f>
        <v>211020901</v>
      </c>
      <c r="AS542" s="10" t="s">
        <v>467</v>
      </c>
      <c r="AT542" s="11">
        <v>5250</v>
      </c>
      <c r="AW542" s="11">
        <f ca="1">IFERROR(OFFSET(ITEM_RES!$A$1,MATCH(AX542,ITEM_RES!$J:$J,0)-1,0),0)</f>
        <v>0</v>
      </c>
      <c r="BB542" s="11">
        <f ca="1">IFERROR(OFFSET(ITEM_RES!$A$1,MATCH(BC542,ITEM_RES!$J:$J,0)-1,0),0)</f>
        <v>0</v>
      </c>
      <c r="BG542" s="11">
        <f ca="1">IFERROR(OFFSET(ITEM_RES!$A$1,MATCH(BH542,ITEM_RES!$J:$J,0)-1,0),0)</f>
        <v>0</v>
      </c>
      <c r="BL542" s="11">
        <f ca="1">IFERROR(OFFSET(ITEM_RES!$A$1,MATCH(BM542,ITEM_RES!$J:$J,0)-1,0),0)</f>
        <v>0</v>
      </c>
    </row>
    <row r="543" spans="1:64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369</v>
      </c>
      <c r="N543" s="9">
        <v>0</v>
      </c>
      <c r="O543" s="9">
        <v>15</v>
      </c>
      <c r="T543" s="9">
        <v>5555</v>
      </c>
      <c r="W543" s="9">
        <f ca="1">IFERROR(OFFSET(ITEM_RES!$A$5,MATCH(BUILDING!V543,ITEM_RES!$J$5:$J$226,0)-1,0),0)</f>
        <v>0</v>
      </c>
      <c r="Z543" s="9">
        <f ca="1">IFERROR(OFFSET(ITEM_RES!$A$5,MATCH(BUILDING!Y543,ITEM_RES!$J$5:$J$226,0)-1,0),0)</f>
        <v>0</v>
      </c>
      <c r="AB543" s="9" t="s">
        <v>369</v>
      </c>
      <c r="AC543" s="9">
        <v>19</v>
      </c>
      <c r="AE543" s="9">
        <v>100000</v>
      </c>
      <c r="AG543" s="56">
        <f t="shared" si="149"/>
        <v>20000</v>
      </c>
      <c r="AH543" s="10">
        <f t="shared" si="147"/>
        <v>36800</v>
      </c>
      <c r="AJ543" s="11">
        <f t="shared" si="148"/>
        <v>95</v>
      </c>
      <c r="AK543" s="10">
        <v>95</v>
      </c>
      <c r="AL543" s="11">
        <f t="shared" si="145"/>
        <v>1250</v>
      </c>
      <c r="AM543" s="10">
        <v>1250</v>
      </c>
      <c r="AN543" s="11">
        <f t="shared" si="145"/>
        <v>1250</v>
      </c>
      <c r="AO543" s="10">
        <v>1250</v>
      </c>
      <c r="AP543" s="56">
        <f t="shared" si="150"/>
        <v>1</v>
      </c>
      <c r="AR543" s="11">
        <f ca="1">IFERROR(OFFSET(ITEM_RES!$A$1,MATCH(AS543,ITEM_RES!$J:$J,0)-1,0),0)</f>
        <v>211020901</v>
      </c>
      <c r="AS543" s="10" t="s">
        <v>467</v>
      </c>
      <c r="AT543" s="11">
        <v>6250</v>
      </c>
      <c r="AW543" s="11">
        <f ca="1">IFERROR(OFFSET(ITEM_RES!$A$1,MATCH(AX543,ITEM_RES!$J:$J,0)-1,0),0)</f>
        <v>0</v>
      </c>
      <c r="BB543" s="11">
        <f ca="1">IFERROR(OFFSET(ITEM_RES!$A$1,MATCH(BC543,ITEM_RES!$J:$J,0)-1,0),0)</f>
        <v>0</v>
      </c>
      <c r="BG543" s="11">
        <f ca="1">IFERROR(OFFSET(ITEM_RES!$A$1,MATCH(BH543,ITEM_RES!$J:$J,0)-1,0),0)</f>
        <v>0</v>
      </c>
      <c r="BL543" s="11">
        <f ca="1">IFERROR(OFFSET(ITEM_RES!$A$1,MATCH(BM543,ITEM_RES!$J:$J,0)-1,0),0)</f>
        <v>0</v>
      </c>
    </row>
    <row r="544" spans="1:64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369</v>
      </c>
      <c r="N544" s="9">
        <v>0</v>
      </c>
      <c r="O544" s="9">
        <v>15</v>
      </c>
      <c r="T544" s="9">
        <v>5555</v>
      </c>
      <c r="W544" s="9">
        <f ca="1">IFERROR(OFFSET(ITEM_RES!$A$5,MATCH(BUILDING!V544,ITEM_RES!$J$5:$J$226,0)-1,0),0)</f>
        <v>0</v>
      </c>
      <c r="Z544" s="9">
        <f ca="1">IFERROR(OFFSET(ITEM_RES!$A$5,MATCH(BUILDING!Y544,ITEM_RES!$J$5:$J$226,0)-1,0),0)</f>
        <v>0</v>
      </c>
      <c r="AB544" s="9" t="s">
        <v>369</v>
      </c>
      <c r="AC544" s="9">
        <v>20</v>
      </c>
      <c r="AE544" s="9">
        <v>120000</v>
      </c>
      <c r="AG544" s="56">
        <f t="shared" si="149"/>
        <v>24000</v>
      </c>
      <c r="AH544" s="10">
        <f t="shared" si="147"/>
        <v>44000</v>
      </c>
      <c r="AJ544" s="11">
        <f t="shared" si="148"/>
        <v>100</v>
      </c>
      <c r="AK544" s="10">
        <v>100</v>
      </c>
      <c r="AL544" s="11">
        <f t="shared" si="145"/>
        <v>1500</v>
      </c>
      <c r="AM544" s="10">
        <v>1500</v>
      </c>
      <c r="AN544" s="11">
        <f t="shared" si="145"/>
        <v>1500</v>
      </c>
      <c r="AO544" s="10">
        <v>1500</v>
      </c>
      <c r="AP544" s="56">
        <f t="shared" si="150"/>
        <v>1</v>
      </c>
      <c r="AR544" s="11">
        <f ca="1">IFERROR(OFFSET(ITEM_RES!$A$1,MATCH(AS544,ITEM_RES!$J:$J,0)-1,0),0)</f>
        <v>211020901</v>
      </c>
      <c r="AS544" s="10" t="s">
        <v>467</v>
      </c>
      <c r="AT544" s="11">
        <v>7500</v>
      </c>
      <c r="AW544" s="11">
        <f ca="1">IFERROR(OFFSET(ITEM_RES!$A$1,MATCH(AX544,ITEM_RES!$J:$J,0)-1,0),0)</f>
        <v>0</v>
      </c>
      <c r="BB544" s="11">
        <f ca="1">IFERROR(OFFSET(ITEM_RES!$A$1,MATCH(BC544,ITEM_RES!$J:$J,0)-1,0),0)</f>
        <v>0</v>
      </c>
      <c r="BG544" s="11">
        <f ca="1">IFERROR(OFFSET(ITEM_RES!$A$1,MATCH(BH544,ITEM_RES!$J:$J,0)-1,0),0)</f>
        <v>0</v>
      </c>
      <c r="BL544" s="11">
        <f ca="1">IFERROR(OFFSET(ITEM_RES!$A$1,MATCH(BM544,ITEM_RES!$J:$J,0)-1,0),0)</f>
        <v>0</v>
      </c>
    </row>
    <row r="545" spans="1:67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79"/>
      <c r="H545" s="16">
        <v>5</v>
      </c>
      <c r="I545" s="16">
        <v>1</v>
      </c>
      <c r="J545" s="79"/>
      <c r="K545" s="16" t="s">
        <v>394</v>
      </c>
      <c r="L545" s="16"/>
      <c r="M545" s="16"/>
      <c r="N545" s="16">
        <v>1</v>
      </c>
      <c r="O545" s="16">
        <v>15</v>
      </c>
      <c r="P545" s="16"/>
      <c r="Q545" s="17"/>
      <c r="R545" s="17"/>
      <c r="S545" s="18"/>
      <c r="T545" s="16">
        <v>6666</v>
      </c>
      <c r="U545" s="79"/>
      <c r="V545" s="87"/>
      <c r="W545" s="16">
        <f ca="1">IFERROR(OFFSET(ITEM_RES!$A$5,MATCH(BUILDING!V545,ITEM_RES!$J$5:$J$226,0)-1,0),0)</f>
        <v>0</v>
      </c>
      <c r="X545" s="18"/>
      <c r="Y545" s="87"/>
      <c r="Z545" s="16">
        <f ca="1">IFERROR(OFFSET(ITEM_RES!$A$5,MATCH(BUILDING!Y545,ITEM_RES!$J$5:$J$226,0)-1,0),0)</f>
        <v>0</v>
      </c>
      <c r="AA545" s="79"/>
      <c r="AB545" s="16" t="s">
        <v>394</v>
      </c>
      <c r="AC545" s="16">
        <v>1</v>
      </c>
      <c r="AD545" s="79"/>
      <c r="AE545" s="16">
        <v>0</v>
      </c>
      <c r="AF545" s="79"/>
      <c r="AG545" s="57">
        <f t="shared" si="149"/>
        <v>1080</v>
      </c>
      <c r="AH545" s="17">
        <f>AG545</f>
        <v>1080</v>
      </c>
      <c r="AI545" s="79"/>
      <c r="AJ545" s="18">
        <f t="shared" si="148"/>
        <v>5</v>
      </c>
      <c r="AK545" s="17">
        <v>5</v>
      </c>
      <c r="AL545" s="18">
        <f t="shared" si="145"/>
        <v>5</v>
      </c>
      <c r="AM545" s="17">
        <v>5</v>
      </c>
      <c r="AN545" s="18">
        <f t="shared" si="145"/>
        <v>5</v>
      </c>
      <c r="AO545" s="17">
        <v>5</v>
      </c>
      <c r="AP545" s="57">
        <f t="shared" si="150"/>
        <v>3</v>
      </c>
      <c r="AQ545" s="18"/>
      <c r="AR545" s="18">
        <f ca="1">IFERROR(OFFSET(ITEM_RES!$A$1,MATCH(AS545,ITEM_RES!$J:$J,0)-1,0),0)</f>
        <v>211020801</v>
      </c>
      <c r="AS545" s="17" t="s">
        <v>452</v>
      </c>
      <c r="AT545" s="18">
        <v>25</v>
      </c>
      <c r="AU545" s="17"/>
      <c r="AV545" s="18"/>
      <c r="AW545" s="18">
        <f ca="1">IFERROR(OFFSET(ITEM_RES!$A$1,MATCH(AX545,ITEM_RES!$J:$J,0)-1,0),0)</f>
        <v>0</v>
      </c>
      <c r="AX545" s="17"/>
      <c r="AY545" s="18"/>
      <c r="AZ545" s="17"/>
      <c r="BA545" s="18"/>
      <c r="BB545" s="18">
        <f ca="1">IFERROR(OFFSET(ITEM_RES!$A$1,MATCH(BC545,ITEM_RES!$J:$J,0)-1,0),0)</f>
        <v>213010101</v>
      </c>
      <c r="BC545" s="17" t="s">
        <v>477</v>
      </c>
      <c r="BD545" s="18">
        <v>1</v>
      </c>
      <c r="BE545" s="17"/>
      <c r="BF545" s="18"/>
      <c r="BG545" s="18">
        <f ca="1">IFERROR(OFFSET(ITEM_RES!$A$1,MATCH(BH545,ITEM_RES!$J:$J,0)-1,0),0)</f>
        <v>213010301</v>
      </c>
      <c r="BH545" s="17" t="s">
        <v>501</v>
      </c>
      <c r="BI545" s="18">
        <v>1</v>
      </c>
      <c r="BJ545" s="17"/>
      <c r="BK545" s="18"/>
      <c r="BL545" s="18">
        <f ca="1">IFERROR(OFFSET(ITEM_RES!$A$1,MATCH(BM545,ITEM_RES!$J:$J,0)-1,0),0)</f>
        <v>0</v>
      </c>
      <c r="BM545" s="17"/>
      <c r="BN545" s="18"/>
      <c r="BO545" s="17"/>
    </row>
    <row r="546" spans="1:67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394</v>
      </c>
      <c r="N546" s="9">
        <v>1</v>
      </c>
      <c r="O546" s="9">
        <v>15</v>
      </c>
      <c r="T546" s="9">
        <v>6666</v>
      </c>
      <c r="W546" s="9">
        <f ca="1">IFERROR(OFFSET(ITEM_RES!$A$5,MATCH(BUILDING!V546,ITEM_RES!$J$5:$J$226,0)-1,0),0)</f>
        <v>0</v>
      </c>
      <c r="Z546" s="9">
        <f ca="1">IFERROR(OFFSET(ITEM_RES!$A$5,MATCH(BUILDING!Y546,ITEM_RES!$J$5:$J$226,0)-1,0),0)</f>
        <v>0</v>
      </c>
      <c r="AB546" s="9" t="s">
        <v>394</v>
      </c>
      <c r="AC546" s="9">
        <v>2</v>
      </c>
      <c r="AE546" s="9">
        <v>200</v>
      </c>
      <c r="AG546" s="56">
        <f t="shared" si="149"/>
        <v>160</v>
      </c>
      <c r="AH546" s="10">
        <f>AG545+AG546</f>
        <v>1240</v>
      </c>
      <c r="AJ546" s="11">
        <f t="shared" si="148"/>
        <v>10</v>
      </c>
      <c r="AK546" s="10">
        <v>10</v>
      </c>
      <c r="AL546" s="11">
        <f t="shared" si="145"/>
        <v>10</v>
      </c>
      <c r="AM546" s="10">
        <v>10</v>
      </c>
      <c r="AN546" s="11">
        <f t="shared" si="145"/>
        <v>10</v>
      </c>
      <c r="AO546" s="10">
        <v>10</v>
      </c>
      <c r="AP546" s="56">
        <f t="shared" si="150"/>
        <v>1</v>
      </c>
      <c r="AR546" s="11">
        <f ca="1">IFERROR(OFFSET(ITEM_RES!$A$1,MATCH(AS546,ITEM_RES!$J:$J,0)-1,0),0)</f>
        <v>211020801</v>
      </c>
      <c r="AS546" s="10" t="s">
        <v>452</v>
      </c>
      <c r="AT546" s="11">
        <v>50</v>
      </c>
      <c r="AW546" s="11">
        <f ca="1">IFERROR(OFFSET(ITEM_RES!$A$1,MATCH(AX546,ITEM_RES!$J:$J,0)-1,0),0)</f>
        <v>0</v>
      </c>
      <c r="BB546" s="11">
        <f ca="1">IFERROR(OFFSET(ITEM_RES!$A$1,MATCH(BC546,ITEM_RES!$J:$J,0)-1,0),0)</f>
        <v>0</v>
      </c>
      <c r="BG546" s="11">
        <f ca="1">IFERROR(OFFSET(ITEM_RES!$A$1,MATCH(BH546,ITEM_RES!$J:$J,0)-1,0),0)</f>
        <v>0</v>
      </c>
      <c r="BL546" s="11">
        <f ca="1">IFERROR(OFFSET(ITEM_RES!$A$1,MATCH(BM546,ITEM_RES!$J:$J,0)-1,0),0)</f>
        <v>0</v>
      </c>
    </row>
    <row r="547" spans="1:67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393</v>
      </c>
      <c r="N547" s="9">
        <v>1</v>
      </c>
      <c r="O547" s="9">
        <v>15</v>
      </c>
      <c r="T547" s="9">
        <v>6666</v>
      </c>
      <c r="W547" s="9">
        <f ca="1">IFERROR(OFFSET(ITEM_RES!$A$5,MATCH(BUILDING!V547,ITEM_RES!$J$5:$J$226,0)-1,0),0)</f>
        <v>0</v>
      </c>
      <c r="Z547" s="9">
        <f ca="1">IFERROR(OFFSET(ITEM_RES!$A$5,MATCH(BUILDING!Y547,ITEM_RES!$J$5:$J$226,0)-1,0),0)</f>
        <v>0</v>
      </c>
      <c r="AB547" s="9" t="s">
        <v>393</v>
      </c>
      <c r="AC547" s="9">
        <v>3</v>
      </c>
      <c r="AE547" s="9">
        <v>600</v>
      </c>
      <c r="AG547" s="56">
        <f t="shared" si="149"/>
        <v>240</v>
      </c>
      <c r="AH547" s="10">
        <f t="shared" ref="AH547:AH564" si="151">AG546+AG547</f>
        <v>400</v>
      </c>
      <c r="AJ547" s="11">
        <f t="shared" si="148"/>
        <v>15</v>
      </c>
      <c r="AK547" s="10">
        <v>15</v>
      </c>
      <c r="AL547" s="11">
        <f t="shared" si="145"/>
        <v>15</v>
      </c>
      <c r="AM547" s="10">
        <v>15</v>
      </c>
      <c r="AN547" s="11">
        <f t="shared" si="145"/>
        <v>15</v>
      </c>
      <c r="AO547" s="10">
        <v>15</v>
      </c>
      <c r="AP547" s="56">
        <f t="shared" si="150"/>
        <v>1</v>
      </c>
      <c r="AR547" s="11">
        <f ca="1">IFERROR(OFFSET(ITEM_RES!$A$1,MATCH(AS547,ITEM_RES!$J:$J,0)-1,0),0)</f>
        <v>211020801</v>
      </c>
      <c r="AS547" s="10" t="s">
        <v>452</v>
      </c>
      <c r="AT547" s="11">
        <v>75</v>
      </c>
      <c r="AW547" s="11">
        <f ca="1">IFERROR(OFFSET(ITEM_RES!$A$1,MATCH(AX547,ITEM_RES!$J:$J,0)-1,0),0)</f>
        <v>0</v>
      </c>
      <c r="BB547" s="11">
        <f ca="1">IFERROR(OFFSET(ITEM_RES!$A$1,MATCH(BC547,ITEM_RES!$J:$J,0)-1,0),0)</f>
        <v>0</v>
      </c>
      <c r="BG547" s="11">
        <f ca="1">IFERROR(OFFSET(ITEM_RES!$A$1,MATCH(BH547,ITEM_RES!$J:$J,0)-1,0),0)</f>
        <v>0</v>
      </c>
      <c r="BL547" s="11">
        <f ca="1">IFERROR(OFFSET(ITEM_RES!$A$1,MATCH(BM547,ITEM_RES!$J:$J,0)-1,0),0)</f>
        <v>0</v>
      </c>
    </row>
    <row r="548" spans="1:67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393</v>
      </c>
      <c r="N548" s="9">
        <v>1</v>
      </c>
      <c r="O548" s="9">
        <v>15</v>
      </c>
      <c r="T548" s="9">
        <v>6666</v>
      </c>
      <c r="W548" s="9">
        <f ca="1">IFERROR(OFFSET(ITEM_RES!$A$5,MATCH(BUILDING!V548,ITEM_RES!$J$5:$J$226,0)-1,0),0)</f>
        <v>0</v>
      </c>
      <c r="Z548" s="9">
        <f ca="1">IFERROR(OFFSET(ITEM_RES!$A$5,MATCH(BUILDING!Y548,ITEM_RES!$J$5:$J$226,0)-1,0),0)</f>
        <v>0</v>
      </c>
      <c r="AB548" s="9" t="s">
        <v>393</v>
      </c>
      <c r="AC548" s="9">
        <v>4</v>
      </c>
      <c r="AE548" s="9">
        <v>1000</v>
      </c>
      <c r="AG548" s="56">
        <f t="shared" si="149"/>
        <v>400</v>
      </c>
      <c r="AH548" s="10">
        <f t="shared" si="151"/>
        <v>640</v>
      </c>
      <c r="AJ548" s="11">
        <f t="shared" si="148"/>
        <v>20</v>
      </c>
      <c r="AK548" s="10">
        <v>20</v>
      </c>
      <c r="AL548" s="11">
        <f t="shared" si="145"/>
        <v>25</v>
      </c>
      <c r="AM548" s="10">
        <v>25</v>
      </c>
      <c r="AN548" s="11">
        <f t="shared" si="145"/>
        <v>25</v>
      </c>
      <c r="AO548" s="10">
        <v>25</v>
      </c>
      <c r="AP548" s="56">
        <f t="shared" si="150"/>
        <v>1</v>
      </c>
      <c r="AR548" s="11">
        <f ca="1">IFERROR(OFFSET(ITEM_RES!$A$1,MATCH(AS548,ITEM_RES!$J:$J,0)-1,0),0)</f>
        <v>211020801</v>
      </c>
      <c r="AS548" s="10" t="s">
        <v>452</v>
      </c>
      <c r="AT548" s="11">
        <v>125</v>
      </c>
      <c r="AW548" s="11">
        <f ca="1">IFERROR(OFFSET(ITEM_RES!$A$1,MATCH(AX548,ITEM_RES!$J:$J,0)-1,0),0)</f>
        <v>0</v>
      </c>
      <c r="BB548" s="11">
        <f ca="1">IFERROR(OFFSET(ITEM_RES!$A$1,MATCH(BC548,ITEM_RES!$J:$J,0)-1,0),0)</f>
        <v>0</v>
      </c>
      <c r="BG548" s="11">
        <f ca="1">IFERROR(OFFSET(ITEM_RES!$A$1,MATCH(BH548,ITEM_RES!$J:$J,0)-1,0),0)</f>
        <v>0</v>
      </c>
      <c r="BL548" s="11">
        <f ca="1">IFERROR(OFFSET(ITEM_RES!$A$1,MATCH(BM548,ITEM_RES!$J:$J,0)-1,0),0)</f>
        <v>0</v>
      </c>
    </row>
    <row r="549" spans="1:67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393</v>
      </c>
      <c r="N549" s="9">
        <v>1</v>
      </c>
      <c r="O549" s="9">
        <v>15</v>
      </c>
      <c r="T549" s="9">
        <v>6666</v>
      </c>
      <c r="W549" s="9">
        <f ca="1">IFERROR(OFFSET(ITEM_RES!$A$5,MATCH(BUILDING!V549,ITEM_RES!$J$5:$J$226,0)-1,0),0)</f>
        <v>0</v>
      </c>
      <c r="Z549" s="9">
        <f ca="1">IFERROR(OFFSET(ITEM_RES!$A$5,MATCH(BUILDING!Y549,ITEM_RES!$J$5:$J$226,0)-1,0),0)</f>
        <v>0</v>
      </c>
      <c r="AB549" s="9" t="s">
        <v>393</v>
      </c>
      <c r="AC549" s="9">
        <v>5</v>
      </c>
      <c r="AE549" s="9">
        <v>1600</v>
      </c>
      <c r="AG549" s="56">
        <f t="shared" si="149"/>
        <v>640</v>
      </c>
      <c r="AH549" s="10">
        <f t="shared" si="151"/>
        <v>1040</v>
      </c>
      <c r="AJ549" s="11">
        <f t="shared" si="148"/>
        <v>25</v>
      </c>
      <c r="AK549" s="10">
        <v>25</v>
      </c>
      <c r="AL549" s="11">
        <f t="shared" si="145"/>
        <v>40</v>
      </c>
      <c r="AM549" s="10">
        <v>40</v>
      </c>
      <c r="AN549" s="11">
        <f t="shared" si="145"/>
        <v>40</v>
      </c>
      <c r="AO549" s="10">
        <v>40</v>
      </c>
      <c r="AP549" s="56">
        <f t="shared" si="150"/>
        <v>1</v>
      </c>
      <c r="AR549" s="11">
        <f ca="1">IFERROR(OFFSET(ITEM_RES!$A$1,MATCH(AS549,ITEM_RES!$J:$J,0)-1,0),0)</f>
        <v>211020801</v>
      </c>
      <c r="AS549" s="10" t="s">
        <v>452</v>
      </c>
      <c r="AT549" s="11">
        <v>200</v>
      </c>
      <c r="AW549" s="11">
        <f ca="1">IFERROR(OFFSET(ITEM_RES!$A$1,MATCH(AX549,ITEM_RES!$J:$J,0)-1,0),0)</f>
        <v>0</v>
      </c>
      <c r="BB549" s="11">
        <f ca="1">IFERROR(OFFSET(ITEM_RES!$A$1,MATCH(BC549,ITEM_RES!$J:$J,0)-1,0),0)</f>
        <v>0</v>
      </c>
      <c r="BG549" s="11">
        <f ca="1">IFERROR(OFFSET(ITEM_RES!$A$1,MATCH(BH549,ITEM_RES!$J:$J,0)-1,0),0)</f>
        <v>0</v>
      </c>
      <c r="BL549" s="11">
        <f ca="1">IFERROR(OFFSET(ITEM_RES!$A$1,MATCH(BM549,ITEM_RES!$J:$J,0)-1,0),0)</f>
        <v>0</v>
      </c>
    </row>
    <row r="550" spans="1:67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393</v>
      </c>
      <c r="N550" s="9">
        <v>1</v>
      </c>
      <c r="O550" s="9">
        <v>15</v>
      </c>
      <c r="T550" s="9">
        <v>6666</v>
      </c>
      <c r="W550" s="9">
        <f ca="1">IFERROR(OFFSET(ITEM_RES!$A$5,MATCH(BUILDING!V550,ITEM_RES!$J$5:$J$226,0)-1,0),0)</f>
        <v>0</v>
      </c>
      <c r="Z550" s="9">
        <f ca="1">IFERROR(OFFSET(ITEM_RES!$A$5,MATCH(BUILDING!Y550,ITEM_RES!$J$5:$J$226,0)-1,0),0)</f>
        <v>0</v>
      </c>
      <c r="AB550" s="9" t="s">
        <v>393</v>
      </c>
      <c r="AC550" s="9">
        <v>6</v>
      </c>
      <c r="AE550" s="9">
        <v>2000</v>
      </c>
      <c r="AG550" s="56">
        <f t="shared" si="149"/>
        <v>1300</v>
      </c>
      <c r="AH550" s="10">
        <f t="shared" si="151"/>
        <v>1940</v>
      </c>
      <c r="AJ550" s="11">
        <f t="shared" si="148"/>
        <v>30</v>
      </c>
      <c r="AK550" s="10">
        <v>30</v>
      </c>
      <c r="AL550" s="11">
        <f t="shared" si="145"/>
        <v>50</v>
      </c>
      <c r="AM550" s="10">
        <v>50</v>
      </c>
      <c r="AN550" s="11">
        <f t="shared" si="145"/>
        <v>50</v>
      </c>
      <c r="AO550" s="10">
        <v>50</v>
      </c>
      <c r="AP550" s="56">
        <f t="shared" si="150"/>
        <v>2</v>
      </c>
      <c r="AR550" s="11">
        <f ca="1">IFERROR(OFFSET(ITEM_RES!$A$1,MATCH(AS550,ITEM_RES!$J:$J,0)-1,0),0)</f>
        <v>211020801</v>
      </c>
      <c r="AS550" s="10" t="s">
        <v>452</v>
      </c>
      <c r="AT550" s="11">
        <v>250</v>
      </c>
      <c r="AW550" s="11">
        <f ca="1">IFERROR(OFFSET(ITEM_RES!$A$1,MATCH(AX550,ITEM_RES!$J:$J,0)-1,0),0)</f>
        <v>0</v>
      </c>
      <c r="BB550" s="11">
        <f ca="1">IFERROR(OFFSET(ITEM_RES!$A$1,MATCH(BC550,ITEM_RES!$J:$J,0)-1,0),0)</f>
        <v>0</v>
      </c>
      <c r="BG550" s="11">
        <f ca="1">IFERROR(OFFSET(ITEM_RES!$A$1,MATCH(BH550,ITEM_RES!$J:$J,0)-1,0),0)</f>
        <v>213011901</v>
      </c>
      <c r="BH550" s="10" t="s">
        <v>507</v>
      </c>
      <c r="BI550" s="11">
        <v>1</v>
      </c>
      <c r="BL550" s="11">
        <f ca="1">IFERROR(OFFSET(ITEM_RES!$A$1,MATCH(BM550,ITEM_RES!$J:$J,0)-1,0),0)</f>
        <v>0</v>
      </c>
    </row>
    <row r="551" spans="1:67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393</v>
      </c>
      <c r="N551" s="9">
        <v>1</v>
      </c>
      <c r="O551" s="9">
        <v>15</v>
      </c>
      <c r="T551" s="9">
        <v>6666</v>
      </c>
      <c r="W551" s="9">
        <f ca="1">IFERROR(OFFSET(ITEM_RES!$A$5,MATCH(BUILDING!V551,ITEM_RES!$J$5:$J$226,0)-1,0),0)</f>
        <v>0</v>
      </c>
      <c r="Z551" s="9">
        <f ca="1">IFERROR(OFFSET(ITEM_RES!$A$5,MATCH(BUILDING!Y551,ITEM_RES!$J$5:$J$226,0)-1,0),0)</f>
        <v>0</v>
      </c>
      <c r="AB551" s="9" t="s">
        <v>393</v>
      </c>
      <c r="AC551" s="9">
        <v>7</v>
      </c>
      <c r="AE551" s="9">
        <v>4000</v>
      </c>
      <c r="AG551" s="56">
        <f t="shared" si="149"/>
        <v>1600</v>
      </c>
      <c r="AH551" s="10">
        <f t="shared" si="151"/>
        <v>2900</v>
      </c>
      <c r="AJ551" s="11">
        <f t="shared" si="148"/>
        <v>35</v>
      </c>
      <c r="AK551" s="10">
        <v>35</v>
      </c>
      <c r="AL551" s="11">
        <f t="shared" si="145"/>
        <v>100</v>
      </c>
      <c r="AM551" s="10">
        <v>100</v>
      </c>
      <c r="AN551" s="11">
        <f t="shared" si="145"/>
        <v>100</v>
      </c>
      <c r="AO551" s="10">
        <v>100</v>
      </c>
      <c r="AP551" s="56">
        <f t="shared" si="150"/>
        <v>1</v>
      </c>
      <c r="AR551" s="11">
        <f ca="1">IFERROR(OFFSET(ITEM_RES!$A$1,MATCH(AS551,ITEM_RES!$J:$J,0)-1,0),0)</f>
        <v>211020801</v>
      </c>
      <c r="AS551" s="10" t="s">
        <v>452</v>
      </c>
      <c r="AT551" s="11">
        <v>500</v>
      </c>
      <c r="AW551" s="11">
        <f ca="1">IFERROR(OFFSET(ITEM_RES!$A$1,MATCH(AX551,ITEM_RES!$J:$J,0)-1,0),0)</f>
        <v>0</v>
      </c>
      <c r="BB551" s="11">
        <f ca="1">IFERROR(OFFSET(ITEM_RES!$A$1,MATCH(BC551,ITEM_RES!$J:$J,0)-1,0),0)</f>
        <v>0</v>
      </c>
      <c r="BG551" s="11">
        <f ca="1">IFERROR(OFFSET(ITEM_RES!$A$1,MATCH(BH551,ITEM_RES!$J:$J,0)-1,0),0)</f>
        <v>0</v>
      </c>
      <c r="BL551" s="11">
        <f ca="1">IFERROR(OFFSET(ITEM_RES!$A$1,MATCH(BM551,ITEM_RES!$J:$J,0)-1,0),0)</f>
        <v>0</v>
      </c>
    </row>
    <row r="552" spans="1:67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393</v>
      </c>
      <c r="N552" s="9">
        <v>1</v>
      </c>
      <c r="O552" s="9">
        <v>15</v>
      </c>
      <c r="T552" s="9">
        <v>6666</v>
      </c>
      <c r="W552" s="9">
        <f ca="1">IFERROR(OFFSET(ITEM_RES!$A$5,MATCH(BUILDING!V552,ITEM_RES!$J$5:$J$226,0)-1,0),0)</f>
        <v>0</v>
      </c>
      <c r="Z552" s="9">
        <f ca="1">IFERROR(OFFSET(ITEM_RES!$A$5,MATCH(BUILDING!Y552,ITEM_RES!$J$5:$J$226,0)-1,0),0)</f>
        <v>0</v>
      </c>
      <c r="AB552" s="9" t="s">
        <v>393</v>
      </c>
      <c r="AC552" s="9">
        <v>8</v>
      </c>
      <c r="AE552" s="9">
        <v>4000</v>
      </c>
      <c r="AG552" s="56">
        <f t="shared" si="149"/>
        <v>1600</v>
      </c>
      <c r="AH552" s="10">
        <f t="shared" si="151"/>
        <v>3200</v>
      </c>
      <c r="AJ552" s="11">
        <f t="shared" si="148"/>
        <v>40</v>
      </c>
      <c r="AK552" s="10">
        <v>40</v>
      </c>
      <c r="AL552" s="11">
        <f t="shared" si="145"/>
        <v>100</v>
      </c>
      <c r="AM552" s="10">
        <v>100</v>
      </c>
      <c r="AN552" s="11">
        <f t="shared" si="145"/>
        <v>100</v>
      </c>
      <c r="AO552" s="10">
        <v>100</v>
      </c>
      <c r="AP552" s="56">
        <f t="shared" si="150"/>
        <v>1</v>
      </c>
      <c r="AR552" s="11">
        <f ca="1">IFERROR(OFFSET(ITEM_RES!$A$1,MATCH(AS552,ITEM_RES!$J:$J,0)-1,0),0)</f>
        <v>211020801</v>
      </c>
      <c r="AS552" s="10" t="s">
        <v>452</v>
      </c>
      <c r="AT552" s="11">
        <v>500</v>
      </c>
      <c r="AW552" s="11">
        <f ca="1">IFERROR(OFFSET(ITEM_RES!$A$1,MATCH(AX552,ITEM_RES!$J:$J,0)-1,0),0)</f>
        <v>0</v>
      </c>
      <c r="BB552" s="11">
        <f ca="1">IFERROR(OFFSET(ITEM_RES!$A$1,MATCH(BC552,ITEM_RES!$J:$J,0)-1,0),0)</f>
        <v>0</v>
      </c>
      <c r="BG552" s="11">
        <f ca="1">IFERROR(OFFSET(ITEM_RES!$A$1,MATCH(BH552,ITEM_RES!$J:$J,0)-1,0),0)</f>
        <v>0</v>
      </c>
      <c r="BL552" s="11">
        <f ca="1">IFERROR(OFFSET(ITEM_RES!$A$1,MATCH(BM552,ITEM_RES!$J:$J,0)-1,0),0)</f>
        <v>0</v>
      </c>
    </row>
    <row r="553" spans="1:67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393</v>
      </c>
      <c r="N553" s="9">
        <v>1</v>
      </c>
      <c r="O553" s="9">
        <v>15</v>
      </c>
      <c r="T553" s="9">
        <v>6666</v>
      </c>
      <c r="W553" s="9">
        <f ca="1">IFERROR(OFFSET(ITEM_RES!$A$5,MATCH(BUILDING!V553,ITEM_RES!$J$5:$J$226,0)-1,0),0)</f>
        <v>0</v>
      </c>
      <c r="Z553" s="9">
        <f ca="1">IFERROR(OFFSET(ITEM_RES!$A$5,MATCH(BUILDING!Y553,ITEM_RES!$J$5:$J$226,0)-1,0),0)</f>
        <v>0</v>
      </c>
      <c r="AB553" s="9" t="s">
        <v>393</v>
      </c>
      <c r="AC553" s="9">
        <v>9</v>
      </c>
      <c r="AE553" s="9">
        <v>6000</v>
      </c>
      <c r="AG553" s="56">
        <f t="shared" si="149"/>
        <v>2400</v>
      </c>
      <c r="AH553" s="10">
        <f t="shared" si="151"/>
        <v>4000</v>
      </c>
      <c r="AJ553" s="11">
        <f t="shared" si="148"/>
        <v>45</v>
      </c>
      <c r="AK553" s="10">
        <v>45</v>
      </c>
      <c r="AL553" s="11">
        <f t="shared" si="145"/>
        <v>150</v>
      </c>
      <c r="AM553" s="10">
        <v>150</v>
      </c>
      <c r="AN553" s="11">
        <f t="shared" si="145"/>
        <v>150</v>
      </c>
      <c r="AO553" s="10">
        <v>150</v>
      </c>
      <c r="AP553" s="56">
        <f t="shared" si="150"/>
        <v>1</v>
      </c>
      <c r="AR553" s="11">
        <f ca="1">IFERROR(OFFSET(ITEM_RES!$A$1,MATCH(AS553,ITEM_RES!$J:$J,0)-1,0),0)</f>
        <v>211020801</v>
      </c>
      <c r="AS553" s="10" t="s">
        <v>452</v>
      </c>
      <c r="AT553" s="11">
        <v>750</v>
      </c>
      <c r="AW553" s="11">
        <f ca="1">IFERROR(OFFSET(ITEM_RES!$A$1,MATCH(AX553,ITEM_RES!$J:$J,0)-1,0),0)</f>
        <v>0</v>
      </c>
      <c r="BB553" s="11">
        <f ca="1">IFERROR(OFFSET(ITEM_RES!$A$1,MATCH(BC553,ITEM_RES!$J:$J,0)-1,0),0)</f>
        <v>0</v>
      </c>
      <c r="BG553" s="11">
        <f ca="1">IFERROR(OFFSET(ITEM_RES!$A$1,MATCH(BH553,ITEM_RES!$J:$J,0)-1,0),0)</f>
        <v>0</v>
      </c>
      <c r="BL553" s="11">
        <f ca="1">IFERROR(OFFSET(ITEM_RES!$A$1,MATCH(BM553,ITEM_RES!$J:$J,0)-1,0),0)</f>
        <v>0</v>
      </c>
    </row>
    <row r="554" spans="1:67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393</v>
      </c>
      <c r="N554" s="9">
        <v>1</v>
      </c>
      <c r="O554" s="9">
        <v>15</v>
      </c>
      <c r="T554" s="9">
        <v>6666</v>
      </c>
      <c r="W554" s="9">
        <f ca="1">IFERROR(OFFSET(ITEM_RES!$A$5,MATCH(BUILDING!V554,ITEM_RES!$J$5:$J$226,0)-1,0),0)</f>
        <v>0</v>
      </c>
      <c r="Z554" s="9">
        <f ca="1">IFERROR(OFFSET(ITEM_RES!$A$5,MATCH(BUILDING!Y554,ITEM_RES!$J$5:$J$226,0)-1,0),0)</f>
        <v>0</v>
      </c>
      <c r="AB554" s="9" t="s">
        <v>393</v>
      </c>
      <c r="AC554" s="9">
        <v>10</v>
      </c>
      <c r="AE554" s="9">
        <v>8000</v>
      </c>
      <c r="AG554" s="56">
        <f t="shared" si="149"/>
        <v>3200</v>
      </c>
      <c r="AH554" s="10">
        <f t="shared" si="151"/>
        <v>5600</v>
      </c>
      <c r="AJ554" s="11">
        <f t="shared" si="148"/>
        <v>50</v>
      </c>
      <c r="AK554" s="10">
        <v>50</v>
      </c>
      <c r="AL554" s="11">
        <f t="shared" si="145"/>
        <v>200</v>
      </c>
      <c r="AM554" s="10">
        <v>200</v>
      </c>
      <c r="AN554" s="11">
        <f t="shared" si="145"/>
        <v>200</v>
      </c>
      <c r="AO554" s="10">
        <v>200</v>
      </c>
      <c r="AP554" s="56">
        <f t="shared" si="150"/>
        <v>1</v>
      </c>
      <c r="AR554" s="11">
        <f ca="1">IFERROR(OFFSET(ITEM_RES!$A$1,MATCH(AS554,ITEM_RES!$J:$J,0)-1,0),0)</f>
        <v>211020801</v>
      </c>
      <c r="AS554" s="10" t="s">
        <v>452</v>
      </c>
      <c r="AT554" s="11">
        <v>1000</v>
      </c>
      <c r="AW554" s="11">
        <f ca="1">IFERROR(OFFSET(ITEM_RES!$A$1,MATCH(AX554,ITEM_RES!$J:$J,0)-1,0),0)</f>
        <v>0</v>
      </c>
      <c r="BB554" s="11">
        <f ca="1">IFERROR(OFFSET(ITEM_RES!$A$1,MATCH(BC554,ITEM_RES!$J:$J,0)-1,0),0)</f>
        <v>0</v>
      </c>
      <c r="BG554" s="11">
        <f ca="1">IFERROR(OFFSET(ITEM_RES!$A$1,MATCH(BH554,ITEM_RES!$J:$J,0)-1,0),0)</f>
        <v>0</v>
      </c>
      <c r="BL554" s="11">
        <f ca="1">IFERROR(OFFSET(ITEM_RES!$A$1,MATCH(BM554,ITEM_RES!$J:$J,0)-1,0),0)</f>
        <v>0</v>
      </c>
    </row>
    <row r="555" spans="1:67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393</v>
      </c>
      <c r="N555" s="9">
        <v>1</v>
      </c>
      <c r="O555" s="9">
        <v>15</v>
      </c>
      <c r="T555" s="9">
        <v>6666</v>
      </c>
      <c r="W555" s="9">
        <f ca="1">IFERROR(OFFSET(ITEM_RES!$A$5,MATCH(BUILDING!V555,ITEM_RES!$J$5:$J$226,0)-1,0),0)</f>
        <v>0</v>
      </c>
      <c r="Z555" s="9">
        <f ca="1">IFERROR(OFFSET(ITEM_RES!$A$5,MATCH(BUILDING!Y555,ITEM_RES!$J$5:$J$226,0)-1,0),0)</f>
        <v>0</v>
      </c>
      <c r="AB555" s="9" t="s">
        <v>393</v>
      </c>
      <c r="AC555" s="9">
        <v>11</v>
      </c>
      <c r="AE555" s="9">
        <v>10000</v>
      </c>
      <c r="AG555" s="56">
        <f t="shared" si="149"/>
        <v>4000</v>
      </c>
      <c r="AH555" s="10">
        <f t="shared" si="151"/>
        <v>7200</v>
      </c>
      <c r="AJ555" s="11">
        <f t="shared" si="148"/>
        <v>55</v>
      </c>
      <c r="AK555" s="10">
        <v>55</v>
      </c>
      <c r="AL555" s="11">
        <f t="shared" si="145"/>
        <v>250</v>
      </c>
      <c r="AM555" s="10">
        <v>250</v>
      </c>
      <c r="AN555" s="11">
        <f t="shared" si="145"/>
        <v>250</v>
      </c>
      <c r="AO555" s="10">
        <v>250</v>
      </c>
      <c r="AP555" s="56">
        <f t="shared" si="150"/>
        <v>1</v>
      </c>
      <c r="AR555" s="11">
        <f ca="1">IFERROR(OFFSET(ITEM_RES!$A$1,MATCH(AS555,ITEM_RES!$J:$J,0)-1,0),0)</f>
        <v>211020801</v>
      </c>
      <c r="AS555" s="10" t="s">
        <v>452</v>
      </c>
      <c r="AT555" s="11">
        <v>1250</v>
      </c>
      <c r="AW555" s="11">
        <f ca="1">IFERROR(OFFSET(ITEM_RES!$A$1,MATCH(AX555,ITEM_RES!$J:$J,0)-1,0),0)</f>
        <v>0</v>
      </c>
      <c r="BB555" s="11">
        <f ca="1">IFERROR(OFFSET(ITEM_RES!$A$1,MATCH(BC555,ITEM_RES!$J:$J,0)-1,0),0)</f>
        <v>0</v>
      </c>
      <c r="BG555" s="11">
        <f ca="1">IFERROR(OFFSET(ITEM_RES!$A$1,MATCH(BH555,ITEM_RES!$J:$J,0)-1,0),0)</f>
        <v>0</v>
      </c>
      <c r="BL555" s="11">
        <f ca="1">IFERROR(OFFSET(ITEM_RES!$A$1,MATCH(BM555,ITEM_RES!$J:$J,0)-1,0),0)</f>
        <v>0</v>
      </c>
    </row>
    <row r="556" spans="1:67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393</v>
      </c>
      <c r="N556" s="9">
        <v>1</v>
      </c>
      <c r="O556" s="9">
        <v>15</v>
      </c>
      <c r="T556" s="9">
        <v>6666</v>
      </c>
      <c r="W556" s="9">
        <f ca="1">IFERROR(OFFSET(ITEM_RES!$A$5,MATCH(BUILDING!V556,ITEM_RES!$J$5:$J$226,0)-1,0),0)</f>
        <v>0</v>
      </c>
      <c r="Z556" s="9">
        <f ca="1">IFERROR(OFFSET(ITEM_RES!$A$5,MATCH(BUILDING!Y556,ITEM_RES!$J$5:$J$226,0)-1,0),0)</f>
        <v>0</v>
      </c>
      <c r="AB556" s="9" t="s">
        <v>393</v>
      </c>
      <c r="AC556" s="9">
        <v>12</v>
      </c>
      <c r="AE556" s="9">
        <v>12000</v>
      </c>
      <c r="AG556" s="56">
        <f t="shared" si="149"/>
        <v>4800</v>
      </c>
      <c r="AH556" s="10">
        <f t="shared" si="151"/>
        <v>8800</v>
      </c>
      <c r="AJ556" s="11">
        <f t="shared" si="148"/>
        <v>60</v>
      </c>
      <c r="AK556" s="10">
        <v>60</v>
      </c>
      <c r="AL556" s="11">
        <f t="shared" si="145"/>
        <v>300</v>
      </c>
      <c r="AM556" s="10">
        <v>300</v>
      </c>
      <c r="AN556" s="11">
        <f t="shared" si="145"/>
        <v>300</v>
      </c>
      <c r="AO556" s="10">
        <v>300</v>
      </c>
      <c r="AP556" s="56">
        <f t="shared" si="150"/>
        <v>1</v>
      </c>
      <c r="AR556" s="11">
        <f ca="1">IFERROR(OFFSET(ITEM_RES!$A$1,MATCH(AS556,ITEM_RES!$J:$J,0)-1,0),0)</f>
        <v>211020801</v>
      </c>
      <c r="AS556" s="10" t="s">
        <v>452</v>
      </c>
      <c r="AT556" s="11">
        <v>1500</v>
      </c>
      <c r="AW556" s="11">
        <f ca="1">IFERROR(OFFSET(ITEM_RES!$A$1,MATCH(AX556,ITEM_RES!$J:$J,0)-1,0),0)</f>
        <v>0</v>
      </c>
      <c r="BB556" s="11">
        <f ca="1">IFERROR(OFFSET(ITEM_RES!$A$1,MATCH(BC556,ITEM_RES!$J:$J,0)-1,0),0)</f>
        <v>0</v>
      </c>
      <c r="BG556" s="11">
        <f ca="1">IFERROR(OFFSET(ITEM_RES!$A$1,MATCH(BH556,ITEM_RES!$J:$J,0)-1,0),0)</f>
        <v>0</v>
      </c>
      <c r="BL556" s="11">
        <f ca="1">IFERROR(OFFSET(ITEM_RES!$A$1,MATCH(BM556,ITEM_RES!$J:$J,0)-1,0),0)</f>
        <v>0</v>
      </c>
    </row>
    <row r="557" spans="1:67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393</v>
      </c>
      <c r="N557" s="9">
        <v>1</v>
      </c>
      <c r="O557" s="9">
        <v>15</v>
      </c>
      <c r="T557" s="9">
        <v>6666</v>
      </c>
      <c r="W557" s="9">
        <f ca="1">IFERROR(OFFSET(ITEM_RES!$A$5,MATCH(BUILDING!V557,ITEM_RES!$J$5:$J$226,0)-1,0),0)</f>
        <v>0</v>
      </c>
      <c r="Z557" s="9">
        <f ca="1">IFERROR(OFFSET(ITEM_RES!$A$5,MATCH(BUILDING!Y557,ITEM_RES!$J$5:$J$226,0)-1,0),0)</f>
        <v>0</v>
      </c>
      <c r="AB557" s="9" t="s">
        <v>393</v>
      </c>
      <c r="AC557" s="9">
        <v>13</v>
      </c>
      <c r="AE557" s="9">
        <v>14000</v>
      </c>
      <c r="AG557" s="56">
        <f t="shared" si="149"/>
        <v>5600</v>
      </c>
      <c r="AH557" s="10">
        <f t="shared" si="151"/>
        <v>10400</v>
      </c>
      <c r="AJ557" s="11">
        <f t="shared" si="148"/>
        <v>65</v>
      </c>
      <c r="AK557" s="10">
        <v>65</v>
      </c>
      <c r="AL557" s="11">
        <f t="shared" si="145"/>
        <v>350</v>
      </c>
      <c r="AM557" s="10">
        <v>350</v>
      </c>
      <c r="AN557" s="11">
        <f t="shared" si="145"/>
        <v>350</v>
      </c>
      <c r="AO557" s="10">
        <v>350</v>
      </c>
      <c r="AP557" s="56">
        <f t="shared" si="150"/>
        <v>1</v>
      </c>
      <c r="AR557" s="11">
        <f ca="1">IFERROR(OFFSET(ITEM_RES!$A$1,MATCH(AS557,ITEM_RES!$J:$J,0)-1,0),0)</f>
        <v>211020801</v>
      </c>
      <c r="AS557" s="10" t="s">
        <v>452</v>
      </c>
      <c r="AT557" s="11">
        <v>1750</v>
      </c>
      <c r="AW557" s="11">
        <f ca="1">IFERROR(OFFSET(ITEM_RES!$A$1,MATCH(AX557,ITEM_RES!$J:$J,0)-1,0),0)</f>
        <v>0</v>
      </c>
      <c r="BB557" s="11">
        <f ca="1">IFERROR(OFFSET(ITEM_RES!$A$1,MATCH(BC557,ITEM_RES!$J:$J,0)-1,0),0)</f>
        <v>0</v>
      </c>
      <c r="BG557" s="11">
        <f ca="1">IFERROR(OFFSET(ITEM_RES!$A$1,MATCH(BH557,ITEM_RES!$J:$J,0)-1,0),0)</f>
        <v>0</v>
      </c>
      <c r="BL557" s="11">
        <f ca="1">IFERROR(OFFSET(ITEM_RES!$A$1,MATCH(BM557,ITEM_RES!$J:$J,0)-1,0),0)</f>
        <v>0</v>
      </c>
    </row>
    <row r="558" spans="1:67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393</v>
      </c>
      <c r="N558" s="9">
        <v>1</v>
      </c>
      <c r="O558" s="9">
        <v>15</v>
      </c>
      <c r="T558" s="9">
        <v>6666</v>
      </c>
      <c r="W558" s="9">
        <f ca="1">IFERROR(OFFSET(ITEM_RES!$A$5,MATCH(BUILDING!V558,ITEM_RES!$J$5:$J$226,0)-1,0),0)</f>
        <v>0</v>
      </c>
      <c r="Z558" s="9">
        <f ca="1">IFERROR(OFFSET(ITEM_RES!$A$5,MATCH(BUILDING!Y558,ITEM_RES!$J$5:$J$226,0)-1,0),0)</f>
        <v>0</v>
      </c>
      <c r="AB558" s="9" t="s">
        <v>393</v>
      </c>
      <c r="AC558" s="9">
        <v>14</v>
      </c>
      <c r="AE558" s="9">
        <v>18000</v>
      </c>
      <c r="AG558" s="56">
        <f t="shared" si="149"/>
        <v>7200</v>
      </c>
      <c r="AH558" s="10">
        <f t="shared" si="151"/>
        <v>12800</v>
      </c>
      <c r="AJ558" s="11">
        <f t="shared" si="148"/>
        <v>70</v>
      </c>
      <c r="AK558" s="10">
        <v>70</v>
      </c>
      <c r="AL558" s="11">
        <f t="shared" ref="AL558:AN604" si="155">ROUND(AM558,0)</f>
        <v>450</v>
      </c>
      <c r="AM558" s="10">
        <v>450</v>
      </c>
      <c r="AN558" s="11">
        <f t="shared" si="155"/>
        <v>450</v>
      </c>
      <c r="AO558" s="10">
        <v>450</v>
      </c>
      <c r="AP558" s="56">
        <f t="shared" si="150"/>
        <v>1</v>
      </c>
      <c r="AR558" s="11">
        <f ca="1">IFERROR(OFFSET(ITEM_RES!$A$1,MATCH(AS558,ITEM_RES!$J:$J,0)-1,0),0)</f>
        <v>211020801</v>
      </c>
      <c r="AS558" s="10" t="s">
        <v>452</v>
      </c>
      <c r="AT558" s="11">
        <v>2250</v>
      </c>
      <c r="AW558" s="11">
        <f ca="1">IFERROR(OFFSET(ITEM_RES!$A$1,MATCH(AX558,ITEM_RES!$J:$J,0)-1,0),0)</f>
        <v>0</v>
      </c>
      <c r="BB558" s="11">
        <f ca="1">IFERROR(OFFSET(ITEM_RES!$A$1,MATCH(BC558,ITEM_RES!$J:$J,0)-1,0),0)</f>
        <v>0</v>
      </c>
      <c r="BG558" s="11">
        <f ca="1">IFERROR(OFFSET(ITEM_RES!$A$1,MATCH(BH558,ITEM_RES!$J:$J,0)-1,0),0)</f>
        <v>0</v>
      </c>
      <c r="BL558" s="11">
        <f ca="1">IFERROR(OFFSET(ITEM_RES!$A$1,MATCH(BM558,ITEM_RES!$J:$J,0)-1,0),0)</f>
        <v>0</v>
      </c>
    </row>
    <row r="559" spans="1:67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393</v>
      </c>
      <c r="N559" s="9">
        <v>1</v>
      </c>
      <c r="O559" s="9">
        <v>15</v>
      </c>
      <c r="T559" s="9">
        <v>6666</v>
      </c>
      <c r="W559" s="9">
        <f ca="1">IFERROR(OFFSET(ITEM_RES!$A$5,MATCH(BUILDING!V559,ITEM_RES!$J$5:$J$226,0)-1,0),0)</f>
        <v>0</v>
      </c>
      <c r="Z559" s="9">
        <f ca="1">IFERROR(OFFSET(ITEM_RES!$A$5,MATCH(BUILDING!Y559,ITEM_RES!$J$5:$J$226,0)-1,0),0)</f>
        <v>0</v>
      </c>
      <c r="AB559" s="9" t="s">
        <v>393</v>
      </c>
      <c r="AC559" s="9">
        <v>15</v>
      </c>
      <c r="AE559" s="9">
        <v>22000</v>
      </c>
      <c r="AG559" s="56">
        <f t="shared" si="149"/>
        <v>8800</v>
      </c>
      <c r="AH559" s="10">
        <f t="shared" si="151"/>
        <v>16000</v>
      </c>
      <c r="AJ559" s="11">
        <f t="shared" si="148"/>
        <v>75</v>
      </c>
      <c r="AK559" s="10">
        <v>75</v>
      </c>
      <c r="AL559" s="11">
        <f t="shared" si="155"/>
        <v>550</v>
      </c>
      <c r="AM559" s="10">
        <v>550</v>
      </c>
      <c r="AN559" s="11">
        <f t="shared" si="155"/>
        <v>550</v>
      </c>
      <c r="AO559" s="10">
        <v>550</v>
      </c>
      <c r="AP559" s="56">
        <f t="shared" si="150"/>
        <v>1</v>
      </c>
      <c r="AR559" s="11">
        <f ca="1">IFERROR(OFFSET(ITEM_RES!$A$1,MATCH(AS559,ITEM_RES!$J:$J,0)-1,0),0)</f>
        <v>211020901</v>
      </c>
      <c r="AS559" s="10" t="s">
        <v>465</v>
      </c>
      <c r="AT559" s="11">
        <v>2750</v>
      </c>
      <c r="AW559" s="11">
        <f ca="1">IFERROR(OFFSET(ITEM_RES!$A$1,MATCH(AX559,ITEM_RES!$J:$J,0)-1,0),0)</f>
        <v>0</v>
      </c>
      <c r="BB559" s="11">
        <f ca="1">IFERROR(OFFSET(ITEM_RES!$A$1,MATCH(BC559,ITEM_RES!$J:$J,0)-1,0),0)</f>
        <v>0</v>
      </c>
      <c r="BG559" s="11">
        <f ca="1">IFERROR(OFFSET(ITEM_RES!$A$1,MATCH(BH559,ITEM_RES!$J:$J,0)-1,0),0)</f>
        <v>0</v>
      </c>
      <c r="BL559" s="11">
        <f ca="1">IFERROR(OFFSET(ITEM_RES!$A$1,MATCH(BM559,ITEM_RES!$J:$J,0)-1,0),0)</f>
        <v>0</v>
      </c>
    </row>
    <row r="560" spans="1:67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393</v>
      </c>
      <c r="N560" s="9">
        <v>0</v>
      </c>
      <c r="O560" s="9">
        <v>15</v>
      </c>
      <c r="T560" s="9">
        <v>6666</v>
      </c>
      <c r="W560" s="9">
        <f ca="1">IFERROR(OFFSET(ITEM_RES!$A$5,MATCH(BUILDING!V560,ITEM_RES!$J$5:$J$226,0)-1,0),0)</f>
        <v>0</v>
      </c>
      <c r="Z560" s="9">
        <f ca="1">IFERROR(OFFSET(ITEM_RES!$A$5,MATCH(BUILDING!Y560,ITEM_RES!$J$5:$J$226,0)-1,0),0)</f>
        <v>0</v>
      </c>
      <c r="AB560" s="9" t="s">
        <v>393</v>
      </c>
      <c r="AC560" s="9">
        <v>16</v>
      </c>
      <c r="AE560" s="9">
        <v>28000</v>
      </c>
      <c r="AG560" s="56">
        <f t="shared" si="149"/>
        <v>11200</v>
      </c>
      <c r="AH560" s="10">
        <f t="shared" si="151"/>
        <v>20000</v>
      </c>
      <c r="AJ560" s="11">
        <f t="shared" si="148"/>
        <v>80</v>
      </c>
      <c r="AK560" s="10">
        <v>80</v>
      </c>
      <c r="AL560" s="11">
        <f t="shared" si="155"/>
        <v>700</v>
      </c>
      <c r="AM560" s="10">
        <v>700</v>
      </c>
      <c r="AN560" s="11">
        <f t="shared" si="155"/>
        <v>700</v>
      </c>
      <c r="AO560" s="10">
        <v>700</v>
      </c>
      <c r="AP560" s="56">
        <f t="shared" si="150"/>
        <v>1</v>
      </c>
      <c r="AR560" s="11">
        <f ca="1">IFERROR(OFFSET(ITEM_RES!$A$1,MATCH(AS560,ITEM_RES!$J:$J,0)-1,0),0)</f>
        <v>211020901</v>
      </c>
      <c r="AS560" s="10" t="s">
        <v>465</v>
      </c>
      <c r="AT560" s="11">
        <v>3500</v>
      </c>
      <c r="AW560" s="11">
        <f ca="1">IFERROR(OFFSET(ITEM_RES!$A$1,MATCH(AX560,ITEM_RES!$J:$J,0)-1,0),0)</f>
        <v>0</v>
      </c>
      <c r="BB560" s="11">
        <f ca="1">IFERROR(OFFSET(ITEM_RES!$A$1,MATCH(BC560,ITEM_RES!$J:$J,0)-1,0),0)</f>
        <v>0</v>
      </c>
      <c r="BG560" s="11">
        <f ca="1">IFERROR(OFFSET(ITEM_RES!$A$1,MATCH(BH560,ITEM_RES!$J:$J,0)-1,0),0)</f>
        <v>0</v>
      </c>
      <c r="BL560" s="11">
        <f ca="1">IFERROR(OFFSET(ITEM_RES!$A$1,MATCH(BM560,ITEM_RES!$J:$J,0)-1,0),0)</f>
        <v>0</v>
      </c>
    </row>
    <row r="561" spans="1:67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393</v>
      </c>
      <c r="N561" s="9">
        <v>0</v>
      </c>
      <c r="O561" s="9">
        <v>15</v>
      </c>
      <c r="T561" s="9">
        <v>6666</v>
      </c>
      <c r="W561" s="9">
        <f ca="1">IFERROR(OFFSET(ITEM_RES!$A$5,MATCH(BUILDING!V561,ITEM_RES!$J$5:$J$226,0)-1,0),0)</f>
        <v>0</v>
      </c>
      <c r="Z561" s="9">
        <f ca="1">IFERROR(OFFSET(ITEM_RES!$A$5,MATCH(BUILDING!Y561,ITEM_RES!$J$5:$J$226,0)-1,0),0)</f>
        <v>0</v>
      </c>
      <c r="AB561" s="9" t="s">
        <v>393</v>
      </c>
      <c r="AC561" s="9">
        <v>17</v>
      </c>
      <c r="AE561" s="9">
        <v>34000</v>
      </c>
      <c r="AG561" s="56">
        <f t="shared" si="149"/>
        <v>13600</v>
      </c>
      <c r="AH561" s="10">
        <f t="shared" si="151"/>
        <v>24800</v>
      </c>
      <c r="AJ561" s="11">
        <f t="shared" si="148"/>
        <v>85</v>
      </c>
      <c r="AK561" s="10">
        <v>85</v>
      </c>
      <c r="AL561" s="11">
        <f t="shared" si="155"/>
        <v>850</v>
      </c>
      <c r="AM561" s="10">
        <v>850</v>
      </c>
      <c r="AN561" s="11">
        <f t="shared" si="155"/>
        <v>850</v>
      </c>
      <c r="AO561" s="10">
        <v>850</v>
      </c>
      <c r="AP561" s="56">
        <f t="shared" si="150"/>
        <v>1</v>
      </c>
      <c r="AR561" s="11">
        <f ca="1">IFERROR(OFFSET(ITEM_RES!$A$1,MATCH(AS561,ITEM_RES!$J:$J,0)-1,0),0)</f>
        <v>211020901</v>
      </c>
      <c r="AS561" s="10" t="s">
        <v>465</v>
      </c>
      <c r="AT561" s="11">
        <v>4250</v>
      </c>
      <c r="AW561" s="11">
        <f ca="1">IFERROR(OFFSET(ITEM_RES!$A$1,MATCH(AX561,ITEM_RES!$J:$J,0)-1,0),0)</f>
        <v>0</v>
      </c>
      <c r="BB561" s="11">
        <f ca="1">IFERROR(OFFSET(ITEM_RES!$A$1,MATCH(BC561,ITEM_RES!$J:$J,0)-1,0),0)</f>
        <v>0</v>
      </c>
      <c r="BG561" s="11">
        <f ca="1">IFERROR(OFFSET(ITEM_RES!$A$1,MATCH(BH561,ITEM_RES!$J:$J,0)-1,0),0)</f>
        <v>0</v>
      </c>
      <c r="BL561" s="11">
        <f ca="1">IFERROR(OFFSET(ITEM_RES!$A$1,MATCH(BM561,ITEM_RES!$J:$J,0)-1,0),0)</f>
        <v>0</v>
      </c>
    </row>
    <row r="562" spans="1:67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393</v>
      </c>
      <c r="N562" s="9">
        <v>0</v>
      </c>
      <c r="O562" s="9">
        <v>15</v>
      </c>
      <c r="T562" s="9">
        <v>6666</v>
      </c>
      <c r="W562" s="9">
        <f ca="1">IFERROR(OFFSET(ITEM_RES!$A$5,MATCH(BUILDING!V562,ITEM_RES!$J$5:$J$226,0)-1,0),0)</f>
        <v>0</v>
      </c>
      <c r="Z562" s="9">
        <f ca="1">IFERROR(OFFSET(ITEM_RES!$A$5,MATCH(BUILDING!Y562,ITEM_RES!$J$5:$J$226,0)-1,0),0)</f>
        <v>0</v>
      </c>
      <c r="AB562" s="9" t="s">
        <v>393</v>
      </c>
      <c r="AC562" s="9">
        <v>18</v>
      </c>
      <c r="AE562" s="9">
        <v>42000</v>
      </c>
      <c r="AG562" s="56">
        <f t="shared" si="149"/>
        <v>17300</v>
      </c>
      <c r="AH562" s="10">
        <f t="shared" si="151"/>
        <v>30900</v>
      </c>
      <c r="AJ562" s="11">
        <f t="shared" si="148"/>
        <v>90</v>
      </c>
      <c r="AK562" s="10">
        <v>90</v>
      </c>
      <c r="AL562" s="11">
        <f t="shared" si="155"/>
        <v>1050</v>
      </c>
      <c r="AM562" s="10">
        <v>1050</v>
      </c>
      <c r="AN562" s="11">
        <f t="shared" si="155"/>
        <v>1050</v>
      </c>
      <c r="AO562" s="10">
        <v>1050</v>
      </c>
      <c r="AP562" s="56">
        <f t="shared" si="150"/>
        <v>2</v>
      </c>
      <c r="AR562" s="11">
        <f ca="1">IFERROR(OFFSET(ITEM_RES!$A$1,MATCH(AS562,ITEM_RES!$J:$J,0)-1,0),0)</f>
        <v>211020901</v>
      </c>
      <c r="AS562" s="10" t="s">
        <v>465</v>
      </c>
      <c r="AT562" s="11">
        <v>5250</v>
      </c>
      <c r="AW562" s="11">
        <f ca="1">IFERROR(OFFSET(ITEM_RES!$A$1,MATCH(AX562,ITEM_RES!$J:$J,0)-1,0),0)</f>
        <v>0</v>
      </c>
      <c r="BB562" s="11">
        <f ca="1">IFERROR(OFFSET(ITEM_RES!$A$1,MATCH(BC562,ITEM_RES!$J:$J,0)-1,0),0)</f>
        <v>0</v>
      </c>
      <c r="BG562" s="11">
        <f ca="1">IFERROR(OFFSET(ITEM_RES!$A$1,MATCH(BH562,ITEM_RES!$J:$J,0)-1,0),0)</f>
        <v>213011901</v>
      </c>
      <c r="BH562" s="10" t="s">
        <v>507</v>
      </c>
      <c r="BI562" s="11">
        <v>1</v>
      </c>
      <c r="BL562" s="11">
        <f ca="1">IFERROR(OFFSET(ITEM_RES!$A$1,MATCH(BM562,ITEM_RES!$J:$J,0)-1,0),0)</f>
        <v>0</v>
      </c>
    </row>
    <row r="563" spans="1:67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393</v>
      </c>
      <c r="N563" s="9">
        <v>0</v>
      </c>
      <c r="O563" s="9">
        <v>15</v>
      </c>
      <c r="T563" s="9">
        <v>6666</v>
      </c>
      <c r="W563" s="9">
        <f ca="1">IFERROR(OFFSET(ITEM_RES!$A$5,MATCH(BUILDING!V563,ITEM_RES!$J$5:$J$226,0)-1,0),0)</f>
        <v>0</v>
      </c>
      <c r="Z563" s="9">
        <f ca="1">IFERROR(OFFSET(ITEM_RES!$A$5,MATCH(BUILDING!Y563,ITEM_RES!$J$5:$J$226,0)-1,0),0)</f>
        <v>0</v>
      </c>
      <c r="AB563" s="9" t="s">
        <v>393</v>
      </c>
      <c r="AC563" s="9">
        <v>19</v>
      </c>
      <c r="AE563" s="9">
        <v>50000</v>
      </c>
      <c r="AG563" s="56">
        <f t="shared" si="149"/>
        <v>20000</v>
      </c>
      <c r="AH563" s="10">
        <f t="shared" si="151"/>
        <v>37300</v>
      </c>
      <c r="AJ563" s="11">
        <f t="shared" si="148"/>
        <v>95</v>
      </c>
      <c r="AK563" s="10">
        <v>95</v>
      </c>
      <c r="AL563" s="11">
        <f t="shared" si="155"/>
        <v>1250</v>
      </c>
      <c r="AM563" s="10">
        <v>1250</v>
      </c>
      <c r="AN563" s="11">
        <f t="shared" si="155"/>
        <v>1250</v>
      </c>
      <c r="AO563" s="10">
        <v>1250</v>
      </c>
      <c r="AP563" s="56">
        <f t="shared" si="150"/>
        <v>1</v>
      </c>
      <c r="AR563" s="11">
        <f ca="1">IFERROR(OFFSET(ITEM_RES!$A$1,MATCH(AS563,ITEM_RES!$J:$J,0)-1,0),0)</f>
        <v>211020901</v>
      </c>
      <c r="AS563" s="10" t="s">
        <v>465</v>
      </c>
      <c r="AT563" s="11">
        <v>6250</v>
      </c>
      <c r="AW563" s="11">
        <f ca="1">IFERROR(OFFSET(ITEM_RES!$A$1,MATCH(AX563,ITEM_RES!$J:$J,0)-1,0),0)</f>
        <v>0</v>
      </c>
      <c r="BB563" s="11">
        <f ca="1">IFERROR(OFFSET(ITEM_RES!$A$1,MATCH(BC563,ITEM_RES!$J:$J,0)-1,0),0)</f>
        <v>0</v>
      </c>
      <c r="BG563" s="11">
        <f ca="1">IFERROR(OFFSET(ITEM_RES!$A$1,MATCH(BH563,ITEM_RES!$J:$J,0)-1,0),0)</f>
        <v>0</v>
      </c>
      <c r="BL563" s="11">
        <f ca="1">IFERROR(OFFSET(ITEM_RES!$A$1,MATCH(BM563,ITEM_RES!$J:$J,0)-1,0),0)</f>
        <v>0</v>
      </c>
    </row>
    <row r="564" spans="1:67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393</v>
      </c>
      <c r="N564" s="9">
        <v>0</v>
      </c>
      <c r="O564" s="9">
        <v>15</v>
      </c>
      <c r="T564" s="9">
        <v>6666</v>
      </c>
      <c r="W564" s="9">
        <f ca="1">IFERROR(OFFSET(ITEM_RES!$A$5,MATCH(BUILDING!V564,ITEM_RES!$J$5:$J$226,0)-1,0),0)</f>
        <v>0</v>
      </c>
      <c r="Z564" s="9">
        <f ca="1">IFERROR(OFFSET(ITEM_RES!$A$5,MATCH(BUILDING!Y564,ITEM_RES!$J$5:$J$226,0)-1,0),0)</f>
        <v>0</v>
      </c>
      <c r="AB564" s="9" t="s">
        <v>393</v>
      </c>
      <c r="AC564" s="9">
        <v>20</v>
      </c>
      <c r="AE564" s="9">
        <v>60000</v>
      </c>
      <c r="AG564" s="56">
        <f t="shared" si="149"/>
        <v>24000</v>
      </c>
      <c r="AH564" s="10">
        <f t="shared" si="151"/>
        <v>44000</v>
      </c>
      <c r="AJ564" s="11">
        <f t="shared" si="148"/>
        <v>100</v>
      </c>
      <c r="AK564" s="10">
        <v>100</v>
      </c>
      <c r="AL564" s="11">
        <f t="shared" si="155"/>
        <v>1500</v>
      </c>
      <c r="AM564" s="10">
        <v>1500</v>
      </c>
      <c r="AN564" s="11">
        <f t="shared" si="155"/>
        <v>1500</v>
      </c>
      <c r="AO564" s="10">
        <v>1500</v>
      </c>
      <c r="AP564" s="56">
        <f t="shared" si="150"/>
        <v>1</v>
      </c>
      <c r="AR564" s="11">
        <f ca="1">IFERROR(OFFSET(ITEM_RES!$A$1,MATCH(AS564,ITEM_RES!$J:$J,0)-1,0),0)</f>
        <v>211020901</v>
      </c>
      <c r="AS564" s="10" t="s">
        <v>465</v>
      </c>
      <c r="AT564" s="11">
        <v>7500</v>
      </c>
      <c r="AW564" s="11">
        <f ca="1">IFERROR(OFFSET(ITEM_RES!$A$1,MATCH(AX564,ITEM_RES!$J:$J,0)-1,0),0)</f>
        <v>0</v>
      </c>
      <c r="BB564" s="11">
        <f ca="1">IFERROR(OFFSET(ITEM_RES!$A$1,MATCH(BC564,ITEM_RES!$J:$J,0)-1,0),0)</f>
        <v>0</v>
      </c>
      <c r="BG564" s="11">
        <f ca="1">IFERROR(OFFSET(ITEM_RES!$A$1,MATCH(BH564,ITEM_RES!$J:$J,0)-1,0),0)</f>
        <v>0</v>
      </c>
      <c r="BL564" s="11">
        <f ca="1">IFERROR(OFFSET(ITEM_RES!$A$1,MATCH(BM564,ITEM_RES!$J:$J,0)-1,0),0)</f>
        <v>0</v>
      </c>
    </row>
    <row r="565" spans="1:67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79"/>
      <c r="H565" s="16">
        <v>5</v>
      </c>
      <c r="I565" s="16">
        <v>1</v>
      </c>
      <c r="J565" s="79"/>
      <c r="K565" s="16" t="s">
        <v>382</v>
      </c>
      <c r="L565" s="16"/>
      <c r="M565" s="16"/>
      <c r="N565" s="16">
        <v>1</v>
      </c>
      <c r="O565" s="16">
        <v>15</v>
      </c>
      <c r="P565" s="16"/>
      <c r="Q565" s="17"/>
      <c r="R565" s="17"/>
      <c r="S565" s="18"/>
      <c r="T565" s="16">
        <v>7777</v>
      </c>
      <c r="U565" s="79"/>
      <c r="V565" s="87"/>
      <c r="W565" s="16">
        <f ca="1">IFERROR(OFFSET(ITEM_RES!$A$5,MATCH(BUILDING!V565,ITEM_RES!$J$5:$J$226,0)-1,0),0)</f>
        <v>0</v>
      </c>
      <c r="X565" s="18"/>
      <c r="Y565" s="87"/>
      <c r="Z565" s="16">
        <f ca="1">IFERROR(OFFSET(ITEM_RES!$A$5,MATCH(BUILDING!Y565,ITEM_RES!$J$5:$J$226,0)-1,0),0)</f>
        <v>0</v>
      </c>
      <c r="AA565" s="79"/>
      <c r="AB565" s="16" t="s">
        <v>395</v>
      </c>
      <c r="AC565" s="16">
        <v>1</v>
      </c>
      <c r="AD565" s="79"/>
      <c r="AE565" s="16">
        <v>0</v>
      </c>
      <c r="AF565" s="79"/>
      <c r="AG565" s="57">
        <f t="shared" si="149"/>
        <v>1080</v>
      </c>
      <c r="AH565" s="17">
        <f>AG565</f>
        <v>1080</v>
      </c>
      <c r="AI565" s="79"/>
      <c r="AJ565" s="18">
        <f t="shared" si="148"/>
        <v>5</v>
      </c>
      <c r="AK565" s="17">
        <v>5</v>
      </c>
      <c r="AL565" s="18">
        <f t="shared" si="155"/>
        <v>5</v>
      </c>
      <c r="AM565" s="17">
        <v>5</v>
      </c>
      <c r="AN565" s="18">
        <f t="shared" si="155"/>
        <v>5</v>
      </c>
      <c r="AO565" s="17">
        <v>5</v>
      </c>
      <c r="AP565" s="57">
        <f t="shared" si="150"/>
        <v>3</v>
      </c>
      <c r="AQ565" s="18"/>
      <c r="AR565" s="18">
        <f ca="1">IFERROR(OFFSET(ITEM_RES!$A$1,MATCH(AS565,ITEM_RES!$J:$J,0)-1,0),0)</f>
        <v>211020801</v>
      </c>
      <c r="AS565" s="17" t="s">
        <v>452</v>
      </c>
      <c r="AT565" s="18">
        <v>25</v>
      </c>
      <c r="AU565" s="17"/>
      <c r="AV565" s="18"/>
      <c r="AW565" s="18">
        <f ca="1">IFERROR(OFFSET(ITEM_RES!$A$1,MATCH(AX565,ITEM_RES!$J:$J,0)-1,0),0)</f>
        <v>0</v>
      </c>
      <c r="AX565" s="17"/>
      <c r="AY565" s="18"/>
      <c r="AZ565" s="17"/>
      <c r="BA565" s="18"/>
      <c r="BB565" s="18">
        <f ca="1">IFERROR(OFFSET(ITEM_RES!$A$1,MATCH(BC565,ITEM_RES!$J:$J,0)-1,0),0)</f>
        <v>213010101</v>
      </c>
      <c r="BC565" s="17" t="s">
        <v>477</v>
      </c>
      <c r="BD565" s="18">
        <v>1</v>
      </c>
      <c r="BE565" s="17"/>
      <c r="BF565" s="18"/>
      <c r="BG565" s="18">
        <f ca="1">IFERROR(OFFSET(ITEM_RES!$A$1,MATCH(BH565,ITEM_RES!$J:$J,0)-1,0),0)</f>
        <v>213010301</v>
      </c>
      <c r="BH565" s="17" t="s">
        <v>501</v>
      </c>
      <c r="BI565" s="18">
        <v>1</v>
      </c>
      <c r="BJ565" s="17"/>
      <c r="BK565" s="18"/>
      <c r="BL565" s="18">
        <f ca="1">IFERROR(OFFSET(ITEM_RES!$A$1,MATCH(BM565,ITEM_RES!$J:$J,0)-1,0),0)</f>
        <v>0</v>
      </c>
      <c r="BM565" s="17"/>
      <c r="BN565" s="18"/>
      <c r="BO565" s="17"/>
    </row>
    <row r="566" spans="1:67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382</v>
      </c>
      <c r="N566" s="9">
        <v>1</v>
      </c>
      <c r="O566" s="9">
        <v>15</v>
      </c>
      <c r="T566" s="9">
        <v>7777</v>
      </c>
      <c r="W566" s="9">
        <f ca="1">IFERROR(OFFSET(ITEM_RES!$A$5,MATCH(BUILDING!V566,ITEM_RES!$J$5:$J$226,0)-1,0),0)</f>
        <v>0</v>
      </c>
      <c r="Z566" s="9">
        <f ca="1">IFERROR(OFFSET(ITEM_RES!$A$5,MATCH(BUILDING!Y566,ITEM_RES!$J$5:$J$226,0)-1,0),0)</f>
        <v>0</v>
      </c>
      <c r="AB566" s="9" t="s">
        <v>395</v>
      </c>
      <c r="AC566" s="9">
        <v>2</v>
      </c>
      <c r="AE566" s="9">
        <v>400</v>
      </c>
      <c r="AG566" s="56">
        <f t="shared" si="149"/>
        <v>160</v>
      </c>
      <c r="AH566" s="10">
        <f>AG565+AG566</f>
        <v>1240</v>
      </c>
      <c r="AJ566" s="11">
        <f t="shared" si="148"/>
        <v>10</v>
      </c>
      <c r="AK566" s="10">
        <v>10</v>
      </c>
      <c r="AL566" s="11">
        <f t="shared" si="155"/>
        <v>10</v>
      </c>
      <c r="AM566" s="10">
        <v>10</v>
      </c>
      <c r="AN566" s="11">
        <f t="shared" si="155"/>
        <v>10</v>
      </c>
      <c r="AO566" s="10">
        <v>10</v>
      </c>
      <c r="AP566" s="56">
        <f t="shared" si="150"/>
        <v>1</v>
      </c>
      <c r="AR566" s="11">
        <f ca="1">IFERROR(OFFSET(ITEM_RES!$A$1,MATCH(AS566,ITEM_RES!$J:$J,0)-1,0),0)</f>
        <v>211020801</v>
      </c>
      <c r="AS566" s="10" t="s">
        <v>452</v>
      </c>
      <c r="AT566" s="11">
        <v>50</v>
      </c>
      <c r="AW566" s="11">
        <f ca="1">IFERROR(OFFSET(ITEM_RES!$A$1,MATCH(AX566,ITEM_RES!$J:$J,0)-1,0),0)</f>
        <v>0</v>
      </c>
      <c r="BB566" s="11">
        <f ca="1">IFERROR(OFFSET(ITEM_RES!$A$1,MATCH(BC566,ITEM_RES!$J:$J,0)-1,0),0)</f>
        <v>0</v>
      </c>
      <c r="BG566" s="11">
        <f ca="1">IFERROR(OFFSET(ITEM_RES!$A$1,MATCH(BH566,ITEM_RES!$J:$J,0)-1,0),0)</f>
        <v>0</v>
      </c>
      <c r="BL566" s="11">
        <f ca="1">IFERROR(OFFSET(ITEM_RES!$A$1,MATCH(BM566,ITEM_RES!$J:$J,0)-1,0),0)</f>
        <v>0</v>
      </c>
    </row>
    <row r="567" spans="1:67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382</v>
      </c>
      <c r="N567" s="9">
        <v>1</v>
      </c>
      <c r="O567" s="9">
        <v>15</v>
      </c>
      <c r="T567" s="9">
        <v>7777</v>
      </c>
      <c r="W567" s="9">
        <f ca="1">IFERROR(OFFSET(ITEM_RES!$A$5,MATCH(BUILDING!V567,ITEM_RES!$J$5:$J$226,0)-1,0),0)</f>
        <v>0</v>
      </c>
      <c r="Z567" s="9">
        <f ca="1">IFERROR(OFFSET(ITEM_RES!$A$5,MATCH(BUILDING!Y567,ITEM_RES!$J$5:$J$226,0)-1,0),0)</f>
        <v>0</v>
      </c>
      <c r="AB567" s="9" t="s">
        <v>395</v>
      </c>
      <c r="AC567" s="9">
        <v>3</v>
      </c>
      <c r="AE567" s="9">
        <v>1200</v>
      </c>
      <c r="AG567" s="56">
        <f t="shared" si="149"/>
        <v>240</v>
      </c>
      <c r="AH567" s="10">
        <f t="shared" ref="AH567:AH584" si="156">AG566+AG567</f>
        <v>400</v>
      </c>
      <c r="AJ567" s="11">
        <f t="shared" si="148"/>
        <v>15</v>
      </c>
      <c r="AK567" s="10">
        <v>15</v>
      </c>
      <c r="AL567" s="11">
        <f t="shared" si="155"/>
        <v>15</v>
      </c>
      <c r="AM567" s="10">
        <v>15</v>
      </c>
      <c r="AN567" s="11">
        <f t="shared" si="155"/>
        <v>15</v>
      </c>
      <c r="AO567" s="10">
        <v>15</v>
      </c>
      <c r="AP567" s="56">
        <f t="shared" si="150"/>
        <v>1</v>
      </c>
      <c r="AR567" s="11">
        <f ca="1">IFERROR(OFFSET(ITEM_RES!$A$1,MATCH(AS567,ITEM_RES!$J:$J,0)-1,0),0)</f>
        <v>211020801</v>
      </c>
      <c r="AS567" s="10" t="s">
        <v>452</v>
      </c>
      <c r="AT567" s="11">
        <v>75</v>
      </c>
      <c r="AW567" s="11">
        <f ca="1">IFERROR(OFFSET(ITEM_RES!$A$1,MATCH(AX567,ITEM_RES!$J:$J,0)-1,0),0)</f>
        <v>0</v>
      </c>
      <c r="BB567" s="11">
        <f ca="1">IFERROR(OFFSET(ITEM_RES!$A$1,MATCH(BC567,ITEM_RES!$J:$J,0)-1,0),0)</f>
        <v>0</v>
      </c>
      <c r="BG567" s="11">
        <f ca="1">IFERROR(OFFSET(ITEM_RES!$A$1,MATCH(BH567,ITEM_RES!$J:$J,0)-1,0),0)</f>
        <v>0</v>
      </c>
      <c r="BL567" s="11">
        <f ca="1">IFERROR(OFFSET(ITEM_RES!$A$1,MATCH(BM567,ITEM_RES!$J:$J,0)-1,0),0)</f>
        <v>0</v>
      </c>
    </row>
    <row r="568" spans="1:67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382</v>
      </c>
      <c r="N568" s="9">
        <v>1</v>
      </c>
      <c r="O568" s="9">
        <v>15</v>
      </c>
      <c r="T568" s="9">
        <v>7777</v>
      </c>
      <c r="W568" s="9">
        <f ca="1">IFERROR(OFFSET(ITEM_RES!$A$5,MATCH(BUILDING!V568,ITEM_RES!$J$5:$J$226,0)-1,0),0)</f>
        <v>0</v>
      </c>
      <c r="Z568" s="9">
        <f ca="1">IFERROR(OFFSET(ITEM_RES!$A$5,MATCH(BUILDING!Y568,ITEM_RES!$J$5:$J$226,0)-1,0),0)</f>
        <v>0</v>
      </c>
      <c r="AB568" s="9" t="s">
        <v>395</v>
      </c>
      <c r="AC568" s="9">
        <v>4</v>
      </c>
      <c r="AE568" s="9">
        <v>2000</v>
      </c>
      <c r="AG568" s="56">
        <f t="shared" si="149"/>
        <v>400</v>
      </c>
      <c r="AH568" s="10">
        <f t="shared" si="156"/>
        <v>640</v>
      </c>
      <c r="AJ568" s="11">
        <f t="shared" si="148"/>
        <v>20</v>
      </c>
      <c r="AK568" s="10">
        <v>20</v>
      </c>
      <c r="AL568" s="11">
        <f t="shared" si="155"/>
        <v>25</v>
      </c>
      <c r="AM568" s="10">
        <v>25</v>
      </c>
      <c r="AN568" s="11">
        <f t="shared" si="155"/>
        <v>25</v>
      </c>
      <c r="AO568" s="10">
        <v>25</v>
      </c>
      <c r="AP568" s="56">
        <f t="shared" si="150"/>
        <v>1</v>
      </c>
      <c r="AR568" s="11">
        <f ca="1">IFERROR(OFFSET(ITEM_RES!$A$1,MATCH(AS568,ITEM_RES!$J:$J,0)-1,0),0)</f>
        <v>211020801</v>
      </c>
      <c r="AS568" s="10" t="s">
        <v>452</v>
      </c>
      <c r="AT568" s="11">
        <v>125</v>
      </c>
      <c r="AW568" s="11">
        <f ca="1">IFERROR(OFFSET(ITEM_RES!$A$1,MATCH(AX568,ITEM_RES!$J:$J,0)-1,0),0)</f>
        <v>0</v>
      </c>
      <c r="BB568" s="11">
        <f ca="1">IFERROR(OFFSET(ITEM_RES!$A$1,MATCH(BC568,ITEM_RES!$J:$J,0)-1,0),0)</f>
        <v>0</v>
      </c>
      <c r="BG568" s="11">
        <f ca="1">IFERROR(OFFSET(ITEM_RES!$A$1,MATCH(BH568,ITEM_RES!$J:$J,0)-1,0),0)</f>
        <v>0</v>
      </c>
      <c r="BL568" s="11">
        <f ca="1">IFERROR(OFFSET(ITEM_RES!$A$1,MATCH(BM568,ITEM_RES!$J:$J,0)-1,0),0)</f>
        <v>0</v>
      </c>
    </row>
    <row r="569" spans="1:67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382</v>
      </c>
      <c r="N569" s="9">
        <v>1</v>
      </c>
      <c r="O569" s="9">
        <v>15</v>
      </c>
      <c r="T569" s="9">
        <v>7777</v>
      </c>
      <c r="W569" s="9">
        <f ca="1">IFERROR(OFFSET(ITEM_RES!$A$5,MATCH(BUILDING!V569,ITEM_RES!$J$5:$J$226,0)-1,0),0)</f>
        <v>0</v>
      </c>
      <c r="Z569" s="9">
        <f ca="1">IFERROR(OFFSET(ITEM_RES!$A$5,MATCH(BUILDING!Y569,ITEM_RES!$J$5:$J$226,0)-1,0),0)</f>
        <v>0</v>
      </c>
      <c r="AB569" s="9" t="s">
        <v>395</v>
      </c>
      <c r="AC569" s="9">
        <v>5</v>
      </c>
      <c r="AE569" s="9">
        <v>3200</v>
      </c>
      <c r="AG569" s="56">
        <f t="shared" si="149"/>
        <v>640</v>
      </c>
      <c r="AH569" s="10">
        <f t="shared" si="156"/>
        <v>1040</v>
      </c>
      <c r="AJ569" s="11">
        <f t="shared" si="148"/>
        <v>25</v>
      </c>
      <c r="AK569" s="10">
        <v>25</v>
      </c>
      <c r="AL569" s="11">
        <f t="shared" si="155"/>
        <v>40</v>
      </c>
      <c r="AM569" s="10">
        <v>40</v>
      </c>
      <c r="AN569" s="11">
        <f t="shared" si="155"/>
        <v>40</v>
      </c>
      <c r="AO569" s="10">
        <v>40</v>
      </c>
      <c r="AP569" s="56">
        <f t="shared" si="150"/>
        <v>1</v>
      </c>
      <c r="AR569" s="11">
        <f ca="1">IFERROR(OFFSET(ITEM_RES!$A$1,MATCH(AS569,ITEM_RES!$J:$J,0)-1,0),0)</f>
        <v>211020801</v>
      </c>
      <c r="AS569" s="10" t="s">
        <v>452</v>
      </c>
      <c r="AT569" s="11">
        <v>200</v>
      </c>
      <c r="AW569" s="11">
        <f ca="1">IFERROR(OFFSET(ITEM_RES!$A$1,MATCH(AX569,ITEM_RES!$J:$J,0)-1,0),0)</f>
        <v>0</v>
      </c>
      <c r="BB569" s="11">
        <f ca="1">IFERROR(OFFSET(ITEM_RES!$A$1,MATCH(BC569,ITEM_RES!$J:$J,0)-1,0),0)</f>
        <v>0</v>
      </c>
      <c r="BG569" s="11">
        <f ca="1">IFERROR(OFFSET(ITEM_RES!$A$1,MATCH(BH569,ITEM_RES!$J:$J,0)-1,0),0)</f>
        <v>0</v>
      </c>
      <c r="BL569" s="11">
        <f ca="1">IFERROR(OFFSET(ITEM_RES!$A$1,MATCH(BM569,ITEM_RES!$J:$J,0)-1,0),0)</f>
        <v>0</v>
      </c>
    </row>
    <row r="570" spans="1:67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382</v>
      </c>
      <c r="N570" s="9">
        <v>1</v>
      </c>
      <c r="O570" s="9">
        <v>15</v>
      </c>
      <c r="T570" s="9">
        <v>7777</v>
      </c>
      <c r="W570" s="9">
        <f ca="1">IFERROR(OFFSET(ITEM_RES!$A$5,MATCH(BUILDING!V570,ITEM_RES!$J$5:$J$226,0)-1,0),0)</f>
        <v>0</v>
      </c>
      <c r="Z570" s="9">
        <f ca="1">IFERROR(OFFSET(ITEM_RES!$A$5,MATCH(BUILDING!Y570,ITEM_RES!$J$5:$J$226,0)-1,0),0)</f>
        <v>0</v>
      </c>
      <c r="AB570" s="9" t="s">
        <v>395</v>
      </c>
      <c r="AC570" s="9">
        <v>6</v>
      </c>
      <c r="AE570" s="9">
        <v>4000</v>
      </c>
      <c r="AG570" s="56">
        <f t="shared" si="149"/>
        <v>800</v>
      </c>
      <c r="AH570" s="10">
        <f t="shared" si="156"/>
        <v>1440</v>
      </c>
      <c r="AJ570" s="11">
        <f t="shared" si="148"/>
        <v>30</v>
      </c>
      <c r="AK570" s="10">
        <v>30</v>
      </c>
      <c r="AL570" s="11">
        <f t="shared" si="155"/>
        <v>50</v>
      </c>
      <c r="AM570" s="10">
        <v>50</v>
      </c>
      <c r="AN570" s="11">
        <f t="shared" si="155"/>
        <v>50</v>
      </c>
      <c r="AO570" s="10">
        <v>50</v>
      </c>
      <c r="AP570" s="56">
        <f t="shared" si="150"/>
        <v>1</v>
      </c>
      <c r="AR570" s="11">
        <f ca="1">IFERROR(OFFSET(ITEM_RES!$A$1,MATCH(AS570,ITEM_RES!$J:$J,0)-1,0),0)</f>
        <v>211020801</v>
      </c>
      <c r="AS570" s="10" t="s">
        <v>452</v>
      </c>
      <c r="AT570" s="11">
        <v>250</v>
      </c>
      <c r="AW570" s="11">
        <f ca="1">IFERROR(OFFSET(ITEM_RES!$A$1,MATCH(AX570,ITEM_RES!$J:$J,0)-1,0),0)</f>
        <v>0</v>
      </c>
      <c r="BB570" s="11">
        <f ca="1">IFERROR(OFFSET(ITEM_RES!$A$1,MATCH(BC570,ITEM_RES!$J:$J,0)-1,0),0)</f>
        <v>0</v>
      </c>
      <c r="BG570" s="11">
        <f ca="1">IFERROR(OFFSET(ITEM_RES!$A$1,MATCH(BH570,ITEM_RES!$J:$J,0)-1,0),0)</f>
        <v>0</v>
      </c>
      <c r="BL570" s="11">
        <f ca="1">IFERROR(OFFSET(ITEM_RES!$A$1,MATCH(BM570,ITEM_RES!$J:$J,0)-1,0),0)</f>
        <v>0</v>
      </c>
    </row>
    <row r="571" spans="1:67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382</v>
      </c>
      <c r="N571" s="9">
        <v>1</v>
      </c>
      <c r="O571" s="9">
        <v>15</v>
      </c>
      <c r="T571" s="9">
        <v>7777</v>
      </c>
      <c r="W571" s="9">
        <f ca="1">IFERROR(OFFSET(ITEM_RES!$A$5,MATCH(BUILDING!V571,ITEM_RES!$J$5:$J$226,0)-1,0),0)</f>
        <v>0</v>
      </c>
      <c r="Z571" s="9">
        <f ca="1">IFERROR(OFFSET(ITEM_RES!$A$5,MATCH(BUILDING!Y571,ITEM_RES!$J$5:$J$226,0)-1,0),0)</f>
        <v>0</v>
      </c>
      <c r="AB571" s="9" t="s">
        <v>395</v>
      </c>
      <c r="AC571" s="9">
        <v>7</v>
      </c>
      <c r="AE571" s="9">
        <v>8000</v>
      </c>
      <c r="AG571" s="56">
        <f t="shared" si="149"/>
        <v>1600</v>
      </c>
      <c r="AH571" s="10">
        <f t="shared" si="156"/>
        <v>2400</v>
      </c>
      <c r="AJ571" s="11">
        <f t="shared" si="148"/>
        <v>35</v>
      </c>
      <c r="AK571" s="10">
        <v>35</v>
      </c>
      <c r="AL571" s="11">
        <f t="shared" si="155"/>
        <v>100</v>
      </c>
      <c r="AM571" s="10">
        <v>100</v>
      </c>
      <c r="AN571" s="11">
        <f t="shared" si="155"/>
        <v>100</v>
      </c>
      <c r="AO571" s="10">
        <v>100</v>
      </c>
      <c r="AP571" s="56">
        <f t="shared" si="150"/>
        <v>1</v>
      </c>
      <c r="AR571" s="11">
        <f ca="1">IFERROR(OFFSET(ITEM_RES!$A$1,MATCH(AS571,ITEM_RES!$J:$J,0)-1,0),0)</f>
        <v>211020801</v>
      </c>
      <c r="AS571" s="10" t="s">
        <v>452</v>
      </c>
      <c r="AT571" s="11">
        <v>500</v>
      </c>
      <c r="AW571" s="11">
        <f ca="1">IFERROR(OFFSET(ITEM_RES!$A$1,MATCH(AX571,ITEM_RES!$J:$J,0)-1,0),0)</f>
        <v>0</v>
      </c>
      <c r="BB571" s="11">
        <f ca="1">IFERROR(OFFSET(ITEM_RES!$A$1,MATCH(BC571,ITEM_RES!$J:$J,0)-1,0),0)</f>
        <v>0</v>
      </c>
      <c r="BG571" s="11">
        <f ca="1">IFERROR(OFFSET(ITEM_RES!$A$1,MATCH(BH571,ITEM_RES!$J:$J,0)-1,0),0)</f>
        <v>0</v>
      </c>
      <c r="BL571" s="11">
        <f ca="1">IFERROR(OFFSET(ITEM_RES!$A$1,MATCH(BM571,ITEM_RES!$J:$J,0)-1,0),0)</f>
        <v>0</v>
      </c>
    </row>
    <row r="572" spans="1:67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382</v>
      </c>
      <c r="N572" s="9">
        <v>1</v>
      </c>
      <c r="O572" s="9">
        <v>15</v>
      </c>
      <c r="T572" s="9">
        <v>7777</v>
      </c>
      <c r="W572" s="9">
        <f ca="1">IFERROR(OFFSET(ITEM_RES!$A$5,MATCH(BUILDING!V572,ITEM_RES!$J$5:$J$226,0)-1,0),0)</f>
        <v>0</v>
      </c>
      <c r="Z572" s="9">
        <f ca="1">IFERROR(OFFSET(ITEM_RES!$A$5,MATCH(BUILDING!Y572,ITEM_RES!$J$5:$J$226,0)-1,0),0)</f>
        <v>0</v>
      </c>
      <c r="AB572" s="9" t="s">
        <v>395</v>
      </c>
      <c r="AC572" s="9">
        <v>8</v>
      </c>
      <c r="AE572" s="9">
        <v>8000</v>
      </c>
      <c r="AG572" s="56">
        <f t="shared" si="149"/>
        <v>1600</v>
      </c>
      <c r="AH572" s="10">
        <f t="shared" si="156"/>
        <v>3200</v>
      </c>
      <c r="AJ572" s="11">
        <f t="shared" si="148"/>
        <v>40</v>
      </c>
      <c r="AK572" s="10">
        <v>40</v>
      </c>
      <c r="AL572" s="11">
        <f t="shared" si="155"/>
        <v>100</v>
      </c>
      <c r="AM572" s="10">
        <v>100</v>
      </c>
      <c r="AN572" s="11">
        <f t="shared" si="155"/>
        <v>100</v>
      </c>
      <c r="AO572" s="10">
        <v>100</v>
      </c>
      <c r="AP572" s="56">
        <f t="shared" si="150"/>
        <v>1</v>
      </c>
      <c r="AR572" s="11">
        <f ca="1">IFERROR(OFFSET(ITEM_RES!$A$1,MATCH(AS572,ITEM_RES!$J:$J,0)-1,0),0)</f>
        <v>211020801</v>
      </c>
      <c r="AS572" s="10" t="s">
        <v>452</v>
      </c>
      <c r="AT572" s="11">
        <v>500</v>
      </c>
      <c r="AW572" s="11">
        <f ca="1">IFERROR(OFFSET(ITEM_RES!$A$1,MATCH(AX572,ITEM_RES!$J:$J,0)-1,0),0)</f>
        <v>0</v>
      </c>
      <c r="BB572" s="11">
        <f ca="1">IFERROR(OFFSET(ITEM_RES!$A$1,MATCH(BC572,ITEM_RES!$J:$J,0)-1,0),0)</f>
        <v>0</v>
      </c>
      <c r="BG572" s="11">
        <f ca="1">IFERROR(OFFSET(ITEM_RES!$A$1,MATCH(BH572,ITEM_RES!$J:$J,0)-1,0),0)</f>
        <v>0</v>
      </c>
      <c r="BL572" s="11">
        <f ca="1">IFERROR(OFFSET(ITEM_RES!$A$1,MATCH(BM572,ITEM_RES!$J:$J,0)-1,0),0)</f>
        <v>0</v>
      </c>
    </row>
    <row r="573" spans="1:67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382</v>
      </c>
      <c r="N573" s="9">
        <v>1</v>
      </c>
      <c r="O573" s="9">
        <v>15</v>
      </c>
      <c r="T573" s="9">
        <v>7777</v>
      </c>
      <c r="W573" s="9">
        <f ca="1">IFERROR(OFFSET(ITEM_RES!$A$5,MATCH(BUILDING!V573,ITEM_RES!$J$5:$J$226,0)-1,0),0)</f>
        <v>0</v>
      </c>
      <c r="Z573" s="9">
        <f ca="1">IFERROR(OFFSET(ITEM_RES!$A$5,MATCH(BUILDING!Y573,ITEM_RES!$J$5:$J$226,0)-1,0),0)</f>
        <v>0</v>
      </c>
      <c r="AB573" s="9" t="s">
        <v>395</v>
      </c>
      <c r="AC573" s="9">
        <v>9</v>
      </c>
      <c r="AE573" s="9">
        <v>12000</v>
      </c>
      <c r="AG573" s="56">
        <f t="shared" si="149"/>
        <v>2400</v>
      </c>
      <c r="AH573" s="10">
        <f t="shared" si="156"/>
        <v>4000</v>
      </c>
      <c r="AJ573" s="11">
        <f t="shared" si="148"/>
        <v>45</v>
      </c>
      <c r="AK573" s="10">
        <v>45</v>
      </c>
      <c r="AL573" s="11">
        <f t="shared" si="155"/>
        <v>150</v>
      </c>
      <c r="AM573" s="10">
        <v>150</v>
      </c>
      <c r="AN573" s="11">
        <f t="shared" si="155"/>
        <v>150</v>
      </c>
      <c r="AO573" s="10">
        <v>150</v>
      </c>
      <c r="AP573" s="56">
        <f t="shared" si="150"/>
        <v>1</v>
      </c>
      <c r="AR573" s="11">
        <f ca="1">IFERROR(OFFSET(ITEM_RES!$A$1,MATCH(AS573,ITEM_RES!$J:$J,0)-1,0),0)</f>
        <v>211020801</v>
      </c>
      <c r="AS573" s="10" t="s">
        <v>452</v>
      </c>
      <c r="AT573" s="11">
        <v>750</v>
      </c>
      <c r="AW573" s="11">
        <f ca="1">IFERROR(OFFSET(ITEM_RES!$A$1,MATCH(AX573,ITEM_RES!$J:$J,0)-1,0),0)</f>
        <v>0</v>
      </c>
      <c r="BB573" s="11">
        <f ca="1">IFERROR(OFFSET(ITEM_RES!$A$1,MATCH(BC573,ITEM_RES!$J:$J,0)-1,0),0)</f>
        <v>0</v>
      </c>
      <c r="BG573" s="11">
        <f ca="1">IFERROR(OFFSET(ITEM_RES!$A$1,MATCH(BH573,ITEM_RES!$J:$J,0)-1,0),0)</f>
        <v>0</v>
      </c>
      <c r="BL573" s="11">
        <f ca="1">IFERROR(OFFSET(ITEM_RES!$A$1,MATCH(BM573,ITEM_RES!$J:$J,0)-1,0),0)</f>
        <v>0</v>
      </c>
    </row>
    <row r="574" spans="1:67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382</v>
      </c>
      <c r="N574" s="9">
        <v>1</v>
      </c>
      <c r="O574" s="9">
        <v>15</v>
      </c>
      <c r="T574" s="9">
        <v>7777</v>
      </c>
      <c r="W574" s="9">
        <f ca="1">IFERROR(OFFSET(ITEM_RES!$A$5,MATCH(BUILDING!V574,ITEM_RES!$J$5:$J$226,0)-1,0),0)</f>
        <v>0</v>
      </c>
      <c r="Z574" s="9">
        <f ca="1">IFERROR(OFFSET(ITEM_RES!$A$5,MATCH(BUILDING!Y574,ITEM_RES!$J$5:$J$226,0)-1,0),0)</f>
        <v>0</v>
      </c>
      <c r="AB574" s="9" t="s">
        <v>395</v>
      </c>
      <c r="AC574" s="9">
        <v>10</v>
      </c>
      <c r="AE574" s="9">
        <v>16000</v>
      </c>
      <c r="AG574" s="56">
        <f t="shared" si="149"/>
        <v>3200</v>
      </c>
      <c r="AH574" s="10">
        <f t="shared" si="156"/>
        <v>5600</v>
      </c>
      <c r="AJ574" s="11">
        <f t="shared" si="148"/>
        <v>50</v>
      </c>
      <c r="AK574" s="10">
        <v>50</v>
      </c>
      <c r="AL574" s="11">
        <f t="shared" si="155"/>
        <v>200</v>
      </c>
      <c r="AM574" s="10">
        <v>200</v>
      </c>
      <c r="AN574" s="11">
        <f t="shared" si="155"/>
        <v>200</v>
      </c>
      <c r="AO574" s="10">
        <v>200</v>
      </c>
      <c r="AP574" s="56">
        <f t="shared" si="150"/>
        <v>1</v>
      </c>
      <c r="AR574" s="11">
        <f ca="1">IFERROR(OFFSET(ITEM_RES!$A$1,MATCH(AS574,ITEM_RES!$J:$J,0)-1,0),0)</f>
        <v>211020801</v>
      </c>
      <c r="AS574" s="10" t="s">
        <v>452</v>
      </c>
      <c r="AT574" s="11">
        <v>1000</v>
      </c>
      <c r="AW574" s="11">
        <f ca="1">IFERROR(OFFSET(ITEM_RES!$A$1,MATCH(AX574,ITEM_RES!$J:$J,0)-1,0),0)</f>
        <v>0</v>
      </c>
      <c r="BB574" s="11">
        <f ca="1">IFERROR(OFFSET(ITEM_RES!$A$1,MATCH(BC574,ITEM_RES!$J:$J,0)-1,0),0)</f>
        <v>0</v>
      </c>
      <c r="BG574" s="11">
        <f ca="1">IFERROR(OFFSET(ITEM_RES!$A$1,MATCH(BH574,ITEM_RES!$J:$J,0)-1,0),0)</f>
        <v>0</v>
      </c>
      <c r="BL574" s="11">
        <f ca="1">IFERROR(OFFSET(ITEM_RES!$A$1,MATCH(BM574,ITEM_RES!$J:$J,0)-1,0),0)</f>
        <v>0</v>
      </c>
    </row>
    <row r="575" spans="1:67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382</v>
      </c>
      <c r="N575" s="9">
        <v>1</v>
      </c>
      <c r="O575" s="9">
        <v>15</v>
      </c>
      <c r="T575" s="9">
        <v>7777</v>
      </c>
      <c r="W575" s="9">
        <f ca="1">IFERROR(OFFSET(ITEM_RES!$A$5,MATCH(BUILDING!V575,ITEM_RES!$J$5:$J$226,0)-1,0),0)</f>
        <v>0</v>
      </c>
      <c r="Z575" s="9">
        <f ca="1">IFERROR(OFFSET(ITEM_RES!$A$5,MATCH(BUILDING!Y575,ITEM_RES!$J$5:$J$226,0)-1,0),0)</f>
        <v>0</v>
      </c>
      <c r="AB575" s="9" t="s">
        <v>395</v>
      </c>
      <c r="AC575" s="9">
        <v>11</v>
      </c>
      <c r="AE575" s="9">
        <v>20000</v>
      </c>
      <c r="AG575" s="56">
        <f t="shared" si="149"/>
        <v>4000</v>
      </c>
      <c r="AH575" s="10">
        <f t="shared" si="156"/>
        <v>7200</v>
      </c>
      <c r="AJ575" s="11">
        <f t="shared" si="148"/>
        <v>55</v>
      </c>
      <c r="AK575" s="10">
        <v>55</v>
      </c>
      <c r="AL575" s="11">
        <f t="shared" si="155"/>
        <v>250</v>
      </c>
      <c r="AM575" s="10">
        <v>250</v>
      </c>
      <c r="AN575" s="11">
        <f t="shared" si="155"/>
        <v>250</v>
      </c>
      <c r="AO575" s="10">
        <v>250</v>
      </c>
      <c r="AP575" s="56">
        <f t="shared" si="150"/>
        <v>1</v>
      </c>
      <c r="AR575" s="11">
        <f ca="1">IFERROR(OFFSET(ITEM_RES!$A$1,MATCH(AS575,ITEM_RES!$J:$J,0)-1,0),0)</f>
        <v>211020801</v>
      </c>
      <c r="AS575" s="10" t="s">
        <v>452</v>
      </c>
      <c r="AT575" s="11">
        <v>1250</v>
      </c>
      <c r="AW575" s="11">
        <f ca="1">IFERROR(OFFSET(ITEM_RES!$A$1,MATCH(AX575,ITEM_RES!$J:$J,0)-1,0),0)</f>
        <v>0</v>
      </c>
      <c r="BB575" s="11">
        <f ca="1">IFERROR(OFFSET(ITEM_RES!$A$1,MATCH(BC575,ITEM_RES!$J:$J,0)-1,0),0)</f>
        <v>0</v>
      </c>
      <c r="BG575" s="11">
        <f ca="1">IFERROR(OFFSET(ITEM_RES!$A$1,MATCH(BH575,ITEM_RES!$J:$J,0)-1,0),0)</f>
        <v>0</v>
      </c>
      <c r="BL575" s="11">
        <f ca="1">IFERROR(OFFSET(ITEM_RES!$A$1,MATCH(BM575,ITEM_RES!$J:$J,0)-1,0),0)</f>
        <v>0</v>
      </c>
    </row>
    <row r="576" spans="1:67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382</v>
      </c>
      <c r="N576" s="9">
        <v>1</v>
      </c>
      <c r="O576" s="9">
        <v>15</v>
      </c>
      <c r="T576" s="9">
        <v>7777</v>
      </c>
      <c r="W576" s="9">
        <f ca="1">IFERROR(OFFSET(ITEM_RES!$A$5,MATCH(BUILDING!V576,ITEM_RES!$J$5:$J$226,0)-1,0),0)</f>
        <v>0</v>
      </c>
      <c r="Z576" s="9">
        <f ca="1">IFERROR(OFFSET(ITEM_RES!$A$5,MATCH(BUILDING!Y576,ITEM_RES!$J$5:$J$226,0)-1,0),0)</f>
        <v>0</v>
      </c>
      <c r="AB576" s="9" t="s">
        <v>395</v>
      </c>
      <c r="AC576" s="9">
        <v>12</v>
      </c>
      <c r="AE576" s="9">
        <v>24000</v>
      </c>
      <c r="AG576" s="56">
        <f t="shared" si="149"/>
        <v>4800</v>
      </c>
      <c r="AH576" s="10">
        <f t="shared" si="156"/>
        <v>8800</v>
      </c>
      <c r="AJ576" s="11">
        <f t="shared" si="148"/>
        <v>60</v>
      </c>
      <c r="AK576" s="10">
        <v>60</v>
      </c>
      <c r="AL576" s="11">
        <f t="shared" si="155"/>
        <v>300</v>
      </c>
      <c r="AM576" s="10">
        <v>300</v>
      </c>
      <c r="AN576" s="11">
        <f t="shared" si="155"/>
        <v>300</v>
      </c>
      <c r="AO576" s="10">
        <v>300</v>
      </c>
      <c r="AP576" s="56">
        <f t="shared" si="150"/>
        <v>1</v>
      </c>
      <c r="AR576" s="11">
        <f ca="1">IFERROR(OFFSET(ITEM_RES!$A$1,MATCH(AS576,ITEM_RES!$J:$J,0)-1,0),0)</f>
        <v>211020801</v>
      </c>
      <c r="AS576" s="10" t="s">
        <v>452</v>
      </c>
      <c r="AT576" s="11">
        <v>1500</v>
      </c>
      <c r="AW576" s="11">
        <f ca="1">IFERROR(OFFSET(ITEM_RES!$A$1,MATCH(AX576,ITEM_RES!$J:$J,0)-1,0),0)</f>
        <v>0</v>
      </c>
      <c r="BB576" s="11">
        <f ca="1">IFERROR(OFFSET(ITEM_RES!$A$1,MATCH(BC576,ITEM_RES!$J:$J,0)-1,0),0)</f>
        <v>0</v>
      </c>
      <c r="BG576" s="11">
        <f ca="1">IFERROR(OFFSET(ITEM_RES!$A$1,MATCH(BH576,ITEM_RES!$J:$J,0)-1,0),0)</f>
        <v>0</v>
      </c>
      <c r="BL576" s="11">
        <f ca="1">IFERROR(OFFSET(ITEM_RES!$A$1,MATCH(BM576,ITEM_RES!$J:$J,0)-1,0),0)</f>
        <v>0</v>
      </c>
    </row>
    <row r="577" spans="1:67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382</v>
      </c>
      <c r="N577" s="9">
        <v>1</v>
      </c>
      <c r="O577" s="9">
        <v>15</v>
      </c>
      <c r="T577" s="9">
        <v>7777</v>
      </c>
      <c r="W577" s="9">
        <f ca="1">IFERROR(OFFSET(ITEM_RES!$A$5,MATCH(BUILDING!V577,ITEM_RES!$J$5:$J$226,0)-1,0),0)</f>
        <v>0</v>
      </c>
      <c r="Z577" s="9">
        <f ca="1">IFERROR(OFFSET(ITEM_RES!$A$5,MATCH(BUILDING!Y577,ITEM_RES!$J$5:$J$226,0)-1,0),0)</f>
        <v>0</v>
      </c>
      <c r="AB577" s="9" t="s">
        <v>395</v>
      </c>
      <c r="AC577" s="9">
        <v>13</v>
      </c>
      <c r="AE577" s="9">
        <v>28000</v>
      </c>
      <c r="AG577" s="56">
        <f t="shared" si="149"/>
        <v>5600</v>
      </c>
      <c r="AH577" s="10">
        <f t="shared" si="156"/>
        <v>10400</v>
      </c>
      <c r="AJ577" s="11">
        <f t="shared" si="148"/>
        <v>65</v>
      </c>
      <c r="AK577" s="10">
        <v>65</v>
      </c>
      <c r="AL577" s="11">
        <f t="shared" si="155"/>
        <v>350</v>
      </c>
      <c r="AM577" s="10">
        <v>350</v>
      </c>
      <c r="AN577" s="11">
        <f t="shared" si="155"/>
        <v>350</v>
      </c>
      <c r="AO577" s="10">
        <v>350</v>
      </c>
      <c r="AP577" s="56">
        <f t="shared" si="150"/>
        <v>1</v>
      </c>
      <c r="AR577" s="11">
        <f ca="1">IFERROR(OFFSET(ITEM_RES!$A$1,MATCH(AS577,ITEM_RES!$J:$J,0)-1,0),0)</f>
        <v>211020801</v>
      </c>
      <c r="AS577" s="10" t="s">
        <v>452</v>
      </c>
      <c r="AT577" s="11">
        <v>1750</v>
      </c>
      <c r="AW577" s="11">
        <f ca="1">IFERROR(OFFSET(ITEM_RES!$A$1,MATCH(AX577,ITEM_RES!$J:$J,0)-1,0),0)</f>
        <v>0</v>
      </c>
      <c r="BB577" s="11">
        <f ca="1">IFERROR(OFFSET(ITEM_RES!$A$1,MATCH(BC577,ITEM_RES!$J:$J,0)-1,0),0)</f>
        <v>0</v>
      </c>
      <c r="BG577" s="11">
        <f ca="1">IFERROR(OFFSET(ITEM_RES!$A$1,MATCH(BH577,ITEM_RES!$J:$J,0)-1,0),0)</f>
        <v>0</v>
      </c>
      <c r="BL577" s="11">
        <f ca="1">IFERROR(OFFSET(ITEM_RES!$A$1,MATCH(BM577,ITEM_RES!$J:$J,0)-1,0),0)</f>
        <v>0</v>
      </c>
    </row>
    <row r="578" spans="1:67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382</v>
      </c>
      <c r="N578" s="9">
        <v>1</v>
      </c>
      <c r="O578" s="9">
        <v>15</v>
      </c>
      <c r="T578" s="9">
        <v>7777</v>
      </c>
      <c r="W578" s="9">
        <f ca="1">IFERROR(OFFSET(ITEM_RES!$A$5,MATCH(BUILDING!V578,ITEM_RES!$J$5:$J$226,0)-1,0),0)</f>
        <v>0</v>
      </c>
      <c r="Z578" s="9">
        <f ca="1">IFERROR(OFFSET(ITEM_RES!$A$5,MATCH(BUILDING!Y578,ITEM_RES!$J$5:$J$226,0)-1,0),0)</f>
        <v>0</v>
      </c>
      <c r="AB578" s="9" t="s">
        <v>395</v>
      </c>
      <c r="AC578" s="9">
        <v>14</v>
      </c>
      <c r="AE578" s="9">
        <v>36000</v>
      </c>
      <c r="AG578" s="56">
        <f t="shared" si="149"/>
        <v>7200</v>
      </c>
      <c r="AH578" s="10">
        <f t="shared" si="156"/>
        <v>12800</v>
      </c>
      <c r="AJ578" s="11">
        <f t="shared" si="148"/>
        <v>70</v>
      </c>
      <c r="AK578" s="10">
        <v>70</v>
      </c>
      <c r="AL578" s="11">
        <f t="shared" si="155"/>
        <v>450</v>
      </c>
      <c r="AM578" s="10">
        <v>450</v>
      </c>
      <c r="AN578" s="11">
        <f t="shared" si="155"/>
        <v>450</v>
      </c>
      <c r="AO578" s="10">
        <v>450</v>
      </c>
      <c r="AP578" s="56">
        <f t="shared" si="150"/>
        <v>1</v>
      </c>
      <c r="AR578" s="11">
        <f ca="1">IFERROR(OFFSET(ITEM_RES!$A$1,MATCH(AS578,ITEM_RES!$J:$J,0)-1,0),0)</f>
        <v>211020901</v>
      </c>
      <c r="AS578" s="10" t="s">
        <v>470</v>
      </c>
      <c r="AT578" s="11">
        <v>2250</v>
      </c>
      <c r="AW578" s="11">
        <f ca="1">IFERROR(OFFSET(ITEM_RES!$A$1,MATCH(AX578,ITEM_RES!$J:$J,0)-1,0),0)</f>
        <v>0</v>
      </c>
      <c r="BB578" s="11">
        <f ca="1">IFERROR(OFFSET(ITEM_RES!$A$1,MATCH(BC578,ITEM_RES!$J:$J,0)-1,0),0)</f>
        <v>0</v>
      </c>
      <c r="BG578" s="11">
        <f ca="1">IFERROR(OFFSET(ITEM_RES!$A$1,MATCH(BH578,ITEM_RES!$J:$J,0)-1,0),0)</f>
        <v>0</v>
      </c>
      <c r="BL578" s="11">
        <f ca="1">IFERROR(OFFSET(ITEM_RES!$A$1,MATCH(BM578,ITEM_RES!$J:$J,0)-1,0),0)</f>
        <v>0</v>
      </c>
    </row>
    <row r="579" spans="1:67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382</v>
      </c>
      <c r="N579" s="9">
        <v>1</v>
      </c>
      <c r="O579" s="9">
        <v>15</v>
      </c>
      <c r="T579" s="9">
        <v>7777</v>
      </c>
      <c r="W579" s="9">
        <f ca="1">IFERROR(OFFSET(ITEM_RES!$A$5,MATCH(BUILDING!V579,ITEM_RES!$J$5:$J$226,0)-1,0),0)</f>
        <v>0</v>
      </c>
      <c r="Z579" s="9">
        <f ca="1">IFERROR(OFFSET(ITEM_RES!$A$5,MATCH(BUILDING!Y579,ITEM_RES!$J$5:$J$226,0)-1,0),0)</f>
        <v>0</v>
      </c>
      <c r="AB579" s="9" t="s">
        <v>395</v>
      </c>
      <c r="AC579" s="9">
        <v>15</v>
      </c>
      <c r="AE579" s="9">
        <v>44000</v>
      </c>
      <c r="AG579" s="56">
        <f t="shared" si="149"/>
        <v>8800</v>
      </c>
      <c r="AH579" s="10">
        <f t="shared" si="156"/>
        <v>16000</v>
      </c>
      <c r="AJ579" s="11">
        <f t="shared" si="148"/>
        <v>75</v>
      </c>
      <c r="AK579" s="10">
        <v>75</v>
      </c>
      <c r="AL579" s="11">
        <f t="shared" si="155"/>
        <v>550</v>
      </c>
      <c r="AM579" s="10">
        <v>550</v>
      </c>
      <c r="AN579" s="11">
        <f t="shared" si="155"/>
        <v>550</v>
      </c>
      <c r="AO579" s="10">
        <v>550</v>
      </c>
      <c r="AP579" s="56">
        <f t="shared" si="150"/>
        <v>1</v>
      </c>
      <c r="AR579" s="11">
        <f ca="1">IFERROR(OFFSET(ITEM_RES!$A$1,MATCH(AS579,ITEM_RES!$J:$J,0)-1,0),0)</f>
        <v>211020901</v>
      </c>
      <c r="AS579" s="10" t="s">
        <v>465</v>
      </c>
      <c r="AT579" s="11">
        <v>2750</v>
      </c>
      <c r="AW579" s="11">
        <f ca="1">IFERROR(OFFSET(ITEM_RES!$A$1,MATCH(AX579,ITEM_RES!$J:$J,0)-1,0),0)</f>
        <v>0</v>
      </c>
      <c r="BB579" s="11">
        <f ca="1">IFERROR(OFFSET(ITEM_RES!$A$1,MATCH(BC579,ITEM_RES!$J:$J,0)-1,0),0)</f>
        <v>0</v>
      </c>
      <c r="BG579" s="11">
        <f ca="1">IFERROR(OFFSET(ITEM_RES!$A$1,MATCH(BH579,ITEM_RES!$J:$J,0)-1,0),0)</f>
        <v>0</v>
      </c>
      <c r="BL579" s="11">
        <f ca="1">IFERROR(OFFSET(ITEM_RES!$A$1,MATCH(BM579,ITEM_RES!$J:$J,0)-1,0),0)</f>
        <v>0</v>
      </c>
    </row>
    <row r="580" spans="1:67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382</v>
      </c>
      <c r="N580" s="9">
        <v>0</v>
      </c>
      <c r="O580" s="9">
        <v>15</v>
      </c>
      <c r="T580" s="9">
        <v>7777</v>
      </c>
      <c r="W580" s="9">
        <f ca="1">IFERROR(OFFSET(ITEM_RES!$A$5,MATCH(BUILDING!V580,ITEM_RES!$J$5:$J$226,0)-1,0),0)</f>
        <v>0</v>
      </c>
      <c r="Z580" s="9">
        <f ca="1">IFERROR(OFFSET(ITEM_RES!$A$5,MATCH(BUILDING!Y580,ITEM_RES!$J$5:$J$226,0)-1,0),0)</f>
        <v>0</v>
      </c>
      <c r="AB580" s="9" t="s">
        <v>395</v>
      </c>
      <c r="AC580" s="9">
        <v>16</v>
      </c>
      <c r="AE580" s="9">
        <v>56000</v>
      </c>
      <c r="AG580" s="56">
        <f t="shared" si="149"/>
        <v>11200</v>
      </c>
      <c r="AH580" s="10">
        <f t="shared" si="156"/>
        <v>20000</v>
      </c>
      <c r="AJ580" s="11">
        <f t="shared" si="148"/>
        <v>80</v>
      </c>
      <c r="AK580" s="10">
        <v>80</v>
      </c>
      <c r="AL580" s="11">
        <f t="shared" si="155"/>
        <v>700</v>
      </c>
      <c r="AM580" s="10">
        <v>700</v>
      </c>
      <c r="AN580" s="11">
        <f t="shared" si="155"/>
        <v>700</v>
      </c>
      <c r="AO580" s="10">
        <v>700</v>
      </c>
      <c r="AP580" s="56">
        <f t="shared" si="150"/>
        <v>1</v>
      </c>
      <c r="AR580" s="11">
        <f ca="1">IFERROR(OFFSET(ITEM_RES!$A$1,MATCH(AS580,ITEM_RES!$J:$J,0)-1,0),0)</f>
        <v>211020901</v>
      </c>
      <c r="AS580" s="10" t="s">
        <v>465</v>
      </c>
      <c r="AT580" s="11">
        <v>3500</v>
      </c>
      <c r="AW580" s="11">
        <f ca="1">IFERROR(OFFSET(ITEM_RES!$A$1,MATCH(AX580,ITEM_RES!$J:$J,0)-1,0),0)</f>
        <v>0</v>
      </c>
      <c r="BB580" s="11">
        <f ca="1">IFERROR(OFFSET(ITEM_RES!$A$1,MATCH(BC580,ITEM_RES!$J:$J,0)-1,0),0)</f>
        <v>0</v>
      </c>
      <c r="BG580" s="11">
        <f ca="1">IFERROR(OFFSET(ITEM_RES!$A$1,MATCH(BH580,ITEM_RES!$J:$J,0)-1,0),0)</f>
        <v>0</v>
      </c>
      <c r="BL580" s="11">
        <f ca="1">IFERROR(OFFSET(ITEM_RES!$A$1,MATCH(BM580,ITEM_RES!$J:$J,0)-1,0),0)</f>
        <v>0</v>
      </c>
    </row>
    <row r="581" spans="1:67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382</v>
      </c>
      <c r="N581" s="9">
        <v>0</v>
      </c>
      <c r="O581" s="9">
        <v>15</v>
      </c>
      <c r="T581" s="9">
        <v>7777</v>
      </c>
      <c r="W581" s="9">
        <f ca="1">IFERROR(OFFSET(ITEM_RES!$A$5,MATCH(BUILDING!V581,ITEM_RES!$J$5:$J$226,0)-1,0),0)</f>
        <v>0</v>
      </c>
      <c r="Z581" s="9">
        <f ca="1">IFERROR(OFFSET(ITEM_RES!$A$5,MATCH(BUILDING!Y581,ITEM_RES!$J$5:$J$226,0)-1,0),0)</f>
        <v>0</v>
      </c>
      <c r="AB581" s="9" t="s">
        <v>395</v>
      </c>
      <c r="AC581" s="9">
        <v>17</v>
      </c>
      <c r="AE581" s="9">
        <v>68000</v>
      </c>
      <c r="AG581" s="56">
        <f t="shared" si="149"/>
        <v>13600</v>
      </c>
      <c r="AH581" s="10">
        <f t="shared" si="156"/>
        <v>24800</v>
      </c>
      <c r="AJ581" s="11">
        <f t="shared" si="148"/>
        <v>85</v>
      </c>
      <c r="AK581" s="10">
        <v>85</v>
      </c>
      <c r="AL581" s="11">
        <f t="shared" si="155"/>
        <v>850</v>
      </c>
      <c r="AM581" s="10">
        <v>850</v>
      </c>
      <c r="AN581" s="11">
        <f t="shared" si="155"/>
        <v>850</v>
      </c>
      <c r="AO581" s="10">
        <v>850</v>
      </c>
      <c r="AP581" s="56">
        <f t="shared" si="150"/>
        <v>1</v>
      </c>
      <c r="AR581" s="11">
        <f ca="1">IFERROR(OFFSET(ITEM_RES!$A$1,MATCH(AS581,ITEM_RES!$J:$J,0)-1,0),0)</f>
        <v>211020901</v>
      </c>
      <c r="AS581" s="10" t="s">
        <v>465</v>
      </c>
      <c r="AT581" s="11">
        <v>4250</v>
      </c>
      <c r="AW581" s="11">
        <f ca="1">IFERROR(OFFSET(ITEM_RES!$A$1,MATCH(AX581,ITEM_RES!$J:$J,0)-1,0),0)</f>
        <v>0</v>
      </c>
      <c r="BB581" s="11">
        <f ca="1">IFERROR(OFFSET(ITEM_RES!$A$1,MATCH(BC581,ITEM_RES!$J:$J,0)-1,0),0)</f>
        <v>0</v>
      </c>
      <c r="BG581" s="11">
        <f ca="1">IFERROR(OFFSET(ITEM_RES!$A$1,MATCH(BH581,ITEM_RES!$J:$J,0)-1,0),0)</f>
        <v>0</v>
      </c>
      <c r="BL581" s="11">
        <f ca="1">IFERROR(OFFSET(ITEM_RES!$A$1,MATCH(BM581,ITEM_RES!$J:$J,0)-1,0),0)</f>
        <v>0</v>
      </c>
    </row>
    <row r="582" spans="1:67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382</v>
      </c>
      <c r="N582" s="9">
        <v>0</v>
      </c>
      <c r="O582" s="9">
        <v>15</v>
      </c>
      <c r="T582" s="9">
        <v>7777</v>
      </c>
      <c r="W582" s="9">
        <f ca="1">IFERROR(OFFSET(ITEM_RES!$A$5,MATCH(BUILDING!V582,ITEM_RES!$J$5:$J$226,0)-1,0),0)</f>
        <v>0</v>
      </c>
      <c r="Z582" s="9">
        <f ca="1">IFERROR(OFFSET(ITEM_RES!$A$5,MATCH(BUILDING!Y582,ITEM_RES!$J$5:$J$226,0)-1,0),0)</f>
        <v>0</v>
      </c>
      <c r="AB582" s="9" t="s">
        <v>395</v>
      </c>
      <c r="AC582" s="9">
        <v>18</v>
      </c>
      <c r="AE582" s="9">
        <v>84000</v>
      </c>
      <c r="AG582" s="56">
        <f t="shared" si="149"/>
        <v>16800</v>
      </c>
      <c r="AH582" s="10">
        <f t="shared" si="156"/>
        <v>30400</v>
      </c>
      <c r="AJ582" s="11">
        <f t="shared" si="148"/>
        <v>90</v>
      </c>
      <c r="AK582" s="10">
        <v>90</v>
      </c>
      <c r="AL582" s="11">
        <f t="shared" si="155"/>
        <v>1050</v>
      </c>
      <c r="AM582" s="10">
        <v>1050</v>
      </c>
      <c r="AN582" s="11">
        <f t="shared" si="155"/>
        <v>1050</v>
      </c>
      <c r="AO582" s="10">
        <v>1050</v>
      </c>
      <c r="AP582" s="56">
        <f t="shared" si="150"/>
        <v>1</v>
      </c>
      <c r="AR582" s="11">
        <f ca="1">IFERROR(OFFSET(ITEM_RES!$A$1,MATCH(AS582,ITEM_RES!$J:$J,0)-1,0),0)</f>
        <v>211020901</v>
      </c>
      <c r="AS582" s="10" t="s">
        <v>465</v>
      </c>
      <c r="AT582" s="11">
        <v>5250</v>
      </c>
      <c r="AW582" s="11">
        <f ca="1">IFERROR(OFFSET(ITEM_RES!$A$1,MATCH(AX582,ITEM_RES!$J:$J,0)-1,0),0)</f>
        <v>0</v>
      </c>
      <c r="BB582" s="11">
        <f ca="1">IFERROR(OFFSET(ITEM_RES!$A$1,MATCH(BC582,ITEM_RES!$J:$J,0)-1,0),0)</f>
        <v>0</v>
      </c>
      <c r="BG582" s="11">
        <f ca="1">IFERROR(OFFSET(ITEM_RES!$A$1,MATCH(BH582,ITEM_RES!$J:$J,0)-1,0),0)</f>
        <v>0</v>
      </c>
      <c r="BL582" s="11">
        <f ca="1">IFERROR(OFFSET(ITEM_RES!$A$1,MATCH(BM582,ITEM_RES!$J:$J,0)-1,0),0)</f>
        <v>0</v>
      </c>
    </row>
    <row r="583" spans="1:67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382</v>
      </c>
      <c r="N583" s="9">
        <v>0</v>
      </c>
      <c r="O583" s="9">
        <v>15</v>
      </c>
      <c r="T583" s="9">
        <v>7777</v>
      </c>
      <c r="W583" s="9">
        <f ca="1">IFERROR(OFFSET(ITEM_RES!$A$5,MATCH(BUILDING!V583,ITEM_RES!$J$5:$J$226,0)-1,0),0)</f>
        <v>0</v>
      </c>
      <c r="Z583" s="9">
        <f ca="1">IFERROR(OFFSET(ITEM_RES!$A$5,MATCH(BUILDING!Y583,ITEM_RES!$J$5:$J$226,0)-1,0),0)</f>
        <v>0</v>
      </c>
      <c r="AB583" s="9" t="s">
        <v>395</v>
      </c>
      <c r="AC583" s="9">
        <v>19</v>
      </c>
      <c r="AE583" s="9">
        <v>100000</v>
      </c>
      <c r="AG583" s="56">
        <f t="shared" si="149"/>
        <v>20000</v>
      </c>
      <c r="AH583" s="10">
        <f t="shared" si="156"/>
        <v>36800</v>
      </c>
      <c r="AJ583" s="11">
        <f t="shared" si="148"/>
        <v>95</v>
      </c>
      <c r="AK583" s="10">
        <v>95</v>
      </c>
      <c r="AL583" s="11">
        <f t="shared" si="155"/>
        <v>1250</v>
      </c>
      <c r="AM583" s="10">
        <v>1250</v>
      </c>
      <c r="AN583" s="11">
        <f t="shared" si="155"/>
        <v>1250</v>
      </c>
      <c r="AO583" s="10">
        <v>1250</v>
      </c>
      <c r="AP583" s="56">
        <f t="shared" si="150"/>
        <v>1</v>
      </c>
      <c r="AR583" s="11">
        <f ca="1">IFERROR(OFFSET(ITEM_RES!$A$1,MATCH(AS583,ITEM_RES!$J:$J,0)-1,0),0)</f>
        <v>211020901</v>
      </c>
      <c r="AS583" s="10" t="s">
        <v>465</v>
      </c>
      <c r="AT583" s="11">
        <v>6250</v>
      </c>
      <c r="AW583" s="11">
        <f ca="1">IFERROR(OFFSET(ITEM_RES!$A$1,MATCH(AX583,ITEM_RES!$J:$J,0)-1,0),0)</f>
        <v>0</v>
      </c>
      <c r="BB583" s="11">
        <f ca="1">IFERROR(OFFSET(ITEM_RES!$A$1,MATCH(BC583,ITEM_RES!$J:$J,0)-1,0),0)</f>
        <v>0</v>
      </c>
      <c r="BG583" s="11">
        <f ca="1">IFERROR(OFFSET(ITEM_RES!$A$1,MATCH(BH583,ITEM_RES!$J:$J,0)-1,0),0)</f>
        <v>0</v>
      </c>
      <c r="BL583" s="11">
        <f ca="1">IFERROR(OFFSET(ITEM_RES!$A$1,MATCH(BM583,ITEM_RES!$J:$J,0)-1,0),0)</f>
        <v>0</v>
      </c>
    </row>
    <row r="584" spans="1:67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382</v>
      </c>
      <c r="N584" s="9">
        <v>0</v>
      </c>
      <c r="O584" s="9">
        <v>15</v>
      </c>
      <c r="T584" s="9">
        <v>7777</v>
      </c>
      <c r="W584" s="9">
        <f ca="1">IFERROR(OFFSET(ITEM_RES!$A$5,MATCH(BUILDING!V584,ITEM_RES!$J$5:$J$226,0)-1,0),0)</f>
        <v>0</v>
      </c>
      <c r="Z584" s="9">
        <f ca="1">IFERROR(OFFSET(ITEM_RES!$A$5,MATCH(BUILDING!Y584,ITEM_RES!$J$5:$J$226,0)-1,0),0)</f>
        <v>0</v>
      </c>
      <c r="AB584" s="9" t="s">
        <v>395</v>
      </c>
      <c r="AC584" s="9">
        <v>20</v>
      </c>
      <c r="AE584" s="9">
        <v>120000</v>
      </c>
      <c r="AG584" s="56">
        <f t="shared" si="149"/>
        <v>24000</v>
      </c>
      <c r="AH584" s="10">
        <f t="shared" si="156"/>
        <v>44000</v>
      </c>
      <c r="AJ584" s="11">
        <f t="shared" si="148"/>
        <v>100</v>
      </c>
      <c r="AK584" s="10">
        <v>100</v>
      </c>
      <c r="AL584" s="11">
        <f t="shared" si="155"/>
        <v>1500</v>
      </c>
      <c r="AM584" s="10">
        <v>1500</v>
      </c>
      <c r="AN584" s="11">
        <f t="shared" si="155"/>
        <v>1500</v>
      </c>
      <c r="AO584" s="10">
        <v>1500</v>
      </c>
      <c r="AP584" s="56">
        <f t="shared" si="150"/>
        <v>1</v>
      </c>
      <c r="AR584" s="11">
        <f ca="1">IFERROR(OFFSET(ITEM_RES!$A$1,MATCH(AS584,ITEM_RES!$J:$J,0)-1,0),0)</f>
        <v>211020901</v>
      </c>
      <c r="AS584" s="10" t="s">
        <v>465</v>
      </c>
      <c r="AT584" s="11">
        <v>7500</v>
      </c>
      <c r="AW584" s="11">
        <f ca="1">IFERROR(OFFSET(ITEM_RES!$A$1,MATCH(AX584,ITEM_RES!$J:$J,0)-1,0),0)</f>
        <v>0</v>
      </c>
      <c r="BB584" s="11">
        <f ca="1">IFERROR(OFFSET(ITEM_RES!$A$1,MATCH(BC584,ITEM_RES!$J:$J,0)-1,0),0)</f>
        <v>0</v>
      </c>
      <c r="BG584" s="11">
        <f ca="1">IFERROR(OFFSET(ITEM_RES!$A$1,MATCH(BH584,ITEM_RES!$J:$J,0)-1,0),0)</f>
        <v>0</v>
      </c>
      <c r="BL584" s="11">
        <f ca="1">IFERROR(OFFSET(ITEM_RES!$A$1,MATCH(BM584,ITEM_RES!$J:$J,0)-1,0),0)</f>
        <v>0</v>
      </c>
    </row>
    <row r="585" spans="1:67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79"/>
      <c r="H585" s="16">
        <v>5</v>
      </c>
      <c r="I585" s="16">
        <v>1</v>
      </c>
      <c r="J585" s="79"/>
      <c r="K585" s="16" t="s">
        <v>383</v>
      </c>
      <c r="L585" s="16"/>
      <c r="M585" s="16"/>
      <c r="N585" s="16">
        <v>1</v>
      </c>
      <c r="O585" s="16">
        <v>15</v>
      </c>
      <c r="P585" s="16"/>
      <c r="Q585" s="17"/>
      <c r="R585" s="17"/>
      <c r="S585" s="18"/>
      <c r="T585" s="16">
        <v>8888</v>
      </c>
      <c r="U585" s="79"/>
      <c r="V585" s="87"/>
      <c r="W585" s="16">
        <f ca="1">IFERROR(OFFSET(ITEM_RES!$A$5,MATCH(BUILDING!V585,ITEM_RES!$J$5:$J$226,0)-1,0),0)</f>
        <v>0</v>
      </c>
      <c r="X585" s="18"/>
      <c r="Y585" s="87"/>
      <c r="Z585" s="16">
        <f ca="1">IFERROR(OFFSET(ITEM_RES!$A$5,MATCH(BUILDING!Y585,ITEM_RES!$J$5:$J$226,0)-1,0),0)</f>
        <v>0</v>
      </c>
      <c r="AA585" s="79"/>
      <c r="AB585" s="16" t="s">
        <v>397</v>
      </c>
      <c r="AC585" s="16">
        <v>1</v>
      </c>
      <c r="AD585" s="79"/>
      <c r="AE585" s="16">
        <v>0</v>
      </c>
      <c r="AF585" s="79"/>
      <c r="AG585" s="57">
        <f t="shared" si="149"/>
        <v>1080</v>
      </c>
      <c r="AH585" s="17">
        <f>AG585</f>
        <v>1080</v>
      </c>
      <c r="AI585" s="79"/>
      <c r="AJ585" s="18">
        <f t="shared" si="148"/>
        <v>5</v>
      </c>
      <c r="AK585" s="17">
        <v>5</v>
      </c>
      <c r="AL585" s="18">
        <f t="shared" si="155"/>
        <v>5</v>
      </c>
      <c r="AM585" s="17">
        <v>5</v>
      </c>
      <c r="AN585" s="18">
        <f t="shared" si="155"/>
        <v>5</v>
      </c>
      <c r="AO585" s="17">
        <v>5</v>
      </c>
      <c r="AP585" s="57">
        <f t="shared" si="150"/>
        <v>3</v>
      </c>
      <c r="AQ585" s="18"/>
      <c r="AR585" s="18">
        <f ca="1">IFERROR(OFFSET(ITEM_RES!$A$1,MATCH(AS585,ITEM_RES!$J:$J,0)-1,0),0)</f>
        <v>211020801</v>
      </c>
      <c r="AS585" s="17" t="s">
        <v>452</v>
      </c>
      <c r="AT585" s="18">
        <v>25</v>
      </c>
      <c r="AU585" s="17"/>
      <c r="AV585" s="18"/>
      <c r="AW585" s="18">
        <f ca="1">IFERROR(OFFSET(ITEM_RES!$A$1,MATCH(AX585,ITEM_RES!$J:$J,0)-1,0),0)</f>
        <v>0</v>
      </c>
      <c r="AX585" s="17"/>
      <c r="AY585" s="18"/>
      <c r="AZ585" s="17"/>
      <c r="BA585" s="18"/>
      <c r="BB585" s="18">
        <f ca="1">IFERROR(OFFSET(ITEM_RES!$A$1,MATCH(BC585,ITEM_RES!$J:$J,0)-1,0),0)</f>
        <v>213010101</v>
      </c>
      <c r="BC585" s="17" t="s">
        <v>477</v>
      </c>
      <c r="BD585" s="18">
        <v>1</v>
      </c>
      <c r="BE585" s="17"/>
      <c r="BF585" s="18"/>
      <c r="BG585" s="18">
        <f ca="1">IFERROR(OFFSET(ITEM_RES!$A$1,MATCH(BH585,ITEM_RES!$J:$J,0)-1,0),0)</f>
        <v>213010301</v>
      </c>
      <c r="BH585" s="17" t="s">
        <v>501</v>
      </c>
      <c r="BI585" s="18">
        <v>1</v>
      </c>
      <c r="BJ585" s="17"/>
      <c r="BK585" s="18"/>
      <c r="BL585" s="18">
        <f ca="1">IFERROR(OFFSET(ITEM_RES!$A$1,MATCH(BM585,ITEM_RES!$J:$J,0)-1,0),0)</f>
        <v>0</v>
      </c>
      <c r="BM585" s="17"/>
      <c r="BN585" s="18"/>
      <c r="BO585" s="17"/>
    </row>
    <row r="586" spans="1:67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383</v>
      </c>
      <c r="N586" s="9">
        <v>1</v>
      </c>
      <c r="O586" s="9">
        <v>15</v>
      </c>
      <c r="T586" s="9">
        <v>8888</v>
      </c>
      <c r="W586" s="9">
        <f ca="1">IFERROR(OFFSET(ITEM_RES!$A$5,MATCH(BUILDING!V586,ITEM_RES!$J$5:$J$226,0)-1,0),0)</f>
        <v>0</v>
      </c>
      <c r="Z586" s="9">
        <f ca="1">IFERROR(OFFSET(ITEM_RES!$A$5,MATCH(BUILDING!Y586,ITEM_RES!$J$5:$J$226,0)-1,0),0)</f>
        <v>0</v>
      </c>
      <c r="AB586" s="9" t="s">
        <v>397</v>
      </c>
      <c r="AC586" s="9">
        <v>2</v>
      </c>
      <c r="AE586" s="9">
        <v>400</v>
      </c>
      <c r="AG586" s="56">
        <f t="shared" si="149"/>
        <v>160</v>
      </c>
      <c r="AH586" s="10">
        <f>AG585+AG586</f>
        <v>1240</v>
      </c>
      <c r="AJ586" s="11">
        <f t="shared" si="148"/>
        <v>10</v>
      </c>
      <c r="AK586" s="10">
        <v>10</v>
      </c>
      <c r="AL586" s="11">
        <f t="shared" si="155"/>
        <v>10</v>
      </c>
      <c r="AM586" s="10">
        <v>10</v>
      </c>
      <c r="AN586" s="11">
        <f t="shared" si="155"/>
        <v>10</v>
      </c>
      <c r="AO586" s="10">
        <v>10</v>
      </c>
      <c r="AP586" s="56">
        <f t="shared" si="150"/>
        <v>1</v>
      </c>
      <c r="AR586" s="11">
        <f ca="1">IFERROR(OFFSET(ITEM_RES!$A$1,MATCH(AS586,ITEM_RES!$J:$J,0)-1,0),0)</f>
        <v>211020801</v>
      </c>
      <c r="AS586" s="10" t="s">
        <v>452</v>
      </c>
      <c r="AT586" s="11">
        <v>50</v>
      </c>
      <c r="AW586" s="11">
        <f ca="1">IFERROR(OFFSET(ITEM_RES!$A$1,MATCH(AX586,ITEM_RES!$J:$J,0)-1,0),0)</f>
        <v>0</v>
      </c>
      <c r="BB586" s="11">
        <f ca="1">IFERROR(OFFSET(ITEM_RES!$A$1,MATCH(BC586,ITEM_RES!$J:$J,0)-1,0),0)</f>
        <v>0</v>
      </c>
      <c r="BG586" s="11">
        <f ca="1">IFERROR(OFFSET(ITEM_RES!$A$1,MATCH(BH586,ITEM_RES!$J:$J,0)-1,0),0)</f>
        <v>0</v>
      </c>
      <c r="BL586" s="11">
        <f ca="1">IFERROR(OFFSET(ITEM_RES!$A$1,MATCH(BM586,ITEM_RES!$J:$J,0)-1,0),0)</f>
        <v>0</v>
      </c>
    </row>
    <row r="587" spans="1:67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384</v>
      </c>
      <c r="N587" s="9">
        <v>1</v>
      </c>
      <c r="O587" s="9">
        <v>15</v>
      </c>
      <c r="T587" s="9">
        <v>8888</v>
      </c>
      <c r="W587" s="9">
        <f ca="1">IFERROR(OFFSET(ITEM_RES!$A$5,MATCH(BUILDING!V587,ITEM_RES!$J$5:$J$226,0)-1,0),0)</f>
        <v>0</v>
      </c>
      <c r="Z587" s="9">
        <f ca="1">IFERROR(OFFSET(ITEM_RES!$A$5,MATCH(BUILDING!Y587,ITEM_RES!$J$5:$J$226,0)-1,0),0)</f>
        <v>0</v>
      </c>
      <c r="AB587" s="9" t="s">
        <v>396</v>
      </c>
      <c r="AC587" s="9">
        <v>3</v>
      </c>
      <c r="AE587" s="9">
        <v>1200</v>
      </c>
      <c r="AG587" s="56">
        <f t="shared" si="149"/>
        <v>240</v>
      </c>
      <c r="AH587" s="10">
        <f t="shared" ref="AH587:AH604" si="157">AG586+AG587</f>
        <v>400</v>
      </c>
      <c r="AJ587" s="11">
        <f t="shared" si="148"/>
        <v>15</v>
      </c>
      <c r="AK587" s="10">
        <v>15</v>
      </c>
      <c r="AL587" s="11">
        <f t="shared" si="155"/>
        <v>15</v>
      </c>
      <c r="AM587" s="10">
        <v>15</v>
      </c>
      <c r="AN587" s="11">
        <f t="shared" si="155"/>
        <v>15</v>
      </c>
      <c r="AO587" s="10">
        <v>15</v>
      </c>
      <c r="AP587" s="56">
        <f t="shared" si="150"/>
        <v>1</v>
      </c>
      <c r="AR587" s="11">
        <f ca="1">IFERROR(OFFSET(ITEM_RES!$A$1,MATCH(AS587,ITEM_RES!$J:$J,0)-1,0),0)</f>
        <v>211020801</v>
      </c>
      <c r="AS587" s="10" t="s">
        <v>452</v>
      </c>
      <c r="AT587" s="11">
        <v>75</v>
      </c>
      <c r="AW587" s="11">
        <f ca="1">IFERROR(OFFSET(ITEM_RES!$A$1,MATCH(AX587,ITEM_RES!$J:$J,0)-1,0),0)</f>
        <v>0</v>
      </c>
      <c r="BB587" s="11">
        <f ca="1">IFERROR(OFFSET(ITEM_RES!$A$1,MATCH(BC587,ITEM_RES!$J:$J,0)-1,0),0)</f>
        <v>0</v>
      </c>
      <c r="BG587" s="11">
        <f ca="1">IFERROR(OFFSET(ITEM_RES!$A$1,MATCH(BH587,ITEM_RES!$J:$J,0)-1,0),0)</f>
        <v>0</v>
      </c>
      <c r="BL587" s="11">
        <f ca="1">IFERROR(OFFSET(ITEM_RES!$A$1,MATCH(BM587,ITEM_RES!$J:$J,0)-1,0),0)</f>
        <v>0</v>
      </c>
    </row>
    <row r="588" spans="1:67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384</v>
      </c>
      <c r="N588" s="9">
        <v>1</v>
      </c>
      <c r="O588" s="9">
        <v>15</v>
      </c>
      <c r="T588" s="9">
        <v>8888</v>
      </c>
      <c r="W588" s="9">
        <f ca="1">IFERROR(OFFSET(ITEM_RES!$A$5,MATCH(BUILDING!V588,ITEM_RES!$J$5:$J$226,0)-1,0),0)</f>
        <v>0</v>
      </c>
      <c r="Z588" s="9">
        <f ca="1">IFERROR(OFFSET(ITEM_RES!$A$5,MATCH(BUILDING!Y588,ITEM_RES!$J$5:$J$226,0)-1,0),0)</f>
        <v>0</v>
      </c>
      <c r="AB588" s="9" t="s">
        <v>396</v>
      </c>
      <c r="AC588" s="9">
        <v>4</v>
      </c>
      <c r="AE588" s="9">
        <v>2000</v>
      </c>
      <c r="AG588" s="56">
        <f t="shared" si="149"/>
        <v>400</v>
      </c>
      <c r="AH588" s="10">
        <f t="shared" si="157"/>
        <v>640</v>
      </c>
      <c r="AJ588" s="11">
        <f t="shared" si="148"/>
        <v>20</v>
      </c>
      <c r="AK588" s="10">
        <v>20</v>
      </c>
      <c r="AL588" s="11">
        <f t="shared" si="155"/>
        <v>25</v>
      </c>
      <c r="AM588" s="10">
        <v>25</v>
      </c>
      <c r="AN588" s="11">
        <f t="shared" si="155"/>
        <v>25</v>
      </c>
      <c r="AO588" s="10">
        <v>25</v>
      </c>
      <c r="AP588" s="56">
        <f t="shared" si="150"/>
        <v>1</v>
      </c>
      <c r="AR588" s="11">
        <f ca="1">IFERROR(OFFSET(ITEM_RES!$A$1,MATCH(AS588,ITEM_RES!$J:$J,0)-1,0),0)</f>
        <v>211020801</v>
      </c>
      <c r="AS588" s="10" t="s">
        <v>452</v>
      </c>
      <c r="AT588" s="11">
        <v>125</v>
      </c>
      <c r="AW588" s="11">
        <f ca="1">IFERROR(OFFSET(ITEM_RES!$A$1,MATCH(AX588,ITEM_RES!$J:$J,0)-1,0),0)</f>
        <v>0</v>
      </c>
      <c r="BB588" s="11">
        <f ca="1">IFERROR(OFFSET(ITEM_RES!$A$1,MATCH(BC588,ITEM_RES!$J:$J,0)-1,0),0)</f>
        <v>0</v>
      </c>
      <c r="BG588" s="11">
        <f ca="1">IFERROR(OFFSET(ITEM_RES!$A$1,MATCH(BH588,ITEM_RES!$J:$J,0)-1,0),0)</f>
        <v>0</v>
      </c>
      <c r="BL588" s="11">
        <f ca="1">IFERROR(OFFSET(ITEM_RES!$A$1,MATCH(BM588,ITEM_RES!$J:$J,0)-1,0),0)</f>
        <v>0</v>
      </c>
    </row>
    <row r="589" spans="1:67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384</v>
      </c>
      <c r="N589" s="9">
        <v>1</v>
      </c>
      <c r="O589" s="9">
        <v>15</v>
      </c>
      <c r="T589" s="9">
        <v>8888</v>
      </c>
      <c r="W589" s="9">
        <f ca="1">IFERROR(OFFSET(ITEM_RES!$A$5,MATCH(BUILDING!V589,ITEM_RES!$J$5:$J$226,0)-1,0),0)</f>
        <v>0</v>
      </c>
      <c r="Z589" s="9">
        <f ca="1">IFERROR(OFFSET(ITEM_RES!$A$5,MATCH(BUILDING!Y589,ITEM_RES!$J$5:$J$226,0)-1,0),0)</f>
        <v>0</v>
      </c>
      <c r="AB589" s="9" t="s">
        <v>396</v>
      </c>
      <c r="AC589" s="9">
        <v>5</v>
      </c>
      <c r="AE589" s="9">
        <v>3200</v>
      </c>
      <c r="AG589" s="56">
        <f t="shared" si="149"/>
        <v>1140</v>
      </c>
      <c r="AH589" s="10">
        <f t="shared" si="157"/>
        <v>1540</v>
      </c>
      <c r="AJ589" s="11">
        <f t="shared" si="148"/>
        <v>25</v>
      </c>
      <c r="AK589" s="10">
        <v>25</v>
      </c>
      <c r="AL589" s="11">
        <f t="shared" si="155"/>
        <v>40</v>
      </c>
      <c r="AM589" s="10">
        <v>40</v>
      </c>
      <c r="AN589" s="11">
        <f t="shared" si="155"/>
        <v>40</v>
      </c>
      <c r="AO589" s="10">
        <v>40</v>
      </c>
      <c r="AP589" s="56">
        <f t="shared" si="150"/>
        <v>2</v>
      </c>
      <c r="AR589" s="11">
        <f ca="1">IFERROR(OFFSET(ITEM_RES!$A$1,MATCH(AS589,ITEM_RES!$J:$J,0)-1,0),0)</f>
        <v>211020801</v>
      </c>
      <c r="AS589" s="10" t="s">
        <v>452</v>
      </c>
      <c r="AT589" s="11">
        <v>200</v>
      </c>
      <c r="AW589" s="11">
        <f ca="1">IFERROR(OFFSET(ITEM_RES!$A$1,MATCH(AX589,ITEM_RES!$J:$J,0)-1,0),0)</f>
        <v>0</v>
      </c>
      <c r="BB589" s="11">
        <f ca="1">IFERROR(OFFSET(ITEM_RES!$A$1,MATCH(BC589,ITEM_RES!$J:$J,0)-1,0),0)</f>
        <v>0</v>
      </c>
      <c r="BG589" s="11">
        <f ca="1">IFERROR(OFFSET(ITEM_RES!$A$1,MATCH(BH589,ITEM_RES!$J:$J,0)-1,0),0)</f>
        <v>213011801</v>
      </c>
      <c r="BH589" s="10" t="s">
        <v>509</v>
      </c>
      <c r="BI589" s="11">
        <v>1</v>
      </c>
      <c r="BL589" s="11">
        <f ca="1">IFERROR(OFFSET(ITEM_RES!$A$1,MATCH(BM589,ITEM_RES!$J:$J,0)-1,0),0)</f>
        <v>0</v>
      </c>
    </row>
    <row r="590" spans="1:67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384</v>
      </c>
      <c r="N590" s="9">
        <v>1</v>
      </c>
      <c r="O590" s="9">
        <v>15</v>
      </c>
      <c r="T590" s="9">
        <v>8888</v>
      </c>
      <c r="W590" s="9">
        <f ca="1">IFERROR(OFFSET(ITEM_RES!$A$5,MATCH(BUILDING!V590,ITEM_RES!$J$5:$J$226,0)-1,0),0)</f>
        <v>0</v>
      </c>
      <c r="Z590" s="9">
        <f ca="1">IFERROR(OFFSET(ITEM_RES!$A$5,MATCH(BUILDING!Y590,ITEM_RES!$J$5:$J$226,0)-1,0),0)</f>
        <v>0</v>
      </c>
      <c r="AB590" s="9" t="s">
        <v>396</v>
      </c>
      <c r="AC590" s="9">
        <v>6</v>
      </c>
      <c r="AE590" s="9">
        <v>4000</v>
      </c>
      <c r="AG590" s="56">
        <f t="shared" si="149"/>
        <v>800</v>
      </c>
      <c r="AH590" s="10">
        <f t="shared" si="157"/>
        <v>1940</v>
      </c>
      <c r="AJ590" s="11">
        <f t="shared" si="148"/>
        <v>30</v>
      </c>
      <c r="AK590" s="10">
        <v>30</v>
      </c>
      <c r="AL590" s="11">
        <f t="shared" si="155"/>
        <v>50</v>
      </c>
      <c r="AM590" s="10">
        <v>50</v>
      </c>
      <c r="AN590" s="11">
        <f t="shared" si="155"/>
        <v>50</v>
      </c>
      <c r="AO590" s="10">
        <v>50</v>
      </c>
      <c r="AP590" s="56">
        <f t="shared" si="150"/>
        <v>1</v>
      </c>
      <c r="AR590" s="11">
        <f ca="1">IFERROR(OFFSET(ITEM_RES!$A$1,MATCH(AS590,ITEM_RES!$J:$J,0)-1,0),0)</f>
        <v>211020801</v>
      </c>
      <c r="AS590" s="10" t="s">
        <v>452</v>
      </c>
      <c r="AT590" s="11">
        <v>250</v>
      </c>
      <c r="AW590" s="11">
        <f ca="1">IFERROR(OFFSET(ITEM_RES!$A$1,MATCH(AX590,ITEM_RES!$J:$J,0)-1,0),0)</f>
        <v>0</v>
      </c>
      <c r="BB590" s="11">
        <f ca="1">IFERROR(OFFSET(ITEM_RES!$A$1,MATCH(BC590,ITEM_RES!$J:$J,0)-1,0),0)</f>
        <v>0</v>
      </c>
      <c r="BG590" s="11">
        <f ca="1">IFERROR(OFFSET(ITEM_RES!$A$1,MATCH(BH590,ITEM_RES!$J:$J,0)-1,0),0)</f>
        <v>0</v>
      </c>
      <c r="BL590" s="11">
        <f ca="1">IFERROR(OFFSET(ITEM_RES!$A$1,MATCH(BM590,ITEM_RES!$J:$J,0)-1,0),0)</f>
        <v>0</v>
      </c>
    </row>
    <row r="591" spans="1:67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384</v>
      </c>
      <c r="N591" s="9">
        <v>1</v>
      </c>
      <c r="O591" s="9">
        <v>15</v>
      </c>
      <c r="T591" s="9">
        <v>8888</v>
      </c>
      <c r="W591" s="9">
        <f ca="1">IFERROR(OFFSET(ITEM_RES!$A$5,MATCH(BUILDING!V591,ITEM_RES!$J$5:$J$226,0)-1,0),0)</f>
        <v>0</v>
      </c>
      <c r="Z591" s="9">
        <f ca="1">IFERROR(OFFSET(ITEM_RES!$A$5,MATCH(BUILDING!Y591,ITEM_RES!$J$5:$J$226,0)-1,0),0)</f>
        <v>0</v>
      </c>
      <c r="AB591" s="9" t="s">
        <v>396</v>
      </c>
      <c r="AC591" s="9">
        <v>7</v>
      </c>
      <c r="AE591" s="9">
        <v>8000</v>
      </c>
      <c r="AG591" s="56">
        <f t="shared" si="149"/>
        <v>1600</v>
      </c>
      <c r="AH591" s="10">
        <f t="shared" si="157"/>
        <v>2400</v>
      </c>
      <c r="AJ591" s="11">
        <f t="shared" si="148"/>
        <v>35</v>
      </c>
      <c r="AK591" s="10">
        <v>35</v>
      </c>
      <c r="AL591" s="11">
        <f t="shared" si="155"/>
        <v>100</v>
      </c>
      <c r="AM591" s="10">
        <v>100</v>
      </c>
      <c r="AN591" s="11">
        <f t="shared" si="155"/>
        <v>100</v>
      </c>
      <c r="AO591" s="10">
        <v>100</v>
      </c>
      <c r="AP591" s="56">
        <f t="shared" si="150"/>
        <v>1</v>
      </c>
      <c r="AR591" s="11">
        <f ca="1">IFERROR(OFFSET(ITEM_RES!$A$1,MATCH(AS591,ITEM_RES!$J:$J,0)-1,0),0)</f>
        <v>211020801</v>
      </c>
      <c r="AS591" s="10" t="s">
        <v>452</v>
      </c>
      <c r="AT591" s="11">
        <v>500</v>
      </c>
      <c r="AW591" s="11">
        <f ca="1">IFERROR(OFFSET(ITEM_RES!$A$1,MATCH(AX591,ITEM_RES!$J:$J,0)-1,0),0)</f>
        <v>0</v>
      </c>
      <c r="BB591" s="11">
        <f ca="1">IFERROR(OFFSET(ITEM_RES!$A$1,MATCH(BC591,ITEM_RES!$J:$J,0)-1,0),0)</f>
        <v>0</v>
      </c>
      <c r="BG591" s="11">
        <f ca="1">IFERROR(OFFSET(ITEM_RES!$A$1,MATCH(BH591,ITEM_RES!$J:$J,0)-1,0),0)</f>
        <v>0</v>
      </c>
      <c r="BL591" s="11">
        <f ca="1">IFERROR(OFFSET(ITEM_RES!$A$1,MATCH(BM591,ITEM_RES!$J:$J,0)-1,0),0)</f>
        <v>0</v>
      </c>
    </row>
    <row r="592" spans="1:67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384</v>
      </c>
      <c r="N592" s="9">
        <v>1</v>
      </c>
      <c r="O592" s="9">
        <v>15</v>
      </c>
      <c r="T592" s="9">
        <v>8888</v>
      </c>
      <c r="W592" s="9">
        <f ca="1">IFERROR(OFFSET(ITEM_RES!$A$5,MATCH(BUILDING!V592,ITEM_RES!$J$5:$J$226,0)-1,0),0)</f>
        <v>0</v>
      </c>
      <c r="Z592" s="9">
        <f ca="1">IFERROR(OFFSET(ITEM_RES!$A$5,MATCH(BUILDING!Y592,ITEM_RES!$J$5:$J$226,0)-1,0),0)</f>
        <v>0</v>
      </c>
      <c r="AB592" s="9" t="s">
        <v>396</v>
      </c>
      <c r="AC592" s="9">
        <v>8</v>
      </c>
      <c r="AE592" s="9">
        <v>8000</v>
      </c>
      <c r="AG592" s="56">
        <f t="shared" si="149"/>
        <v>1600</v>
      </c>
      <c r="AH592" s="10">
        <f t="shared" si="157"/>
        <v>3200</v>
      </c>
      <c r="AJ592" s="11">
        <f t="shared" si="148"/>
        <v>40</v>
      </c>
      <c r="AK592" s="10">
        <v>40</v>
      </c>
      <c r="AL592" s="11">
        <f t="shared" si="155"/>
        <v>100</v>
      </c>
      <c r="AM592" s="10">
        <v>100</v>
      </c>
      <c r="AN592" s="11">
        <f t="shared" si="155"/>
        <v>100</v>
      </c>
      <c r="AO592" s="10">
        <v>100</v>
      </c>
      <c r="AP592" s="56">
        <f t="shared" si="150"/>
        <v>1</v>
      </c>
      <c r="AR592" s="11">
        <f ca="1">IFERROR(OFFSET(ITEM_RES!$A$1,MATCH(AS592,ITEM_RES!$J:$J,0)-1,0),0)</f>
        <v>211020801</v>
      </c>
      <c r="AS592" s="10" t="s">
        <v>452</v>
      </c>
      <c r="AT592" s="11">
        <v>500</v>
      </c>
      <c r="AW592" s="11">
        <f ca="1">IFERROR(OFFSET(ITEM_RES!$A$1,MATCH(AX592,ITEM_RES!$J:$J,0)-1,0),0)</f>
        <v>0</v>
      </c>
      <c r="BB592" s="11">
        <f ca="1">IFERROR(OFFSET(ITEM_RES!$A$1,MATCH(BC592,ITEM_RES!$J:$J,0)-1,0),0)</f>
        <v>0</v>
      </c>
      <c r="BG592" s="11">
        <f ca="1">IFERROR(OFFSET(ITEM_RES!$A$1,MATCH(BH592,ITEM_RES!$J:$J,0)-1,0),0)</f>
        <v>0</v>
      </c>
      <c r="BL592" s="11">
        <f ca="1">IFERROR(OFFSET(ITEM_RES!$A$1,MATCH(BM592,ITEM_RES!$J:$J,0)-1,0),0)</f>
        <v>0</v>
      </c>
    </row>
    <row r="593" spans="1:67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384</v>
      </c>
      <c r="N593" s="9">
        <v>1</v>
      </c>
      <c r="O593" s="9">
        <v>15</v>
      </c>
      <c r="T593" s="9">
        <v>8888</v>
      </c>
      <c r="W593" s="9">
        <f ca="1">IFERROR(OFFSET(ITEM_RES!$A$5,MATCH(BUILDING!V593,ITEM_RES!$J$5:$J$226,0)-1,0),0)</f>
        <v>0</v>
      </c>
      <c r="Z593" s="9">
        <f ca="1">IFERROR(OFFSET(ITEM_RES!$A$5,MATCH(BUILDING!Y593,ITEM_RES!$J$5:$J$226,0)-1,0),0)</f>
        <v>0</v>
      </c>
      <c r="AB593" s="9" t="s">
        <v>396</v>
      </c>
      <c r="AC593" s="9">
        <v>9</v>
      </c>
      <c r="AE593" s="9">
        <v>12000</v>
      </c>
      <c r="AG593" s="56">
        <f t="shared" si="149"/>
        <v>2400</v>
      </c>
      <c r="AH593" s="10">
        <f t="shared" si="157"/>
        <v>4000</v>
      </c>
      <c r="AJ593" s="11">
        <f t="shared" si="148"/>
        <v>45</v>
      </c>
      <c r="AK593" s="10">
        <v>45</v>
      </c>
      <c r="AL593" s="11">
        <f t="shared" si="155"/>
        <v>150</v>
      </c>
      <c r="AM593" s="10">
        <v>150</v>
      </c>
      <c r="AN593" s="11">
        <f t="shared" si="155"/>
        <v>150</v>
      </c>
      <c r="AO593" s="10">
        <v>150</v>
      </c>
      <c r="AP593" s="56">
        <f t="shared" si="150"/>
        <v>1</v>
      </c>
      <c r="AR593" s="11">
        <f ca="1">IFERROR(OFFSET(ITEM_RES!$A$1,MATCH(AS593,ITEM_RES!$J:$J,0)-1,0),0)</f>
        <v>211020801</v>
      </c>
      <c r="AS593" s="10" t="s">
        <v>452</v>
      </c>
      <c r="AT593" s="11">
        <v>750</v>
      </c>
      <c r="AW593" s="11">
        <f ca="1">IFERROR(OFFSET(ITEM_RES!$A$1,MATCH(AX593,ITEM_RES!$J:$J,0)-1,0),0)</f>
        <v>0</v>
      </c>
      <c r="BB593" s="11">
        <f ca="1">IFERROR(OFFSET(ITEM_RES!$A$1,MATCH(BC593,ITEM_RES!$J:$J,0)-1,0),0)</f>
        <v>0</v>
      </c>
      <c r="BG593" s="11">
        <f ca="1">IFERROR(OFFSET(ITEM_RES!$A$1,MATCH(BH593,ITEM_RES!$J:$J,0)-1,0),0)</f>
        <v>0</v>
      </c>
      <c r="BL593" s="11">
        <f ca="1">IFERROR(OFFSET(ITEM_RES!$A$1,MATCH(BM593,ITEM_RES!$J:$J,0)-1,0),0)</f>
        <v>0</v>
      </c>
    </row>
    <row r="594" spans="1:67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384</v>
      </c>
      <c r="N594" s="9">
        <v>1</v>
      </c>
      <c r="O594" s="9">
        <v>15</v>
      </c>
      <c r="T594" s="9">
        <v>8888</v>
      </c>
      <c r="W594" s="9">
        <f ca="1">IFERROR(OFFSET(ITEM_RES!$A$5,MATCH(BUILDING!V594,ITEM_RES!$J$5:$J$226,0)-1,0),0)</f>
        <v>0</v>
      </c>
      <c r="Z594" s="9">
        <f ca="1">IFERROR(OFFSET(ITEM_RES!$A$5,MATCH(BUILDING!Y594,ITEM_RES!$J$5:$J$226,0)-1,0),0)</f>
        <v>0</v>
      </c>
      <c r="AB594" s="9" t="s">
        <v>396</v>
      </c>
      <c r="AC594" s="9">
        <v>10</v>
      </c>
      <c r="AE594" s="9">
        <v>16000</v>
      </c>
      <c r="AG594" s="56">
        <f t="shared" si="149"/>
        <v>3200</v>
      </c>
      <c r="AH594" s="10">
        <f t="shared" si="157"/>
        <v>5600</v>
      </c>
      <c r="AJ594" s="11">
        <f t="shared" si="148"/>
        <v>50</v>
      </c>
      <c r="AK594" s="10">
        <v>50</v>
      </c>
      <c r="AL594" s="11">
        <f t="shared" si="155"/>
        <v>200</v>
      </c>
      <c r="AM594" s="10">
        <v>200</v>
      </c>
      <c r="AN594" s="11">
        <f t="shared" si="155"/>
        <v>200</v>
      </c>
      <c r="AO594" s="10">
        <v>200</v>
      </c>
      <c r="AP594" s="56">
        <f t="shared" si="150"/>
        <v>1</v>
      </c>
      <c r="AR594" s="11">
        <f ca="1">IFERROR(OFFSET(ITEM_RES!$A$1,MATCH(AS594,ITEM_RES!$J:$J,0)-1,0),0)</f>
        <v>211020801</v>
      </c>
      <c r="AS594" s="10" t="s">
        <v>452</v>
      </c>
      <c r="AT594" s="11">
        <v>1000</v>
      </c>
      <c r="AW594" s="11">
        <f ca="1">IFERROR(OFFSET(ITEM_RES!$A$1,MATCH(AX594,ITEM_RES!$J:$J,0)-1,0),0)</f>
        <v>0</v>
      </c>
      <c r="BB594" s="11">
        <f ca="1">IFERROR(OFFSET(ITEM_RES!$A$1,MATCH(BC594,ITEM_RES!$J:$J,0)-1,0),0)</f>
        <v>0</v>
      </c>
      <c r="BG594" s="11">
        <f ca="1">IFERROR(OFFSET(ITEM_RES!$A$1,MATCH(BH594,ITEM_RES!$J:$J,0)-1,0),0)</f>
        <v>0</v>
      </c>
      <c r="BL594" s="11">
        <f ca="1">IFERROR(OFFSET(ITEM_RES!$A$1,MATCH(BM594,ITEM_RES!$J:$J,0)-1,0),0)</f>
        <v>0</v>
      </c>
    </row>
    <row r="595" spans="1:67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384</v>
      </c>
      <c r="N595" s="9">
        <v>1</v>
      </c>
      <c r="O595" s="9">
        <v>15</v>
      </c>
      <c r="T595" s="9">
        <v>8888</v>
      </c>
      <c r="W595" s="9">
        <f ca="1">IFERROR(OFFSET(ITEM_RES!$A$5,MATCH(BUILDING!V595,ITEM_RES!$J$5:$J$226,0)-1,0),0)</f>
        <v>0</v>
      </c>
      <c r="Z595" s="9">
        <f ca="1">IFERROR(OFFSET(ITEM_RES!$A$5,MATCH(BUILDING!Y595,ITEM_RES!$J$5:$J$226,0)-1,0),0)</f>
        <v>0</v>
      </c>
      <c r="AB595" s="9" t="s">
        <v>396</v>
      </c>
      <c r="AC595" s="9">
        <v>11</v>
      </c>
      <c r="AE595" s="9">
        <v>20000</v>
      </c>
      <c r="AG595" s="56">
        <f t="shared" si="149"/>
        <v>4000</v>
      </c>
      <c r="AH595" s="10">
        <f t="shared" si="157"/>
        <v>7200</v>
      </c>
      <c r="AJ595" s="11">
        <f t="shared" si="148"/>
        <v>55</v>
      </c>
      <c r="AK595" s="10">
        <v>55</v>
      </c>
      <c r="AL595" s="11">
        <f t="shared" si="155"/>
        <v>250</v>
      </c>
      <c r="AM595" s="10">
        <v>250</v>
      </c>
      <c r="AN595" s="11">
        <f t="shared" si="155"/>
        <v>250</v>
      </c>
      <c r="AO595" s="10">
        <v>250</v>
      </c>
      <c r="AP595" s="56">
        <f t="shared" si="150"/>
        <v>1</v>
      </c>
      <c r="AR595" s="11">
        <f ca="1">IFERROR(OFFSET(ITEM_RES!$A$1,MATCH(AS595,ITEM_RES!$J:$J,0)-1,0),0)</f>
        <v>211020801</v>
      </c>
      <c r="AS595" s="10" t="s">
        <v>452</v>
      </c>
      <c r="AT595" s="11">
        <v>1250</v>
      </c>
      <c r="AW595" s="11">
        <f ca="1">IFERROR(OFFSET(ITEM_RES!$A$1,MATCH(AX595,ITEM_RES!$J:$J,0)-1,0),0)</f>
        <v>0</v>
      </c>
      <c r="BB595" s="11">
        <f ca="1">IFERROR(OFFSET(ITEM_RES!$A$1,MATCH(BC595,ITEM_RES!$J:$J,0)-1,0),0)</f>
        <v>0</v>
      </c>
      <c r="BG595" s="11">
        <f ca="1">IFERROR(OFFSET(ITEM_RES!$A$1,MATCH(BH595,ITEM_RES!$J:$J,0)-1,0),0)</f>
        <v>0</v>
      </c>
      <c r="BL595" s="11">
        <f ca="1">IFERROR(OFFSET(ITEM_RES!$A$1,MATCH(BM595,ITEM_RES!$J:$J,0)-1,0),0)</f>
        <v>0</v>
      </c>
    </row>
    <row r="596" spans="1:67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384</v>
      </c>
      <c r="N596" s="9">
        <v>1</v>
      </c>
      <c r="O596" s="9">
        <v>15</v>
      </c>
      <c r="T596" s="9">
        <v>8888</v>
      </c>
      <c r="W596" s="9">
        <f ca="1">IFERROR(OFFSET(ITEM_RES!$A$5,MATCH(BUILDING!V596,ITEM_RES!$J$5:$J$226,0)-1,0),0)</f>
        <v>0</v>
      </c>
      <c r="Z596" s="9">
        <f ca="1">IFERROR(OFFSET(ITEM_RES!$A$5,MATCH(BUILDING!Y596,ITEM_RES!$J$5:$J$226,0)-1,0),0)</f>
        <v>0</v>
      </c>
      <c r="AB596" s="9" t="s">
        <v>396</v>
      </c>
      <c r="AC596" s="9">
        <v>12</v>
      </c>
      <c r="AE596" s="9">
        <v>24000</v>
      </c>
      <c r="AG596" s="56">
        <f t="shared" si="149"/>
        <v>4800</v>
      </c>
      <c r="AH596" s="10">
        <f t="shared" si="157"/>
        <v>8800</v>
      </c>
      <c r="AJ596" s="11">
        <f t="shared" si="148"/>
        <v>60</v>
      </c>
      <c r="AK596" s="10">
        <v>60</v>
      </c>
      <c r="AL596" s="11">
        <f t="shared" si="155"/>
        <v>300</v>
      </c>
      <c r="AM596" s="10">
        <v>300</v>
      </c>
      <c r="AN596" s="11">
        <f t="shared" si="155"/>
        <v>300</v>
      </c>
      <c r="AO596" s="10">
        <v>300</v>
      </c>
      <c r="AP596" s="56">
        <f t="shared" si="150"/>
        <v>1</v>
      </c>
      <c r="AR596" s="11">
        <f ca="1">IFERROR(OFFSET(ITEM_RES!$A$1,MATCH(AS596,ITEM_RES!$J:$J,0)-1,0),0)</f>
        <v>211020801</v>
      </c>
      <c r="AS596" s="10" t="s">
        <v>452</v>
      </c>
      <c r="AT596" s="11">
        <v>1500</v>
      </c>
      <c r="AW596" s="11">
        <f ca="1">IFERROR(OFFSET(ITEM_RES!$A$1,MATCH(AX596,ITEM_RES!$J:$J,0)-1,0),0)</f>
        <v>0</v>
      </c>
      <c r="BB596" s="11">
        <f ca="1">IFERROR(OFFSET(ITEM_RES!$A$1,MATCH(BC596,ITEM_RES!$J:$J,0)-1,0),0)</f>
        <v>0</v>
      </c>
      <c r="BG596" s="11">
        <f ca="1">IFERROR(OFFSET(ITEM_RES!$A$1,MATCH(BH596,ITEM_RES!$J:$J,0)-1,0),0)</f>
        <v>0</v>
      </c>
      <c r="BL596" s="11">
        <f ca="1">IFERROR(OFFSET(ITEM_RES!$A$1,MATCH(BM596,ITEM_RES!$J:$J,0)-1,0),0)</f>
        <v>0</v>
      </c>
    </row>
    <row r="597" spans="1:67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384</v>
      </c>
      <c r="N597" s="9">
        <v>1</v>
      </c>
      <c r="O597" s="9">
        <v>15</v>
      </c>
      <c r="T597" s="9">
        <v>8888</v>
      </c>
      <c r="W597" s="9">
        <f ca="1">IFERROR(OFFSET(ITEM_RES!$A$5,MATCH(BUILDING!V597,ITEM_RES!$J$5:$J$226,0)-1,0),0)</f>
        <v>0</v>
      </c>
      <c r="Z597" s="9">
        <f ca="1">IFERROR(OFFSET(ITEM_RES!$A$5,MATCH(BUILDING!Y597,ITEM_RES!$J$5:$J$226,0)-1,0),0)</f>
        <v>0</v>
      </c>
      <c r="AB597" s="9" t="s">
        <v>396</v>
      </c>
      <c r="AC597" s="9">
        <v>13</v>
      </c>
      <c r="AE597" s="9">
        <v>28000</v>
      </c>
      <c r="AG597" s="56">
        <f t="shared" si="149"/>
        <v>5600</v>
      </c>
      <c r="AH597" s="10">
        <f t="shared" si="157"/>
        <v>10400</v>
      </c>
      <c r="AJ597" s="11">
        <f t="shared" si="148"/>
        <v>65</v>
      </c>
      <c r="AK597" s="10">
        <v>65</v>
      </c>
      <c r="AL597" s="11">
        <f t="shared" si="155"/>
        <v>350</v>
      </c>
      <c r="AM597" s="10">
        <v>350</v>
      </c>
      <c r="AN597" s="11">
        <f t="shared" si="155"/>
        <v>350</v>
      </c>
      <c r="AO597" s="10">
        <v>350</v>
      </c>
      <c r="AP597" s="56">
        <f t="shared" si="150"/>
        <v>1</v>
      </c>
      <c r="AR597" s="11">
        <f ca="1">IFERROR(OFFSET(ITEM_RES!$A$1,MATCH(AS597,ITEM_RES!$J:$J,0)-1,0),0)</f>
        <v>211020901</v>
      </c>
      <c r="AS597" s="10" t="s">
        <v>466</v>
      </c>
      <c r="AT597" s="11">
        <v>1750</v>
      </c>
      <c r="AW597" s="11">
        <f ca="1">IFERROR(OFFSET(ITEM_RES!$A$1,MATCH(AX597,ITEM_RES!$J:$J,0)-1,0),0)</f>
        <v>0</v>
      </c>
      <c r="BB597" s="11">
        <f ca="1">IFERROR(OFFSET(ITEM_RES!$A$1,MATCH(BC597,ITEM_RES!$J:$J,0)-1,0),0)</f>
        <v>0</v>
      </c>
      <c r="BG597" s="11">
        <f ca="1">IFERROR(OFFSET(ITEM_RES!$A$1,MATCH(BH597,ITEM_RES!$J:$J,0)-1,0),0)</f>
        <v>0</v>
      </c>
      <c r="BL597" s="11">
        <f ca="1">IFERROR(OFFSET(ITEM_RES!$A$1,MATCH(BM597,ITEM_RES!$J:$J,0)-1,0),0)</f>
        <v>0</v>
      </c>
    </row>
    <row r="598" spans="1:67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384</v>
      </c>
      <c r="N598" s="9">
        <v>1</v>
      </c>
      <c r="O598" s="9">
        <v>15</v>
      </c>
      <c r="T598" s="9">
        <v>8888</v>
      </c>
      <c r="W598" s="9">
        <f ca="1">IFERROR(OFFSET(ITEM_RES!$A$5,MATCH(BUILDING!V598,ITEM_RES!$J$5:$J$226,0)-1,0),0)</f>
        <v>0</v>
      </c>
      <c r="Z598" s="9">
        <f ca="1">IFERROR(OFFSET(ITEM_RES!$A$5,MATCH(BUILDING!Y598,ITEM_RES!$J$5:$J$226,0)-1,0),0)</f>
        <v>0</v>
      </c>
      <c r="AB598" s="9" t="s">
        <v>396</v>
      </c>
      <c r="AC598" s="9">
        <v>14</v>
      </c>
      <c r="AE598" s="9">
        <v>36000</v>
      </c>
      <c r="AG598" s="56">
        <f t="shared" si="149"/>
        <v>7200</v>
      </c>
      <c r="AH598" s="10">
        <f t="shared" si="157"/>
        <v>12800</v>
      </c>
      <c r="AJ598" s="11">
        <f t="shared" si="148"/>
        <v>70</v>
      </c>
      <c r="AK598" s="10">
        <v>70</v>
      </c>
      <c r="AL598" s="11">
        <f t="shared" si="155"/>
        <v>450</v>
      </c>
      <c r="AM598" s="10">
        <v>450</v>
      </c>
      <c r="AN598" s="11">
        <f t="shared" si="155"/>
        <v>450</v>
      </c>
      <c r="AO598" s="10">
        <v>450</v>
      </c>
      <c r="AP598" s="56">
        <f t="shared" si="150"/>
        <v>1</v>
      </c>
      <c r="AR598" s="11">
        <f ca="1">IFERROR(OFFSET(ITEM_RES!$A$1,MATCH(AS598,ITEM_RES!$J:$J,0)-1,0),0)</f>
        <v>211020901</v>
      </c>
      <c r="AS598" s="10" t="s">
        <v>465</v>
      </c>
      <c r="AT598" s="11">
        <v>2250</v>
      </c>
      <c r="AW598" s="11">
        <f ca="1">IFERROR(OFFSET(ITEM_RES!$A$1,MATCH(AX598,ITEM_RES!$J:$J,0)-1,0),0)</f>
        <v>0</v>
      </c>
      <c r="BB598" s="11">
        <f ca="1">IFERROR(OFFSET(ITEM_RES!$A$1,MATCH(BC598,ITEM_RES!$J:$J,0)-1,0),0)</f>
        <v>0</v>
      </c>
      <c r="BG598" s="11">
        <f ca="1">IFERROR(OFFSET(ITEM_RES!$A$1,MATCH(BH598,ITEM_RES!$J:$J,0)-1,0),0)</f>
        <v>0</v>
      </c>
      <c r="BL598" s="11">
        <f ca="1">IFERROR(OFFSET(ITEM_RES!$A$1,MATCH(BM598,ITEM_RES!$J:$J,0)-1,0),0)</f>
        <v>0</v>
      </c>
    </row>
    <row r="599" spans="1:67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384</v>
      </c>
      <c r="N599" s="9">
        <v>1</v>
      </c>
      <c r="O599" s="9">
        <v>15</v>
      </c>
      <c r="T599" s="9">
        <v>8888</v>
      </c>
      <c r="W599" s="9">
        <f ca="1">IFERROR(OFFSET(ITEM_RES!$A$5,MATCH(BUILDING!V599,ITEM_RES!$J$5:$J$226,0)-1,0),0)</f>
        <v>0</v>
      </c>
      <c r="Z599" s="9">
        <f ca="1">IFERROR(OFFSET(ITEM_RES!$A$5,MATCH(BUILDING!Y599,ITEM_RES!$J$5:$J$226,0)-1,0),0)</f>
        <v>0</v>
      </c>
      <c r="AB599" s="9" t="s">
        <v>396</v>
      </c>
      <c r="AC599" s="9">
        <v>15</v>
      </c>
      <c r="AE599" s="9">
        <v>44000</v>
      </c>
      <c r="AG599" s="56">
        <f t="shared" si="149"/>
        <v>9300</v>
      </c>
      <c r="AH599" s="10">
        <f t="shared" si="157"/>
        <v>16500</v>
      </c>
      <c r="AJ599" s="11">
        <f t="shared" si="148"/>
        <v>75</v>
      </c>
      <c r="AK599" s="10">
        <v>75</v>
      </c>
      <c r="AL599" s="11">
        <f t="shared" si="155"/>
        <v>550</v>
      </c>
      <c r="AM599" s="10">
        <v>550</v>
      </c>
      <c r="AN599" s="11">
        <f t="shared" si="155"/>
        <v>550</v>
      </c>
      <c r="AO599" s="10">
        <v>550</v>
      </c>
      <c r="AP599" s="56">
        <f t="shared" si="150"/>
        <v>2</v>
      </c>
      <c r="AR599" s="11">
        <f ca="1">IFERROR(OFFSET(ITEM_RES!$A$1,MATCH(AS599,ITEM_RES!$J:$J,0)-1,0),0)</f>
        <v>211020901</v>
      </c>
      <c r="AS599" s="10" t="s">
        <v>465</v>
      </c>
      <c r="AT599" s="11">
        <v>2750</v>
      </c>
      <c r="AW599" s="11">
        <f ca="1">IFERROR(OFFSET(ITEM_RES!$A$1,MATCH(AX599,ITEM_RES!$J:$J,0)-1,0),0)</f>
        <v>0</v>
      </c>
      <c r="BB599" s="11">
        <f ca="1">IFERROR(OFFSET(ITEM_RES!$A$1,MATCH(BC599,ITEM_RES!$J:$J,0)-1,0),0)</f>
        <v>0</v>
      </c>
      <c r="BG599" s="11">
        <f ca="1">IFERROR(OFFSET(ITEM_RES!$A$1,MATCH(BH599,ITEM_RES!$J:$J,0)-1,0),0)</f>
        <v>213011801</v>
      </c>
      <c r="BH599" s="10" t="s">
        <v>509</v>
      </c>
      <c r="BI599" s="11">
        <v>1</v>
      </c>
      <c r="BL599" s="11">
        <f ca="1">IFERROR(OFFSET(ITEM_RES!$A$1,MATCH(BM599,ITEM_RES!$J:$J,0)-1,0),0)</f>
        <v>0</v>
      </c>
    </row>
    <row r="600" spans="1:67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384</v>
      </c>
      <c r="N600" s="9">
        <v>0</v>
      </c>
      <c r="O600" s="9">
        <v>15</v>
      </c>
      <c r="T600" s="9">
        <v>8888</v>
      </c>
      <c r="W600" s="9">
        <f ca="1">IFERROR(OFFSET(ITEM_RES!$A$5,MATCH(BUILDING!V600,ITEM_RES!$J$5:$J$226,0)-1,0),0)</f>
        <v>0</v>
      </c>
      <c r="Z600" s="9">
        <f ca="1">IFERROR(OFFSET(ITEM_RES!$A$5,MATCH(BUILDING!Y600,ITEM_RES!$J$5:$J$226,0)-1,0),0)</f>
        <v>0</v>
      </c>
      <c r="AB600" s="9" t="s">
        <v>396</v>
      </c>
      <c r="AC600" s="9">
        <v>16</v>
      </c>
      <c r="AE600" s="9">
        <v>56000</v>
      </c>
      <c r="AG600" s="56">
        <f t="shared" si="149"/>
        <v>11200</v>
      </c>
      <c r="AH600" s="10">
        <f t="shared" si="157"/>
        <v>20500</v>
      </c>
      <c r="AJ600" s="11">
        <f t="shared" si="148"/>
        <v>80</v>
      </c>
      <c r="AK600" s="10">
        <v>80</v>
      </c>
      <c r="AL600" s="11">
        <f t="shared" si="155"/>
        <v>700</v>
      </c>
      <c r="AM600" s="10">
        <v>700</v>
      </c>
      <c r="AN600" s="11">
        <f t="shared" si="155"/>
        <v>700</v>
      </c>
      <c r="AO600" s="10">
        <v>700</v>
      </c>
      <c r="AP600" s="56">
        <f t="shared" si="150"/>
        <v>1</v>
      </c>
      <c r="AR600" s="11">
        <f ca="1">IFERROR(OFFSET(ITEM_RES!$A$1,MATCH(AS600,ITEM_RES!$J:$J,0)-1,0),0)</f>
        <v>211020901</v>
      </c>
      <c r="AS600" s="10" t="s">
        <v>465</v>
      </c>
      <c r="AT600" s="11">
        <v>3500</v>
      </c>
      <c r="AW600" s="11">
        <f ca="1">IFERROR(OFFSET(ITEM_RES!$A$1,MATCH(AX600,ITEM_RES!$J:$J,0)-1,0),0)</f>
        <v>0</v>
      </c>
      <c r="BB600" s="11">
        <f ca="1">IFERROR(OFFSET(ITEM_RES!$A$1,MATCH(BC600,ITEM_RES!$J:$J,0)-1,0),0)</f>
        <v>0</v>
      </c>
      <c r="BG600" s="11">
        <f ca="1">IFERROR(OFFSET(ITEM_RES!$A$1,MATCH(BH600,ITEM_RES!$J:$J,0)-1,0),0)</f>
        <v>0</v>
      </c>
      <c r="BL600" s="11">
        <f ca="1">IFERROR(OFFSET(ITEM_RES!$A$1,MATCH(BM600,ITEM_RES!$J:$J,0)-1,0),0)</f>
        <v>0</v>
      </c>
    </row>
    <row r="601" spans="1:67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384</v>
      </c>
      <c r="N601" s="9">
        <v>0</v>
      </c>
      <c r="O601" s="9">
        <v>15</v>
      </c>
      <c r="T601" s="9">
        <v>8888</v>
      </c>
      <c r="W601" s="9">
        <f ca="1">IFERROR(OFFSET(ITEM_RES!$A$5,MATCH(BUILDING!V601,ITEM_RES!$J$5:$J$226,0)-1,0),0)</f>
        <v>0</v>
      </c>
      <c r="Z601" s="9">
        <f ca="1">IFERROR(OFFSET(ITEM_RES!$A$5,MATCH(BUILDING!Y601,ITEM_RES!$J$5:$J$226,0)-1,0),0)</f>
        <v>0</v>
      </c>
      <c r="AB601" s="9" t="s">
        <v>396</v>
      </c>
      <c r="AC601" s="9">
        <v>17</v>
      </c>
      <c r="AE601" s="9">
        <v>68000</v>
      </c>
      <c r="AG601" s="56">
        <f t="shared" si="149"/>
        <v>13600</v>
      </c>
      <c r="AH601" s="10">
        <f t="shared" si="157"/>
        <v>24800</v>
      </c>
      <c r="AJ601" s="11">
        <f t="shared" ref="AJ601:AJ604" si="158">ROUND(AK601,0)</f>
        <v>85</v>
      </c>
      <c r="AK601" s="10">
        <v>85</v>
      </c>
      <c r="AL601" s="11">
        <f t="shared" si="155"/>
        <v>850</v>
      </c>
      <c r="AM601" s="10">
        <v>850</v>
      </c>
      <c r="AN601" s="11">
        <f t="shared" si="155"/>
        <v>850</v>
      </c>
      <c r="AO601" s="10">
        <v>850</v>
      </c>
      <c r="AP601" s="56">
        <f t="shared" si="150"/>
        <v>1</v>
      </c>
      <c r="AR601" s="11">
        <f ca="1">IFERROR(OFFSET(ITEM_RES!$A$1,MATCH(AS601,ITEM_RES!$J:$J,0)-1,0),0)</f>
        <v>211020901</v>
      </c>
      <c r="AS601" s="10" t="s">
        <v>465</v>
      </c>
      <c r="AT601" s="11">
        <v>4250</v>
      </c>
      <c r="AW601" s="11">
        <f ca="1">IFERROR(OFFSET(ITEM_RES!$A$1,MATCH(AX601,ITEM_RES!$J:$J,0)-1,0),0)</f>
        <v>0</v>
      </c>
      <c r="BB601" s="11">
        <f ca="1">IFERROR(OFFSET(ITEM_RES!$A$1,MATCH(BC601,ITEM_RES!$J:$J,0)-1,0),0)</f>
        <v>0</v>
      </c>
      <c r="BG601" s="11">
        <f ca="1">IFERROR(OFFSET(ITEM_RES!$A$1,MATCH(BH601,ITEM_RES!$J:$J,0)-1,0),0)</f>
        <v>0</v>
      </c>
      <c r="BL601" s="11">
        <f ca="1">IFERROR(OFFSET(ITEM_RES!$A$1,MATCH(BM601,ITEM_RES!$J:$J,0)-1,0),0)</f>
        <v>0</v>
      </c>
    </row>
    <row r="602" spans="1:67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384</v>
      </c>
      <c r="N602" s="9">
        <v>0</v>
      </c>
      <c r="O602" s="9">
        <v>15</v>
      </c>
      <c r="T602" s="9">
        <v>8888</v>
      </c>
      <c r="W602" s="9">
        <f ca="1">IFERROR(OFFSET(ITEM_RES!$A$5,MATCH(BUILDING!V602,ITEM_RES!$J$5:$J$226,0)-1,0),0)</f>
        <v>0</v>
      </c>
      <c r="Z602" s="9">
        <f ca="1">IFERROR(OFFSET(ITEM_RES!$A$5,MATCH(BUILDING!Y602,ITEM_RES!$J$5:$J$226,0)-1,0),0)</f>
        <v>0</v>
      </c>
      <c r="AB602" s="9" t="s">
        <v>396</v>
      </c>
      <c r="AC602" s="9">
        <v>18</v>
      </c>
      <c r="AE602" s="9">
        <v>84000</v>
      </c>
      <c r="AG602" s="56">
        <f t="shared" ref="AG602:AG604" si="159">AM602*10+AO602+AT602+AY602+500*BD602+500*BI602+500*BN602</f>
        <v>16800</v>
      </c>
      <c r="AH602" s="10">
        <f t="shared" si="157"/>
        <v>30400</v>
      </c>
      <c r="AJ602" s="11">
        <f t="shared" si="158"/>
        <v>90</v>
      </c>
      <c r="AK602" s="10">
        <v>90</v>
      </c>
      <c r="AL602" s="11">
        <f t="shared" si="155"/>
        <v>1050</v>
      </c>
      <c r="AM602" s="10">
        <v>1050</v>
      </c>
      <c r="AN602" s="11">
        <f t="shared" si="155"/>
        <v>1050</v>
      </c>
      <c r="AO602" s="10">
        <v>1050</v>
      </c>
      <c r="AP602" s="56">
        <f t="shared" ref="AP602:AP604" si="160">(AT602&gt;0)*1+(AY602&gt;0)*1+(BD602&gt;0)*1+(BI602&gt;0)*1+(BN602&gt;0)*1</f>
        <v>1</v>
      </c>
      <c r="AR602" s="11">
        <f ca="1">IFERROR(OFFSET(ITEM_RES!$A$1,MATCH(AS602,ITEM_RES!$J:$J,0)-1,0),0)</f>
        <v>211020901</v>
      </c>
      <c r="AS602" s="10" t="s">
        <v>465</v>
      </c>
      <c r="AT602" s="11">
        <v>5250</v>
      </c>
      <c r="AW602" s="11">
        <f ca="1">IFERROR(OFFSET(ITEM_RES!$A$1,MATCH(AX602,ITEM_RES!$J:$J,0)-1,0),0)</f>
        <v>0</v>
      </c>
      <c r="BB602" s="11">
        <f ca="1">IFERROR(OFFSET(ITEM_RES!$A$1,MATCH(BC602,ITEM_RES!$J:$J,0)-1,0),0)</f>
        <v>0</v>
      </c>
      <c r="BG602" s="11">
        <f ca="1">IFERROR(OFFSET(ITEM_RES!$A$1,MATCH(BH602,ITEM_RES!$J:$J,0)-1,0),0)</f>
        <v>0</v>
      </c>
      <c r="BL602" s="11">
        <f ca="1">IFERROR(OFFSET(ITEM_RES!$A$1,MATCH(BM602,ITEM_RES!$J:$J,0)-1,0),0)</f>
        <v>0</v>
      </c>
    </row>
    <row r="603" spans="1:67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384</v>
      </c>
      <c r="N603" s="9">
        <v>0</v>
      </c>
      <c r="O603" s="9">
        <v>15</v>
      </c>
      <c r="T603" s="9">
        <v>8888</v>
      </c>
      <c r="W603" s="9">
        <f ca="1">IFERROR(OFFSET(ITEM_RES!$A$5,MATCH(BUILDING!V603,ITEM_RES!$J$5:$J$226,0)-1,0),0)</f>
        <v>0</v>
      </c>
      <c r="Z603" s="9">
        <f ca="1">IFERROR(OFFSET(ITEM_RES!$A$5,MATCH(BUILDING!Y603,ITEM_RES!$J$5:$J$226,0)-1,0),0)</f>
        <v>0</v>
      </c>
      <c r="AB603" s="9" t="s">
        <v>396</v>
      </c>
      <c r="AC603" s="9">
        <v>19</v>
      </c>
      <c r="AE603" s="9">
        <v>100000</v>
      </c>
      <c r="AG603" s="56">
        <f t="shared" si="159"/>
        <v>20000</v>
      </c>
      <c r="AH603" s="10">
        <f t="shared" si="157"/>
        <v>36800</v>
      </c>
      <c r="AJ603" s="11">
        <f t="shared" si="158"/>
        <v>95</v>
      </c>
      <c r="AK603" s="10">
        <v>95</v>
      </c>
      <c r="AL603" s="11">
        <f t="shared" si="155"/>
        <v>1250</v>
      </c>
      <c r="AM603" s="10">
        <v>1250</v>
      </c>
      <c r="AN603" s="11">
        <f t="shared" si="155"/>
        <v>1250</v>
      </c>
      <c r="AO603" s="10">
        <v>1250</v>
      </c>
      <c r="AP603" s="56">
        <f t="shared" si="160"/>
        <v>1</v>
      </c>
      <c r="AR603" s="11">
        <f ca="1">IFERROR(OFFSET(ITEM_RES!$A$1,MATCH(AS603,ITEM_RES!$J:$J,0)-1,0),0)</f>
        <v>211020901</v>
      </c>
      <c r="AS603" s="10" t="s">
        <v>465</v>
      </c>
      <c r="AT603" s="11">
        <v>6250</v>
      </c>
      <c r="AW603" s="11">
        <f ca="1">IFERROR(OFFSET(ITEM_RES!$A$1,MATCH(AX603,ITEM_RES!$J:$J,0)-1,0),0)</f>
        <v>0</v>
      </c>
      <c r="BB603" s="11">
        <f ca="1">IFERROR(OFFSET(ITEM_RES!$A$1,MATCH(BC603,ITEM_RES!$J:$J,0)-1,0),0)</f>
        <v>0</v>
      </c>
      <c r="BG603" s="11">
        <f ca="1">IFERROR(OFFSET(ITEM_RES!$A$1,MATCH(BH603,ITEM_RES!$J:$J,0)-1,0),0)</f>
        <v>0</v>
      </c>
      <c r="BL603" s="11">
        <f ca="1">IFERROR(OFFSET(ITEM_RES!$A$1,MATCH(BM603,ITEM_RES!$J:$J,0)-1,0),0)</f>
        <v>0</v>
      </c>
    </row>
    <row r="604" spans="1:67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384</v>
      </c>
      <c r="N604" s="9">
        <v>0</v>
      </c>
      <c r="O604" s="9">
        <v>15</v>
      </c>
      <c r="T604" s="9">
        <v>8888</v>
      </c>
      <c r="W604" s="9">
        <f ca="1">IFERROR(OFFSET(ITEM_RES!$A$5,MATCH(BUILDING!V604,ITEM_RES!$J$5:$J$226,0)-1,0),0)</f>
        <v>0</v>
      </c>
      <c r="Z604" s="9">
        <f ca="1">IFERROR(OFFSET(ITEM_RES!$A$5,MATCH(BUILDING!Y604,ITEM_RES!$J$5:$J$226,0)-1,0),0)</f>
        <v>0</v>
      </c>
      <c r="AB604" s="9" t="s">
        <v>396</v>
      </c>
      <c r="AC604" s="9">
        <v>20</v>
      </c>
      <c r="AE604" s="9">
        <v>120000</v>
      </c>
      <c r="AG604" s="56">
        <f t="shared" si="159"/>
        <v>24500</v>
      </c>
      <c r="AH604" s="10">
        <f t="shared" si="157"/>
        <v>44500</v>
      </c>
      <c r="AJ604" s="11">
        <f t="shared" si="158"/>
        <v>100</v>
      </c>
      <c r="AK604" s="10">
        <v>100</v>
      </c>
      <c r="AL604" s="11">
        <f t="shared" si="155"/>
        <v>1500</v>
      </c>
      <c r="AM604" s="10">
        <v>1500</v>
      </c>
      <c r="AN604" s="11">
        <f t="shared" si="155"/>
        <v>1500</v>
      </c>
      <c r="AO604" s="10">
        <v>1500</v>
      </c>
      <c r="AP604" s="56">
        <f t="shared" si="160"/>
        <v>2</v>
      </c>
      <c r="AR604" s="11">
        <f ca="1">IFERROR(OFFSET(ITEM_RES!$A$1,MATCH(AS604,ITEM_RES!$J:$J,0)-1,0),0)</f>
        <v>211020901</v>
      </c>
      <c r="AS604" s="10" t="s">
        <v>465</v>
      </c>
      <c r="AT604" s="11">
        <v>7500</v>
      </c>
      <c r="AW604" s="11">
        <f ca="1">IFERROR(OFFSET(ITEM_RES!$A$1,MATCH(AX604,ITEM_RES!$J:$J,0)-1,0),0)</f>
        <v>0</v>
      </c>
      <c r="BB604" s="11">
        <f ca="1">IFERROR(OFFSET(ITEM_RES!$A$1,MATCH(BC604,ITEM_RES!$J:$J,0)-1,0),0)</f>
        <v>0</v>
      </c>
      <c r="BG604" s="11">
        <f ca="1">IFERROR(OFFSET(ITEM_RES!$A$1,MATCH(BH604,ITEM_RES!$J:$J,0)-1,0),0)</f>
        <v>213011801</v>
      </c>
      <c r="BH604" s="10" t="s">
        <v>509</v>
      </c>
      <c r="BI604" s="11">
        <v>1</v>
      </c>
      <c r="BL604" s="11">
        <f ca="1">IFERROR(OFFSET(ITEM_RES!$A$1,MATCH(BM604,ITEM_RES!$J:$J,0)-1,0),0)</f>
        <v>0</v>
      </c>
    </row>
    <row r="605" spans="1:67" s="15" customFormat="1" x14ac:dyDescent="0.3">
      <c r="A605" s="21"/>
      <c r="B605" s="20"/>
      <c r="C605" s="19"/>
      <c r="D605" s="20"/>
      <c r="E605" s="20"/>
      <c r="F605" s="19"/>
      <c r="G605" s="79"/>
      <c r="H605" s="16"/>
      <c r="I605" s="16"/>
      <c r="J605" s="79"/>
      <c r="K605" s="16"/>
      <c r="L605" s="16"/>
      <c r="M605" s="16"/>
      <c r="N605" s="16"/>
      <c r="O605" s="16"/>
      <c r="P605" s="16"/>
      <c r="Q605" s="17"/>
      <c r="R605" s="17"/>
      <c r="S605" s="18"/>
      <c r="T605" s="16"/>
      <c r="U605" s="79"/>
      <c r="V605" s="87"/>
      <c r="W605" s="16"/>
      <c r="X605" s="18"/>
      <c r="Y605" s="87"/>
      <c r="Z605" s="16"/>
      <c r="AA605" s="79"/>
      <c r="AB605" s="16"/>
      <c r="AC605" s="16"/>
      <c r="AD605" s="79"/>
      <c r="AE605" s="16"/>
      <c r="AF605" s="79"/>
      <c r="AG605" s="57"/>
      <c r="AH605" s="17"/>
      <c r="AI605" s="79"/>
      <c r="AJ605" s="18"/>
      <c r="AK605" s="17"/>
      <c r="AL605" s="18"/>
      <c r="AM605" s="17"/>
      <c r="AN605" s="18"/>
      <c r="AO605" s="17"/>
      <c r="AP605" s="57"/>
      <c r="AQ605" s="18"/>
      <c r="AR605" s="18"/>
      <c r="AS605" s="17"/>
      <c r="AT605" s="18"/>
      <c r="AU605" s="17"/>
      <c r="AV605" s="18"/>
      <c r="AW605" s="18"/>
      <c r="AX605" s="17"/>
      <c r="AY605" s="18"/>
      <c r="AZ605" s="17"/>
      <c r="BA605" s="18"/>
      <c r="BB605" s="18"/>
      <c r="BC605" s="17"/>
      <c r="BD605" s="18"/>
      <c r="BE605" s="17"/>
      <c r="BF605" s="18"/>
      <c r="BG605" s="18"/>
      <c r="BH605" s="17"/>
      <c r="BI605" s="18"/>
      <c r="BJ605" s="17"/>
      <c r="BK605" s="18"/>
      <c r="BL605" s="18"/>
      <c r="BM605" s="17"/>
      <c r="BN605" s="18"/>
      <c r="BO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F105"/>
  <sheetViews>
    <sheetView topLeftCell="N1" zoomScale="90" zoomScaleNormal="90" workbookViewId="0">
      <selection activeCell="AA6" sqref="AA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9.875" style="36" customWidth="1"/>
    <col min="16" max="16" width="39.125" style="34" bestFit="1" customWidth="1"/>
    <col min="17" max="17" width="12.5" style="35" customWidth="1"/>
    <col min="18" max="18" width="24.375" style="35" customWidth="1"/>
    <col min="19" max="19" width="5.75" style="75" customWidth="1"/>
    <col min="20" max="20" width="11.875" style="34" bestFit="1" customWidth="1"/>
    <col min="21" max="21" width="11.875" style="36" bestFit="1" customWidth="1"/>
    <col min="22" max="22" width="5.75" style="75" bestFit="1" customWidth="1"/>
    <col min="23" max="23" width="10.25" style="35" bestFit="1" customWidth="1"/>
    <col min="24" max="24" width="5.75" style="75" bestFit="1" customWidth="1"/>
    <col min="25" max="26" width="10.25" style="35" bestFit="1" customWidth="1"/>
    <col min="27" max="29" width="10.25" style="150" bestFit="1" customWidth="1"/>
    <col min="30" max="30" width="10.25" style="35" bestFit="1" customWidth="1"/>
    <col min="31" max="31" width="10.25" style="150" bestFit="1" customWidth="1"/>
    <col min="32" max="32" width="10.25" style="35" bestFit="1" customWidth="1"/>
    <col min="33" max="16384" width="8.75" style="34"/>
  </cols>
  <sheetData>
    <row r="1" spans="1:32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861</v>
      </c>
      <c r="L1" s="35" t="s">
        <v>631</v>
      </c>
      <c r="P1" s="34" t="s">
        <v>60</v>
      </c>
      <c r="Q1" s="35" t="s">
        <v>60</v>
      </c>
      <c r="R1" s="35" t="s">
        <v>60</v>
      </c>
      <c r="S1" s="70"/>
      <c r="T1" s="34" t="s">
        <v>60</v>
      </c>
      <c r="V1" s="70"/>
      <c r="W1" s="1" t="s">
        <v>60</v>
      </c>
      <c r="X1" s="70"/>
      <c r="Y1" s="1"/>
      <c r="Z1" s="1"/>
      <c r="AA1" s="148"/>
      <c r="AB1" s="148"/>
      <c r="AC1" s="148"/>
      <c r="AD1" s="1"/>
      <c r="AE1" s="148"/>
      <c r="AF1" s="1"/>
    </row>
    <row r="2" spans="1:32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860</v>
      </c>
      <c r="L2" s="35" t="s">
        <v>974</v>
      </c>
      <c r="P2" s="34" t="s">
        <v>62</v>
      </c>
      <c r="Q2" s="35" t="s">
        <v>62</v>
      </c>
      <c r="R2" s="35" t="s">
        <v>62</v>
      </c>
      <c r="S2" s="70"/>
      <c r="T2" s="34" t="s">
        <v>899</v>
      </c>
      <c r="V2" s="70"/>
      <c r="W2" s="1" t="s">
        <v>61</v>
      </c>
      <c r="X2" s="70"/>
      <c r="Y2" s="1"/>
      <c r="Z2" s="1"/>
      <c r="AA2" s="148"/>
      <c r="AB2" s="148"/>
      <c r="AC2" s="148"/>
      <c r="AD2" s="1"/>
      <c r="AE2" s="148"/>
      <c r="AF2" s="1"/>
    </row>
    <row r="3" spans="1:32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859</v>
      </c>
      <c r="L3" s="35" t="s">
        <v>970</v>
      </c>
      <c r="P3" s="34" t="s">
        <v>322</v>
      </c>
      <c r="Q3" s="35" t="s">
        <v>347</v>
      </c>
      <c r="R3" s="35" t="s">
        <v>324</v>
      </c>
      <c r="S3" s="70"/>
      <c r="T3" s="34" t="s">
        <v>438</v>
      </c>
      <c r="V3" s="70"/>
      <c r="W3" s="1" t="s">
        <v>336</v>
      </c>
      <c r="X3" s="70"/>
      <c r="Y3" s="1"/>
      <c r="Z3" s="1"/>
      <c r="AA3" s="148"/>
      <c r="AB3" s="148"/>
      <c r="AC3" s="148"/>
      <c r="AD3" s="1"/>
      <c r="AE3" s="148"/>
      <c r="AF3" s="1"/>
    </row>
    <row r="4" spans="1:32" s="80" customFormat="1" ht="83.25" thickBot="1" x14ac:dyDescent="0.2">
      <c r="A4" s="80" t="s">
        <v>337</v>
      </c>
      <c r="B4" s="81" t="s">
        <v>429</v>
      </c>
      <c r="C4" s="81" t="s">
        <v>637</v>
      </c>
      <c r="D4" s="81" t="s">
        <v>638</v>
      </c>
      <c r="E4" s="81" t="s">
        <v>430</v>
      </c>
      <c r="F4" s="81" t="s">
        <v>431</v>
      </c>
      <c r="G4" s="71" t="s">
        <v>355</v>
      </c>
      <c r="H4" s="82" t="s">
        <v>344</v>
      </c>
      <c r="I4" s="71" t="s">
        <v>354</v>
      </c>
      <c r="J4" s="82" t="s">
        <v>427</v>
      </c>
      <c r="K4" s="82" t="s">
        <v>902</v>
      </c>
      <c r="L4" s="82" t="s">
        <v>973</v>
      </c>
      <c r="M4" s="83" t="s">
        <v>425</v>
      </c>
      <c r="N4" s="83" t="s">
        <v>426</v>
      </c>
      <c r="O4" s="83"/>
      <c r="P4" s="80" t="s">
        <v>323</v>
      </c>
      <c r="Q4" s="82" t="s">
        <v>348</v>
      </c>
      <c r="R4" s="82" t="s">
        <v>325</v>
      </c>
      <c r="S4" s="71" t="s">
        <v>975</v>
      </c>
      <c r="T4" s="80" t="s">
        <v>971</v>
      </c>
      <c r="U4" s="81" t="s">
        <v>972</v>
      </c>
      <c r="V4" s="71" t="s">
        <v>346</v>
      </c>
      <c r="W4" s="2" t="s">
        <v>428</v>
      </c>
      <c r="X4" s="71" t="s">
        <v>944</v>
      </c>
      <c r="Y4" s="2" t="s">
        <v>945</v>
      </c>
      <c r="Z4" s="2" t="s">
        <v>943</v>
      </c>
      <c r="AA4" s="149" t="s">
        <v>948</v>
      </c>
      <c r="AB4" s="149" t="s">
        <v>949</v>
      </c>
      <c r="AC4" s="149" t="s">
        <v>952</v>
      </c>
      <c r="AD4" s="2" t="s">
        <v>953</v>
      </c>
      <c r="AE4" s="149" t="s">
        <v>950</v>
      </c>
      <c r="AF4" s="2" t="s">
        <v>951</v>
      </c>
    </row>
    <row r="5" spans="1:32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398</v>
      </c>
      <c r="K5" s="38" t="s">
        <v>862</v>
      </c>
      <c r="L5" s="38">
        <v>1</v>
      </c>
      <c r="M5" s="39" t="s">
        <v>424</v>
      </c>
      <c r="N5" s="39" t="s">
        <v>421</v>
      </c>
      <c r="O5" s="39">
        <v>1</v>
      </c>
      <c r="P5" s="37" t="s">
        <v>839</v>
      </c>
      <c r="Q5" s="38"/>
      <c r="R5" s="38" t="s">
        <v>757</v>
      </c>
      <c r="S5" s="73"/>
      <c r="T5" s="37">
        <f>U5*1000</f>
        <v>10</v>
      </c>
      <c r="U5" s="39">
        <v>0.01</v>
      </c>
      <c r="V5" s="73"/>
      <c r="W5" s="38">
        <v>1</v>
      </c>
      <c r="X5" s="73"/>
      <c r="Y5" s="38">
        <v>1</v>
      </c>
      <c r="Z5" s="38"/>
      <c r="AA5" s="150">
        <v>10</v>
      </c>
      <c r="AB5" s="150"/>
      <c r="AC5" s="150">
        <v>1</v>
      </c>
      <c r="AD5" s="38">
        <v>50</v>
      </c>
      <c r="AE5" s="150">
        <v>1</v>
      </c>
      <c r="AF5" s="38">
        <v>50</v>
      </c>
    </row>
    <row r="6" spans="1:32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399</v>
      </c>
      <c r="K6" s="62" t="s">
        <v>863</v>
      </c>
      <c r="L6" s="62">
        <v>2</v>
      </c>
      <c r="M6" s="39" t="s">
        <v>424</v>
      </c>
      <c r="N6" s="39" t="s">
        <v>421</v>
      </c>
      <c r="O6" s="39">
        <v>1</v>
      </c>
      <c r="P6" s="69" t="s">
        <v>840</v>
      </c>
      <c r="Q6" s="62"/>
      <c r="R6" s="38" t="s">
        <v>758</v>
      </c>
      <c r="S6" s="76"/>
      <c r="T6" s="37">
        <f t="shared" ref="T6:T56" si="2">U6*1000</f>
        <v>10</v>
      </c>
      <c r="U6" s="152">
        <v>0.01</v>
      </c>
      <c r="V6" s="76"/>
      <c r="W6" s="62">
        <v>1</v>
      </c>
      <c r="X6" s="76"/>
      <c r="Y6" s="62">
        <v>1</v>
      </c>
      <c r="Z6" s="62"/>
      <c r="AA6" s="151">
        <v>1</v>
      </c>
      <c r="AB6" s="151">
        <v>1</v>
      </c>
      <c r="AC6" s="151">
        <v>1</v>
      </c>
      <c r="AD6" s="62">
        <v>80</v>
      </c>
      <c r="AE6" s="151">
        <v>1</v>
      </c>
      <c r="AF6" s="62">
        <v>80</v>
      </c>
    </row>
    <row r="7" spans="1:32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400</v>
      </c>
      <c r="K7" s="62" t="s">
        <v>864</v>
      </c>
      <c r="L7" s="62">
        <v>3</v>
      </c>
      <c r="M7" s="39" t="s">
        <v>424</v>
      </c>
      <c r="N7" s="39" t="s">
        <v>421</v>
      </c>
      <c r="O7" s="39">
        <v>1</v>
      </c>
      <c r="P7" s="69" t="s">
        <v>841</v>
      </c>
      <c r="Q7" s="62"/>
      <c r="R7" s="38" t="s">
        <v>759</v>
      </c>
      <c r="S7" s="76"/>
      <c r="T7" s="37">
        <f t="shared" si="2"/>
        <v>10</v>
      </c>
      <c r="U7" s="152">
        <v>0.01</v>
      </c>
      <c r="V7" s="76"/>
      <c r="W7" s="62">
        <v>1</v>
      </c>
      <c r="X7" s="76"/>
      <c r="Y7" s="62">
        <v>1</v>
      </c>
      <c r="Z7" s="62"/>
      <c r="AA7" s="151">
        <v>1</v>
      </c>
      <c r="AB7" s="151">
        <v>1</v>
      </c>
      <c r="AC7" s="151">
        <v>1</v>
      </c>
      <c r="AD7" s="62">
        <v>100</v>
      </c>
      <c r="AE7" s="151">
        <v>1</v>
      </c>
      <c r="AF7" s="62">
        <v>80</v>
      </c>
    </row>
    <row r="8" spans="1:32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473</v>
      </c>
      <c r="K8" s="62" t="s">
        <v>865</v>
      </c>
      <c r="L8" s="62">
        <v>4</v>
      </c>
      <c r="M8" s="39" t="s">
        <v>460</v>
      </c>
      <c r="N8" s="39" t="s">
        <v>474</v>
      </c>
      <c r="O8" s="39">
        <v>1</v>
      </c>
      <c r="P8" s="69" t="s">
        <v>842</v>
      </c>
      <c r="Q8" s="62"/>
      <c r="R8" s="38" t="s">
        <v>760</v>
      </c>
      <c r="S8" s="76"/>
      <c r="T8" s="37">
        <f t="shared" si="2"/>
        <v>10</v>
      </c>
      <c r="U8" s="152">
        <v>0.01</v>
      </c>
      <c r="V8" s="76"/>
      <c r="W8" s="62">
        <v>1</v>
      </c>
      <c r="X8" s="76"/>
      <c r="Y8" s="62">
        <v>0</v>
      </c>
      <c r="Z8" s="62"/>
      <c r="AA8" s="151"/>
      <c r="AB8" s="151"/>
      <c r="AC8" s="151"/>
      <c r="AD8" s="62"/>
      <c r="AE8" s="151"/>
      <c r="AF8" s="62"/>
    </row>
    <row r="9" spans="1:32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401</v>
      </c>
      <c r="K9" s="35" t="s">
        <v>866</v>
      </c>
      <c r="L9" s="38">
        <v>5</v>
      </c>
      <c r="M9" s="39" t="s">
        <v>424</v>
      </c>
      <c r="N9" s="39" t="s">
        <v>421</v>
      </c>
      <c r="O9" s="39">
        <v>1</v>
      </c>
      <c r="P9" s="69" t="s">
        <v>843</v>
      </c>
      <c r="Q9" s="62"/>
      <c r="R9" s="38" t="s">
        <v>761</v>
      </c>
      <c r="S9" s="76"/>
      <c r="T9" s="37">
        <f t="shared" si="2"/>
        <v>10</v>
      </c>
      <c r="U9" s="39">
        <v>0.01</v>
      </c>
      <c r="V9" s="76"/>
      <c r="W9" s="62">
        <v>1</v>
      </c>
      <c r="X9" s="76"/>
      <c r="Y9" s="62">
        <v>1</v>
      </c>
      <c r="Z9" s="62"/>
      <c r="AA9" s="151"/>
      <c r="AB9" s="151">
        <v>50</v>
      </c>
      <c r="AC9" s="151"/>
      <c r="AD9" s="62"/>
      <c r="AE9" s="151"/>
      <c r="AF9" s="62"/>
    </row>
    <row r="10" spans="1:32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559</v>
      </c>
      <c r="K10" s="35" t="s">
        <v>867</v>
      </c>
      <c r="L10" s="62">
        <v>6</v>
      </c>
      <c r="M10" s="39" t="s">
        <v>424</v>
      </c>
      <c r="N10" s="39" t="s">
        <v>421</v>
      </c>
      <c r="O10" s="39">
        <v>1</v>
      </c>
      <c r="P10" s="34" t="s">
        <v>844</v>
      </c>
      <c r="R10" s="38" t="s">
        <v>762</v>
      </c>
      <c r="T10" s="37">
        <f t="shared" si="2"/>
        <v>10</v>
      </c>
      <c r="U10" s="152">
        <v>0.01</v>
      </c>
      <c r="W10" s="35">
        <v>1</v>
      </c>
      <c r="Y10" s="35">
        <v>0</v>
      </c>
    </row>
    <row r="11" spans="1:32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472</v>
      </c>
      <c r="K11" s="35" t="s">
        <v>868</v>
      </c>
      <c r="L11" s="62">
        <v>7</v>
      </c>
      <c r="M11" s="39" t="s">
        <v>421</v>
      </c>
      <c r="N11" s="39"/>
      <c r="O11" s="39">
        <v>1</v>
      </c>
      <c r="P11" s="34" t="s">
        <v>845</v>
      </c>
      <c r="R11" s="38" t="s">
        <v>763</v>
      </c>
      <c r="T11" s="37">
        <f t="shared" si="2"/>
        <v>10</v>
      </c>
      <c r="U11" s="152">
        <v>0.01</v>
      </c>
      <c r="W11" s="35">
        <v>1</v>
      </c>
      <c r="Y11" s="35">
        <v>0</v>
      </c>
    </row>
    <row r="12" spans="1:32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420</v>
      </c>
      <c r="K12" s="62" t="s">
        <v>869</v>
      </c>
      <c r="L12" s="62">
        <v>8</v>
      </c>
      <c r="M12" s="39" t="s">
        <v>421</v>
      </c>
      <c r="O12" s="36">
        <v>1</v>
      </c>
      <c r="P12" s="34" t="s">
        <v>846</v>
      </c>
      <c r="R12" s="38" t="s">
        <v>946</v>
      </c>
      <c r="T12" s="37">
        <f t="shared" si="2"/>
        <v>10</v>
      </c>
      <c r="U12" s="152">
        <v>0.01</v>
      </c>
      <c r="W12" s="35">
        <v>1</v>
      </c>
      <c r="Y12" s="35">
        <v>1</v>
      </c>
      <c r="AA12" s="150">
        <v>10</v>
      </c>
      <c r="AB12" s="150">
        <v>10</v>
      </c>
      <c r="AC12" s="150">
        <v>-10</v>
      </c>
    </row>
    <row r="13" spans="1:32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405</v>
      </c>
      <c r="K13" s="35" t="s">
        <v>870</v>
      </c>
      <c r="L13" s="38">
        <v>9</v>
      </c>
      <c r="M13" s="36" t="s">
        <v>421</v>
      </c>
      <c r="O13" s="36">
        <v>1</v>
      </c>
      <c r="P13" s="34" t="s">
        <v>847</v>
      </c>
      <c r="R13" s="38" t="s">
        <v>764</v>
      </c>
      <c r="T13" s="37">
        <f t="shared" si="2"/>
        <v>10</v>
      </c>
      <c r="U13" s="152">
        <v>0.01</v>
      </c>
      <c r="W13" s="35">
        <v>1</v>
      </c>
      <c r="Y13" s="35">
        <v>0</v>
      </c>
    </row>
    <row r="14" spans="1:32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407</v>
      </c>
      <c r="K14" s="35" t="s">
        <v>871</v>
      </c>
      <c r="L14" s="62">
        <v>10</v>
      </c>
      <c r="M14" s="36" t="s">
        <v>421</v>
      </c>
      <c r="O14" s="36">
        <v>1</v>
      </c>
      <c r="P14" s="34" t="s">
        <v>848</v>
      </c>
      <c r="R14" s="38" t="s">
        <v>765</v>
      </c>
      <c r="T14" s="37">
        <f t="shared" si="2"/>
        <v>10</v>
      </c>
      <c r="U14" s="39">
        <v>0.01</v>
      </c>
      <c r="W14" s="35">
        <v>1</v>
      </c>
      <c r="Y14" s="35">
        <v>0</v>
      </c>
    </row>
    <row r="15" spans="1:32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527</v>
      </c>
      <c r="K15" s="35" t="s">
        <v>872</v>
      </c>
      <c r="L15" s="62">
        <v>15</v>
      </c>
      <c r="M15" s="36" t="s">
        <v>528</v>
      </c>
      <c r="N15" s="36" t="s">
        <v>529</v>
      </c>
      <c r="P15" s="34" t="s">
        <v>849</v>
      </c>
      <c r="R15" s="38" t="s">
        <v>766</v>
      </c>
      <c r="T15" s="37">
        <f t="shared" si="2"/>
        <v>10</v>
      </c>
      <c r="U15" s="152">
        <v>0.01</v>
      </c>
      <c r="W15" s="35">
        <v>1</v>
      </c>
      <c r="Y15" s="35">
        <v>1</v>
      </c>
      <c r="Z15" s="35">
        <v>50</v>
      </c>
    </row>
    <row r="16" spans="1:32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410</v>
      </c>
      <c r="K16" s="35" t="s">
        <v>873</v>
      </c>
      <c r="L16" s="35">
        <v>10</v>
      </c>
      <c r="M16" s="36" t="s">
        <v>421</v>
      </c>
      <c r="O16" s="36">
        <v>1</v>
      </c>
      <c r="P16" s="34" t="s">
        <v>850</v>
      </c>
      <c r="R16" s="38" t="s">
        <v>767</v>
      </c>
      <c r="T16" s="37">
        <f t="shared" si="2"/>
        <v>500000</v>
      </c>
      <c r="U16" s="152">
        <v>500</v>
      </c>
      <c r="W16" s="35">
        <v>1</v>
      </c>
      <c r="Y16" s="35">
        <v>0</v>
      </c>
    </row>
    <row r="17" spans="1:25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411</v>
      </c>
      <c r="K17" s="35" t="s">
        <v>874</v>
      </c>
      <c r="L17" s="35">
        <v>5</v>
      </c>
      <c r="M17" s="36" t="s">
        <v>421</v>
      </c>
      <c r="O17" s="36">
        <v>1</v>
      </c>
      <c r="P17" s="34" t="s">
        <v>851</v>
      </c>
      <c r="R17" s="38" t="s">
        <v>768</v>
      </c>
      <c r="T17" s="37">
        <f t="shared" si="2"/>
        <v>1000000</v>
      </c>
      <c r="U17" s="39">
        <v>1000</v>
      </c>
      <c r="W17" s="35">
        <v>1</v>
      </c>
      <c r="Y17" s="35">
        <v>0</v>
      </c>
    </row>
    <row r="18" spans="1:25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412</v>
      </c>
      <c r="K18" s="35" t="s">
        <v>875</v>
      </c>
      <c r="L18" s="35">
        <v>6</v>
      </c>
      <c r="M18" s="36" t="s">
        <v>421</v>
      </c>
      <c r="O18" s="36">
        <v>1</v>
      </c>
      <c r="P18" s="34" t="s">
        <v>851</v>
      </c>
      <c r="R18" s="38" t="s">
        <v>769</v>
      </c>
      <c r="T18" s="37">
        <f t="shared" si="2"/>
        <v>1000000</v>
      </c>
      <c r="U18" s="39">
        <v>1000</v>
      </c>
      <c r="W18" s="35">
        <v>1</v>
      </c>
      <c r="Y18" s="35">
        <v>0</v>
      </c>
    </row>
    <row r="19" spans="1:25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413</v>
      </c>
      <c r="K19" s="35" t="s">
        <v>876</v>
      </c>
      <c r="L19" s="35">
        <v>7</v>
      </c>
      <c r="M19" s="36" t="s">
        <v>421</v>
      </c>
      <c r="O19" s="36">
        <v>1</v>
      </c>
      <c r="P19" s="34" t="s">
        <v>851</v>
      </c>
      <c r="R19" s="38" t="s">
        <v>770</v>
      </c>
      <c r="T19" s="37">
        <f t="shared" si="2"/>
        <v>1000000</v>
      </c>
      <c r="U19" s="39">
        <v>1000</v>
      </c>
      <c r="W19" s="35">
        <v>1</v>
      </c>
      <c r="Y19" s="35">
        <v>0</v>
      </c>
    </row>
    <row r="20" spans="1:25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478</v>
      </c>
      <c r="K20" s="35" t="s">
        <v>877</v>
      </c>
      <c r="L20" s="35">
        <v>8</v>
      </c>
      <c r="M20" s="36" t="s">
        <v>474</v>
      </c>
      <c r="O20" s="36">
        <v>1</v>
      </c>
      <c r="P20" s="34" t="s">
        <v>850</v>
      </c>
      <c r="R20" s="38" t="s">
        <v>771</v>
      </c>
      <c r="T20" s="37">
        <f t="shared" si="2"/>
        <v>1000000</v>
      </c>
      <c r="U20" s="39">
        <v>1000</v>
      </c>
      <c r="W20" s="35">
        <v>1</v>
      </c>
      <c r="Y20" s="35">
        <v>0</v>
      </c>
    </row>
    <row r="21" spans="1:25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479</v>
      </c>
      <c r="K21" s="35" t="s">
        <v>878</v>
      </c>
      <c r="L21" s="35">
        <v>9</v>
      </c>
      <c r="M21" s="36" t="s">
        <v>474</v>
      </c>
      <c r="O21" s="36">
        <v>1</v>
      </c>
      <c r="P21" s="34" t="s">
        <v>850</v>
      </c>
      <c r="R21" s="38" t="s">
        <v>772</v>
      </c>
      <c r="T21" s="37">
        <f t="shared" si="2"/>
        <v>1000000</v>
      </c>
      <c r="U21" s="39">
        <v>1000</v>
      </c>
      <c r="W21" s="35">
        <v>1</v>
      </c>
      <c r="Y21" s="35">
        <v>0</v>
      </c>
    </row>
    <row r="22" spans="1:25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480</v>
      </c>
      <c r="K22" s="35" t="s">
        <v>879</v>
      </c>
      <c r="L22" s="35">
        <v>10</v>
      </c>
      <c r="M22" s="36" t="s">
        <v>474</v>
      </c>
      <c r="O22" s="36">
        <v>1</v>
      </c>
      <c r="P22" s="34" t="s">
        <v>850</v>
      </c>
      <c r="R22" s="38" t="s">
        <v>773</v>
      </c>
      <c r="T22" s="37">
        <f t="shared" si="2"/>
        <v>1000000</v>
      </c>
      <c r="U22" s="39">
        <v>1000</v>
      </c>
      <c r="W22" s="35">
        <v>1</v>
      </c>
      <c r="Y22" s="35">
        <v>0</v>
      </c>
    </row>
    <row r="23" spans="1:25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487</v>
      </c>
      <c r="K23" s="35" t="s">
        <v>880</v>
      </c>
      <c r="L23" s="35">
        <v>11</v>
      </c>
      <c r="M23" s="36" t="s">
        <v>474</v>
      </c>
      <c r="O23" s="36">
        <v>1</v>
      </c>
      <c r="P23" s="34" t="s">
        <v>850</v>
      </c>
      <c r="R23" s="38" t="s">
        <v>774</v>
      </c>
      <c r="T23" s="37">
        <f t="shared" si="2"/>
        <v>1000000</v>
      </c>
      <c r="U23" s="39">
        <v>1000</v>
      </c>
      <c r="W23" s="35">
        <v>1</v>
      </c>
      <c r="Y23" s="35">
        <v>0</v>
      </c>
    </row>
    <row r="24" spans="1:25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481</v>
      </c>
      <c r="K24" s="35" t="s">
        <v>881</v>
      </c>
      <c r="L24" s="35">
        <v>12</v>
      </c>
      <c r="M24" s="36" t="s">
        <v>474</v>
      </c>
      <c r="O24" s="36">
        <v>1</v>
      </c>
      <c r="P24" s="34" t="s">
        <v>850</v>
      </c>
      <c r="R24" s="38" t="s">
        <v>776</v>
      </c>
      <c r="T24" s="37">
        <f t="shared" si="2"/>
        <v>1000000</v>
      </c>
      <c r="U24" s="39">
        <v>1000</v>
      </c>
      <c r="W24" s="35">
        <v>1</v>
      </c>
      <c r="Y24" s="35">
        <v>0</v>
      </c>
    </row>
    <row r="25" spans="1:25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482</v>
      </c>
      <c r="K25" s="35" t="s">
        <v>882</v>
      </c>
      <c r="L25" s="35">
        <v>13</v>
      </c>
      <c r="M25" s="36" t="s">
        <v>474</v>
      </c>
      <c r="O25" s="36">
        <v>1</v>
      </c>
      <c r="P25" s="34" t="s">
        <v>850</v>
      </c>
      <c r="R25" s="38" t="s">
        <v>775</v>
      </c>
      <c r="T25" s="37">
        <f t="shared" si="2"/>
        <v>1000000</v>
      </c>
      <c r="U25" s="39">
        <v>1000</v>
      </c>
      <c r="W25" s="35">
        <v>1</v>
      </c>
      <c r="Y25" s="35">
        <v>0</v>
      </c>
    </row>
    <row r="26" spans="1:25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483</v>
      </c>
      <c r="K26" s="35" t="s">
        <v>883</v>
      </c>
      <c r="L26" s="35">
        <v>14</v>
      </c>
      <c r="M26" s="36" t="s">
        <v>474</v>
      </c>
      <c r="O26" s="36">
        <v>1</v>
      </c>
      <c r="P26" s="34" t="s">
        <v>850</v>
      </c>
      <c r="R26" s="38" t="s">
        <v>777</v>
      </c>
      <c r="T26" s="37">
        <f t="shared" si="2"/>
        <v>1000000</v>
      </c>
      <c r="U26" s="39">
        <v>1000</v>
      </c>
      <c r="W26" s="35">
        <v>1</v>
      </c>
      <c r="Y26" s="35">
        <v>0</v>
      </c>
    </row>
    <row r="27" spans="1:25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493</v>
      </c>
      <c r="K27" s="35" t="s">
        <v>884</v>
      </c>
      <c r="L27" s="35">
        <v>15</v>
      </c>
      <c r="M27" s="36" t="s">
        <v>474</v>
      </c>
      <c r="O27" s="36">
        <v>1</v>
      </c>
      <c r="P27" s="34" t="s">
        <v>850</v>
      </c>
      <c r="R27" s="38" t="s">
        <v>778</v>
      </c>
      <c r="T27" s="37">
        <f t="shared" si="2"/>
        <v>1000000</v>
      </c>
      <c r="U27" s="39">
        <v>1000</v>
      </c>
      <c r="W27" s="35">
        <v>1</v>
      </c>
      <c r="Y27" s="35">
        <v>0</v>
      </c>
    </row>
    <row r="28" spans="1:25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497</v>
      </c>
      <c r="K28" s="35" t="s">
        <v>885</v>
      </c>
      <c r="L28" s="35">
        <v>15</v>
      </c>
      <c r="M28" s="36" t="s">
        <v>474</v>
      </c>
      <c r="O28" s="36">
        <v>1</v>
      </c>
      <c r="P28" s="34" t="s">
        <v>850</v>
      </c>
      <c r="R28" s="38" t="s">
        <v>779</v>
      </c>
      <c r="T28" s="37">
        <f t="shared" si="2"/>
        <v>1000000</v>
      </c>
      <c r="U28" s="39">
        <v>1000</v>
      </c>
      <c r="W28" s="35">
        <v>1</v>
      </c>
      <c r="Y28" s="35">
        <v>0</v>
      </c>
    </row>
    <row r="29" spans="1:25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498</v>
      </c>
      <c r="K29" s="35" t="s">
        <v>886</v>
      </c>
      <c r="L29" s="35">
        <v>15</v>
      </c>
      <c r="M29" s="36" t="s">
        <v>474</v>
      </c>
      <c r="O29" s="36">
        <v>1</v>
      </c>
      <c r="P29" s="34" t="s">
        <v>850</v>
      </c>
      <c r="R29" s="38" t="s">
        <v>780</v>
      </c>
      <c r="T29" s="37">
        <f t="shared" si="2"/>
        <v>1000000</v>
      </c>
      <c r="U29" s="39">
        <v>1000</v>
      </c>
      <c r="W29" s="35">
        <v>1</v>
      </c>
      <c r="Y29" s="35">
        <v>0</v>
      </c>
    </row>
    <row r="30" spans="1:25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503</v>
      </c>
      <c r="K30" s="35" t="s">
        <v>887</v>
      </c>
      <c r="L30" s="35">
        <v>15</v>
      </c>
      <c r="M30" s="36" t="s">
        <v>474</v>
      </c>
      <c r="O30" s="36">
        <v>1</v>
      </c>
      <c r="P30" s="34" t="s">
        <v>850</v>
      </c>
      <c r="R30" s="38" t="s">
        <v>781</v>
      </c>
      <c r="T30" s="37">
        <f t="shared" si="2"/>
        <v>1000000</v>
      </c>
      <c r="U30" s="39">
        <v>1000</v>
      </c>
      <c r="W30" s="35">
        <v>1</v>
      </c>
      <c r="Y30" s="35">
        <v>0</v>
      </c>
    </row>
    <row r="31" spans="1:25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511</v>
      </c>
      <c r="K31" s="35" t="s">
        <v>888</v>
      </c>
      <c r="L31" s="35">
        <v>15</v>
      </c>
      <c r="M31" s="36" t="s">
        <v>474</v>
      </c>
      <c r="O31" s="36">
        <v>1</v>
      </c>
      <c r="P31" s="34" t="s">
        <v>850</v>
      </c>
      <c r="R31" s="38" t="s">
        <v>782</v>
      </c>
      <c r="T31" s="37">
        <f t="shared" si="2"/>
        <v>1000000</v>
      </c>
      <c r="U31" s="39">
        <v>1000</v>
      </c>
      <c r="W31" s="35">
        <v>1</v>
      </c>
      <c r="Y31" s="35">
        <v>0</v>
      </c>
    </row>
    <row r="32" spans="1:25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505</v>
      </c>
      <c r="K32" s="35" t="s">
        <v>889</v>
      </c>
      <c r="L32" s="35">
        <v>15</v>
      </c>
      <c r="M32" s="36" t="s">
        <v>474</v>
      </c>
      <c r="O32" s="36">
        <v>1</v>
      </c>
      <c r="P32" s="34" t="s">
        <v>850</v>
      </c>
      <c r="R32" s="38" t="s">
        <v>783</v>
      </c>
      <c r="T32" s="37">
        <f t="shared" si="2"/>
        <v>1000000</v>
      </c>
      <c r="U32" s="39">
        <v>1000</v>
      </c>
      <c r="W32" s="35">
        <v>1</v>
      </c>
      <c r="Y32" s="35">
        <v>0</v>
      </c>
    </row>
    <row r="33" spans="1:25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506</v>
      </c>
      <c r="K33" s="35" t="s">
        <v>890</v>
      </c>
      <c r="L33" s="35">
        <v>15</v>
      </c>
      <c r="M33" s="36" t="s">
        <v>474</v>
      </c>
      <c r="O33" s="36">
        <v>1</v>
      </c>
      <c r="P33" s="34" t="s">
        <v>850</v>
      </c>
      <c r="R33" s="38" t="s">
        <v>784</v>
      </c>
      <c r="S33" s="88" t="s">
        <v>530</v>
      </c>
      <c r="T33" s="37">
        <f t="shared" si="2"/>
        <v>1000000</v>
      </c>
      <c r="U33" s="39">
        <v>1000</v>
      </c>
      <c r="W33" s="35">
        <v>1</v>
      </c>
      <c r="Y33" s="35">
        <v>0</v>
      </c>
    </row>
    <row r="34" spans="1:25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508</v>
      </c>
      <c r="K34" s="35" t="s">
        <v>891</v>
      </c>
      <c r="L34" s="35">
        <v>15</v>
      </c>
      <c r="M34" s="36" t="s">
        <v>474</v>
      </c>
      <c r="O34" s="36">
        <v>1</v>
      </c>
      <c r="P34" s="34" t="s">
        <v>850</v>
      </c>
      <c r="R34" s="38" t="s">
        <v>785</v>
      </c>
      <c r="T34" s="37">
        <f t="shared" si="2"/>
        <v>1000000</v>
      </c>
      <c r="U34" s="39">
        <v>1000</v>
      </c>
      <c r="W34" s="35">
        <v>1</v>
      </c>
      <c r="Y34" s="35">
        <v>0</v>
      </c>
    </row>
    <row r="35" spans="1:25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517</v>
      </c>
      <c r="K35" s="35" t="s">
        <v>954</v>
      </c>
      <c r="L35" s="35">
        <v>5</v>
      </c>
      <c r="M35" s="36" t="s">
        <v>526</v>
      </c>
      <c r="O35" s="36">
        <v>1</v>
      </c>
      <c r="R35" s="38" t="s">
        <v>786</v>
      </c>
      <c r="T35" s="37">
        <f t="shared" si="2"/>
        <v>10000</v>
      </c>
      <c r="U35" s="39">
        <v>10</v>
      </c>
      <c r="W35" s="35">
        <v>1</v>
      </c>
      <c r="Y35" s="35">
        <v>0</v>
      </c>
    </row>
    <row r="36" spans="1:25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518</v>
      </c>
      <c r="K36" s="35" t="s">
        <v>955</v>
      </c>
      <c r="L36" s="35">
        <v>6</v>
      </c>
      <c r="M36" s="36" t="s">
        <v>526</v>
      </c>
      <c r="O36" s="36">
        <v>1</v>
      </c>
      <c r="R36" s="38" t="s">
        <v>786</v>
      </c>
      <c r="T36" s="37">
        <f t="shared" si="2"/>
        <v>100000</v>
      </c>
      <c r="U36" s="39">
        <v>100</v>
      </c>
      <c r="W36" s="35">
        <v>1</v>
      </c>
      <c r="Y36" s="35">
        <v>0</v>
      </c>
    </row>
    <row r="37" spans="1:25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519</v>
      </c>
      <c r="K37" s="35" t="s">
        <v>956</v>
      </c>
      <c r="L37" s="35">
        <v>7</v>
      </c>
      <c r="M37" s="36" t="s">
        <v>526</v>
      </c>
      <c r="O37" s="36">
        <v>1</v>
      </c>
      <c r="R37" s="38" t="s">
        <v>786</v>
      </c>
      <c r="T37" s="37">
        <f t="shared" si="2"/>
        <v>1000000</v>
      </c>
      <c r="U37" s="39">
        <v>1000</v>
      </c>
      <c r="W37" s="35">
        <v>1</v>
      </c>
      <c r="Y37" s="35">
        <v>0</v>
      </c>
    </row>
    <row r="38" spans="1:25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414</v>
      </c>
      <c r="K38" s="35" t="s">
        <v>957</v>
      </c>
      <c r="L38" s="35">
        <v>8</v>
      </c>
      <c r="M38" s="36" t="s">
        <v>421</v>
      </c>
      <c r="O38" s="36">
        <v>1</v>
      </c>
      <c r="R38" s="38" t="s">
        <v>787</v>
      </c>
      <c r="T38" s="37">
        <f t="shared" si="2"/>
        <v>10000</v>
      </c>
      <c r="U38" s="39">
        <v>10</v>
      </c>
      <c r="W38" s="35">
        <v>1</v>
      </c>
      <c r="Y38" s="35">
        <v>0</v>
      </c>
    </row>
    <row r="39" spans="1:25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415</v>
      </c>
      <c r="K39" s="35" t="s">
        <v>958</v>
      </c>
      <c r="L39" s="35">
        <v>9</v>
      </c>
      <c r="M39" s="36" t="s">
        <v>421</v>
      </c>
      <c r="O39" s="36">
        <v>1</v>
      </c>
      <c r="R39" s="38" t="s">
        <v>788</v>
      </c>
      <c r="T39" s="37">
        <f t="shared" si="2"/>
        <v>100000</v>
      </c>
      <c r="U39" s="39">
        <v>100</v>
      </c>
      <c r="W39" s="35">
        <v>1</v>
      </c>
      <c r="Y39" s="35">
        <v>0</v>
      </c>
    </row>
    <row r="40" spans="1:25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416</v>
      </c>
      <c r="K40" s="35" t="s">
        <v>959</v>
      </c>
      <c r="L40" s="35">
        <v>10</v>
      </c>
      <c r="M40" s="36" t="s">
        <v>421</v>
      </c>
      <c r="O40" s="36">
        <v>1</v>
      </c>
      <c r="R40" s="38" t="s">
        <v>789</v>
      </c>
      <c r="T40" s="37">
        <f t="shared" si="2"/>
        <v>1000000</v>
      </c>
      <c r="U40" s="39">
        <v>1000</v>
      </c>
      <c r="W40" s="35">
        <v>1</v>
      </c>
      <c r="Y40" s="35">
        <v>0</v>
      </c>
    </row>
    <row r="41" spans="1:25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417</v>
      </c>
      <c r="K41" s="35" t="s">
        <v>960</v>
      </c>
      <c r="L41" s="35">
        <v>11</v>
      </c>
      <c r="M41" s="36" t="s">
        <v>421</v>
      </c>
      <c r="O41" s="36">
        <v>1</v>
      </c>
      <c r="R41" s="38" t="s">
        <v>790</v>
      </c>
      <c r="T41" s="37">
        <f t="shared" si="2"/>
        <v>10000</v>
      </c>
      <c r="U41" s="39">
        <v>10</v>
      </c>
      <c r="W41" s="35">
        <v>1</v>
      </c>
      <c r="Y41" s="35">
        <v>0</v>
      </c>
    </row>
    <row r="42" spans="1:25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418</v>
      </c>
      <c r="K42" s="35" t="s">
        <v>961</v>
      </c>
      <c r="L42" s="35">
        <v>12</v>
      </c>
      <c r="M42" s="36" t="s">
        <v>421</v>
      </c>
      <c r="O42" s="36">
        <v>1</v>
      </c>
      <c r="R42" s="38" t="s">
        <v>791</v>
      </c>
      <c r="T42" s="37">
        <f t="shared" si="2"/>
        <v>100000</v>
      </c>
      <c r="U42" s="39">
        <v>100</v>
      </c>
      <c r="W42" s="35">
        <v>1</v>
      </c>
      <c r="Y42" s="35">
        <v>0</v>
      </c>
    </row>
    <row r="43" spans="1:25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419</v>
      </c>
      <c r="K43" s="35" t="s">
        <v>962</v>
      </c>
      <c r="L43" s="35">
        <v>13</v>
      </c>
      <c r="M43" s="36" t="s">
        <v>421</v>
      </c>
      <c r="O43" s="36">
        <v>1</v>
      </c>
      <c r="R43" s="38" t="s">
        <v>792</v>
      </c>
      <c r="T43" s="37">
        <f t="shared" si="2"/>
        <v>1000000</v>
      </c>
      <c r="U43" s="39">
        <v>1000</v>
      </c>
      <c r="W43" s="35">
        <v>1</v>
      </c>
      <c r="Y43" s="35">
        <v>0</v>
      </c>
    </row>
    <row r="44" spans="1:25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520</v>
      </c>
      <c r="K44" s="35" t="s">
        <v>963</v>
      </c>
      <c r="L44" s="35">
        <v>14</v>
      </c>
      <c r="M44" s="36" t="s">
        <v>421</v>
      </c>
      <c r="O44" s="36">
        <v>1</v>
      </c>
      <c r="R44" s="38" t="s">
        <v>793</v>
      </c>
      <c r="T44" s="37">
        <f t="shared" si="2"/>
        <v>10000</v>
      </c>
      <c r="U44" s="39">
        <v>10</v>
      </c>
      <c r="W44" s="35">
        <v>1</v>
      </c>
      <c r="Y44" s="35">
        <v>0</v>
      </c>
    </row>
    <row r="45" spans="1:25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521</v>
      </c>
      <c r="K45" s="35" t="s">
        <v>964</v>
      </c>
      <c r="L45" s="35">
        <v>15</v>
      </c>
      <c r="M45" s="36" t="s">
        <v>421</v>
      </c>
      <c r="O45" s="36">
        <v>1</v>
      </c>
      <c r="R45" s="38" t="s">
        <v>794</v>
      </c>
      <c r="T45" s="37">
        <f t="shared" si="2"/>
        <v>100000</v>
      </c>
      <c r="U45" s="39">
        <v>100</v>
      </c>
      <c r="W45" s="35">
        <v>1</v>
      </c>
      <c r="Y45" s="35">
        <v>0</v>
      </c>
    </row>
    <row r="46" spans="1:25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522</v>
      </c>
      <c r="K46" s="35" t="s">
        <v>965</v>
      </c>
      <c r="L46" s="35">
        <v>16</v>
      </c>
      <c r="M46" s="36" t="s">
        <v>421</v>
      </c>
      <c r="O46" s="36">
        <v>1</v>
      </c>
      <c r="R46" s="38" t="s">
        <v>795</v>
      </c>
      <c r="T46" s="37">
        <f t="shared" si="2"/>
        <v>1000000</v>
      </c>
      <c r="U46" s="39">
        <v>1000</v>
      </c>
      <c r="W46" s="35">
        <v>1</v>
      </c>
      <c r="Y46" s="35">
        <v>0</v>
      </c>
    </row>
    <row r="47" spans="1:25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523</v>
      </c>
      <c r="K47" s="35" t="s">
        <v>966</v>
      </c>
      <c r="L47" s="35">
        <v>17</v>
      </c>
      <c r="M47" s="36" t="s">
        <v>421</v>
      </c>
      <c r="O47" s="36">
        <v>1</v>
      </c>
      <c r="R47" s="38" t="s">
        <v>796</v>
      </c>
      <c r="T47" s="37">
        <f t="shared" si="2"/>
        <v>10000</v>
      </c>
      <c r="U47" s="39">
        <v>10</v>
      </c>
      <c r="W47" s="35">
        <v>1</v>
      </c>
      <c r="Y47" s="35">
        <v>0</v>
      </c>
    </row>
    <row r="48" spans="1:25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524</v>
      </c>
      <c r="K48" s="35" t="s">
        <v>967</v>
      </c>
      <c r="L48" s="35">
        <v>18</v>
      </c>
      <c r="M48" s="36" t="s">
        <v>421</v>
      </c>
      <c r="O48" s="36">
        <v>1</v>
      </c>
      <c r="R48" s="38" t="s">
        <v>797</v>
      </c>
      <c r="T48" s="37">
        <f t="shared" si="2"/>
        <v>100000</v>
      </c>
      <c r="U48" s="39">
        <v>100</v>
      </c>
      <c r="W48" s="35">
        <v>1</v>
      </c>
      <c r="Y48" s="35">
        <v>0</v>
      </c>
    </row>
    <row r="49" spans="1:29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525</v>
      </c>
      <c r="K49" s="35" t="s">
        <v>968</v>
      </c>
      <c r="L49" s="35">
        <v>19</v>
      </c>
      <c r="M49" s="36" t="s">
        <v>421</v>
      </c>
      <c r="O49" s="36">
        <v>1</v>
      </c>
      <c r="R49" s="38" t="s">
        <v>798</v>
      </c>
      <c r="T49" s="37">
        <f t="shared" si="2"/>
        <v>1000000</v>
      </c>
      <c r="U49" s="39">
        <v>1000</v>
      </c>
      <c r="W49" s="35">
        <v>1</v>
      </c>
      <c r="Y49" s="35">
        <v>0</v>
      </c>
    </row>
    <row r="50" spans="1:29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402</v>
      </c>
      <c r="K50" s="35" t="s">
        <v>969</v>
      </c>
      <c r="L50" s="35">
        <v>10</v>
      </c>
      <c r="M50" s="36" t="s">
        <v>423</v>
      </c>
      <c r="O50" s="36">
        <v>1</v>
      </c>
      <c r="P50" s="34" t="s">
        <v>852</v>
      </c>
      <c r="R50" s="38" t="s">
        <v>799</v>
      </c>
      <c r="T50" s="37">
        <f t="shared" si="2"/>
        <v>10000</v>
      </c>
      <c r="U50" s="39">
        <v>10</v>
      </c>
      <c r="W50" s="35">
        <v>1</v>
      </c>
      <c r="Y50" s="35">
        <v>1</v>
      </c>
      <c r="AB50" s="150">
        <v>100</v>
      </c>
    </row>
    <row r="51" spans="1:29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404</v>
      </c>
      <c r="K51" s="35" t="s">
        <v>893</v>
      </c>
      <c r="L51" s="35">
        <v>11</v>
      </c>
      <c r="M51" s="36" t="s">
        <v>423</v>
      </c>
      <c r="O51" s="36">
        <v>1</v>
      </c>
      <c r="P51" s="34" t="s">
        <v>853</v>
      </c>
      <c r="R51" s="38" t="s">
        <v>947</v>
      </c>
      <c r="T51" s="37">
        <f t="shared" si="2"/>
        <v>10000</v>
      </c>
      <c r="U51" s="152">
        <v>10</v>
      </c>
      <c r="W51" s="35">
        <v>1</v>
      </c>
      <c r="Y51" s="35">
        <v>1</v>
      </c>
      <c r="AA51" s="150">
        <v>10</v>
      </c>
      <c r="AB51" s="150">
        <v>-10</v>
      </c>
      <c r="AC51" s="150">
        <v>-10</v>
      </c>
    </row>
    <row r="52" spans="1:29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403</v>
      </c>
      <c r="K52" s="35" t="s">
        <v>894</v>
      </c>
      <c r="L52" s="35">
        <v>12</v>
      </c>
      <c r="M52" s="36" t="s">
        <v>422</v>
      </c>
      <c r="O52" s="36">
        <v>1</v>
      </c>
      <c r="P52" s="34" t="s">
        <v>854</v>
      </c>
      <c r="R52" s="38" t="s">
        <v>800</v>
      </c>
      <c r="T52" s="37">
        <f t="shared" si="2"/>
        <v>10000</v>
      </c>
      <c r="U52" s="39">
        <v>10</v>
      </c>
      <c r="W52" s="35">
        <v>1</v>
      </c>
      <c r="Y52" s="35">
        <v>1</v>
      </c>
      <c r="AA52" s="150">
        <v>50</v>
      </c>
      <c r="AC52" s="150">
        <v>10</v>
      </c>
    </row>
    <row r="53" spans="1:29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406</v>
      </c>
      <c r="K53" s="35" t="s">
        <v>895</v>
      </c>
      <c r="L53" s="35">
        <v>13</v>
      </c>
      <c r="M53" s="36" t="s">
        <v>422</v>
      </c>
      <c r="P53" s="34" t="s">
        <v>855</v>
      </c>
      <c r="R53" s="38" t="s">
        <v>801</v>
      </c>
      <c r="T53" s="37">
        <f t="shared" si="2"/>
        <v>10000</v>
      </c>
      <c r="U53" s="152">
        <v>10</v>
      </c>
      <c r="W53" s="35">
        <v>1</v>
      </c>
      <c r="Y53" s="35">
        <v>0</v>
      </c>
    </row>
    <row r="54" spans="1:29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408</v>
      </c>
      <c r="K54" s="35" t="s">
        <v>896</v>
      </c>
      <c r="L54" s="35">
        <v>14</v>
      </c>
      <c r="M54" s="36" t="s">
        <v>422</v>
      </c>
      <c r="O54" s="36">
        <v>1</v>
      </c>
      <c r="P54" s="34" t="s">
        <v>856</v>
      </c>
      <c r="R54" s="38" t="s">
        <v>802</v>
      </c>
      <c r="T54" s="37">
        <f t="shared" si="2"/>
        <v>10000</v>
      </c>
      <c r="U54" s="39">
        <v>10</v>
      </c>
      <c r="W54" s="35">
        <v>1</v>
      </c>
      <c r="Y54" s="35">
        <v>0</v>
      </c>
    </row>
    <row r="55" spans="1:29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409</v>
      </c>
      <c r="K55" s="35" t="s">
        <v>897</v>
      </c>
      <c r="L55" s="35">
        <v>15</v>
      </c>
      <c r="M55" s="36" t="s">
        <v>422</v>
      </c>
      <c r="O55" s="36">
        <v>1</v>
      </c>
      <c r="P55" s="34" t="s">
        <v>857</v>
      </c>
      <c r="R55" s="38" t="s">
        <v>803</v>
      </c>
      <c r="T55" s="37">
        <f t="shared" si="2"/>
        <v>10000</v>
      </c>
      <c r="U55" s="152">
        <v>10</v>
      </c>
      <c r="W55" s="35">
        <v>1</v>
      </c>
      <c r="Y55" s="35">
        <v>0</v>
      </c>
    </row>
    <row r="56" spans="1:29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442</v>
      </c>
      <c r="K56" s="35" t="s">
        <v>898</v>
      </c>
      <c r="L56" s="35">
        <v>16</v>
      </c>
      <c r="M56" s="36" t="s">
        <v>422</v>
      </c>
      <c r="O56" s="36">
        <v>1</v>
      </c>
      <c r="P56" s="34" t="s">
        <v>858</v>
      </c>
      <c r="R56" s="38" t="s">
        <v>804</v>
      </c>
      <c r="T56" s="37">
        <f t="shared" si="2"/>
        <v>10000</v>
      </c>
      <c r="U56" s="39">
        <v>10</v>
      </c>
      <c r="W56" s="35">
        <v>1</v>
      </c>
      <c r="Y56" s="35">
        <v>0</v>
      </c>
    </row>
    <row r="57" spans="1:29" x14ac:dyDescent="0.15">
      <c r="G57" s="73"/>
    </row>
    <row r="58" spans="1:29" x14ac:dyDescent="0.15">
      <c r="G58" s="73"/>
    </row>
    <row r="59" spans="1:29" x14ac:dyDescent="0.15">
      <c r="G59" s="73"/>
    </row>
    <row r="60" spans="1:29" x14ac:dyDescent="0.15">
      <c r="G60" s="73"/>
    </row>
    <row r="61" spans="1:29" x14ac:dyDescent="0.15">
      <c r="G61" s="73"/>
    </row>
    <row r="62" spans="1:29" x14ac:dyDescent="0.15">
      <c r="G62" s="73"/>
    </row>
    <row r="63" spans="1:29" x14ac:dyDescent="0.15">
      <c r="G63" s="73"/>
    </row>
    <row r="64" spans="1:29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F34" sqref="F34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605</v>
      </c>
      <c r="B3" s="38" t="s">
        <v>862</v>
      </c>
      <c r="C3" s="62" t="s">
        <v>863</v>
      </c>
      <c r="D3" s="62" t="s">
        <v>864</v>
      </c>
      <c r="E3" s="62" t="s">
        <v>865</v>
      </c>
      <c r="F3" s="35" t="s">
        <v>866</v>
      </c>
      <c r="G3" s="35" t="s">
        <v>867</v>
      </c>
      <c r="H3" s="35" t="s">
        <v>868</v>
      </c>
      <c r="I3" s="62" t="s">
        <v>869</v>
      </c>
      <c r="J3" s="35" t="s">
        <v>870</v>
      </c>
      <c r="K3" s="35" t="s">
        <v>871</v>
      </c>
      <c r="L3" s="35" t="s">
        <v>872</v>
      </c>
      <c r="M3" s="35" t="s">
        <v>873</v>
      </c>
      <c r="N3" s="35" t="s">
        <v>874</v>
      </c>
      <c r="O3" s="35" t="s">
        <v>875</v>
      </c>
      <c r="P3" s="35" t="s">
        <v>876</v>
      </c>
      <c r="Q3" s="35" t="s">
        <v>877</v>
      </c>
      <c r="R3" s="35" t="s">
        <v>878</v>
      </c>
      <c r="S3" s="35" t="s">
        <v>879</v>
      </c>
      <c r="T3" s="35" t="s">
        <v>880</v>
      </c>
      <c r="U3" s="35" t="s">
        <v>881</v>
      </c>
      <c r="V3" s="35" t="s">
        <v>882</v>
      </c>
      <c r="W3" s="35" t="s">
        <v>883</v>
      </c>
      <c r="X3" s="35" t="s">
        <v>884</v>
      </c>
      <c r="Y3" s="35" t="s">
        <v>885</v>
      </c>
      <c r="Z3" s="35" t="s">
        <v>886</v>
      </c>
      <c r="AA3" s="35" t="s">
        <v>887</v>
      </c>
      <c r="AB3" s="35" t="s">
        <v>888</v>
      </c>
      <c r="AC3" s="35" t="s">
        <v>889</v>
      </c>
      <c r="AD3" s="35" t="s">
        <v>890</v>
      </c>
      <c r="AE3" s="35" t="s">
        <v>891</v>
      </c>
      <c r="AF3" s="35" t="s">
        <v>954</v>
      </c>
      <c r="AG3" s="35" t="s">
        <v>955</v>
      </c>
      <c r="AH3" s="35" t="s">
        <v>956</v>
      </c>
      <c r="AI3" s="35" t="s">
        <v>957</v>
      </c>
      <c r="AJ3" s="35" t="s">
        <v>958</v>
      </c>
      <c r="AK3" s="35" t="s">
        <v>959</v>
      </c>
      <c r="AL3" s="35" t="s">
        <v>960</v>
      </c>
      <c r="AM3" s="35" t="s">
        <v>961</v>
      </c>
      <c r="AN3" s="35" t="s">
        <v>962</v>
      </c>
      <c r="AO3" s="35" t="s">
        <v>963</v>
      </c>
      <c r="AP3" s="35" t="s">
        <v>964</v>
      </c>
      <c r="AQ3" s="35" t="s">
        <v>965</v>
      </c>
      <c r="AR3" s="35" t="s">
        <v>966</v>
      </c>
      <c r="AS3" s="35" t="s">
        <v>967</v>
      </c>
      <c r="AT3" s="35" t="s">
        <v>968</v>
      </c>
      <c r="AU3" s="35" t="s">
        <v>892</v>
      </c>
      <c r="AV3" s="35" t="s">
        <v>893</v>
      </c>
      <c r="AW3" s="35" t="s">
        <v>894</v>
      </c>
      <c r="AX3" s="35" t="s">
        <v>895</v>
      </c>
      <c r="AY3" s="35" t="s">
        <v>896</v>
      </c>
      <c r="AZ3" s="35" t="s">
        <v>897</v>
      </c>
      <c r="BA3" s="35" t="s">
        <v>898</v>
      </c>
    </row>
    <row r="4" spans="1:53" ht="18" customHeight="1" thickBot="1" x14ac:dyDescent="0.2">
      <c r="A4" s="90" t="s">
        <v>588</v>
      </c>
      <c r="B4" s="38" t="s">
        <v>398</v>
      </c>
      <c r="C4" s="62" t="s">
        <v>399</v>
      </c>
      <c r="D4" s="62" t="s">
        <v>400</v>
      </c>
      <c r="E4" s="62" t="s">
        <v>471</v>
      </c>
      <c r="F4" s="35" t="s">
        <v>401</v>
      </c>
      <c r="G4" s="35" t="s">
        <v>449</v>
      </c>
      <c r="H4" s="35" t="s">
        <v>455</v>
      </c>
      <c r="I4" s="62" t="s">
        <v>420</v>
      </c>
      <c r="J4" s="35" t="s">
        <v>405</v>
      </c>
      <c r="K4" s="35" t="s">
        <v>407</v>
      </c>
      <c r="L4" s="35" t="s">
        <v>527</v>
      </c>
      <c r="M4" s="35" t="s">
        <v>410</v>
      </c>
      <c r="N4" s="35" t="s">
        <v>411</v>
      </c>
      <c r="O4" s="35" t="s">
        <v>412</v>
      </c>
      <c r="P4" s="35" t="s">
        <v>413</v>
      </c>
      <c r="Q4" s="35" t="s">
        <v>478</v>
      </c>
      <c r="R4" s="35" t="s">
        <v>479</v>
      </c>
      <c r="S4" s="35" t="s">
        <v>480</v>
      </c>
      <c r="T4" s="35" t="s">
        <v>487</v>
      </c>
      <c r="U4" s="35" t="s">
        <v>481</v>
      </c>
      <c r="V4" s="35" t="s">
        <v>482</v>
      </c>
      <c r="W4" s="35" t="s">
        <v>483</v>
      </c>
      <c r="X4" s="35" t="s">
        <v>493</v>
      </c>
      <c r="Y4" s="35" t="s">
        <v>495</v>
      </c>
      <c r="Z4" s="35" t="s">
        <v>496</v>
      </c>
      <c r="AA4" s="35" t="s">
        <v>503</v>
      </c>
      <c r="AB4" s="35" t="s">
        <v>511</v>
      </c>
      <c r="AC4" s="35" t="s">
        <v>505</v>
      </c>
      <c r="AD4" s="35" t="s">
        <v>506</v>
      </c>
      <c r="AE4" s="35" t="s">
        <v>508</v>
      </c>
      <c r="AF4" s="35" t="s">
        <v>517</v>
      </c>
      <c r="AG4" s="35" t="s">
        <v>518</v>
      </c>
      <c r="AH4" s="35" t="s">
        <v>519</v>
      </c>
      <c r="AI4" s="35" t="s">
        <v>414</v>
      </c>
      <c r="AJ4" s="35" t="s">
        <v>415</v>
      </c>
      <c r="AK4" s="35" t="s">
        <v>416</v>
      </c>
      <c r="AL4" s="35" t="s">
        <v>417</v>
      </c>
      <c r="AM4" s="35" t="s">
        <v>418</v>
      </c>
      <c r="AN4" s="35" t="s">
        <v>419</v>
      </c>
      <c r="AO4" s="35" t="s">
        <v>520</v>
      </c>
      <c r="AP4" s="35" t="s">
        <v>521</v>
      </c>
      <c r="AQ4" s="35" t="s">
        <v>522</v>
      </c>
      <c r="AR4" s="35" t="s">
        <v>523</v>
      </c>
      <c r="AS4" s="35" t="s">
        <v>524</v>
      </c>
      <c r="AT4" s="35" t="s">
        <v>525</v>
      </c>
      <c r="AU4" s="35" t="s">
        <v>402</v>
      </c>
      <c r="AV4" s="35" t="s">
        <v>404</v>
      </c>
      <c r="AW4" s="35" t="s">
        <v>403</v>
      </c>
      <c r="AX4" s="35" t="s">
        <v>406</v>
      </c>
      <c r="AY4" s="35" t="s">
        <v>408</v>
      </c>
      <c r="AZ4" s="35" t="s">
        <v>409</v>
      </c>
      <c r="BA4" s="35" t="s">
        <v>442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24" sqref="A1:B24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710</v>
      </c>
      <c r="B3" s="56" t="s">
        <v>587</v>
      </c>
    </row>
    <row r="4" spans="1:2" ht="17.25" thickBot="1" x14ac:dyDescent="0.2">
      <c r="A4" s="58" t="s">
        <v>588</v>
      </c>
      <c r="B4" s="58" t="s">
        <v>589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40" sqref="G40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596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710</v>
      </c>
      <c r="B3" s="56" t="s">
        <v>592</v>
      </c>
    </row>
    <row r="4" spans="1:2" ht="17.25" thickBot="1" x14ac:dyDescent="0.2">
      <c r="A4" s="58" t="s">
        <v>590</v>
      </c>
      <c r="B4" s="58" t="s">
        <v>591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831</v>
      </c>
      <c r="B1" s="95" t="s">
        <v>832</v>
      </c>
      <c r="C1" s="143" t="s">
        <v>832</v>
      </c>
      <c r="D1" s="95" t="s">
        <v>832</v>
      </c>
      <c r="E1" s="143" t="s">
        <v>832</v>
      </c>
      <c r="F1" s="95" t="s">
        <v>832</v>
      </c>
    </row>
    <row r="2" spans="1:6" x14ac:dyDescent="0.15">
      <c r="A2" s="102" t="s">
        <v>833</v>
      </c>
      <c r="B2" s="95" t="s">
        <v>833</v>
      </c>
      <c r="C2" s="143" t="s">
        <v>833</v>
      </c>
      <c r="D2" s="95" t="s">
        <v>833</v>
      </c>
      <c r="E2" s="143" t="s">
        <v>833</v>
      </c>
      <c r="F2" s="95" t="s">
        <v>833</v>
      </c>
    </row>
    <row r="3" spans="1:6" x14ac:dyDescent="0.15">
      <c r="A3" s="102" t="s">
        <v>834</v>
      </c>
      <c r="B3" s="95" t="s">
        <v>827</v>
      </c>
      <c r="C3" s="143" t="s">
        <v>828</v>
      </c>
      <c r="D3" s="95" t="s">
        <v>825</v>
      </c>
      <c r="E3" s="143" t="s">
        <v>826</v>
      </c>
      <c r="F3" s="95" t="s">
        <v>824</v>
      </c>
    </row>
    <row r="4" spans="1:6" ht="22.5" customHeight="1" x14ac:dyDescent="0.15">
      <c r="A4" s="102" t="s">
        <v>830</v>
      </c>
      <c r="B4" s="95" t="s">
        <v>835</v>
      </c>
      <c r="C4" s="143" t="s">
        <v>836</v>
      </c>
      <c r="D4" s="95" t="s">
        <v>837</v>
      </c>
      <c r="E4" s="143" t="s">
        <v>829</v>
      </c>
      <c r="F4" s="95" t="s">
        <v>838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631</v>
      </c>
      <c r="J1" s="127" t="s">
        <v>665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860</v>
      </c>
      <c r="J2" s="127" t="s">
        <v>660</v>
      </c>
      <c r="L2" s="127" t="s">
        <v>660</v>
      </c>
      <c r="M2" s="127" t="s">
        <v>660</v>
      </c>
      <c r="O2" s="127" t="s">
        <v>660</v>
      </c>
      <c r="Q2" s="127" t="s">
        <v>660</v>
      </c>
      <c r="R2" s="127" t="s">
        <v>660</v>
      </c>
      <c r="S2" s="127" t="s">
        <v>660</v>
      </c>
      <c r="U2" s="127" t="s">
        <v>660</v>
      </c>
      <c r="V2" s="127" t="s">
        <v>660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936</v>
      </c>
      <c r="J3" s="127" t="s">
        <v>666</v>
      </c>
      <c r="L3" s="127" t="s">
        <v>667</v>
      </c>
      <c r="M3" s="127" t="s">
        <v>668</v>
      </c>
      <c r="O3" s="127" t="s">
        <v>669</v>
      </c>
      <c r="Q3" s="127" t="s">
        <v>670</v>
      </c>
      <c r="R3" s="127" t="s">
        <v>671</v>
      </c>
      <c r="S3" s="127" t="s">
        <v>672</v>
      </c>
      <c r="U3" s="127" t="s">
        <v>673</v>
      </c>
      <c r="V3" s="127" t="s">
        <v>674</v>
      </c>
    </row>
    <row r="4" spans="1:22" ht="55.5" customHeight="1" thickBot="1" x14ac:dyDescent="0.35">
      <c r="A4" s="89" t="s">
        <v>643</v>
      </c>
      <c r="B4" s="91" t="s">
        <v>641</v>
      </c>
      <c r="C4" s="107" t="s">
        <v>642</v>
      </c>
      <c r="D4" s="91"/>
      <c r="E4" s="91"/>
      <c r="F4" s="107" t="s">
        <v>664</v>
      </c>
      <c r="G4" s="133" t="s">
        <v>644</v>
      </c>
      <c r="H4" s="90"/>
      <c r="I4" s="91" t="s">
        <v>645</v>
      </c>
      <c r="J4" s="90" t="s">
        <v>646</v>
      </c>
      <c r="K4" s="133" t="s">
        <v>700</v>
      </c>
      <c r="L4" s="90" t="s">
        <v>701</v>
      </c>
      <c r="M4" s="90" t="s">
        <v>702</v>
      </c>
      <c r="N4" s="133" t="s">
        <v>690</v>
      </c>
      <c r="O4" s="90" t="s">
        <v>647</v>
      </c>
      <c r="P4" s="133" t="s">
        <v>694</v>
      </c>
      <c r="Q4" s="90" t="s">
        <v>663</v>
      </c>
      <c r="R4" s="90" t="s">
        <v>661</v>
      </c>
      <c r="S4" s="90" t="s">
        <v>662</v>
      </c>
      <c r="T4" s="133" t="s">
        <v>648</v>
      </c>
      <c r="U4" s="90" t="s">
        <v>661</v>
      </c>
      <c r="V4" s="90" t="s">
        <v>662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649</v>
      </c>
      <c r="H5" s="129"/>
      <c r="J5" s="129">
        <v>100</v>
      </c>
      <c r="K5" s="136"/>
      <c r="L5" s="129"/>
      <c r="M5" s="129"/>
      <c r="N5" s="138" t="s">
        <v>691</v>
      </c>
      <c r="O5" s="129">
        <v>50</v>
      </c>
      <c r="P5" s="138" t="s">
        <v>696</v>
      </c>
      <c r="Q5" s="129"/>
      <c r="R5" s="129">
        <v>2000</v>
      </c>
      <c r="S5" s="129">
        <v>200</v>
      </c>
      <c r="T5" s="136" t="s">
        <v>697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650</v>
      </c>
      <c r="I6" s="126" t="s">
        <v>675</v>
      </c>
      <c r="J6" s="127">
        <v>50</v>
      </c>
      <c r="N6" s="139" t="s">
        <v>692</v>
      </c>
      <c r="O6" s="127">
        <v>200</v>
      </c>
      <c r="P6" s="137" t="s">
        <v>695</v>
      </c>
      <c r="R6" s="127">
        <v>2000</v>
      </c>
      <c r="S6" s="127">
        <v>200</v>
      </c>
      <c r="T6" s="132" t="s">
        <v>699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651</v>
      </c>
      <c r="I7" s="126" t="s">
        <v>675</v>
      </c>
      <c r="J7" s="127">
        <v>30</v>
      </c>
      <c r="N7" s="139" t="s">
        <v>693</v>
      </c>
      <c r="O7" s="127">
        <v>200</v>
      </c>
      <c r="P7" s="137" t="s">
        <v>695</v>
      </c>
      <c r="R7" s="127">
        <v>2000</v>
      </c>
      <c r="S7" s="127">
        <v>200</v>
      </c>
      <c r="T7" s="132" t="s">
        <v>698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652</v>
      </c>
      <c r="H8" s="147" t="s">
        <v>937</v>
      </c>
      <c r="I8" s="126" t="s">
        <v>676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653</v>
      </c>
      <c r="H9" s="147" t="s">
        <v>938</v>
      </c>
      <c r="I9" s="126" t="s">
        <v>677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654</v>
      </c>
      <c r="J10" s="127">
        <v>50</v>
      </c>
      <c r="K10" s="137" t="s">
        <v>683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655</v>
      </c>
      <c r="J11" s="127">
        <v>50</v>
      </c>
      <c r="K11" s="137" t="s">
        <v>683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656</v>
      </c>
      <c r="I12" s="126" t="s">
        <v>678</v>
      </c>
      <c r="J12" s="127">
        <v>50</v>
      </c>
      <c r="K12" s="137" t="s">
        <v>684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657</v>
      </c>
      <c r="I13" s="126" t="s">
        <v>679</v>
      </c>
      <c r="J13" s="127">
        <v>50</v>
      </c>
      <c r="K13" s="137" t="s">
        <v>685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658</v>
      </c>
      <c r="I14" s="126" t="s">
        <v>680</v>
      </c>
      <c r="J14" s="127">
        <v>50</v>
      </c>
      <c r="K14" s="137" t="s">
        <v>687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659</v>
      </c>
      <c r="I15" s="126" t="s">
        <v>682</v>
      </c>
      <c r="J15" s="127">
        <v>50</v>
      </c>
      <c r="K15" s="137" t="s">
        <v>689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681</v>
      </c>
      <c r="I16" s="126" t="s">
        <v>682</v>
      </c>
      <c r="J16" s="127">
        <v>50</v>
      </c>
      <c r="K16" s="137" t="s">
        <v>688</v>
      </c>
      <c r="L16" s="127">
        <v>80</v>
      </c>
      <c r="M16" s="127">
        <v>3000</v>
      </c>
      <c r="Q16" s="127">
        <v>90</v>
      </c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597</v>
      </c>
      <c r="B1" s="13"/>
      <c r="C1" s="12"/>
      <c r="D1" s="13"/>
      <c r="E1" s="13"/>
      <c r="F1" s="12"/>
      <c r="G1" s="56" t="s">
        <v>636</v>
      </c>
      <c r="H1" s="56" t="s">
        <v>631</v>
      </c>
      <c r="I1" s="56" t="s">
        <v>631</v>
      </c>
      <c r="J1" s="56" t="s">
        <v>631</v>
      </c>
      <c r="K1" s="56" t="s">
        <v>631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605</v>
      </c>
      <c r="B3" s="13"/>
      <c r="C3" s="12"/>
      <c r="D3" s="13"/>
      <c r="E3" s="13"/>
      <c r="F3" s="12"/>
      <c r="G3" s="56" t="s">
        <v>625</v>
      </c>
      <c r="H3" s="56" t="s">
        <v>627</v>
      </c>
      <c r="I3" s="56" t="s">
        <v>628</v>
      </c>
      <c r="J3" s="56" t="s">
        <v>640</v>
      </c>
      <c r="K3" s="56" t="s">
        <v>629</v>
      </c>
      <c r="L3" s="56"/>
      <c r="M3" s="10"/>
      <c r="N3" s="10"/>
    </row>
    <row r="4" spans="1:24" s="96" customFormat="1" ht="57.75" customHeight="1" thickBot="1" x14ac:dyDescent="0.2">
      <c r="A4" s="98" t="s">
        <v>600</v>
      </c>
      <c r="B4" s="110" t="s">
        <v>606</v>
      </c>
      <c r="C4" s="111"/>
      <c r="D4" s="110"/>
      <c r="E4" s="110"/>
      <c r="F4" s="111"/>
      <c r="G4" s="93" t="s">
        <v>613</v>
      </c>
      <c r="H4" s="93" t="s">
        <v>602</v>
      </c>
      <c r="I4" s="93" t="s">
        <v>626</v>
      </c>
      <c r="J4" s="93" t="s">
        <v>601</v>
      </c>
      <c r="K4" s="93" t="s">
        <v>630</v>
      </c>
      <c r="L4" s="93"/>
      <c r="M4" s="94" t="s">
        <v>632</v>
      </c>
      <c r="N4" s="94" t="s">
        <v>633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A614"/>
  <sheetViews>
    <sheetView zoomScaleNormal="100" workbookViewId="0">
      <pane xSplit="7" ySplit="4" topLeftCell="H74" activePane="bottomRight" state="frozen"/>
      <selection pane="topRight" activeCell="H1" sqref="H1"/>
      <selection pane="bottomLeft" activeCell="A5" sqref="A5"/>
      <selection pane="bottomRight" activeCell="G78" sqref="G7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38.25" style="168" customWidth="1"/>
    <col min="18" max="18" width="38.125" style="56" customWidth="1"/>
    <col min="19" max="19" width="23.25" style="162" customWidth="1"/>
    <col min="20" max="20" width="13" style="106" customWidth="1"/>
    <col min="21" max="21" width="17.875" style="10" customWidth="1"/>
    <col min="22" max="22" width="24" style="56" customWidth="1"/>
    <col min="23" max="26" width="17.875" style="56" customWidth="1"/>
    <col min="27" max="27" width="13" style="172" customWidth="1"/>
    <col min="28" max="29" width="17.875" style="56" customWidth="1"/>
    <col min="30" max="30" width="32.75" style="106" customWidth="1"/>
    <col min="31" max="36" width="21.125" style="56" customWidth="1"/>
    <col min="37" max="37" width="15.25" style="106" customWidth="1"/>
    <col min="38" max="43" width="23.5" style="56" customWidth="1"/>
    <col min="44" max="44" width="33" style="56" customWidth="1"/>
    <col min="45" max="45" width="12.875" style="106" customWidth="1"/>
    <col min="46" max="46" width="23.5" style="56" customWidth="1"/>
    <col min="47" max="47" width="31.625" style="56" customWidth="1"/>
    <col min="48" max="48" width="10.25" style="106" customWidth="1"/>
    <col min="49" max="49" width="19.125" style="56" customWidth="1"/>
    <col min="50" max="50" width="21.625" style="10" customWidth="1"/>
    <col min="51" max="51" width="13.375" style="56" customWidth="1"/>
    <col min="52" max="54" width="11.75" style="56" customWidth="1"/>
    <col min="55" max="61" width="11.75" style="97" customWidth="1"/>
    <col min="62" max="62" width="17.5" style="145" customWidth="1"/>
    <col min="63" max="81" width="18.5" style="95" customWidth="1"/>
    <col min="82" max="82" width="17.875" style="7" customWidth="1"/>
    <col min="83" max="97" width="17.25" style="95" customWidth="1"/>
    <col min="98" max="98" width="20.125" style="7" customWidth="1"/>
    <col min="99" max="105" width="11.75" style="95" customWidth="1"/>
    <col min="106" max="16384" width="9" style="95"/>
  </cols>
  <sheetData>
    <row r="1" spans="1:105" s="97" customFormat="1" x14ac:dyDescent="0.15">
      <c r="A1" s="11" t="s">
        <v>597</v>
      </c>
      <c r="B1" s="13"/>
      <c r="C1" s="12"/>
      <c r="D1" s="13"/>
      <c r="E1" s="13"/>
      <c r="F1" s="12"/>
      <c r="G1" s="56" t="s">
        <v>861</v>
      </c>
      <c r="H1" s="56" t="s">
        <v>631</v>
      </c>
      <c r="I1" s="56" t="s">
        <v>861</v>
      </c>
      <c r="J1" s="56" t="s">
        <v>631</v>
      </c>
      <c r="K1" s="56" t="s">
        <v>631</v>
      </c>
      <c r="L1" s="165" t="s">
        <v>861</v>
      </c>
      <c r="M1" s="10"/>
      <c r="N1" s="56" t="s">
        <v>861</v>
      </c>
      <c r="O1" s="56" t="s">
        <v>861</v>
      </c>
      <c r="P1" s="162"/>
      <c r="Q1" s="168"/>
      <c r="R1" s="56" t="s">
        <v>60</v>
      </c>
      <c r="S1" s="162"/>
      <c r="T1" s="106"/>
      <c r="U1" s="10"/>
      <c r="V1" s="56" t="s">
        <v>1155</v>
      </c>
      <c r="W1" s="56" t="s">
        <v>60</v>
      </c>
      <c r="X1" s="56" t="s">
        <v>60</v>
      </c>
      <c r="Y1" s="56" t="s">
        <v>60</v>
      </c>
      <c r="Z1" s="56" t="s">
        <v>60</v>
      </c>
      <c r="AA1" s="172"/>
      <c r="AB1" s="56" t="s">
        <v>60</v>
      </c>
      <c r="AC1" s="56" t="s">
        <v>60</v>
      </c>
      <c r="AD1" s="106"/>
      <c r="AE1" s="56" t="s">
        <v>631</v>
      </c>
      <c r="AF1" s="56" t="s">
        <v>631</v>
      </c>
      <c r="AG1" s="56" t="s">
        <v>631</v>
      </c>
      <c r="AH1" s="56" t="s">
        <v>631</v>
      </c>
      <c r="AI1" s="56" t="s">
        <v>631</v>
      </c>
      <c r="AJ1" s="56" t="s">
        <v>631</v>
      </c>
      <c r="AK1" s="106"/>
      <c r="AL1" s="56" t="s">
        <v>631</v>
      </c>
      <c r="AM1" s="56" t="s">
        <v>631</v>
      </c>
      <c r="AN1" s="56" t="s">
        <v>631</v>
      </c>
      <c r="AO1" s="56" t="s">
        <v>631</v>
      </c>
      <c r="AP1" s="56" t="s">
        <v>631</v>
      </c>
      <c r="AQ1" s="56" t="s">
        <v>631</v>
      </c>
      <c r="AR1" s="56" t="s">
        <v>631</v>
      </c>
      <c r="AS1" s="106"/>
      <c r="AT1" s="56" t="s">
        <v>631</v>
      </c>
      <c r="AU1" s="56" t="s">
        <v>631</v>
      </c>
      <c r="AV1" s="106"/>
      <c r="AW1" s="56" t="s">
        <v>631</v>
      </c>
      <c r="AX1" s="10"/>
      <c r="AY1" s="56" t="s">
        <v>631</v>
      </c>
      <c r="AZ1" s="56" t="s">
        <v>631</v>
      </c>
      <c r="BA1" s="56" t="s">
        <v>631</v>
      </c>
      <c r="BB1" s="56" t="s">
        <v>631</v>
      </c>
      <c r="BC1" s="56" t="s">
        <v>631</v>
      </c>
      <c r="BD1" s="56" t="s">
        <v>631</v>
      </c>
      <c r="BE1" s="56" t="s">
        <v>631</v>
      </c>
      <c r="BF1" s="56" t="s">
        <v>631</v>
      </c>
      <c r="BG1" s="56" t="s">
        <v>631</v>
      </c>
      <c r="BH1" s="56" t="s">
        <v>631</v>
      </c>
      <c r="BI1" s="56" t="s">
        <v>631</v>
      </c>
      <c r="BJ1" s="10"/>
      <c r="BK1" s="56" t="s">
        <v>631</v>
      </c>
      <c r="BL1" s="56" t="s">
        <v>631</v>
      </c>
      <c r="BM1" s="56" t="s">
        <v>631</v>
      </c>
      <c r="BN1" s="56" t="s">
        <v>631</v>
      </c>
      <c r="BO1" s="56" t="s">
        <v>631</v>
      </c>
      <c r="BP1" s="56" t="s">
        <v>631</v>
      </c>
      <c r="BQ1" s="56" t="s">
        <v>631</v>
      </c>
      <c r="BR1" s="56" t="s">
        <v>631</v>
      </c>
      <c r="BS1" s="56" t="s">
        <v>631</v>
      </c>
      <c r="BT1" s="56" t="s">
        <v>631</v>
      </c>
      <c r="BU1" s="56" t="s">
        <v>631</v>
      </c>
      <c r="BV1" s="56" t="s">
        <v>631</v>
      </c>
      <c r="BW1" s="56" t="s">
        <v>631</v>
      </c>
      <c r="BX1" s="56" t="s">
        <v>631</v>
      </c>
      <c r="BY1" s="56" t="s">
        <v>631</v>
      </c>
      <c r="BZ1" s="56" t="s">
        <v>631</v>
      </c>
      <c r="CA1" s="56" t="s">
        <v>631</v>
      </c>
      <c r="CB1" s="56" t="s">
        <v>631</v>
      </c>
      <c r="CC1" s="56" t="s">
        <v>631</v>
      </c>
      <c r="CD1" s="10"/>
      <c r="CE1" s="56" t="s">
        <v>631</v>
      </c>
      <c r="CF1" s="56" t="s">
        <v>631</v>
      </c>
      <c r="CG1" s="56" t="s">
        <v>631</v>
      </c>
      <c r="CH1" s="56" t="s">
        <v>631</v>
      </c>
      <c r="CI1" s="56" t="s">
        <v>631</v>
      </c>
      <c r="CJ1" s="56" t="s">
        <v>631</v>
      </c>
      <c r="CK1" s="56" t="s">
        <v>631</v>
      </c>
      <c r="CL1" s="56" t="s">
        <v>631</v>
      </c>
      <c r="CM1" s="56" t="s">
        <v>631</v>
      </c>
      <c r="CN1" s="56" t="s">
        <v>631</v>
      </c>
      <c r="CO1" s="56" t="s">
        <v>631</v>
      </c>
      <c r="CP1" s="56" t="s">
        <v>631</v>
      </c>
      <c r="CQ1" s="56" t="s">
        <v>631</v>
      </c>
      <c r="CR1" s="56" t="s">
        <v>631</v>
      </c>
      <c r="CS1" s="56" t="s">
        <v>631</v>
      </c>
      <c r="CT1" s="10"/>
      <c r="CU1" s="56" t="s">
        <v>631</v>
      </c>
      <c r="CV1" s="56" t="s">
        <v>631</v>
      </c>
      <c r="CW1" s="56" t="s">
        <v>631</v>
      </c>
      <c r="CX1" s="56" t="s">
        <v>631</v>
      </c>
      <c r="CY1" s="56" t="s">
        <v>631</v>
      </c>
      <c r="CZ1" s="56" t="s">
        <v>631</v>
      </c>
      <c r="DA1" s="56" t="s">
        <v>631</v>
      </c>
    </row>
    <row r="2" spans="1:105" s="97" customFormat="1" x14ac:dyDescent="0.15">
      <c r="A2" s="11" t="s">
        <v>61</v>
      </c>
      <c r="B2" s="13"/>
      <c r="C2" s="12"/>
      <c r="D2" s="13"/>
      <c r="E2" s="13"/>
      <c r="F2" s="12"/>
      <c r="G2" s="56" t="s">
        <v>860</v>
      </c>
      <c r="H2" s="56" t="s">
        <v>1122</v>
      </c>
      <c r="I2" s="56" t="s">
        <v>860</v>
      </c>
      <c r="J2" s="56" t="s">
        <v>512</v>
      </c>
      <c r="K2" s="56" t="s">
        <v>512</v>
      </c>
      <c r="L2" s="165" t="s">
        <v>899</v>
      </c>
      <c r="M2" s="10"/>
      <c r="N2" s="56" t="s">
        <v>860</v>
      </c>
      <c r="O2" s="56" t="s">
        <v>899</v>
      </c>
      <c r="P2" s="162"/>
      <c r="Q2" s="168"/>
      <c r="R2" s="56" t="s">
        <v>61</v>
      </c>
      <c r="S2" s="162"/>
      <c r="T2" s="106"/>
      <c r="U2" s="10"/>
      <c r="V2" s="56" t="s">
        <v>1154</v>
      </c>
      <c r="W2" s="56" t="s">
        <v>61</v>
      </c>
      <c r="X2" s="56" t="s">
        <v>61</v>
      </c>
      <c r="Y2" s="56" t="s">
        <v>61</v>
      </c>
      <c r="Z2" s="56" t="s">
        <v>61</v>
      </c>
      <c r="AA2" s="172"/>
      <c r="AB2" s="56" t="s">
        <v>61</v>
      </c>
      <c r="AC2" s="56" t="s">
        <v>61</v>
      </c>
      <c r="AD2" s="106"/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106"/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106"/>
      <c r="AT2" s="56" t="s">
        <v>61</v>
      </c>
      <c r="AU2" s="56" t="s">
        <v>61</v>
      </c>
      <c r="AV2" s="106"/>
      <c r="AW2" s="56" t="s">
        <v>61</v>
      </c>
      <c r="AX2" s="10"/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10"/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10"/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10"/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</row>
    <row r="3" spans="1:105" s="97" customFormat="1" x14ac:dyDescent="0.15">
      <c r="A3" s="11" t="s">
        <v>605</v>
      </c>
      <c r="B3" s="13"/>
      <c r="C3" s="12"/>
      <c r="D3" s="13"/>
      <c r="E3" s="13"/>
      <c r="F3" s="12"/>
      <c r="G3" s="56" t="s">
        <v>908</v>
      </c>
      <c r="H3" s="56" t="s">
        <v>1121</v>
      </c>
      <c r="I3" s="56" t="s">
        <v>912</v>
      </c>
      <c r="J3" s="56" t="s">
        <v>1134</v>
      </c>
      <c r="K3" s="56" t="s">
        <v>1135</v>
      </c>
      <c r="L3" s="165" t="s">
        <v>929</v>
      </c>
      <c r="M3" s="10"/>
      <c r="N3" s="56" t="s">
        <v>901</v>
      </c>
      <c r="O3" s="56" t="s">
        <v>921</v>
      </c>
      <c r="P3" s="162"/>
      <c r="Q3" s="168"/>
      <c r="R3" s="56" t="s">
        <v>1143</v>
      </c>
      <c r="S3" s="162"/>
      <c r="T3" s="106"/>
      <c r="U3" s="10"/>
      <c r="V3" s="56" t="s">
        <v>1153</v>
      </c>
      <c r="W3" s="56" t="s">
        <v>903</v>
      </c>
      <c r="X3" s="56" t="s">
        <v>904</v>
      </c>
      <c r="Y3" s="56" t="s">
        <v>905</v>
      </c>
      <c r="Z3" s="56" t="s">
        <v>906</v>
      </c>
      <c r="AA3" s="172"/>
      <c r="AB3" s="56" t="s">
        <v>939</v>
      </c>
      <c r="AC3" s="56" t="s">
        <v>940</v>
      </c>
      <c r="AD3" s="106"/>
      <c r="AE3" s="38" t="s">
        <v>976</v>
      </c>
      <c r="AF3" s="62" t="s">
        <v>977</v>
      </c>
      <c r="AG3" s="62" t="s">
        <v>978</v>
      </c>
      <c r="AH3" s="62" t="s">
        <v>982</v>
      </c>
      <c r="AI3" s="62" t="s">
        <v>983</v>
      </c>
      <c r="AJ3" s="62" t="s">
        <v>991</v>
      </c>
      <c r="AK3" s="106"/>
      <c r="AL3" s="38" t="s">
        <v>997</v>
      </c>
      <c r="AM3" s="62" t="s">
        <v>998</v>
      </c>
      <c r="AN3" s="62" t="s">
        <v>999</v>
      </c>
      <c r="AO3" s="62" t="s">
        <v>1003</v>
      </c>
      <c r="AP3" s="62" t="s">
        <v>1004</v>
      </c>
      <c r="AQ3" s="62" t="s">
        <v>1010</v>
      </c>
      <c r="AR3" s="62" t="s">
        <v>1060</v>
      </c>
      <c r="AS3" s="106"/>
      <c r="AT3" s="38" t="s">
        <v>1054</v>
      </c>
      <c r="AU3" s="62" t="s">
        <v>941</v>
      </c>
      <c r="AV3" s="106"/>
      <c r="AW3" s="38" t="s">
        <v>918</v>
      </c>
      <c r="AX3" s="10"/>
      <c r="AY3" s="38" t="s">
        <v>862</v>
      </c>
      <c r="AZ3" s="62" t="s">
        <v>863</v>
      </c>
      <c r="BA3" s="62" t="s">
        <v>864</v>
      </c>
      <c r="BB3" s="62" t="s">
        <v>865</v>
      </c>
      <c r="BC3" s="35" t="s">
        <v>866</v>
      </c>
      <c r="BD3" s="35" t="s">
        <v>867</v>
      </c>
      <c r="BE3" s="35" t="s">
        <v>868</v>
      </c>
      <c r="BF3" s="62" t="s">
        <v>869</v>
      </c>
      <c r="BG3" s="35" t="s">
        <v>870</v>
      </c>
      <c r="BH3" s="35" t="s">
        <v>871</v>
      </c>
      <c r="BI3" s="35" t="s">
        <v>872</v>
      </c>
      <c r="BJ3" s="36"/>
      <c r="BK3" s="35" t="s">
        <v>873</v>
      </c>
      <c r="BL3" s="35" t="s">
        <v>874</v>
      </c>
      <c r="BM3" s="35" t="s">
        <v>875</v>
      </c>
      <c r="BN3" s="35" t="s">
        <v>876</v>
      </c>
      <c r="BO3" s="35" t="s">
        <v>877</v>
      </c>
      <c r="BP3" s="35" t="s">
        <v>878</v>
      </c>
      <c r="BQ3" s="35" t="s">
        <v>879</v>
      </c>
      <c r="BR3" s="35" t="s">
        <v>880</v>
      </c>
      <c r="BS3" s="35" t="s">
        <v>881</v>
      </c>
      <c r="BT3" s="35" t="s">
        <v>882</v>
      </c>
      <c r="BU3" s="35" t="s">
        <v>883</v>
      </c>
      <c r="BV3" s="35" t="s">
        <v>884</v>
      </c>
      <c r="BW3" s="35" t="s">
        <v>885</v>
      </c>
      <c r="BX3" s="35" t="s">
        <v>886</v>
      </c>
      <c r="BY3" s="35" t="s">
        <v>887</v>
      </c>
      <c r="BZ3" s="35" t="s">
        <v>888</v>
      </c>
      <c r="CA3" s="35" t="s">
        <v>889</v>
      </c>
      <c r="CB3" s="35" t="s">
        <v>890</v>
      </c>
      <c r="CC3" s="35" t="s">
        <v>891</v>
      </c>
      <c r="CD3" s="36"/>
      <c r="CE3" s="35" t="s">
        <v>954</v>
      </c>
      <c r="CF3" s="35" t="s">
        <v>955</v>
      </c>
      <c r="CG3" s="35" t="s">
        <v>956</v>
      </c>
      <c r="CH3" s="35" t="s">
        <v>957</v>
      </c>
      <c r="CI3" s="35" t="s">
        <v>958</v>
      </c>
      <c r="CJ3" s="35" t="s">
        <v>959</v>
      </c>
      <c r="CK3" s="35" t="s">
        <v>960</v>
      </c>
      <c r="CL3" s="35" t="s">
        <v>961</v>
      </c>
      <c r="CM3" s="35" t="s">
        <v>962</v>
      </c>
      <c r="CN3" s="35" t="s">
        <v>963</v>
      </c>
      <c r="CO3" s="35" t="s">
        <v>964</v>
      </c>
      <c r="CP3" s="35" t="s">
        <v>965</v>
      </c>
      <c r="CQ3" s="35" t="s">
        <v>966</v>
      </c>
      <c r="CR3" s="35" t="s">
        <v>967</v>
      </c>
      <c r="CS3" s="35" t="s">
        <v>968</v>
      </c>
      <c r="CT3" s="36"/>
      <c r="CU3" s="35" t="s">
        <v>892</v>
      </c>
      <c r="CV3" s="35" t="s">
        <v>893</v>
      </c>
      <c r="CW3" s="35" t="s">
        <v>894</v>
      </c>
      <c r="CX3" s="35" t="s">
        <v>895</v>
      </c>
      <c r="CY3" s="35" t="s">
        <v>896</v>
      </c>
      <c r="CZ3" s="35" t="s">
        <v>897</v>
      </c>
      <c r="DA3" s="35" t="s">
        <v>898</v>
      </c>
    </row>
    <row r="4" spans="1:105" s="96" customFormat="1" ht="118.5" customHeight="1" thickBot="1" x14ac:dyDescent="0.2">
      <c r="A4" s="98" t="s">
        <v>605</v>
      </c>
      <c r="B4" s="110" t="s">
        <v>635</v>
      </c>
      <c r="C4" s="111"/>
      <c r="D4" s="110" t="s">
        <v>1033</v>
      </c>
      <c r="E4" s="110" t="s">
        <v>1034</v>
      </c>
      <c r="F4" s="111"/>
      <c r="G4" s="58" t="s">
        <v>909</v>
      </c>
      <c r="H4" s="58" t="s">
        <v>1123</v>
      </c>
      <c r="I4" s="58" t="s">
        <v>910</v>
      </c>
      <c r="J4" s="58" t="s">
        <v>1133</v>
      </c>
      <c r="K4" s="58" t="s">
        <v>1137</v>
      </c>
      <c r="L4" s="166" t="s">
        <v>928</v>
      </c>
      <c r="M4" s="146" t="s">
        <v>911</v>
      </c>
      <c r="N4" s="93" t="s">
        <v>900</v>
      </c>
      <c r="O4" s="56" t="s">
        <v>1124</v>
      </c>
      <c r="P4" s="162" t="s">
        <v>1146</v>
      </c>
      <c r="Q4" s="168" t="s">
        <v>1150</v>
      </c>
      <c r="R4" s="56" t="s">
        <v>1151</v>
      </c>
      <c r="S4" s="162" t="s">
        <v>1147</v>
      </c>
      <c r="T4" s="106" t="s">
        <v>917</v>
      </c>
      <c r="U4" s="10" t="s">
        <v>907</v>
      </c>
      <c r="V4" s="56" t="s">
        <v>1152</v>
      </c>
      <c r="W4" s="56" t="s">
        <v>1035</v>
      </c>
      <c r="X4" s="56" t="s">
        <v>1036</v>
      </c>
      <c r="Y4" s="56" t="s">
        <v>1037</v>
      </c>
      <c r="Z4" s="56" t="s">
        <v>1038</v>
      </c>
      <c r="AA4" s="174" t="s">
        <v>1149</v>
      </c>
      <c r="AB4" s="56" t="s">
        <v>1039</v>
      </c>
      <c r="AC4" s="56" t="s">
        <v>1040</v>
      </c>
      <c r="AD4" s="107" t="s">
        <v>1125</v>
      </c>
      <c r="AE4" s="38" t="s">
        <v>1041</v>
      </c>
      <c r="AF4" s="62" t="s">
        <v>1042</v>
      </c>
      <c r="AG4" s="62" t="s">
        <v>1043</v>
      </c>
      <c r="AH4" s="62" t="s">
        <v>1044</v>
      </c>
      <c r="AI4" s="62" t="s">
        <v>1045</v>
      </c>
      <c r="AJ4" s="62" t="s">
        <v>1046</v>
      </c>
      <c r="AK4" s="106" t="s">
        <v>1047</v>
      </c>
      <c r="AL4" s="38" t="s">
        <v>1048</v>
      </c>
      <c r="AM4" s="62" t="s">
        <v>1049</v>
      </c>
      <c r="AN4" s="62" t="s">
        <v>1050</v>
      </c>
      <c r="AO4" s="62" t="s">
        <v>1051</v>
      </c>
      <c r="AP4" s="62" t="s">
        <v>1052</v>
      </c>
      <c r="AQ4" s="62" t="s">
        <v>1053</v>
      </c>
      <c r="AR4" s="62" t="s">
        <v>1061</v>
      </c>
      <c r="AS4" s="106" t="s">
        <v>942</v>
      </c>
      <c r="AT4" s="38" t="s">
        <v>1056</v>
      </c>
      <c r="AU4" s="62" t="s">
        <v>1057</v>
      </c>
      <c r="AV4" s="106" t="s">
        <v>1015</v>
      </c>
      <c r="AW4" s="38" t="s">
        <v>1062</v>
      </c>
      <c r="AX4" s="10" t="s">
        <v>1159</v>
      </c>
      <c r="AY4" s="38" t="s">
        <v>1063</v>
      </c>
      <c r="AZ4" s="62" t="s">
        <v>1064</v>
      </c>
      <c r="BA4" s="62" t="s">
        <v>1065</v>
      </c>
      <c r="BB4" s="62" t="s">
        <v>1066</v>
      </c>
      <c r="BC4" s="35" t="s">
        <v>1067</v>
      </c>
      <c r="BD4" s="35" t="s">
        <v>1068</v>
      </c>
      <c r="BE4" s="35" t="s">
        <v>1069</v>
      </c>
      <c r="BF4" s="62" t="s">
        <v>1070</v>
      </c>
      <c r="BG4" s="35" t="s">
        <v>1071</v>
      </c>
      <c r="BH4" s="35" t="s">
        <v>1072</v>
      </c>
      <c r="BI4" s="35" t="s">
        <v>1073</v>
      </c>
      <c r="BJ4" s="36" t="s">
        <v>1158</v>
      </c>
      <c r="BK4" s="35" t="s">
        <v>1074</v>
      </c>
      <c r="BL4" s="35" t="s">
        <v>1075</v>
      </c>
      <c r="BM4" s="35" t="s">
        <v>1076</v>
      </c>
      <c r="BN4" s="35" t="s">
        <v>1077</v>
      </c>
      <c r="BO4" s="35" t="s">
        <v>1078</v>
      </c>
      <c r="BP4" s="35" t="s">
        <v>1079</v>
      </c>
      <c r="BQ4" s="35" t="s">
        <v>1080</v>
      </c>
      <c r="BR4" s="35" t="s">
        <v>1081</v>
      </c>
      <c r="BS4" s="35" t="s">
        <v>1082</v>
      </c>
      <c r="BT4" s="35" t="s">
        <v>1083</v>
      </c>
      <c r="BU4" s="35" t="s">
        <v>1084</v>
      </c>
      <c r="BV4" s="35" t="s">
        <v>1085</v>
      </c>
      <c r="BW4" s="35" t="s">
        <v>1086</v>
      </c>
      <c r="BX4" s="35" t="s">
        <v>1087</v>
      </c>
      <c r="BY4" s="35" t="s">
        <v>1088</v>
      </c>
      <c r="BZ4" s="35" t="s">
        <v>1089</v>
      </c>
      <c r="CA4" s="35" t="s">
        <v>1090</v>
      </c>
      <c r="CB4" s="35" t="s">
        <v>1091</v>
      </c>
      <c r="CC4" s="35" t="s">
        <v>1092</v>
      </c>
      <c r="CD4" s="36" t="s">
        <v>1157</v>
      </c>
      <c r="CE4" s="35" t="s">
        <v>1093</v>
      </c>
      <c r="CF4" s="35" t="s">
        <v>1094</v>
      </c>
      <c r="CG4" s="35" t="s">
        <v>1095</v>
      </c>
      <c r="CH4" s="35" t="s">
        <v>1096</v>
      </c>
      <c r="CI4" s="35" t="s">
        <v>1097</v>
      </c>
      <c r="CJ4" s="35" t="s">
        <v>1098</v>
      </c>
      <c r="CK4" s="35" t="s">
        <v>1099</v>
      </c>
      <c r="CL4" s="35" t="s">
        <v>1100</v>
      </c>
      <c r="CM4" s="35" t="s">
        <v>1114</v>
      </c>
      <c r="CN4" s="35" t="s">
        <v>1113</v>
      </c>
      <c r="CO4" s="35" t="s">
        <v>1112</v>
      </c>
      <c r="CP4" s="35" t="s">
        <v>1111</v>
      </c>
      <c r="CQ4" s="35" t="s">
        <v>1110</v>
      </c>
      <c r="CR4" s="35" t="s">
        <v>1109</v>
      </c>
      <c r="CS4" s="35" t="s">
        <v>1108</v>
      </c>
      <c r="CT4" s="36" t="s">
        <v>1156</v>
      </c>
      <c r="CU4" s="35" t="s">
        <v>1107</v>
      </c>
      <c r="CV4" s="35" t="s">
        <v>1106</v>
      </c>
      <c r="CW4" s="35" t="s">
        <v>1105</v>
      </c>
      <c r="CX4" s="35" t="s">
        <v>1104</v>
      </c>
      <c r="CY4" s="35" t="s">
        <v>1103</v>
      </c>
      <c r="CZ4" s="35" t="s">
        <v>1102</v>
      </c>
      <c r="DA4" s="35" t="s">
        <v>1101</v>
      </c>
    </row>
    <row r="5" spans="1:105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1016</v>
      </c>
      <c r="H5" s="57">
        <v>1</v>
      </c>
      <c r="I5" s="57" t="s">
        <v>1136</v>
      </c>
      <c r="J5" s="57" t="s">
        <v>1139</v>
      </c>
      <c r="K5" s="57" t="s">
        <v>1138</v>
      </c>
      <c r="L5" s="167">
        <v>360</v>
      </c>
      <c r="M5" s="17" t="s">
        <v>1118</v>
      </c>
      <c r="N5" s="57"/>
      <c r="O5" s="57">
        <v>20</v>
      </c>
      <c r="P5" s="163">
        <f t="shared" ref="P5:P68" si="0">(O5/100000)*1440</f>
        <v>0.28800000000000003</v>
      </c>
      <c r="Q5" s="169"/>
      <c r="R5" s="57"/>
      <c r="S5" s="163"/>
      <c r="T5" s="108"/>
      <c r="U5" s="17"/>
      <c r="V5" s="154">
        <v>120</v>
      </c>
      <c r="X5" s="57"/>
      <c r="Y5" s="57"/>
      <c r="Z5" s="154">
        <v>110</v>
      </c>
      <c r="AA5" s="173"/>
      <c r="AB5" s="57"/>
      <c r="AC5" s="57"/>
      <c r="AD5" s="108"/>
      <c r="AE5" s="57"/>
      <c r="AF5" s="57"/>
      <c r="AG5" s="57"/>
      <c r="AH5" s="57"/>
      <c r="AI5" s="57"/>
      <c r="AJ5" s="57"/>
      <c r="AK5" s="108"/>
      <c r="AL5" s="57"/>
      <c r="AM5" s="57"/>
      <c r="AN5" s="57"/>
      <c r="AO5" s="57"/>
      <c r="AP5" s="57"/>
      <c r="AQ5" s="57"/>
      <c r="AR5" s="57"/>
      <c r="AS5" s="108"/>
      <c r="AT5" s="57"/>
      <c r="AU5" s="57"/>
      <c r="AV5" s="108"/>
      <c r="AW5" s="154">
        <v>200</v>
      </c>
      <c r="AX5" s="17"/>
      <c r="AY5" s="154">
        <v>110</v>
      </c>
      <c r="AZ5" s="154">
        <v>110</v>
      </c>
      <c r="BA5" s="154">
        <v>110</v>
      </c>
      <c r="BB5" s="154">
        <v>110</v>
      </c>
      <c r="BC5" s="154">
        <v>110</v>
      </c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44"/>
      <c r="BK5" s="155">
        <v>110</v>
      </c>
      <c r="BL5" s="155">
        <v>110</v>
      </c>
      <c r="BM5" s="155">
        <v>110</v>
      </c>
      <c r="BN5" s="155">
        <v>110</v>
      </c>
      <c r="BO5" s="155">
        <v>110</v>
      </c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44"/>
      <c r="CE5" s="155">
        <v>120</v>
      </c>
      <c r="CF5" s="155">
        <v>120</v>
      </c>
      <c r="CG5" s="155">
        <v>120</v>
      </c>
      <c r="CH5" s="155">
        <v>120</v>
      </c>
      <c r="CI5" s="155">
        <v>120</v>
      </c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44"/>
      <c r="CU5" s="155">
        <v>120</v>
      </c>
      <c r="CV5" s="155">
        <v>120</v>
      </c>
      <c r="CW5" s="155">
        <v>120</v>
      </c>
      <c r="CX5" s="155">
        <v>120</v>
      </c>
      <c r="CY5" s="155">
        <v>120</v>
      </c>
      <c r="CZ5" s="155">
        <v>120</v>
      </c>
      <c r="DA5" s="155">
        <v>120</v>
      </c>
    </row>
    <row r="6" spans="1:105" x14ac:dyDescent="0.15">
      <c r="A6" s="11">
        <f t="shared" ref="A6:A89" si="1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913</v>
      </c>
      <c r="H6" s="56">
        <v>3</v>
      </c>
      <c r="L6" s="165">
        <v>360</v>
      </c>
      <c r="M6" s="10" t="s">
        <v>1119</v>
      </c>
      <c r="O6" s="56">
        <v>15</v>
      </c>
      <c r="P6" s="162">
        <f t="shared" si="0"/>
        <v>0.21599999999999997</v>
      </c>
      <c r="V6" s="153">
        <v>160</v>
      </c>
      <c r="Z6" s="153">
        <v>120</v>
      </c>
      <c r="AW6" s="153">
        <v>300</v>
      </c>
      <c r="AY6" s="153">
        <v>120</v>
      </c>
      <c r="AZ6" s="153">
        <v>120</v>
      </c>
      <c r="BA6" s="153">
        <v>120</v>
      </c>
      <c r="BB6" s="153">
        <v>120</v>
      </c>
      <c r="BC6" s="153">
        <v>120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K6" s="156">
        <v>120</v>
      </c>
      <c r="BL6" s="156">
        <v>120</v>
      </c>
      <c r="BM6" s="156">
        <v>120</v>
      </c>
      <c r="BN6" s="156">
        <v>120</v>
      </c>
      <c r="BO6" s="156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E6" s="156">
        <v>140</v>
      </c>
      <c r="CF6" s="156">
        <v>140</v>
      </c>
      <c r="CG6" s="156">
        <v>140</v>
      </c>
      <c r="CH6" s="156">
        <v>140</v>
      </c>
      <c r="CI6" s="156">
        <v>140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U6" s="156">
        <v>140</v>
      </c>
      <c r="CV6" s="156">
        <v>140</v>
      </c>
      <c r="CW6" s="156">
        <v>140</v>
      </c>
      <c r="CX6" s="156">
        <v>140</v>
      </c>
      <c r="CY6" s="156">
        <v>140</v>
      </c>
      <c r="CZ6" s="156">
        <v>140</v>
      </c>
      <c r="DA6" s="156">
        <v>140</v>
      </c>
    </row>
    <row r="7" spans="1:105" x14ac:dyDescent="0.15">
      <c r="A7" s="11">
        <f t="shared" si="1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914</v>
      </c>
      <c r="H7" s="56">
        <v>5</v>
      </c>
      <c r="L7" s="165">
        <v>360</v>
      </c>
      <c r="M7" s="157" t="s">
        <v>1120</v>
      </c>
      <c r="O7" s="56">
        <v>10</v>
      </c>
      <c r="P7" s="162">
        <f t="shared" si="0"/>
        <v>0.14400000000000002</v>
      </c>
      <c r="V7" s="153">
        <v>220</v>
      </c>
      <c r="Z7" s="153">
        <v>130</v>
      </c>
      <c r="AW7" s="153">
        <v>400</v>
      </c>
      <c r="AY7" s="153">
        <v>130</v>
      </c>
      <c r="AZ7" s="153">
        <v>130</v>
      </c>
      <c r="BA7" s="153">
        <v>130</v>
      </c>
      <c r="BB7" s="153">
        <v>130</v>
      </c>
      <c r="BC7" s="153">
        <v>130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K7" s="156">
        <v>130</v>
      </c>
      <c r="BL7" s="156">
        <v>130</v>
      </c>
      <c r="BM7" s="156">
        <v>130</v>
      </c>
      <c r="BN7" s="156">
        <v>130</v>
      </c>
      <c r="BO7" s="156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E7" s="156">
        <v>160</v>
      </c>
      <c r="CF7" s="156">
        <v>160</v>
      </c>
      <c r="CG7" s="156">
        <v>160</v>
      </c>
      <c r="CH7" s="156">
        <v>160</v>
      </c>
      <c r="CI7" s="156">
        <v>160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U7" s="156">
        <v>160</v>
      </c>
      <c r="CV7" s="156">
        <v>160</v>
      </c>
      <c r="CW7" s="156">
        <v>160</v>
      </c>
      <c r="CX7" s="156">
        <v>160</v>
      </c>
      <c r="CY7" s="156">
        <v>160</v>
      </c>
      <c r="CZ7" s="156">
        <v>160</v>
      </c>
      <c r="DA7" s="156">
        <v>160</v>
      </c>
    </row>
    <row r="8" spans="1:105" x14ac:dyDescent="0.15">
      <c r="A8" s="11">
        <f t="shared" si="1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1017</v>
      </c>
      <c r="H8" s="56">
        <v>1</v>
      </c>
      <c r="L8" s="165">
        <v>360</v>
      </c>
      <c r="O8" s="56">
        <v>20</v>
      </c>
      <c r="P8" s="162">
        <f t="shared" si="0"/>
        <v>0.28800000000000003</v>
      </c>
      <c r="V8" s="153">
        <v>60</v>
      </c>
      <c r="Z8" s="153">
        <v>90</v>
      </c>
      <c r="AW8" s="153">
        <v>75</v>
      </c>
      <c r="AY8" s="153">
        <v>90</v>
      </c>
      <c r="AZ8" s="153">
        <v>90</v>
      </c>
      <c r="BA8" s="153">
        <v>90</v>
      </c>
      <c r="BB8" s="153">
        <v>90</v>
      </c>
      <c r="BC8" s="153">
        <v>90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K8" s="156">
        <v>90</v>
      </c>
      <c r="BL8" s="156">
        <v>90</v>
      </c>
      <c r="BM8" s="156">
        <v>90</v>
      </c>
      <c r="BN8" s="156">
        <v>90</v>
      </c>
      <c r="BO8" s="156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E8" s="156">
        <v>90</v>
      </c>
      <c r="CF8" s="156">
        <v>90</v>
      </c>
      <c r="CG8" s="156">
        <v>90</v>
      </c>
      <c r="CH8" s="156">
        <v>90</v>
      </c>
      <c r="CI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U8" s="156">
        <v>90</v>
      </c>
      <c r="CV8" s="156">
        <v>90</v>
      </c>
      <c r="CW8" s="156">
        <v>90</v>
      </c>
      <c r="CX8" s="156">
        <v>90</v>
      </c>
      <c r="CY8" s="156">
        <v>90</v>
      </c>
      <c r="CZ8" s="156">
        <v>90</v>
      </c>
      <c r="DA8" s="156">
        <v>90</v>
      </c>
    </row>
    <row r="9" spans="1:105" x14ac:dyDescent="0.15">
      <c r="A9" s="11">
        <f t="shared" si="1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1018</v>
      </c>
      <c r="H9" s="56">
        <v>3</v>
      </c>
      <c r="L9" s="165">
        <v>360</v>
      </c>
      <c r="O9" s="56">
        <v>15</v>
      </c>
      <c r="P9" s="162">
        <f t="shared" si="0"/>
        <v>0.21599999999999997</v>
      </c>
      <c r="V9" s="153">
        <v>50</v>
      </c>
      <c r="Z9" s="153">
        <v>80</v>
      </c>
      <c r="AW9" s="153">
        <v>60</v>
      </c>
      <c r="AY9" s="153">
        <v>80</v>
      </c>
      <c r="AZ9" s="153">
        <v>80</v>
      </c>
      <c r="BA9" s="153">
        <v>80</v>
      </c>
      <c r="BB9" s="153">
        <v>80</v>
      </c>
      <c r="BC9" s="153">
        <v>80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K9" s="156">
        <v>80</v>
      </c>
      <c r="BL9" s="156">
        <v>80</v>
      </c>
      <c r="BM9" s="156">
        <v>80</v>
      </c>
      <c r="BN9" s="156">
        <v>80</v>
      </c>
      <c r="BO9" s="156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E9" s="156">
        <v>80</v>
      </c>
      <c r="CF9" s="156">
        <v>80</v>
      </c>
      <c r="CG9" s="156">
        <v>80</v>
      </c>
      <c r="CH9" s="156">
        <v>80</v>
      </c>
      <c r="CI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U9" s="156">
        <v>80</v>
      </c>
      <c r="CV9" s="156">
        <v>80</v>
      </c>
      <c r="CW9" s="156">
        <v>80</v>
      </c>
      <c r="CX9" s="156">
        <v>80</v>
      </c>
      <c r="CY9" s="156">
        <v>80</v>
      </c>
      <c r="CZ9" s="156">
        <v>80</v>
      </c>
      <c r="DA9" s="156">
        <v>80</v>
      </c>
    </row>
    <row r="10" spans="1:105" x14ac:dyDescent="0.15">
      <c r="A10" s="11">
        <f t="shared" si="1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1019</v>
      </c>
      <c r="H10" s="56">
        <v>5</v>
      </c>
      <c r="L10" s="165">
        <v>360</v>
      </c>
      <c r="O10" s="56">
        <v>10</v>
      </c>
      <c r="P10" s="162">
        <f t="shared" si="0"/>
        <v>0.14400000000000002</v>
      </c>
      <c r="V10" s="153">
        <v>30</v>
      </c>
      <c r="Z10" s="153">
        <v>70</v>
      </c>
      <c r="AW10" s="153">
        <v>50</v>
      </c>
      <c r="AY10" s="153">
        <v>70</v>
      </c>
      <c r="AZ10" s="153">
        <v>70</v>
      </c>
      <c r="BA10" s="153">
        <v>70</v>
      </c>
      <c r="BB10" s="153">
        <v>70</v>
      </c>
      <c r="BC10" s="153">
        <v>70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K10" s="156">
        <v>70</v>
      </c>
      <c r="BL10" s="156">
        <v>70</v>
      </c>
      <c r="BM10" s="156">
        <v>70</v>
      </c>
      <c r="BN10" s="156">
        <v>70</v>
      </c>
      <c r="BO10" s="156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E10" s="156">
        <v>70</v>
      </c>
      <c r="CF10" s="156">
        <v>70</v>
      </c>
      <c r="CG10" s="156">
        <v>70</v>
      </c>
      <c r="CH10" s="156">
        <v>70</v>
      </c>
      <c r="CI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U10" s="156">
        <v>70</v>
      </c>
      <c r="CV10" s="156">
        <v>70</v>
      </c>
      <c r="CW10" s="156">
        <v>70</v>
      </c>
      <c r="CX10" s="156">
        <v>70</v>
      </c>
      <c r="CY10" s="156">
        <v>70</v>
      </c>
      <c r="CZ10" s="156">
        <v>70</v>
      </c>
      <c r="DA10" s="156">
        <v>70</v>
      </c>
    </row>
    <row r="11" spans="1:105" x14ac:dyDescent="0.15">
      <c r="A11" s="11">
        <f t="shared" si="1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1020</v>
      </c>
      <c r="H11" s="56">
        <v>1</v>
      </c>
      <c r="L11" s="165">
        <v>360</v>
      </c>
      <c r="O11" s="56">
        <v>20</v>
      </c>
      <c r="P11" s="162">
        <f t="shared" si="0"/>
        <v>0.28800000000000003</v>
      </c>
      <c r="W11" s="153">
        <v>110</v>
      </c>
      <c r="AW11" s="153">
        <v>200</v>
      </c>
      <c r="AY11" s="153">
        <v>110</v>
      </c>
      <c r="AZ11" s="153">
        <v>110</v>
      </c>
      <c r="BA11" s="153">
        <v>110</v>
      </c>
      <c r="BB11" s="153">
        <v>110</v>
      </c>
      <c r="BC11" s="153">
        <v>110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K11" s="156">
        <v>110</v>
      </c>
      <c r="BL11" s="156">
        <v>110</v>
      </c>
      <c r="BM11" s="156">
        <v>110</v>
      </c>
      <c r="BN11" s="156">
        <v>110</v>
      </c>
      <c r="BO11" s="156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E11" s="156">
        <v>120</v>
      </c>
      <c r="CF11" s="156">
        <v>120</v>
      </c>
      <c r="CG11" s="156">
        <v>120</v>
      </c>
      <c r="CH11" s="156">
        <v>120</v>
      </c>
      <c r="CI11" s="156">
        <v>120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U11" s="156">
        <v>120</v>
      </c>
      <c r="CV11" s="156">
        <v>120</v>
      </c>
      <c r="CW11" s="156">
        <v>120</v>
      </c>
      <c r="CX11" s="156">
        <v>120</v>
      </c>
      <c r="CY11" s="156">
        <v>120</v>
      </c>
      <c r="CZ11" s="156">
        <v>120</v>
      </c>
      <c r="DA11" s="156">
        <v>120</v>
      </c>
    </row>
    <row r="12" spans="1:105" x14ac:dyDescent="0.15">
      <c r="A12" s="11">
        <f t="shared" si="1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915</v>
      </c>
      <c r="H12" s="56">
        <v>3</v>
      </c>
      <c r="L12" s="165">
        <v>360</v>
      </c>
      <c r="O12" s="56">
        <v>15</v>
      </c>
      <c r="P12" s="162">
        <f t="shared" si="0"/>
        <v>0.21599999999999997</v>
      </c>
      <c r="W12" s="153">
        <v>120</v>
      </c>
      <c r="AW12" s="153">
        <v>300</v>
      </c>
      <c r="AY12" s="153">
        <v>120</v>
      </c>
      <c r="AZ12" s="153">
        <v>120</v>
      </c>
      <c r="BA12" s="153">
        <v>120</v>
      </c>
      <c r="BB12" s="153">
        <v>120</v>
      </c>
      <c r="BC12" s="153">
        <v>120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K12" s="156">
        <v>120</v>
      </c>
      <c r="BL12" s="156">
        <v>120</v>
      </c>
      <c r="BM12" s="156">
        <v>120</v>
      </c>
      <c r="BN12" s="156">
        <v>120</v>
      </c>
      <c r="BO12" s="156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E12" s="156">
        <v>140</v>
      </c>
      <c r="CF12" s="156">
        <v>140</v>
      </c>
      <c r="CG12" s="156">
        <v>140</v>
      </c>
      <c r="CH12" s="156">
        <v>140</v>
      </c>
      <c r="CI12" s="156">
        <v>140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U12" s="156">
        <v>140</v>
      </c>
      <c r="CV12" s="156">
        <v>140</v>
      </c>
      <c r="CW12" s="156">
        <v>140</v>
      </c>
      <c r="CX12" s="156">
        <v>140</v>
      </c>
      <c r="CY12" s="156">
        <v>140</v>
      </c>
      <c r="CZ12" s="156">
        <v>140</v>
      </c>
      <c r="DA12" s="156">
        <v>140</v>
      </c>
    </row>
    <row r="13" spans="1:105" x14ac:dyDescent="0.15">
      <c r="A13" s="11">
        <f t="shared" si="1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916</v>
      </c>
      <c r="H13" s="56">
        <v>5</v>
      </c>
      <c r="L13" s="165">
        <v>360</v>
      </c>
      <c r="O13" s="56">
        <v>10</v>
      </c>
      <c r="P13" s="162">
        <f t="shared" si="0"/>
        <v>0.14400000000000002</v>
      </c>
      <c r="W13" s="153">
        <v>130</v>
      </c>
      <c r="AW13" s="153">
        <v>400</v>
      </c>
      <c r="AY13" s="153">
        <v>130</v>
      </c>
      <c r="AZ13" s="153">
        <v>130</v>
      </c>
      <c r="BA13" s="153">
        <v>130</v>
      </c>
      <c r="BB13" s="153">
        <v>130</v>
      </c>
      <c r="BC13" s="153">
        <v>130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K13" s="156">
        <v>130</v>
      </c>
      <c r="BL13" s="156">
        <v>130</v>
      </c>
      <c r="BM13" s="156">
        <v>130</v>
      </c>
      <c r="BN13" s="156">
        <v>130</v>
      </c>
      <c r="BO13" s="156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E13" s="156">
        <v>160</v>
      </c>
      <c r="CF13" s="156">
        <v>160</v>
      </c>
      <c r="CG13" s="156">
        <v>160</v>
      </c>
      <c r="CH13" s="156">
        <v>160</v>
      </c>
      <c r="CI13" s="156">
        <v>160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U13" s="156">
        <v>160</v>
      </c>
      <c r="CV13" s="156">
        <v>160</v>
      </c>
      <c r="CW13" s="156">
        <v>160</v>
      </c>
      <c r="CX13" s="156">
        <v>160</v>
      </c>
      <c r="CY13" s="156">
        <v>160</v>
      </c>
      <c r="CZ13" s="156">
        <v>160</v>
      </c>
      <c r="DA13" s="156">
        <v>160</v>
      </c>
    </row>
    <row r="14" spans="1:105" x14ac:dyDescent="0.15">
      <c r="A14" s="11">
        <f t="shared" si="1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>
        <f t="shared" si="0"/>
        <v>0</v>
      </c>
    </row>
    <row r="15" spans="1:105" s="97" customFormat="1" x14ac:dyDescent="0.15">
      <c r="A15" s="11">
        <f t="shared" si="1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>
        <f t="shared" si="0"/>
        <v>0</v>
      </c>
      <c r="Q15" s="168"/>
      <c r="R15" s="56"/>
      <c r="S15" s="162"/>
      <c r="T15" s="106"/>
      <c r="U15" s="10"/>
      <c r="V15" s="56"/>
      <c r="W15" s="56"/>
      <c r="X15" s="56"/>
      <c r="Y15" s="56"/>
      <c r="Z15" s="56"/>
      <c r="AA15" s="172"/>
      <c r="AB15" s="56"/>
      <c r="AC15" s="56"/>
      <c r="AD15" s="106"/>
      <c r="AE15" s="56"/>
      <c r="AF15" s="56"/>
      <c r="AG15" s="56"/>
      <c r="AH15" s="56"/>
      <c r="AI15" s="56"/>
      <c r="AJ15" s="56"/>
      <c r="AK15" s="106"/>
      <c r="AL15" s="56"/>
      <c r="AM15" s="56"/>
      <c r="AN15" s="56"/>
      <c r="AO15" s="56"/>
      <c r="AP15" s="56"/>
      <c r="AQ15" s="56"/>
      <c r="AR15" s="56"/>
      <c r="AS15" s="106"/>
      <c r="AT15" s="56"/>
      <c r="AU15" s="56"/>
      <c r="AV15" s="106"/>
      <c r="AW15" s="56"/>
      <c r="AX15" s="10"/>
      <c r="AY15" s="56"/>
      <c r="AZ15" s="56"/>
      <c r="BA15" s="56"/>
      <c r="BB15" s="56"/>
      <c r="BJ15" s="145"/>
      <c r="CD15" s="145"/>
      <c r="CT15" s="145"/>
    </row>
    <row r="16" spans="1:105" s="97" customFormat="1" x14ac:dyDescent="0.15">
      <c r="A16" s="11">
        <f t="shared" si="1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>
        <f t="shared" si="0"/>
        <v>0</v>
      </c>
      <c r="Q16" s="168"/>
      <c r="R16" s="56"/>
      <c r="S16" s="162"/>
      <c r="T16" s="106"/>
      <c r="U16" s="10"/>
      <c r="V16" s="56"/>
      <c r="W16" s="56"/>
      <c r="X16" s="56"/>
      <c r="Y16" s="56"/>
      <c r="Z16" s="56"/>
      <c r="AA16" s="172"/>
      <c r="AB16" s="56"/>
      <c r="AC16" s="56"/>
      <c r="AD16" s="106"/>
      <c r="AE16" s="56"/>
      <c r="AF16" s="56"/>
      <c r="AG16" s="56"/>
      <c r="AH16" s="56"/>
      <c r="AI16" s="56"/>
      <c r="AJ16" s="56"/>
      <c r="AK16" s="106"/>
      <c r="AL16" s="56"/>
      <c r="AM16" s="56"/>
      <c r="AN16" s="56"/>
      <c r="AO16" s="56"/>
      <c r="AP16" s="56"/>
      <c r="AQ16" s="56"/>
      <c r="AR16" s="56"/>
      <c r="AS16" s="106"/>
      <c r="AT16" s="56"/>
      <c r="AU16" s="56"/>
      <c r="AV16" s="106"/>
      <c r="AW16" s="56"/>
      <c r="AX16" s="10"/>
      <c r="AY16" s="56"/>
      <c r="AZ16" s="56"/>
      <c r="BA16" s="56"/>
      <c r="BB16" s="56"/>
      <c r="BJ16" s="145"/>
      <c r="CD16" s="145"/>
      <c r="CT16" s="145"/>
    </row>
    <row r="17" spans="1:105" s="97" customFormat="1" x14ac:dyDescent="0.15">
      <c r="A17" s="11">
        <f t="shared" si="1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>
        <f t="shared" si="0"/>
        <v>0</v>
      </c>
      <c r="Q17" s="168"/>
      <c r="R17" s="56"/>
      <c r="S17" s="162"/>
      <c r="T17" s="106"/>
      <c r="U17" s="10"/>
      <c r="V17" s="56"/>
      <c r="W17" s="56"/>
      <c r="X17" s="56"/>
      <c r="Y17" s="56"/>
      <c r="Z17" s="56"/>
      <c r="AA17" s="172"/>
      <c r="AB17" s="56"/>
      <c r="AC17" s="56"/>
      <c r="AD17" s="106"/>
      <c r="AE17" s="56"/>
      <c r="AF17" s="56"/>
      <c r="AG17" s="56"/>
      <c r="AH17" s="56"/>
      <c r="AI17" s="56"/>
      <c r="AJ17" s="56"/>
      <c r="AK17" s="106"/>
      <c r="AL17" s="56"/>
      <c r="AM17" s="56"/>
      <c r="AN17" s="56"/>
      <c r="AO17" s="56"/>
      <c r="AP17" s="56"/>
      <c r="AQ17" s="56"/>
      <c r="AR17" s="56"/>
      <c r="AS17" s="106"/>
      <c r="AT17" s="56"/>
      <c r="AU17" s="56"/>
      <c r="AV17" s="106"/>
      <c r="AW17" s="56"/>
      <c r="AX17" s="10"/>
      <c r="AY17" s="56"/>
      <c r="AZ17" s="56"/>
      <c r="BA17" s="56"/>
      <c r="BB17" s="56"/>
      <c r="BJ17" s="145"/>
      <c r="CD17" s="145"/>
      <c r="CT17" s="145"/>
    </row>
    <row r="18" spans="1:105" s="97" customFormat="1" x14ac:dyDescent="0.15">
      <c r="A18" s="11">
        <f t="shared" si="1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>
        <f t="shared" si="0"/>
        <v>0</v>
      </c>
      <c r="Q18" s="168"/>
      <c r="R18" s="56"/>
      <c r="S18" s="162"/>
      <c r="T18" s="106"/>
      <c r="U18" s="10"/>
      <c r="V18" s="56"/>
      <c r="W18" s="56"/>
      <c r="X18" s="56"/>
      <c r="Y18" s="56"/>
      <c r="Z18" s="56"/>
      <c r="AA18" s="172"/>
      <c r="AB18" s="56"/>
      <c r="AC18" s="56"/>
      <c r="AD18" s="106"/>
      <c r="AE18" s="56"/>
      <c r="AF18" s="56"/>
      <c r="AG18" s="56"/>
      <c r="AH18" s="56"/>
      <c r="AI18" s="56"/>
      <c r="AJ18" s="56"/>
      <c r="AK18" s="106"/>
      <c r="AL18" s="56"/>
      <c r="AM18" s="56"/>
      <c r="AN18" s="56"/>
      <c r="AO18" s="56"/>
      <c r="AP18" s="56"/>
      <c r="AQ18" s="56"/>
      <c r="AR18" s="56"/>
      <c r="AS18" s="106"/>
      <c r="AT18" s="56"/>
      <c r="AU18" s="56"/>
      <c r="AV18" s="106"/>
      <c r="AW18" s="56"/>
      <c r="AX18" s="10"/>
      <c r="AY18" s="56"/>
      <c r="AZ18" s="56"/>
      <c r="BA18" s="56"/>
      <c r="BB18" s="56"/>
      <c r="BJ18" s="145"/>
      <c r="CD18" s="145"/>
      <c r="CT18" s="145"/>
    </row>
    <row r="19" spans="1:105" s="97" customFormat="1" x14ac:dyDescent="0.15">
      <c r="A19" s="11">
        <f t="shared" si="1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>
        <f t="shared" si="0"/>
        <v>0</v>
      </c>
      <c r="Q19" s="168"/>
      <c r="R19" s="56"/>
      <c r="S19" s="162"/>
      <c r="T19" s="106"/>
      <c r="U19" s="10"/>
      <c r="V19" s="56"/>
      <c r="W19" s="56"/>
      <c r="X19" s="56"/>
      <c r="Y19" s="56"/>
      <c r="Z19" s="56"/>
      <c r="AA19" s="172"/>
      <c r="AB19" s="56"/>
      <c r="AC19" s="56"/>
      <c r="AD19" s="106"/>
      <c r="AE19" s="56"/>
      <c r="AF19" s="56"/>
      <c r="AG19" s="56"/>
      <c r="AH19" s="56"/>
      <c r="AI19" s="56"/>
      <c r="AJ19" s="56"/>
      <c r="AK19" s="106"/>
      <c r="AL19" s="56"/>
      <c r="AM19" s="56"/>
      <c r="AN19" s="56"/>
      <c r="AO19" s="56"/>
      <c r="AP19" s="56"/>
      <c r="AQ19" s="56"/>
      <c r="AR19" s="56"/>
      <c r="AS19" s="106"/>
      <c r="AT19" s="56"/>
      <c r="AU19" s="56"/>
      <c r="AV19" s="106"/>
      <c r="AW19" s="56"/>
      <c r="AX19" s="10"/>
      <c r="AY19" s="56"/>
      <c r="AZ19" s="56"/>
      <c r="BA19" s="56"/>
      <c r="BB19" s="56"/>
      <c r="BJ19" s="145"/>
      <c r="CD19" s="145"/>
      <c r="CT19" s="145"/>
    </row>
    <row r="20" spans="1:105" s="97" customFormat="1" x14ac:dyDescent="0.15">
      <c r="A20" s="11">
        <f t="shared" si="1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>
        <f t="shared" si="0"/>
        <v>0</v>
      </c>
      <c r="Q20" s="168"/>
      <c r="R20" s="56"/>
      <c r="S20" s="162"/>
      <c r="T20" s="106"/>
      <c r="U20" s="10"/>
      <c r="V20" s="56"/>
      <c r="W20" s="56"/>
      <c r="X20" s="56"/>
      <c r="Y20" s="56"/>
      <c r="Z20" s="56"/>
      <c r="AA20" s="172"/>
      <c r="AB20" s="56"/>
      <c r="AC20" s="56"/>
      <c r="AD20" s="106"/>
      <c r="AE20" s="56"/>
      <c r="AF20" s="56"/>
      <c r="AG20" s="56"/>
      <c r="AH20" s="56"/>
      <c r="AI20" s="56"/>
      <c r="AJ20" s="56"/>
      <c r="AK20" s="106"/>
      <c r="AL20" s="56"/>
      <c r="AM20" s="56"/>
      <c r="AN20" s="56"/>
      <c r="AO20" s="56"/>
      <c r="AP20" s="56"/>
      <c r="AQ20" s="56"/>
      <c r="AR20" s="56"/>
      <c r="AS20" s="106"/>
      <c r="AT20" s="56"/>
      <c r="AU20" s="56"/>
      <c r="AV20" s="106"/>
      <c r="AW20" s="56"/>
      <c r="AX20" s="10"/>
      <c r="AY20" s="56"/>
      <c r="AZ20" s="56"/>
      <c r="BA20" s="56"/>
      <c r="BB20" s="56"/>
      <c r="BJ20" s="145"/>
      <c r="CD20" s="145"/>
      <c r="CT20" s="145"/>
    </row>
    <row r="21" spans="1:105" s="97" customFormat="1" x14ac:dyDescent="0.15">
      <c r="A21" s="11">
        <f t="shared" si="1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>
        <f t="shared" si="0"/>
        <v>0</v>
      </c>
      <c r="Q21" s="168"/>
      <c r="R21" s="56"/>
      <c r="S21" s="162"/>
      <c r="T21" s="106"/>
      <c r="U21" s="10"/>
      <c r="V21" s="56"/>
      <c r="W21" s="56"/>
      <c r="X21" s="56"/>
      <c r="Y21" s="56"/>
      <c r="Z21" s="56"/>
      <c r="AA21" s="172"/>
      <c r="AB21" s="56"/>
      <c r="AC21" s="56"/>
      <c r="AD21" s="106"/>
      <c r="AE21" s="56"/>
      <c r="AF21" s="56"/>
      <c r="AG21" s="56"/>
      <c r="AH21" s="56"/>
      <c r="AI21" s="56"/>
      <c r="AJ21" s="56"/>
      <c r="AK21" s="106"/>
      <c r="AL21" s="56"/>
      <c r="AM21" s="56"/>
      <c r="AN21" s="56"/>
      <c r="AO21" s="56"/>
      <c r="AP21" s="56"/>
      <c r="AQ21" s="56"/>
      <c r="AR21" s="56"/>
      <c r="AS21" s="106"/>
      <c r="AT21" s="56"/>
      <c r="AU21" s="56"/>
      <c r="AV21" s="106"/>
      <c r="AW21" s="56"/>
      <c r="AX21" s="10"/>
      <c r="AY21" s="56"/>
      <c r="AZ21" s="56"/>
      <c r="BA21" s="56"/>
      <c r="BB21" s="56"/>
      <c r="BJ21" s="145"/>
      <c r="CD21" s="145"/>
      <c r="CT21" s="145"/>
    </row>
    <row r="22" spans="1:105" s="97" customFormat="1" x14ac:dyDescent="0.15">
      <c r="A22" s="11">
        <f t="shared" si="1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>
        <f t="shared" si="0"/>
        <v>0</v>
      </c>
      <c r="Q22" s="168"/>
      <c r="R22" s="56"/>
      <c r="S22" s="162"/>
      <c r="T22" s="106"/>
      <c r="U22" s="10"/>
      <c r="V22" s="56"/>
      <c r="W22" s="56"/>
      <c r="X22" s="56"/>
      <c r="Y22" s="56"/>
      <c r="Z22" s="56"/>
      <c r="AA22" s="172"/>
      <c r="AB22" s="56"/>
      <c r="AC22" s="56"/>
      <c r="AD22" s="106"/>
      <c r="AE22" s="56"/>
      <c r="AF22" s="56"/>
      <c r="AG22" s="56"/>
      <c r="AH22" s="56"/>
      <c r="AI22" s="56"/>
      <c r="AJ22" s="56"/>
      <c r="AK22" s="106"/>
      <c r="AL22" s="56"/>
      <c r="AM22" s="56"/>
      <c r="AN22" s="56"/>
      <c r="AO22" s="56"/>
      <c r="AP22" s="56"/>
      <c r="AQ22" s="56"/>
      <c r="AR22" s="56"/>
      <c r="AS22" s="106"/>
      <c r="AT22" s="56"/>
      <c r="AU22" s="56"/>
      <c r="AV22" s="106"/>
      <c r="AW22" s="56"/>
      <c r="AX22" s="10"/>
      <c r="AY22" s="56"/>
      <c r="AZ22" s="56"/>
      <c r="BA22" s="56"/>
      <c r="BB22" s="56"/>
      <c r="BJ22" s="145"/>
      <c r="CD22" s="145"/>
      <c r="CT22" s="145"/>
    </row>
    <row r="23" spans="1:105" s="97" customFormat="1" x14ac:dyDescent="0.15">
      <c r="A23" s="11">
        <f t="shared" si="1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>
        <f t="shared" si="0"/>
        <v>0</v>
      </c>
      <c r="Q23" s="168"/>
      <c r="R23" s="56"/>
      <c r="S23" s="162"/>
      <c r="T23" s="106"/>
      <c r="U23" s="10"/>
      <c r="V23" s="56"/>
      <c r="W23" s="56"/>
      <c r="X23" s="56"/>
      <c r="Y23" s="56"/>
      <c r="Z23" s="56"/>
      <c r="AA23" s="172"/>
      <c r="AB23" s="56"/>
      <c r="AC23" s="56"/>
      <c r="AD23" s="106"/>
      <c r="AE23" s="56"/>
      <c r="AF23" s="56"/>
      <c r="AG23" s="56"/>
      <c r="AH23" s="56"/>
      <c r="AI23" s="56"/>
      <c r="AJ23" s="56"/>
      <c r="AK23" s="106"/>
      <c r="AL23" s="56"/>
      <c r="AM23" s="56"/>
      <c r="AN23" s="56"/>
      <c r="AO23" s="56"/>
      <c r="AP23" s="56"/>
      <c r="AQ23" s="56"/>
      <c r="AR23" s="56"/>
      <c r="AS23" s="106"/>
      <c r="AT23" s="56"/>
      <c r="AU23" s="56"/>
      <c r="AV23" s="106"/>
      <c r="AW23" s="56"/>
      <c r="AX23" s="10"/>
      <c r="AY23" s="56"/>
      <c r="AZ23" s="56"/>
      <c r="BA23" s="56"/>
      <c r="BB23" s="56"/>
      <c r="BJ23" s="145"/>
      <c r="CD23" s="145"/>
      <c r="CT23" s="145"/>
    </row>
    <row r="24" spans="1:105" s="97" customFormat="1" ht="17.25" thickBot="1" x14ac:dyDescent="0.2">
      <c r="A24" s="11">
        <f t="shared" si="1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>
        <f t="shared" si="0"/>
        <v>0</v>
      </c>
      <c r="Q24" s="168"/>
      <c r="R24" s="56"/>
      <c r="S24" s="162"/>
      <c r="T24" s="106"/>
      <c r="U24" s="10"/>
      <c r="V24" s="56"/>
      <c r="W24" s="56"/>
      <c r="X24" s="56"/>
      <c r="Y24" s="56"/>
      <c r="Z24" s="56"/>
      <c r="AA24" s="172"/>
      <c r="AB24" s="56"/>
      <c r="AC24" s="56"/>
      <c r="AD24" s="106"/>
      <c r="AE24" s="56"/>
      <c r="AF24" s="56"/>
      <c r="AG24" s="56"/>
      <c r="AH24" s="56"/>
      <c r="AI24" s="56"/>
      <c r="AJ24" s="56"/>
      <c r="AK24" s="106"/>
      <c r="AL24" s="56"/>
      <c r="AM24" s="56"/>
      <c r="AN24" s="56"/>
      <c r="AO24" s="56"/>
      <c r="AP24" s="56"/>
      <c r="AQ24" s="56"/>
      <c r="AR24" s="56"/>
      <c r="AS24" s="106"/>
      <c r="AT24" s="56"/>
      <c r="AU24" s="56"/>
      <c r="AV24" s="106"/>
      <c r="AW24" s="56"/>
      <c r="AX24" s="10"/>
      <c r="AY24" s="56"/>
      <c r="AZ24" s="56"/>
      <c r="BA24" s="56"/>
      <c r="BB24" s="56"/>
      <c r="BJ24" s="145"/>
      <c r="CD24" s="145"/>
      <c r="CT24" s="145"/>
    </row>
    <row r="25" spans="1:105" s="114" customFormat="1" x14ac:dyDescent="0.15">
      <c r="A25" s="18">
        <f t="shared" si="1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1115</v>
      </c>
      <c r="H25" s="57">
        <v>1</v>
      </c>
      <c r="I25" s="57"/>
      <c r="J25" s="57"/>
      <c r="K25" s="57"/>
      <c r="L25" s="167">
        <v>360</v>
      </c>
      <c r="M25" s="17"/>
      <c r="N25" s="57"/>
      <c r="O25" s="57">
        <v>10</v>
      </c>
      <c r="P25" s="163">
        <f t="shared" si="0"/>
        <v>0.14400000000000002</v>
      </c>
      <c r="Q25" s="169"/>
      <c r="R25" s="57"/>
      <c r="S25" s="163"/>
      <c r="T25" s="108"/>
      <c r="U25" s="17"/>
      <c r="V25" s="57"/>
      <c r="W25" s="57"/>
      <c r="X25" s="57"/>
      <c r="Y25" s="57"/>
      <c r="Z25" s="57"/>
      <c r="AA25" s="173"/>
      <c r="AB25" s="57"/>
      <c r="AC25" s="57"/>
      <c r="AD25" s="108"/>
      <c r="AE25" s="57"/>
      <c r="AF25" s="57"/>
      <c r="AG25" s="57"/>
      <c r="AH25" s="57"/>
      <c r="AI25" s="57"/>
      <c r="AJ25" s="57"/>
      <c r="AK25" s="108"/>
      <c r="AL25" s="57"/>
      <c r="AM25" s="57"/>
      <c r="AN25" s="57"/>
      <c r="AO25" s="57"/>
      <c r="AP25" s="57"/>
      <c r="AQ25" s="57"/>
      <c r="AR25" s="57"/>
      <c r="AS25" s="108"/>
      <c r="AT25" s="57"/>
      <c r="AU25" s="57"/>
      <c r="AV25" s="108"/>
      <c r="AW25" s="154">
        <v>120</v>
      </c>
      <c r="AX25" s="17"/>
      <c r="AY25" s="154">
        <v>140</v>
      </c>
      <c r="AZ25" s="154">
        <v>140</v>
      </c>
      <c r="BA25" s="154">
        <v>140</v>
      </c>
      <c r="BB25" s="154">
        <v>140</v>
      </c>
      <c r="BC25" s="154">
        <v>140</v>
      </c>
      <c r="BD25" s="154">
        <v>140</v>
      </c>
      <c r="BE25" s="154">
        <v>140</v>
      </c>
      <c r="BF25" s="154">
        <v>140</v>
      </c>
      <c r="BG25" s="154">
        <v>140</v>
      </c>
      <c r="BH25" s="154">
        <v>200</v>
      </c>
      <c r="BI25" s="154">
        <v>140</v>
      </c>
      <c r="BJ25" s="144"/>
      <c r="BK25" s="155">
        <v>110</v>
      </c>
      <c r="BL25" s="155">
        <v>110</v>
      </c>
      <c r="BM25" s="155">
        <v>110</v>
      </c>
      <c r="BN25" s="155">
        <v>110</v>
      </c>
      <c r="BO25" s="155">
        <v>110</v>
      </c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44"/>
      <c r="CE25" s="155">
        <v>150</v>
      </c>
      <c r="CF25" s="155">
        <v>150</v>
      </c>
      <c r="CG25" s="155">
        <v>150</v>
      </c>
      <c r="CH25" s="155">
        <v>150</v>
      </c>
      <c r="CI25" s="155">
        <v>150</v>
      </c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44"/>
      <c r="CU25" s="154">
        <v>140</v>
      </c>
      <c r="CV25" s="154">
        <v>140</v>
      </c>
      <c r="CW25" s="154">
        <v>140</v>
      </c>
      <c r="CX25" s="154">
        <v>140</v>
      </c>
      <c r="CY25" s="154">
        <v>200</v>
      </c>
      <c r="CZ25" s="154">
        <v>140</v>
      </c>
      <c r="DA25" s="154">
        <v>140</v>
      </c>
    </row>
    <row r="26" spans="1:105" x14ac:dyDescent="0.15">
      <c r="A26" s="11">
        <f t="shared" si="1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1116</v>
      </c>
      <c r="H26" s="56">
        <v>3</v>
      </c>
      <c r="L26" s="165">
        <v>360</v>
      </c>
      <c r="O26" s="56">
        <v>8</v>
      </c>
      <c r="P26" s="162">
        <f t="shared" si="0"/>
        <v>0.11520000000000001</v>
      </c>
      <c r="AW26" s="153">
        <v>140</v>
      </c>
      <c r="AY26" s="153">
        <v>180</v>
      </c>
      <c r="AZ26" s="153">
        <v>180</v>
      </c>
      <c r="BA26" s="153">
        <v>180</v>
      </c>
      <c r="BB26" s="153">
        <v>180</v>
      </c>
      <c r="BC26" s="153">
        <v>180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400</v>
      </c>
      <c r="BI26" s="153">
        <v>180</v>
      </c>
      <c r="BK26" s="156">
        <v>120</v>
      </c>
      <c r="BL26" s="156">
        <v>120</v>
      </c>
      <c r="BM26" s="156">
        <v>120</v>
      </c>
      <c r="BN26" s="156">
        <v>120</v>
      </c>
      <c r="BO26" s="156">
        <v>120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E26" s="156">
        <v>200</v>
      </c>
      <c r="CF26" s="156">
        <v>200</v>
      </c>
      <c r="CG26" s="156">
        <v>200</v>
      </c>
      <c r="CH26" s="156">
        <v>200</v>
      </c>
      <c r="CI26" s="156">
        <v>200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U26" s="153">
        <v>180</v>
      </c>
      <c r="CV26" s="153">
        <v>180</v>
      </c>
      <c r="CW26" s="153">
        <v>180</v>
      </c>
      <c r="CX26" s="153">
        <v>180</v>
      </c>
      <c r="CY26" s="153">
        <v>400</v>
      </c>
      <c r="CZ26" s="153">
        <v>180</v>
      </c>
      <c r="DA26" s="153">
        <v>180</v>
      </c>
    </row>
    <row r="27" spans="1:105" x14ac:dyDescent="0.15">
      <c r="A27" s="11">
        <f t="shared" si="1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1117</v>
      </c>
      <c r="H27" s="56">
        <v>5</v>
      </c>
      <c r="L27" s="165">
        <v>360</v>
      </c>
      <c r="O27" s="56">
        <v>5</v>
      </c>
      <c r="P27" s="162">
        <f t="shared" si="0"/>
        <v>7.2000000000000008E-2</v>
      </c>
      <c r="AW27" s="153">
        <v>160</v>
      </c>
      <c r="AY27" s="153">
        <v>220</v>
      </c>
      <c r="AZ27" s="153">
        <v>220</v>
      </c>
      <c r="BA27" s="153">
        <v>220</v>
      </c>
      <c r="BB27" s="153">
        <v>220</v>
      </c>
      <c r="BC27" s="153">
        <v>220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800</v>
      </c>
      <c r="BI27" s="153">
        <v>220</v>
      </c>
      <c r="BK27" s="156">
        <v>130</v>
      </c>
      <c r="BL27" s="156">
        <v>130</v>
      </c>
      <c r="BM27" s="156">
        <v>130</v>
      </c>
      <c r="BN27" s="156">
        <v>130</v>
      </c>
      <c r="BO27" s="156">
        <v>130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E27" s="156">
        <v>250</v>
      </c>
      <c r="CF27" s="156">
        <v>250</v>
      </c>
      <c r="CG27" s="156">
        <v>250</v>
      </c>
      <c r="CH27" s="156">
        <v>250</v>
      </c>
      <c r="CI27" s="156">
        <v>250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U27" s="153">
        <v>220</v>
      </c>
      <c r="CV27" s="153">
        <v>220</v>
      </c>
      <c r="CW27" s="153">
        <v>220</v>
      </c>
      <c r="CX27" s="153">
        <v>220</v>
      </c>
      <c r="CY27" s="153">
        <v>800</v>
      </c>
      <c r="CZ27" s="153">
        <v>220</v>
      </c>
      <c r="DA27" s="153">
        <v>220</v>
      </c>
    </row>
    <row r="28" spans="1:105" x14ac:dyDescent="0.15">
      <c r="A28" s="11">
        <f t="shared" si="1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1129</v>
      </c>
      <c r="H28" s="56">
        <v>1</v>
      </c>
      <c r="L28" s="165">
        <v>360</v>
      </c>
      <c r="P28" s="162">
        <f t="shared" si="0"/>
        <v>0</v>
      </c>
      <c r="AC28" s="153">
        <v>110</v>
      </c>
      <c r="AW28" s="153">
        <v>70</v>
      </c>
      <c r="AY28" s="153">
        <v>80</v>
      </c>
      <c r="AZ28" s="153">
        <v>80</v>
      </c>
      <c r="BA28" s="153">
        <v>80</v>
      </c>
      <c r="BB28" s="153">
        <v>80</v>
      </c>
      <c r="BC28" s="153">
        <v>80</v>
      </c>
      <c r="BD28" s="153">
        <v>80</v>
      </c>
      <c r="BE28" s="153">
        <v>80</v>
      </c>
      <c r="BF28" s="153">
        <v>80</v>
      </c>
      <c r="BG28" s="153">
        <v>80</v>
      </c>
      <c r="BH28" s="153">
        <v>50</v>
      </c>
      <c r="BI28" s="153">
        <v>80</v>
      </c>
      <c r="BK28" s="153">
        <v>80</v>
      </c>
      <c r="BL28" s="153">
        <v>80</v>
      </c>
      <c r="BM28" s="153">
        <v>80</v>
      </c>
      <c r="BN28" s="153">
        <v>80</v>
      </c>
      <c r="BO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E28" s="153">
        <v>70</v>
      </c>
      <c r="CF28" s="153">
        <v>70</v>
      </c>
      <c r="CG28" s="153">
        <v>70</v>
      </c>
      <c r="CH28" s="153">
        <v>70</v>
      </c>
      <c r="CI28" s="153">
        <v>70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U28" s="153">
        <v>70</v>
      </c>
      <c r="CV28" s="153">
        <v>70</v>
      </c>
      <c r="CW28" s="153">
        <v>70</v>
      </c>
      <c r="CX28" s="153">
        <v>70</v>
      </c>
      <c r="CY28" s="153">
        <v>50</v>
      </c>
      <c r="CZ28" s="153">
        <v>70</v>
      </c>
      <c r="DA28" s="153">
        <v>70</v>
      </c>
    </row>
    <row r="29" spans="1:105" x14ac:dyDescent="0.15">
      <c r="A29" s="11">
        <f t="shared" si="1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1130</v>
      </c>
      <c r="H29" s="56">
        <v>3</v>
      </c>
      <c r="L29" s="165">
        <v>360</v>
      </c>
      <c r="P29" s="162">
        <f t="shared" si="0"/>
        <v>0</v>
      </c>
      <c r="AC29" s="153">
        <v>120</v>
      </c>
      <c r="AW29" s="153">
        <v>50</v>
      </c>
      <c r="AY29" s="153">
        <v>70</v>
      </c>
      <c r="AZ29" s="153">
        <v>70</v>
      </c>
      <c r="BA29" s="153">
        <v>70</v>
      </c>
      <c r="BB29" s="153">
        <v>70</v>
      </c>
      <c r="BC29" s="153">
        <v>70</v>
      </c>
      <c r="BD29" s="153">
        <v>70</v>
      </c>
      <c r="BE29" s="153">
        <v>70</v>
      </c>
      <c r="BF29" s="153">
        <v>70</v>
      </c>
      <c r="BG29" s="153">
        <v>70</v>
      </c>
      <c r="BH29" s="153">
        <v>40</v>
      </c>
      <c r="BI29" s="153">
        <v>70</v>
      </c>
      <c r="BK29" s="153">
        <v>70</v>
      </c>
      <c r="BL29" s="153">
        <v>70</v>
      </c>
      <c r="BM29" s="153">
        <v>70</v>
      </c>
      <c r="BN29" s="153">
        <v>70</v>
      </c>
      <c r="BO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E29" s="153">
        <v>60</v>
      </c>
      <c r="CF29" s="153">
        <v>60</v>
      </c>
      <c r="CG29" s="153">
        <v>60</v>
      </c>
      <c r="CH29" s="153">
        <v>60</v>
      </c>
      <c r="CI29" s="153">
        <v>60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U29" s="153">
        <v>60</v>
      </c>
      <c r="CV29" s="153">
        <v>60</v>
      </c>
      <c r="CW29" s="153">
        <v>60</v>
      </c>
      <c r="CX29" s="153">
        <v>60</v>
      </c>
      <c r="CY29" s="153">
        <v>40</v>
      </c>
      <c r="CZ29" s="153">
        <v>60</v>
      </c>
      <c r="DA29" s="153">
        <v>60</v>
      </c>
    </row>
    <row r="30" spans="1:105" x14ac:dyDescent="0.15">
      <c r="A30" s="11">
        <f t="shared" si="1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1131</v>
      </c>
      <c r="H30" s="56">
        <v>5</v>
      </c>
      <c r="L30" s="165">
        <v>360</v>
      </c>
      <c r="P30" s="162">
        <f t="shared" si="0"/>
        <v>0</v>
      </c>
      <c r="AC30" s="153">
        <v>130</v>
      </c>
      <c r="AW30" s="153">
        <v>20</v>
      </c>
      <c r="AY30" s="153">
        <v>60</v>
      </c>
      <c r="AZ30" s="153">
        <v>60</v>
      </c>
      <c r="BA30" s="153">
        <v>60</v>
      </c>
      <c r="BB30" s="153">
        <v>60</v>
      </c>
      <c r="BC30" s="153">
        <v>60</v>
      </c>
      <c r="BD30" s="153">
        <v>60</v>
      </c>
      <c r="BE30" s="153">
        <v>60</v>
      </c>
      <c r="BF30" s="153">
        <v>60</v>
      </c>
      <c r="BG30" s="153">
        <v>60</v>
      </c>
      <c r="BH30" s="153">
        <v>30</v>
      </c>
      <c r="BI30" s="153">
        <v>60</v>
      </c>
      <c r="BK30" s="153">
        <v>60</v>
      </c>
      <c r="BL30" s="153">
        <v>60</v>
      </c>
      <c r="BM30" s="153">
        <v>60</v>
      </c>
      <c r="BN30" s="153">
        <v>60</v>
      </c>
      <c r="BO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E30" s="153">
        <v>50</v>
      </c>
      <c r="CF30" s="153">
        <v>50</v>
      </c>
      <c r="CG30" s="153">
        <v>50</v>
      </c>
      <c r="CH30" s="153">
        <v>50</v>
      </c>
      <c r="CI30" s="153">
        <v>50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U30" s="153">
        <v>50</v>
      </c>
      <c r="CV30" s="153">
        <v>50</v>
      </c>
      <c r="CW30" s="153">
        <v>50</v>
      </c>
      <c r="CX30" s="153">
        <v>50</v>
      </c>
      <c r="CY30" s="153">
        <v>30</v>
      </c>
      <c r="CZ30" s="153">
        <v>50</v>
      </c>
      <c r="DA30" s="153">
        <v>50</v>
      </c>
    </row>
    <row r="31" spans="1:105" x14ac:dyDescent="0.15">
      <c r="A31" s="11">
        <f t="shared" si="1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>
        <f t="shared" si="0"/>
        <v>0</v>
      </c>
      <c r="Q31" s="170"/>
    </row>
    <row r="32" spans="1:105" x14ac:dyDescent="0.15">
      <c r="A32" s="11">
        <f t="shared" si="1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>
        <f t="shared" si="0"/>
        <v>0</v>
      </c>
    </row>
    <row r="33" spans="1:104" x14ac:dyDescent="0.15">
      <c r="A33" s="11">
        <f t="shared" si="1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>
        <f t="shared" si="0"/>
        <v>0</v>
      </c>
    </row>
    <row r="34" spans="1:104" x14ac:dyDescent="0.15">
      <c r="A34" s="11">
        <f t="shared" si="1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>
        <f t="shared" si="0"/>
        <v>0</v>
      </c>
    </row>
    <row r="35" spans="1:104" s="97" customFormat="1" x14ac:dyDescent="0.15">
      <c r="A35" s="11">
        <f t="shared" si="1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>
        <f t="shared" si="0"/>
        <v>0</v>
      </c>
      <c r="Q35" s="168"/>
      <c r="R35" s="56"/>
      <c r="S35" s="162"/>
      <c r="T35" s="106"/>
      <c r="U35" s="10"/>
      <c r="V35" s="56"/>
      <c r="W35" s="56"/>
      <c r="X35" s="56"/>
      <c r="Y35" s="56"/>
      <c r="Z35" s="56"/>
      <c r="AA35" s="172"/>
      <c r="AB35" s="56"/>
      <c r="AC35" s="56"/>
      <c r="AD35" s="106"/>
      <c r="AE35" s="56"/>
      <c r="AF35" s="56"/>
      <c r="AG35" s="56"/>
      <c r="AH35" s="56"/>
      <c r="AI35" s="56"/>
      <c r="AJ35" s="56"/>
      <c r="AK35" s="106"/>
      <c r="AL35" s="56"/>
      <c r="AM35" s="56"/>
      <c r="AN35" s="56"/>
      <c r="AO35" s="56"/>
      <c r="AP35" s="56"/>
      <c r="AQ35" s="56"/>
      <c r="AR35" s="56"/>
      <c r="AS35" s="106"/>
      <c r="AT35" s="56"/>
      <c r="AU35" s="56"/>
      <c r="AV35" s="106"/>
      <c r="AW35" s="56"/>
      <c r="AX35" s="10"/>
      <c r="AY35" s="56"/>
      <c r="AZ35" s="56"/>
      <c r="BA35" s="56"/>
      <c r="BB35" s="56"/>
      <c r="BJ35" s="145"/>
      <c r="CD35" s="145"/>
      <c r="CT35" s="145"/>
    </row>
    <row r="36" spans="1:104" s="97" customFormat="1" x14ac:dyDescent="0.15">
      <c r="A36" s="11">
        <f t="shared" si="1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>
        <f t="shared" si="0"/>
        <v>0</v>
      </c>
      <c r="Q36" s="168"/>
      <c r="R36" s="56"/>
      <c r="S36" s="162"/>
      <c r="T36" s="106"/>
      <c r="U36" s="10"/>
      <c r="V36" s="56"/>
      <c r="W36" s="56"/>
      <c r="X36" s="56"/>
      <c r="Y36" s="56"/>
      <c r="Z36" s="56"/>
      <c r="AA36" s="172"/>
      <c r="AB36" s="56"/>
      <c r="AC36" s="56"/>
      <c r="AD36" s="106"/>
      <c r="AE36" s="56"/>
      <c r="AF36" s="56"/>
      <c r="AG36" s="56"/>
      <c r="AH36" s="56"/>
      <c r="AI36" s="56"/>
      <c r="AJ36" s="56"/>
      <c r="AK36" s="106"/>
      <c r="AL36" s="56"/>
      <c r="AM36" s="56"/>
      <c r="AN36" s="56"/>
      <c r="AO36" s="56"/>
      <c r="AP36" s="56"/>
      <c r="AQ36" s="56"/>
      <c r="AR36" s="56"/>
      <c r="AS36" s="106"/>
      <c r="AT36" s="56"/>
      <c r="AU36" s="56"/>
      <c r="AV36" s="106"/>
      <c r="AW36" s="56"/>
      <c r="AX36" s="10"/>
      <c r="AY36" s="56"/>
      <c r="AZ36" s="56"/>
      <c r="BA36" s="56"/>
      <c r="BB36" s="56"/>
      <c r="BJ36" s="145"/>
      <c r="CD36" s="145"/>
      <c r="CT36" s="145"/>
    </row>
    <row r="37" spans="1:104" s="97" customFormat="1" x14ac:dyDescent="0.15">
      <c r="A37" s="11">
        <f t="shared" si="1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>
        <f t="shared" si="0"/>
        <v>0</v>
      </c>
      <c r="Q37" s="168"/>
      <c r="R37" s="56"/>
      <c r="S37" s="162"/>
      <c r="T37" s="106"/>
      <c r="U37" s="10"/>
      <c r="V37" s="56"/>
      <c r="W37" s="56"/>
      <c r="X37" s="56"/>
      <c r="Y37" s="56"/>
      <c r="Z37" s="56"/>
      <c r="AA37" s="172"/>
      <c r="AB37" s="56"/>
      <c r="AC37" s="56"/>
      <c r="AD37" s="106"/>
      <c r="AE37" s="56"/>
      <c r="AF37" s="56"/>
      <c r="AG37" s="56"/>
      <c r="AH37" s="56"/>
      <c r="AI37" s="56"/>
      <c r="AJ37" s="56"/>
      <c r="AK37" s="106"/>
      <c r="AL37" s="56"/>
      <c r="AM37" s="56"/>
      <c r="AN37" s="56"/>
      <c r="AO37" s="56"/>
      <c r="AP37" s="56"/>
      <c r="AQ37" s="56"/>
      <c r="AR37" s="56"/>
      <c r="AS37" s="106"/>
      <c r="AT37" s="56"/>
      <c r="AU37" s="56"/>
      <c r="AV37" s="106"/>
      <c r="AW37" s="56"/>
      <c r="AX37" s="10"/>
      <c r="AY37" s="56"/>
      <c r="AZ37" s="56"/>
      <c r="BA37" s="56"/>
      <c r="BB37" s="56"/>
      <c r="BJ37" s="145"/>
      <c r="CD37" s="145"/>
      <c r="CT37" s="145"/>
    </row>
    <row r="38" spans="1:104" s="97" customFormat="1" x14ac:dyDescent="0.15">
      <c r="A38" s="11">
        <f t="shared" si="1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>
        <f t="shared" si="0"/>
        <v>0</v>
      </c>
      <c r="Q38" s="168"/>
      <c r="R38" s="56"/>
      <c r="S38" s="162"/>
      <c r="T38" s="106"/>
      <c r="U38" s="10"/>
      <c r="V38" s="56"/>
      <c r="W38" s="56"/>
      <c r="X38" s="56"/>
      <c r="Y38" s="56"/>
      <c r="Z38" s="56"/>
      <c r="AA38" s="172"/>
      <c r="AB38" s="56"/>
      <c r="AC38" s="56"/>
      <c r="AD38" s="106"/>
      <c r="AE38" s="56"/>
      <c r="AF38" s="56"/>
      <c r="AG38" s="56"/>
      <c r="AH38" s="56"/>
      <c r="AI38" s="56"/>
      <c r="AJ38" s="56"/>
      <c r="AK38" s="106"/>
      <c r="AL38" s="56"/>
      <c r="AM38" s="56"/>
      <c r="AN38" s="56"/>
      <c r="AO38" s="56"/>
      <c r="AP38" s="56"/>
      <c r="AQ38" s="56"/>
      <c r="AR38" s="56"/>
      <c r="AS38" s="106"/>
      <c r="AT38" s="56"/>
      <c r="AU38" s="56"/>
      <c r="AV38" s="106"/>
      <c r="AW38" s="56"/>
      <c r="AX38" s="10"/>
      <c r="AY38" s="56"/>
      <c r="AZ38" s="56"/>
      <c r="BA38" s="56"/>
      <c r="BB38" s="56"/>
      <c r="BJ38" s="145"/>
      <c r="CD38" s="145"/>
      <c r="CT38" s="145"/>
    </row>
    <row r="39" spans="1:104" s="97" customFormat="1" x14ac:dyDescent="0.15">
      <c r="A39" s="11">
        <f t="shared" si="1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>
        <f t="shared" si="0"/>
        <v>0</v>
      </c>
      <c r="Q39" s="168"/>
      <c r="R39" s="56"/>
      <c r="S39" s="162"/>
      <c r="T39" s="106"/>
      <c r="U39" s="10"/>
      <c r="V39" s="56"/>
      <c r="W39" s="56"/>
      <c r="X39" s="56"/>
      <c r="Y39" s="56"/>
      <c r="Z39" s="56"/>
      <c r="AA39" s="172"/>
      <c r="AB39" s="56"/>
      <c r="AC39" s="56"/>
      <c r="AD39" s="106"/>
      <c r="AE39" s="56"/>
      <c r="AF39" s="56"/>
      <c r="AG39" s="56"/>
      <c r="AH39" s="56"/>
      <c r="AI39" s="56"/>
      <c r="AJ39" s="56"/>
      <c r="AK39" s="106"/>
      <c r="AL39" s="56"/>
      <c r="AM39" s="56"/>
      <c r="AN39" s="56"/>
      <c r="AO39" s="56"/>
      <c r="AP39" s="56"/>
      <c r="AQ39" s="56"/>
      <c r="AR39" s="56"/>
      <c r="AS39" s="106"/>
      <c r="AT39" s="56"/>
      <c r="AU39" s="56"/>
      <c r="AV39" s="106"/>
      <c r="AW39" s="56"/>
      <c r="AX39" s="10"/>
      <c r="AY39" s="56"/>
      <c r="AZ39" s="56"/>
      <c r="BA39" s="56"/>
      <c r="BB39" s="56"/>
      <c r="BJ39" s="145"/>
      <c r="CD39" s="145"/>
      <c r="CT39" s="145"/>
    </row>
    <row r="40" spans="1:104" s="97" customFormat="1" x14ac:dyDescent="0.15">
      <c r="A40" s="11">
        <f t="shared" si="1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>
        <f t="shared" si="0"/>
        <v>0</v>
      </c>
      <c r="Q40" s="168"/>
      <c r="R40" s="56"/>
      <c r="S40" s="162"/>
      <c r="T40" s="106"/>
      <c r="U40" s="10"/>
      <c r="V40" s="56"/>
      <c r="W40" s="56"/>
      <c r="X40" s="56"/>
      <c r="Y40" s="56"/>
      <c r="Z40" s="56"/>
      <c r="AA40" s="172"/>
      <c r="AB40" s="56"/>
      <c r="AC40" s="56"/>
      <c r="AD40" s="106"/>
      <c r="AE40" s="56"/>
      <c r="AF40" s="56"/>
      <c r="AG40" s="56"/>
      <c r="AH40" s="56"/>
      <c r="AI40" s="56"/>
      <c r="AJ40" s="56"/>
      <c r="AK40" s="106"/>
      <c r="AL40" s="56"/>
      <c r="AM40" s="56"/>
      <c r="AN40" s="56"/>
      <c r="AO40" s="56"/>
      <c r="AP40" s="56"/>
      <c r="AQ40" s="56"/>
      <c r="AR40" s="56"/>
      <c r="AS40" s="106"/>
      <c r="AT40" s="56"/>
      <c r="AU40" s="56"/>
      <c r="AV40" s="106"/>
      <c r="AW40" s="56"/>
      <c r="AX40" s="10"/>
      <c r="AY40" s="56"/>
      <c r="AZ40" s="56"/>
      <c r="BA40" s="56"/>
      <c r="BB40" s="56"/>
      <c r="BJ40" s="145"/>
      <c r="CD40" s="145"/>
      <c r="CT40" s="145"/>
    </row>
    <row r="41" spans="1:104" s="97" customFormat="1" x14ac:dyDescent="0.15">
      <c r="A41" s="11">
        <f t="shared" si="1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>
        <f t="shared" si="0"/>
        <v>0</v>
      </c>
      <c r="Q41" s="168"/>
      <c r="R41" s="56"/>
      <c r="S41" s="162"/>
      <c r="T41" s="106"/>
      <c r="U41" s="10"/>
      <c r="V41" s="56"/>
      <c r="W41" s="56"/>
      <c r="X41" s="56"/>
      <c r="Y41" s="56"/>
      <c r="Z41" s="56"/>
      <c r="AA41" s="172"/>
      <c r="AB41" s="56"/>
      <c r="AC41" s="56"/>
      <c r="AD41" s="106"/>
      <c r="AE41" s="56"/>
      <c r="AF41" s="56"/>
      <c r="AG41" s="56"/>
      <c r="AH41" s="56"/>
      <c r="AI41" s="56"/>
      <c r="AJ41" s="56"/>
      <c r="AK41" s="106"/>
      <c r="AL41" s="56"/>
      <c r="AM41" s="56"/>
      <c r="AN41" s="56"/>
      <c r="AO41" s="56"/>
      <c r="AP41" s="56"/>
      <c r="AQ41" s="56"/>
      <c r="AR41" s="56"/>
      <c r="AS41" s="106"/>
      <c r="AT41" s="56"/>
      <c r="AU41" s="56"/>
      <c r="AV41" s="106"/>
      <c r="AW41" s="56"/>
      <c r="AX41" s="10"/>
      <c r="AY41" s="56"/>
      <c r="AZ41" s="56"/>
      <c r="BA41" s="56"/>
      <c r="BB41" s="56"/>
      <c r="BJ41" s="145"/>
      <c r="CD41" s="145"/>
      <c r="CT41" s="145"/>
    </row>
    <row r="42" spans="1:104" s="97" customFormat="1" x14ac:dyDescent="0.15">
      <c r="A42" s="11">
        <f t="shared" si="1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>
        <f t="shared" si="0"/>
        <v>0</v>
      </c>
      <c r="Q42" s="168"/>
      <c r="R42" s="56"/>
      <c r="S42" s="162"/>
      <c r="T42" s="106"/>
      <c r="U42" s="10"/>
      <c r="V42" s="56"/>
      <c r="W42" s="56"/>
      <c r="X42" s="56"/>
      <c r="Y42" s="56"/>
      <c r="Z42" s="56"/>
      <c r="AA42" s="172"/>
      <c r="AB42" s="56"/>
      <c r="AC42" s="56"/>
      <c r="AD42" s="106"/>
      <c r="AE42" s="56"/>
      <c r="AF42" s="56"/>
      <c r="AG42" s="56"/>
      <c r="AH42" s="56"/>
      <c r="AI42" s="56"/>
      <c r="AJ42" s="56"/>
      <c r="AK42" s="106"/>
      <c r="AL42" s="56"/>
      <c r="AM42" s="56"/>
      <c r="AN42" s="56"/>
      <c r="AO42" s="56"/>
      <c r="AP42" s="56"/>
      <c r="AQ42" s="56"/>
      <c r="AR42" s="56"/>
      <c r="AS42" s="106"/>
      <c r="AT42" s="56"/>
      <c r="AU42" s="56"/>
      <c r="AV42" s="106"/>
      <c r="AW42" s="56"/>
      <c r="AX42" s="10"/>
      <c r="AY42" s="56"/>
      <c r="AZ42" s="56"/>
      <c r="BA42" s="56"/>
      <c r="BB42" s="56"/>
      <c r="BJ42" s="145"/>
      <c r="CD42" s="145"/>
      <c r="CT42" s="145"/>
    </row>
    <row r="43" spans="1:104" s="97" customFormat="1" x14ac:dyDescent="0.15">
      <c r="A43" s="11">
        <f t="shared" si="1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>
        <f t="shared" si="0"/>
        <v>0</v>
      </c>
      <c r="Q43" s="168"/>
      <c r="R43" s="56"/>
      <c r="S43" s="162"/>
      <c r="T43" s="106"/>
      <c r="U43" s="10"/>
      <c r="V43" s="56"/>
      <c r="W43" s="56"/>
      <c r="X43" s="56"/>
      <c r="Y43" s="56"/>
      <c r="Z43" s="56"/>
      <c r="AA43" s="172"/>
      <c r="AB43" s="56"/>
      <c r="AC43" s="56"/>
      <c r="AD43" s="106"/>
      <c r="AE43" s="56"/>
      <c r="AF43" s="56"/>
      <c r="AG43" s="56"/>
      <c r="AH43" s="56"/>
      <c r="AI43" s="56"/>
      <c r="AJ43" s="56"/>
      <c r="AK43" s="106"/>
      <c r="AL43" s="56"/>
      <c r="AM43" s="56"/>
      <c r="AN43" s="56"/>
      <c r="AO43" s="56"/>
      <c r="AP43" s="56"/>
      <c r="AQ43" s="56"/>
      <c r="AR43" s="56"/>
      <c r="AS43" s="106"/>
      <c r="AT43" s="56"/>
      <c r="AU43" s="56"/>
      <c r="AV43" s="106"/>
      <c r="AW43" s="56"/>
      <c r="AX43" s="10"/>
      <c r="AY43" s="56"/>
      <c r="AZ43" s="56"/>
      <c r="BA43" s="56"/>
      <c r="BB43" s="56"/>
      <c r="BJ43" s="145"/>
      <c r="CD43" s="145"/>
      <c r="CT43" s="145"/>
    </row>
    <row r="44" spans="1:104" s="97" customFormat="1" ht="17.25" thickBot="1" x14ac:dyDescent="0.2">
      <c r="A44" s="11">
        <f t="shared" si="1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>
        <f t="shared" si="0"/>
        <v>0</v>
      </c>
      <c r="Q44" s="168"/>
      <c r="R44" s="56"/>
      <c r="S44" s="162"/>
      <c r="T44" s="106"/>
      <c r="U44" s="10"/>
      <c r="V44" s="56"/>
      <c r="W44" s="56"/>
      <c r="X44" s="56"/>
      <c r="Y44" s="56"/>
      <c r="Z44" s="56"/>
      <c r="AA44" s="172"/>
      <c r="AB44" s="56"/>
      <c r="AC44" s="56"/>
      <c r="AD44" s="106"/>
      <c r="AE44" s="56"/>
      <c r="AF44" s="56"/>
      <c r="AG44" s="56"/>
      <c r="AH44" s="56"/>
      <c r="AI44" s="56"/>
      <c r="AJ44" s="56"/>
      <c r="AK44" s="106"/>
      <c r="AL44" s="56"/>
      <c r="AM44" s="56"/>
      <c r="AN44" s="56"/>
      <c r="AO44" s="56"/>
      <c r="AP44" s="56"/>
      <c r="AQ44" s="56"/>
      <c r="AR44" s="56"/>
      <c r="AS44" s="106"/>
      <c r="AT44" s="56"/>
      <c r="AU44" s="56"/>
      <c r="AV44" s="106"/>
      <c r="AW44" s="56"/>
      <c r="AX44" s="10"/>
      <c r="AY44" s="56"/>
      <c r="AZ44" s="56"/>
      <c r="BA44" s="56"/>
      <c r="BB44" s="56"/>
      <c r="BJ44" s="145"/>
      <c r="CD44" s="145"/>
      <c r="CT44" s="145"/>
    </row>
    <row r="45" spans="1:104" s="114" customFormat="1" x14ac:dyDescent="0.15">
      <c r="A45" s="18">
        <f t="shared" si="1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922</v>
      </c>
      <c r="H45" s="57">
        <v>1</v>
      </c>
      <c r="I45" s="57"/>
      <c r="J45" s="57"/>
      <c r="K45" s="57"/>
      <c r="L45" s="167">
        <v>5</v>
      </c>
      <c r="M45" s="17"/>
      <c r="N45" s="57"/>
      <c r="O45" s="57">
        <v>10</v>
      </c>
      <c r="P45" s="163">
        <f t="shared" si="0"/>
        <v>0.14400000000000002</v>
      </c>
      <c r="Q45" s="169"/>
      <c r="R45" s="57"/>
      <c r="S45" s="163"/>
      <c r="T45" s="108"/>
      <c r="U45" s="17"/>
      <c r="V45" s="57"/>
      <c r="W45" s="57"/>
      <c r="X45" s="57"/>
      <c r="Y45" s="57"/>
      <c r="Z45" s="57"/>
      <c r="AA45" s="173"/>
      <c r="AB45" s="57"/>
      <c r="AC45" s="57"/>
      <c r="AD45" s="108"/>
      <c r="AE45" s="154">
        <v>70</v>
      </c>
      <c r="AF45" s="154">
        <v>70</v>
      </c>
      <c r="AG45" s="154">
        <v>80</v>
      </c>
      <c r="AH45" s="57"/>
      <c r="AI45" s="57"/>
      <c r="AJ45" s="57"/>
      <c r="AK45" s="108"/>
      <c r="AL45" s="57"/>
      <c r="AM45" s="57"/>
      <c r="AN45" s="57"/>
      <c r="AO45" s="57"/>
      <c r="AP45" s="57"/>
      <c r="AQ45" s="57"/>
      <c r="AR45" s="57"/>
      <c r="AS45" s="108"/>
      <c r="AT45" s="57"/>
      <c r="AU45" s="57"/>
      <c r="AV45" s="108"/>
      <c r="AW45" s="57"/>
      <c r="AX45" s="17"/>
      <c r="AY45" s="154">
        <v>150</v>
      </c>
      <c r="AZ45" s="154">
        <v>150</v>
      </c>
      <c r="BA45" s="154">
        <v>150</v>
      </c>
      <c r="BB45" s="57"/>
      <c r="BF45" s="154">
        <v>150</v>
      </c>
      <c r="BJ45" s="144"/>
      <c r="CD45" s="144"/>
      <c r="CT45" s="144"/>
    </row>
    <row r="46" spans="1:104" x14ac:dyDescent="0.15">
      <c r="A46" s="11">
        <f t="shared" si="1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923</v>
      </c>
      <c r="H46" s="56">
        <v>3</v>
      </c>
      <c r="L46" s="165">
        <v>5</v>
      </c>
      <c r="O46" s="56">
        <v>8</v>
      </c>
      <c r="P46" s="162">
        <f t="shared" si="0"/>
        <v>0.11520000000000001</v>
      </c>
      <c r="AE46" s="153">
        <v>50</v>
      </c>
      <c r="AF46" s="153">
        <v>50</v>
      </c>
      <c r="AG46" s="153">
        <v>50</v>
      </c>
      <c r="AY46" s="153">
        <v>180</v>
      </c>
      <c r="AZ46" s="153">
        <v>180</v>
      </c>
      <c r="BA46" s="153">
        <v>180</v>
      </c>
      <c r="BC46" s="109"/>
      <c r="BF46" s="153">
        <v>180</v>
      </c>
    </row>
    <row r="47" spans="1:104" x14ac:dyDescent="0.15">
      <c r="A47" s="11">
        <f t="shared" si="1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924</v>
      </c>
      <c r="H47" s="56">
        <v>5</v>
      </c>
      <c r="L47" s="165">
        <v>5</v>
      </c>
      <c r="O47" s="56">
        <v>5</v>
      </c>
      <c r="P47" s="162">
        <f t="shared" si="0"/>
        <v>7.2000000000000008E-2</v>
      </c>
      <c r="AE47" s="153">
        <v>20</v>
      </c>
      <c r="AF47" s="153">
        <v>20</v>
      </c>
      <c r="AG47" s="153">
        <v>20</v>
      </c>
      <c r="AY47" s="153">
        <v>210</v>
      </c>
      <c r="AZ47" s="153">
        <v>210</v>
      </c>
      <c r="BA47" s="153">
        <v>210</v>
      </c>
      <c r="BC47" s="109"/>
      <c r="BF47" s="153">
        <v>210</v>
      </c>
    </row>
    <row r="48" spans="1:104" x14ac:dyDescent="0.15">
      <c r="A48" s="11">
        <f t="shared" si="1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925</v>
      </c>
      <c r="H48" s="56">
        <v>1</v>
      </c>
      <c r="L48" s="165">
        <v>360</v>
      </c>
      <c r="O48" s="56">
        <v>10</v>
      </c>
      <c r="P48" s="162">
        <f t="shared" si="0"/>
        <v>0.14400000000000002</v>
      </c>
      <c r="AL48" s="153">
        <v>70</v>
      </c>
      <c r="AM48" s="153">
        <v>70</v>
      </c>
      <c r="AN48" s="153">
        <v>80</v>
      </c>
      <c r="AO48" s="153">
        <v>60</v>
      </c>
      <c r="AP48" s="153">
        <v>60</v>
      </c>
      <c r="AQ48" s="153">
        <v>80</v>
      </c>
      <c r="AY48" s="153">
        <v>150</v>
      </c>
      <c r="AZ48" s="153">
        <v>150</v>
      </c>
      <c r="BA48" s="153">
        <v>150</v>
      </c>
      <c r="BC48" s="153">
        <v>150</v>
      </c>
      <c r="BD48" s="153">
        <v>150</v>
      </c>
      <c r="BF48" s="153">
        <v>150</v>
      </c>
      <c r="CU48" s="153">
        <v>150</v>
      </c>
      <c r="CV48" s="156">
        <v>110</v>
      </c>
      <c r="CW48" s="156">
        <v>110</v>
      </c>
      <c r="CZ48" s="153">
        <v>150</v>
      </c>
    </row>
    <row r="49" spans="1:104" x14ac:dyDescent="0.15">
      <c r="A49" s="11">
        <f t="shared" si="1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926</v>
      </c>
      <c r="H49" s="56">
        <v>3</v>
      </c>
      <c r="L49" s="165">
        <v>360</v>
      </c>
      <c r="O49" s="56">
        <v>8</v>
      </c>
      <c r="P49" s="162">
        <f t="shared" si="0"/>
        <v>0.11520000000000001</v>
      </c>
      <c r="AL49" s="153">
        <v>50</v>
      </c>
      <c r="AM49" s="153">
        <v>50</v>
      </c>
      <c r="AN49" s="153">
        <v>50</v>
      </c>
      <c r="AO49" s="153">
        <v>40</v>
      </c>
      <c r="AP49" s="153">
        <v>40</v>
      </c>
      <c r="AQ49" s="153">
        <v>50</v>
      </c>
      <c r="AY49" s="153">
        <v>180</v>
      </c>
      <c r="AZ49" s="153">
        <v>180</v>
      </c>
      <c r="BA49" s="153">
        <v>180</v>
      </c>
      <c r="BC49" s="153">
        <v>180</v>
      </c>
      <c r="BD49" s="153">
        <v>180</v>
      </c>
      <c r="BF49" s="153">
        <v>180</v>
      </c>
      <c r="CU49" s="153">
        <v>180</v>
      </c>
      <c r="CV49" s="156">
        <v>120</v>
      </c>
      <c r="CW49" s="156">
        <v>120</v>
      </c>
      <c r="CZ49" s="153">
        <v>180</v>
      </c>
    </row>
    <row r="50" spans="1:104" x14ac:dyDescent="0.15">
      <c r="A50" s="11">
        <f t="shared" si="1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927</v>
      </c>
      <c r="H50" s="56">
        <v>5</v>
      </c>
      <c r="L50" s="165">
        <v>360</v>
      </c>
      <c r="O50" s="56">
        <v>5</v>
      </c>
      <c r="P50" s="162">
        <f t="shared" si="0"/>
        <v>7.2000000000000008E-2</v>
      </c>
      <c r="AL50" s="153">
        <v>20</v>
      </c>
      <c r="AM50" s="153">
        <v>20</v>
      </c>
      <c r="AN50" s="153">
        <v>20</v>
      </c>
      <c r="AO50" s="153">
        <v>10</v>
      </c>
      <c r="AP50" s="153">
        <v>10</v>
      </c>
      <c r="AQ50" s="153">
        <v>20</v>
      </c>
      <c r="AY50" s="153">
        <v>210</v>
      </c>
      <c r="AZ50" s="153">
        <v>210</v>
      </c>
      <c r="BA50" s="153">
        <v>210</v>
      </c>
      <c r="BC50" s="153">
        <v>210</v>
      </c>
      <c r="BD50" s="153">
        <v>210</v>
      </c>
      <c r="BF50" s="153">
        <v>210</v>
      </c>
      <c r="CU50" s="153">
        <v>210</v>
      </c>
      <c r="CV50" s="156">
        <v>130</v>
      </c>
      <c r="CW50" s="156">
        <v>130</v>
      </c>
      <c r="CZ50" s="153">
        <v>210</v>
      </c>
    </row>
    <row r="51" spans="1:104" x14ac:dyDescent="0.15">
      <c r="A51" s="11">
        <f t="shared" si="1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1021</v>
      </c>
      <c r="H51" s="56">
        <v>1</v>
      </c>
      <c r="L51" s="165">
        <v>360</v>
      </c>
      <c r="O51" s="56">
        <v>10</v>
      </c>
      <c r="P51" s="162">
        <f t="shared" si="0"/>
        <v>0.14400000000000002</v>
      </c>
      <c r="AL51" s="153">
        <v>70</v>
      </c>
      <c r="AM51" s="153">
        <v>70</v>
      </c>
      <c r="AN51" s="153">
        <v>70</v>
      </c>
      <c r="AO51" s="153">
        <v>150</v>
      </c>
      <c r="AP51" s="153">
        <v>150</v>
      </c>
      <c r="AQ51" s="153">
        <v>70</v>
      </c>
      <c r="AY51" s="153">
        <v>150</v>
      </c>
      <c r="AZ51" s="153">
        <v>150</v>
      </c>
      <c r="BA51" s="153">
        <v>150</v>
      </c>
      <c r="BC51" s="158">
        <v>70</v>
      </c>
      <c r="CU51" s="158">
        <v>70</v>
      </c>
      <c r="CV51" s="156">
        <v>110</v>
      </c>
      <c r="CW51" s="156">
        <v>110</v>
      </c>
      <c r="CZ51" s="153">
        <v>150</v>
      </c>
    </row>
    <row r="52" spans="1:104" x14ac:dyDescent="0.15">
      <c r="A52" s="11">
        <f t="shared" si="1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1022</v>
      </c>
      <c r="H52" s="56">
        <v>3</v>
      </c>
      <c r="L52" s="165">
        <v>360</v>
      </c>
      <c r="O52" s="56">
        <v>8</v>
      </c>
      <c r="P52" s="162">
        <f t="shared" si="0"/>
        <v>0.11520000000000001</v>
      </c>
      <c r="AL52" s="153">
        <v>50</v>
      </c>
      <c r="AM52" s="153">
        <v>50</v>
      </c>
      <c r="AN52" s="153">
        <v>50</v>
      </c>
      <c r="AO52" s="153">
        <v>180</v>
      </c>
      <c r="AP52" s="153">
        <v>180</v>
      </c>
      <c r="AQ52" s="153">
        <v>50</v>
      </c>
      <c r="AY52" s="153">
        <v>180</v>
      </c>
      <c r="AZ52" s="153">
        <v>180</v>
      </c>
      <c r="BA52" s="153">
        <v>180</v>
      </c>
      <c r="BC52" s="158">
        <v>50</v>
      </c>
      <c r="CU52" s="158">
        <v>50</v>
      </c>
      <c r="CV52" s="156">
        <v>120</v>
      </c>
      <c r="CW52" s="156">
        <v>120</v>
      </c>
      <c r="CZ52" s="153">
        <v>180</v>
      </c>
    </row>
    <row r="53" spans="1:104" x14ac:dyDescent="0.15">
      <c r="A53" s="11">
        <f t="shared" si="1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1023</v>
      </c>
      <c r="H53" s="56">
        <v>5</v>
      </c>
      <c r="L53" s="165">
        <v>360</v>
      </c>
      <c r="O53" s="56">
        <v>5</v>
      </c>
      <c r="P53" s="162">
        <f t="shared" si="0"/>
        <v>7.2000000000000008E-2</v>
      </c>
      <c r="AL53" s="153">
        <v>20</v>
      </c>
      <c r="AM53" s="153">
        <v>20</v>
      </c>
      <c r="AN53" s="153">
        <v>20</v>
      </c>
      <c r="AO53" s="153">
        <v>200</v>
      </c>
      <c r="AP53" s="153">
        <v>200</v>
      </c>
      <c r="AQ53" s="153">
        <v>20</v>
      </c>
      <c r="AY53" s="153">
        <v>210</v>
      </c>
      <c r="AZ53" s="153">
        <v>210</v>
      </c>
      <c r="BA53" s="153">
        <v>210</v>
      </c>
      <c r="BC53" s="158">
        <v>20</v>
      </c>
      <c r="CU53" s="158">
        <v>20</v>
      </c>
      <c r="CV53" s="156">
        <v>130</v>
      </c>
      <c r="CW53" s="156">
        <v>130</v>
      </c>
      <c r="CZ53" s="153">
        <v>210</v>
      </c>
    </row>
    <row r="54" spans="1:104" x14ac:dyDescent="0.15">
      <c r="A54" s="11">
        <f t="shared" si="1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1140</v>
      </c>
      <c r="H54" s="56">
        <v>1</v>
      </c>
      <c r="L54" s="165">
        <v>360</v>
      </c>
      <c r="O54" s="56">
        <v>10</v>
      </c>
      <c r="P54" s="162">
        <f t="shared" si="0"/>
        <v>0.14400000000000002</v>
      </c>
      <c r="V54" s="153">
        <v>30</v>
      </c>
      <c r="AE54" s="153">
        <v>70</v>
      </c>
      <c r="AF54" s="153">
        <v>70</v>
      </c>
      <c r="AG54" s="153">
        <v>70</v>
      </c>
      <c r="AJ54" s="153">
        <v>70</v>
      </c>
      <c r="AL54" s="153">
        <v>70</v>
      </c>
      <c r="AM54" s="153">
        <v>70</v>
      </c>
      <c r="AN54" s="153">
        <v>70</v>
      </c>
      <c r="AQ54" s="153">
        <v>70</v>
      </c>
      <c r="AR54" s="153">
        <v>200</v>
      </c>
      <c r="AT54" s="153"/>
      <c r="AU54" s="153"/>
      <c r="AW54" s="153">
        <v>150</v>
      </c>
      <c r="AY54" s="153">
        <v>150</v>
      </c>
      <c r="AZ54" s="153">
        <v>150</v>
      </c>
      <c r="BA54" s="153">
        <v>150</v>
      </c>
      <c r="BD54" s="153">
        <v>150</v>
      </c>
      <c r="BF54" s="153">
        <v>150</v>
      </c>
      <c r="CV54" s="156">
        <v>110</v>
      </c>
      <c r="CW54" s="156">
        <v>110</v>
      </c>
      <c r="CZ54" s="153">
        <v>150</v>
      </c>
    </row>
    <row r="55" spans="1:104" s="97" customFormat="1" x14ac:dyDescent="0.15">
      <c r="A55" s="11">
        <f t="shared" si="1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1141</v>
      </c>
      <c r="H55" s="56">
        <v>3</v>
      </c>
      <c r="I55" s="56"/>
      <c r="J55" s="56"/>
      <c r="K55" s="56"/>
      <c r="L55" s="165">
        <v>360</v>
      </c>
      <c r="M55" s="10"/>
      <c r="N55" s="56"/>
      <c r="O55" s="56">
        <v>8</v>
      </c>
      <c r="P55" s="162">
        <f t="shared" si="0"/>
        <v>0.11520000000000001</v>
      </c>
      <c r="Q55" s="168"/>
      <c r="R55" s="56"/>
      <c r="S55" s="162"/>
      <c r="T55" s="106"/>
      <c r="U55" s="10"/>
      <c r="V55" s="153">
        <v>15</v>
      </c>
      <c r="W55" s="56"/>
      <c r="X55" s="56"/>
      <c r="Y55" s="56"/>
      <c r="Z55" s="56"/>
      <c r="AA55" s="172"/>
      <c r="AB55" s="56"/>
      <c r="AC55" s="56"/>
      <c r="AD55" s="106"/>
      <c r="AE55" s="153">
        <v>50</v>
      </c>
      <c r="AF55" s="153">
        <v>50</v>
      </c>
      <c r="AG55" s="153">
        <v>50</v>
      </c>
      <c r="AH55" s="56"/>
      <c r="AI55" s="56"/>
      <c r="AJ55" s="153">
        <v>50</v>
      </c>
      <c r="AK55" s="106"/>
      <c r="AL55" s="153">
        <v>50</v>
      </c>
      <c r="AM55" s="153">
        <v>50</v>
      </c>
      <c r="AN55" s="153">
        <v>50</v>
      </c>
      <c r="AO55" s="56"/>
      <c r="AP55" s="56"/>
      <c r="AQ55" s="153">
        <v>50</v>
      </c>
      <c r="AR55" s="153">
        <v>400</v>
      </c>
      <c r="AS55" s="106"/>
      <c r="AT55" s="153">
        <v>40</v>
      </c>
      <c r="AU55" s="153">
        <v>40</v>
      </c>
      <c r="AV55" s="106"/>
      <c r="AW55" s="153">
        <v>200</v>
      </c>
      <c r="AX55" s="10"/>
      <c r="AY55" s="153">
        <v>180</v>
      </c>
      <c r="AZ55" s="153">
        <v>180</v>
      </c>
      <c r="BA55" s="153">
        <v>180</v>
      </c>
      <c r="BB55" s="56"/>
      <c r="BD55" s="153">
        <v>180</v>
      </c>
      <c r="BF55" s="153">
        <v>180</v>
      </c>
      <c r="BJ55" s="145"/>
      <c r="CD55" s="145"/>
      <c r="CT55" s="145"/>
      <c r="CV55" s="156">
        <v>120</v>
      </c>
      <c r="CW55" s="156">
        <v>120</v>
      </c>
      <c r="CZ55" s="153">
        <v>180</v>
      </c>
    </row>
    <row r="56" spans="1:104" s="97" customFormat="1" x14ac:dyDescent="0.15">
      <c r="A56" s="11">
        <f t="shared" si="1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1142</v>
      </c>
      <c r="H56" s="56">
        <v>5</v>
      </c>
      <c r="I56" s="56"/>
      <c r="J56" s="56"/>
      <c r="K56" s="56"/>
      <c r="L56" s="165">
        <v>360</v>
      </c>
      <c r="M56" s="10"/>
      <c r="N56" s="56"/>
      <c r="O56" s="56">
        <v>5</v>
      </c>
      <c r="P56" s="162">
        <f t="shared" si="0"/>
        <v>7.2000000000000008E-2</v>
      </c>
      <c r="Q56" s="168"/>
      <c r="R56" s="56"/>
      <c r="S56" s="162"/>
      <c r="T56" s="106"/>
      <c r="U56" s="10"/>
      <c r="V56" s="153">
        <v>10</v>
      </c>
      <c r="W56" s="56"/>
      <c r="X56" s="56"/>
      <c r="Y56" s="56"/>
      <c r="Z56" s="56"/>
      <c r="AA56" s="172"/>
      <c r="AB56" s="56"/>
      <c r="AC56" s="56"/>
      <c r="AD56" s="106"/>
      <c r="AE56" s="153">
        <v>20</v>
      </c>
      <c r="AF56" s="153">
        <v>20</v>
      </c>
      <c r="AG56" s="153">
        <v>20</v>
      </c>
      <c r="AH56" s="56"/>
      <c r="AI56" s="56"/>
      <c r="AJ56" s="153">
        <v>20</v>
      </c>
      <c r="AK56" s="106"/>
      <c r="AL56" s="153">
        <v>20</v>
      </c>
      <c r="AM56" s="153">
        <v>20</v>
      </c>
      <c r="AN56" s="153">
        <v>20</v>
      </c>
      <c r="AO56" s="56"/>
      <c r="AP56" s="56"/>
      <c r="AQ56" s="153">
        <v>20</v>
      </c>
      <c r="AR56" s="153">
        <v>600</v>
      </c>
      <c r="AS56" s="106"/>
      <c r="AT56" s="153">
        <v>10</v>
      </c>
      <c r="AU56" s="153">
        <v>10</v>
      </c>
      <c r="AV56" s="106"/>
      <c r="AW56" s="153">
        <v>300</v>
      </c>
      <c r="AX56" s="10"/>
      <c r="AY56" s="153">
        <v>210</v>
      </c>
      <c r="AZ56" s="153">
        <v>210</v>
      </c>
      <c r="BA56" s="153">
        <v>210</v>
      </c>
      <c r="BB56" s="56"/>
      <c r="BD56" s="153">
        <v>210</v>
      </c>
      <c r="BF56" s="153">
        <v>210</v>
      </c>
      <c r="BJ56" s="145"/>
      <c r="CD56" s="145"/>
      <c r="CT56" s="145"/>
      <c r="CV56" s="156">
        <v>130</v>
      </c>
      <c r="CW56" s="156">
        <v>130</v>
      </c>
      <c r="CZ56" s="153">
        <v>210</v>
      </c>
    </row>
    <row r="57" spans="1:104" s="97" customFormat="1" x14ac:dyDescent="0.15">
      <c r="A57" s="11">
        <f t="shared" si="1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1024</v>
      </c>
      <c r="H57" s="56">
        <v>1</v>
      </c>
      <c r="I57" s="56"/>
      <c r="J57" s="56"/>
      <c r="K57" s="56"/>
      <c r="L57" s="165">
        <v>360</v>
      </c>
      <c r="M57" s="10"/>
      <c r="N57" s="56"/>
      <c r="O57" s="56">
        <v>10</v>
      </c>
      <c r="P57" s="162">
        <f t="shared" si="0"/>
        <v>0.14400000000000002</v>
      </c>
      <c r="Q57" s="168"/>
      <c r="R57" s="56"/>
      <c r="S57" s="162"/>
      <c r="T57" s="106"/>
      <c r="U57" s="10"/>
      <c r="V57" s="56"/>
      <c r="W57" s="56"/>
      <c r="X57" s="56"/>
      <c r="Y57" s="56"/>
      <c r="Z57" s="56"/>
      <c r="AA57" s="172"/>
      <c r="AB57" s="56"/>
      <c r="AC57" s="56"/>
      <c r="AD57" s="106"/>
      <c r="AE57" s="56"/>
      <c r="AF57" s="56"/>
      <c r="AG57" s="56"/>
      <c r="AH57" s="56"/>
      <c r="AI57" s="56"/>
      <c r="AJ57" s="56"/>
      <c r="AK57" s="106"/>
      <c r="AL57" s="56"/>
      <c r="AM57" s="56"/>
      <c r="AN57" s="56"/>
      <c r="AO57" s="56"/>
      <c r="AP57" s="56"/>
      <c r="AQ57" s="56"/>
      <c r="AR57" s="56"/>
      <c r="AS57" s="106"/>
      <c r="AT57" s="153">
        <v>90</v>
      </c>
      <c r="AU57" s="153">
        <v>90</v>
      </c>
      <c r="AV57" s="106"/>
      <c r="AW57" s="56"/>
      <c r="AX57" s="10"/>
      <c r="AY57" s="56"/>
      <c r="AZ57" s="56"/>
      <c r="BA57" s="56"/>
      <c r="BB57" s="56"/>
      <c r="BJ57" s="145"/>
      <c r="CD57" s="145"/>
      <c r="CT57" s="145"/>
    </row>
    <row r="58" spans="1:104" s="97" customFormat="1" x14ac:dyDescent="0.15">
      <c r="A58" s="11">
        <f t="shared" si="1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1025</v>
      </c>
      <c r="H58" s="56">
        <v>3</v>
      </c>
      <c r="I58" s="56"/>
      <c r="J58" s="56"/>
      <c r="K58" s="56"/>
      <c r="L58" s="165">
        <v>360</v>
      </c>
      <c r="M58" s="10"/>
      <c r="N58" s="56"/>
      <c r="O58" s="56">
        <v>8</v>
      </c>
      <c r="P58" s="162">
        <f t="shared" si="0"/>
        <v>0.11520000000000001</v>
      </c>
      <c r="Q58" s="168"/>
      <c r="R58" s="56"/>
      <c r="S58" s="162"/>
      <c r="T58" s="106"/>
      <c r="U58" s="10"/>
      <c r="V58" s="56"/>
      <c r="W58" s="56"/>
      <c r="X58" s="56"/>
      <c r="Y58" s="56"/>
      <c r="Z58" s="56"/>
      <c r="AA58" s="172"/>
      <c r="AB58" s="56"/>
      <c r="AC58" s="56"/>
      <c r="AD58" s="106"/>
      <c r="AE58" s="56"/>
      <c r="AF58" s="56"/>
      <c r="AG58" s="56"/>
      <c r="AH58" s="56"/>
      <c r="AI58" s="56"/>
      <c r="AJ58" s="56"/>
      <c r="AK58" s="106"/>
      <c r="AL58" s="56"/>
      <c r="AM58" s="56"/>
      <c r="AN58" s="56"/>
      <c r="AO58" s="56"/>
      <c r="AP58" s="56"/>
      <c r="AQ58" s="56"/>
      <c r="AR58" s="56"/>
      <c r="AS58" s="106"/>
      <c r="AT58" s="153">
        <v>60</v>
      </c>
      <c r="AU58" s="153">
        <v>60</v>
      </c>
      <c r="AV58" s="106"/>
      <c r="AW58" s="56"/>
      <c r="AX58" s="10"/>
      <c r="AY58" s="56"/>
      <c r="AZ58" s="56"/>
      <c r="BA58" s="56"/>
      <c r="BB58" s="56"/>
      <c r="BJ58" s="145"/>
      <c r="CD58" s="145"/>
      <c r="CT58" s="145"/>
    </row>
    <row r="59" spans="1:104" s="97" customFormat="1" x14ac:dyDescent="0.15">
      <c r="A59" s="11">
        <f t="shared" si="1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1026</v>
      </c>
      <c r="H59" s="56">
        <v>5</v>
      </c>
      <c r="I59" s="56"/>
      <c r="J59" s="56"/>
      <c r="K59" s="56"/>
      <c r="L59" s="165">
        <v>360</v>
      </c>
      <c r="M59" s="10"/>
      <c r="N59" s="56"/>
      <c r="O59" s="56">
        <v>5</v>
      </c>
      <c r="P59" s="162">
        <f t="shared" si="0"/>
        <v>7.2000000000000008E-2</v>
      </c>
      <c r="Q59" s="168"/>
      <c r="R59" s="56"/>
      <c r="S59" s="162"/>
      <c r="T59" s="106"/>
      <c r="U59" s="10"/>
      <c r="V59" s="56"/>
      <c r="W59" s="56"/>
      <c r="X59" s="56"/>
      <c r="Y59" s="56"/>
      <c r="Z59" s="56"/>
      <c r="AA59" s="172"/>
      <c r="AB59" s="56"/>
      <c r="AC59" s="56"/>
      <c r="AD59" s="106"/>
      <c r="AE59" s="56"/>
      <c r="AF59" s="56"/>
      <c r="AG59" s="56"/>
      <c r="AH59" s="56"/>
      <c r="AI59" s="56"/>
      <c r="AJ59" s="56"/>
      <c r="AK59" s="106"/>
      <c r="AL59" s="56"/>
      <c r="AM59" s="56"/>
      <c r="AN59" s="56"/>
      <c r="AO59" s="56"/>
      <c r="AP59" s="56"/>
      <c r="AQ59" s="56"/>
      <c r="AR59" s="56"/>
      <c r="AS59" s="106"/>
      <c r="AT59" s="153">
        <v>40</v>
      </c>
      <c r="AU59" s="153">
        <v>40</v>
      </c>
      <c r="AV59" s="106"/>
      <c r="AW59" s="56"/>
      <c r="AX59" s="10"/>
      <c r="AY59" s="56"/>
      <c r="AZ59" s="56"/>
      <c r="BA59" s="56"/>
      <c r="BB59" s="56"/>
      <c r="BJ59" s="145"/>
      <c r="CD59" s="145"/>
      <c r="CT59" s="145"/>
    </row>
    <row r="60" spans="1:104" s="97" customFormat="1" x14ac:dyDescent="0.15">
      <c r="A60" s="11">
        <f t="shared" si="1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930</v>
      </c>
      <c r="H60" s="56">
        <v>1</v>
      </c>
      <c r="I60" s="56"/>
      <c r="J60" s="56"/>
      <c r="K60" s="56"/>
      <c r="L60" s="165">
        <v>360</v>
      </c>
      <c r="M60" s="10"/>
      <c r="N60" s="56"/>
      <c r="O60" s="56">
        <v>10</v>
      </c>
      <c r="P60" s="162">
        <f t="shared" si="0"/>
        <v>0.14400000000000002</v>
      </c>
      <c r="Q60" s="168"/>
      <c r="R60" s="56"/>
      <c r="S60" s="162"/>
      <c r="T60" s="106"/>
      <c r="U60" s="10"/>
      <c r="V60" s="56"/>
      <c r="W60" s="56"/>
      <c r="X60" s="56"/>
      <c r="Y60" s="56"/>
      <c r="Z60" s="56"/>
      <c r="AA60" s="172"/>
      <c r="AB60" s="56"/>
      <c r="AC60" s="56"/>
      <c r="AD60" s="106"/>
      <c r="AE60" s="153">
        <v>60</v>
      </c>
      <c r="AF60" s="153">
        <v>60</v>
      </c>
      <c r="AG60" s="153">
        <v>60</v>
      </c>
      <c r="AH60" s="56"/>
      <c r="AI60" s="56"/>
      <c r="AJ60" s="153">
        <v>60</v>
      </c>
      <c r="AK60" s="106"/>
      <c r="AL60" s="153">
        <v>60</v>
      </c>
      <c r="AM60" s="153">
        <v>60</v>
      </c>
      <c r="AN60" s="153">
        <v>60</v>
      </c>
      <c r="AO60" s="56"/>
      <c r="AP60" s="56"/>
      <c r="AQ60" s="153">
        <v>60</v>
      </c>
      <c r="AR60" s="56"/>
      <c r="AS60" s="106"/>
      <c r="AT60" s="56"/>
      <c r="AU60" s="56"/>
      <c r="AV60" s="106"/>
      <c r="AW60" s="56"/>
      <c r="AX60" s="10"/>
      <c r="AY60" s="153">
        <v>150</v>
      </c>
      <c r="AZ60" s="153">
        <v>150</v>
      </c>
      <c r="BA60" s="153">
        <v>150</v>
      </c>
      <c r="BB60" s="56"/>
      <c r="BD60" s="153">
        <v>150</v>
      </c>
      <c r="BF60" s="153">
        <v>150</v>
      </c>
      <c r="BJ60" s="145"/>
      <c r="CD60" s="145"/>
      <c r="CT60" s="145"/>
      <c r="CV60" s="156">
        <v>110</v>
      </c>
      <c r="CW60" s="156">
        <v>110</v>
      </c>
      <c r="CZ60" s="153">
        <v>150</v>
      </c>
    </row>
    <row r="61" spans="1:104" s="97" customFormat="1" x14ac:dyDescent="0.15">
      <c r="A61" s="11">
        <f t="shared" si="1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931</v>
      </c>
      <c r="H61" s="56">
        <v>3</v>
      </c>
      <c r="I61" s="56"/>
      <c r="J61" s="56"/>
      <c r="K61" s="56"/>
      <c r="L61" s="165">
        <v>360</v>
      </c>
      <c r="M61" s="10"/>
      <c r="N61" s="56"/>
      <c r="O61" s="56">
        <v>8</v>
      </c>
      <c r="P61" s="162">
        <f t="shared" si="0"/>
        <v>0.11520000000000001</v>
      </c>
      <c r="Q61" s="168"/>
      <c r="R61" s="56"/>
      <c r="S61" s="162"/>
      <c r="T61" s="106"/>
      <c r="U61" s="10"/>
      <c r="V61" s="56"/>
      <c r="W61" s="56"/>
      <c r="X61" s="56"/>
      <c r="Y61" s="56"/>
      <c r="Z61" s="56"/>
      <c r="AA61" s="172"/>
      <c r="AB61" s="56"/>
      <c r="AC61" s="56"/>
      <c r="AD61" s="106"/>
      <c r="AE61" s="153">
        <v>30</v>
      </c>
      <c r="AF61" s="153">
        <v>30</v>
      </c>
      <c r="AG61" s="153">
        <v>30</v>
      </c>
      <c r="AH61" s="56"/>
      <c r="AI61" s="56"/>
      <c r="AJ61" s="153">
        <v>30</v>
      </c>
      <c r="AK61" s="106"/>
      <c r="AL61" s="153">
        <v>30</v>
      </c>
      <c r="AM61" s="153">
        <v>30</v>
      </c>
      <c r="AN61" s="153">
        <v>30</v>
      </c>
      <c r="AO61" s="56"/>
      <c r="AP61" s="56"/>
      <c r="AQ61" s="153">
        <v>30</v>
      </c>
      <c r="AR61" s="56"/>
      <c r="AS61" s="106"/>
      <c r="AT61" s="56"/>
      <c r="AU61" s="56"/>
      <c r="AV61" s="106"/>
      <c r="AW61" s="56"/>
      <c r="AX61" s="10"/>
      <c r="AY61" s="153">
        <v>180</v>
      </c>
      <c r="AZ61" s="153">
        <v>180</v>
      </c>
      <c r="BA61" s="153">
        <v>180</v>
      </c>
      <c r="BB61" s="56"/>
      <c r="BD61" s="153">
        <v>180</v>
      </c>
      <c r="BF61" s="153">
        <v>180</v>
      </c>
      <c r="BJ61" s="145"/>
      <c r="CD61" s="145"/>
      <c r="CT61" s="145"/>
      <c r="CV61" s="156">
        <v>120</v>
      </c>
      <c r="CW61" s="156">
        <v>120</v>
      </c>
      <c r="CZ61" s="153">
        <v>180</v>
      </c>
    </row>
    <row r="62" spans="1:104" s="97" customFormat="1" x14ac:dyDescent="0.15">
      <c r="A62" s="11">
        <f t="shared" si="1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932</v>
      </c>
      <c r="H62" s="56">
        <v>5</v>
      </c>
      <c r="I62" s="56"/>
      <c r="J62" s="56"/>
      <c r="K62" s="56"/>
      <c r="L62" s="165">
        <v>360</v>
      </c>
      <c r="M62" s="10"/>
      <c r="N62" s="56"/>
      <c r="O62" s="56">
        <v>5</v>
      </c>
      <c r="P62" s="162">
        <f t="shared" si="0"/>
        <v>7.2000000000000008E-2</v>
      </c>
      <c r="Q62" s="168"/>
      <c r="R62" s="56"/>
      <c r="S62" s="162"/>
      <c r="T62" s="106"/>
      <c r="U62" s="10"/>
      <c r="V62" s="56"/>
      <c r="W62" s="56"/>
      <c r="X62" s="56"/>
      <c r="Y62" s="56"/>
      <c r="Z62" s="56"/>
      <c r="AA62" s="172"/>
      <c r="AB62" s="56"/>
      <c r="AC62" s="56"/>
      <c r="AD62" s="106"/>
      <c r="AE62" s="153">
        <v>0</v>
      </c>
      <c r="AF62" s="153">
        <v>0</v>
      </c>
      <c r="AG62" s="153">
        <v>0</v>
      </c>
      <c r="AH62" s="56"/>
      <c r="AI62" s="56"/>
      <c r="AJ62" s="153">
        <v>0</v>
      </c>
      <c r="AK62" s="106"/>
      <c r="AL62" s="153">
        <v>0</v>
      </c>
      <c r="AM62" s="153">
        <v>0</v>
      </c>
      <c r="AN62" s="153">
        <v>0</v>
      </c>
      <c r="AO62" s="56"/>
      <c r="AP62" s="56"/>
      <c r="AQ62" s="153">
        <v>0</v>
      </c>
      <c r="AR62" s="56"/>
      <c r="AS62" s="106"/>
      <c r="AT62" s="56"/>
      <c r="AU62" s="56"/>
      <c r="AV62" s="106"/>
      <c r="AW62" s="56"/>
      <c r="AX62" s="10"/>
      <c r="AY62" s="153">
        <v>260</v>
      </c>
      <c r="AZ62" s="153">
        <v>260</v>
      </c>
      <c r="BA62" s="153">
        <v>260</v>
      </c>
      <c r="BB62" s="56"/>
      <c r="BD62" s="153">
        <v>260</v>
      </c>
      <c r="BF62" s="153">
        <v>260</v>
      </c>
      <c r="BJ62" s="145"/>
      <c r="CD62" s="145"/>
      <c r="CT62" s="145"/>
      <c r="CV62" s="156">
        <v>130</v>
      </c>
      <c r="CW62" s="156">
        <v>130</v>
      </c>
      <c r="CZ62" s="153">
        <v>260</v>
      </c>
    </row>
    <row r="63" spans="1:104" s="97" customFormat="1" x14ac:dyDescent="0.15">
      <c r="A63" s="11">
        <f t="shared" si="1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1027</v>
      </c>
      <c r="H63" s="56">
        <v>1</v>
      </c>
      <c r="I63" s="56"/>
      <c r="J63" s="56"/>
      <c r="K63" s="56"/>
      <c r="L63" s="165">
        <v>360</v>
      </c>
      <c r="M63" s="10"/>
      <c r="N63" s="56"/>
      <c r="O63" s="56">
        <v>10</v>
      </c>
      <c r="P63" s="162">
        <f t="shared" si="0"/>
        <v>0.14400000000000002</v>
      </c>
      <c r="Q63" s="168"/>
      <c r="R63" s="56"/>
      <c r="S63" s="162"/>
      <c r="T63" s="106"/>
      <c r="U63" s="10"/>
      <c r="V63" s="56"/>
      <c r="W63" s="56"/>
      <c r="X63" s="56"/>
      <c r="Y63" s="56"/>
      <c r="Z63" s="56"/>
      <c r="AA63" s="172"/>
      <c r="AB63" s="56"/>
      <c r="AC63" s="56"/>
      <c r="AD63" s="106"/>
      <c r="AE63" s="153">
        <v>60</v>
      </c>
      <c r="AF63" s="56"/>
      <c r="AG63" s="56"/>
      <c r="AH63" s="56"/>
      <c r="AI63" s="56"/>
      <c r="AJ63" s="56"/>
      <c r="AK63" s="106"/>
      <c r="AL63" s="153">
        <v>60</v>
      </c>
      <c r="AM63" s="56"/>
      <c r="AN63" s="56"/>
      <c r="AO63" s="56"/>
      <c r="AP63" s="56"/>
      <c r="AQ63" s="56"/>
      <c r="AR63" s="56"/>
      <c r="AS63" s="106"/>
      <c r="AT63" s="56"/>
      <c r="AU63" s="56"/>
      <c r="AV63" s="106"/>
      <c r="AW63" s="56"/>
      <c r="AX63" s="10"/>
      <c r="AY63" s="153">
        <v>150</v>
      </c>
      <c r="AZ63" s="56"/>
      <c r="BA63" s="56"/>
      <c r="BB63" s="56"/>
      <c r="BJ63" s="145"/>
      <c r="CD63" s="145"/>
      <c r="CT63" s="145"/>
      <c r="CW63" s="156">
        <v>110</v>
      </c>
    </row>
    <row r="64" spans="1:104" s="97" customFormat="1" x14ac:dyDescent="0.15">
      <c r="A64" s="11">
        <f t="shared" si="1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1028</v>
      </c>
      <c r="H64" s="56">
        <v>3</v>
      </c>
      <c r="I64" s="56"/>
      <c r="J64" s="56"/>
      <c r="K64" s="56"/>
      <c r="L64" s="165">
        <v>360</v>
      </c>
      <c r="M64" s="10"/>
      <c r="N64" s="56"/>
      <c r="O64" s="56">
        <v>8</v>
      </c>
      <c r="P64" s="162">
        <f t="shared" si="0"/>
        <v>0.11520000000000001</v>
      </c>
      <c r="Q64" s="168"/>
      <c r="R64" s="56"/>
      <c r="S64" s="162"/>
      <c r="T64" s="106"/>
      <c r="U64" s="10"/>
      <c r="V64" s="56"/>
      <c r="W64" s="56"/>
      <c r="X64" s="56"/>
      <c r="Y64" s="56"/>
      <c r="Z64" s="56"/>
      <c r="AA64" s="172"/>
      <c r="AB64" s="56"/>
      <c r="AC64" s="56"/>
      <c r="AD64" s="106"/>
      <c r="AE64" s="153">
        <v>30</v>
      </c>
      <c r="AF64" s="56"/>
      <c r="AG64" s="56"/>
      <c r="AH64" s="56"/>
      <c r="AI64" s="56"/>
      <c r="AJ64" s="56"/>
      <c r="AK64" s="106"/>
      <c r="AL64" s="153">
        <v>30</v>
      </c>
      <c r="AM64" s="56"/>
      <c r="AN64" s="56"/>
      <c r="AO64" s="56"/>
      <c r="AP64" s="56"/>
      <c r="AQ64" s="56"/>
      <c r="AR64" s="56"/>
      <c r="AS64" s="106"/>
      <c r="AT64" s="56"/>
      <c r="AU64" s="56"/>
      <c r="AV64" s="106"/>
      <c r="AW64" s="56"/>
      <c r="AX64" s="10"/>
      <c r="AY64" s="153">
        <v>180</v>
      </c>
      <c r="AZ64" s="56"/>
      <c r="BA64" s="56"/>
      <c r="BB64" s="56"/>
      <c r="BJ64" s="145"/>
      <c r="CD64" s="145"/>
      <c r="CT64" s="145"/>
      <c r="CW64" s="156">
        <v>120</v>
      </c>
    </row>
    <row r="65" spans="1:104" s="97" customFormat="1" x14ac:dyDescent="0.15">
      <c r="A65" s="11">
        <f t="shared" ref="A65:A84" si="2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1029</v>
      </c>
      <c r="H65" s="56">
        <v>5</v>
      </c>
      <c r="I65" s="56"/>
      <c r="J65" s="56"/>
      <c r="K65" s="56"/>
      <c r="L65" s="165">
        <v>360</v>
      </c>
      <c r="M65" s="10"/>
      <c r="N65" s="56"/>
      <c r="O65" s="56">
        <v>5</v>
      </c>
      <c r="P65" s="162">
        <f t="shared" si="0"/>
        <v>7.2000000000000008E-2</v>
      </c>
      <c r="Q65" s="168"/>
      <c r="R65" s="56"/>
      <c r="S65" s="162"/>
      <c r="T65" s="106"/>
      <c r="U65" s="10"/>
      <c r="V65" s="56"/>
      <c r="W65" s="56"/>
      <c r="X65" s="56"/>
      <c r="Y65" s="56"/>
      <c r="Z65" s="56"/>
      <c r="AA65" s="172"/>
      <c r="AB65" s="56"/>
      <c r="AC65" s="56"/>
      <c r="AD65" s="106"/>
      <c r="AE65" s="153">
        <v>0</v>
      </c>
      <c r="AF65" s="56"/>
      <c r="AG65" s="56"/>
      <c r="AH65" s="56"/>
      <c r="AI65" s="56"/>
      <c r="AJ65" s="56"/>
      <c r="AK65" s="106"/>
      <c r="AL65" s="153">
        <v>0</v>
      </c>
      <c r="AM65" s="56"/>
      <c r="AN65" s="56"/>
      <c r="AO65" s="56"/>
      <c r="AP65" s="56"/>
      <c r="AQ65" s="56"/>
      <c r="AR65" s="56"/>
      <c r="AS65" s="106"/>
      <c r="AT65" s="56"/>
      <c r="AU65" s="56"/>
      <c r="AV65" s="106"/>
      <c r="AW65" s="56"/>
      <c r="AX65" s="10"/>
      <c r="AY65" s="153">
        <v>260</v>
      </c>
      <c r="AZ65" s="56"/>
      <c r="BA65" s="56"/>
      <c r="BB65" s="56"/>
      <c r="BJ65" s="145"/>
      <c r="CD65" s="145"/>
      <c r="CT65" s="145"/>
      <c r="CW65" s="156">
        <v>130</v>
      </c>
    </row>
    <row r="66" spans="1:104" x14ac:dyDescent="0.15">
      <c r="A66" s="11">
        <f t="shared" si="2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1126</v>
      </c>
      <c r="H66" s="56">
        <v>1</v>
      </c>
      <c r="L66" s="165">
        <v>360</v>
      </c>
      <c r="O66" s="56">
        <v>25</v>
      </c>
      <c r="P66" s="162">
        <f t="shared" si="0"/>
        <v>0.36</v>
      </c>
      <c r="V66" s="153">
        <v>110</v>
      </c>
      <c r="AL66" s="153">
        <v>130</v>
      </c>
      <c r="AM66" s="153">
        <v>130</v>
      </c>
      <c r="AN66" s="153">
        <v>130</v>
      </c>
      <c r="AQ66" s="153">
        <v>130</v>
      </c>
      <c r="AY66" s="153">
        <v>80</v>
      </c>
      <c r="AZ66" s="153">
        <v>80</v>
      </c>
      <c r="BA66" s="153">
        <v>80</v>
      </c>
      <c r="BB66" s="153">
        <v>130</v>
      </c>
      <c r="BC66" s="109"/>
      <c r="BD66" s="153">
        <v>80</v>
      </c>
      <c r="BF66" s="153">
        <v>80</v>
      </c>
      <c r="CU66" s="153">
        <v>80</v>
      </c>
      <c r="CV66" s="153">
        <v>80</v>
      </c>
      <c r="CW66" s="153">
        <v>80</v>
      </c>
      <c r="CX66" s="156">
        <v>130</v>
      </c>
      <c r="CZ66" s="153">
        <v>80</v>
      </c>
    </row>
    <row r="67" spans="1:104" x14ac:dyDescent="0.15">
      <c r="A67" s="11">
        <f t="shared" si="2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1127</v>
      </c>
      <c r="H67" s="56">
        <v>3</v>
      </c>
      <c r="L67" s="165">
        <v>360</v>
      </c>
      <c r="O67" s="56">
        <v>20</v>
      </c>
      <c r="P67" s="162">
        <f t="shared" si="0"/>
        <v>0.28800000000000003</v>
      </c>
      <c r="V67" s="153">
        <v>120</v>
      </c>
      <c r="AL67" s="153">
        <v>160</v>
      </c>
      <c r="AM67" s="153">
        <v>160</v>
      </c>
      <c r="AN67" s="153">
        <v>160</v>
      </c>
      <c r="AQ67" s="153">
        <v>160</v>
      </c>
      <c r="AY67" s="153">
        <v>70</v>
      </c>
      <c r="AZ67" s="153">
        <v>70</v>
      </c>
      <c r="BA67" s="153">
        <v>70</v>
      </c>
      <c r="BB67" s="153">
        <v>150</v>
      </c>
      <c r="BC67" s="109"/>
      <c r="BD67" s="153">
        <v>70</v>
      </c>
      <c r="BF67" s="153">
        <v>70</v>
      </c>
      <c r="CU67" s="153">
        <v>70</v>
      </c>
      <c r="CV67" s="153">
        <v>70</v>
      </c>
      <c r="CW67" s="153">
        <v>70</v>
      </c>
      <c r="CX67" s="156">
        <v>140</v>
      </c>
      <c r="CZ67" s="153">
        <v>70</v>
      </c>
    </row>
    <row r="68" spans="1:104" x14ac:dyDescent="0.15">
      <c r="A68" s="11">
        <f t="shared" si="2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1128</v>
      </c>
      <c r="H68" s="56">
        <v>5</v>
      </c>
      <c r="L68" s="165">
        <v>360</v>
      </c>
      <c r="O68" s="56">
        <v>10</v>
      </c>
      <c r="P68" s="162">
        <f t="shared" si="0"/>
        <v>0.14400000000000002</v>
      </c>
      <c r="V68" s="153">
        <v>130</v>
      </c>
      <c r="AL68" s="153">
        <v>200</v>
      </c>
      <c r="AM68" s="153">
        <v>200</v>
      </c>
      <c r="AN68" s="153">
        <v>200</v>
      </c>
      <c r="AQ68" s="153">
        <v>200</v>
      </c>
      <c r="AY68" s="153">
        <v>50</v>
      </c>
      <c r="AZ68" s="153">
        <v>50</v>
      </c>
      <c r="BA68" s="153">
        <v>50</v>
      </c>
      <c r="BB68" s="153">
        <v>200</v>
      </c>
      <c r="BD68" s="153">
        <v>50</v>
      </c>
      <c r="BF68" s="153">
        <v>50</v>
      </c>
      <c r="CU68" s="153">
        <v>50</v>
      </c>
      <c r="CV68" s="153">
        <v>50</v>
      </c>
      <c r="CW68" s="153">
        <v>50</v>
      </c>
      <c r="CX68" s="156">
        <v>150</v>
      </c>
      <c r="CZ68" s="153">
        <v>50</v>
      </c>
    </row>
    <row r="69" spans="1:104" x14ac:dyDescent="0.15">
      <c r="A69" s="11">
        <f t="shared" si="2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>
        <f t="shared" ref="P69:P132" si="3">(O69/100000)*1440</f>
        <v>0</v>
      </c>
    </row>
    <row r="70" spans="1:104" x14ac:dyDescent="0.15">
      <c r="A70" s="11">
        <f t="shared" si="2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>
        <f t="shared" si="3"/>
        <v>0</v>
      </c>
    </row>
    <row r="71" spans="1:104" x14ac:dyDescent="0.15">
      <c r="A71" s="11">
        <f t="shared" si="2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>
        <f t="shared" si="3"/>
        <v>0</v>
      </c>
    </row>
    <row r="72" spans="1:104" x14ac:dyDescent="0.15">
      <c r="A72" s="11">
        <f t="shared" si="2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>
        <f t="shared" si="3"/>
        <v>0</v>
      </c>
    </row>
    <row r="73" spans="1:104" x14ac:dyDescent="0.15">
      <c r="A73" s="11">
        <f t="shared" si="2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>
        <f t="shared" si="3"/>
        <v>0</v>
      </c>
    </row>
    <row r="74" spans="1:104" x14ac:dyDescent="0.15">
      <c r="A74" s="11">
        <f t="shared" si="2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>
        <f t="shared" si="3"/>
        <v>0</v>
      </c>
    </row>
    <row r="75" spans="1:104" s="97" customFormat="1" x14ac:dyDescent="0.15">
      <c r="A75" s="11">
        <f t="shared" si="2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>
        <f t="shared" si="3"/>
        <v>0</v>
      </c>
      <c r="Q75" s="168"/>
      <c r="R75" s="56"/>
      <c r="S75" s="162"/>
      <c r="T75" s="106"/>
      <c r="U75" s="10"/>
      <c r="V75" s="56"/>
      <c r="W75" s="56"/>
      <c r="X75" s="56"/>
      <c r="Y75" s="56"/>
      <c r="Z75" s="56"/>
      <c r="AA75" s="172"/>
      <c r="AB75" s="56"/>
      <c r="AC75" s="56"/>
      <c r="AD75" s="106"/>
      <c r="AE75" s="56"/>
      <c r="AF75" s="56"/>
      <c r="AG75" s="56"/>
      <c r="AH75" s="56"/>
      <c r="AI75" s="56"/>
      <c r="AJ75" s="56"/>
      <c r="AK75" s="106"/>
      <c r="AL75" s="56"/>
      <c r="AM75" s="56"/>
      <c r="AN75" s="56"/>
      <c r="AO75" s="56"/>
      <c r="AP75" s="56"/>
      <c r="AQ75" s="56"/>
      <c r="AR75" s="56"/>
      <c r="AS75" s="106"/>
      <c r="AT75" s="56"/>
      <c r="AU75" s="56"/>
      <c r="AV75" s="106"/>
      <c r="AW75" s="56"/>
      <c r="AX75" s="10"/>
      <c r="AY75" s="56"/>
      <c r="AZ75" s="56"/>
      <c r="BA75" s="56"/>
      <c r="BB75" s="56"/>
      <c r="BJ75" s="145"/>
      <c r="CD75" s="145"/>
      <c r="CT75" s="145"/>
    </row>
    <row r="76" spans="1:104" s="97" customFormat="1" x14ac:dyDescent="0.15">
      <c r="A76" s="11">
        <f t="shared" si="2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>
        <f t="shared" si="3"/>
        <v>0</v>
      </c>
      <c r="Q76" s="168"/>
      <c r="R76" s="56"/>
      <c r="S76" s="162"/>
      <c r="T76" s="106"/>
      <c r="U76" s="10"/>
      <c r="V76" s="56"/>
      <c r="W76" s="56"/>
      <c r="X76" s="56"/>
      <c r="Y76" s="56"/>
      <c r="Z76" s="56"/>
      <c r="AA76" s="172"/>
      <c r="AB76" s="56"/>
      <c r="AC76" s="56"/>
      <c r="AD76" s="106"/>
      <c r="AE76" s="56"/>
      <c r="AF76" s="56"/>
      <c r="AG76" s="56"/>
      <c r="AH76" s="56"/>
      <c r="AI76" s="56"/>
      <c r="AJ76" s="56"/>
      <c r="AK76" s="106"/>
      <c r="AL76" s="56"/>
      <c r="AM76" s="56"/>
      <c r="AN76" s="56"/>
      <c r="AO76" s="56"/>
      <c r="AP76" s="56"/>
      <c r="AQ76" s="56"/>
      <c r="AR76" s="56"/>
      <c r="AS76" s="106"/>
      <c r="AT76" s="56"/>
      <c r="AU76" s="56"/>
      <c r="AV76" s="106"/>
      <c r="AW76" s="56"/>
      <c r="AX76" s="10"/>
      <c r="AY76" s="56"/>
      <c r="AZ76" s="56"/>
      <c r="BA76" s="56"/>
      <c r="BB76" s="56"/>
      <c r="BJ76" s="145"/>
      <c r="CD76" s="145"/>
      <c r="CT76" s="145"/>
    </row>
    <row r="77" spans="1:104" s="97" customFormat="1" x14ac:dyDescent="0.15">
      <c r="A77" s="11">
        <f t="shared" si="2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>
        <f t="shared" si="3"/>
        <v>0</v>
      </c>
      <c r="Q77" s="168"/>
      <c r="R77" s="56"/>
      <c r="S77" s="162"/>
      <c r="T77" s="106"/>
      <c r="U77" s="10"/>
      <c r="V77" s="56"/>
      <c r="W77" s="56"/>
      <c r="X77" s="56"/>
      <c r="Y77" s="56"/>
      <c r="Z77" s="56"/>
      <c r="AA77" s="172"/>
      <c r="AB77" s="56"/>
      <c r="AC77" s="56"/>
      <c r="AD77" s="106"/>
      <c r="AE77" s="56"/>
      <c r="AF77" s="56"/>
      <c r="AG77" s="56"/>
      <c r="AH77" s="56"/>
      <c r="AI77" s="56"/>
      <c r="AJ77" s="56"/>
      <c r="AK77" s="106"/>
      <c r="AL77" s="56"/>
      <c r="AM77" s="56"/>
      <c r="AN77" s="56"/>
      <c r="AO77" s="56"/>
      <c r="AP77" s="56"/>
      <c r="AQ77" s="56"/>
      <c r="AR77" s="56"/>
      <c r="AS77" s="106"/>
      <c r="AT77" s="56"/>
      <c r="AU77" s="56"/>
      <c r="AV77" s="106"/>
      <c r="AW77" s="56"/>
      <c r="AX77" s="10"/>
      <c r="AY77" s="56"/>
      <c r="AZ77" s="56"/>
      <c r="BA77" s="56"/>
      <c r="BB77" s="56"/>
      <c r="BJ77" s="145"/>
      <c r="CD77" s="145"/>
      <c r="CT77" s="145"/>
    </row>
    <row r="78" spans="1:104" s="97" customFormat="1" x14ac:dyDescent="0.15">
      <c r="A78" s="11">
        <f t="shared" si="2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>
        <f t="shared" si="3"/>
        <v>0</v>
      </c>
      <c r="Q78" s="168"/>
      <c r="R78" s="56"/>
      <c r="S78" s="162"/>
      <c r="T78" s="106"/>
      <c r="U78" s="10"/>
      <c r="V78" s="56"/>
      <c r="W78" s="56"/>
      <c r="X78" s="56"/>
      <c r="Y78" s="56"/>
      <c r="Z78" s="56"/>
      <c r="AA78" s="172"/>
      <c r="AB78" s="56"/>
      <c r="AC78" s="56"/>
      <c r="AD78" s="106"/>
      <c r="AE78" s="56"/>
      <c r="AF78" s="56"/>
      <c r="AG78" s="56"/>
      <c r="AH78" s="56"/>
      <c r="AI78" s="56"/>
      <c r="AJ78" s="56"/>
      <c r="AK78" s="106"/>
      <c r="AL78" s="56"/>
      <c r="AM78" s="56"/>
      <c r="AN78" s="56"/>
      <c r="AO78" s="56"/>
      <c r="AP78" s="56"/>
      <c r="AQ78" s="56"/>
      <c r="AR78" s="56"/>
      <c r="AS78" s="106"/>
      <c r="AT78" s="56"/>
      <c r="AU78" s="56"/>
      <c r="AV78" s="106"/>
      <c r="AW78" s="56"/>
      <c r="AX78" s="10"/>
      <c r="AY78" s="56"/>
      <c r="AZ78" s="56"/>
      <c r="BA78" s="56"/>
      <c r="BB78" s="56"/>
      <c r="BJ78" s="145"/>
      <c r="CD78" s="145"/>
      <c r="CT78" s="145"/>
    </row>
    <row r="79" spans="1:104" s="97" customFormat="1" x14ac:dyDescent="0.15">
      <c r="A79" s="11">
        <f t="shared" si="2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>
        <f t="shared" si="3"/>
        <v>0</v>
      </c>
      <c r="Q79" s="168"/>
      <c r="R79" s="56"/>
      <c r="S79" s="162"/>
      <c r="T79" s="106"/>
      <c r="U79" s="10"/>
      <c r="V79" s="56"/>
      <c r="W79" s="56"/>
      <c r="X79" s="56"/>
      <c r="Y79" s="56"/>
      <c r="Z79" s="56"/>
      <c r="AA79" s="172"/>
      <c r="AB79" s="56"/>
      <c r="AC79" s="56"/>
      <c r="AD79" s="106"/>
      <c r="AE79" s="56"/>
      <c r="AF79" s="56"/>
      <c r="AG79" s="56"/>
      <c r="AH79" s="56"/>
      <c r="AI79" s="56"/>
      <c r="AJ79" s="56"/>
      <c r="AK79" s="106"/>
      <c r="AL79" s="56"/>
      <c r="AM79" s="56"/>
      <c r="AN79" s="56"/>
      <c r="AO79" s="56"/>
      <c r="AP79" s="56"/>
      <c r="AQ79" s="56"/>
      <c r="AR79" s="56"/>
      <c r="AS79" s="106"/>
      <c r="AT79" s="56"/>
      <c r="AU79" s="56"/>
      <c r="AV79" s="106"/>
      <c r="AW79" s="56"/>
      <c r="AX79" s="10"/>
      <c r="AY79" s="56"/>
      <c r="AZ79" s="56"/>
      <c r="BA79" s="56"/>
      <c r="BB79" s="56"/>
      <c r="BJ79" s="145"/>
      <c r="CD79" s="145"/>
      <c r="CT79" s="145"/>
    </row>
    <row r="80" spans="1:104" s="97" customFormat="1" x14ac:dyDescent="0.15">
      <c r="A80" s="11">
        <f t="shared" si="2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>
        <f t="shared" si="3"/>
        <v>0</v>
      </c>
      <c r="Q80" s="168"/>
      <c r="R80" s="56"/>
      <c r="S80" s="162"/>
      <c r="T80" s="106"/>
      <c r="U80" s="10"/>
      <c r="V80" s="56"/>
      <c r="W80" s="56"/>
      <c r="X80" s="56"/>
      <c r="Y80" s="56"/>
      <c r="Z80" s="56"/>
      <c r="AA80" s="172"/>
      <c r="AB80" s="56"/>
      <c r="AC80" s="56"/>
      <c r="AD80" s="106"/>
      <c r="AE80" s="56"/>
      <c r="AF80" s="56"/>
      <c r="AG80" s="56"/>
      <c r="AH80" s="56"/>
      <c r="AI80" s="56"/>
      <c r="AJ80" s="56"/>
      <c r="AK80" s="106"/>
      <c r="AL80" s="56"/>
      <c r="AM80" s="56"/>
      <c r="AN80" s="56"/>
      <c r="AO80" s="56"/>
      <c r="AP80" s="56"/>
      <c r="AQ80" s="56"/>
      <c r="AR80" s="56"/>
      <c r="AS80" s="106"/>
      <c r="AT80" s="56"/>
      <c r="AU80" s="56"/>
      <c r="AV80" s="106"/>
      <c r="AW80" s="56"/>
      <c r="AX80" s="10"/>
      <c r="AY80" s="56"/>
      <c r="AZ80" s="56"/>
      <c r="BA80" s="56"/>
      <c r="BB80" s="56"/>
      <c r="BJ80" s="145"/>
      <c r="CD80" s="145"/>
      <c r="CT80" s="145"/>
    </row>
    <row r="81" spans="1:101" s="97" customFormat="1" x14ac:dyDescent="0.15">
      <c r="A81" s="11">
        <f t="shared" si="2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>
        <f t="shared" si="3"/>
        <v>0</v>
      </c>
      <c r="Q81" s="168"/>
      <c r="R81" s="56"/>
      <c r="S81" s="162"/>
      <c r="T81" s="106"/>
      <c r="U81" s="10"/>
      <c r="V81" s="56"/>
      <c r="W81" s="56"/>
      <c r="X81" s="56"/>
      <c r="Y81" s="56"/>
      <c r="Z81" s="56"/>
      <c r="AA81" s="172"/>
      <c r="AB81" s="56"/>
      <c r="AC81" s="56"/>
      <c r="AD81" s="106"/>
      <c r="AE81" s="56"/>
      <c r="AF81" s="56"/>
      <c r="AG81" s="56"/>
      <c r="AH81" s="56"/>
      <c r="AI81" s="56"/>
      <c r="AJ81" s="56"/>
      <c r="AK81" s="106"/>
      <c r="AL81" s="56"/>
      <c r="AM81" s="56"/>
      <c r="AN81" s="56"/>
      <c r="AO81" s="56"/>
      <c r="AP81" s="56"/>
      <c r="AQ81" s="56"/>
      <c r="AR81" s="56"/>
      <c r="AS81" s="106"/>
      <c r="AT81" s="56"/>
      <c r="AU81" s="56"/>
      <c r="AV81" s="106"/>
      <c r="AW81" s="56"/>
      <c r="AX81" s="10"/>
      <c r="AY81" s="56"/>
      <c r="AZ81" s="56"/>
      <c r="BA81" s="56"/>
      <c r="BB81" s="56"/>
      <c r="BJ81" s="145"/>
      <c r="CD81" s="145"/>
      <c r="CT81" s="145"/>
    </row>
    <row r="82" spans="1:101" s="97" customFormat="1" x14ac:dyDescent="0.15">
      <c r="A82" s="11">
        <f t="shared" si="2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>
        <f t="shared" si="3"/>
        <v>0</v>
      </c>
      <c r="Q82" s="168"/>
      <c r="R82" s="56"/>
      <c r="S82" s="162"/>
      <c r="T82" s="106"/>
      <c r="U82" s="10"/>
      <c r="V82" s="56"/>
      <c r="W82" s="56"/>
      <c r="X82" s="56"/>
      <c r="Y82" s="56"/>
      <c r="Z82" s="56"/>
      <c r="AA82" s="172"/>
      <c r="AB82" s="56"/>
      <c r="AC82" s="56"/>
      <c r="AD82" s="106"/>
      <c r="AE82" s="56"/>
      <c r="AF82" s="56"/>
      <c r="AG82" s="56"/>
      <c r="AH82" s="56"/>
      <c r="AI82" s="56"/>
      <c r="AJ82" s="56"/>
      <c r="AK82" s="106"/>
      <c r="AL82" s="56"/>
      <c r="AM82" s="56"/>
      <c r="AN82" s="56"/>
      <c r="AO82" s="56"/>
      <c r="AP82" s="56"/>
      <c r="AQ82" s="56"/>
      <c r="AR82" s="56"/>
      <c r="AS82" s="106"/>
      <c r="AT82" s="56"/>
      <c r="AU82" s="56"/>
      <c r="AV82" s="106"/>
      <c r="AW82" s="56"/>
      <c r="AX82" s="10"/>
      <c r="AY82" s="56"/>
      <c r="AZ82" s="56"/>
      <c r="BA82" s="56"/>
      <c r="BB82" s="56"/>
      <c r="BJ82" s="145"/>
      <c r="CD82" s="145"/>
      <c r="CT82" s="145"/>
    </row>
    <row r="83" spans="1:101" s="97" customFormat="1" x14ac:dyDescent="0.15">
      <c r="A83" s="11">
        <f t="shared" si="2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>
        <f t="shared" si="3"/>
        <v>0</v>
      </c>
      <c r="Q83" s="168"/>
      <c r="R83" s="56"/>
      <c r="S83" s="162"/>
      <c r="T83" s="106"/>
      <c r="U83" s="10"/>
      <c r="V83" s="56"/>
      <c r="W83" s="56"/>
      <c r="X83" s="56"/>
      <c r="Y83" s="56"/>
      <c r="Z83" s="56"/>
      <c r="AA83" s="172"/>
      <c r="AB83" s="56"/>
      <c r="AC83" s="56"/>
      <c r="AD83" s="106"/>
      <c r="AE83" s="56"/>
      <c r="AF83" s="56"/>
      <c r="AG83" s="56"/>
      <c r="AH83" s="56"/>
      <c r="AI83" s="56"/>
      <c r="AJ83" s="56"/>
      <c r="AK83" s="106"/>
      <c r="AL83" s="56"/>
      <c r="AM83" s="56"/>
      <c r="AN83" s="56"/>
      <c r="AO83" s="56"/>
      <c r="AP83" s="56"/>
      <c r="AQ83" s="56"/>
      <c r="AR83" s="56"/>
      <c r="AS83" s="106"/>
      <c r="AT83" s="56"/>
      <c r="AU83" s="56"/>
      <c r="AV83" s="106"/>
      <c r="AW83" s="56"/>
      <c r="AX83" s="10"/>
      <c r="AY83" s="56"/>
      <c r="AZ83" s="56"/>
      <c r="BA83" s="56"/>
      <c r="BB83" s="56"/>
      <c r="BJ83" s="145"/>
      <c r="CD83" s="145"/>
      <c r="CT83" s="145"/>
    </row>
    <row r="84" spans="1:101" s="97" customFormat="1" ht="17.25" thickBot="1" x14ac:dyDescent="0.2">
      <c r="A84" s="11">
        <f t="shared" si="2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>
        <f t="shared" si="3"/>
        <v>0</v>
      </c>
      <c r="Q84" s="168"/>
      <c r="R84" s="56"/>
      <c r="S84" s="162"/>
      <c r="T84" s="106"/>
      <c r="U84" s="10"/>
      <c r="V84" s="56"/>
      <c r="W84" s="56"/>
      <c r="X84" s="56"/>
      <c r="Y84" s="56"/>
      <c r="Z84" s="56"/>
      <c r="AA84" s="172"/>
      <c r="AB84" s="56"/>
      <c r="AC84" s="56"/>
      <c r="AD84" s="106"/>
      <c r="AE84" s="56"/>
      <c r="AF84" s="56"/>
      <c r="AG84" s="56"/>
      <c r="AH84" s="56"/>
      <c r="AI84" s="56"/>
      <c r="AJ84" s="56"/>
      <c r="AK84" s="106"/>
      <c r="AL84" s="56"/>
      <c r="AM84" s="56"/>
      <c r="AN84" s="56"/>
      <c r="AO84" s="56"/>
      <c r="AP84" s="56"/>
      <c r="AQ84" s="56"/>
      <c r="AR84" s="56"/>
      <c r="AS84" s="106"/>
      <c r="AT84" s="56"/>
      <c r="AU84" s="56"/>
      <c r="AV84" s="106"/>
      <c r="AW84" s="56"/>
      <c r="AX84" s="10"/>
      <c r="AY84" s="56"/>
      <c r="AZ84" s="56"/>
      <c r="BA84" s="56"/>
      <c r="BB84" s="56"/>
      <c r="BJ84" s="145"/>
      <c r="CD84" s="145"/>
      <c r="CT84" s="145"/>
    </row>
    <row r="85" spans="1:101" s="114" customFormat="1" x14ac:dyDescent="0.15">
      <c r="A85" s="18">
        <f t="shared" si="1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933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3"/>
        <v>0.14400000000000002</v>
      </c>
      <c r="Q85" s="171" t="s">
        <v>1148</v>
      </c>
      <c r="R85" s="57">
        <v>100</v>
      </c>
      <c r="S85" s="163">
        <f>(R85/100000)*L85</f>
        <v>0.36</v>
      </c>
      <c r="T85" s="108"/>
      <c r="U85" s="17"/>
      <c r="V85" s="57"/>
      <c r="W85" s="57"/>
      <c r="X85" s="57"/>
      <c r="Y85" s="57"/>
      <c r="Z85" s="57"/>
      <c r="AA85" s="173"/>
      <c r="AB85" s="154">
        <v>90</v>
      </c>
      <c r="AC85" s="154">
        <v>90</v>
      </c>
      <c r="AD85" s="108"/>
      <c r="AE85" s="57"/>
      <c r="AF85" s="57"/>
      <c r="AG85" s="57"/>
      <c r="AH85" s="57"/>
      <c r="AI85" s="57"/>
      <c r="AJ85" s="57"/>
      <c r="AK85" s="108"/>
      <c r="AL85" s="57"/>
      <c r="AM85" s="57"/>
      <c r="AN85" s="57"/>
      <c r="AO85" s="57"/>
      <c r="AP85" s="57"/>
      <c r="AQ85" s="57"/>
      <c r="AR85" s="57"/>
      <c r="AS85" s="108"/>
      <c r="AT85" s="57"/>
      <c r="AU85" s="57"/>
      <c r="AV85" s="108"/>
      <c r="AW85" s="57"/>
      <c r="AX85" s="17"/>
      <c r="AY85" s="57"/>
      <c r="AZ85" s="154">
        <v>150</v>
      </c>
      <c r="BA85" s="154">
        <v>150</v>
      </c>
      <c r="BB85" s="57"/>
      <c r="BI85" s="154">
        <v>250</v>
      </c>
      <c r="BJ85" s="144"/>
      <c r="CD85" s="144"/>
      <c r="CT85" s="144"/>
      <c r="CV85" s="155">
        <v>90</v>
      </c>
      <c r="CW85" s="155">
        <v>80</v>
      </c>
    </row>
    <row r="86" spans="1:101" x14ac:dyDescent="0.15">
      <c r="A86" s="11">
        <f t="shared" si="1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934</v>
      </c>
      <c r="H86" s="56">
        <v>3</v>
      </c>
      <c r="L86" s="165">
        <v>360</v>
      </c>
      <c r="O86" s="56">
        <v>8</v>
      </c>
      <c r="P86" s="162">
        <f t="shared" si="3"/>
        <v>0.11520000000000001</v>
      </c>
      <c r="Q86" s="99" t="s">
        <v>1144</v>
      </c>
      <c r="R86" s="56">
        <v>200</v>
      </c>
      <c r="S86" s="162">
        <f t="shared" ref="S86:S90" si="4">(R86/100000)*L86</f>
        <v>0.72</v>
      </c>
      <c r="AB86" s="153">
        <v>80</v>
      </c>
      <c r="AC86" s="153">
        <v>80</v>
      </c>
      <c r="AZ86" s="153">
        <v>180</v>
      </c>
      <c r="BA86" s="153">
        <v>180</v>
      </c>
      <c r="BC86" s="109"/>
      <c r="BI86" s="153">
        <v>280</v>
      </c>
      <c r="CV86" s="156">
        <v>70</v>
      </c>
      <c r="CW86" s="156">
        <v>60</v>
      </c>
    </row>
    <row r="87" spans="1:101" x14ac:dyDescent="0.15">
      <c r="A87" s="11">
        <f t="shared" si="1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935</v>
      </c>
      <c r="H87" s="56">
        <v>5</v>
      </c>
      <c r="L87" s="165">
        <v>360</v>
      </c>
      <c r="O87" s="56">
        <v>5</v>
      </c>
      <c r="P87" s="162">
        <f t="shared" si="3"/>
        <v>7.2000000000000008E-2</v>
      </c>
      <c r="Q87" s="99" t="s">
        <v>1144</v>
      </c>
      <c r="R87" s="56">
        <v>300</v>
      </c>
      <c r="S87" s="162">
        <f t="shared" si="4"/>
        <v>1.08</v>
      </c>
      <c r="AB87" s="153">
        <v>70</v>
      </c>
      <c r="AC87" s="153">
        <v>70</v>
      </c>
      <c r="AZ87" s="153">
        <v>260</v>
      </c>
      <c r="BA87" s="153">
        <v>260</v>
      </c>
      <c r="BC87" s="109"/>
      <c r="BI87" s="153">
        <v>360</v>
      </c>
      <c r="CV87" s="156">
        <v>60</v>
      </c>
      <c r="CW87" s="156">
        <v>50</v>
      </c>
    </row>
    <row r="88" spans="1:101" x14ac:dyDescent="0.15">
      <c r="A88" s="11">
        <f t="shared" si="1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1030</v>
      </c>
      <c r="H88" s="56">
        <v>1</v>
      </c>
      <c r="L88" s="165">
        <v>360</v>
      </c>
      <c r="O88" s="56">
        <v>10</v>
      </c>
      <c r="P88" s="162">
        <f t="shared" si="3"/>
        <v>0.14400000000000002</v>
      </c>
      <c r="Q88" s="99" t="s">
        <v>1145</v>
      </c>
      <c r="R88" s="56">
        <v>100000</v>
      </c>
      <c r="S88" s="162">
        <f t="shared" si="4"/>
        <v>360</v>
      </c>
      <c r="AB88" s="153">
        <v>90</v>
      </c>
      <c r="AC88" s="153">
        <v>90</v>
      </c>
      <c r="AZ88" s="153">
        <v>150</v>
      </c>
      <c r="BA88" s="153">
        <v>150</v>
      </c>
      <c r="BI88" s="153">
        <v>250</v>
      </c>
    </row>
    <row r="89" spans="1:101" x14ac:dyDescent="0.15">
      <c r="A89" s="11">
        <f t="shared" si="1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1031</v>
      </c>
      <c r="H89" s="56">
        <v>3</v>
      </c>
      <c r="L89" s="165">
        <v>360</v>
      </c>
      <c r="O89" s="56">
        <v>8</v>
      </c>
      <c r="P89" s="162">
        <f t="shared" si="3"/>
        <v>0.11520000000000001</v>
      </c>
      <c r="Q89" s="99" t="s">
        <v>1145</v>
      </c>
      <c r="R89" s="56">
        <v>100000</v>
      </c>
      <c r="S89" s="162">
        <f t="shared" si="4"/>
        <v>360</v>
      </c>
      <c r="AB89" s="153">
        <v>80</v>
      </c>
      <c r="AC89" s="153">
        <v>80</v>
      </c>
      <c r="AZ89" s="153">
        <v>180</v>
      </c>
      <c r="BA89" s="153">
        <v>180</v>
      </c>
      <c r="BI89" s="153">
        <v>280</v>
      </c>
    </row>
    <row r="90" spans="1:101" x14ac:dyDescent="0.15">
      <c r="A90" s="11">
        <f t="shared" ref="A90:A153" si="5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1032</v>
      </c>
      <c r="H90" s="56">
        <v>5</v>
      </c>
      <c r="L90" s="165">
        <v>360</v>
      </c>
      <c r="O90" s="56">
        <v>5</v>
      </c>
      <c r="P90" s="162">
        <f t="shared" si="3"/>
        <v>7.2000000000000008E-2</v>
      </c>
      <c r="Q90" s="99" t="s">
        <v>1145</v>
      </c>
      <c r="R90" s="56">
        <v>100000</v>
      </c>
      <c r="S90" s="162">
        <f t="shared" si="4"/>
        <v>360</v>
      </c>
      <c r="AB90" s="153">
        <v>70</v>
      </c>
      <c r="AC90" s="153">
        <v>70</v>
      </c>
      <c r="AZ90" s="153">
        <v>260</v>
      </c>
      <c r="BA90" s="153">
        <v>260</v>
      </c>
      <c r="BI90" s="153">
        <v>360</v>
      </c>
    </row>
    <row r="91" spans="1:101" x14ac:dyDescent="0.15">
      <c r="A91" s="11">
        <f t="shared" si="5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>
        <f t="shared" si="3"/>
        <v>0</v>
      </c>
    </row>
    <row r="92" spans="1:101" x14ac:dyDescent="0.15">
      <c r="A92" s="11">
        <f t="shared" si="5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>
        <f t="shared" si="3"/>
        <v>0</v>
      </c>
    </row>
    <row r="93" spans="1:101" x14ac:dyDescent="0.15">
      <c r="A93" s="11">
        <f t="shared" si="5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>
        <f t="shared" si="3"/>
        <v>0</v>
      </c>
    </row>
    <row r="94" spans="1:101" x14ac:dyDescent="0.15">
      <c r="A94" s="11">
        <f t="shared" si="5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>
        <f t="shared" si="3"/>
        <v>0</v>
      </c>
    </row>
    <row r="95" spans="1:101" s="97" customFormat="1" x14ac:dyDescent="0.15">
      <c r="A95" s="11">
        <f t="shared" si="5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>
        <f t="shared" si="3"/>
        <v>0</v>
      </c>
      <c r="Q95" s="168"/>
      <c r="R95" s="56"/>
      <c r="S95" s="162"/>
      <c r="T95" s="106"/>
      <c r="U95" s="10"/>
      <c r="V95" s="56"/>
      <c r="W95" s="56"/>
      <c r="X95" s="56"/>
      <c r="Y95" s="56"/>
      <c r="Z95" s="56"/>
      <c r="AA95" s="172"/>
      <c r="AB95" s="56"/>
      <c r="AC95" s="56"/>
      <c r="AD95" s="106"/>
      <c r="AE95" s="56"/>
      <c r="AF95" s="56"/>
      <c r="AG95" s="56"/>
      <c r="AH95" s="56"/>
      <c r="AI95" s="56"/>
      <c r="AJ95" s="56"/>
      <c r="AK95" s="106"/>
      <c r="AL95" s="56"/>
      <c r="AM95" s="56"/>
      <c r="AN95" s="56"/>
      <c r="AO95" s="56"/>
      <c r="AP95" s="56"/>
      <c r="AQ95" s="56"/>
      <c r="AR95" s="56"/>
      <c r="AS95" s="106"/>
      <c r="AT95" s="56"/>
      <c r="AU95" s="56"/>
      <c r="AV95" s="106"/>
      <c r="AW95" s="56"/>
      <c r="AX95" s="10"/>
      <c r="AY95" s="56"/>
      <c r="AZ95" s="56"/>
      <c r="BA95" s="56"/>
      <c r="BB95" s="56"/>
      <c r="BJ95" s="145"/>
      <c r="CD95" s="145"/>
      <c r="CT95" s="145"/>
    </row>
    <row r="96" spans="1:101" s="97" customFormat="1" x14ac:dyDescent="0.15">
      <c r="A96" s="11">
        <f t="shared" si="5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>
        <f t="shared" si="3"/>
        <v>0</v>
      </c>
      <c r="Q96" s="168"/>
      <c r="R96" s="56"/>
      <c r="S96" s="162"/>
      <c r="T96" s="106"/>
      <c r="U96" s="10"/>
      <c r="V96" s="56"/>
      <c r="W96" s="56"/>
      <c r="X96" s="56"/>
      <c r="Y96" s="56"/>
      <c r="Z96" s="56"/>
      <c r="AA96" s="172"/>
      <c r="AB96" s="56"/>
      <c r="AC96" s="56"/>
      <c r="AD96" s="106"/>
      <c r="AE96" s="56"/>
      <c r="AF96" s="56"/>
      <c r="AG96" s="56"/>
      <c r="AH96" s="56"/>
      <c r="AI96" s="56"/>
      <c r="AJ96" s="56"/>
      <c r="AK96" s="106"/>
      <c r="AL96" s="56"/>
      <c r="AM96" s="56"/>
      <c r="AN96" s="56"/>
      <c r="AO96" s="56"/>
      <c r="AP96" s="56"/>
      <c r="AQ96" s="56"/>
      <c r="AR96" s="56"/>
      <c r="AS96" s="106"/>
      <c r="AT96" s="56"/>
      <c r="AU96" s="56"/>
      <c r="AV96" s="106"/>
      <c r="AW96" s="56"/>
      <c r="AX96" s="10"/>
      <c r="AY96" s="56"/>
      <c r="AZ96" s="56"/>
      <c r="BA96" s="56"/>
      <c r="BB96" s="56"/>
      <c r="BJ96" s="145"/>
      <c r="CD96" s="145"/>
      <c r="CT96" s="145"/>
    </row>
    <row r="97" spans="1:98" s="97" customFormat="1" x14ac:dyDescent="0.15">
      <c r="A97" s="11">
        <f t="shared" si="5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>
        <f t="shared" si="3"/>
        <v>0</v>
      </c>
      <c r="Q97" s="168"/>
      <c r="R97" s="56"/>
      <c r="S97" s="162"/>
      <c r="T97" s="106"/>
      <c r="U97" s="10"/>
      <c r="V97" s="56"/>
      <c r="W97" s="56"/>
      <c r="X97" s="56"/>
      <c r="Y97" s="56"/>
      <c r="Z97" s="56"/>
      <c r="AA97" s="172"/>
      <c r="AB97" s="56"/>
      <c r="AC97" s="56"/>
      <c r="AD97" s="106"/>
      <c r="AE97" s="56"/>
      <c r="AF97" s="56"/>
      <c r="AG97" s="56"/>
      <c r="AH97" s="56"/>
      <c r="AI97" s="56"/>
      <c r="AJ97" s="56"/>
      <c r="AK97" s="106"/>
      <c r="AL97" s="56"/>
      <c r="AM97" s="56"/>
      <c r="AN97" s="56"/>
      <c r="AO97" s="56"/>
      <c r="AP97" s="56"/>
      <c r="AQ97" s="56"/>
      <c r="AR97" s="56"/>
      <c r="AS97" s="106"/>
      <c r="AT97" s="56"/>
      <c r="AU97" s="56"/>
      <c r="AV97" s="106"/>
      <c r="AW97" s="56"/>
      <c r="AX97" s="10"/>
      <c r="AY97" s="56"/>
      <c r="AZ97" s="56"/>
      <c r="BA97" s="56"/>
      <c r="BB97" s="56"/>
      <c r="BJ97" s="145"/>
      <c r="CD97" s="145"/>
      <c r="CT97" s="145"/>
    </row>
    <row r="98" spans="1:98" s="97" customFormat="1" x14ac:dyDescent="0.15">
      <c r="A98" s="11">
        <f t="shared" si="5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>
        <f t="shared" si="3"/>
        <v>0</v>
      </c>
      <c r="Q98" s="168"/>
      <c r="R98" s="56"/>
      <c r="S98" s="162"/>
      <c r="T98" s="106"/>
      <c r="U98" s="10"/>
      <c r="V98" s="56"/>
      <c r="W98" s="56"/>
      <c r="X98" s="56"/>
      <c r="Y98" s="56"/>
      <c r="Z98" s="56"/>
      <c r="AA98" s="172"/>
      <c r="AB98" s="56"/>
      <c r="AC98" s="56"/>
      <c r="AD98" s="106"/>
      <c r="AE98" s="56"/>
      <c r="AF98" s="56"/>
      <c r="AG98" s="56"/>
      <c r="AH98" s="56"/>
      <c r="AI98" s="56"/>
      <c r="AJ98" s="56"/>
      <c r="AK98" s="106"/>
      <c r="AL98" s="56"/>
      <c r="AM98" s="56"/>
      <c r="AN98" s="56"/>
      <c r="AO98" s="56"/>
      <c r="AP98" s="56"/>
      <c r="AQ98" s="56"/>
      <c r="AR98" s="56"/>
      <c r="AS98" s="106"/>
      <c r="AT98" s="56"/>
      <c r="AU98" s="56"/>
      <c r="AV98" s="106"/>
      <c r="AW98" s="56"/>
      <c r="AX98" s="10"/>
      <c r="AY98" s="56"/>
      <c r="AZ98" s="56"/>
      <c r="BA98" s="56"/>
      <c r="BB98" s="56"/>
      <c r="BJ98" s="145"/>
      <c r="CD98" s="145"/>
      <c r="CT98" s="145"/>
    </row>
    <row r="99" spans="1:98" s="97" customFormat="1" x14ac:dyDescent="0.15">
      <c r="A99" s="11">
        <f t="shared" si="5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>
        <f t="shared" si="3"/>
        <v>0</v>
      </c>
      <c r="Q99" s="168"/>
      <c r="R99" s="56"/>
      <c r="S99" s="162"/>
      <c r="T99" s="106"/>
      <c r="U99" s="10"/>
      <c r="V99" s="56"/>
      <c r="W99" s="56"/>
      <c r="X99" s="56"/>
      <c r="Y99" s="56"/>
      <c r="Z99" s="56"/>
      <c r="AA99" s="172"/>
      <c r="AB99" s="56"/>
      <c r="AC99" s="56"/>
      <c r="AD99" s="106"/>
      <c r="AE99" s="56"/>
      <c r="AF99" s="56"/>
      <c r="AG99" s="56"/>
      <c r="AH99" s="56"/>
      <c r="AI99" s="56"/>
      <c r="AJ99" s="56"/>
      <c r="AK99" s="106"/>
      <c r="AL99" s="56"/>
      <c r="AM99" s="56"/>
      <c r="AN99" s="56"/>
      <c r="AO99" s="56"/>
      <c r="AP99" s="56"/>
      <c r="AQ99" s="56"/>
      <c r="AR99" s="56"/>
      <c r="AS99" s="106"/>
      <c r="AT99" s="56"/>
      <c r="AU99" s="56"/>
      <c r="AV99" s="106"/>
      <c r="AW99" s="56"/>
      <c r="AX99" s="10"/>
      <c r="AY99" s="56"/>
      <c r="AZ99" s="56"/>
      <c r="BA99" s="56"/>
      <c r="BB99" s="56"/>
      <c r="BJ99" s="145"/>
      <c r="CD99" s="145"/>
      <c r="CT99" s="145"/>
    </row>
    <row r="100" spans="1:98" s="97" customFormat="1" x14ac:dyDescent="0.15">
      <c r="A100" s="11">
        <f t="shared" si="5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>
        <f t="shared" si="3"/>
        <v>0</v>
      </c>
      <c r="Q100" s="168"/>
      <c r="R100" s="56"/>
      <c r="S100" s="162"/>
      <c r="T100" s="106"/>
      <c r="U100" s="10"/>
      <c r="V100" s="56"/>
      <c r="W100" s="56"/>
      <c r="X100" s="56"/>
      <c r="Y100" s="56"/>
      <c r="Z100" s="56"/>
      <c r="AA100" s="172"/>
      <c r="AB100" s="56"/>
      <c r="AC100" s="56"/>
      <c r="AD100" s="106"/>
      <c r="AE100" s="56"/>
      <c r="AF100" s="56"/>
      <c r="AG100" s="56"/>
      <c r="AH100" s="56"/>
      <c r="AI100" s="56"/>
      <c r="AJ100" s="56"/>
      <c r="AK100" s="106"/>
      <c r="AL100" s="56"/>
      <c r="AM100" s="56"/>
      <c r="AN100" s="56"/>
      <c r="AO100" s="56"/>
      <c r="AP100" s="56"/>
      <c r="AQ100" s="56"/>
      <c r="AR100" s="56"/>
      <c r="AS100" s="106"/>
      <c r="AT100" s="56"/>
      <c r="AU100" s="56"/>
      <c r="AV100" s="106"/>
      <c r="AW100" s="56"/>
      <c r="AX100" s="10"/>
      <c r="AY100" s="56"/>
      <c r="AZ100" s="56"/>
      <c r="BA100" s="56"/>
      <c r="BB100" s="56"/>
      <c r="BJ100" s="145"/>
      <c r="CD100" s="145"/>
      <c r="CT100" s="145"/>
    </row>
    <row r="101" spans="1:98" s="97" customFormat="1" x14ac:dyDescent="0.15">
      <c r="A101" s="11">
        <f t="shared" si="5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>
        <f t="shared" si="3"/>
        <v>0</v>
      </c>
      <c r="Q101" s="168"/>
      <c r="R101" s="56"/>
      <c r="S101" s="162"/>
      <c r="T101" s="106"/>
      <c r="U101" s="10"/>
      <c r="V101" s="56"/>
      <c r="W101" s="56"/>
      <c r="X101" s="56"/>
      <c r="Y101" s="56"/>
      <c r="Z101" s="56"/>
      <c r="AA101" s="172"/>
      <c r="AB101" s="56"/>
      <c r="AC101" s="56"/>
      <c r="AD101" s="106"/>
      <c r="AE101" s="56"/>
      <c r="AF101" s="56"/>
      <c r="AG101" s="56"/>
      <c r="AH101" s="56"/>
      <c r="AI101" s="56"/>
      <c r="AJ101" s="56"/>
      <c r="AK101" s="106"/>
      <c r="AL101" s="56"/>
      <c r="AM101" s="56"/>
      <c r="AN101" s="56"/>
      <c r="AO101" s="56"/>
      <c r="AP101" s="56"/>
      <c r="AQ101" s="56"/>
      <c r="AR101" s="56"/>
      <c r="AS101" s="106"/>
      <c r="AT101" s="56"/>
      <c r="AU101" s="56"/>
      <c r="AV101" s="106"/>
      <c r="AW101" s="56"/>
      <c r="AX101" s="10"/>
      <c r="AY101" s="56"/>
      <c r="AZ101" s="56"/>
      <c r="BA101" s="56"/>
      <c r="BB101" s="56"/>
      <c r="BJ101" s="145"/>
      <c r="CD101" s="145"/>
      <c r="CT101" s="145"/>
    </row>
    <row r="102" spans="1:98" s="97" customFormat="1" x14ac:dyDescent="0.15">
      <c r="A102" s="11">
        <f t="shared" si="5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>
        <f t="shared" si="3"/>
        <v>0</v>
      </c>
      <c r="Q102" s="168"/>
      <c r="R102" s="56"/>
      <c r="S102" s="162"/>
      <c r="T102" s="106"/>
      <c r="U102" s="10"/>
      <c r="V102" s="56"/>
      <c r="W102" s="56"/>
      <c r="X102" s="56"/>
      <c r="Y102" s="56"/>
      <c r="Z102" s="56"/>
      <c r="AA102" s="172"/>
      <c r="AB102" s="56"/>
      <c r="AC102" s="56"/>
      <c r="AD102" s="106"/>
      <c r="AE102" s="56"/>
      <c r="AF102" s="56"/>
      <c r="AG102" s="56"/>
      <c r="AH102" s="56"/>
      <c r="AI102" s="56"/>
      <c r="AJ102" s="56"/>
      <c r="AK102" s="106"/>
      <c r="AL102" s="56"/>
      <c r="AM102" s="56"/>
      <c r="AN102" s="56"/>
      <c r="AO102" s="56"/>
      <c r="AP102" s="56"/>
      <c r="AQ102" s="56"/>
      <c r="AR102" s="56"/>
      <c r="AS102" s="106"/>
      <c r="AT102" s="56"/>
      <c r="AU102" s="56"/>
      <c r="AV102" s="106"/>
      <c r="AW102" s="56"/>
      <c r="AX102" s="10"/>
      <c r="AY102" s="56"/>
      <c r="AZ102" s="56"/>
      <c r="BA102" s="56"/>
      <c r="BB102" s="56"/>
      <c r="BJ102" s="145"/>
      <c r="CD102" s="145"/>
      <c r="CT102" s="145"/>
    </row>
    <row r="103" spans="1:98" s="97" customFormat="1" x14ac:dyDescent="0.15">
      <c r="A103" s="11">
        <f t="shared" si="5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>
        <f t="shared" si="3"/>
        <v>0</v>
      </c>
      <c r="Q103" s="168"/>
      <c r="R103" s="56"/>
      <c r="S103" s="162"/>
      <c r="T103" s="106"/>
      <c r="U103" s="10"/>
      <c r="V103" s="56"/>
      <c r="W103" s="56"/>
      <c r="X103" s="56"/>
      <c r="Y103" s="56"/>
      <c r="Z103" s="56"/>
      <c r="AA103" s="172"/>
      <c r="AB103" s="56"/>
      <c r="AC103" s="56"/>
      <c r="AD103" s="106"/>
      <c r="AE103" s="56"/>
      <c r="AF103" s="56"/>
      <c r="AG103" s="56"/>
      <c r="AH103" s="56"/>
      <c r="AI103" s="56"/>
      <c r="AJ103" s="56"/>
      <c r="AK103" s="106"/>
      <c r="AL103" s="56"/>
      <c r="AM103" s="56"/>
      <c r="AN103" s="56"/>
      <c r="AO103" s="56"/>
      <c r="AP103" s="56"/>
      <c r="AQ103" s="56"/>
      <c r="AR103" s="56"/>
      <c r="AS103" s="106"/>
      <c r="AT103" s="56"/>
      <c r="AU103" s="56"/>
      <c r="AV103" s="106"/>
      <c r="AW103" s="56"/>
      <c r="AX103" s="10"/>
      <c r="AY103" s="56"/>
      <c r="AZ103" s="56"/>
      <c r="BA103" s="56"/>
      <c r="BB103" s="56"/>
      <c r="BJ103" s="145"/>
      <c r="CD103" s="145"/>
      <c r="CT103" s="145"/>
    </row>
    <row r="104" spans="1:98" s="97" customFormat="1" ht="17.25" thickBot="1" x14ac:dyDescent="0.2">
      <c r="A104" s="11">
        <f t="shared" si="5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>
        <f t="shared" si="3"/>
        <v>0</v>
      </c>
      <c r="Q104" s="168"/>
      <c r="R104" s="56"/>
      <c r="S104" s="162"/>
      <c r="T104" s="106"/>
      <c r="U104" s="10"/>
      <c r="V104" s="56"/>
      <c r="W104" s="56"/>
      <c r="X104" s="56"/>
      <c r="Y104" s="56"/>
      <c r="Z104" s="56"/>
      <c r="AA104" s="172"/>
      <c r="AB104" s="56"/>
      <c r="AC104" s="56"/>
      <c r="AD104" s="106"/>
      <c r="AE104" s="56"/>
      <c r="AF104" s="56"/>
      <c r="AG104" s="56"/>
      <c r="AH104" s="56"/>
      <c r="AI104" s="56"/>
      <c r="AJ104" s="56"/>
      <c r="AK104" s="106"/>
      <c r="AL104" s="56"/>
      <c r="AM104" s="56"/>
      <c r="AN104" s="56"/>
      <c r="AO104" s="56"/>
      <c r="AP104" s="56"/>
      <c r="AQ104" s="56"/>
      <c r="AR104" s="56"/>
      <c r="AS104" s="106"/>
      <c r="AT104" s="56"/>
      <c r="AU104" s="56"/>
      <c r="AV104" s="106"/>
      <c r="AW104" s="56"/>
      <c r="AX104" s="10"/>
      <c r="AY104" s="56"/>
      <c r="AZ104" s="56"/>
      <c r="BA104" s="56"/>
      <c r="BB104" s="56"/>
      <c r="BJ104" s="145"/>
      <c r="CD104" s="145"/>
      <c r="CT104" s="145"/>
    </row>
    <row r="105" spans="1:98" s="114" customFormat="1" x14ac:dyDescent="0.15">
      <c r="A105" s="18">
        <f t="shared" si="5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>
        <f t="shared" si="3"/>
        <v>0</v>
      </c>
      <c r="Q105" s="169"/>
      <c r="R105" s="57"/>
      <c r="S105" s="163"/>
      <c r="T105" s="108"/>
      <c r="U105" s="17"/>
      <c r="V105" s="57"/>
      <c r="W105" s="57"/>
      <c r="X105" s="57"/>
      <c r="Y105" s="57"/>
      <c r="Z105" s="57"/>
      <c r="AA105" s="173"/>
      <c r="AB105" s="57"/>
      <c r="AC105" s="57"/>
      <c r="AD105" s="108"/>
      <c r="AE105" s="57"/>
      <c r="AF105" s="57"/>
      <c r="AG105" s="57"/>
      <c r="AH105" s="57"/>
      <c r="AI105" s="57"/>
      <c r="AJ105" s="57"/>
      <c r="AK105" s="108"/>
      <c r="AL105" s="57"/>
      <c r="AM105" s="57"/>
      <c r="AN105" s="57"/>
      <c r="AO105" s="57"/>
      <c r="AP105" s="57"/>
      <c r="AQ105" s="57"/>
      <c r="AR105" s="57"/>
      <c r="AS105" s="108"/>
      <c r="AT105" s="57"/>
      <c r="AU105" s="57"/>
      <c r="AV105" s="108"/>
      <c r="AW105" s="57"/>
      <c r="AX105" s="17"/>
      <c r="AY105" s="57"/>
      <c r="AZ105" s="57"/>
      <c r="BA105" s="57"/>
      <c r="BB105" s="57"/>
      <c r="BJ105" s="144"/>
      <c r="CD105" s="144"/>
      <c r="CT105" s="144"/>
    </row>
    <row r="106" spans="1:98" x14ac:dyDescent="0.15">
      <c r="A106" s="11">
        <f t="shared" si="5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>
        <f t="shared" si="3"/>
        <v>0</v>
      </c>
      <c r="BC106" s="109"/>
    </row>
    <row r="107" spans="1:98" x14ac:dyDescent="0.15">
      <c r="A107" s="11">
        <f t="shared" si="5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>
        <f t="shared" si="3"/>
        <v>0</v>
      </c>
      <c r="BC107" s="109"/>
    </row>
    <row r="108" spans="1:98" x14ac:dyDescent="0.15">
      <c r="A108" s="11">
        <f t="shared" si="5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>
        <f t="shared" si="3"/>
        <v>0</v>
      </c>
    </row>
    <row r="109" spans="1:98" x14ac:dyDescent="0.15">
      <c r="A109" s="11">
        <f t="shared" si="5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>
        <f t="shared" si="3"/>
        <v>0</v>
      </c>
    </row>
    <row r="110" spans="1:98" x14ac:dyDescent="0.15">
      <c r="A110" s="11">
        <f t="shared" si="5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>
        <f t="shared" si="3"/>
        <v>0</v>
      </c>
    </row>
    <row r="111" spans="1:98" x14ac:dyDescent="0.15">
      <c r="A111" s="11">
        <f t="shared" si="5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>
        <f t="shared" si="3"/>
        <v>0</v>
      </c>
    </row>
    <row r="112" spans="1:98" x14ac:dyDescent="0.15">
      <c r="A112" s="11">
        <f t="shared" si="5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>
        <f t="shared" si="3"/>
        <v>0</v>
      </c>
    </row>
    <row r="113" spans="1:98" x14ac:dyDescent="0.15">
      <c r="A113" s="11">
        <f t="shared" si="5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>
        <f t="shared" si="3"/>
        <v>0</v>
      </c>
    </row>
    <row r="114" spans="1:98" x14ac:dyDescent="0.15">
      <c r="A114" s="11">
        <f t="shared" si="5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>
        <f t="shared" si="3"/>
        <v>0</v>
      </c>
    </row>
    <row r="115" spans="1:98" s="97" customFormat="1" x14ac:dyDescent="0.15">
      <c r="A115" s="11">
        <f t="shared" si="5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>
        <f t="shared" si="3"/>
        <v>0</v>
      </c>
      <c r="Q115" s="168"/>
      <c r="R115" s="56"/>
      <c r="S115" s="162"/>
      <c r="T115" s="106"/>
      <c r="U115" s="10"/>
      <c r="V115" s="56"/>
      <c r="W115" s="56"/>
      <c r="X115" s="56"/>
      <c r="Y115" s="56"/>
      <c r="Z115" s="56"/>
      <c r="AA115" s="172"/>
      <c r="AB115" s="56"/>
      <c r="AC115" s="56"/>
      <c r="AD115" s="106"/>
      <c r="AE115" s="56"/>
      <c r="AF115" s="56"/>
      <c r="AG115" s="56"/>
      <c r="AH115" s="56"/>
      <c r="AI115" s="56"/>
      <c r="AJ115" s="56"/>
      <c r="AK115" s="106"/>
      <c r="AL115" s="56"/>
      <c r="AM115" s="56"/>
      <c r="AN115" s="56"/>
      <c r="AO115" s="56"/>
      <c r="AP115" s="56"/>
      <c r="AQ115" s="56"/>
      <c r="AR115" s="56"/>
      <c r="AS115" s="106"/>
      <c r="AT115" s="56"/>
      <c r="AU115" s="56"/>
      <c r="AV115" s="106"/>
      <c r="AW115" s="56"/>
      <c r="AX115" s="10"/>
      <c r="AY115" s="56"/>
      <c r="AZ115" s="56"/>
      <c r="BA115" s="56"/>
      <c r="BB115" s="56"/>
      <c r="BJ115" s="145"/>
      <c r="CD115" s="145"/>
      <c r="CT115" s="145"/>
    </row>
    <row r="116" spans="1:98" s="97" customFormat="1" x14ac:dyDescent="0.15">
      <c r="A116" s="11">
        <f t="shared" si="5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>
        <f t="shared" si="3"/>
        <v>0</v>
      </c>
      <c r="Q116" s="168"/>
      <c r="R116" s="56"/>
      <c r="S116" s="162"/>
      <c r="T116" s="106"/>
      <c r="U116" s="10"/>
      <c r="V116" s="56"/>
      <c r="W116" s="56"/>
      <c r="X116" s="56"/>
      <c r="Y116" s="56"/>
      <c r="Z116" s="56"/>
      <c r="AA116" s="172"/>
      <c r="AB116" s="56"/>
      <c r="AC116" s="56"/>
      <c r="AD116" s="106"/>
      <c r="AE116" s="56"/>
      <c r="AF116" s="56"/>
      <c r="AG116" s="56"/>
      <c r="AH116" s="56"/>
      <c r="AI116" s="56"/>
      <c r="AJ116" s="56"/>
      <c r="AK116" s="106"/>
      <c r="AL116" s="56"/>
      <c r="AM116" s="56"/>
      <c r="AN116" s="56"/>
      <c r="AO116" s="56"/>
      <c r="AP116" s="56"/>
      <c r="AQ116" s="56"/>
      <c r="AR116" s="56"/>
      <c r="AS116" s="106"/>
      <c r="AT116" s="56"/>
      <c r="AU116" s="56"/>
      <c r="AV116" s="106"/>
      <c r="AW116" s="56"/>
      <c r="AX116" s="10"/>
      <c r="AY116" s="56"/>
      <c r="AZ116" s="56"/>
      <c r="BA116" s="56"/>
      <c r="BB116" s="56"/>
      <c r="BJ116" s="145"/>
      <c r="CD116" s="145"/>
      <c r="CT116" s="145"/>
    </row>
    <row r="117" spans="1:98" s="97" customFormat="1" x14ac:dyDescent="0.15">
      <c r="A117" s="11">
        <f t="shared" si="5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>
        <f t="shared" si="3"/>
        <v>0</v>
      </c>
      <c r="Q117" s="168"/>
      <c r="R117" s="56"/>
      <c r="S117" s="162"/>
      <c r="T117" s="106"/>
      <c r="U117" s="10"/>
      <c r="V117" s="56"/>
      <c r="W117" s="56"/>
      <c r="X117" s="56"/>
      <c r="Y117" s="56"/>
      <c r="Z117" s="56"/>
      <c r="AA117" s="172"/>
      <c r="AB117" s="56"/>
      <c r="AC117" s="56"/>
      <c r="AD117" s="106"/>
      <c r="AE117" s="56"/>
      <c r="AF117" s="56"/>
      <c r="AG117" s="56"/>
      <c r="AH117" s="56"/>
      <c r="AI117" s="56"/>
      <c r="AJ117" s="56"/>
      <c r="AK117" s="106"/>
      <c r="AL117" s="56"/>
      <c r="AM117" s="56"/>
      <c r="AN117" s="56"/>
      <c r="AO117" s="56"/>
      <c r="AP117" s="56"/>
      <c r="AQ117" s="56"/>
      <c r="AR117" s="56"/>
      <c r="AS117" s="106"/>
      <c r="AT117" s="56"/>
      <c r="AU117" s="56"/>
      <c r="AV117" s="106"/>
      <c r="AW117" s="56"/>
      <c r="AX117" s="10"/>
      <c r="AY117" s="56"/>
      <c r="AZ117" s="56"/>
      <c r="BA117" s="56"/>
      <c r="BB117" s="56"/>
      <c r="BJ117" s="145"/>
      <c r="CD117" s="145"/>
      <c r="CT117" s="145"/>
    </row>
    <row r="118" spans="1:98" s="97" customFormat="1" x14ac:dyDescent="0.15">
      <c r="A118" s="11">
        <f t="shared" si="5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>
        <f t="shared" si="3"/>
        <v>0</v>
      </c>
      <c r="Q118" s="168"/>
      <c r="R118" s="56"/>
      <c r="S118" s="162"/>
      <c r="T118" s="106"/>
      <c r="U118" s="10"/>
      <c r="V118" s="56"/>
      <c r="W118" s="56"/>
      <c r="X118" s="56"/>
      <c r="Y118" s="56"/>
      <c r="Z118" s="56"/>
      <c r="AA118" s="172"/>
      <c r="AB118" s="56"/>
      <c r="AC118" s="56"/>
      <c r="AD118" s="106"/>
      <c r="AE118" s="56"/>
      <c r="AF118" s="56"/>
      <c r="AG118" s="56"/>
      <c r="AH118" s="56"/>
      <c r="AI118" s="56"/>
      <c r="AJ118" s="56"/>
      <c r="AK118" s="106"/>
      <c r="AL118" s="56"/>
      <c r="AM118" s="56"/>
      <c r="AN118" s="56"/>
      <c r="AO118" s="56"/>
      <c r="AP118" s="56"/>
      <c r="AQ118" s="56"/>
      <c r="AR118" s="56"/>
      <c r="AS118" s="106"/>
      <c r="AT118" s="56"/>
      <c r="AU118" s="56"/>
      <c r="AV118" s="106"/>
      <c r="AW118" s="56"/>
      <c r="AX118" s="10"/>
      <c r="AY118" s="56"/>
      <c r="AZ118" s="56"/>
      <c r="BA118" s="56"/>
      <c r="BB118" s="56"/>
      <c r="BJ118" s="145"/>
      <c r="CD118" s="145"/>
      <c r="CT118" s="145"/>
    </row>
    <row r="119" spans="1:98" s="97" customFormat="1" x14ac:dyDescent="0.15">
      <c r="A119" s="11">
        <f t="shared" si="5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>
        <f t="shared" si="3"/>
        <v>0</v>
      </c>
      <c r="Q119" s="168"/>
      <c r="R119" s="56"/>
      <c r="S119" s="162"/>
      <c r="T119" s="106"/>
      <c r="U119" s="10"/>
      <c r="V119" s="56"/>
      <c r="W119" s="56"/>
      <c r="X119" s="56"/>
      <c r="Y119" s="56"/>
      <c r="Z119" s="56"/>
      <c r="AA119" s="172"/>
      <c r="AB119" s="56"/>
      <c r="AC119" s="56"/>
      <c r="AD119" s="106"/>
      <c r="AE119" s="56"/>
      <c r="AF119" s="56"/>
      <c r="AG119" s="56"/>
      <c r="AH119" s="56"/>
      <c r="AI119" s="56"/>
      <c r="AJ119" s="56"/>
      <c r="AK119" s="106"/>
      <c r="AL119" s="56"/>
      <c r="AM119" s="56"/>
      <c r="AN119" s="56"/>
      <c r="AO119" s="56"/>
      <c r="AP119" s="56"/>
      <c r="AQ119" s="56"/>
      <c r="AR119" s="56"/>
      <c r="AS119" s="106"/>
      <c r="AT119" s="56"/>
      <c r="AU119" s="56"/>
      <c r="AV119" s="106"/>
      <c r="AW119" s="56"/>
      <c r="AX119" s="10"/>
      <c r="AY119" s="56"/>
      <c r="AZ119" s="56"/>
      <c r="BA119" s="56"/>
      <c r="BB119" s="56"/>
      <c r="BJ119" s="145"/>
      <c r="CD119" s="145"/>
      <c r="CT119" s="145"/>
    </row>
    <row r="120" spans="1:98" s="97" customFormat="1" x14ac:dyDescent="0.15">
      <c r="A120" s="11">
        <f t="shared" si="5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>
        <f t="shared" si="3"/>
        <v>0</v>
      </c>
      <c r="Q120" s="168"/>
      <c r="R120" s="56"/>
      <c r="S120" s="162"/>
      <c r="T120" s="106"/>
      <c r="U120" s="10"/>
      <c r="V120" s="56"/>
      <c r="W120" s="56"/>
      <c r="X120" s="56"/>
      <c r="Y120" s="56"/>
      <c r="Z120" s="56"/>
      <c r="AA120" s="172"/>
      <c r="AB120" s="56"/>
      <c r="AC120" s="56"/>
      <c r="AD120" s="106"/>
      <c r="AE120" s="56"/>
      <c r="AF120" s="56"/>
      <c r="AG120" s="56"/>
      <c r="AH120" s="56"/>
      <c r="AI120" s="56"/>
      <c r="AJ120" s="56"/>
      <c r="AK120" s="106"/>
      <c r="AL120" s="56"/>
      <c r="AM120" s="56"/>
      <c r="AN120" s="56"/>
      <c r="AO120" s="56"/>
      <c r="AP120" s="56"/>
      <c r="AQ120" s="56"/>
      <c r="AR120" s="56"/>
      <c r="AS120" s="106"/>
      <c r="AT120" s="56"/>
      <c r="AU120" s="56"/>
      <c r="AV120" s="106"/>
      <c r="AW120" s="56"/>
      <c r="AX120" s="10"/>
      <c r="AY120" s="56"/>
      <c r="AZ120" s="56"/>
      <c r="BA120" s="56"/>
      <c r="BB120" s="56"/>
      <c r="BJ120" s="145"/>
      <c r="CD120" s="145"/>
      <c r="CT120" s="145"/>
    </row>
    <row r="121" spans="1:98" s="97" customFormat="1" x14ac:dyDescent="0.15">
      <c r="A121" s="11">
        <f t="shared" si="5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>
        <f t="shared" si="3"/>
        <v>0</v>
      </c>
      <c r="Q121" s="168"/>
      <c r="R121" s="56"/>
      <c r="S121" s="162"/>
      <c r="T121" s="106"/>
      <c r="U121" s="10"/>
      <c r="V121" s="56"/>
      <c r="W121" s="56"/>
      <c r="X121" s="56"/>
      <c r="Y121" s="56"/>
      <c r="Z121" s="56"/>
      <c r="AA121" s="172"/>
      <c r="AB121" s="56"/>
      <c r="AC121" s="56"/>
      <c r="AD121" s="106"/>
      <c r="AE121" s="56"/>
      <c r="AF121" s="56"/>
      <c r="AG121" s="56"/>
      <c r="AH121" s="56"/>
      <c r="AI121" s="56"/>
      <c r="AJ121" s="56"/>
      <c r="AK121" s="106"/>
      <c r="AL121" s="56"/>
      <c r="AM121" s="56"/>
      <c r="AN121" s="56"/>
      <c r="AO121" s="56"/>
      <c r="AP121" s="56"/>
      <c r="AQ121" s="56"/>
      <c r="AR121" s="56"/>
      <c r="AS121" s="106"/>
      <c r="AT121" s="56"/>
      <c r="AU121" s="56"/>
      <c r="AV121" s="106"/>
      <c r="AW121" s="56"/>
      <c r="AX121" s="10"/>
      <c r="AY121" s="56"/>
      <c r="AZ121" s="56"/>
      <c r="BA121" s="56"/>
      <c r="BB121" s="56"/>
      <c r="BJ121" s="145"/>
      <c r="CD121" s="145"/>
      <c r="CT121" s="145"/>
    </row>
    <row r="122" spans="1:98" s="97" customFormat="1" x14ac:dyDescent="0.15">
      <c r="A122" s="11">
        <f t="shared" si="5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>
        <f t="shared" si="3"/>
        <v>0</v>
      </c>
      <c r="Q122" s="168"/>
      <c r="R122" s="56"/>
      <c r="S122" s="162"/>
      <c r="T122" s="106"/>
      <c r="U122" s="10"/>
      <c r="V122" s="56"/>
      <c r="W122" s="56"/>
      <c r="X122" s="56"/>
      <c r="Y122" s="56"/>
      <c r="Z122" s="56"/>
      <c r="AA122" s="172"/>
      <c r="AB122" s="56"/>
      <c r="AC122" s="56"/>
      <c r="AD122" s="106"/>
      <c r="AE122" s="56"/>
      <c r="AF122" s="56"/>
      <c r="AG122" s="56"/>
      <c r="AH122" s="56"/>
      <c r="AI122" s="56"/>
      <c r="AJ122" s="56"/>
      <c r="AK122" s="106"/>
      <c r="AL122" s="56"/>
      <c r="AM122" s="56"/>
      <c r="AN122" s="56"/>
      <c r="AO122" s="56"/>
      <c r="AP122" s="56"/>
      <c r="AQ122" s="56"/>
      <c r="AR122" s="56"/>
      <c r="AS122" s="106"/>
      <c r="AT122" s="56"/>
      <c r="AU122" s="56"/>
      <c r="AV122" s="106"/>
      <c r="AW122" s="56"/>
      <c r="AX122" s="10"/>
      <c r="AY122" s="56"/>
      <c r="AZ122" s="56"/>
      <c r="BA122" s="56"/>
      <c r="BB122" s="56"/>
      <c r="BJ122" s="145"/>
      <c r="CD122" s="145"/>
      <c r="CT122" s="145"/>
    </row>
    <row r="123" spans="1:98" s="97" customFormat="1" x14ac:dyDescent="0.15">
      <c r="A123" s="11">
        <f t="shared" si="5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>
        <f t="shared" si="3"/>
        <v>0</v>
      </c>
      <c r="Q123" s="168"/>
      <c r="R123" s="56"/>
      <c r="S123" s="162"/>
      <c r="T123" s="106"/>
      <c r="U123" s="10"/>
      <c r="V123" s="56"/>
      <c r="W123" s="56"/>
      <c r="X123" s="56"/>
      <c r="Y123" s="56"/>
      <c r="Z123" s="56"/>
      <c r="AA123" s="172"/>
      <c r="AB123" s="56"/>
      <c r="AC123" s="56"/>
      <c r="AD123" s="106"/>
      <c r="AE123" s="56"/>
      <c r="AF123" s="56"/>
      <c r="AG123" s="56"/>
      <c r="AH123" s="56"/>
      <c r="AI123" s="56"/>
      <c r="AJ123" s="56"/>
      <c r="AK123" s="106"/>
      <c r="AL123" s="56"/>
      <c r="AM123" s="56"/>
      <c r="AN123" s="56"/>
      <c r="AO123" s="56"/>
      <c r="AP123" s="56"/>
      <c r="AQ123" s="56"/>
      <c r="AR123" s="56"/>
      <c r="AS123" s="106"/>
      <c r="AT123" s="56"/>
      <c r="AU123" s="56"/>
      <c r="AV123" s="106"/>
      <c r="AW123" s="56"/>
      <c r="AX123" s="10"/>
      <c r="AY123" s="56"/>
      <c r="AZ123" s="56"/>
      <c r="BA123" s="56"/>
      <c r="BB123" s="56"/>
      <c r="BJ123" s="145"/>
      <c r="CD123" s="145"/>
      <c r="CT123" s="145"/>
    </row>
    <row r="124" spans="1:98" s="97" customFormat="1" ht="17.25" thickBot="1" x14ac:dyDescent="0.2">
      <c r="A124" s="11">
        <f t="shared" si="5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>
        <f t="shared" si="3"/>
        <v>0</v>
      </c>
      <c r="Q124" s="168"/>
      <c r="R124" s="56"/>
      <c r="S124" s="162"/>
      <c r="T124" s="106"/>
      <c r="U124" s="10"/>
      <c r="V124" s="56"/>
      <c r="W124" s="56"/>
      <c r="X124" s="56"/>
      <c r="Y124" s="56"/>
      <c r="Z124" s="56"/>
      <c r="AA124" s="172"/>
      <c r="AB124" s="56"/>
      <c r="AC124" s="56"/>
      <c r="AD124" s="106"/>
      <c r="AE124" s="56"/>
      <c r="AF124" s="56"/>
      <c r="AG124" s="56"/>
      <c r="AH124" s="56"/>
      <c r="AI124" s="56"/>
      <c r="AJ124" s="56"/>
      <c r="AK124" s="106"/>
      <c r="AL124" s="56"/>
      <c r="AM124" s="56"/>
      <c r="AN124" s="56"/>
      <c r="AO124" s="56"/>
      <c r="AP124" s="56"/>
      <c r="AQ124" s="56"/>
      <c r="AR124" s="56"/>
      <c r="AS124" s="106"/>
      <c r="AT124" s="56"/>
      <c r="AU124" s="56"/>
      <c r="AV124" s="106"/>
      <c r="AW124" s="56"/>
      <c r="AX124" s="10"/>
      <c r="AY124" s="56"/>
      <c r="AZ124" s="56"/>
      <c r="BA124" s="56"/>
      <c r="BB124" s="56"/>
      <c r="BJ124" s="145"/>
      <c r="CD124" s="145"/>
      <c r="CT124" s="145"/>
    </row>
    <row r="125" spans="1:98" s="114" customFormat="1" x14ac:dyDescent="0.15">
      <c r="A125" s="18">
        <f t="shared" si="5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>
        <f t="shared" si="3"/>
        <v>0</v>
      </c>
      <c r="Q125" s="169"/>
      <c r="R125" s="57"/>
      <c r="S125" s="163"/>
      <c r="T125" s="108"/>
      <c r="U125" s="17"/>
      <c r="V125" s="57"/>
      <c r="W125" s="57"/>
      <c r="X125" s="57"/>
      <c r="Y125" s="57"/>
      <c r="Z125" s="57"/>
      <c r="AA125" s="173"/>
      <c r="AB125" s="57"/>
      <c r="AC125" s="57"/>
      <c r="AD125" s="108"/>
      <c r="AE125" s="57"/>
      <c r="AF125" s="57"/>
      <c r="AG125" s="57"/>
      <c r="AH125" s="57"/>
      <c r="AI125" s="57"/>
      <c r="AJ125" s="57"/>
      <c r="AK125" s="108"/>
      <c r="AL125" s="57"/>
      <c r="AM125" s="57"/>
      <c r="AN125" s="57"/>
      <c r="AO125" s="57"/>
      <c r="AP125" s="57"/>
      <c r="AQ125" s="57"/>
      <c r="AR125" s="57"/>
      <c r="AS125" s="108"/>
      <c r="AT125" s="57"/>
      <c r="AU125" s="57"/>
      <c r="AV125" s="108"/>
      <c r="AW125" s="57"/>
      <c r="AX125" s="17"/>
      <c r="AY125" s="57"/>
      <c r="AZ125" s="57"/>
      <c r="BA125" s="57"/>
      <c r="BB125" s="57"/>
      <c r="BJ125" s="144"/>
      <c r="CD125" s="144"/>
      <c r="CT125" s="144"/>
    </row>
    <row r="126" spans="1:98" x14ac:dyDescent="0.15">
      <c r="A126" s="11">
        <f t="shared" si="5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>
        <f t="shared" si="3"/>
        <v>0</v>
      </c>
      <c r="BC126" s="109"/>
    </row>
    <row r="127" spans="1:98" x14ac:dyDescent="0.15">
      <c r="A127" s="11">
        <f t="shared" si="5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>
        <f t="shared" si="3"/>
        <v>0</v>
      </c>
      <c r="BC127" s="109"/>
    </row>
    <row r="128" spans="1:98" x14ac:dyDescent="0.15">
      <c r="A128" s="11">
        <f t="shared" si="5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>
        <f t="shared" si="3"/>
        <v>0</v>
      </c>
    </row>
    <row r="129" spans="1:98" x14ac:dyDescent="0.15">
      <c r="A129" s="11">
        <f t="shared" si="5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>
        <f t="shared" si="3"/>
        <v>0</v>
      </c>
    </row>
    <row r="130" spans="1:98" x14ac:dyDescent="0.15">
      <c r="A130" s="11">
        <f t="shared" si="5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>
        <f t="shared" si="3"/>
        <v>0</v>
      </c>
    </row>
    <row r="131" spans="1:98" x14ac:dyDescent="0.15">
      <c r="A131" s="11">
        <f t="shared" si="5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>
        <f t="shared" si="3"/>
        <v>0</v>
      </c>
    </row>
    <row r="132" spans="1:98" x14ac:dyDescent="0.15">
      <c r="A132" s="11">
        <f t="shared" si="5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>
        <f t="shared" si="3"/>
        <v>0</v>
      </c>
    </row>
    <row r="133" spans="1:98" x14ac:dyDescent="0.15">
      <c r="A133" s="11">
        <f t="shared" si="5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>
        <f t="shared" ref="P133:P196" si="6">(O133/100000)*1440</f>
        <v>0</v>
      </c>
    </row>
    <row r="134" spans="1:98" x14ac:dyDescent="0.15">
      <c r="A134" s="11">
        <f t="shared" si="5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>
        <f t="shared" si="6"/>
        <v>0</v>
      </c>
    </row>
    <row r="135" spans="1:98" s="97" customFormat="1" x14ac:dyDescent="0.15">
      <c r="A135" s="11">
        <f t="shared" si="5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>
        <f t="shared" si="6"/>
        <v>0</v>
      </c>
      <c r="Q135" s="168"/>
      <c r="R135" s="56"/>
      <c r="S135" s="162"/>
      <c r="T135" s="106"/>
      <c r="U135" s="10"/>
      <c r="V135" s="56"/>
      <c r="W135" s="56"/>
      <c r="X135" s="56"/>
      <c r="Y135" s="56"/>
      <c r="Z135" s="56"/>
      <c r="AA135" s="172"/>
      <c r="AB135" s="56"/>
      <c r="AC135" s="56"/>
      <c r="AD135" s="106"/>
      <c r="AE135" s="56"/>
      <c r="AF135" s="56"/>
      <c r="AG135" s="56"/>
      <c r="AH135" s="56"/>
      <c r="AI135" s="56"/>
      <c r="AJ135" s="56"/>
      <c r="AK135" s="106"/>
      <c r="AL135" s="56"/>
      <c r="AM135" s="56"/>
      <c r="AN135" s="56"/>
      <c r="AO135" s="56"/>
      <c r="AP135" s="56"/>
      <c r="AQ135" s="56"/>
      <c r="AR135" s="56"/>
      <c r="AS135" s="106"/>
      <c r="AT135" s="56"/>
      <c r="AU135" s="56"/>
      <c r="AV135" s="106"/>
      <c r="AW135" s="56"/>
      <c r="AX135" s="10"/>
      <c r="AY135" s="56"/>
      <c r="AZ135" s="56"/>
      <c r="BA135" s="56"/>
      <c r="BB135" s="56"/>
      <c r="BJ135" s="145"/>
      <c r="CD135" s="145"/>
      <c r="CT135" s="145"/>
    </row>
    <row r="136" spans="1:98" s="97" customFormat="1" x14ac:dyDescent="0.15">
      <c r="A136" s="11">
        <f t="shared" si="5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>
        <f t="shared" si="6"/>
        <v>0</v>
      </c>
      <c r="Q136" s="168"/>
      <c r="R136" s="56"/>
      <c r="S136" s="162"/>
      <c r="T136" s="106"/>
      <c r="U136" s="10"/>
      <c r="V136" s="56"/>
      <c r="W136" s="56"/>
      <c r="X136" s="56"/>
      <c r="Y136" s="56"/>
      <c r="Z136" s="56"/>
      <c r="AA136" s="172"/>
      <c r="AB136" s="56"/>
      <c r="AC136" s="56"/>
      <c r="AD136" s="106"/>
      <c r="AE136" s="56"/>
      <c r="AF136" s="56"/>
      <c r="AG136" s="56"/>
      <c r="AH136" s="56"/>
      <c r="AI136" s="56"/>
      <c r="AJ136" s="56"/>
      <c r="AK136" s="106"/>
      <c r="AL136" s="56"/>
      <c r="AM136" s="56"/>
      <c r="AN136" s="56"/>
      <c r="AO136" s="56"/>
      <c r="AP136" s="56"/>
      <c r="AQ136" s="56"/>
      <c r="AR136" s="56"/>
      <c r="AS136" s="106"/>
      <c r="AT136" s="56"/>
      <c r="AU136" s="56"/>
      <c r="AV136" s="106"/>
      <c r="AW136" s="56"/>
      <c r="AX136" s="10"/>
      <c r="AY136" s="56"/>
      <c r="AZ136" s="56"/>
      <c r="BA136" s="56"/>
      <c r="BB136" s="56"/>
      <c r="BJ136" s="145"/>
      <c r="CD136" s="145"/>
      <c r="CT136" s="145"/>
    </row>
    <row r="137" spans="1:98" s="97" customFormat="1" x14ac:dyDescent="0.15">
      <c r="A137" s="11">
        <f t="shared" si="5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>
        <f t="shared" si="6"/>
        <v>0</v>
      </c>
      <c r="Q137" s="168"/>
      <c r="R137" s="56"/>
      <c r="S137" s="162"/>
      <c r="T137" s="106"/>
      <c r="U137" s="10"/>
      <c r="V137" s="56"/>
      <c r="W137" s="56"/>
      <c r="X137" s="56"/>
      <c r="Y137" s="56"/>
      <c r="Z137" s="56"/>
      <c r="AA137" s="172"/>
      <c r="AB137" s="56"/>
      <c r="AC137" s="56"/>
      <c r="AD137" s="106"/>
      <c r="AE137" s="56"/>
      <c r="AF137" s="56"/>
      <c r="AG137" s="56"/>
      <c r="AH137" s="56"/>
      <c r="AI137" s="56"/>
      <c r="AJ137" s="56"/>
      <c r="AK137" s="106"/>
      <c r="AL137" s="56"/>
      <c r="AM137" s="56"/>
      <c r="AN137" s="56"/>
      <c r="AO137" s="56"/>
      <c r="AP137" s="56"/>
      <c r="AQ137" s="56"/>
      <c r="AR137" s="56"/>
      <c r="AS137" s="106"/>
      <c r="AT137" s="56"/>
      <c r="AU137" s="56"/>
      <c r="AV137" s="106"/>
      <c r="AW137" s="56"/>
      <c r="AX137" s="10"/>
      <c r="AY137" s="56"/>
      <c r="AZ137" s="56"/>
      <c r="BA137" s="56"/>
      <c r="BB137" s="56"/>
      <c r="BJ137" s="145"/>
      <c r="CD137" s="145"/>
      <c r="CT137" s="145"/>
    </row>
    <row r="138" spans="1:98" s="97" customFormat="1" x14ac:dyDescent="0.15">
      <c r="A138" s="11">
        <f t="shared" si="5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>
        <f t="shared" si="6"/>
        <v>0</v>
      </c>
      <c r="Q138" s="168"/>
      <c r="R138" s="56"/>
      <c r="S138" s="162"/>
      <c r="T138" s="106"/>
      <c r="U138" s="10"/>
      <c r="V138" s="56"/>
      <c r="W138" s="56"/>
      <c r="X138" s="56"/>
      <c r="Y138" s="56"/>
      <c r="Z138" s="56"/>
      <c r="AA138" s="172"/>
      <c r="AB138" s="56"/>
      <c r="AC138" s="56"/>
      <c r="AD138" s="106"/>
      <c r="AE138" s="56"/>
      <c r="AF138" s="56"/>
      <c r="AG138" s="56"/>
      <c r="AH138" s="56"/>
      <c r="AI138" s="56"/>
      <c r="AJ138" s="56"/>
      <c r="AK138" s="106"/>
      <c r="AL138" s="56"/>
      <c r="AM138" s="56"/>
      <c r="AN138" s="56"/>
      <c r="AO138" s="56"/>
      <c r="AP138" s="56"/>
      <c r="AQ138" s="56"/>
      <c r="AR138" s="56"/>
      <c r="AS138" s="106"/>
      <c r="AT138" s="56"/>
      <c r="AU138" s="56"/>
      <c r="AV138" s="106"/>
      <c r="AW138" s="56"/>
      <c r="AX138" s="10"/>
      <c r="AY138" s="56"/>
      <c r="AZ138" s="56"/>
      <c r="BA138" s="56"/>
      <c r="BB138" s="56"/>
      <c r="BJ138" s="145"/>
      <c r="CD138" s="145"/>
      <c r="CT138" s="145"/>
    </row>
    <row r="139" spans="1:98" s="97" customFormat="1" x14ac:dyDescent="0.15">
      <c r="A139" s="11">
        <f t="shared" si="5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>
        <f t="shared" si="6"/>
        <v>0</v>
      </c>
      <c r="Q139" s="168"/>
      <c r="R139" s="56"/>
      <c r="S139" s="162"/>
      <c r="T139" s="106"/>
      <c r="U139" s="10"/>
      <c r="V139" s="56"/>
      <c r="W139" s="56"/>
      <c r="X139" s="56"/>
      <c r="Y139" s="56"/>
      <c r="Z139" s="56"/>
      <c r="AA139" s="172"/>
      <c r="AB139" s="56"/>
      <c r="AC139" s="56"/>
      <c r="AD139" s="106"/>
      <c r="AE139" s="56"/>
      <c r="AF139" s="56"/>
      <c r="AG139" s="56"/>
      <c r="AH139" s="56"/>
      <c r="AI139" s="56"/>
      <c r="AJ139" s="56"/>
      <c r="AK139" s="106"/>
      <c r="AL139" s="56"/>
      <c r="AM139" s="56"/>
      <c r="AN139" s="56"/>
      <c r="AO139" s="56"/>
      <c r="AP139" s="56"/>
      <c r="AQ139" s="56"/>
      <c r="AR139" s="56"/>
      <c r="AS139" s="106"/>
      <c r="AT139" s="56"/>
      <c r="AU139" s="56"/>
      <c r="AV139" s="106"/>
      <c r="AW139" s="56"/>
      <c r="AX139" s="10"/>
      <c r="AY139" s="56"/>
      <c r="AZ139" s="56"/>
      <c r="BA139" s="56"/>
      <c r="BB139" s="56"/>
      <c r="BJ139" s="145"/>
      <c r="CD139" s="145"/>
      <c r="CT139" s="145"/>
    </row>
    <row r="140" spans="1:98" s="97" customFormat="1" x14ac:dyDescent="0.15">
      <c r="A140" s="11">
        <f t="shared" si="5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>
        <f t="shared" si="6"/>
        <v>0</v>
      </c>
      <c r="Q140" s="168"/>
      <c r="R140" s="56"/>
      <c r="S140" s="162"/>
      <c r="T140" s="106"/>
      <c r="U140" s="10"/>
      <c r="V140" s="56"/>
      <c r="W140" s="56"/>
      <c r="X140" s="56"/>
      <c r="Y140" s="56"/>
      <c r="Z140" s="56"/>
      <c r="AA140" s="172"/>
      <c r="AB140" s="56"/>
      <c r="AC140" s="56"/>
      <c r="AD140" s="106"/>
      <c r="AE140" s="56"/>
      <c r="AF140" s="56"/>
      <c r="AG140" s="56"/>
      <c r="AH140" s="56"/>
      <c r="AI140" s="56"/>
      <c r="AJ140" s="56"/>
      <c r="AK140" s="106"/>
      <c r="AL140" s="56"/>
      <c r="AM140" s="56"/>
      <c r="AN140" s="56"/>
      <c r="AO140" s="56"/>
      <c r="AP140" s="56"/>
      <c r="AQ140" s="56"/>
      <c r="AR140" s="56"/>
      <c r="AS140" s="106"/>
      <c r="AT140" s="56"/>
      <c r="AU140" s="56"/>
      <c r="AV140" s="106"/>
      <c r="AW140" s="56"/>
      <c r="AX140" s="10"/>
      <c r="AY140" s="56"/>
      <c r="AZ140" s="56"/>
      <c r="BA140" s="56"/>
      <c r="BB140" s="56"/>
      <c r="BJ140" s="145"/>
      <c r="CD140" s="145"/>
      <c r="CT140" s="145"/>
    </row>
    <row r="141" spans="1:98" s="97" customFormat="1" x14ac:dyDescent="0.15">
      <c r="A141" s="11">
        <f t="shared" si="5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>
        <f t="shared" si="6"/>
        <v>0</v>
      </c>
      <c r="Q141" s="168"/>
      <c r="R141" s="56"/>
      <c r="S141" s="162"/>
      <c r="T141" s="106"/>
      <c r="U141" s="10"/>
      <c r="V141" s="56"/>
      <c r="W141" s="56"/>
      <c r="X141" s="56"/>
      <c r="Y141" s="56"/>
      <c r="Z141" s="56"/>
      <c r="AA141" s="172"/>
      <c r="AB141" s="56"/>
      <c r="AC141" s="56"/>
      <c r="AD141" s="106"/>
      <c r="AE141" s="56"/>
      <c r="AF141" s="56"/>
      <c r="AG141" s="56"/>
      <c r="AH141" s="56"/>
      <c r="AI141" s="56"/>
      <c r="AJ141" s="56"/>
      <c r="AK141" s="106"/>
      <c r="AL141" s="56"/>
      <c r="AM141" s="56"/>
      <c r="AN141" s="56"/>
      <c r="AO141" s="56"/>
      <c r="AP141" s="56"/>
      <c r="AQ141" s="56"/>
      <c r="AR141" s="56"/>
      <c r="AS141" s="106"/>
      <c r="AT141" s="56"/>
      <c r="AU141" s="56"/>
      <c r="AV141" s="106"/>
      <c r="AW141" s="56"/>
      <c r="AX141" s="10"/>
      <c r="AY141" s="56"/>
      <c r="AZ141" s="56"/>
      <c r="BA141" s="56"/>
      <c r="BB141" s="56"/>
      <c r="BJ141" s="145"/>
      <c r="CD141" s="145"/>
      <c r="CT141" s="145"/>
    </row>
    <row r="142" spans="1:98" s="97" customFormat="1" x14ac:dyDescent="0.15">
      <c r="A142" s="11">
        <f t="shared" si="5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>
        <f t="shared" si="6"/>
        <v>0</v>
      </c>
      <c r="Q142" s="168"/>
      <c r="R142" s="56"/>
      <c r="S142" s="162"/>
      <c r="T142" s="106"/>
      <c r="U142" s="10"/>
      <c r="V142" s="56"/>
      <c r="W142" s="56"/>
      <c r="X142" s="56"/>
      <c r="Y142" s="56"/>
      <c r="Z142" s="56"/>
      <c r="AA142" s="172"/>
      <c r="AB142" s="56"/>
      <c r="AC142" s="56"/>
      <c r="AD142" s="106"/>
      <c r="AE142" s="56"/>
      <c r="AF142" s="56"/>
      <c r="AG142" s="56"/>
      <c r="AH142" s="56"/>
      <c r="AI142" s="56"/>
      <c r="AJ142" s="56"/>
      <c r="AK142" s="106"/>
      <c r="AL142" s="56"/>
      <c r="AM142" s="56"/>
      <c r="AN142" s="56"/>
      <c r="AO142" s="56"/>
      <c r="AP142" s="56"/>
      <c r="AQ142" s="56"/>
      <c r="AR142" s="56"/>
      <c r="AS142" s="106"/>
      <c r="AT142" s="56"/>
      <c r="AU142" s="56"/>
      <c r="AV142" s="106"/>
      <c r="AW142" s="56"/>
      <c r="AX142" s="10"/>
      <c r="AY142" s="56"/>
      <c r="AZ142" s="56"/>
      <c r="BA142" s="56"/>
      <c r="BB142" s="56"/>
      <c r="BJ142" s="145"/>
      <c r="CD142" s="145"/>
      <c r="CT142" s="145"/>
    </row>
    <row r="143" spans="1:98" s="97" customFormat="1" x14ac:dyDescent="0.15">
      <c r="A143" s="11">
        <f t="shared" si="5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>
        <f t="shared" si="6"/>
        <v>0</v>
      </c>
      <c r="Q143" s="168"/>
      <c r="R143" s="56"/>
      <c r="S143" s="162"/>
      <c r="T143" s="106"/>
      <c r="U143" s="10"/>
      <c r="V143" s="56"/>
      <c r="W143" s="56"/>
      <c r="X143" s="56"/>
      <c r="Y143" s="56"/>
      <c r="Z143" s="56"/>
      <c r="AA143" s="172"/>
      <c r="AB143" s="56"/>
      <c r="AC143" s="56"/>
      <c r="AD143" s="106"/>
      <c r="AE143" s="56"/>
      <c r="AF143" s="56"/>
      <c r="AG143" s="56"/>
      <c r="AH143" s="56"/>
      <c r="AI143" s="56"/>
      <c r="AJ143" s="56"/>
      <c r="AK143" s="106"/>
      <c r="AL143" s="56"/>
      <c r="AM143" s="56"/>
      <c r="AN143" s="56"/>
      <c r="AO143" s="56"/>
      <c r="AP143" s="56"/>
      <c r="AQ143" s="56"/>
      <c r="AR143" s="56"/>
      <c r="AS143" s="106"/>
      <c r="AT143" s="56"/>
      <c r="AU143" s="56"/>
      <c r="AV143" s="106"/>
      <c r="AW143" s="56"/>
      <c r="AX143" s="10"/>
      <c r="AY143" s="56"/>
      <c r="AZ143" s="56"/>
      <c r="BA143" s="56"/>
      <c r="BB143" s="56"/>
      <c r="BJ143" s="145"/>
      <c r="CD143" s="145"/>
      <c r="CT143" s="145"/>
    </row>
    <row r="144" spans="1:98" s="97" customFormat="1" ht="17.25" thickBot="1" x14ac:dyDescent="0.2">
      <c r="A144" s="11">
        <f t="shared" si="5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>
        <f t="shared" si="6"/>
        <v>0</v>
      </c>
      <c r="Q144" s="168"/>
      <c r="R144" s="56"/>
      <c r="S144" s="162"/>
      <c r="T144" s="106"/>
      <c r="U144" s="10"/>
      <c r="V144" s="56"/>
      <c r="W144" s="56"/>
      <c r="X144" s="56"/>
      <c r="Y144" s="56"/>
      <c r="Z144" s="56"/>
      <c r="AA144" s="172"/>
      <c r="AB144" s="56"/>
      <c r="AC144" s="56"/>
      <c r="AD144" s="106"/>
      <c r="AE144" s="56"/>
      <c r="AF144" s="56"/>
      <c r="AG144" s="56"/>
      <c r="AH144" s="56"/>
      <c r="AI144" s="56"/>
      <c r="AJ144" s="56"/>
      <c r="AK144" s="106"/>
      <c r="AL144" s="56"/>
      <c r="AM144" s="56"/>
      <c r="AN144" s="56"/>
      <c r="AO144" s="56"/>
      <c r="AP144" s="56"/>
      <c r="AQ144" s="56"/>
      <c r="AR144" s="56"/>
      <c r="AS144" s="106"/>
      <c r="AT144" s="56"/>
      <c r="AU144" s="56"/>
      <c r="AV144" s="106"/>
      <c r="AW144" s="56"/>
      <c r="AX144" s="10"/>
      <c r="AY144" s="56"/>
      <c r="AZ144" s="56"/>
      <c r="BA144" s="56"/>
      <c r="BB144" s="56"/>
      <c r="BJ144" s="145"/>
      <c r="CD144" s="145"/>
      <c r="CT144" s="145"/>
    </row>
    <row r="145" spans="1:98" s="114" customFormat="1" x14ac:dyDescent="0.15">
      <c r="A145" s="18">
        <f t="shared" si="5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>
        <f t="shared" si="6"/>
        <v>0</v>
      </c>
      <c r="Q145" s="169"/>
      <c r="R145" s="57"/>
      <c r="S145" s="163"/>
      <c r="T145" s="108"/>
      <c r="U145" s="17"/>
      <c r="V145" s="57"/>
      <c r="W145" s="57"/>
      <c r="X145" s="57"/>
      <c r="Y145" s="57"/>
      <c r="Z145" s="57"/>
      <c r="AA145" s="173"/>
      <c r="AB145" s="57"/>
      <c r="AC145" s="57"/>
      <c r="AD145" s="108"/>
      <c r="AE145" s="57"/>
      <c r="AF145" s="57"/>
      <c r="AG145" s="57"/>
      <c r="AH145" s="57"/>
      <c r="AI145" s="57"/>
      <c r="AJ145" s="57"/>
      <c r="AK145" s="108"/>
      <c r="AL145" s="57"/>
      <c r="AM145" s="57"/>
      <c r="AN145" s="57"/>
      <c r="AO145" s="57"/>
      <c r="AP145" s="57"/>
      <c r="AQ145" s="57"/>
      <c r="AR145" s="57"/>
      <c r="AS145" s="108"/>
      <c r="AT145" s="57"/>
      <c r="AU145" s="57"/>
      <c r="AV145" s="108"/>
      <c r="AW145" s="57"/>
      <c r="AX145" s="17"/>
      <c r="AY145" s="57"/>
      <c r="AZ145" s="57"/>
      <c r="BA145" s="57"/>
      <c r="BB145" s="57"/>
      <c r="BJ145" s="144"/>
      <c r="CD145" s="144"/>
      <c r="CT145" s="144"/>
    </row>
    <row r="146" spans="1:98" x14ac:dyDescent="0.15">
      <c r="A146" s="11">
        <f t="shared" si="5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>
        <f t="shared" si="6"/>
        <v>0</v>
      </c>
      <c r="BC146" s="109"/>
    </row>
    <row r="147" spans="1:98" x14ac:dyDescent="0.15">
      <c r="A147" s="11">
        <f t="shared" si="5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>
        <f t="shared" si="6"/>
        <v>0</v>
      </c>
      <c r="BC147" s="109"/>
    </row>
    <row r="148" spans="1:98" x14ac:dyDescent="0.15">
      <c r="A148" s="11">
        <f t="shared" si="5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>
        <f t="shared" si="6"/>
        <v>0</v>
      </c>
    </row>
    <row r="149" spans="1:98" x14ac:dyDescent="0.15">
      <c r="A149" s="11">
        <f t="shared" si="5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>
        <f t="shared" si="6"/>
        <v>0</v>
      </c>
    </row>
    <row r="150" spans="1:98" x14ac:dyDescent="0.15">
      <c r="A150" s="11">
        <f t="shared" si="5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>
        <f t="shared" si="6"/>
        <v>0</v>
      </c>
    </row>
    <row r="151" spans="1:98" x14ac:dyDescent="0.15">
      <c r="A151" s="11">
        <f t="shared" si="5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>
        <f t="shared" si="6"/>
        <v>0</v>
      </c>
    </row>
    <row r="152" spans="1:98" x14ac:dyDescent="0.15">
      <c r="A152" s="11">
        <f t="shared" si="5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>
        <f t="shared" si="6"/>
        <v>0</v>
      </c>
    </row>
    <row r="153" spans="1:98" x14ac:dyDescent="0.15">
      <c r="A153" s="11">
        <f t="shared" si="5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>
        <f t="shared" si="6"/>
        <v>0</v>
      </c>
    </row>
    <row r="154" spans="1:98" x14ac:dyDescent="0.15">
      <c r="A154" s="11">
        <f t="shared" ref="A154:A217" si="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>
        <f t="shared" si="6"/>
        <v>0</v>
      </c>
    </row>
    <row r="155" spans="1:98" s="97" customFormat="1" x14ac:dyDescent="0.15">
      <c r="A155" s="11">
        <f t="shared" si="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>
        <f t="shared" si="6"/>
        <v>0</v>
      </c>
      <c r="Q155" s="168"/>
      <c r="R155" s="56"/>
      <c r="S155" s="162"/>
      <c r="T155" s="106"/>
      <c r="U155" s="10"/>
      <c r="V155" s="56"/>
      <c r="W155" s="56"/>
      <c r="X155" s="56"/>
      <c r="Y155" s="56"/>
      <c r="Z155" s="56"/>
      <c r="AA155" s="172"/>
      <c r="AB155" s="56"/>
      <c r="AC155" s="56"/>
      <c r="AD155" s="106"/>
      <c r="AE155" s="56"/>
      <c r="AF155" s="56"/>
      <c r="AG155" s="56"/>
      <c r="AH155" s="56"/>
      <c r="AI155" s="56"/>
      <c r="AJ155" s="56"/>
      <c r="AK155" s="106"/>
      <c r="AL155" s="56"/>
      <c r="AM155" s="56"/>
      <c r="AN155" s="56"/>
      <c r="AO155" s="56"/>
      <c r="AP155" s="56"/>
      <c r="AQ155" s="56"/>
      <c r="AR155" s="56"/>
      <c r="AS155" s="106"/>
      <c r="AT155" s="56"/>
      <c r="AU155" s="56"/>
      <c r="AV155" s="106"/>
      <c r="AW155" s="56"/>
      <c r="AX155" s="10"/>
      <c r="AY155" s="56"/>
      <c r="AZ155" s="56"/>
      <c r="BA155" s="56"/>
      <c r="BB155" s="56"/>
      <c r="BJ155" s="145"/>
      <c r="CD155" s="145"/>
      <c r="CT155" s="145"/>
    </row>
    <row r="156" spans="1:98" s="97" customFormat="1" x14ac:dyDescent="0.15">
      <c r="A156" s="11">
        <f t="shared" si="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>
        <f t="shared" si="6"/>
        <v>0</v>
      </c>
      <c r="Q156" s="168"/>
      <c r="R156" s="56"/>
      <c r="S156" s="162"/>
      <c r="T156" s="106"/>
      <c r="U156" s="10"/>
      <c r="V156" s="56"/>
      <c r="W156" s="56"/>
      <c r="X156" s="56"/>
      <c r="Y156" s="56"/>
      <c r="Z156" s="56"/>
      <c r="AA156" s="172"/>
      <c r="AB156" s="56"/>
      <c r="AC156" s="56"/>
      <c r="AD156" s="106"/>
      <c r="AE156" s="56"/>
      <c r="AF156" s="56"/>
      <c r="AG156" s="56"/>
      <c r="AH156" s="56"/>
      <c r="AI156" s="56"/>
      <c r="AJ156" s="56"/>
      <c r="AK156" s="106"/>
      <c r="AL156" s="56"/>
      <c r="AM156" s="56"/>
      <c r="AN156" s="56"/>
      <c r="AO156" s="56"/>
      <c r="AP156" s="56"/>
      <c r="AQ156" s="56"/>
      <c r="AR156" s="56"/>
      <c r="AS156" s="106"/>
      <c r="AT156" s="56"/>
      <c r="AU156" s="56"/>
      <c r="AV156" s="106"/>
      <c r="AW156" s="56"/>
      <c r="AX156" s="10"/>
      <c r="AY156" s="56"/>
      <c r="AZ156" s="56"/>
      <c r="BA156" s="56"/>
      <c r="BB156" s="56"/>
      <c r="BJ156" s="145"/>
      <c r="CD156" s="145"/>
      <c r="CT156" s="145"/>
    </row>
    <row r="157" spans="1:98" s="97" customFormat="1" x14ac:dyDescent="0.15">
      <c r="A157" s="11">
        <f t="shared" si="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>
        <f t="shared" si="6"/>
        <v>0</v>
      </c>
      <c r="Q157" s="168"/>
      <c r="R157" s="56"/>
      <c r="S157" s="162"/>
      <c r="T157" s="106"/>
      <c r="U157" s="10"/>
      <c r="V157" s="56"/>
      <c r="W157" s="56"/>
      <c r="X157" s="56"/>
      <c r="Y157" s="56"/>
      <c r="Z157" s="56"/>
      <c r="AA157" s="172"/>
      <c r="AB157" s="56"/>
      <c r="AC157" s="56"/>
      <c r="AD157" s="106"/>
      <c r="AE157" s="56"/>
      <c r="AF157" s="56"/>
      <c r="AG157" s="56"/>
      <c r="AH157" s="56"/>
      <c r="AI157" s="56"/>
      <c r="AJ157" s="56"/>
      <c r="AK157" s="106"/>
      <c r="AL157" s="56"/>
      <c r="AM157" s="56"/>
      <c r="AN157" s="56"/>
      <c r="AO157" s="56"/>
      <c r="AP157" s="56"/>
      <c r="AQ157" s="56"/>
      <c r="AR157" s="56"/>
      <c r="AS157" s="106"/>
      <c r="AT157" s="56"/>
      <c r="AU157" s="56"/>
      <c r="AV157" s="106"/>
      <c r="AW157" s="56"/>
      <c r="AX157" s="10"/>
      <c r="AY157" s="56"/>
      <c r="AZ157" s="56"/>
      <c r="BA157" s="56"/>
      <c r="BB157" s="56"/>
      <c r="BJ157" s="145"/>
      <c r="CD157" s="145"/>
      <c r="CT157" s="145"/>
    </row>
    <row r="158" spans="1:98" s="97" customFormat="1" x14ac:dyDescent="0.15">
      <c r="A158" s="11">
        <f t="shared" si="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>
        <f t="shared" si="6"/>
        <v>0</v>
      </c>
      <c r="Q158" s="168"/>
      <c r="R158" s="56"/>
      <c r="S158" s="162"/>
      <c r="T158" s="106"/>
      <c r="U158" s="10"/>
      <c r="V158" s="56"/>
      <c r="W158" s="56"/>
      <c r="X158" s="56"/>
      <c r="Y158" s="56"/>
      <c r="Z158" s="56"/>
      <c r="AA158" s="172"/>
      <c r="AB158" s="56"/>
      <c r="AC158" s="56"/>
      <c r="AD158" s="106"/>
      <c r="AE158" s="56"/>
      <c r="AF158" s="56"/>
      <c r="AG158" s="56"/>
      <c r="AH158" s="56"/>
      <c r="AI158" s="56"/>
      <c r="AJ158" s="56"/>
      <c r="AK158" s="106"/>
      <c r="AL158" s="56"/>
      <c r="AM158" s="56"/>
      <c r="AN158" s="56"/>
      <c r="AO158" s="56"/>
      <c r="AP158" s="56"/>
      <c r="AQ158" s="56"/>
      <c r="AR158" s="56"/>
      <c r="AS158" s="106"/>
      <c r="AT158" s="56"/>
      <c r="AU158" s="56"/>
      <c r="AV158" s="106"/>
      <c r="AW158" s="56"/>
      <c r="AX158" s="10"/>
      <c r="AY158" s="56"/>
      <c r="AZ158" s="56"/>
      <c r="BA158" s="56"/>
      <c r="BB158" s="56"/>
      <c r="BJ158" s="145"/>
      <c r="CD158" s="145"/>
      <c r="CT158" s="145"/>
    </row>
    <row r="159" spans="1:98" s="97" customFormat="1" x14ac:dyDescent="0.15">
      <c r="A159" s="11">
        <f t="shared" si="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>
        <f t="shared" si="6"/>
        <v>0</v>
      </c>
      <c r="Q159" s="168"/>
      <c r="R159" s="56"/>
      <c r="S159" s="162"/>
      <c r="T159" s="106"/>
      <c r="U159" s="10"/>
      <c r="V159" s="56"/>
      <c r="W159" s="56"/>
      <c r="X159" s="56"/>
      <c r="Y159" s="56"/>
      <c r="Z159" s="56"/>
      <c r="AA159" s="172"/>
      <c r="AB159" s="56"/>
      <c r="AC159" s="56"/>
      <c r="AD159" s="106"/>
      <c r="AE159" s="56"/>
      <c r="AF159" s="56"/>
      <c r="AG159" s="56"/>
      <c r="AH159" s="56"/>
      <c r="AI159" s="56"/>
      <c r="AJ159" s="56"/>
      <c r="AK159" s="106"/>
      <c r="AL159" s="56"/>
      <c r="AM159" s="56"/>
      <c r="AN159" s="56"/>
      <c r="AO159" s="56"/>
      <c r="AP159" s="56"/>
      <c r="AQ159" s="56"/>
      <c r="AR159" s="56"/>
      <c r="AS159" s="106"/>
      <c r="AT159" s="56"/>
      <c r="AU159" s="56"/>
      <c r="AV159" s="106"/>
      <c r="AW159" s="56"/>
      <c r="AX159" s="10"/>
      <c r="AY159" s="56"/>
      <c r="AZ159" s="56"/>
      <c r="BA159" s="56"/>
      <c r="BB159" s="56"/>
      <c r="BJ159" s="145"/>
      <c r="CD159" s="145"/>
      <c r="CT159" s="145"/>
    </row>
    <row r="160" spans="1:98" s="97" customFormat="1" x14ac:dyDescent="0.15">
      <c r="A160" s="11">
        <f t="shared" si="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>
        <f t="shared" si="6"/>
        <v>0</v>
      </c>
      <c r="Q160" s="168"/>
      <c r="R160" s="56"/>
      <c r="S160" s="162"/>
      <c r="T160" s="106"/>
      <c r="U160" s="10"/>
      <c r="V160" s="56"/>
      <c r="W160" s="56"/>
      <c r="X160" s="56"/>
      <c r="Y160" s="56"/>
      <c r="Z160" s="56"/>
      <c r="AA160" s="172"/>
      <c r="AB160" s="56"/>
      <c r="AC160" s="56"/>
      <c r="AD160" s="106"/>
      <c r="AE160" s="56"/>
      <c r="AF160" s="56"/>
      <c r="AG160" s="56"/>
      <c r="AH160" s="56"/>
      <c r="AI160" s="56"/>
      <c r="AJ160" s="56"/>
      <c r="AK160" s="106"/>
      <c r="AL160" s="56"/>
      <c r="AM160" s="56"/>
      <c r="AN160" s="56"/>
      <c r="AO160" s="56"/>
      <c r="AP160" s="56"/>
      <c r="AQ160" s="56"/>
      <c r="AR160" s="56"/>
      <c r="AS160" s="106"/>
      <c r="AT160" s="56"/>
      <c r="AU160" s="56"/>
      <c r="AV160" s="106"/>
      <c r="AW160" s="56"/>
      <c r="AX160" s="10"/>
      <c r="AY160" s="56"/>
      <c r="AZ160" s="56"/>
      <c r="BA160" s="56"/>
      <c r="BB160" s="56"/>
      <c r="BJ160" s="145"/>
      <c r="CD160" s="145"/>
      <c r="CT160" s="145"/>
    </row>
    <row r="161" spans="1:98" s="97" customFormat="1" x14ac:dyDescent="0.15">
      <c r="A161" s="11">
        <f t="shared" si="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>
        <f t="shared" si="6"/>
        <v>0</v>
      </c>
      <c r="Q161" s="168"/>
      <c r="R161" s="56"/>
      <c r="S161" s="162"/>
      <c r="T161" s="106"/>
      <c r="U161" s="10"/>
      <c r="V161" s="56"/>
      <c r="W161" s="56"/>
      <c r="X161" s="56"/>
      <c r="Y161" s="56"/>
      <c r="Z161" s="56"/>
      <c r="AA161" s="172"/>
      <c r="AB161" s="56"/>
      <c r="AC161" s="56"/>
      <c r="AD161" s="106"/>
      <c r="AE161" s="56"/>
      <c r="AF161" s="56"/>
      <c r="AG161" s="56"/>
      <c r="AH161" s="56"/>
      <c r="AI161" s="56"/>
      <c r="AJ161" s="56"/>
      <c r="AK161" s="106"/>
      <c r="AL161" s="56"/>
      <c r="AM161" s="56"/>
      <c r="AN161" s="56"/>
      <c r="AO161" s="56"/>
      <c r="AP161" s="56"/>
      <c r="AQ161" s="56"/>
      <c r="AR161" s="56"/>
      <c r="AS161" s="106"/>
      <c r="AT161" s="56"/>
      <c r="AU161" s="56"/>
      <c r="AV161" s="106"/>
      <c r="AW161" s="56"/>
      <c r="AX161" s="10"/>
      <c r="AY161" s="56"/>
      <c r="AZ161" s="56"/>
      <c r="BA161" s="56"/>
      <c r="BB161" s="56"/>
      <c r="BJ161" s="145"/>
      <c r="CD161" s="145"/>
      <c r="CT161" s="145"/>
    </row>
    <row r="162" spans="1:98" s="97" customFormat="1" x14ac:dyDescent="0.15">
      <c r="A162" s="11">
        <f t="shared" si="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>
        <f t="shared" si="6"/>
        <v>0</v>
      </c>
      <c r="Q162" s="168"/>
      <c r="R162" s="56"/>
      <c r="S162" s="162"/>
      <c r="T162" s="106"/>
      <c r="U162" s="10"/>
      <c r="V162" s="56"/>
      <c r="W162" s="56"/>
      <c r="X162" s="56"/>
      <c r="Y162" s="56"/>
      <c r="Z162" s="56"/>
      <c r="AA162" s="172"/>
      <c r="AB162" s="56"/>
      <c r="AC162" s="56"/>
      <c r="AD162" s="106"/>
      <c r="AE162" s="56"/>
      <c r="AF162" s="56"/>
      <c r="AG162" s="56"/>
      <c r="AH162" s="56"/>
      <c r="AI162" s="56"/>
      <c r="AJ162" s="56"/>
      <c r="AK162" s="106"/>
      <c r="AL162" s="56"/>
      <c r="AM162" s="56"/>
      <c r="AN162" s="56"/>
      <c r="AO162" s="56"/>
      <c r="AP162" s="56"/>
      <c r="AQ162" s="56"/>
      <c r="AR162" s="56"/>
      <c r="AS162" s="106"/>
      <c r="AT162" s="56"/>
      <c r="AU162" s="56"/>
      <c r="AV162" s="106"/>
      <c r="AW162" s="56"/>
      <c r="AX162" s="10"/>
      <c r="AY162" s="56"/>
      <c r="AZ162" s="56"/>
      <c r="BA162" s="56"/>
      <c r="BB162" s="56"/>
      <c r="BJ162" s="145"/>
      <c r="CD162" s="145"/>
      <c r="CT162" s="145"/>
    </row>
    <row r="163" spans="1:98" s="97" customFormat="1" x14ac:dyDescent="0.15">
      <c r="A163" s="11">
        <f t="shared" si="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>
        <f t="shared" si="6"/>
        <v>0</v>
      </c>
      <c r="Q163" s="168"/>
      <c r="R163" s="56"/>
      <c r="S163" s="162"/>
      <c r="T163" s="106"/>
      <c r="U163" s="10"/>
      <c r="V163" s="56"/>
      <c r="W163" s="56"/>
      <c r="X163" s="56"/>
      <c r="Y163" s="56"/>
      <c r="Z163" s="56"/>
      <c r="AA163" s="172"/>
      <c r="AB163" s="56"/>
      <c r="AC163" s="56"/>
      <c r="AD163" s="106"/>
      <c r="AE163" s="56"/>
      <c r="AF163" s="56"/>
      <c r="AG163" s="56"/>
      <c r="AH163" s="56"/>
      <c r="AI163" s="56"/>
      <c r="AJ163" s="56"/>
      <c r="AK163" s="106"/>
      <c r="AL163" s="56"/>
      <c r="AM163" s="56"/>
      <c r="AN163" s="56"/>
      <c r="AO163" s="56"/>
      <c r="AP163" s="56"/>
      <c r="AQ163" s="56"/>
      <c r="AR163" s="56"/>
      <c r="AS163" s="106"/>
      <c r="AT163" s="56"/>
      <c r="AU163" s="56"/>
      <c r="AV163" s="106"/>
      <c r="AW163" s="56"/>
      <c r="AX163" s="10"/>
      <c r="AY163" s="56"/>
      <c r="AZ163" s="56"/>
      <c r="BA163" s="56"/>
      <c r="BB163" s="56"/>
      <c r="BJ163" s="145"/>
      <c r="CD163" s="145"/>
      <c r="CT163" s="145"/>
    </row>
    <row r="164" spans="1:98" s="97" customFormat="1" ht="17.25" thickBot="1" x14ac:dyDescent="0.2">
      <c r="A164" s="11">
        <f t="shared" si="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>
        <f t="shared" si="6"/>
        <v>0</v>
      </c>
      <c r="Q164" s="168"/>
      <c r="R164" s="56"/>
      <c r="S164" s="162"/>
      <c r="T164" s="106"/>
      <c r="U164" s="10"/>
      <c r="V164" s="56"/>
      <c r="W164" s="56"/>
      <c r="X164" s="56"/>
      <c r="Y164" s="56"/>
      <c r="Z164" s="56"/>
      <c r="AA164" s="172"/>
      <c r="AB164" s="56"/>
      <c r="AC164" s="56"/>
      <c r="AD164" s="106"/>
      <c r="AE164" s="56"/>
      <c r="AF164" s="56"/>
      <c r="AG164" s="56"/>
      <c r="AH164" s="56"/>
      <c r="AI164" s="56"/>
      <c r="AJ164" s="56"/>
      <c r="AK164" s="106"/>
      <c r="AL164" s="56"/>
      <c r="AM164" s="56"/>
      <c r="AN164" s="56"/>
      <c r="AO164" s="56"/>
      <c r="AP164" s="56"/>
      <c r="AQ164" s="56"/>
      <c r="AR164" s="56"/>
      <c r="AS164" s="106"/>
      <c r="AT164" s="56"/>
      <c r="AU164" s="56"/>
      <c r="AV164" s="106"/>
      <c r="AW164" s="56"/>
      <c r="AX164" s="10"/>
      <c r="AY164" s="56"/>
      <c r="AZ164" s="56"/>
      <c r="BA164" s="56"/>
      <c r="BB164" s="56"/>
      <c r="BJ164" s="145"/>
      <c r="CD164" s="145"/>
      <c r="CT164" s="145"/>
    </row>
    <row r="165" spans="1:98" s="114" customFormat="1" x14ac:dyDescent="0.15">
      <c r="A165" s="18">
        <f t="shared" si="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>
        <f t="shared" si="6"/>
        <v>0</v>
      </c>
      <c r="Q165" s="169"/>
      <c r="R165" s="57"/>
      <c r="S165" s="163"/>
      <c r="T165" s="108"/>
      <c r="U165" s="17"/>
      <c r="V165" s="57"/>
      <c r="W165" s="57"/>
      <c r="X165" s="57"/>
      <c r="Y165" s="57"/>
      <c r="Z165" s="57"/>
      <c r="AA165" s="173"/>
      <c r="AB165" s="57"/>
      <c r="AC165" s="57"/>
      <c r="AD165" s="108"/>
      <c r="AE165" s="57"/>
      <c r="AF165" s="57"/>
      <c r="AG165" s="57"/>
      <c r="AH165" s="57"/>
      <c r="AI165" s="57"/>
      <c r="AJ165" s="57"/>
      <c r="AK165" s="108"/>
      <c r="AL165" s="57"/>
      <c r="AM165" s="57"/>
      <c r="AN165" s="57"/>
      <c r="AO165" s="57"/>
      <c r="AP165" s="57"/>
      <c r="AQ165" s="57"/>
      <c r="AR165" s="57"/>
      <c r="AS165" s="108"/>
      <c r="AT165" s="57"/>
      <c r="AU165" s="57"/>
      <c r="AV165" s="108"/>
      <c r="AW165" s="57"/>
      <c r="AX165" s="17"/>
      <c r="AY165" s="57"/>
      <c r="AZ165" s="57"/>
      <c r="BA165" s="57"/>
      <c r="BB165" s="57"/>
      <c r="BJ165" s="144"/>
      <c r="CD165" s="144"/>
      <c r="CT165" s="144"/>
    </row>
    <row r="166" spans="1:98" x14ac:dyDescent="0.15">
      <c r="A166" s="11">
        <f t="shared" si="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>
        <f t="shared" si="6"/>
        <v>0</v>
      </c>
      <c r="BC166" s="109"/>
    </row>
    <row r="167" spans="1:98" x14ac:dyDescent="0.15">
      <c r="A167" s="11">
        <f t="shared" si="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>
        <f t="shared" si="6"/>
        <v>0</v>
      </c>
      <c r="BC167" s="109"/>
    </row>
    <row r="168" spans="1:98" x14ac:dyDescent="0.15">
      <c r="A168" s="11">
        <f t="shared" si="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>
        <f t="shared" si="6"/>
        <v>0</v>
      </c>
    </row>
    <row r="169" spans="1:98" x14ac:dyDescent="0.15">
      <c r="A169" s="11">
        <f t="shared" si="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>
        <f t="shared" si="6"/>
        <v>0</v>
      </c>
    </row>
    <row r="170" spans="1:98" x14ac:dyDescent="0.15">
      <c r="A170" s="11">
        <f t="shared" si="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>
        <f t="shared" si="6"/>
        <v>0</v>
      </c>
    </row>
    <row r="171" spans="1:98" x14ac:dyDescent="0.15">
      <c r="A171" s="11">
        <f t="shared" si="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>
        <f t="shared" si="6"/>
        <v>0</v>
      </c>
    </row>
    <row r="172" spans="1:98" x14ac:dyDescent="0.15">
      <c r="A172" s="11">
        <f t="shared" si="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>
        <f t="shared" si="6"/>
        <v>0</v>
      </c>
    </row>
    <row r="173" spans="1:98" x14ac:dyDescent="0.15">
      <c r="A173" s="11">
        <f t="shared" si="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>
        <f t="shared" si="6"/>
        <v>0</v>
      </c>
    </row>
    <row r="174" spans="1:98" x14ac:dyDescent="0.15">
      <c r="A174" s="11">
        <f t="shared" si="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>
        <f t="shared" si="6"/>
        <v>0</v>
      </c>
    </row>
    <row r="175" spans="1:98" s="97" customFormat="1" x14ac:dyDescent="0.15">
      <c r="A175" s="11">
        <f t="shared" si="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>
        <f t="shared" si="6"/>
        <v>0</v>
      </c>
      <c r="Q175" s="168"/>
      <c r="R175" s="56"/>
      <c r="S175" s="162"/>
      <c r="T175" s="106"/>
      <c r="U175" s="10"/>
      <c r="V175" s="56"/>
      <c r="W175" s="56"/>
      <c r="X175" s="56"/>
      <c r="Y175" s="56"/>
      <c r="Z175" s="56"/>
      <c r="AA175" s="172"/>
      <c r="AB175" s="56"/>
      <c r="AC175" s="56"/>
      <c r="AD175" s="106"/>
      <c r="AE175" s="56"/>
      <c r="AF175" s="56"/>
      <c r="AG175" s="56"/>
      <c r="AH175" s="56"/>
      <c r="AI175" s="56"/>
      <c r="AJ175" s="56"/>
      <c r="AK175" s="106"/>
      <c r="AL175" s="56"/>
      <c r="AM175" s="56"/>
      <c r="AN175" s="56"/>
      <c r="AO175" s="56"/>
      <c r="AP175" s="56"/>
      <c r="AQ175" s="56"/>
      <c r="AR175" s="56"/>
      <c r="AS175" s="106"/>
      <c r="AT175" s="56"/>
      <c r="AU175" s="56"/>
      <c r="AV175" s="106"/>
      <c r="AW175" s="56"/>
      <c r="AX175" s="10"/>
      <c r="AY175" s="56"/>
      <c r="AZ175" s="56"/>
      <c r="BA175" s="56"/>
      <c r="BB175" s="56"/>
      <c r="BJ175" s="145"/>
      <c r="CD175" s="145"/>
      <c r="CT175" s="145"/>
    </row>
    <row r="176" spans="1:98" s="97" customFormat="1" x14ac:dyDescent="0.15">
      <c r="A176" s="11">
        <f t="shared" si="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>
        <f t="shared" si="6"/>
        <v>0</v>
      </c>
      <c r="Q176" s="168"/>
      <c r="R176" s="56"/>
      <c r="S176" s="162"/>
      <c r="T176" s="106"/>
      <c r="U176" s="10"/>
      <c r="V176" s="56"/>
      <c r="W176" s="56"/>
      <c r="X176" s="56"/>
      <c r="Y176" s="56"/>
      <c r="Z176" s="56"/>
      <c r="AA176" s="172"/>
      <c r="AB176" s="56"/>
      <c r="AC176" s="56"/>
      <c r="AD176" s="106"/>
      <c r="AE176" s="56"/>
      <c r="AF176" s="56"/>
      <c r="AG176" s="56"/>
      <c r="AH176" s="56"/>
      <c r="AI176" s="56"/>
      <c r="AJ176" s="56"/>
      <c r="AK176" s="106"/>
      <c r="AL176" s="56"/>
      <c r="AM176" s="56"/>
      <c r="AN176" s="56"/>
      <c r="AO176" s="56"/>
      <c r="AP176" s="56"/>
      <c r="AQ176" s="56"/>
      <c r="AR176" s="56"/>
      <c r="AS176" s="106"/>
      <c r="AT176" s="56"/>
      <c r="AU176" s="56"/>
      <c r="AV176" s="106"/>
      <c r="AW176" s="56"/>
      <c r="AX176" s="10"/>
      <c r="AY176" s="56"/>
      <c r="AZ176" s="56"/>
      <c r="BA176" s="56"/>
      <c r="BB176" s="56"/>
      <c r="BJ176" s="145"/>
      <c r="CD176" s="145"/>
      <c r="CT176" s="145"/>
    </row>
    <row r="177" spans="1:98" s="97" customFormat="1" x14ac:dyDescent="0.15">
      <c r="A177" s="11">
        <f t="shared" si="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>
        <f t="shared" si="6"/>
        <v>0</v>
      </c>
      <c r="Q177" s="168"/>
      <c r="R177" s="56"/>
      <c r="S177" s="162"/>
      <c r="T177" s="106"/>
      <c r="U177" s="10"/>
      <c r="V177" s="56"/>
      <c r="W177" s="56"/>
      <c r="X177" s="56"/>
      <c r="Y177" s="56"/>
      <c r="Z177" s="56"/>
      <c r="AA177" s="172"/>
      <c r="AB177" s="56"/>
      <c r="AC177" s="56"/>
      <c r="AD177" s="106"/>
      <c r="AE177" s="56"/>
      <c r="AF177" s="56"/>
      <c r="AG177" s="56"/>
      <c r="AH177" s="56"/>
      <c r="AI177" s="56"/>
      <c r="AJ177" s="56"/>
      <c r="AK177" s="106"/>
      <c r="AL177" s="56"/>
      <c r="AM177" s="56"/>
      <c r="AN177" s="56"/>
      <c r="AO177" s="56"/>
      <c r="AP177" s="56"/>
      <c r="AQ177" s="56"/>
      <c r="AR177" s="56"/>
      <c r="AS177" s="106"/>
      <c r="AT177" s="56"/>
      <c r="AU177" s="56"/>
      <c r="AV177" s="106"/>
      <c r="AW177" s="56"/>
      <c r="AX177" s="10"/>
      <c r="AY177" s="56"/>
      <c r="AZ177" s="56"/>
      <c r="BA177" s="56"/>
      <c r="BB177" s="56"/>
      <c r="BJ177" s="145"/>
      <c r="CD177" s="145"/>
      <c r="CT177" s="145"/>
    </row>
    <row r="178" spans="1:98" s="97" customFormat="1" x14ac:dyDescent="0.15">
      <c r="A178" s="11">
        <f t="shared" si="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>
        <f t="shared" si="6"/>
        <v>0</v>
      </c>
      <c r="Q178" s="168"/>
      <c r="R178" s="56"/>
      <c r="S178" s="162"/>
      <c r="T178" s="106"/>
      <c r="U178" s="10"/>
      <c r="V178" s="56"/>
      <c r="W178" s="56"/>
      <c r="X178" s="56"/>
      <c r="Y178" s="56"/>
      <c r="Z178" s="56"/>
      <c r="AA178" s="172"/>
      <c r="AB178" s="56"/>
      <c r="AC178" s="56"/>
      <c r="AD178" s="106"/>
      <c r="AE178" s="56"/>
      <c r="AF178" s="56"/>
      <c r="AG178" s="56"/>
      <c r="AH178" s="56"/>
      <c r="AI178" s="56"/>
      <c r="AJ178" s="56"/>
      <c r="AK178" s="106"/>
      <c r="AL178" s="56"/>
      <c r="AM178" s="56"/>
      <c r="AN178" s="56"/>
      <c r="AO178" s="56"/>
      <c r="AP178" s="56"/>
      <c r="AQ178" s="56"/>
      <c r="AR178" s="56"/>
      <c r="AS178" s="106"/>
      <c r="AT178" s="56"/>
      <c r="AU178" s="56"/>
      <c r="AV178" s="106"/>
      <c r="AW178" s="56"/>
      <c r="AX178" s="10"/>
      <c r="AY178" s="56"/>
      <c r="AZ178" s="56"/>
      <c r="BA178" s="56"/>
      <c r="BB178" s="56"/>
      <c r="BJ178" s="145"/>
      <c r="CD178" s="145"/>
      <c r="CT178" s="145"/>
    </row>
    <row r="179" spans="1:98" s="97" customFormat="1" x14ac:dyDescent="0.15">
      <c r="A179" s="11">
        <f t="shared" si="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>
        <f t="shared" si="6"/>
        <v>0</v>
      </c>
      <c r="Q179" s="168"/>
      <c r="R179" s="56"/>
      <c r="S179" s="162"/>
      <c r="T179" s="106"/>
      <c r="U179" s="10"/>
      <c r="V179" s="56"/>
      <c r="W179" s="56"/>
      <c r="X179" s="56"/>
      <c r="Y179" s="56"/>
      <c r="Z179" s="56"/>
      <c r="AA179" s="172"/>
      <c r="AB179" s="56"/>
      <c r="AC179" s="56"/>
      <c r="AD179" s="106"/>
      <c r="AE179" s="56"/>
      <c r="AF179" s="56"/>
      <c r="AG179" s="56"/>
      <c r="AH179" s="56"/>
      <c r="AI179" s="56"/>
      <c r="AJ179" s="56"/>
      <c r="AK179" s="106"/>
      <c r="AL179" s="56"/>
      <c r="AM179" s="56"/>
      <c r="AN179" s="56"/>
      <c r="AO179" s="56"/>
      <c r="AP179" s="56"/>
      <c r="AQ179" s="56"/>
      <c r="AR179" s="56"/>
      <c r="AS179" s="106"/>
      <c r="AT179" s="56"/>
      <c r="AU179" s="56"/>
      <c r="AV179" s="106"/>
      <c r="AW179" s="56"/>
      <c r="AX179" s="10"/>
      <c r="AY179" s="56"/>
      <c r="AZ179" s="56"/>
      <c r="BA179" s="56"/>
      <c r="BB179" s="56"/>
      <c r="BJ179" s="145"/>
      <c r="CD179" s="145"/>
      <c r="CT179" s="145"/>
    </row>
    <row r="180" spans="1:98" s="97" customFormat="1" x14ac:dyDescent="0.15">
      <c r="A180" s="11">
        <f t="shared" si="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>
        <f t="shared" si="6"/>
        <v>0</v>
      </c>
      <c r="Q180" s="168"/>
      <c r="R180" s="56"/>
      <c r="S180" s="162"/>
      <c r="T180" s="106"/>
      <c r="U180" s="10"/>
      <c r="V180" s="56"/>
      <c r="W180" s="56"/>
      <c r="X180" s="56"/>
      <c r="Y180" s="56"/>
      <c r="Z180" s="56"/>
      <c r="AA180" s="172"/>
      <c r="AB180" s="56"/>
      <c r="AC180" s="56"/>
      <c r="AD180" s="106"/>
      <c r="AE180" s="56"/>
      <c r="AF180" s="56"/>
      <c r="AG180" s="56"/>
      <c r="AH180" s="56"/>
      <c r="AI180" s="56"/>
      <c r="AJ180" s="56"/>
      <c r="AK180" s="106"/>
      <c r="AL180" s="56"/>
      <c r="AM180" s="56"/>
      <c r="AN180" s="56"/>
      <c r="AO180" s="56"/>
      <c r="AP180" s="56"/>
      <c r="AQ180" s="56"/>
      <c r="AR180" s="56"/>
      <c r="AS180" s="106"/>
      <c r="AT180" s="56"/>
      <c r="AU180" s="56"/>
      <c r="AV180" s="106"/>
      <c r="AW180" s="56"/>
      <c r="AX180" s="10"/>
      <c r="AY180" s="56"/>
      <c r="AZ180" s="56"/>
      <c r="BA180" s="56"/>
      <c r="BB180" s="56"/>
      <c r="BJ180" s="145"/>
      <c r="CD180" s="145"/>
      <c r="CT180" s="145"/>
    </row>
    <row r="181" spans="1:98" s="97" customFormat="1" x14ac:dyDescent="0.15">
      <c r="A181" s="11">
        <f t="shared" si="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>
        <f t="shared" si="6"/>
        <v>0</v>
      </c>
      <c r="Q181" s="168"/>
      <c r="R181" s="56"/>
      <c r="S181" s="162"/>
      <c r="T181" s="106"/>
      <c r="U181" s="10"/>
      <c r="V181" s="56"/>
      <c r="W181" s="56"/>
      <c r="X181" s="56"/>
      <c r="Y181" s="56"/>
      <c r="Z181" s="56"/>
      <c r="AA181" s="172"/>
      <c r="AB181" s="56"/>
      <c r="AC181" s="56"/>
      <c r="AD181" s="106"/>
      <c r="AE181" s="56"/>
      <c r="AF181" s="56"/>
      <c r="AG181" s="56"/>
      <c r="AH181" s="56"/>
      <c r="AI181" s="56"/>
      <c r="AJ181" s="56"/>
      <c r="AK181" s="106"/>
      <c r="AL181" s="56"/>
      <c r="AM181" s="56"/>
      <c r="AN181" s="56"/>
      <c r="AO181" s="56"/>
      <c r="AP181" s="56"/>
      <c r="AQ181" s="56"/>
      <c r="AR181" s="56"/>
      <c r="AS181" s="106"/>
      <c r="AT181" s="56"/>
      <c r="AU181" s="56"/>
      <c r="AV181" s="106"/>
      <c r="AW181" s="56"/>
      <c r="AX181" s="10"/>
      <c r="AY181" s="56"/>
      <c r="AZ181" s="56"/>
      <c r="BA181" s="56"/>
      <c r="BB181" s="56"/>
      <c r="BJ181" s="145"/>
      <c r="CD181" s="145"/>
      <c r="CT181" s="145"/>
    </row>
    <row r="182" spans="1:98" s="97" customFormat="1" x14ac:dyDescent="0.15">
      <c r="A182" s="11">
        <f t="shared" si="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>
        <f t="shared" si="6"/>
        <v>0</v>
      </c>
      <c r="Q182" s="168"/>
      <c r="R182" s="56"/>
      <c r="S182" s="162"/>
      <c r="T182" s="106"/>
      <c r="U182" s="10"/>
      <c r="V182" s="56"/>
      <c r="W182" s="56"/>
      <c r="X182" s="56"/>
      <c r="Y182" s="56"/>
      <c r="Z182" s="56"/>
      <c r="AA182" s="172"/>
      <c r="AB182" s="56"/>
      <c r="AC182" s="56"/>
      <c r="AD182" s="106"/>
      <c r="AE182" s="56"/>
      <c r="AF182" s="56"/>
      <c r="AG182" s="56"/>
      <c r="AH182" s="56"/>
      <c r="AI182" s="56"/>
      <c r="AJ182" s="56"/>
      <c r="AK182" s="106"/>
      <c r="AL182" s="56"/>
      <c r="AM182" s="56"/>
      <c r="AN182" s="56"/>
      <c r="AO182" s="56"/>
      <c r="AP182" s="56"/>
      <c r="AQ182" s="56"/>
      <c r="AR182" s="56"/>
      <c r="AS182" s="106"/>
      <c r="AT182" s="56"/>
      <c r="AU182" s="56"/>
      <c r="AV182" s="106"/>
      <c r="AW182" s="56"/>
      <c r="AX182" s="10"/>
      <c r="AY182" s="56"/>
      <c r="AZ182" s="56"/>
      <c r="BA182" s="56"/>
      <c r="BB182" s="56"/>
      <c r="BJ182" s="145"/>
      <c r="CD182" s="145"/>
      <c r="CT182" s="145"/>
    </row>
    <row r="183" spans="1:98" s="97" customFormat="1" x14ac:dyDescent="0.15">
      <c r="A183" s="11">
        <f t="shared" si="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>
        <f t="shared" si="6"/>
        <v>0</v>
      </c>
      <c r="Q183" s="168"/>
      <c r="R183" s="56"/>
      <c r="S183" s="162"/>
      <c r="T183" s="106"/>
      <c r="U183" s="10"/>
      <c r="V183" s="56"/>
      <c r="W183" s="56"/>
      <c r="X183" s="56"/>
      <c r="Y183" s="56"/>
      <c r="Z183" s="56"/>
      <c r="AA183" s="172"/>
      <c r="AB183" s="56"/>
      <c r="AC183" s="56"/>
      <c r="AD183" s="106"/>
      <c r="AE183" s="56"/>
      <c r="AF183" s="56"/>
      <c r="AG183" s="56"/>
      <c r="AH183" s="56"/>
      <c r="AI183" s="56"/>
      <c r="AJ183" s="56"/>
      <c r="AK183" s="106"/>
      <c r="AL183" s="56"/>
      <c r="AM183" s="56"/>
      <c r="AN183" s="56"/>
      <c r="AO183" s="56"/>
      <c r="AP183" s="56"/>
      <c r="AQ183" s="56"/>
      <c r="AR183" s="56"/>
      <c r="AS183" s="106"/>
      <c r="AT183" s="56"/>
      <c r="AU183" s="56"/>
      <c r="AV183" s="106"/>
      <c r="AW183" s="56"/>
      <c r="AX183" s="10"/>
      <c r="AY183" s="56"/>
      <c r="AZ183" s="56"/>
      <c r="BA183" s="56"/>
      <c r="BB183" s="56"/>
      <c r="BJ183" s="145"/>
      <c r="CD183" s="145"/>
      <c r="CT183" s="145"/>
    </row>
    <row r="184" spans="1:98" s="97" customFormat="1" ht="17.25" thickBot="1" x14ac:dyDescent="0.2">
      <c r="A184" s="11">
        <f t="shared" si="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>
        <f t="shared" si="6"/>
        <v>0</v>
      </c>
      <c r="Q184" s="168"/>
      <c r="R184" s="56"/>
      <c r="S184" s="162"/>
      <c r="T184" s="106"/>
      <c r="U184" s="10"/>
      <c r="V184" s="56"/>
      <c r="W184" s="56"/>
      <c r="X184" s="56"/>
      <c r="Y184" s="56"/>
      <c r="Z184" s="56"/>
      <c r="AA184" s="172"/>
      <c r="AB184" s="56"/>
      <c r="AC184" s="56"/>
      <c r="AD184" s="106"/>
      <c r="AE184" s="56"/>
      <c r="AF184" s="56"/>
      <c r="AG184" s="56"/>
      <c r="AH184" s="56"/>
      <c r="AI184" s="56"/>
      <c r="AJ184" s="56"/>
      <c r="AK184" s="106"/>
      <c r="AL184" s="56"/>
      <c r="AM184" s="56"/>
      <c r="AN184" s="56"/>
      <c r="AO184" s="56"/>
      <c r="AP184" s="56"/>
      <c r="AQ184" s="56"/>
      <c r="AR184" s="56"/>
      <c r="AS184" s="106"/>
      <c r="AT184" s="56"/>
      <c r="AU184" s="56"/>
      <c r="AV184" s="106"/>
      <c r="AW184" s="56"/>
      <c r="AX184" s="10"/>
      <c r="AY184" s="56"/>
      <c r="AZ184" s="56"/>
      <c r="BA184" s="56"/>
      <c r="BB184" s="56"/>
      <c r="BJ184" s="145"/>
      <c r="CD184" s="145"/>
      <c r="CT184" s="145"/>
    </row>
    <row r="185" spans="1:98" s="114" customFormat="1" x14ac:dyDescent="0.15">
      <c r="A185" s="18">
        <f t="shared" si="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>
        <f t="shared" si="6"/>
        <v>0</v>
      </c>
      <c r="Q185" s="169"/>
      <c r="R185" s="57"/>
      <c r="S185" s="163"/>
      <c r="T185" s="108"/>
      <c r="U185" s="17"/>
      <c r="V185" s="57"/>
      <c r="W185" s="57"/>
      <c r="X185" s="57"/>
      <c r="Y185" s="57"/>
      <c r="Z185" s="57"/>
      <c r="AA185" s="173"/>
      <c r="AB185" s="57"/>
      <c r="AC185" s="57"/>
      <c r="AD185" s="108"/>
      <c r="AE185" s="57"/>
      <c r="AF185" s="57"/>
      <c r="AG185" s="57"/>
      <c r="AH185" s="57"/>
      <c r="AI185" s="57"/>
      <c r="AJ185" s="57"/>
      <c r="AK185" s="108"/>
      <c r="AL185" s="57"/>
      <c r="AM185" s="57"/>
      <c r="AN185" s="57"/>
      <c r="AO185" s="57"/>
      <c r="AP185" s="57"/>
      <c r="AQ185" s="57"/>
      <c r="AR185" s="57"/>
      <c r="AS185" s="108"/>
      <c r="AT185" s="57"/>
      <c r="AU185" s="57"/>
      <c r="AV185" s="108"/>
      <c r="AW185" s="57"/>
      <c r="AX185" s="17"/>
      <c r="AY185" s="57"/>
      <c r="AZ185" s="57"/>
      <c r="BA185" s="57"/>
      <c r="BB185" s="57"/>
      <c r="BJ185" s="144"/>
      <c r="CD185" s="144"/>
      <c r="CT185" s="144"/>
    </row>
    <row r="186" spans="1:98" x14ac:dyDescent="0.15">
      <c r="A186" s="11">
        <f t="shared" si="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>
        <f t="shared" si="6"/>
        <v>0</v>
      </c>
      <c r="BC186" s="109"/>
    </row>
    <row r="187" spans="1:98" x14ac:dyDescent="0.15">
      <c r="A187" s="11">
        <f t="shared" si="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>
        <f t="shared" si="6"/>
        <v>0</v>
      </c>
      <c r="BC187" s="109"/>
    </row>
    <row r="188" spans="1:98" x14ac:dyDescent="0.15">
      <c r="A188" s="11">
        <f t="shared" si="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>
        <f t="shared" si="6"/>
        <v>0</v>
      </c>
    </row>
    <row r="189" spans="1:98" x14ac:dyDescent="0.15">
      <c r="A189" s="11">
        <f t="shared" si="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>
        <f t="shared" si="6"/>
        <v>0</v>
      </c>
    </row>
    <row r="190" spans="1:98" x14ac:dyDescent="0.15">
      <c r="A190" s="11">
        <f t="shared" si="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>
        <f t="shared" si="6"/>
        <v>0</v>
      </c>
    </row>
    <row r="191" spans="1:98" x14ac:dyDescent="0.15">
      <c r="A191" s="11">
        <f t="shared" si="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>
        <f t="shared" si="6"/>
        <v>0</v>
      </c>
    </row>
    <row r="192" spans="1:98" x14ac:dyDescent="0.15">
      <c r="A192" s="11">
        <f t="shared" si="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>
        <f t="shared" si="6"/>
        <v>0</v>
      </c>
    </row>
    <row r="193" spans="1:98" x14ac:dyDescent="0.15">
      <c r="A193" s="11">
        <f t="shared" si="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>
        <f t="shared" si="6"/>
        <v>0</v>
      </c>
    </row>
    <row r="194" spans="1:98" x14ac:dyDescent="0.15">
      <c r="A194" s="11">
        <f t="shared" si="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>
        <f t="shared" si="6"/>
        <v>0</v>
      </c>
    </row>
    <row r="195" spans="1:98" s="97" customFormat="1" x14ac:dyDescent="0.15">
      <c r="A195" s="11">
        <f t="shared" si="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>
        <f t="shared" si="6"/>
        <v>0</v>
      </c>
      <c r="Q195" s="168"/>
      <c r="R195" s="56"/>
      <c r="S195" s="162"/>
      <c r="T195" s="106"/>
      <c r="U195" s="10"/>
      <c r="V195" s="56"/>
      <c r="W195" s="56"/>
      <c r="X195" s="56"/>
      <c r="Y195" s="56"/>
      <c r="Z195" s="56"/>
      <c r="AA195" s="172"/>
      <c r="AB195" s="56"/>
      <c r="AC195" s="56"/>
      <c r="AD195" s="106"/>
      <c r="AE195" s="56"/>
      <c r="AF195" s="56"/>
      <c r="AG195" s="56"/>
      <c r="AH195" s="56"/>
      <c r="AI195" s="56"/>
      <c r="AJ195" s="56"/>
      <c r="AK195" s="106"/>
      <c r="AL195" s="56"/>
      <c r="AM195" s="56"/>
      <c r="AN195" s="56"/>
      <c r="AO195" s="56"/>
      <c r="AP195" s="56"/>
      <c r="AQ195" s="56"/>
      <c r="AR195" s="56"/>
      <c r="AS195" s="106"/>
      <c r="AT195" s="56"/>
      <c r="AU195" s="56"/>
      <c r="AV195" s="106"/>
      <c r="AW195" s="56"/>
      <c r="AX195" s="10"/>
      <c r="AY195" s="56"/>
      <c r="AZ195" s="56"/>
      <c r="BA195" s="56"/>
      <c r="BB195" s="56"/>
      <c r="BJ195" s="145"/>
      <c r="CD195" s="145"/>
      <c r="CT195" s="145"/>
    </row>
    <row r="196" spans="1:98" s="97" customFormat="1" x14ac:dyDescent="0.15">
      <c r="A196" s="11">
        <f t="shared" si="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>
        <f t="shared" si="6"/>
        <v>0</v>
      </c>
      <c r="Q196" s="168"/>
      <c r="R196" s="56"/>
      <c r="S196" s="162"/>
      <c r="T196" s="106"/>
      <c r="U196" s="10"/>
      <c r="V196" s="56"/>
      <c r="W196" s="56"/>
      <c r="X196" s="56"/>
      <c r="Y196" s="56"/>
      <c r="Z196" s="56"/>
      <c r="AA196" s="172"/>
      <c r="AB196" s="56"/>
      <c r="AC196" s="56"/>
      <c r="AD196" s="106"/>
      <c r="AE196" s="56"/>
      <c r="AF196" s="56"/>
      <c r="AG196" s="56"/>
      <c r="AH196" s="56"/>
      <c r="AI196" s="56"/>
      <c r="AJ196" s="56"/>
      <c r="AK196" s="106"/>
      <c r="AL196" s="56"/>
      <c r="AM196" s="56"/>
      <c r="AN196" s="56"/>
      <c r="AO196" s="56"/>
      <c r="AP196" s="56"/>
      <c r="AQ196" s="56"/>
      <c r="AR196" s="56"/>
      <c r="AS196" s="106"/>
      <c r="AT196" s="56"/>
      <c r="AU196" s="56"/>
      <c r="AV196" s="106"/>
      <c r="AW196" s="56"/>
      <c r="AX196" s="10"/>
      <c r="AY196" s="56"/>
      <c r="AZ196" s="56"/>
      <c r="BA196" s="56"/>
      <c r="BB196" s="56"/>
      <c r="BJ196" s="145"/>
      <c r="CD196" s="145"/>
      <c r="CT196" s="145"/>
    </row>
    <row r="197" spans="1:98" s="97" customFormat="1" x14ac:dyDescent="0.15">
      <c r="A197" s="11">
        <f t="shared" si="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>
        <f t="shared" ref="P197:P224" si="8">(O197/100000)*1440</f>
        <v>0</v>
      </c>
      <c r="Q197" s="168"/>
      <c r="R197" s="56"/>
      <c r="S197" s="162"/>
      <c r="T197" s="106"/>
      <c r="U197" s="10"/>
      <c r="V197" s="56"/>
      <c r="W197" s="56"/>
      <c r="X197" s="56"/>
      <c r="Y197" s="56"/>
      <c r="Z197" s="56"/>
      <c r="AA197" s="172"/>
      <c r="AB197" s="56"/>
      <c r="AC197" s="56"/>
      <c r="AD197" s="106"/>
      <c r="AE197" s="56"/>
      <c r="AF197" s="56"/>
      <c r="AG197" s="56"/>
      <c r="AH197" s="56"/>
      <c r="AI197" s="56"/>
      <c r="AJ197" s="56"/>
      <c r="AK197" s="106"/>
      <c r="AL197" s="56"/>
      <c r="AM197" s="56"/>
      <c r="AN197" s="56"/>
      <c r="AO197" s="56"/>
      <c r="AP197" s="56"/>
      <c r="AQ197" s="56"/>
      <c r="AR197" s="56"/>
      <c r="AS197" s="106"/>
      <c r="AT197" s="56"/>
      <c r="AU197" s="56"/>
      <c r="AV197" s="106"/>
      <c r="AW197" s="56"/>
      <c r="AX197" s="10"/>
      <c r="AY197" s="56"/>
      <c r="AZ197" s="56"/>
      <c r="BA197" s="56"/>
      <c r="BB197" s="56"/>
      <c r="BJ197" s="145"/>
      <c r="CD197" s="145"/>
      <c r="CT197" s="145"/>
    </row>
    <row r="198" spans="1:98" s="97" customFormat="1" x14ac:dyDescent="0.15">
      <c r="A198" s="11">
        <f t="shared" si="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>
        <f t="shared" si="8"/>
        <v>0</v>
      </c>
      <c r="Q198" s="168"/>
      <c r="R198" s="56"/>
      <c r="S198" s="162"/>
      <c r="T198" s="106"/>
      <c r="U198" s="10"/>
      <c r="V198" s="56"/>
      <c r="W198" s="56"/>
      <c r="X198" s="56"/>
      <c r="Y198" s="56"/>
      <c r="Z198" s="56"/>
      <c r="AA198" s="172"/>
      <c r="AB198" s="56"/>
      <c r="AC198" s="56"/>
      <c r="AD198" s="106"/>
      <c r="AE198" s="56"/>
      <c r="AF198" s="56"/>
      <c r="AG198" s="56"/>
      <c r="AH198" s="56"/>
      <c r="AI198" s="56"/>
      <c r="AJ198" s="56"/>
      <c r="AK198" s="106"/>
      <c r="AL198" s="56"/>
      <c r="AM198" s="56"/>
      <c r="AN198" s="56"/>
      <c r="AO198" s="56"/>
      <c r="AP198" s="56"/>
      <c r="AQ198" s="56"/>
      <c r="AR198" s="56"/>
      <c r="AS198" s="106"/>
      <c r="AT198" s="56"/>
      <c r="AU198" s="56"/>
      <c r="AV198" s="106"/>
      <c r="AW198" s="56"/>
      <c r="AX198" s="10"/>
      <c r="AY198" s="56"/>
      <c r="AZ198" s="56"/>
      <c r="BA198" s="56"/>
      <c r="BB198" s="56"/>
      <c r="BJ198" s="145"/>
      <c r="CD198" s="145"/>
      <c r="CT198" s="145"/>
    </row>
    <row r="199" spans="1:98" s="97" customFormat="1" x14ac:dyDescent="0.15">
      <c r="A199" s="11">
        <f t="shared" si="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>
        <f t="shared" si="8"/>
        <v>0</v>
      </c>
      <c r="Q199" s="168"/>
      <c r="R199" s="56"/>
      <c r="S199" s="162"/>
      <c r="T199" s="106"/>
      <c r="U199" s="10"/>
      <c r="V199" s="56"/>
      <c r="W199" s="56"/>
      <c r="X199" s="56"/>
      <c r="Y199" s="56"/>
      <c r="Z199" s="56"/>
      <c r="AA199" s="172"/>
      <c r="AB199" s="56"/>
      <c r="AC199" s="56"/>
      <c r="AD199" s="106"/>
      <c r="AE199" s="56"/>
      <c r="AF199" s="56"/>
      <c r="AG199" s="56"/>
      <c r="AH199" s="56"/>
      <c r="AI199" s="56"/>
      <c r="AJ199" s="56"/>
      <c r="AK199" s="106"/>
      <c r="AL199" s="56"/>
      <c r="AM199" s="56"/>
      <c r="AN199" s="56"/>
      <c r="AO199" s="56"/>
      <c r="AP199" s="56"/>
      <c r="AQ199" s="56"/>
      <c r="AR199" s="56"/>
      <c r="AS199" s="106"/>
      <c r="AT199" s="56"/>
      <c r="AU199" s="56"/>
      <c r="AV199" s="106"/>
      <c r="AW199" s="56"/>
      <c r="AX199" s="10"/>
      <c r="AY199" s="56"/>
      <c r="AZ199" s="56"/>
      <c r="BA199" s="56"/>
      <c r="BB199" s="56"/>
      <c r="BJ199" s="145"/>
      <c r="CD199" s="145"/>
      <c r="CT199" s="145"/>
    </row>
    <row r="200" spans="1:98" s="97" customFormat="1" x14ac:dyDescent="0.15">
      <c r="A200" s="11">
        <f t="shared" si="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>
        <f t="shared" si="8"/>
        <v>0</v>
      </c>
      <c r="Q200" s="168"/>
      <c r="R200" s="56"/>
      <c r="S200" s="162"/>
      <c r="T200" s="106"/>
      <c r="U200" s="10"/>
      <c r="V200" s="56"/>
      <c r="W200" s="56"/>
      <c r="X200" s="56"/>
      <c r="Y200" s="56"/>
      <c r="Z200" s="56"/>
      <c r="AA200" s="172"/>
      <c r="AB200" s="56"/>
      <c r="AC200" s="56"/>
      <c r="AD200" s="106"/>
      <c r="AE200" s="56"/>
      <c r="AF200" s="56"/>
      <c r="AG200" s="56"/>
      <c r="AH200" s="56"/>
      <c r="AI200" s="56"/>
      <c r="AJ200" s="56"/>
      <c r="AK200" s="106"/>
      <c r="AL200" s="56"/>
      <c r="AM200" s="56"/>
      <c r="AN200" s="56"/>
      <c r="AO200" s="56"/>
      <c r="AP200" s="56"/>
      <c r="AQ200" s="56"/>
      <c r="AR200" s="56"/>
      <c r="AS200" s="106"/>
      <c r="AT200" s="56"/>
      <c r="AU200" s="56"/>
      <c r="AV200" s="106"/>
      <c r="AW200" s="56"/>
      <c r="AX200" s="10"/>
      <c r="AY200" s="56"/>
      <c r="AZ200" s="56"/>
      <c r="BA200" s="56"/>
      <c r="BB200" s="56"/>
      <c r="BJ200" s="145"/>
      <c r="CD200" s="145"/>
      <c r="CT200" s="145"/>
    </row>
    <row r="201" spans="1:98" s="97" customFormat="1" x14ac:dyDescent="0.15">
      <c r="A201" s="11">
        <f t="shared" si="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>
        <f t="shared" si="8"/>
        <v>0</v>
      </c>
      <c r="Q201" s="168"/>
      <c r="R201" s="56"/>
      <c r="S201" s="162"/>
      <c r="T201" s="106"/>
      <c r="U201" s="10"/>
      <c r="V201" s="56"/>
      <c r="W201" s="56"/>
      <c r="X201" s="56"/>
      <c r="Y201" s="56"/>
      <c r="Z201" s="56"/>
      <c r="AA201" s="172"/>
      <c r="AB201" s="56"/>
      <c r="AC201" s="56"/>
      <c r="AD201" s="106"/>
      <c r="AE201" s="56"/>
      <c r="AF201" s="56"/>
      <c r="AG201" s="56"/>
      <c r="AH201" s="56"/>
      <c r="AI201" s="56"/>
      <c r="AJ201" s="56"/>
      <c r="AK201" s="106"/>
      <c r="AL201" s="56"/>
      <c r="AM201" s="56"/>
      <c r="AN201" s="56"/>
      <c r="AO201" s="56"/>
      <c r="AP201" s="56"/>
      <c r="AQ201" s="56"/>
      <c r="AR201" s="56"/>
      <c r="AS201" s="106"/>
      <c r="AT201" s="56"/>
      <c r="AU201" s="56"/>
      <c r="AV201" s="106"/>
      <c r="AW201" s="56"/>
      <c r="AX201" s="10"/>
      <c r="AY201" s="56"/>
      <c r="AZ201" s="56"/>
      <c r="BA201" s="56"/>
      <c r="BB201" s="56"/>
      <c r="BJ201" s="145"/>
      <c r="CD201" s="145"/>
      <c r="CT201" s="145"/>
    </row>
    <row r="202" spans="1:98" s="97" customFormat="1" x14ac:dyDescent="0.15">
      <c r="A202" s="11">
        <f t="shared" si="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>
        <f t="shared" si="8"/>
        <v>0</v>
      </c>
      <c r="Q202" s="168"/>
      <c r="R202" s="56"/>
      <c r="S202" s="162"/>
      <c r="T202" s="106"/>
      <c r="U202" s="10"/>
      <c r="V202" s="56"/>
      <c r="W202" s="56"/>
      <c r="X202" s="56"/>
      <c r="Y202" s="56"/>
      <c r="Z202" s="56"/>
      <c r="AA202" s="172"/>
      <c r="AB202" s="56"/>
      <c r="AC202" s="56"/>
      <c r="AD202" s="106"/>
      <c r="AE202" s="56"/>
      <c r="AF202" s="56"/>
      <c r="AG202" s="56"/>
      <c r="AH202" s="56"/>
      <c r="AI202" s="56"/>
      <c r="AJ202" s="56"/>
      <c r="AK202" s="106"/>
      <c r="AL202" s="56"/>
      <c r="AM202" s="56"/>
      <c r="AN202" s="56"/>
      <c r="AO202" s="56"/>
      <c r="AP202" s="56"/>
      <c r="AQ202" s="56"/>
      <c r="AR202" s="56"/>
      <c r="AS202" s="106"/>
      <c r="AT202" s="56"/>
      <c r="AU202" s="56"/>
      <c r="AV202" s="106"/>
      <c r="AW202" s="56"/>
      <c r="AX202" s="10"/>
      <c r="AY202" s="56"/>
      <c r="AZ202" s="56"/>
      <c r="BA202" s="56"/>
      <c r="BB202" s="56"/>
      <c r="BJ202" s="145"/>
      <c r="CD202" s="145"/>
      <c r="CT202" s="145"/>
    </row>
    <row r="203" spans="1:98" s="97" customFormat="1" x14ac:dyDescent="0.15">
      <c r="A203" s="11">
        <f t="shared" si="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>
        <f t="shared" si="8"/>
        <v>0</v>
      </c>
      <c r="Q203" s="168"/>
      <c r="R203" s="56"/>
      <c r="S203" s="162"/>
      <c r="T203" s="106"/>
      <c r="U203" s="10"/>
      <c r="V203" s="56"/>
      <c r="W203" s="56"/>
      <c r="X203" s="56"/>
      <c r="Y203" s="56"/>
      <c r="Z203" s="56"/>
      <c r="AA203" s="172"/>
      <c r="AB203" s="56"/>
      <c r="AC203" s="56"/>
      <c r="AD203" s="106"/>
      <c r="AE203" s="56"/>
      <c r="AF203" s="56"/>
      <c r="AG203" s="56"/>
      <c r="AH203" s="56"/>
      <c r="AI203" s="56"/>
      <c r="AJ203" s="56"/>
      <c r="AK203" s="106"/>
      <c r="AL203" s="56"/>
      <c r="AM203" s="56"/>
      <c r="AN203" s="56"/>
      <c r="AO203" s="56"/>
      <c r="AP203" s="56"/>
      <c r="AQ203" s="56"/>
      <c r="AR203" s="56"/>
      <c r="AS203" s="106"/>
      <c r="AT203" s="56"/>
      <c r="AU203" s="56"/>
      <c r="AV203" s="106"/>
      <c r="AW203" s="56"/>
      <c r="AX203" s="10"/>
      <c r="AY203" s="56"/>
      <c r="AZ203" s="56"/>
      <c r="BA203" s="56"/>
      <c r="BB203" s="56"/>
      <c r="BJ203" s="145"/>
      <c r="CD203" s="145"/>
      <c r="CT203" s="145"/>
    </row>
    <row r="204" spans="1:98" s="97" customFormat="1" ht="17.25" thickBot="1" x14ac:dyDescent="0.2">
      <c r="A204" s="11">
        <f t="shared" si="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>
        <f t="shared" si="8"/>
        <v>0</v>
      </c>
      <c r="Q204" s="168"/>
      <c r="R204" s="56"/>
      <c r="S204" s="162"/>
      <c r="T204" s="106"/>
      <c r="U204" s="10"/>
      <c r="V204" s="56"/>
      <c r="W204" s="56"/>
      <c r="X204" s="56"/>
      <c r="Y204" s="56"/>
      <c r="Z204" s="56"/>
      <c r="AA204" s="172"/>
      <c r="AB204" s="56"/>
      <c r="AC204" s="56"/>
      <c r="AD204" s="106"/>
      <c r="AE204" s="56"/>
      <c r="AF204" s="56"/>
      <c r="AG204" s="56"/>
      <c r="AH204" s="56"/>
      <c r="AI204" s="56"/>
      <c r="AJ204" s="56"/>
      <c r="AK204" s="106"/>
      <c r="AL204" s="56"/>
      <c r="AM204" s="56"/>
      <c r="AN204" s="56"/>
      <c r="AO204" s="56"/>
      <c r="AP204" s="56"/>
      <c r="AQ204" s="56"/>
      <c r="AR204" s="56"/>
      <c r="AS204" s="106"/>
      <c r="AT204" s="56"/>
      <c r="AU204" s="56"/>
      <c r="AV204" s="106"/>
      <c r="AW204" s="56"/>
      <c r="AX204" s="10"/>
      <c r="AY204" s="56"/>
      <c r="AZ204" s="56"/>
      <c r="BA204" s="56"/>
      <c r="BB204" s="56"/>
      <c r="BJ204" s="145"/>
      <c r="CD204" s="145"/>
      <c r="CT204" s="145"/>
    </row>
    <row r="205" spans="1:98" s="114" customFormat="1" x14ac:dyDescent="0.15">
      <c r="A205" s="18">
        <f t="shared" si="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>
        <f t="shared" si="8"/>
        <v>0</v>
      </c>
      <c r="Q205" s="169"/>
      <c r="R205" s="57"/>
      <c r="S205" s="163"/>
      <c r="T205" s="108"/>
      <c r="U205" s="17"/>
      <c r="V205" s="57"/>
      <c r="W205" s="57"/>
      <c r="X205" s="57"/>
      <c r="Y205" s="57"/>
      <c r="Z205" s="57"/>
      <c r="AA205" s="173"/>
      <c r="AB205" s="57"/>
      <c r="AC205" s="57"/>
      <c r="AD205" s="108"/>
      <c r="AE205" s="57"/>
      <c r="AF205" s="57"/>
      <c r="AG205" s="57"/>
      <c r="AH205" s="57"/>
      <c r="AI205" s="57"/>
      <c r="AJ205" s="57"/>
      <c r="AK205" s="108"/>
      <c r="AL205" s="57"/>
      <c r="AM205" s="57"/>
      <c r="AN205" s="57"/>
      <c r="AO205" s="57"/>
      <c r="AP205" s="57"/>
      <c r="AQ205" s="57"/>
      <c r="AR205" s="57"/>
      <c r="AS205" s="108"/>
      <c r="AT205" s="57"/>
      <c r="AU205" s="57"/>
      <c r="AV205" s="108"/>
      <c r="AW205" s="57"/>
      <c r="AX205" s="17"/>
      <c r="AY205" s="57"/>
      <c r="AZ205" s="57"/>
      <c r="BA205" s="57"/>
      <c r="BB205" s="57"/>
      <c r="BJ205" s="144"/>
      <c r="CD205" s="144"/>
      <c r="CT205" s="144"/>
    </row>
    <row r="206" spans="1:98" x14ac:dyDescent="0.15">
      <c r="A206" s="11">
        <f t="shared" si="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>
        <f t="shared" si="8"/>
        <v>0</v>
      </c>
      <c r="BC206" s="109"/>
    </row>
    <row r="207" spans="1:98" x14ac:dyDescent="0.15">
      <c r="A207" s="11">
        <f t="shared" si="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>
        <f t="shared" si="8"/>
        <v>0</v>
      </c>
      <c r="BC207" s="109"/>
    </row>
    <row r="208" spans="1:98" x14ac:dyDescent="0.15">
      <c r="A208" s="11">
        <f t="shared" si="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>
        <f t="shared" si="8"/>
        <v>0</v>
      </c>
    </row>
    <row r="209" spans="1:98" x14ac:dyDescent="0.15">
      <c r="A209" s="11">
        <f t="shared" si="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>
        <f t="shared" si="8"/>
        <v>0</v>
      </c>
    </row>
    <row r="210" spans="1:98" x14ac:dyDescent="0.15">
      <c r="A210" s="11">
        <f t="shared" si="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>
        <f t="shared" si="8"/>
        <v>0</v>
      </c>
    </row>
    <row r="211" spans="1:98" x14ac:dyDescent="0.15">
      <c r="A211" s="11">
        <f t="shared" si="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>
        <f t="shared" si="8"/>
        <v>0</v>
      </c>
    </row>
    <row r="212" spans="1:98" x14ac:dyDescent="0.15">
      <c r="A212" s="11">
        <f t="shared" si="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>
        <f t="shared" si="8"/>
        <v>0</v>
      </c>
    </row>
    <row r="213" spans="1:98" x14ac:dyDescent="0.15">
      <c r="A213" s="11">
        <f t="shared" si="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>
        <f t="shared" si="8"/>
        <v>0</v>
      </c>
    </row>
    <row r="214" spans="1:98" x14ac:dyDescent="0.15">
      <c r="A214" s="11">
        <f t="shared" si="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>
        <f t="shared" si="8"/>
        <v>0</v>
      </c>
    </row>
    <row r="215" spans="1:98" s="97" customFormat="1" x14ac:dyDescent="0.15">
      <c r="A215" s="11">
        <f t="shared" si="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>
        <f t="shared" si="8"/>
        <v>0</v>
      </c>
      <c r="Q215" s="168"/>
      <c r="R215" s="56"/>
      <c r="S215" s="162"/>
      <c r="T215" s="106"/>
      <c r="U215" s="10"/>
      <c r="V215" s="56"/>
      <c r="W215" s="56"/>
      <c r="X215" s="56"/>
      <c r="Y215" s="56"/>
      <c r="Z215" s="56"/>
      <c r="AA215" s="172"/>
      <c r="AB215" s="56"/>
      <c r="AC215" s="56"/>
      <c r="AD215" s="106"/>
      <c r="AE215" s="56"/>
      <c r="AF215" s="56"/>
      <c r="AG215" s="56"/>
      <c r="AH215" s="56"/>
      <c r="AI215" s="56"/>
      <c r="AJ215" s="56"/>
      <c r="AK215" s="106"/>
      <c r="AL215" s="56"/>
      <c r="AM215" s="56"/>
      <c r="AN215" s="56"/>
      <c r="AO215" s="56"/>
      <c r="AP215" s="56"/>
      <c r="AQ215" s="56"/>
      <c r="AR215" s="56"/>
      <c r="AS215" s="106"/>
      <c r="AT215" s="56"/>
      <c r="AU215" s="56"/>
      <c r="AV215" s="106"/>
      <c r="AW215" s="56"/>
      <c r="AX215" s="10"/>
      <c r="AY215" s="56"/>
      <c r="AZ215" s="56"/>
      <c r="BA215" s="56"/>
      <c r="BB215" s="56"/>
      <c r="BJ215" s="145"/>
      <c r="CD215" s="145"/>
      <c r="CT215" s="145"/>
    </row>
    <row r="216" spans="1:98" s="97" customFormat="1" x14ac:dyDescent="0.15">
      <c r="A216" s="11">
        <f t="shared" si="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>
        <f t="shared" si="8"/>
        <v>0</v>
      </c>
      <c r="Q216" s="168"/>
      <c r="R216" s="56"/>
      <c r="S216" s="162"/>
      <c r="T216" s="106"/>
      <c r="U216" s="10"/>
      <c r="V216" s="56"/>
      <c r="W216" s="56"/>
      <c r="X216" s="56"/>
      <c r="Y216" s="56"/>
      <c r="Z216" s="56"/>
      <c r="AA216" s="172"/>
      <c r="AB216" s="56"/>
      <c r="AC216" s="56"/>
      <c r="AD216" s="106"/>
      <c r="AE216" s="56"/>
      <c r="AF216" s="56"/>
      <c r="AG216" s="56"/>
      <c r="AH216" s="56"/>
      <c r="AI216" s="56"/>
      <c r="AJ216" s="56"/>
      <c r="AK216" s="106"/>
      <c r="AL216" s="56"/>
      <c r="AM216" s="56"/>
      <c r="AN216" s="56"/>
      <c r="AO216" s="56"/>
      <c r="AP216" s="56"/>
      <c r="AQ216" s="56"/>
      <c r="AR216" s="56"/>
      <c r="AS216" s="106"/>
      <c r="AT216" s="56"/>
      <c r="AU216" s="56"/>
      <c r="AV216" s="106"/>
      <c r="AW216" s="56"/>
      <c r="AX216" s="10"/>
      <c r="AY216" s="56"/>
      <c r="AZ216" s="56"/>
      <c r="BA216" s="56"/>
      <c r="BB216" s="56"/>
      <c r="BJ216" s="145"/>
      <c r="CD216" s="145"/>
      <c r="CT216" s="145"/>
    </row>
    <row r="217" spans="1:98" s="97" customFormat="1" x14ac:dyDescent="0.15">
      <c r="A217" s="11">
        <f t="shared" si="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>
        <f t="shared" si="8"/>
        <v>0</v>
      </c>
      <c r="Q217" s="168"/>
      <c r="R217" s="56"/>
      <c r="S217" s="162"/>
      <c r="T217" s="106"/>
      <c r="U217" s="10"/>
      <c r="V217" s="56"/>
      <c r="W217" s="56"/>
      <c r="X217" s="56"/>
      <c r="Y217" s="56"/>
      <c r="Z217" s="56"/>
      <c r="AA217" s="172"/>
      <c r="AB217" s="56"/>
      <c r="AC217" s="56"/>
      <c r="AD217" s="106"/>
      <c r="AE217" s="56"/>
      <c r="AF217" s="56"/>
      <c r="AG217" s="56"/>
      <c r="AH217" s="56"/>
      <c r="AI217" s="56"/>
      <c r="AJ217" s="56"/>
      <c r="AK217" s="106"/>
      <c r="AL217" s="56"/>
      <c r="AM217" s="56"/>
      <c r="AN217" s="56"/>
      <c r="AO217" s="56"/>
      <c r="AP217" s="56"/>
      <c r="AQ217" s="56"/>
      <c r="AR217" s="56"/>
      <c r="AS217" s="106"/>
      <c r="AT217" s="56"/>
      <c r="AU217" s="56"/>
      <c r="AV217" s="106"/>
      <c r="AW217" s="56"/>
      <c r="AX217" s="10"/>
      <c r="AY217" s="56"/>
      <c r="AZ217" s="56"/>
      <c r="BA217" s="56"/>
      <c r="BB217" s="56"/>
      <c r="BJ217" s="145"/>
      <c r="CD217" s="145"/>
      <c r="CT217" s="145"/>
    </row>
    <row r="218" spans="1:98" s="97" customFormat="1" x14ac:dyDescent="0.15">
      <c r="A218" s="11">
        <f t="shared" ref="A218:A224" si="9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>
        <f t="shared" si="8"/>
        <v>0</v>
      </c>
      <c r="Q218" s="168"/>
      <c r="R218" s="56"/>
      <c r="S218" s="162"/>
      <c r="T218" s="106"/>
      <c r="U218" s="10"/>
      <c r="V218" s="56"/>
      <c r="W218" s="56"/>
      <c r="X218" s="56"/>
      <c r="Y218" s="56"/>
      <c r="Z218" s="56"/>
      <c r="AA218" s="172"/>
      <c r="AB218" s="56"/>
      <c r="AC218" s="56"/>
      <c r="AD218" s="106"/>
      <c r="AE218" s="56"/>
      <c r="AF218" s="56"/>
      <c r="AG218" s="56"/>
      <c r="AH218" s="56"/>
      <c r="AI218" s="56"/>
      <c r="AJ218" s="56"/>
      <c r="AK218" s="106"/>
      <c r="AL218" s="56"/>
      <c r="AM218" s="56"/>
      <c r="AN218" s="56"/>
      <c r="AO218" s="56"/>
      <c r="AP218" s="56"/>
      <c r="AQ218" s="56"/>
      <c r="AR218" s="56"/>
      <c r="AS218" s="106"/>
      <c r="AT218" s="56"/>
      <c r="AU218" s="56"/>
      <c r="AV218" s="106"/>
      <c r="AW218" s="56"/>
      <c r="AX218" s="10"/>
      <c r="AY218" s="56"/>
      <c r="AZ218" s="56"/>
      <c r="BA218" s="56"/>
      <c r="BB218" s="56"/>
      <c r="BJ218" s="145"/>
      <c r="CD218" s="145"/>
      <c r="CT218" s="145"/>
    </row>
    <row r="219" spans="1:98" s="97" customFormat="1" x14ac:dyDescent="0.15">
      <c r="A219" s="11">
        <f t="shared" si="9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>
        <f t="shared" si="8"/>
        <v>0</v>
      </c>
      <c r="Q219" s="168"/>
      <c r="R219" s="56"/>
      <c r="S219" s="162"/>
      <c r="T219" s="106"/>
      <c r="U219" s="10"/>
      <c r="V219" s="56"/>
      <c r="W219" s="56"/>
      <c r="X219" s="56"/>
      <c r="Y219" s="56"/>
      <c r="Z219" s="56"/>
      <c r="AA219" s="172"/>
      <c r="AB219" s="56"/>
      <c r="AC219" s="56"/>
      <c r="AD219" s="106"/>
      <c r="AE219" s="56"/>
      <c r="AF219" s="56"/>
      <c r="AG219" s="56"/>
      <c r="AH219" s="56"/>
      <c r="AI219" s="56"/>
      <c r="AJ219" s="56"/>
      <c r="AK219" s="106"/>
      <c r="AL219" s="56"/>
      <c r="AM219" s="56"/>
      <c r="AN219" s="56"/>
      <c r="AO219" s="56"/>
      <c r="AP219" s="56"/>
      <c r="AQ219" s="56"/>
      <c r="AR219" s="56"/>
      <c r="AS219" s="106"/>
      <c r="AT219" s="56"/>
      <c r="AU219" s="56"/>
      <c r="AV219" s="106"/>
      <c r="AW219" s="56"/>
      <c r="AX219" s="10"/>
      <c r="AY219" s="56"/>
      <c r="AZ219" s="56"/>
      <c r="BA219" s="56"/>
      <c r="BB219" s="56"/>
      <c r="BJ219" s="145"/>
      <c r="CD219" s="145"/>
      <c r="CT219" s="145"/>
    </row>
    <row r="220" spans="1:98" s="97" customFormat="1" x14ac:dyDescent="0.15">
      <c r="A220" s="11">
        <f t="shared" si="9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>
        <f t="shared" si="8"/>
        <v>0</v>
      </c>
      <c r="Q220" s="168"/>
      <c r="R220" s="56"/>
      <c r="S220" s="162"/>
      <c r="T220" s="106"/>
      <c r="U220" s="10"/>
      <c r="V220" s="56"/>
      <c r="W220" s="56"/>
      <c r="X220" s="56"/>
      <c r="Y220" s="56"/>
      <c r="Z220" s="56"/>
      <c r="AA220" s="172"/>
      <c r="AB220" s="56"/>
      <c r="AC220" s="56"/>
      <c r="AD220" s="106"/>
      <c r="AE220" s="56"/>
      <c r="AF220" s="56"/>
      <c r="AG220" s="56"/>
      <c r="AH220" s="56"/>
      <c r="AI220" s="56"/>
      <c r="AJ220" s="56"/>
      <c r="AK220" s="106"/>
      <c r="AL220" s="56"/>
      <c r="AM220" s="56"/>
      <c r="AN220" s="56"/>
      <c r="AO220" s="56"/>
      <c r="AP220" s="56"/>
      <c r="AQ220" s="56"/>
      <c r="AR220" s="56"/>
      <c r="AS220" s="106"/>
      <c r="AT220" s="56"/>
      <c r="AU220" s="56"/>
      <c r="AV220" s="106"/>
      <c r="AW220" s="56"/>
      <c r="AX220" s="10"/>
      <c r="AY220" s="56"/>
      <c r="AZ220" s="56"/>
      <c r="BA220" s="56"/>
      <c r="BB220" s="56"/>
      <c r="BJ220" s="145"/>
      <c r="CD220" s="145"/>
      <c r="CT220" s="145"/>
    </row>
    <row r="221" spans="1:98" s="97" customFormat="1" x14ac:dyDescent="0.15">
      <c r="A221" s="11">
        <f t="shared" si="9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>
        <f t="shared" si="8"/>
        <v>0</v>
      </c>
      <c r="Q221" s="168"/>
      <c r="R221" s="56"/>
      <c r="S221" s="162"/>
      <c r="T221" s="106"/>
      <c r="U221" s="10"/>
      <c r="V221" s="56"/>
      <c r="W221" s="56"/>
      <c r="X221" s="56"/>
      <c r="Y221" s="56"/>
      <c r="Z221" s="56"/>
      <c r="AA221" s="172"/>
      <c r="AB221" s="56"/>
      <c r="AC221" s="56"/>
      <c r="AD221" s="106"/>
      <c r="AE221" s="56"/>
      <c r="AF221" s="56"/>
      <c r="AG221" s="56"/>
      <c r="AH221" s="56"/>
      <c r="AI221" s="56"/>
      <c r="AJ221" s="56"/>
      <c r="AK221" s="106"/>
      <c r="AL221" s="56"/>
      <c r="AM221" s="56"/>
      <c r="AN221" s="56"/>
      <c r="AO221" s="56"/>
      <c r="AP221" s="56"/>
      <c r="AQ221" s="56"/>
      <c r="AR221" s="56"/>
      <c r="AS221" s="106"/>
      <c r="AT221" s="56"/>
      <c r="AU221" s="56"/>
      <c r="AV221" s="106"/>
      <c r="AW221" s="56"/>
      <c r="AX221" s="10"/>
      <c r="AY221" s="56"/>
      <c r="AZ221" s="56"/>
      <c r="BA221" s="56"/>
      <c r="BB221" s="56"/>
      <c r="BJ221" s="145"/>
      <c r="CD221" s="145"/>
      <c r="CT221" s="145"/>
    </row>
    <row r="222" spans="1:98" s="97" customFormat="1" x14ac:dyDescent="0.15">
      <c r="A222" s="11">
        <f t="shared" si="9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>
        <f t="shared" si="8"/>
        <v>0</v>
      </c>
      <c r="Q222" s="168"/>
      <c r="R222" s="56"/>
      <c r="S222" s="162"/>
      <c r="T222" s="106"/>
      <c r="U222" s="10"/>
      <c r="V222" s="56"/>
      <c r="W222" s="56"/>
      <c r="X222" s="56"/>
      <c r="Y222" s="56"/>
      <c r="Z222" s="56"/>
      <c r="AA222" s="172"/>
      <c r="AB222" s="56"/>
      <c r="AC222" s="56"/>
      <c r="AD222" s="106"/>
      <c r="AE222" s="56"/>
      <c r="AF222" s="56"/>
      <c r="AG222" s="56"/>
      <c r="AH222" s="56"/>
      <c r="AI222" s="56"/>
      <c r="AJ222" s="56"/>
      <c r="AK222" s="106"/>
      <c r="AL222" s="56"/>
      <c r="AM222" s="56"/>
      <c r="AN222" s="56"/>
      <c r="AO222" s="56"/>
      <c r="AP222" s="56"/>
      <c r="AQ222" s="56"/>
      <c r="AR222" s="56"/>
      <c r="AS222" s="106"/>
      <c r="AT222" s="56"/>
      <c r="AU222" s="56"/>
      <c r="AV222" s="106"/>
      <c r="AW222" s="56"/>
      <c r="AX222" s="10"/>
      <c r="AY222" s="56"/>
      <c r="AZ222" s="56"/>
      <c r="BA222" s="56"/>
      <c r="BB222" s="56"/>
      <c r="BJ222" s="145"/>
      <c r="CD222" s="145"/>
      <c r="CT222" s="145"/>
    </row>
    <row r="223" spans="1:98" s="97" customFormat="1" x14ac:dyDescent="0.15">
      <c r="A223" s="11">
        <f t="shared" si="9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>
        <f t="shared" si="8"/>
        <v>0</v>
      </c>
      <c r="Q223" s="168"/>
      <c r="R223" s="56"/>
      <c r="S223" s="162"/>
      <c r="T223" s="106"/>
      <c r="U223" s="10"/>
      <c r="V223" s="56"/>
      <c r="W223" s="56"/>
      <c r="X223" s="56"/>
      <c r="Y223" s="56"/>
      <c r="Z223" s="56"/>
      <c r="AA223" s="172"/>
      <c r="AB223" s="56"/>
      <c r="AC223" s="56"/>
      <c r="AD223" s="106"/>
      <c r="AE223" s="56"/>
      <c r="AF223" s="56"/>
      <c r="AG223" s="56"/>
      <c r="AH223" s="56"/>
      <c r="AI223" s="56"/>
      <c r="AJ223" s="56"/>
      <c r="AK223" s="106"/>
      <c r="AL223" s="56"/>
      <c r="AM223" s="56"/>
      <c r="AN223" s="56"/>
      <c r="AO223" s="56"/>
      <c r="AP223" s="56"/>
      <c r="AQ223" s="56"/>
      <c r="AR223" s="56"/>
      <c r="AS223" s="106"/>
      <c r="AT223" s="56"/>
      <c r="AU223" s="56"/>
      <c r="AV223" s="106"/>
      <c r="AW223" s="56"/>
      <c r="AX223" s="10"/>
      <c r="AY223" s="56"/>
      <c r="AZ223" s="56"/>
      <c r="BA223" s="56"/>
      <c r="BB223" s="56"/>
      <c r="BJ223" s="145"/>
      <c r="CD223" s="145"/>
      <c r="CT223" s="145"/>
    </row>
    <row r="224" spans="1:98" s="97" customFormat="1" ht="17.25" thickBot="1" x14ac:dyDescent="0.2">
      <c r="A224" s="11">
        <f t="shared" si="9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>
        <f t="shared" si="8"/>
        <v>0</v>
      </c>
      <c r="Q224" s="168"/>
      <c r="R224" s="56"/>
      <c r="S224" s="162"/>
      <c r="T224" s="106"/>
      <c r="U224" s="10"/>
      <c r="V224" s="56"/>
      <c r="W224" s="56"/>
      <c r="X224" s="56"/>
      <c r="Y224" s="56"/>
      <c r="Z224" s="56"/>
      <c r="AA224" s="172"/>
      <c r="AB224" s="56"/>
      <c r="AC224" s="56"/>
      <c r="AD224" s="106"/>
      <c r="AE224" s="56"/>
      <c r="AF224" s="56"/>
      <c r="AG224" s="56"/>
      <c r="AH224" s="56"/>
      <c r="AI224" s="56"/>
      <c r="AJ224" s="56"/>
      <c r="AK224" s="106"/>
      <c r="AL224" s="56"/>
      <c r="AM224" s="56"/>
      <c r="AN224" s="56"/>
      <c r="AO224" s="56"/>
      <c r="AP224" s="56"/>
      <c r="AQ224" s="56"/>
      <c r="AR224" s="56"/>
      <c r="AS224" s="106"/>
      <c r="AT224" s="56"/>
      <c r="AU224" s="56"/>
      <c r="AV224" s="106"/>
      <c r="AW224" s="56"/>
      <c r="AX224" s="10"/>
      <c r="AY224" s="56"/>
      <c r="AZ224" s="56"/>
      <c r="BA224" s="56"/>
      <c r="BB224" s="56"/>
      <c r="BJ224" s="145"/>
      <c r="CD224" s="145"/>
      <c r="CT224" s="145"/>
    </row>
    <row r="225" spans="1:98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69"/>
      <c r="R225" s="57"/>
      <c r="S225" s="163"/>
      <c r="T225" s="108"/>
      <c r="U225" s="17"/>
      <c r="V225" s="57"/>
      <c r="W225" s="57"/>
      <c r="X225" s="57"/>
      <c r="Y225" s="57"/>
      <c r="Z225" s="57"/>
      <c r="AA225" s="173"/>
      <c r="AB225" s="57"/>
      <c r="AC225" s="57"/>
      <c r="AD225" s="108"/>
      <c r="AE225" s="57"/>
      <c r="AF225" s="57"/>
      <c r="AG225" s="57"/>
      <c r="AH225" s="57"/>
      <c r="AI225" s="57"/>
      <c r="AJ225" s="57"/>
      <c r="AK225" s="108"/>
      <c r="AL225" s="57"/>
      <c r="AM225" s="57"/>
      <c r="AN225" s="57"/>
      <c r="AO225" s="57"/>
      <c r="AP225" s="57"/>
      <c r="AQ225" s="57"/>
      <c r="AR225" s="57"/>
      <c r="AS225" s="108"/>
      <c r="AT225" s="57"/>
      <c r="AU225" s="57"/>
      <c r="AV225" s="108"/>
      <c r="AW225" s="57"/>
      <c r="AX225" s="17"/>
      <c r="AY225" s="57"/>
      <c r="AZ225" s="57"/>
      <c r="BA225" s="57"/>
      <c r="BB225" s="57"/>
      <c r="BJ225" s="144"/>
      <c r="CD225" s="144"/>
      <c r="CT225" s="144"/>
    </row>
    <row r="226" spans="1:98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68"/>
      <c r="R226" s="56"/>
      <c r="S226" s="162"/>
      <c r="T226" s="106"/>
      <c r="U226" s="10"/>
      <c r="V226" s="56"/>
      <c r="W226" s="56"/>
      <c r="X226" s="56"/>
      <c r="Y226" s="56"/>
      <c r="Z226" s="56"/>
      <c r="AA226" s="172"/>
      <c r="AB226" s="56"/>
      <c r="AC226" s="56"/>
      <c r="AD226" s="106"/>
      <c r="AE226" s="56"/>
      <c r="AF226" s="56"/>
      <c r="AG226" s="56"/>
      <c r="AH226" s="56"/>
      <c r="AI226" s="56"/>
      <c r="AJ226" s="56"/>
      <c r="AK226" s="106"/>
      <c r="AL226" s="56"/>
      <c r="AM226" s="56"/>
      <c r="AN226" s="56"/>
      <c r="AO226" s="56"/>
      <c r="AP226" s="56"/>
      <c r="AQ226" s="56"/>
      <c r="AR226" s="56"/>
      <c r="AS226" s="106"/>
      <c r="AT226" s="56"/>
      <c r="AU226" s="56"/>
      <c r="AV226" s="106"/>
      <c r="AW226" s="56"/>
      <c r="AX226" s="10"/>
      <c r="AY226" s="56"/>
      <c r="AZ226" s="56"/>
      <c r="BA226" s="56"/>
      <c r="BB226" s="56"/>
      <c r="BJ226" s="145"/>
      <c r="CD226" s="145"/>
      <c r="CT226" s="145"/>
    </row>
    <row r="227" spans="1:98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68"/>
      <c r="R227" s="56"/>
      <c r="S227" s="162"/>
      <c r="T227" s="106"/>
      <c r="U227" s="10"/>
      <c r="V227" s="56"/>
      <c r="W227" s="56"/>
      <c r="X227" s="56"/>
      <c r="Y227" s="56"/>
      <c r="Z227" s="56"/>
      <c r="AA227" s="172"/>
      <c r="AB227" s="56"/>
      <c r="AC227" s="56"/>
      <c r="AD227" s="106"/>
      <c r="AE227" s="56"/>
      <c r="AF227" s="56"/>
      <c r="AG227" s="56"/>
      <c r="AH227" s="56"/>
      <c r="AI227" s="56"/>
      <c r="AJ227" s="56"/>
      <c r="AK227" s="106"/>
      <c r="AL227" s="56"/>
      <c r="AM227" s="56"/>
      <c r="AN227" s="56"/>
      <c r="AO227" s="56"/>
      <c r="AP227" s="56"/>
      <c r="AQ227" s="56"/>
      <c r="AR227" s="56"/>
      <c r="AS227" s="106"/>
      <c r="AT227" s="56"/>
      <c r="AU227" s="56"/>
      <c r="AV227" s="106"/>
      <c r="AW227" s="56"/>
      <c r="AX227" s="10"/>
      <c r="AY227" s="56"/>
      <c r="AZ227" s="56"/>
      <c r="BA227" s="56"/>
      <c r="BB227" s="56"/>
      <c r="BJ227" s="145"/>
      <c r="CD227" s="145"/>
      <c r="CT227" s="145"/>
    </row>
    <row r="228" spans="1:98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68"/>
      <c r="R228" s="56"/>
      <c r="S228" s="162"/>
      <c r="T228" s="106"/>
      <c r="U228" s="10"/>
      <c r="V228" s="56"/>
      <c r="W228" s="56"/>
      <c r="X228" s="56"/>
      <c r="Y228" s="56"/>
      <c r="Z228" s="56"/>
      <c r="AA228" s="172"/>
      <c r="AB228" s="56"/>
      <c r="AC228" s="56"/>
      <c r="AD228" s="106"/>
      <c r="AE228" s="56"/>
      <c r="AF228" s="56"/>
      <c r="AG228" s="56"/>
      <c r="AH228" s="56"/>
      <c r="AI228" s="56"/>
      <c r="AJ228" s="56"/>
      <c r="AK228" s="106"/>
      <c r="AL228" s="56"/>
      <c r="AM228" s="56"/>
      <c r="AN228" s="56"/>
      <c r="AO228" s="56"/>
      <c r="AP228" s="56"/>
      <c r="AQ228" s="56"/>
      <c r="AR228" s="56"/>
      <c r="AS228" s="106"/>
      <c r="AT228" s="56"/>
      <c r="AU228" s="56"/>
      <c r="AV228" s="106"/>
      <c r="AW228" s="56"/>
      <c r="AX228" s="10"/>
      <c r="AY228" s="56"/>
      <c r="AZ228" s="56"/>
      <c r="BA228" s="56"/>
      <c r="BB228" s="56"/>
      <c r="BJ228" s="145"/>
      <c r="CD228" s="145"/>
      <c r="CT228" s="145"/>
    </row>
    <row r="229" spans="1:98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68"/>
      <c r="R229" s="56"/>
      <c r="S229" s="162"/>
      <c r="T229" s="106"/>
      <c r="U229" s="10"/>
      <c r="V229" s="56"/>
      <c r="W229" s="56"/>
      <c r="X229" s="56"/>
      <c r="Y229" s="56"/>
      <c r="Z229" s="56"/>
      <c r="AA229" s="172"/>
      <c r="AB229" s="56"/>
      <c r="AC229" s="56"/>
      <c r="AD229" s="106"/>
      <c r="AE229" s="56"/>
      <c r="AF229" s="56"/>
      <c r="AG229" s="56"/>
      <c r="AH229" s="56"/>
      <c r="AI229" s="56"/>
      <c r="AJ229" s="56"/>
      <c r="AK229" s="106"/>
      <c r="AL229" s="56"/>
      <c r="AM229" s="56"/>
      <c r="AN229" s="56"/>
      <c r="AO229" s="56"/>
      <c r="AP229" s="56"/>
      <c r="AQ229" s="56"/>
      <c r="AR229" s="56"/>
      <c r="AS229" s="106"/>
      <c r="AT229" s="56"/>
      <c r="AU229" s="56"/>
      <c r="AV229" s="106"/>
      <c r="AW229" s="56"/>
      <c r="AX229" s="10"/>
      <c r="AY229" s="56"/>
      <c r="AZ229" s="56"/>
      <c r="BA229" s="56"/>
      <c r="BB229" s="56"/>
      <c r="BJ229" s="145"/>
      <c r="CD229" s="145"/>
      <c r="CT229" s="145"/>
    </row>
    <row r="230" spans="1:98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68"/>
      <c r="R230" s="56"/>
      <c r="S230" s="162"/>
      <c r="T230" s="106"/>
      <c r="U230" s="10"/>
      <c r="V230" s="56"/>
      <c r="W230" s="56"/>
      <c r="X230" s="56"/>
      <c r="Y230" s="56"/>
      <c r="Z230" s="56"/>
      <c r="AA230" s="172"/>
      <c r="AB230" s="56"/>
      <c r="AC230" s="56"/>
      <c r="AD230" s="106"/>
      <c r="AE230" s="56"/>
      <c r="AF230" s="56"/>
      <c r="AG230" s="56"/>
      <c r="AH230" s="56"/>
      <c r="AI230" s="56"/>
      <c r="AJ230" s="56"/>
      <c r="AK230" s="106"/>
      <c r="AL230" s="56"/>
      <c r="AM230" s="56"/>
      <c r="AN230" s="56"/>
      <c r="AO230" s="56"/>
      <c r="AP230" s="56"/>
      <c r="AQ230" s="56"/>
      <c r="AR230" s="56"/>
      <c r="AS230" s="106"/>
      <c r="AT230" s="56"/>
      <c r="AU230" s="56"/>
      <c r="AV230" s="106"/>
      <c r="AW230" s="56"/>
      <c r="AX230" s="10"/>
      <c r="AY230" s="56"/>
      <c r="AZ230" s="56"/>
      <c r="BA230" s="56"/>
      <c r="BB230" s="56"/>
      <c r="BJ230" s="145"/>
      <c r="CD230" s="145"/>
      <c r="CT230" s="145"/>
    </row>
    <row r="231" spans="1:98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68"/>
      <c r="R231" s="56"/>
      <c r="S231" s="162"/>
      <c r="T231" s="106"/>
      <c r="U231" s="10"/>
      <c r="V231" s="56"/>
      <c r="W231" s="56"/>
      <c r="X231" s="56"/>
      <c r="Y231" s="56"/>
      <c r="Z231" s="56"/>
      <c r="AA231" s="172"/>
      <c r="AB231" s="56"/>
      <c r="AC231" s="56"/>
      <c r="AD231" s="106"/>
      <c r="AE231" s="56"/>
      <c r="AF231" s="56"/>
      <c r="AG231" s="56"/>
      <c r="AH231" s="56"/>
      <c r="AI231" s="56"/>
      <c r="AJ231" s="56"/>
      <c r="AK231" s="106"/>
      <c r="AL231" s="56"/>
      <c r="AM231" s="56"/>
      <c r="AN231" s="56"/>
      <c r="AO231" s="56"/>
      <c r="AP231" s="56"/>
      <c r="AQ231" s="56"/>
      <c r="AR231" s="56"/>
      <c r="AS231" s="106"/>
      <c r="AT231" s="56"/>
      <c r="AU231" s="56"/>
      <c r="AV231" s="106"/>
      <c r="AW231" s="56"/>
      <c r="AX231" s="10"/>
      <c r="AY231" s="56"/>
      <c r="AZ231" s="56"/>
      <c r="BA231" s="56"/>
      <c r="BB231" s="56"/>
      <c r="BJ231" s="145"/>
      <c r="CD231" s="145"/>
      <c r="CT231" s="145"/>
    </row>
    <row r="232" spans="1:98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68"/>
      <c r="R232" s="56"/>
      <c r="S232" s="162"/>
      <c r="T232" s="106"/>
      <c r="U232" s="10"/>
      <c r="V232" s="56"/>
      <c r="W232" s="56"/>
      <c r="X232" s="56"/>
      <c r="Y232" s="56"/>
      <c r="Z232" s="56"/>
      <c r="AA232" s="172"/>
      <c r="AB232" s="56"/>
      <c r="AC232" s="56"/>
      <c r="AD232" s="106"/>
      <c r="AE232" s="56"/>
      <c r="AF232" s="56"/>
      <c r="AG232" s="56"/>
      <c r="AH232" s="56"/>
      <c r="AI232" s="56"/>
      <c r="AJ232" s="56"/>
      <c r="AK232" s="106"/>
      <c r="AL232" s="56"/>
      <c r="AM232" s="56"/>
      <c r="AN232" s="56"/>
      <c r="AO232" s="56"/>
      <c r="AP232" s="56"/>
      <c r="AQ232" s="56"/>
      <c r="AR232" s="56"/>
      <c r="AS232" s="106"/>
      <c r="AT232" s="56"/>
      <c r="AU232" s="56"/>
      <c r="AV232" s="106"/>
      <c r="AW232" s="56"/>
      <c r="AX232" s="10"/>
      <c r="AY232" s="56"/>
      <c r="AZ232" s="56"/>
      <c r="BA232" s="56"/>
      <c r="BB232" s="56"/>
      <c r="BJ232" s="145"/>
      <c r="CD232" s="145"/>
      <c r="CT232" s="145"/>
    </row>
    <row r="233" spans="1:98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68"/>
      <c r="R233" s="56"/>
      <c r="S233" s="162"/>
      <c r="T233" s="106"/>
      <c r="U233" s="10"/>
      <c r="V233" s="56"/>
      <c r="W233" s="56"/>
      <c r="X233" s="56"/>
      <c r="Y233" s="56"/>
      <c r="Z233" s="56"/>
      <c r="AA233" s="172"/>
      <c r="AB233" s="56"/>
      <c r="AC233" s="56"/>
      <c r="AD233" s="106"/>
      <c r="AE233" s="56"/>
      <c r="AF233" s="56"/>
      <c r="AG233" s="56"/>
      <c r="AH233" s="56"/>
      <c r="AI233" s="56"/>
      <c r="AJ233" s="56"/>
      <c r="AK233" s="106"/>
      <c r="AL233" s="56"/>
      <c r="AM233" s="56"/>
      <c r="AN233" s="56"/>
      <c r="AO233" s="56"/>
      <c r="AP233" s="56"/>
      <c r="AQ233" s="56"/>
      <c r="AR233" s="56"/>
      <c r="AS233" s="106"/>
      <c r="AT233" s="56"/>
      <c r="AU233" s="56"/>
      <c r="AV233" s="106"/>
      <c r="AW233" s="56"/>
      <c r="AX233" s="10"/>
      <c r="AY233" s="56"/>
      <c r="AZ233" s="56"/>
      <c r="BA233" s="56"/>
      <c r="BB233" s="56"/>
      <c r="BJ233" s="145"/>
      <c r="CD233" s="145"/>
      <c r="CT233" s="145"/>
    </row>
    <row r="234" spans="1:98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68"/>
      <c r="R234" s="56"/>
      <c r="S234" s="162"/>
      <c r="T234" s="106"/>
      <c r="U234" s="10"/>
      <c r="V234" s="56"/>
      <c r="W234" s="56"/>
      <c r="X234" s="56"/>
      <c r="Y234" s="56"/>
      <c r="Z234" s="56"/>
      <c r="AA234" s="172"/>
      <c r="AB234" s="56"/>
      <c r="AC234" s="56"/>
      <c r="AD234" s="106"/>
      <c r="AE234" s="56"/>
      <c r="AF234" s="56"/>
      <c r="AG234" s="56"/>
      <c r="AH234" s="56"/>
      <c r="AI234" s="56"/>
      <c r="AJ234" s="56"/>
      <c r="AK234" s="106"/>
      <c r="AL234" s="56"/>
      <c r="AM234" s="56"/>
      <c r="AN234" s="56"/>
      <c r="AO234" s="56"/>
      <c r="AP234" s="56"/>
      <c r="AQ234" s="56"/>
      <c r="AR234" s="56"/>
      <c r="AS234" s="106"/>
      <c r="AT234" s="56"/>
      <c r="AU234" s="56"/>
      <c r="AV234" s="106"/>
      <c r="AW234" s="56"/>
      <c r="AX234" s="10"/>
      <c r="AY234" s="56"/>
      <c r="AZ234" s="56"/>
      <c r="BA234" s="56"/>
      <c r="BB234" s="56"/>
      <c r="BJ234" s="145"/>
      <c r="CD234" s="145"/>
      <c r="CT234" s="145"/>
    </row>
    <row r="235" spans="1:98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68"/>
      <c r="R235" s="56"/>
      <c r="S235" s="162"/>
      <c r="T235" s="106"/>
      <c r="U235" s="10"/>
      <c r="V235" s="56"/>
      <c r="W235" s="56"/>
      <c r="X235" s="56"/>
      <c r="Y235" s="56"/>
      <c r="Z235" s="56"/>
      <c r="AA235" s="172"/>
      <c r="AB235" s="56"/>
      <c r="AC235" s="56"/>
      <c r="AD235" s="106"/>
      <c r="AE235" s="56"/>
      <c r="AF235" s="56"/>
      <c r="AG235" s="56"/>
      <c r="AH235" s="56"/>
      <c r="AI235" s="56"/>
      <c r="AJ235" s="56"/>
      <c r="AK235" s="106"/>
      <c r="AL235" s="56"/>
      <c r="AM235" s="56"/>
      <c r="AN235" s="56"/>
      <c r="AO235" s="56"/>
      <c r="AP235" s="56"/>
      <c r="AQ235" s="56"/>
      <c r="AR235" s="56"/>
      <c r="AS235" s="106"/>
      <c r="AT235" s="56"/>
      <c r="AU235" s="56"/>
      <c r="AV235" s="106"/>
      <c r="AW235" s="56"/>
      <c r="AX235" s="10"/>
      <c r="AY235" s="56"/>
      <c r="AZ235" s="56"/>
      <c r="BA235" s="56"/>
      <c r="BB235" s="56"/>
      <c r="BJ235" s="145"/>
      <c r="CD235" s="145"/>
      <c r="CT235" s="145"/>
    </row>
    <row r="236" spans="1:98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68"/>
      <c r="R236" s="56"/>
      <c r="S236" s="162"/>
      <c r="T236" s="106"/>
      <c r="U236" s="10"/>
      <c r="V236" s="56"/>
      <c r="W236" s="56"/>
      <c r="X236" s="56"/>
      <c r="Y236" s="56"/>
      <c r="Z236" s="56"/>
      <c r="AA236" s="172"/>
      <c r="AB236" s="56"/>
      <c r="AC236" s="56"/>
      <c r="AD236" s="106"/>
      <c r="AE236" s="56"/>
      <c r="AF236" s="56"/>
      <c r="AG236" s="56"/>
      <c r="AH236" s="56"/>
      <c r="AI236" s="56"/>
      <c r="AJ236" s="56"/>
      <c r="AK236" s="106"/>
      <c r="AL236" s="56"/>
      <c r="AM236" s="56"/>
      <c r="AN236" s="56"/>
      <c r="AO236" s="56"/>
      <c r="AP236" s="56"/>
      <c r="AQ236" s="56"/>
      <c r="AR236" s="56"/>
      <c r="AS236" s="106"/>
      <c r="AT236" s="56"/>
      <c r="AU236" s="56"/>
      <c r="AV236" s="106"/>
      <c r="AW236" s="56"/>
      <c r="AX236" s="10"/>
      <c r="AY236" s="56"/>
      <c r="AZ236" s="56"/>
      <c r="BA236" s="56"/>
      <c r="BB236" s="56"/>
      <c r="BJ236" s="145"/>
      <c r="CD236" s="145"/>
      <c r="CT236" s="145"/>
    </row>
    <row r="237" spans="1:98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68"/>
      <c r="R237" s="56"/>
      <c r="S237" s="162"/>
      <c r="T237" s="106"/>
      <c r="U237" s="10"/>
      <c r="V237" s="56"/>
      <c r="W237" s="56"/>
      <c r="X237" s="56"/>
      <c r="Y237" s="56"/>
      <c r="Z237" s="56"/>
      <c r="AA237" s="172"/>
      <c r="AB237" s="56"/>
      <c r="AC237" s="56"/>
      <c r="AD237" s="106"/>
      <c r="AE237" s="56"/>
      <c r="AF237" s="56"/>
      <c r="AG237" s="56"/>
      <c r="AH237" s="56"/>
      <c r="AI237" s="56"/>
      <c r="AJ237" s="56"/>
      <c r="AK237" s="106"/>
      <c r="AL237" s="56"/>
      <c r="AM237" s="56"/>
      <c r="AN237" s="56"/>
      <c r="AO237" s="56"/>
      <c r="AP237" s="56"/>
      <c r="AQ237" s="56"/>
      <c r="AR237" s="56"/>
      <c r="AS237" s="106"/>
      <c r="AT237" s="56"/>
      <c r="AU237" s="56"/>
      <c r="AV237" s="106"/>
      <c r="AW237" s="56"/>
      <c r="AX237" s="10"/>
      <c r="AY237" s="56"/>
      <c r="AZ237" s="56"/>
      <c r="BA237" s="56"/>
      <c r="BB237" s="56"/>
      <c r="BJ237" s="145"/>
      <c r="CD237" s="145"/>
      <c r="CT237" s="145"/>
    </row>
    <row r="238" spans="1:98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68"/>
      <c r="R238" s="56"/>
      <c r="S238" s="162"/>
      <c r="T238" s="106"/>
      <c r="U238" s="10"/>
      <c r="V238" s="56"/>
      <c r="W238" s="56"/>
      <c r="X238" s="56"/>
      <c r="Y238" s="56"/>
      <c r="Z238" s="56"/>
      <c r="AA238" s="172"/>
      <c r="AB238" s="56"/>
      <c r="AC238" s="56"/>
      <c r="AD238" s="106"/>
      <c r="AE238" s="56"/>
      <c r="AF238" s="56"/>
      <c r="AG238" s="56"/>
      <c r="AH238" s="56"/>
      <c r="AI238" s="56"/>
      <c r="AJ238" s="56"/>
      <c r="AK238" s="106"/>
      <c r="AL238" s="56"/>
      <c r="AM238" s="56"/>
      <c r="AN238" s="56"/>
      <c r="AO238" s="56"/>
      <c r="AP238" s="56"/>
      <c r="AQ238" s="56"/>
      <c r="AR238" s="56"/>
      <c r="AS238" s="106"/>
      <c r="AT238" s="56"/>
      <c r="AU238" s="56"/>
      <c r="AV238" s="106"/>
      <c r="AW238" s="56"/>
      <c r="AX238" s="10"/>
      <c r="AY238" s="56"/>
      <c r="AZ238" s="56"/>
      <c r="BA238" s="56"/>
      <c r="BB238" s="56"/>
      <c r="BJ238" s="145"/>
      <c r="CD238" s="145"/>
      <c r="CT238" s="145"/>
    </row>
    <row r="239" spans="1:98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68"/>
      <c r="R239" s="56"/>
      <c r="S239" s="162"/>
      <c r="T239" s="106"/>
      <c r="U239" s="10"/>
      <c r="V239" s="56"/>
      <c r="W239" s="56"/>
      <c r="X239" s="56"/>
      <c r="Y239" s="56"/>
      <c r="Z239" s="56"/>
      <c r="AA239" s="172"/>
      <c r="AB239" s="56"/>
      <c r="AC239" s="56"/>
      <c r="AD239" s="106"/>
      <c r="AE239" s="56"/>
      <c r="AF239" s="56"/>
      <c r="AG239" s="56"/>
      <c r="AH239" s="56"/>
      <c r="AI239" s="56"/>
      <c r="AJ239" s="56"/>
      <c r="AK239" s="106"/>
      <c r="AL239" s="56"/>
      <c r="AM239" s="56"/>
      <c r="AN239" s="56"/>
      <c r="AO239" s="56"/>
      <c r="AP239" s="56"/>
      <c r="AQ239" s="56"/>
      <c r="AR239" s="56"/>
      <c r="AS239" s="106"/>
      <c r="AT239" s="56"/>
      <c r="AU239" s="56"/>
      <c r="AV239" s="106"/>
      <c r="AW239" s="56"/>
      <c r="AX239" s="10"/>
      <c r="AY239" s="56"/>
      <c r="AZ239" s="56"/>
      <c r="BA239" s="56"/>
      <c r="BB239" s="56"/>
      <c r="BJ239" s="145"/>
      <c r="CD239" s="145"/>
      <c r="CT239" s="145"/>
    </row>
    <row r="240" spans="1:98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68"/>
      <c r="R240" s="56"/>
      <c r="S240" s="162"/>
      <c r="T240" s="106"/>
      <c r="U240" s="10"/>
      <c r="V240" s="56"/>
      <c r="W240" s="56"/>
      <c r="X240" s="56"/>
      <c r="Y240" s="56"/>
      <c r="Z240" s="56"/>
      <c r="AA240" s="172"/>
      <c r="AB240" s="56"/>
      <c r="AC240" s="56"/>
      <c r="AD240" s="106"/>
      <c r="AE240" s="56"/>
      <c r="AF240" s="56"/>
      <c r="AG240" s="56"/>
      <c r="AH240" s="56"/>
      <c r="AI240" s="56"/>
      <c r="AJ240" s="56"/>
      <c r="AK240" s="106"/>
      <c r="AL240" s="56"/>
      <c r="AM240" s="56"/>
      <c r="AN240" s="56"/>
      <c r="AO240" s="56"/>
      <c r="AP240" s="56"/>
      <c r="AQ240" s="56"/>
      <c r="AR240" s="56"/>
      <c r="AS240" s="106"/>
      <c r="AT240" s="56"/>
      <c r="AU240" s="56"/>
      <c r="AV240" s="106"/>
      <c r="AW240" s="56"/>
      <c r="AX240" s="10"/>
      <c r="AY240" s="56"/>
      <c r="AZ240" s="56"/>
      <c r="BA240" s="56"/>
      <c r="BB240" s="56"/>
      <c r="BJ240" s="145"/>
      <c r="CD240" s="145"/>
      <c r="CT240" s="145"/>
    </row>
    <row r="241" spans="1:98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68"/>
      <c r="R241" s="56"/>
      <c r="S241" s="162"/>
      <c r="T241" s="106"/>
      <c r="U241" s="10"/>
      <c r="V241" s="56"/>
      <c r="W241" s="56"/>
      <c r="X241" s="56"/>
      <c r="Y241" s="56"/>
      <c r="Z241" s="56"/>
      <c r="AA241" s="172"/>
      <c r="AB241" s="56"/>
      <c r="AC241" s="56"/>
      <c r="AD241" s="106"/>
      <c r="AE241" s="56"/>
      <c r="AF241" s="56"/>
      <c r="AG241" s="56"/>
      <c r="AH241" s="56"/>
      <c r="AI241" s="56"/>
      <c r="AJ241" s="56"/>
      <c r="AK241" s="106"/>
      <c r="AL241" s="56"/>
      <c r="AM241" s="56"/>
      <c r="AN241" s="56"/>
      <c r="AO241" s="56"/>
      <c r="AP241" s="56"/>
      <c r="AQ241" s="56"/>
      <c r="AR241" s="56"/>
      <c r="AS241" s="106"/>
      <c r="AT241" s="56"/>
      <c r="AU241" s="56"/>
      <c r="AV241" s="106"/>
      <c r="AW241" s="56"/>
      <c r="AX241" s="10"/>
      <c r="AY241" s="56"/>
      <c r="AZ241" s="56"/>
      <c r="BA241" s="56"/>
      <c r="BB241" s="56"/>
      <c r="BJ241" s="145"/>
      <c r="CD241" s="145"/>
      <c r="CT241" s="145"/>
    </row>
    <row r="242" spans="1:98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68"/>
      <c r="R242" s="56"/>
      <c r="S242" s="162"/>
      <c r="T242" s="106"/>
      <c r="U242" s="10"/>
      <c r="V242" s="56"/>
      <c r="W242" s="56"/>
      <c r="X242" s="56"/>
      <c r="Y242" s="56"/>
      <c r="Z242" s="56"/>
      <c r="AA242" s="172"/>
      <c r="AB242" s="56"/>
      <c r="AC242" s="56"/>
      <c r="AD242" s="106"/>
      <c r="AE242" s="56"/>
      <c r="AF242" s="56"/>
      <c r="AG242" s="56"/>
      <c r="AH242" s="56"/>
      <c r="AI242" s="56"/>
      <c r="AJ242" s="56"/>
      <c r="AK242" s="106"/>
      <c r="AL242" s="56"/>
      <c r="AM242" s="56"/>
      <c r="AN242" s="56"/>
      <c r="AO242" s="56"/>
      <c r="AP242" s="56"/>
      <c r="AQ242" s="56"/>
      <c r="AR242" s="56"/>
      <c r="AS242" s="106"/>
      <c r="AT242" s="56"/>
      <c r="AU242" s="56"/>
      <c r="AV242" s="106"/>
      <c r="AW242" s="56"/>
      <c r="AX242" s="10"/>
      <c r="AY242" s="56"/>
      <c r="AZ242" s="56"/>
      <c r="BA242" s="56"/>
      <c r="BB242" s="56"/>
      <c r="BJ242" s="145"/>
      <c r="CD242" s="145"/>
      <c r="CT242" s="145"/>
    </row>
    <row r="243" spans="1:98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68"/>
      <c r="R243" s="56"/>
      <c r="S243" s="162"/>
      <c r="T243" s="106"/>
      <c r="U243" s="10"/>
      <c r="V243" s="56"/>
      <c r="W243" s="56"/>
      <c r="X243" s="56"/>
      <c r="Y243" s="56"/>
      <c r="Z243" s="56"/>
      <c r="AA243" s="172"/>
      <c r="AB243" s="56"/>
      <c r="AC243" s="56"/>
      <c r="AD243" s="106"/>
      <c r="AE243" s="56"/>
      <c r="AF243" s="56"/>
      <c r="AG243" s="56"/>
      <c r="AH243" s="56"/>
      <c r="AI243" s="56"/>
      <c r="AJ243" s="56"/>
      <c r="AK243" s="106"/>
      <c r="AL243" s="56"/>
      <c r="AM243" s="56"/>
      <c r="AN243" s="56"/>
      <c r="AO243" s="56"/>
      <c r="AP243" s="56"/>
      <c r="AQ243" s="56"/>
      <c r="AR243" s="56"/>
      <c r="AS243" s="106"/>
      <c r="AT243" s="56"/>
      <c r="AU243" s="56"/>
      <c r="AV243" s="106"/>
      <c r="AW243" s="56"/>
      <c r="AX243" s="10"/>
      <c r="AY243" s="56"/>
      <c r="AZ243" s="56"/>
      <c r="BA243" s="56"/>
      <c r="BB243" s="56"/>
      <c r="BJ243" s="145"/>
      <c r="CD243" s="145"/>
      <c r="CT243" s="145"/>
    </row>
    <row r="244" spans="1:98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68"/>
      <c r="R244" s="56"/>
      <c r="S244" s="162"/>
      <c r="T244" s="106"/>
      <c r="U244" s="10"/>
      <c r="V244" s="56"/>
      <c r="W244" s="56"/>
      <c r="X244" s="56"/>
      <c r="Y244" s="56"/>
      <c r="Z244" s="56"/>
      <c r="AA244" s="172"/>
      <c r="AB244" s="56"/>
      <c r="AC244" s="56"/>
      <c r="AD244" s="106"/>
      <c r="AE244" s="56"/>
      <c r="AF244" s="56"/>
      <c r="AG244" s="56"/>
      <c r="AH244" s="56"/>
      <c r="AI244" s="56"/>
      <c r="AJ244" s="56"/>
      <c r="AK244" s="106"/>
      <c r="AL244" s="56"/>
      <c r="AM244" s="56"/>
      <c r="AN244" s="56"/>
      <c r="AO244" s="56"/>
      <c r="AP244" s="56"/>
      <c r="AQ244" s="56"/>
      <c r="AR244" s="56"/>
      <c r="AS244" s="106"/>
      <c r="AT244" s="56"/>
      <c r="AU244" s="56"/>
      <c r="AV244" s="106"/>
      <c r="AW244" s="56"/>
      <c r="AX244" s="10"/>
      <c r="AY244" s="56"/>
      <c r="AZ244" s="56"/>
      <c r="BA244" s="56"/>
      <c r="BB244" s="56"/>
      <c r="BJ244" s="145"/>
      <c r="CD244" s="145"/>
      <c r="CT244" s="145"/>
    </row>
    <row r="245" spans="1:98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68"/>
      <c r="R245" s="56"/>
      <c r="S245" s="162"/>
      <c r="T245" s="106"/>
      <c r="U245" s="10"/>
      <c r="V245" s="56"/>
      <c r="W245" s="56"/>
      <c r="X245" s="56"/>
      <c r="Y245" s="56"/>
      <c r="Z245" s="56"/>
      <c r="AA245" s="172"/>
      <c r="AB245" s="56"/>
      <c r="AC245" s="56"/>
      <c r="AD245" s="106"/>
      <c r="AE245" s="56"/>
      <c r="AF245" s="56"/>
      <c r="AG245" s="56"/>
      <c r="AH245" s="56"/>
      <c r="AI245" s="56"/>
      <c r="AJ245" s="56"/>
      <c r="AK245" s="106"/>
      <c r="AL245" s="56"/>
      <c r="AM245" s="56"/>
      <c r="AN245" s="56"/>
      <c r="AO245" s="56"/>
      <c r="AP245" s="56"/>
      <c r="AQ245" s="56"/>
      <c r="AR245" s="56"/>
      <c r="AS245" s="106"/>
      <c r="AT245" s="56"/>
      <c r="AU245" s="56"/>
      <c r="AV245" s="106"/>
      <c r="AW245" s="56"/>
      <c r="AX245" s="10"/>
      <c r="AY245" s="56"/>
      <c r="AZ245" s="56"/>
      <c r="BA245" s="56"/>
      <c r="BB245" s="56"/>
      <c r="BJ245" s="145"/>
      <c r="CD245" s="145"/>
      <c r="CT245" s="145"/>
    </row>
    <row r="246" spans="1:98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68"/>
      <c r="R246" s="56"/>
      <c r="S246" s="162"/>
      <c r="T246" s="106"/>
      <c r="U246" s="10"/>
      <c r="V246" s="56"/>
      <c r="W246" s="56"/>
      <c r="X246" s="56"/>
      <c r="Y246" s="56"/>
      <c r="Z246" s="56"/>
      <c r="AA246" s="172"/>
      <c r="AB246" s="56"/>
      <c r="AC246" s="56"/>
      <c r="AD246" s="106"/>
      <c r="AE246" s="56"/>
      <c r="AF246" s="56"/>
      <c r="AG246" s="56"/>
      <c r="AH246" s="56"/>
      <c r="AI246" s="56"/>
      <c r="AJ246" s="56"/>
      <c r="AK246" s="106"/>
      <c r="AL246" s="56"/>
      <c r="AM246" s="56"/>
      <c r="AN246" s="56"/>
      <c r="AO246" s="56"/>
      <c r="AP246" s="56"/>
      <c r="AQ246" s="56"/>
      <c r="AR246" s="56"/>
      <c r="AS246" s="106"/>
      <c r="AT246" s="56"/>
      <c r="AU246" s="56"/>
      <c r="AV246" s="106"/>
      <c r="AW246" s="56"/>
      <c r="AX246" s="10"/>
      <c r="AY246" s="56"/>
      <c r="AZ246" s="56"/>
      <c r="BA246" s="56"/>
      <c r="BB246" s="56"/>
      <c r="BJ246" s="145"/>
      <c r="CD246" s="145"/>
      <c r="CT246" s="145"/>
    </row>
    <row r="247" spans="1:98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68"/>
      <c r="R247" s="56"/>
      <c r="S247" s="162"/>
      <c r="T247" s="106"/>
      <c r="U247" s="10"/>
      <c r="V247" s="56"/>
      <c r="W247" s="56"/>
      <c r="X247" s="56"/>
      <c r="Y247" s="56"/>
      <c r="Z247" s="56"/>
      <c r="AA247" s="172"/>
      <c r="AB247" s="56"/>
      <c r="AC247" s="56"/>
      <c r="AD247" s="106"/>
      <c r="AE247" s="56"/>
      <c r="AF247" s="56"/>
      <c r="AG247" s="56"/>
      <c r="AH247" s="56"/>
      <c r="AI247" s="56"/>
      <c r="AJ247" s="56"/>
      <c r="AK247" s="106"/>
      <c r="AL247" s="56"/>
      <c r="AM247" s="56"/>
      <c r="AN247" s="56"/>
      <c r="AO247" s="56"/>
      <c r="AP247" s="56"/>
      <c r="AQ247" s="56"/>
      <c r="AR247" s="56"/>
      <c r="AS247" s="106"/>
      <c r="AT247" s="56"/>
      <c r="AU247" s="56"/>
      <c r="AV247" s="106"/>
      <c r="AW247" s="56"/>
      <c r="AX247" s="10"/>
      <c r="AY247" s="56"/>
      <c r="AZ247" s="56"/>
      <c r="BA247" s="56"/>
      <c r="BB247" s="56"/>
      <c r="BJ247" s="145"/>
      <c r="CD247" s="145"/>
      <c r="CT247" s="145"/>
    </row>
    <row r="248" spans="1:98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68"/>
      <c r="R248" s="56"/>
      <c r="S248" s="162"/>
      <c r="T248" s="106"/>
      <c r="U248" s="10"/>
      <c r="V248" s="56"/>
      <c r="W248" s="56"/>
      <c r="X248" s="56"/>
      <c r="Y248" s="56"/>
      <c r="Z248" s="56"/>
      <c r="AA248" s="172"/>
      <c r="AB248" s="56"/>
      <c r="AC248" s="56"/>
      <c r="AD248" s="106"/>
      <c r="AE248" s="56"/>
      <c r="AF248" s="56"/>
      <c r="AG248" s="56"/>
      <c r="AH248" s="56"/>
      <c r="AI248" s="56"/>
      <c r="AJ248" s="56"/>
      <c r="AK248" s="106"/>
      <c r="AL248" s="56"/>
      <c r="AM248" s="56"/>
      <c r="AN248" s="56"/>
      <c r="AO248" s="56"/>
      <c r="AP248" s="56"/>
      <c r="AQ248" s="56"/>
      <c r="AR248" s="56"/>
      <c r="AS248" s="106"/>
      <c r="AT248" s="56"/>
      <c r="AU248" s="56"/>
      <c r="AV248" s="106"/>
      <c r="AW248" s="56"/>
      <c r="AX248" s="10"/>
      <c r="AY248" s="56"/>
      <c r="AZ248" s="56"/>
      <c r="BA248" s="56"/>
      <c r="BB248" s="56"/>
      <c r="BJ248" s="145"/>
      <c r="CD248" s="145"/>
      <c r="CT248" s="145"/>
    </row>
    <row r="249" spans="1:98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68"/>
      <c r="R249" s="56"/>
      <c r="S249" s="162"/>
      <c r="T249" s="106"/>
      <c r="U249" s="10"/>
      <c r="V249" s="56"/>
      <c r="W249" s="56"/>
      <c r="X249" s="56"/>
      <c r="Y249" s="56"/>
      <c r="Z249" s="56"/>
      <c r="AA249" s="172"/>
      <c r="AB249" s="56"/>
      <c r="AC249" s="56"/>
      <c r="AD249" s="106"/>
      <c r="AE249" s="56"/>
      <c r="AF249" s="56"/>
      <c r="AG249" s="56"/>
      <c r="AH249" s="56"/>
      <c r="AI249" s="56"/>
      <c r="AJ249" s="56"/>
      <c r="AK249" s="106"/>
      <c r="AL249" s="56"/>
      <c r="AM249" s="56"/>
      <c r="AN249" s="56"/>
      <c r="AO249" s="56"/>
      <c r="AP249" s="56"/>
      <c r="AQ249" s="56"/>
      <c r="AR249" s="56"/>
      <c r="AS249" s="106"/>
      <c r="AT249" s="56"/>
      <c r="AU249" s="56"/>
      <c r="AV249" s="106"/>
      <c r="AW249" s="56"/>
      <c r="AX249" s="10"/>
      <c r="AY249" s="56"/>
      <c r="AZ249" s="56"/>
      <c r="BA249" s="56"/>
      <c r="BB249" s="56"/>
      <c r="BJ249" s="145"/>
      <c r="CD249" s="145"/>
      <c r="CT249" s="145"/>
    </row>
    <row r="250" spans="1:98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68"/>
      <c r="R250" s="56"/>
      <c r="S250" s="162"/>
      <c r="T250" s="106"/>
      <c r="U250" s="10"/>
      <c r="V250" s="56"/>
      <c r="W250" s="56"/>
      <c r="X250" s="56"/>
      <c r="Y250" s="56"/>
      <c r="Z250" s="56"/>
      <c r="AA250" s="172"/>
      <c r="AB250" s="56"/>
      <c r="AC250" s="56"/>
      <c r="AD250" s="106"/>
      <c r="AE250" s="56"/>
      <c r="AF250" s="56"/>
      <c r="AG250" s="56"/>
      <c r="AH250" s="56"/>
      <c r="AI250" s="56"/>
      <c r="AJ250" s="56"/>
      <c r="AK250" s="106"/>
      <c r="AL250" s="56"/>
      <c r="AM250" s="56"/>
      <c r="AN250" s="56"/>
      <c r="AO250" s="56"/>
      <c r="AP250" s="56"/>
      <c r="AQ250" s="56"/>
      <c r="AR250" s="56"/>
      <c r="AS250" s="106"/>
      <c r="AT250" s="56"/>
      <c r="AU250" s="56"/>
      <c r="AV250" s="106"/>
      <c r="AW250" s="56"/>
      <c r="AX250" s="10"/>
      <c r="AY250" s="56"/>
      <c r="AZ250" s="56"/>
      <c r="BA250" s="56"/>
      <c r="BB250" s="56"/>
      <c r="BJ250" s="145"/>
      <c r="CD250" s="145"/>
      <c r="CT250" s="145"/>
    </row>
    <row r="251" spans="1:98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68"/>
      <c r="R251" s="56"/>
      <c r="S251" s="162"/>
      <c r="T251" s="106"/>
      <c r="U251" s="10"/>
      <c r="V251" s="56"/>
      <c r="W251" s="56"/>
      <c r="X251" s="56"/>
      <c r="Y251" s="56"/>
      <c r="Z251" s="56"/>
      <c r="AA251" s="172"/>
      <c r="AB251" s="56"/>
      <c r="AC251" s="56"/>
      <c r="AD251" s="106"/>
      <c r="AE251" s="56"/>
      <c r="AF251" s="56"/>
      <c r="AG251" s="56"/>
      <c r="AH251" s="56"/>
      <c r="AI251" s="56"/>
      <c r="AJ251" s="56"/>
      <c r="AK251" s="106"/>
      <c r="AL251" s="56"/>
      <c r="AM251" s="56"/>
      <c r="AN251" s="56"/>
      <c r="AO251" s="56"/>
      <c r="AP251" s="56"/>
      <c r="AQ251" s="56"/>
      <c r="AR251" s="56"/>
      <c r="AS251" s="106"/>
      <c r="AT251" s="56"/>
      <c r="AU251" s="56"/>
      <c r="AV251" s="106"/>
      <c r="AW251" s="56"/>
      <c r="AX251" s="10"/>
      <c r="AY251" s="56"/>
      <c r="AZ251" s="56"/>
      <c r="BA251" s="56"/>
      <c r="BB251" s="56"/>
      <c r="BJ251" s="145"/>
      <c r="CD251" s="145"/>
      <c r="CT251" s="145"/>
    </row>
    <row r="252" spans="1:98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68"/>
      <c r="R252" s="56"/>
      <c r="S252" s="162"/>
      <c r="T252" s="106"/>
      <c r="U252" s="10"/>
      <c r="V252" s="56"/>
      <c r="W252" s="56"/>
      <c r="X252" s="56"/>
      <c r="Y252" s="56"/>
      <c r="Z252" s="56"/>
      <c r="AA252" s="172"/>
      <c r="AB252" s="56"/>
      <c r="AC252" s="56"/>
      <c r="AD252" s="106"/>
      <c r="AE252" s="56"/>
      <c r="AF252" s="56"/>
      <c r="AG252" s="56"/>
      <c r="AH252" s="56"/>
      <c r="AI252" s="56"/>
      <c r="AJ252" s="56"/>
      <c r="AK252" s="106"/>
      <c r="AL252" s="56"/>
      <c r="AM252" s="56"/>
      <c r="AN252" s="56"/>
      <c r="AO252" s="56"/>
      <c r="AP252" s="56"/>
      <c r="AQ252" s="56"/>
      <c r="AR252" s="56"/>
      <c r="AS252" s="106"/>
      <c r="AT252" s="56"/>
      <c r="AU252" s="56"/>
      <c r="AV252" s="106"/>
      <c r="AW252" s="56"/>
      <c r="AX252" s="10"/>
      <c r="AY252" s="56"/>
      <c r="AZ252" s="56"/>
      <c r="BA252" s="56"/>
      <c r="BB252" s="56"/>
      <c r="BJ252" s="145"/>
      <c r="CD252" s="145"/>
      <c r="CT252" s="145"/>
    </row>
    <row r="253" spans="1:98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68"/>
      <c r="R253" s="56"/>
      <c r="S253" s="162"/>
      <c r="T253" s="106"/>
      <c r="U253" s="10"/>
      <c r="V253" s="56"/>
      <c r="W253" s="56"/>
      <c r="X253" s="56"/>
      <c r="Y253" s="56"/>
      <c r="Z253" s="56"/>
      <c r="AA253" s="172"/>
      <c r="AB253" s="56"/>
      <c r="AC253" s="56"/>
      <c r="AD253" s="106"/>
      <c r="AE253" s="56"/>
      <c r="AF253" s="56"/>
      <c r="AG253" s="56"/>
      <c r="AH253" s="56"/>
      <c r="AI253" s="56"/>
      <c r="AJ253" s="56"/>
      <c r="AK253" s="106"/>
      <c r="AL253" s="56"/>
      <c r="AM253" s="56"/>
      <c r="AN253" s="56"/>
      <c r="AO253" s="56"/>
      <c r="AP253" s="56"/>
      <c r="AQ253" s="56"/>
      <c r="AR253" s="56"/>
      <c r="AS253" s="106"/>
      <c r="AT253" s="56"/>
      <c r="AU253" s="56"/>
      <c r="AV253" s="106"/>
      <c r="AW253" s="56"/>
      <c r="AX253" s="10"/>
      <c r="AY253" s="56"/>
      <c r="AZ253" s="56"/>
      <c r="BA253" s="56"/>
      <c r="BB253" s="56"/>
      <c r="BJ253" s="145"/>
      <c r="CD253" s="145"/>
      <c r="CT253" s="145"/>
    </row>
    <row r="254" spans="1:98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68"/>
      <c r="R254" s="56"/>
      <c r="S254" s="162"/>
      <c r="T254" s="106"/>
      <c r="U254" s="10"/>
      <c r="V254" s="56"/>
      <c r="W254" s="56"/>
      <c r="X254" s="56"/>
      <c r="Y254" s="56"/>
      <c r="Z254" s="56"/>
      <c r="AA254" s="172"/>
      <c r="AB254" s="56"/>
      <c r="AC254" s="56"/>
      <c r="AD254" s="106"/>
      <c r="AE254" s="56"/>
      <c r="AF254" s="56"/>
      <c r="AG254" s="56"/>
      <c r="AH254" s="56"/>
      <c r="AI254" s="56"/>
      <c r="AJ254" s="56"/>
      <c r="AK254" s="106"/>
      <c r="AL254" s="56"/>
      <c r="AM254" s="56"/>
      <c r="AN254" s="56"/>
      <c r="AO254" s="56"/>
      <c r="AP254" s="56"/>
      <c r="AQ254" s="56"/>
      <c r="AR254" s="56"/>
      <c r="AS254" s="106"/>
      <c r="AT254" s="56"/>
      <c r="AU254" s="56"/>
      <c r="AV254" s="106"/>
      <c r="AW254" s="56"/>
      <c r="AX254" s="10"/>
      <c r="AY254" s="56"/>
      <c r="AZ254" s="56"/>
      <c r="BA254" s="56"/>
      <c r="BB254" s="56"/>
      <c r="BJ254" s="145"/>
      <c r="CD254" s="145"/>
      <c r="CT254" s="145"/>
    </row>
    <row r="255" spans="1:98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68"/>
      <c r="R255" s="56"/>
      <c r="S255" s="162"/>
      <c r="T255" s="106"/>
      <c r="U255" s="10"/>
      <c r="V255" s="56"/>
      <c r="W255" s="56"/>
      <c r="X255" s="56"/>
      <c r="Y255" s="56"/>
      <c r="Z255" s="56"/>
      <c r="AA255" s="172"/>
      <c r="AB255" s="56"/>
      <c r="AC255" s="56"/>
      <c r="AD255" s="106"/>
      <c r="AE255" s="56"/>
      <c r="AF255" s="56"/>
      <c r="AG255" s="56"/>
      <c r="AH255" s="56"/>
      <c r="AI255" s="56"/>
      <c r="AJ255" s="56"/>
      <c r="AK255" s="106"/>
      <c r="AL255" s="56"/>
      <c r="AM255" s="56"/>
      <c r="AN255" s="56"/>
      <c r="AO255" s="56"/>
      <c r="AP255" s="56"/>
      <c r="AQ255" s="56"/>
      <c r="AR255" s="56"/>
      <c r="AS255" s="106"/>
      <c r="AT255" s="56"/>
      <c r="AU255" s="56"/>
      <c r="AV255" s="106"/>
      <c r="AW255" s="56"/>
      <c r="AX255" s="10"/>
      <c r="AY255" s="56"/>
      <c r="AZ255" s="56"/>
      <c r="BA255" s="56"/>
      <c r="BB255" s="56"/>
      <c r="BJ255" s="145"/>
      <c r="CD255" s="145"/>
      <c r="CT255" s="145"/>
    </row>
    <row r="256" spans="1:98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68"/>
      <c r="R256" s="56"/>
      <c r="S256" s="162"/>
      <c r="T256" s="106"/>
      <c r="U256" s="10"/>
      <c r="V256" s="56"/>
      <c r="W256" s="56"/>
      <c r="X256" s="56"/>
      <c r="Y256" s="56"/>
      <c r="Z256" s="56"/>
      <c r="AA256" s="172"/>
      <c r="AB256" s="56"/>
      <c r="AC256" s="56"/>
      <c r="AD256" s="106"/>
      <c r="AE256" s="56"/>
      <c r="AF256" s="56"/>
      <c r="AG256" s="56"/>
      <c r="AH256" s="56"/>
      <c r="AI256" s="56"/>
      <c r="AJ256" s="56"/>
      <c r="AK256" s="106"/>
      <c r="AL256" s="56"/>
      <c r="AM256" s="56"/>
      <c r="AN256" s="56"/>
      <c r="AO256" s="56"/>
      <c r="AP256" s="56"/>
      <c r="AQ256" s="56"/>
      <c r="AR256" s="56"/>
      <c r="AS256" s="106"/>
      <c r="AT256" s="56"/>
      <c r="AU256" s="56"/>
      <c r="AV256" s="106"/>
      <c r="AW256" s="56"/>
      <c r="AX256" s="10"/>
      <c r="AY256" s="56"/>
      <c r="AZ256" s="56"/>
      <c r="BA256" s="56"/>
      <c r="BB256" s="56"/>
      <c r="BJ256" s="145"/>
      <c r="CD256" s="145"/>
      <c r="CT256" s="145"/>
    </row>
    <row r="257" spans="1:98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68"/>
      <c r="R257" s="56"/>
      <c r="S257" s="162"/>
      <c r="T257" s="106"/>
      <c r="U257" s="10"/>
      <c r="V257" s="56"/>
      <c r="W257" s="56"/>
      <c r="X257" s="56"/>
      <c r="Y257" s="56"/>
      <c r="Z257" s="56"/>
      <c r="AA257" s="172"/>
      <c r="AB257" s="56"/>
      <c r="AC257" s="56"/>
      <c r="AD257" s="106"/>
      <c r="AE257" s="56"/>
      <c r="AF257" s="56"/>
      <c r="AG257" s="56"/>
      <c r="AH257" s="56"/>
      <c r="AI257" s="56"/>
      <c r="AJ257" s="56"/>
      <c r="AK257" s="106"/>
      <c r="AL257" s="56"/>
      <c r="AM257" s="56"/>
      <c r="AN257" s="56"/>
      <c r="AO257" s="56"/>
      <c r="AP257" s="56"/>
      <c r="AQ257" s="56"/>
      <c r="AR257" s="56"/>
      <c r="AS257" s="106"/>
      <c r="AT257" s="56"/>
      <c r="AU257" s="56"/>
      <c r="AV257" s="106"/>
      <c r="AW257" s="56"/>
      <c r="AX257" s="10"/>
      <c r="AY257" s="56"/>
      <c r="AZ257" s="56"/>
      <c r="BA257" s="56"/>
      <c r="BB257" s="56"/>
      <c r="BJ257" s="145"/>
      <c r="CD257" s="145"/>
      <c r="CT257" s="145"/>
    </row>
    <row r="258" spans="1:98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68"/>
      <c r="R258" s="56"/>
      <c r="S258" s="162"/>
      <c r="T258" s="106"/>
      <c r="U258" s="10"/>
      <c r="V258" s="56"/>
      <c r="W258" s="56"/>
      <c r="X258" s="56"/>
      <c r="Y258" s="56"/>
      <c r="Z258" s="56"/>
      <c r="AA258" s="172"/>
      <c r="AB258" s="56"/>
      <c r="AC258" s="56"/>
      <c r="AD258" s="106"/>
      <c r="AE258" s="56"/>
      <c r="AF258" s="56"/>
      <c r="AG258" s="56"/>
      <c r="AH258" s="56"/>
      <c r="AI258" s="56"/>
      <c r="AJ258" s="56"/>
      <c r="AK258" s="106"/>
      <c r="AL258" s="56"/>
      <c r="AM258" s="56"/>
      <c r="AN258" s="56"/>
      <c r="AO258" s="56"/>
      <c r="AP258" s="56"/>
      <c r="AQ258" s="56"/>
      <c r="AR258" s="56"/>
      <c r="AS258" s="106"/>
      <c r="AT258" s="56"/>
      <c r="AU258" s="56"/>
      <c r="AV258" s="106"/>
      <c r="AW258" s="56"/>
      <c r="AX258" s="10"/>
      <c r="AY258" s="56"/>
      <c r="AZ258" s="56"/>
      <c r="BA258" s="56"/>
      <c r="BB258" s="56"/>
      <c r="BJ258" s="145"/>
      <c r="CD258" s="145"/>
      <c r="CT258" s="145"/>
    </row>
    <row r="259" spans="1:98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68"/>
      <c r="R259" s="56"/>
      <c r="S259" s="162"/>
      <c r="T259" s="106"/>
      <c r="U259" s="10"/>
      <c r="V259" s="56"/>
      <c r="W259" s="56"/>
      <c r="X259" s="56"/>
      <c r="Y259" s="56"/>
      <c r="Z259" s="56"/>
      <c r="AA259" s="172"/>
      <c r="AB259" s="56"/>
      <c r="AC259" s="56"/>
      <c r="AD259" s="106"/>
      <c r="AE259" s="56"/>
      <c r="AF259" s="56"/>
      <c r="AG259" s="56"/>
      <c r="AH259" s="56"/>
      <c r="AI259" s="56"/>
      <c r="AJ259" s="56"/>
      <c r="AK259" s="106"/>
      <c r="AL259" s="56"/>
      <c r="AM259" s="56"/>
      <c r="AN259" s="56"/>
      <c r="AO259" s="56"/>
      <c r="AP259" s="56"/>
      <c r="AQ259" s="56"/>
      <c r="AR259" s="56"/>
      <c r="AS259" s="106"/>
      <c r="AT259" s="56"/>
      <c r="AU259" s="56"/>
      <c r="AV259" s="106"/>
      <c r="AW259" s="56"/>
      <c r="AX259" s="10"/>
      <c r="AY259" s="56"/>
      <c r="AZ259" s="56"/>
      <c r="BA259" s="56"/>
      <c r="BB259" s="56"/>
      <c r="BJ259" s="145"/>
      <c r="CD259" s="145"/>
      <c r="CT259" s="145"/>
    </row>
    <row r="260" spans="1:98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68"/>
      <c r="R260" s="56"/>
      <c r="S260" s="162"/>
      <c r="T260" s="106"/>
      <c r="U260" s="10"/>
      <c r="V260" s="56"/>
      <c r="W260" s="56"/>
      <c r="X260" s="56"/>
      <c r="Y260" s="56"/>
      <c r="Z260" s="56"/>
      <c r="AA260" s="172"/>
      <c r="AB260" s="56"/>
      <c r="AC260" s="56"/>
      <c r="AD260" s="106"/>
      <c r="AE260" s="56"/>
      <c r="AF260" s="56"/>
      <c r="AG260" s="56"/>
      <c r="AH260" s="56"/>
      <c r="AI260" s="56"/>
      <c r="AJ260" s="56"/>
      <c r="AK260" s="106"/>
      <c r="AL260" s="56"/>
      <c r="AM260" s="56"/>
      <c r="AN260" s="56"/>
      <c r="AO260" s="56"/>
      <c r="AP260" s="56"/>
      <c r="AQ260" s="56"/>
      <c r="AR260" s="56"/>
      <c r="AS260" s="106"/>
      <c r="AT260" s="56"/>
      <c r="AU260" s="56"/>
      <c r="AV260" s="106"/>
      <c r="AW260" s="56"/>
      <c r="AX260" s="10"/>
      <c r="AY260" s="56"/>
      <c r="AZ260" s="56"/>
      <c r="BA260" s="56"/>
      <c r="BB260" s="56"/>
      <c r="BJ260" s="145"/>
      <c r="CD260" s="145"/>
      <c r="CT260" s="145"/>
    </row>
    <row r="261" spans="1:98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68"/>
      <c r="R261" s="56"/>
      <c r="S261" s="162"/>
      <c r="T261" s="106"/>
      <c r="U261" s="10"/>
      <c r="V261" s="56"/>
      <c r="W261" s="56"/>
      <c r="X261" s="56"/>
      <c r="Y261" s="56"/>
      <c r="Z261" s="56"/>
      <c r="AA261" s="172"/>
      <c r="AB261" s="56"/>
      <c r="AC261" s="56"/>
      <c r="AD261" s="106"/>
      <c r="AE261" s="56"/>
      <c r="AF261" s="56"/>
      <c r="AG261" s="56"/>
      <c r="AH261" s="56"/>
      <c r="AI261" s="56"/>
      <c r="AJ261" s="56"/>
      <c r="AK261" s="106"/>
      <c r="AL261" s="56"/>
      <c r="AM261" s="56"/>
      <c r="AN261" s="56"/>
      <c r="AO261" s="56"/>
      <c r="AP261" s="56"/>
      <c r="AQ261" s="56"/>
      <c r="AR261" s="56"/>
      <c r="AS261" s="106"/>
      <c r="AT261" s="56"/>
      <c r="AU261" s="56"/>
      <c r="AV261" s="106"/>
      <c r="AW261" s="56"/>
      <c r="AX261" s="10"/>
      <c r="AY261" s="56"/>
      <c r="AZ261" s="56"/>
      <c r="BA261" s="56"/>
      <c r="BB261" s="56"/>
      <c r="BJ261" s="145"/>
      <c r="CD261" s="145"/>
      <c r="CT261" s="145"/>
    </row>
    <row r="262" spans="1:98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68"/>
      <c r="R262" s="56"/>
      <c r="S262" s="162"/>
      <c r="T262" s="106"/>
      <c r="U262" s="10"/>
      <c r="V262" s="56"/>
      <c r="W262" s="56"/>
      <c r="X262" s="56"/>
      <c r="Y262" s="56"/>
      <c r="Z262" s="56"/>
      <c r="AA262" s="172"/>
      <c r="AB262" s="56"/>
      <c r="AC262" s="56"/>
      <c r="AD262" s="106"/>
      <c r="AE262" s="56"/>
      <c r="AF262" s="56"/>
      <c r="AG262" s="56"/>
      <c r="AH262" s="56"/>
      <c r="AI262" s="56"/>
      <c r="AJ262" s="56"/>
      <c r="AK262" s="106"/>
      <c r="AL262" s="56"/>
      <c r="AM262" s="56"/>
      <c r="AN262" s="56"/>
      <c r="AO262" s="56"/>
      <c r="AP262" s="56"/>
      <c r="AQ262" s="56"/>
      <c r="AR262" s="56"/>
      <c r="AS262" s="106"/>
      <c r="AT262" s="56"/>
      <c r="AU262" s="56"/>
      <c r="AV262" s="106"/>
      <c r="AW262" s="56"/>
      <c r="AX262" s="10"/>
      <c r="AY262" s="56"/>
      <c r="AZ262" s="56"/>
      <c r="BA262" s="56"/>
      <c r="BB262" s="56"/>
      <c r="BJ262" s="145"/>
      <c r="CD262" s="145"/>
      <c r="CT262" s="145"/>
    </row>
    <row r="263" spans="1:98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68"/>
      <c r="R263" s="56"/>
      <c r="S263" s="162"/>
      <c r="T263" s="106"/>
      <c r="U263" s="10"/>
      <c r="V263" s="56"/>
      <c r="W263" s="56"/>
      <c r="X263" s="56"/>
      <c r="Y263" s="56"/>
      <c r="Z263" s="56"/>
      <c r="AA263" s="172"/>
      <c r="AB263" s="56"/>
      <c r="AC263" s="56"/>
      <c r="AD263" s="106"/>
      <c r="AE263" s="56"/>
      <c r="AF263" s="56"/>
      <c r="AG263" s="56"/>
      <c r="AH263" s="56"/>
      <c r="AI263" s="56"/>
      <c r="AJ263" s="56"/>
      <c r="AK263" s="106"/>
      <c r="AL263" s="56"/>
      <c r="AM263" s="56"/>
      <c r="AN263" s="56"/>
      <c r="AO263" s="56"/>
      <c r="AP263" s="56"/>
      <c r="AQ263" s="56"/>
      <c r="AR263" s="56"/>
      <c r="AS263" s="106"/>
      <c r="AT263" s="56"/>
      <c r="AU263" s="56"/>
      <c r="AV263" s="106"/>
      <c r="AW263" s="56"/>
      <c r="AX263" s="10"/>
      <c r="AY263" s="56"/>
      <c r="AZ263" s="56"/>
      <c r="BA263" s="56"/>
      <c r="BB263" s="56"/>
      <c r="BJ263" s="145"/>
      <c r="CD263" s="145"/>
      <c r="CT263" s="145"/>
    </row>
    <row r="264" spans="1:98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68"/>
      <c r="R264" s="56"/>
      <c r="S264" s="162"/>
      <c r="T264" s="106"/>
      <c r="U264" s="10"/>
      <c r="V264" s="56"/>
      <c r="W264" s="56"/>
      <c r="X264" s="56"/>
      <c r="Y264" s="56"/>
      <c r="Z264" s="56"/>
      <c r="AA264" s="172"/>
      <c r="AB264" s="56"/>
      <c r="AC264" s="56"/>
      <c r="AD264" s="106"/>
      <c r="AE264" s="56"/>
      <c r="AF264" s="56"/>
      <c r="AG264" s="56"/>
      <c r="AH264" s="56"/>
      <c r="AI264" s="56"/>
      <c r="AJ264" s="56"/>
      <c r="AK264" s="106"/>
      <c r="AL264" s="56"/>
      <c r="AM264" s="56"/>
      <c r="AN264" s="56"/>
      <c r="AO264" s="56"/>
      <c r="AP264" s="56"/>
      <c r="AQ264" s="56"/>
      <c r="AR264" s="56"/>
      <c r="AS264" s="106"/>
      <c r="AT264" s="56"/>
      <c r="AU264" s="56"/>
      <c r="AV264" s="106"/>
      <c r="AW264" s="56"/>
      <c r="AX264" s="10"/>
      <c r="AY264" s="56"/>
      <c r="AZ264" s="56"/>
      <c r="BA264" s="56"/>
      <c r="BB264" s="56"/>
      <c r="BJ264" s="145"/>
      <c r="CD264" s="145"/>
      <c r="CT264" s="145"/>
    </row>
    <row r="265" spans="1:98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68"/>
      <c r="R265" s="56"/>
      <c r="S265" s="162"/>
      <c r="T265" s="106"/>
      <c r="U265" s="10"/>
      <c r="V265" s="56"/>
      <c r="W265" s="56"/>
      <c r="X265" s="56"/>
      <c r="Y265" s="56"/>
      <c r="Z265" s="56"/>
      <c r="AA265" s="172"/>
      <c r="AB265" s="56"/>
      <c r="AC265" s="56"/>
      <c r="AD265" s="106"/>
      <c r="AE265" s="56"/>
      <c r="AF265" s="56"/>
      <c r="AG265" s="56"/>
      <c r="AH265" s="56"/>
      <c r="AI265" s="56"/>
      <c r="AJ265" s="56"/>
      <c r="AK265" s="106"/>
      <c r="AL265" s="56"/>
      <c r="AM265" s="56"/>
      <c r="AN265" s="56"/>
      <c r="AO265" s="56"/>
      <c r="AP265" s="56"/>
      <c r="AQ265" s="56"/>
      <c r="AR265" s="56"/>
      <c r="AS265" s="106"/>
      <c r="AT265" s="56"/>
      <c r="AU265" s="56"/>
      <c r="AV265" s="106"/>
      <c r="AW265" s="56"/>
      <c r="AX265" s="10"/>
      <c r="AY265" s="56"/>
      <c r="AZ265" s="56"/>
      <c r="BA265" s="56"/>
      <c r="BB265" s="56"/>
      <c r="BJ265" s="145"/>
      <c r="CD265" s="145"/>
      <c r="CT265" s="145"/>
    </row>
    <row r="266" spans="1:98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68"/>
      <c r="R266" s="56"/>
      <c r="S266" s="162"/>
      <c r="T266" s="106"/>
      <c r="U266" s="10"/>
      <c r="V266" s="56"/>
      <c r="W266" s="56"/>
      <c r="X266" s="56"/>
      <c r="Y266" s="56"/>
      <c r="Z266" s="56"/>
      <c r="AA266" s="172"/>
      <c r="AB266" s="56"/>
      <c r="AC266" s="56"/>
      <c r="AD266" s="106"/>
      <c r="AE266" s="56"/>
      <c r="AF266" s="56"/>
      <c r="AG266" s="56"/>
      <c r="AH266" s="56"/>
      <c r="AI266" s="56"/>
      <c r="AJ266" s="56"/>
      <c r="AK266" s="106"/>
      <c r="AL266" s="56"/>
      <c r="AM266" s="56"/>
      <c r="AN266" s="56"/>
      <c r="AO266" s="56"/>
      <c r="AP266" s="56"/>
      <c r="AQ266" s="56"/>
      <c r="AR266" s="56"/>
      <c r="AS266" s="106"/>
      <c r="AT266" s="56"/>
      <c r="AU266" s="56"/>
      <c r="AV266" s="106"/>
      <c r="AW266" s="56"/>
      <c r="AX266" s="10"/>
      <c r="AY266" s="56"/>
      <c r="AZ266" s="56"/>
      <c r="BA266" s="56"/>
      <c r="BB266" s="56"/>
      <c r="BJ266" s="145"/>
      <c r="CD266" s="145"/>
      <c r="CT266" s="145"/>
    </row>
    <row r="267" spans="1:98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68"/>
      <c r="R267" s="56"/>
      <c r="S267" s="162"/>
      <c r="T267" s="106"/>
      <c r="U267" s="10"/>
      <c r="V267" s="56"/>
      <c r="W267" s="56"/>
      <c r="X267" s="56"/>
      <c r="Y267" s="56"/>
      <c r="Z267" s="56"/>
      <c r="AA267" s="172"/>
      <c r="AB267" s="56"/>
      <c r="AC267" s="56"/>
      <c r="AD267" s="106"/>
      <c r="AE267" s="56"/>
      <c r="AF267" s="56"/>
      <c r="AG267" s="56"/>
      <c r="AH267" s="56"/>
      <c r="AI267" s="56"/>
      <c r="AJ267" s="56"/>
      <c r="AK267" s="106"/>
      <c r="AL267" s="56"/>
      <c r="AM267" s="56"/>
      <c r="AN267" s="56"/>
      <c r="AO267" s="56"/>
      <c r="AP267" s="56"/>
      <c r="AQ267" s="56"/>
      <c r="AR267" s="56"/>
      <c r="AS267" s="106"/>
      <c r="AT267" s="56"/>
      <c r="AU267" s="56"/>
      <c r="AV267" s="106"/>
      <c r="AW267" s="56"/>
      <c r="AX267" s="10"/>
      <c r="AY267" s="56"/>
      <c r="AZ267" s="56"/>
      <c r="BA267" s="56"/>
      <c r="BB267" s="56"/>
      <c r="BJ267" s="145"/>
      <c r="CD267" s="145"/>
      <c r="CT267" s="145"/>
    </row>
    <row r="268" spans="1:98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68"/>
      <c r="R268" s="56"/>
      <c r="S268" s="162"/>
      <c r="T268" s="106"/>
      <c r="U268" s="10"/>
      <c r="V268" s="56"/>
      <c r="W268" s="56"/>
      <c r="X268" s="56"/>
      <c r="Y268" s="56"/>
      <c r="Z268" s="56"/>
      <c r="AA268" s="172"/>
      <c r="AB268" s="56"/>
      <c r="AC268" s="56"/>
      <c r="AD268" s="106"/>
      <c r="AE268" s="56"/>
      <c r="AF268" s="56"/>
      <c r="AG268" s="56"/>
      <c r="AH268" s="56"/>
      <c r="AI268" s="56"/>
      <c r="AJ268" s="56"/>
      <c r="AK268" s="106"/>
      <c r="AL268" s="56"/>
      <c r="AM268" s="56"/>
      <c r="AN268" s="56"/>
      <c r="AO268" s="56"/>
      <c r="AP268" s="56"/>
      <c r="AQ268" s="56"/>
      <c r="AR268" s="56"/>
      <c r="AS268" s="106"/>
      <c r="AT268" s="56"/>
      <c r="AU268" s="56"/>
      <c r="AV268" s="106"/>
      <c r="AW268" s="56"/>
      <c r="AX268" s="10"/>
      <c r="AY268" s="56"/>
      <c r="AZ268" s="56"/>
      <c r="BA268" s="56"/>
      <c r="BB268" s="56"/>
      <c r="BJ268" s="145"/>
      <c r="CD268" s="145"/>
      <c r="CT268" s="145"/>
    </row>
    <row r="269" spans="1:98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68"/>
      <c r="R269" s="56"/>
      <c r="S269" s="162"/>
      <c r="T269" s="106"/>
      <c r="U269" s="10"/>
      <c r="V269" s="56"/>
      <c r="W269" s="56"/>
      <c r="X269" s="56"/>
      <c r="Y269" s="56"/>
      <c r="Z269" s="56"/>
      <c r="AA269" s="172"/>
      <c r="AB269" s="56"/>
      <c r="AC269" s="56"/>
      <c r="AD269" s="106"/>
      <c r="AE269" s="56"/>
      <c r="AF269" s="56"/>
      <c r="AG269" s="56"/>
      <c r="AH269" s="56"/>
      <c r="AI269" s="56"/>
      <c r="AJ269" s="56"/>
      <c r="AK269" s="106"/>
      <c r="AL269" s="56"/>
      <c r="AM269" s="56"/>
      <c r="AN269" s="56"/>
      <c r="AO269" s="56"/>
      <c r="AP269" s="56"/>
      <c r="AQ269" s="56"/>
      <c r="AR269" s="56"/>
      <c r="AS269" s="106"/>
      <c r="AT269" s="56"/>
      <c r="AU269" s="56"/>
      <c r="AV269" s="106"/>
      <c r="AW269" s="56"/>
      <c r="AX269" s="10"/>
      <c r="AY269" s="56"/>
      <c r="AZ269" s="56"/>
      <c r="BA269" s="56"/>
      <c r="BB269" s="56"/>
      <c r="BJ269" s="145"/>
      <c r="CD269" s="145"/>
      <c r="CT269" s="145"/>
    </row>
    <row r="270" spans="1:98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68"/>
      <c r="R270" s="56"/>
      <c r="S270" s="162"/>
      <c r="T270" s="106"/>
      <c r="U270" s="10"/>
      <c r="V270" s="56"/>
      <c r="W270" s="56"/>
      <c r="X270" s="56"/>
      <c r="Y270" s="56"/>
      <c r="Z270" s="56"/>
      <c r="AA270" s="172"/>
      <c r="AB270" s="56"/>
      <c r="AC270" s="56"/>
      <c r="AD270" s="106"/>
      <c r="AE270" s="56"/>
      <c r="AF270" s="56"/>
      <c r="AG270" s="56"/>
      <c r="AH270" s="56"/>
      <c r="AI270" s="56"/>
      <c r="AJ270" s="56"/>
      <c r="AK270" s="106"/>
      <c r="AL270" s="56"/>
      <c r="AM270" s="56"/>
      <c r="AN270" s="56"/>
      <c r="AO270" s="56"/>
      <c r="AP270" s="56"/>
      <c r="AQ270" s="56"/>
      <c r="AR270" s="56"/>
      <c r="AS270" s="106"/>
      <c r="AT270" s="56"/>
      <c r="AU270" s="56"/>
      <c r="AV270" s="106"/>
      <c r="AW270" s="56"/>
      <c r="AX270" s="10"/>
      <c r="AY270" s="56"/>
      <c r="AZ270" s="56"/>
      <c r="BA270" s="56"/>
      <c r="BB270" s="56"/>
      <c r="BJ270" s="145"/>
      <c r="CD270" s="145"/>
      <c r="CT270" s="145"/>
    </row>
    <row r="271" spans="1:98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68"/>
      <c r="R271" s="56"/>
      <c r="S271" s="162"/>
      <c r="T271" s="106"/>
      <c r="U271" s="10"/>
      <c r="V271" s="56"/>
      <c r="W271" s="56"/>
      <c r="X271" s="56"/>
      <c r="Y271" s="56"/>
      <c r="Z271" s="56"/>
      <c r="AA271" s="172"/>
      <c r="AB271" s="56"/>
      <c r="AC271" s="56"/>
      <c r="AD271" s="106"/>
      <c r="AE271" s="56"/>
      <c r="AF271" s="56"/>
      <c r="AG271" s="56"/>
      <c r="AH271" s="56"/>
      <c r="AI271" s="56"/>
      <c r="AJ271" s="56"/>
      <c r="AK271" s="106"/>
      <c r="AL271" s="56"/>
      <c r="AM271" s="56"/>
      <c r="AN271" s="56"/>
      <c r="AO271" s="56"/>
      <c r="AP271" s="56"/>
      <c r="AQ271" s="56"/>
      <c r="AR271" s="56"/>
      <c r="AS271" s="106"/>
      <c r="AT271" s="56"/>
      <c r="AU271" s="56"/>
      <c r="AV271" s="106"/>
      <c r="AW271" s="56"/>
      <c r="AX271" s="10"/>
      <c r="AY271" s="56"/>
      <c r="AZ271" s="56"/>
      <c r="BA271" s="56"/>
      <c r="BB271" s="56"/>
      <c r="BJ271" s="145"/>
      <c r="CD271" s="145"/>
      <c r="CT271" s="145"/>
    </row>
    <row r="272" spans="1:98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68"/>
      <c r="R272" s="56"/>
      <c r="S272" s="162"/>
      <c r="T272" s="106"/>
      <c r="U272" s="10"/>
      <c r="V272" s="56"/>
      <c r="W272" s="56"/>
      <c r="X272" s="56"/>
      <c r="Y272" s="56"/>
      <c r="Z272" s="56"/>
      <c r="AA272" s="172"/>
      <c r="AB272" s="56"/>
      <c r="AC272" s="56"/>
      <c r="AD272" s="106"/>
      <c r="AE272" s="56"/>
      <c r="AF272" s="56"/>
      <c r="AG272" s="56"/>
      <c r="AH272" s="56"/>
      <c r="AI272" s="56"/>
      <c r="AJ272" s="56"/>
      <c r="AK272" s="106"/>
      <c r="AL272" s="56"/>
      <c r="AM272" s="56"/>
      <c r="AN272" s="56"/>
      <c r="AO272" s="56"/>
      <c r="AP272" s="56"/>
      <c r="AQ272" s="56"/>
      <c r="AR272" s="56"/>
      <c r="AS272" s="106"/>
      <c r="AT272" s="56"/>
      <c r="AU272" s="56"/>
      <c r="AV272" s="106"/>
      <c r="AW272" s="56"/>
      <c r="AX272" s="10"/>
      <c r="AY272" s="56"/>
      <c r="AZ272" s="56"/>
      <c r="BA272" s="56"/>
      <c r="BB272" s="56"/>
      <c r="BJ272" s="145"/>
      <c r="CD272" s="145"/>
      <c r="CT272" s="145"/>
    </row>
    <row r="273" spans="1:98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68"/>
      <c r="R273" s="56"/>
      <c r="S273" s="162"/>
      <c r="T273" s="106"/>
      <c r="U273" s="10"/>
      <c r="V273" s="56"/>
      <c r="W273" s="56"/>
      <c r="X273" s="56"/>
      <c r="Y273" s="56"/>
      <c r="Z273" s="56"/>
      <c r="AA273" s="172"/>
      <c r="AB273" s="56"/>
      <c r="AC273" s="56"/>
      <c r="AD273" s="106"/>
      <c r="AE273" s="56"/>
      <c r="AF273" s="56"/>
      <c r="AG273" s="56"/>
      <c r="AH273" s="56"/>
      <c r="AI273" s="56"/>
      <c r="AJ273" s="56"/>
      <c r="AK273" s="106"/>
      <c r="AL273" s="56"/>
      <c r="AM273" s="56"/>
      <c r="AN273" s="56"/>
      <c r="AO273" s="56"/>
      <c r="AP273" s="56"/>
      <c r="AQ273" s="56"/>
      <c r="AR273" s="56"/>
      <c r="AS273" s="106"/>
      <c r="AT273" s="56"/>
      <c r="AU273" s="56"/>
      <c r="AV273" s="106"/>
      <c r="AW273" s="56"/>
      <c r="AX273" s="10"/>
      <c r="AY273" s="56"/>
      <c r="AZ273" s="56"/>
      <c r="BA273" s="56"/>
      <c r="BB273" s="56"/>
      <c r="BJ273" s="145"/>
      <c r="CD273" s="145"/>
      <c r="CT273" s="145"/>
    </row>
    <row r="274" spans="1:98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68"/>
      <c r="R274" s="56"/>
      <c r="S274" s="162"/>
      <c r="T274" s="106"/>
      <c r="U274" s="10"/>
      <c r="V274" s="56"/>
      <c r="W274" s="56"/>
      <c r="X274" s="56"/>
      <c r="Y274" s="56"/>
      <c r="Z274" s="56"/>
      <c r="AA274" s="172"/>
      <c r="AB274" s="56"/>
      <c r="AC274" s="56"/>
      <c r="AD274" s="106"/>
      <c r="AE274" s="56"/>
      <c r="AF274" s="56"/>
      <c r="AG274" s="56"/>
      <c r="AH274" s="56"/>
      <c r="AI274" s="56"/>
      <c r="AJ274" s="56"/>
      <c r="AK274" s="106"/>
      <c r="AL274" s="56"/>
      <c r="AM274" s="56"/>
      <c r="AN274" s="56"/>
      <c r="AO274" s="56"/>
      <c r="AP274" s="56"/>
      <c r="AQ274" s="56"/>
      <c r="AR274" s="56"/>
      <c r="AS274" s="106"/>
      <c r="AT274" s="56"/>
      <c r="AU274" s="56"/>
      <c r="AV274" s="106"/>
      <c r="AW274" s="56"/>
      <c r="AX274" s="10"/>
      <c r="AY274" s="56"/>
      <c r="AZ274" s="56"/>
      <c r="BA274" s="56"/>
      <c r="BB274" s="56"/>
      <c r="BJ274" s="145"/>
      <c r="CD274" s="145"/>
      <c r="CT274" s="145"/>
    </row>
    <row r="275" spans="1:98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68"/>
      <c r="R275" s="56"/>
      <c r="S275" s="162"/>
      <c r="T275" s="106"/>
      <c r="U275" s="10"/>
      <c r="V275" s="56"/>
      <c r="W275" s="56"/>
      <c r="X275" s="56"/>
      <c r="Y275" s="56"/>
      <c r="Z275" s="56"/>
      <c r="AA275" s="172"/>
      <c r="AB275" s="56"/>
      <c r="AC275" s="56"/>
      <c r="AD275" s="106"/>
      <c r="AE275" s="56"/>
      <c r="AF275" s="56"/>
      <c r="AG275" s="56"/>
      <c r="AH275" s="56"/>
      <c r="AI275" s="56"/>
      <c r="AJ275" s="56"/>
      <c r="AK275" s="106"/>
      <c r="AL275" s="56"/>
      <c r="AM275" s="56"/>
      <c r="AN275" s="56"/>
      <c r="AO275" s="56"/>
      <c r="AP275" s="56"/>
      <c r="AQ275" s="56"/>
      <c r="AR275" s="56"/>
      <c r="AS275" s="106"/>
      <c r="AT275" s="56"/>
      <c r="AU275" s="56"/>
      <c r="AV275" s="106"/>
      <c r="AW275" s="56"/>
      <c r="AX275" s="10"/>
      <c r="AY275" s="56"/>
      <c r="AZ275" s="56"/>
      <c r="BA275" s="56"/>
      <c r="BB275" s="56"/>
      <c r="BJ275" s="145"/>
      <c r="CD275" s="145"/>
      <c r="CT275" s="145"/>
    </row>
    <row r="276" spans="1:98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68"/>
      <c r="R276" s="56"/>
      <c r="S276" s="162"/>
      <c r="T276" s="106"/>
      <c r="U276" s="10"/>
      <c r="V276" s="56"/>
      <c r="W276" s="56"/>
      <c r="X276" s="56"/>
      <c r="Y276" s="56"/>
      <c r="Z276" s="56"/>
      <c r="AA276" s="172"/>
      <c r="AB276" s="56"/>
      <c r="AC276" s="56"/>
      <c r="AD276" s="106"/>
      <c r="AE276" s="56"/>
      <c r="AF276" s="56"/>
      <c r="AG276" s="56"/>
      <c r="AH276" s="56"/>
      <c r="AI276" s="56"/>
      <c r="AJ276" s="56"/>
      <c r="AK276" s="106"/>
      <c r="AL276" s="56"/>
      <c r="AM276" s="56"/>
      <c r="AN276" s="56"/>
      <c r="AO276" s="56"/>
      <c r="AP276" s="56"/>
      <c r="AQ276" s="56"/>
      <c r="AR276" s="56"/>
      <c r="AS276" s="106"/>
      <c r="AT276" s="56"/>
      <c r="AU276" s="56"/>
      <c r="AV276" s="106"/>
      <c r="AW276" s="56"/>
      <c r="AX276" s="10"/>
      <c r="AY276" s="56"/>
      <c r="AZ276" s="56"/>
      <c r="BA276" s="56"/>
      <c r="BB276" s="56"/>
      <c r="BJ276" s="145"/>
      <c r="CD276" s="145"/>
      <c r="CT276" s="145"/>
    </row>
    <row r="277" spans="1:98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68"/>
      <c r="R277" s="56"/>
      <c r="S277" s="162"/>
      <c r="T277" s="106"/>
      <c r="U277" s="10"/>
      <c r="V277" s="56"/>
      <c r="W277" s="56"/>
      <c r="X277" s="56"/>
      <c r="Y277" s="56"/>
      <c r="Z277" s="56"/>
      <c r="AA277" s="172"/>
      <c r="AB277" s="56"/>
      <c r="AC277" s="56"/>
      <c r="AD277" s="106"/>
      <c r="AE277" s="56"/>
      <c r="AF277" s="56"/>
      <c r="AG277" s="56"/>
      <c r="AH277" s="56"/>
      <c r="AI277" s="56"/>
      <c r="AJ277" s="56"/>
      <c r="AK277" s="106"/>
      <c r="AL277" s="56"/>
      <c r="AM277" s="56"/>
      <c r="AN277" s="56"/>
      <c r="AO277" s="56"/>
      <c r="AP277" s="56"/>
      <c r="AQ277" s="56"/>
      <c r="AR277" s="56"/>
      <c r="AS277" s="106"/>
      <c r="AT277" s="56"/>
      <c r="AU277" s="56"/>
      <c r="AV277" s="106"/>
      <c r="AW277" s="56"/>
      <c r="AX277" s="10"/>
      <c r="AY277" s="56"/>
      <c r="AZ277" s="56"/>
      <c r="BA277" s="56"/>
      <c r="BB277" s="56"/>
      <c r="BJ277" s="145"/>
      <c r="CD277" s="145"/>
      <c r="CT277" s="145"/>
    </row>
    <row r="278" spans="1:98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68"/>
      <c r="R278" s="56"/>
      <c r="S278" s="162"/>
      <c r="T278" s="106"/>
      <c r="U278" s="10"/>
      <c r="V278" s="56"/>
      <c r="W278" s="56"/>
      <c r="X278" s="56"/>
      <c r="Y278" s="56"/>
      <c r="Z278" s="56"/>
      <c r="AA278" s="172"/>
      <c r="AB278" s="56"/>
      <c r="AC278" s="56"/>
      <c r="AD278" s="106"/>
      <c r="AE278" s="56"/>
      <c r="AF278" s="56"/>
      <c r="AG278" s="56"/>
      <c r="AH278" s="56"/>
      <c r="AI278" s="56"/>
      <c r="AJ278" s="56"/>
      <c r="AK278" s="106"/>
      <c r="AL278" s="56"/>
      <c r="AM278" s="56"/>
      <c r="AN278" s="56"/>
      <c r="AO278" s="56"/>
      <c r="AP278" s="56"/>
      <c r="AQ278" s="56"/>
      <c r="AR278" s="56"/>
      <c r="AS278" s="106"/>
      <c r="AT278" s="56"/>
      <c r="AU278" s="56"/>
      <c r="AV278" s="106"/>
      <c r="AW278" s="56"/>
      <c r="AX278" s="10"/>
      <c r="AY278" s="56"/>
      <c r="AZ278" s="56"/>
      <c r="BA278" s="56"/>
      <c r="BB278" s="56"/>
      <c r="BJ278" s="145"/>
      <c r="CD278" s="145"/>
      <c r="CT278" s="145"/>
    </row>
    <row r="279" spans="1:98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68"/>
      <c r="R279" s="56"/>
      <c r="S279" s="162"/>
      <c r="T279" s="106"/>
      <c r="U279" s="10"/>
      <c r="V279" s="56"/>
      <c r="W279" s="56"/>
      <c r="X279" s="56"/>
      <c r="Y279" s="56"/>
      <c r="Z279" s="56"/>
      <c r="AA279" s="172"/>
      <c r="AB279" s="56"/>
      <c r="AC279" s="56"/>
      <c r="AD279" s="106"/>
      <c r="AE279" s="56"/>
      <c r="AF279" s="56"/>
      <c r="AG279" s="56"/>
      <c r="AH279" s="56"/>
      <c r="AI279" s="56"/>
      <c r="AJ279" s="56"/>
      <c r="AK279" s="106"/>
      <c r="AL279" s="56"/>
      <c r="AM279" s="56"/>
      <c r="AN279" s="56"/>
      <c r="AO279" s="56"/>
      <c r="AP279" s="56"/>
      <c r="AQ279" s="56"/>
      <c r="AR279" s="56"/>
      <c r="AS279" s="106"/>
      <c r="AT279" s="56"/>
      <c r="AU279" s="56"/>
      <c r="AV279" s="106"/>
      <c r="AW279" s="56"/>
      <c r="AX279" s="10"/>
      <c r="AY279" s="56"/>
      <c r="AZ279" s="56"/>
      <c r="BA279" s="56"/>
      <c r="BB279" s="56"/>
      <c r="BJ279" s="145"/>
      <c r="CD279" s="145"/>
      <c r="CT279" s="145"/>
    </row>
    <row r="280" spans="1:98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68"/>
      <c r="R280" s="56"/>
      <c r="S280" s="162"/>
      <c r="T280" s="106"/>
      <c r="U280" s="10"/>
      <c r="V280" s="56"/>
      <c r="W280" s="56"/>
      <c r="X280" s="56"/>
      <c r="Y280" s="56"/>
      <c r="Z280" s="56"/>
      <c r="AA280" s="172"/>
      <c r="AB280" s="56"/>
      <c r="AC280" s="56"/>
      <c r="AD280" s="106"/>
      <c r="AE280" s="56"/>
      <c r="AF280" s="56"/>
      <c r="AG280" s="56"/>
      <c r="AH280" s="56"/>
      <c r="AI280" s="56"/>
      <c r="AJ280" s="56"/>
      <c r="AK280" s="106"/>
      <c r="AL280" s="56"/>
      <c r="AM280" s="56"/>
      <c r="AN280" s="56"/>
      <c r="AO280" s="56"/>
      <c r="AP280" s="56"/>
      <c r="AQ280" s="56"/>
      <c r="AR280" s="56"/>
      <c r="AS280" s="106"/>
      <c r="AT280" s="56"/>
      <c r="AU280" s="56"/>
      <c r="AV280" s="106"/>
      <c r="AW280" s="56"/>
      <c r="AX280" s="10"/>
      <c r="AY280" s="56"/>
      <c r="AZ280" s="56"/>
      <c r="BA280" s="56"/>
      <c r="BB280" s="56"/>
      <c r="BJ280" s="145"/>
      <c r="CD280" s="145"/>
      <c r="CT280" s="145"/>
    </row>
    <row r="281" spans="1:98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68"/>
      <c r="R281" s="56"/>
      <c r="S281" s="162"/>
      <c r="T281" s="106"/>
      <c r="U281" s="10"/>
      <c r="V281" s="56"/>
      <c r="W281" s="56"/>
      <c r="X281" s="56"/>
      <c r="Y281" s="56"/>
      <c r="Z281" s="56"/>
      <c r="AA281" s="172"/>
      <c r="AB281" s="56"/>
      <c r="AC281" s="56"/>
      <c r="AD281" s="106"/>
      <c r="AE281" s="56"/>
      <c r="AF281" s="56"/>
      <c r="AG281" s="56"/>
      <c r="AH281" s="56"/>
      <c r="AI281" s="56"/>
      <c r="AJ281" s="56"/>
      <c r="AK281" s="106"/>
      <c r="AL281" s="56"/>
      <c r="AM281" s="56"/>
      <c r="AN281" s="56"/>
      <c r="AO281" s="56"/>
      <c r="AP281" s="56"/>
      <c r="AQ281" s="56"/>
      <c r="AR281" s="56"/>
      <c r="AS281" s="106"/>
      <c r="AT281" s="56"/>
      <c r="AU281" s="56"/>
      <c r="AV281" s="106"/>
      <c r="AW281" s="56"/>
      <c r="AX281" s="10"/>
      <c r="AY281" s="56"/>
      <c r="AZ281" s="56"/>
      <c r="BA281" s="56"/>
      <c r="BB281" s="56"/>
      <c r="BJ281" s="145"/>
      <c r="CD281" s="145"/>
      <c r="CT281" s="145"/>
    </row>
    <row r="282" spans="1:98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68"/>
      <c r="R282" s="56"/>
      <c r="S282" s="162"/>
      <c r="T282" s="106"/>
      <c r="U282" s="10"/>
      <c r="V282" s="56"/>
      <c r="W282" s="56"/>
      <c r="X282" s="56"/>
      <c r="Y282" s="56"/>
      <c r="Z282" s="56"/>
      <c r="AA282" s="172"/>
      <c r="AB282" s="56"/>
      <c r="AC282" s="56"/>
      <c r="AD282" s="106"/>
      <c r="AE282" s="56"/>
      <c r="AF282" s="56"/>
      <c r="AG282" s="56"/>
      <c r="AH282" s="56"/>
      <c r="AI282" s="56"/>
      <c r="AJ282" s="56"/>
      <c r="AK282" s="106"/>
      <c r="AL282" s="56"/>
      <c r="AM282" s="56"/>
      <c r="AN282" s="56"/>
      <c r="AO282" s="56"/>
      <c r="AP282" s="56"/>
      <c r="AQ282" s="56"/>
      <c r="AR282" s="56"/>
      <c r="AS282" s="106"/>
      <c r="AT282" s="56"/>
      <c r="AU282" s="56"/>
      <c r="AV282" s="106"/>
      <c r="AW282" s="56"/>
      <c r="AX282" s="10"/>
      <c r="AY282" s="56"/>
      <c r="AZ282" s="56"/>
      <c r="BA282" s="56"/>
      <c r="BB282" s="56"/>
      <c r="BJ282" s="145"/>
      <c r="CD282" s="145"/>
      <c r="CT282" s="145"/>
    </row>
    <row r="283" spans="1:98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68"/>
      <c r="R283" s="56"/>
      <c r="S283" s="162"/>
      <c r="T283" s="106"/>
      <c r="U283" s="10"/>
      <c r="V283" s="56"/>
      <c r="W283" s="56"/>
      <c r="X283" s="56"/>
      <c r="Y283" s="56"/>
      <c r="Z283" s="56"/>
      <c r="AA283" s="172"/>
      <c r="AB283" s="56"/>
      <c r="AC283" s="56"/>
      <c r="AD283" s="106"/>
      <c r="AE283" s="56"/>
      <c r="AF283" s="56"/>
      <c r="AG283" s="56"/>
      <c r="AH283" s="56"/>
      <c r="AI283" s="56"/>
      <c r="AJ283" s="56"/>
      <c r="AK283" s="106"/>
      <c r="AL283" s="56"/>
      <c r="AM283" s="56"/>
      <c r="AN283" s="56"/>
      <c r="AO283" s="56"/>
      <c r="AP283" s="56"/>
      <c r="AQ283" s="56"/>
      <c r="AR283" s="56"/>
      <c r="AS283" s="106"/>
      <c r="AT283" s="56"/>
      <c r="AU283" s="56"/>
      <c r="AV283" s="106"/>
      <c r="AW283" s="56"/>
      <c r="AX283" s="10"/>
      <c r="AY283" s="56"/>
      <c r="AZ283" s="56"/>
      <c r="BA283" s="56"/>
      <c r="BB283" s="56"/>
      <c r="BJ283" s="145"/>
      <c r="CD283" s="145"/>
      <c r="CT283" s="145"/>
    </row>
    <row r="284" spans="1:98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68"/>
      <c r="R284" s="56"/>
      <c r="S284" s="162"/>
      <c r="T284" s="106"/>
      <c r="U284" s="10"/>
      <c r="V284" s="56"/>
      <c r="W284" s="56"/>
      <c r="X284" s="56"/>
      <c r="Y284" s="56"/>
      <c r="Z284" s="56"/>
      <c r="AA284" s="172"/>
      <c r="AB284" s="56"/>
      <c r="AC284" s="56"/>
      <c r="AD284" s="106"/>
      <c r="AE284" s="56"/>
      <c r="AF284" s="56"/>
      <c r="AG284" s="56"/>
      <c r="AH284" s="56"/>
      <c r="AI284" s="56"/>
      <c r="AJ284" s="56"/>
      <c r="AK284" s="106"/>
      <c r="AL284" s="56"/>
      <c r="AM284" s="56"/>
      <c r="AN284" s="56"/>
      <c r="AO284" s="56"/>
      <c r="AP284" s="56"/>
      <c r="AQ284" s="56"/>
      <c r="AR284" s="56"/>
      <c r="AS284" s="106"/>
      <c r="AT284" s="56"/>
      <c r="AU284" s="56"/>
      <c r="AV284" s="106"/>
      <c r="AW284" s="56"/>
      <c r="AX284" s="10"/>
      <c r="AY284" s="56"/>
      <c r="AZ284" s="56"/>
      <c r="BA284" s="56"/>
      <c r="BB284" s="56"/>
      <c r="BJ284" s="145"/>
      <c r="CD284" s="145"/>
      <c r="CT284" s="145"/>
    </row>
    <row r="285" spans="1:98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68"/>
      <c r="R285" s="56"/>
      <c r="S285" s="162"/>
      <c r="T285" s="106"/>
      <c r="U285" s="10"/>
      <c r="V285" s="56"/>
      <c r="W285" s="56"/>
      <c r="X285" s="56"/>
      <c r="Y285" s="56"/>
      <c r="Z285" s="56"/>
      <c r="AA285" s="172"/>
      <c r="AB285" s="56"/>
      <c r="AC285" s="56"/>
      <c r="AD285" s="106"/>
      <c r="AE285" s="56"/>
      <c r="AF285" s="56"/>
      <c r="AG285" s="56"/>
      <c r="AH285" s="56"/>
      <c r="AI285" s="56"/>
      <c r="AJ285" s="56"/>
      <c r="AK285" s="106"/>
      <c r="AL285" s="56"/>
      <c r="AM285" s="56"/>
      <c r="AN285" s="56"/>
      <c r="AO285" s="56"/>
      <c r="AP285" s="56"/>
      <c r="AQ285" s="56"/>
      <c r="AR285" s="56"/>
      <c r="AS285" s="106"/>
      <c r="AT285" s="56"/>
      <c r="AU285" s="56"/>
      <c r="AV285" s="106"/>
      <c r="AW285" s="56"/>
      <c r="AX285" s="10"/>
      <c r="AY285" s="56"/>
      <c r="AZ285" s="56"/>
      <c r="BA285" s="56"/>
      <c r="BB285" s="56"/>
      <c r="BJ285" s="145"/>
      <c r="CD285" s="145"/>
      <c r="CT285" s="145"/>
    </row>
    <row r="286" spans="1:98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68"/>
      <c r="R286" s="56"/>
      <c r="S286" s="162"/>
      <c r="T286" s="106"/>
      <c r="U286" s="10"/>
      <c r="V286" s="56"/>
      <c r="W286" s="56"/>
      <c r="X286" s="56"/>
      <c r="Y286" s="56"/>
      <c r="Z286" s="56"/>
      <c r="AA286" s="172"/>
      <c r="AB286" s="56"/>
      <c r="AC286" s="56"/>
      <c r="AD286" s="106"/>
      <c r="AE286" s="56"/>
      <c r="AF286" s="56"/>
      <c r="AG286" s="56"/>
      <c r="AH286" s="56"/>
      <c r="AI286" s="56"/>
      <c r="AJ286" s="56"/>
      <c r="AK286" s="106"/>
      <c r="AL286" s="56"/>
      <c r="AM286" s="56"/>
      <c r="AN286" s="56"/>
      <c r="AO286" s="56"/>
      <c r="AP286" s="56"/>
      <c r="AQ286" s="56"/>
      <c r="AR286" s="56"/>
      <c r="AS286" s="106"/>
      <c r="AT286" s="56"/>
      <c r="AU286" s="56"/>
      <c r="AV286" s="106"/>
      <c r="AW286" s="56"/>
      <c r="AX286" s="10"/>
      <c r="AY286" s="56"/>
      <c r="AZ286" s="56"/>
      <c r="BA286" s="56"/>
      <c r="BB286" s="56"/>
      <c r="BJ286" s="145"/>
      <c r="CD286" s="145"/>
      <c r="CT286" s="145"/>
    </row>
    <row r="287" spans="1:98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68"/>
      <c r="R287" s="56"/>
      <c r="S287" s="162"/>
      <c r="T287" s="106"/>
      <c r="U287" s="10"/>
      <c r="V287" s="56"/>
      <c r="W287" s="56"/>
      <c r="X287" s="56"/>
      <c r="Y287" s="56"/>
      <c r="Z287" s="56"/>
      <c r="AA287" s="172"/>
      <c r="AB287" s="56"/>
      <c r="AC287" s="56"/>
      <c r="AD287" s="106"/>
      <c r="AE287" s="56"/>
      <c r="AF287" s="56"/>
      <c r="AG287" s="56"/>
      <c r="AH287" s="56"/>
      <c r="AI287" s="56"/>
      <c r="AJ287" s="56"/>
      <c r="AK287" s="106"/>
      <c r="AL287" s="56"/>
      <c r="AM287" s="56"/>
      <c r="AN287" s="56"/>
      <c r="AO287" s="56"/>
      <c r="AP287" s="56"/>
      <c r="AQ287" s="56"/>
      <c r="AR287" s="56"/>
      <c r="AS287" s="106"/>
      <c r="AT287" s="56"/>
      <c r="AU287" s="56"/>
      <c r="AV287" s="106"/>
      <c r="AW287" s="56"/>
      <c r="AX287" s="10"/>
      <c r="AY287" s="56"/>
      <c r="AZ287" s="56"/>
      <c r="BA287" s="56"/>
      <c r="BB287" s="56"/>
      <c r="BJ287" s="145"/>
      <c r="CD287" s="145"/>
      <c r="CT287" s="145"/>
    </row>
    <row r="288" spans="1:98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68"/>
      <c r="R288" s="56"/>
      <c r="S288" s="162"/>
      <c r="T288" s="106"/>
      <c r="U288" s="10"/>
      <c r="V288" s="56"/>
      <c r="W288" s="56"/>
      <c r="X288" s="56"/>
      <c r="Y288" s="56"/>
      <c r="Z288" s="56"/>
      <c r="AA288" s="172"/>
      <c r="AB288" s="56"/>
      <c r="AC288" s="56"/>
      <c r="AD288" s="106"/>
      <c r="AE288" s="56"/>
      <c r="AF288" s="56"/>
      <c r="AG288" s="56"/>
      <c r="AH288" s="56"/>
      <c r="AI288" s="56"/>
      <c r="AJ288" s="56"/>
      <c r="AK288" s="106"/>
      <c r="AL288" s="56"/>
      <c r="AM288" s="56"/>
      <c r="AN288" s="56"/>
      <c r="AO288" s="56"/>
      <c r="AP288" s="56"/>
      <c r="AQ288" s="56"/>
      <c r="AR288" s="56"/>
      <c r="AS288" s="106"/>
      <c r="AT288" s="56"/>
      <c r="AU288" s="56"/>
      <c r="AV288" s="106"/>
      <c r="AW288" s="56"/>
      <c r="AX288" s="10"/>
      <c r="AY288" s="56"/>
      <c r="AZ288" s="56"/>
      <c r="BA288" s="56"/>
      <c r="BB288" s="56"/>
      <c r="BJ288" s="145"/>
      <c r="CD288" s="145"/>
      <c r="CT288" s="145"/>
    </row>
    <row r="289" spans="1:98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68"/>
      <c r="R289" s="56"/>
      <c r="S289" s="162"/>
      <c r="T289" s="106"/>
      <c r="U289" s="10"/>
      <c r="V289" s="56"/>
      <c r="W289" s="56"/>
      <c r="X289" s="56"/>
      <c r="Y289" s="56"/>
      <c r="Z289" s="56"/>
      <c r="AA289" s="172"/>
      <c r="AB289" s="56"/>
      <c r="AC289" s="56"/>
      <c r="AD289" s="106"/>
      <c r="AE289" s="56"/>
      <c r="AF289" s="56"/>
      <c r="AG289" s="56"/>
      <c r="AH289" s="56"/>
      <c r="AI289" s="56"/>
      <c r="AJ289" s="56"/>
      <c r="AK289" s="106"/>
      <c r="AL289" s="56"/>
      <c r="AM289" s="56"/>
      <c r="AN289" s="56"/>
      <c r="AO289" s="56"/>
      <c r="AP289" s="56"/>
      <c r="AQ289" s="56"/>
      <c r="AR289" s="56"/>
      <c r="AS289" s="106"/>
      <c r="AT289" s="56"/>
      <c r="AU289" s="56"/>
      <c r="AV289" s="106"/>
      <c r="AW289" s="56"/>
      <c r="AX289" s="10"/>
      <c r="AY289" s="56"/>
      <c r="AZ289" s="56"/>
      <c r="BA289" s="56"/>
      <c r="BB289" s="56"/>
      <c r="BJ289" s="145"/>
      <c r="CD289" s="145"/>
      <c r="CT289" s="145"/>
    </row>
    <row r="290" spans="1:98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68"/>
      <c r="R290" s="56"/>
      <c r="S290" s="162"/>
      <c r="T290" s="106"/>
      <c r="U290" s="10"/>
      <c r="V290" s="56"/>
      <c r="W290" s="56"/>
      <c r="X290" s="56"/>
      <c r="Y290" s="56"/>
      <c r="Z290" s="56"/>
      <c r="AA290" s="172"/>
      <c r="AB290" s="56"/>
      <c r="AC290" s="56"/>
      <c r="AD290" s="106"/>
      <c r="AE290" s="56"/>
      <c r="AF290" s="56"/>
      <c r="AG290" s="56"/>
      <c r="AH290" s="56"/>
      <c r="AI290" s="56"/>
      <c r="AJ290" s="56"/>
      <c r="AK290" s="106"/>
      <c r="AL290" s="56"/>
      <c r="AM290" s="56"/>
      <c r="AN290" s="56"/>
      <c r="AO290" s="56"/>
      <c r="AP290" s="56"/>
      <c r="AQ290" s="56"/>
      <c r="AR290" s="56"/>
      <c r="AS290" s="106"/>
      <c r="AT290" s="56"/>
      <c r="AU290" s="56"/>
      <c r="AV290" s="106"/>
      <c r="AW290" s="56"/>
      <c r="AX290" s="10"/>
      <c r="AY290" s="56"/>
      <c r="AZ290" s="56"/>
      <c r="BA290" s="56"/>
      <c r="BB290" s="56"/>
      <c r="BJ290" s="145"/>
      <c r="CD290" s="145"/>
      <c r="CT290" s="145"/>
    </row>
    <row r="291" spans="1:98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68"/>
      <c r="R291" s="56"/>
      <c r="S291" s="162"/>
      <c r="T291" s="106"/>
      <c r="U291" s="10"/>
      <c r="V291" s="56"/>
      <c r="W291" s="56"/>
      <c r="X291" s="56"/>
      <c r="Y291" s="56"/>
      <c r="Z291" s="56"/>
      <c r="AA291" s="172"/>
      <c r="AB291" s="56"/>
      <c r="AC291" s="56"/>
      <c r="AD291" s="106"/>
      <c r="AE291" s="56"/>
      <c r="AF291" s="56"/>
      <c r="AG291" s="56"/>
      <c r="AH291" s="56"/>
      <c r="AI291" s="56"/>
      <c r="AJ291" s="56"/>
      <c r="AK291" s="106"/>
      <c r="AL291" s="56"/>
      <c r="AM291" s="56"/>
      <c r="AN291" s="56"/>
      <c r="AO291" s="56"/>
      <c r="AP291" s="56"/>
      <c r="AQ291" s="56"/>
      <c r="AR291" s="56"/>
      <c r="AS291" s="106"/>
      <c r="AT291" s="56"/>
      <c r="AU291" s="56"/>
      <c r="AV291" s="106"/>
      <c r="AW291" s="56"/>
      <c r="AX291" s="10"/>
      <c r="AY291" s="56"/>
      <c r="AZ291" s="56"/>
      <c r="BA291" s="56"/>
      <c r="BB291" s="56"/>
      <c r="BJ291" s="145"/>
      <c r="CD291" s="145"/>
      <c r="CT291" s="145"/>
    </row>
    <row r="292" spans="1:98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68"/>
      <c r="R292" s="56"/>
      <c r="S292" s="162"/>
      <c r="T292" s="106"/>
      <c r="U292" s="10"/>
      <c r="V292" s="56"/>
      <c r="W292" s="56"/>
      <c r="X292" s="56"/>
      <c r="Y292" s="56"/>
      <c r="Z292" s="56"/>
      <c r="AA292" s="172"/>
      <c r="AB292" s="56"/>
      <c r="AC292" s="56"/>
      <c r="AD292" s="106"/>
      <c r="AE292" s="56"/>
      <c r="AF292" s="56"/>
      <c r="AG292" s="56"/>
      <c r="AH292" s="56"/>
      <c r="AI292" s="56"/>
      <c r="AJ292" s="56"/>
      <c r="AK292" s="106"/>
      <c r="AL292" s="56"/>
      <c r="AM292" s="56"/>
      <c r="AN292" s="56"/>
      <c r="AO292" s="56"/>
      <c r="AP292" s="56"/>
      <c r="AQ292" s="56"/>
      <c r="AR292" s="56"/>
      <c r="AS292" s="106"/>
      <c r="AT292" s="56"/>
      <c r="AU292" s="56"/>
      <c r="AV292" s="106"/>
      <c r="AW292" s="56"/>
      <c r="AX292" s="10"/>
      <c r="AY292" s="56"/>
      <c r="AZ292" s="56"/>
      <c r="BA292" s="56"/>
      <c r="BB292" s="56"/>
      <c r="BJ292" s="145"/>
      <c r="CD292" s="145"/>
      <c r="CT292" s="145"/>
    </row>
    <row r="293" spans="1:98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68"/>
      <c r="R293" s="56"/>
      <c r="S293" s="162"/>
      <c r="T293" s="106"/>
      <c r="U293" s="10"/>
      <c r="V293" s="56"/>
      <c r="W293" s="56"/>
      <c r="X293" s="56"/>
      <c r="Y293" s="56"/>
      <c r="Z293" s="56"/>
      <c r="AA293" s="172"/>
      <c r="AB293" s="56"/>
      <c r="AC293" s="56"/>
      <c r="AD293" s="106"/>
      <c r="AE293" s="56"/>
      <c r="AF293" s="56"/>
      <c r="AG293" s="56"/>
      <c r="AH293" s="56"/>
      <c r="AI293" s="56"/>
      <c r="AJ293" s="56"/>
      <c r="AK293" s="106"/>
      <c r="AL293" s="56"/>
      <c r="AM293" s="56"/>
      <c r="AN293" s="56"/>
      <c r="AO293" s="56"/>
      <c r="AP293" s="56"/>
      <c r="AQ293" s="56"/>
      <c r="AR293" s="56"/>
      <c r="AS293" s="106"/>
      <c r="AT293" s="56"/>
      <c r="AU293" s="56"/>
      <c r="AV293" s="106"/>
      <c r="AW293" s="56"/>
      <c r="AX293" s="10"/>
      <c r="AY293" s="56"/>
      <c r="AZ293" s="56"/>
      <c r="BA293" s="56"/>
      <c r="BB293" s="56"/>
      <c r="BJ293" s="145"/>
      <c r="CD293" s="145"/>
      <c r="CT293" s="145"/>
    </row>
    <row r="294" spans="1:98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68"/>
      <c r="R294" s="56"/>
      <c r="S294" s="162"/>
      <c r="T294" s="106"/>
      <c r="U294" s="10"/>
      <c r="V294" s="56"/>
      <c r="W294" s="56"/>
      <c r="X294" s="56"/>
      <c r="Y294" s="56"/>
      <c r="Z294" s="56"/>
      <c r="AA294" s="172"/>
      <c r="AB294" s="56"/>
      <c r="AC294" s="56"/>
      <c r="AD294" s="106"/>
      <c r="AE294" s="56"/>
      <c r="AF294" s="56"/>
      <c r="AG294" s="56"/>
      <c r="AH294" s="56"/>
      <c r="AI294" s="56"/>
      <c r="AJ294" s="56"/>
      <c r="AK294" s="106"/>
      <c r="AL294" s="56"/>
      <c r="AM294" s="56"/>
      <c r="AN294" s="56"/>
      <c r="AO294" s="56"/>
      <c r="AP294" s="56"/>
      <c r="AQ294" s="56"/>
      <c r="AR294" s="56"/>
      <c r="AS294" s="106"/>
      <c r="AT294" s="56"/>
      <c r="AU294" s="56"/>
      <c r="AV294" s="106"/>
      <c r="AW294" s="56"/>
      <c r="AX294" s="10"/>
      <c r="AY294" s="56"/>
      <c r="AZ294" s="56"/>
      <c r="BA294" s="56"/>
      <c r="BB294" s="56"/>
      <c r="BJ294" s="145"/>
      <c r="CD294" s="145"/>
      <c r="CT294" s="145"/>
    </row>
    <row r="295" spans="1:98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68"/>
      <c r="R295" s="56"/>
      <c r="S295" s="162"/>
      <c r="T295" s="106"/>
      <c r="U295" s="10"/>
      <c r="V295" s="56"/>
      <c r="W295" s="56"/>
      <c r="X295" s="56"/>
      <c r="Y295" s="56"/>
      <c r="Z295" s="56"/>
      <c r="AA295" s="172"/>
      <c r="AB295" s="56"/>
      <c r="AC295" s="56"/>
      <c r="AD295" s="106"/>
      <c r="AE295" s="56"/>
      <c r="AF295" s="56"/>
      <c r="AG295" s="56"/>
      <c r="AH295" s="56"/>
      <c r="AI295" s="56"/>
      <c r="AJ295" s="56"/>
      <c r="AK295" s="106"/>
      <c r="AL295" s="56"/>
      <c r="AM295" s="56"/>
      <c r="AN295" s="56"/>
      <c r="AO295" s="56"/>
      <c r="AP295" s="56"/>
      <c r="AQ295" s="56"/>
      <c r="AR295" s="56"/>
      <c r="AS295" s="106"/>
      <c r="AT295" s="56"/>
      <c r="AU295" s="56"/>
      <c r="AV295" s="106"/>
      <c r="AW295" s="56"/>
      <c r="AX295" s="10"/>
      <c r="AY295" s="56"/>
      <c r="AZ295" s="56"/>
      <c r="BA295" s="56"/>
      <c r="BB295" s="56"/>
      <c r="BJ295" s="145"/>
      <c r="CD295" s="145"/>
      <c r="CT295" s="145"/>
    </row>
    <row r="296" spans="1:98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68"/>
      <c r="R296" s="56"/>
      <c r="S296" s="162"/>
      <c r="T296" s="106"/>
      <c r="U296" s="10"/>
      <c r="V296" s="56"/>
      <c r="W296" s="56"/>
      <c r="X296" s="56"/>
      <c r="Y296" s="56"/>
      <c r="Z296" s="56"/>
      <c r="AA296" s="172"/>
      <c r="AB296" s="56"/>
      <c r="AC296" s="56"/>
      <c r="AD296" s="106"/>
      <c r="AE296" s="56"/>
      <c r="AF296" s="56"/>
      <c r="AG296" s="56"/>
      <c r="AH296" s="56"/>
      <c r="AI296" s="56"/>
      <c r="AJ296" s="56"/>
      <c r="AK296" s="106"/>
      <c r="AL296" s="56"/>
      <c r="AM296" s="56"/>
      <c r="AN296" s="56"/>
      <c r="AO296" s="56"/>
      <c r="AP296" s="56"/>
      <c r="AQ296" s="56"/>
      <c r="AR296" s="56"/>
      <c r="AS296" s="106"/>
      <c r="AT296" s="56"/>
      <c r="AU296" s="56"/>
      <c r="AV296" s="106"/>
      <c r="AW296" s="56"/>
      <c r="AX296" s="10"/>
      <c r="AY296" s="56"/>
      <c r="AZ296" s="56"/>
      <c r="BA296" s="56"/>
      <c r="BB296" s="56"/>
      <c r="BJ296" s="145"/>
      <c r="CD296" s="145"/>
      <c r="CT296" s="145"/>
    </row>
    <row r="297" spans="1:98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68"/>
      <c r="R297" s="56"/>
      <c r="S297" s="162"/>
      <c r="T297" s="106"/>
      <c r="U297" s="10"/>
      <c r="V297" s="56"/>
      <c r="W297" s="56"/>
      <c r="X297" s="56"/>
      <c r="Y297" s="56"/>
      <c r="Z297" s="56"/>
      <c r="AA297" s="172"/>
      <c r="AB297" s="56"/>
      <c r="AC297" s="56"/>
      <c r="AD297" s="106"/>
      <c r="AE297" s="56"/>
      <c r="AF297" s="56"/>
      <c r="AG297" s="56"/>
      <c r="AH297" s="56"/>
      <c r="AI297" s="56"/>
      <c r="AJ297" s="56"/>
      <c r="AK297" s="106"/>
      <c r="AL297" s="56"/>
      <c r="AM297" s="56"/>
      <c r="AN297" s="56"/>
      <c r="AO297" s="56"/>
      <c r="AP297" s="56"/>
      <c r="AQ297" s="56"/>
      <c r="AR297" s="56"/>
      <c r="AS297" s="106"/>
      <c r="AT297" s="56"/>
      <c r="AU297" s="56"/>
      <c r="AV297" s="106"/>
      <c r="AW297" s="56"/>
      <c r="AX297" s="10"/>
      <c r="AY297" s="56"/>
      <c r="AZ297" s="56"/>
      <c r="BA297" s="56"/>
      <c r="BB297" s="56"/>
      <c r="BJ297" s="145"/>
      <c r="CD297" s="145"/>
      <c r="CT297" s="145"/>
    </row>
    <row r="298" spans="1:98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68"/>
      <c r="R298" s="56"/>
      <c r="S298" s="162"/>
      <c r="T298" s="106"/>
      <c r="U298" s="10"/>
      <c r="V298" s="56"/>
      <c r="W298" s="56"/>
      <c r="X298" s="56"/>
      <c r="Y298" s="56"/>
      <c r="Z298" s="56"/>
      <c r="AA298" s="172"/>
      <c r="AB298" s="56"/>
      <c r="AC298" s="56"/>
      <c r="AD298" s="106"/>
      <c r="AE298" s="56"/>
      <c r="AF298" s="56"/>
      <c r="AG298" s="56"/>
      <c r="AH298" s="56"/>
      <c r="AI298" s="56"/>
      <c r="AJ298" s="56"/>
      <c r="AK298" s="106"/>
      <c r="AL298" s="56"/>
      <c r="AM298" s="56"/>
      <c r="AN298" s="56"/>
      <c r="AO298" s="56"/>
      <c r="AP298" s="56"/>
      <c r="AQ298" s="56"/>
      <c r="AR298" s="56"/>
      <c r="AS298" s="106"/>
      <c r="AT298" s="56"/>
      <c r="AU298" s="56"/>
      <c r="AV298" s="106"/>
      <c r="AW298" s="56"/>
      <c r="AX298" s="10"/>
      <c r="AY298" s="56"/>
      <c r="AZ298" s="56"/>
      <c r="BA298" s="56"/>
      <c r="BB298" s="56"/>
      <c r="BJ298" s="145"/>
      <c r="CD298" s="145"/>
      <c r="CT298" s="145"/>
    </row>
    <row r="299" spans="1:98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68"/>
      <c r="R299" s="56"/>
      <c r="S299" s="162"/>
      <c r="T299" s="106"/>
      <c r="U299" s="10"/>
      <c r="V299" s="56"/>
      <c r="W299" s="56"/>
      <c r="X299" s="56"/>
      <c r="Y299" s="56"/>
      <c r="Z299" s="56"/>
      <c r="AA299" s="172"/>
      <c r="AB299" s="56"/>
      <c r="AC299" s="56"/>
      <c r="AD299" s="106"/>
      <c r="AE299" s="56"/>
      <c r="AF299" s="56"/>
      <c r="AG299" s="56"/>
      <c r="AH299" s="56"/>
      <c r="AI299" s="56"/>
      <c r="AJ299" s="56"/>
      <c r="AK299" s="106"/>
      <c r="AL299" s="56"/>
      <c r="AM299" s="56"/>
      <c r="AN299" s="56"/>
      <c r="AO299" s="56"/>
      <c r="AP299" s="56"/>
      <c r="AQ299" s="56"/>
      <c r="AR299" s="56"/>
      <c r="AS299" s="106"/>
      <c r="AT299" s="56"/>
      <c r="AU299" s="56"/>
      <c r="AV299" s="106"/>
      <c r="AW299" s="56"/>
      <c r="AX299" s="10"/>
      <c r="AY299" s="56"/>
      <c r="AZ299" s="56"/>
      <c r="BA299" s="56"/>
      <c r="BB299" s="56"/>
      <c r="BJ299" s="145"/>
      <c r="CD299" s="145"/>
      <c r="CT299" s="145"/>
    </row>
    <row r="300" spans="1:98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68"/>
      <c r="R300" s="56"/>
      <c r="S300" s="162"/>
      <c r="T300" s="106"/>
      <c r="U300" s="10"/>
      <c r="V300" s="56"/>
      <c r="W300" s="56"/>
      <c r="X300" s="56"/>
      <c r="Y300" s="56"/>
      <c r="Z300" s="56"/>
      <c r="AA300" s="172"/>
      <c r="AB300" s="56"/>
      <c r="AC300" s="56"/>
      <c r="AD300" s="106"/>
      <c r="AE300" s="56"/>
      <c r="AF300" s="56"/>
      <c r="AG300" s="56"/>
      <c r="AH300" s="56"/>
      <c r="AI300" s="56"/>
      <c r="AJ300" s="56"/>
      <c r="AK300" s="106"/>
      <c r="AL300" s="56"/>
      <c r="AM300" s="56"/>
      <c r="AN300" s="56"/>
      <c r="AO300" s="56"/>
      <c r="AP300" s="56"/>
      <c r="AQ300" s="56"/>
      <c r="AR300" s="56"/>
      <c r="AS300" s="106"/>
      <c r="AT300" s="56"/>
      <c r="AU300" s="56"/>
      <c r="AV300" s="106"/>
      <c r="AW300" s="56"/>
      <c r="AX300" s="10"/>
      <c r="AY300" s="56"/>
      <c r="AZ300" s="56"/>
      <c r="BA300" s="56"/>
      <c r="BB300" s="56"/>
      <c r="BJ300" s="145"/>
      <c r="CD300" s="145"/>
      <c r="CT300" s="145"/>
    </row>
    <row r="301" spans="1:98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68"/>
      <c r="R301" s="56"/>
      <c r="S301" s="162"/>
      <c r="T301" s="106"/>
      <c r="U301" s="10"/>
      <c r="V301" s="56"/>
      <c r="W301" s="56"/>
      <c r="X301" s="56"/>
      <c r="Y301" s="56"/>
      <c r="Z301" s="56"/>
      <c r="AA301" s="172"/>
      <c r="AB301" s="56"/>
      <c r="AC301" s="56"/>
      <c r="AD301" s="106"/>
      <c r="AE301" s="56"/>
      <c r="AF301" s="56"/>
      <c r="AG301" s="56"/>
      <c r="AH301" s="56"/>
      <c r="AI301" s="56"/>
      <c r="AJ301" s="56"/>
      <c r="AK301" s="106"/>
      <c r="AL301" s="56"/>
      <c r="AM301" s="56"/>
      <c r="AN301" s="56"/>
      <c r="AO301" s="56"/>
      <c r="AP301" s="56"/>
      <c r="AQ301" s="56"/>
      <c r="AR301" s="56"/>
      <c r="AS301" s="106"/>
      <c r="AT301" s="56"/>
      <c r="AU301" s="56"/>
      <c r="AV301" s="106"/>
      <c r="AW301" s="56"/>
      <c r="AX301" s="10"/>
      <c r="AY301" s="56"/>
      <c r="AZ301" s="56"/>
      <c r="BA301" s="56"/>
      <c r="BB301" s="56"/>
      <c r="BJ301" s="145"/>
      <c r="CD301" s="145"/>
      <c r="CT301" s="145"/>
    </row>
    <row r="302" spans="1:98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68"/>
      <c r="R302" s="56"/>
      <c r="S302" s="162"/>
      <c r="T302" s="106"/>
      <c r="U302" s="10"/>
      <c r="V302" s="56"/>
      <c r="W302" s="56"/>
      <c r="X302" s="56"/>
      <c r="Y302" s="56"/>
      <c r="Z302" s="56"/>
      <c r="AA302" s="172"/>
      <c r="AB302" s="56"/>
      <c r="AC302" s="56"/>
      <c r="AD302" s="106"/>
      <c r="AE302" s="56"/>
      <c r="AF302" s="56"/>
      <c r="AG302" s="56"/>
      <c r="AH302" s="56"/>
      <c r="AI302" s="56"/>
      <c r="AJ302" s="56"/>
      <c r="AK302" s="106"/>
      <c r="AL302" s="56"/>
      <c r="AM302" s="56"/>
      <c r="AN302" s="56"/>
      <c r="AO302" s="56"/>
      <c r="AP302" s="56"/>
      <c r="AQ302" s="56"/>
      <c r="AR302" s="56"/>
      <c r="AS302" s="106"/>
      <c r="AT302" s="56"/>
      <c r="AU302" s="56"/>
      <c r="AV302" s="106"/>
      <c r="AW302" s="56"/>
      <c r="AX302" s="10"/>
      <c r="AY302" s="56"/>
      <c r="AZ302" s="56"/>
      <c r="BA302" s="56"/>
      <c r="BB302" s="56"/>
      <c r="BJ302" s="145"/>
      <c r="CD302" s="145"/>
      <c r="CT302" s="145"/>
    </row>
    <row r="303" spans="1:98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68"/>
      <c r="R303" s="56"/>
      <c r="S303" s="162"/>
      <c r="T303" s="106"/>
      <c r="U303" s="10"/>
      <c r="V303" s="56"/>
      <c r="W303" s="56"/>
      <c r="X303" s="56"/>
      <c r="Y303" s="56"/>
      <c r="Z303" s="56"/>
      <c r="AA303" s="172"/>
      <c r="AB303" s="56"/>
      <c r="AC303" s="56"/>
      <c r="AD303" s="106"/>
      <c r="AE303" s="56"/>
      <c r="AF303" s="56"/>
      <c r="AG303" s="56"/>
      <c r="AH303" s="56"/>
      <c r="AI303" s="56"/>
      <c r="AJ303" s="56"/>
      <c r="AK303" s="106"/>
      <c r="AL303" s="56"/>
      <c r="AM303" s="56"/>
      <c r="AN303" s="56"/>
      <c r="AO303" s="56"/>
      <c r="AP303" s="56"/>
      <c r="AQ303" s="56"/>
      <c r="AR303" s="56"/>
      <c r="AS303" s="106"/>
      <c r="AT303" s="56"/>
      <c r="AU303" s="56"/>
      <c r="AV303" s="106"/>
      <c r="AW303" s="56"/>
      <c r="AX303" s="10"/>
      <c r="AY303" s="56"/>
      <c r="AZ303" s="56"/>
      <c r="BA303" s="56"/>
      <c r="BB303" s="56"/>
      <c r="BJ303" s="145"/>
      <c r="CD303" s="145"/>
      <c r="CT303" s="145"/>
    </row>
    <row r="304" spans="1:98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68"/>
      <c r="R304" s="56"/>
      <c r="S304" s="162"/>
      <c r="T304" s="106"/>
      <c r="U304" s="10"/>
      <c r="V304" s="56"/>
      <c r="W304" s="56"/>
      <c r="X304" s="56"/>
      <c r="Y304" s="56"/>
      <c r="Z304" s="56"/>
      <c r="AA304" s="172"/>
      <c r="AB304" s="56"/>
      <c r="AC304" s="56"/>
      <c r="AD304" s="106"/>
      <c r="AE304" s="56"/>
      <c r="AF304" s="56"/>
      <c r="AG304" s="56"/>
      <c r="AH304" s="56"/>
      <c r="AI304" s="56"/>
      <c r="AJ304" s="56"/>
      <c r="AK304" s="106"/>
      <c r="AL304" s="56"/>
      <c r="AM304" s="56"/>
      <c r="AN304" s="56"/>
      <c r="AO304" s="56"/>
      <c r="AP304" s="56"/>
      <c r="AQ304" s="56"/>
      <c r="AR304" s="56"/>
      <c r="AS304" s="106"/>
      <c r="AT304" s="56"/>
      <c r="AU304" s="56"/>
      <c r="AV304" s="106"/>
      <c r="AW304" s="56"/>
      <c r="AX304" s="10"/>
      <c r="AY304" s="56"/>
      <c r="AZ304" s="56"/>
      <c r="BA304" s="56"/>
      <c r="BB304" s="56"/>
      <c r="BJ304" s="145"/>
      <c r="CD304" s="145"/>
      <c r="CT304" s="145"/>
    </row>
    <row r="305" spans="1:98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68"/>
      <c r="R305" s="56"/>
      <c r="S305" s="162"/>
      <c r="T305" s="106"/>
      <c r="U305" s="10"/>
      <c r="V305" s="56"/>
      <c r="W305" s="56"/>
      <c r="X305" s="56"/>
      <c r="Y305" s="56"/>
      <c r="Z305" s="56"/>
      <c r="AA305" s="172"/>
      <c r="AB305" s="56"/>
      <c r="AC305" s="56"/>
      <c r="AD305" s="106"/>
      <c r="AE305" s="56"/>
      <c r="AF305" s="56"/>
      <c r="AG305" s="56"/>
      <c r="AH305" s="56"/>
      <c r="AI305" s="56"/>
      <c r="AJ305" s="56"/>
      <c r="AK305" s="106"/>
      <c r="AL305" s="56"/>
      <c r="AM305" s="56"/>
      <c r="AN305" s="56"/>
      <c r="AO305" s="56"/>
      <c r="AP305" s="56"/>
      <c r="AQ305" s="56"/>
      <c r="AR305" s="56"/>
      <c r="AS305" s="106"/>
      <c r="AT305" s="56"/>
      <c r="AU305" s="56"/>
      <c r="AV305" s="106"/>
      <c r="AW305" s="56"/>
      <c r="AX305" s="10"/>
      <c r="AY305" s="56"/>
      <c r="AZ305" s="56"/>
      <c r="BA305" s="56"/>
      <c r="BB305" s="56"/>
      <c r="BJ305" s="145"/>
      <c r="CD305" s="145"/>
      <c r="CT305" s="145"/>
    </row>
    <row r="306" spans="1:98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68"/>
      <c r="R306" s="56"/>
      <c r="S306" s="162"/>
      <c r="T306" s="106"/>
      <c r="U306" s="10"/>
      <c r="V306" s="56"/>
      <c r="W306" s="56"/>
      <c r="X306" s="56"/>
      <c r="Y306" s="56"/>
      <c r="Z306" s="56"/>
      <c r="AA306" s="172"/>
      <c r="AB306" s="56"/>
      <c r="AC306" s="56"/>
      <c r="AD306" s="106"/>
      <c r="AE306" s="56"/>
      <c r="AF306" s="56"/>
      <c r="AG306" s="56"/>
      <c r="AH306" s="56"/>
      <c r="AI306" s="56"/>
      <c r="AJ306" s="56"/>
      <c r="AK306" s="106"/>
      <c r="AL306" s="56"/>
      <c r="AM306" s="56"/>
      <c r="AN306" s="56"/>
      <c r="AO306" s="56"/>
      <c r="AP306" s="56"/>
      <c r="AQ306" s="56"/>
      <c r="AR306" s="56"/>
      <c r="AS306" s="106"/>
      <c r="AT306" s="56"/>
      <c r="AU306" s="56"/>
      <c r="AV306" s="106"/>
      <c r="AW306" s="56"/>
      <c r="AX306" s="10"/>
      <c r="AY306" s="56"/>
      <c r="AZ306" s="56"/>
      <c r="BA306" s="56"/>
      <c r="BB306" s="56"/>
      <c r="BJ306" s="145"/>
      <c r="CD306" s="145"/>
      <c r="CT306" s="145"/>
    </row>
    <row r="307" spans="1:98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68"/>
      <c r="R307" s="56"/>
      <c r="S307" s="162"/>
      <c r="T307" s="106"/>
      <c r="U307" s="10"/>
      <c r="V307" s="56"/>
      <c r="W307" s="56"/>
      <c r="X307" s="56"/>
      <c r="Y307" s="56"/>
      <c r="Z307" s="56"/>
      <c r="AA307" s="172"/>
      <c r="AB307" s="56"/>
      <c r="AC307" s="56"/>
      <c r="AD307" s="106"/>
      <c r="AE307" s="56"/>
      <c r="AF307" s="56"/>
      <c r="AG307" s="56"/>
      <c r="AH307" s="56"/>
      <c r="AI307" s="56"/>
      <c r="AJ307" s="56"/>
      <c r="AK307" s="106"/>
      <c r="AL307" s="56"/>
      <c r="AM307" s="56"/>
      <c r="AN307" s="56"/>
      <c r="AO307" s="56"/>
      <c r="AP307" s="56"/>
      <c r="AQ307" s="56"/>
      <c r="AR307" s="56"/>
      <c r="AS307" s="106"/>
      <c r="AT307" s="56"/>
      <c r="AU307" s="56"/>
      <c r="AV307" s="106"/>
      <c r="AW307" s="56"/>
      <c r="AX307" s="10"/>
      <c r="AY307" s="56"/>
      <c r="AZ307" s="56"/>
      <c r="BA307" s="56"/>
      <c r="BB307" s="56"/>
      <c r="BJ307" s="145"/>
      <c r="CD307" s="145"/>
      <c r="CT307" s="145"/>
    </row>
    <row r="308" spans="1:98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68"/>
      <c r="R308" s="56"/>
      <c r="S308" s="162"/>
      <c r="T308" s="106"/>
      <c r="U308" s="10"/>
      <c r="V308" s="56"/>
      <c r="W308" s="56"/>
      <c r="X308" s="56"/>
      <c r="Y308" s="56"/>
      <c r="Z308" s="56"/>
      <c r="AA308" s="172"/>
      <c r="AB308" s="56"/>
      <c r="AC308" s="56"/>
      <c r="AD308" s="106"/>
      <c r="AE308" s="56"/>
      <c r="AF308" s="56"/>
      <c r="AG308" s="56"/>
      <c r="AH308" s="56"/>
      <c r="AI308" s="56"/>
      <c r="AJ308" s="56"/>
      <c r="AK308" s="106"/>
      <c r="AL308" s="56"/>
      <c r="AM308" s="56"/>
      <c r="AN308" s="56"/>
      <c r="AO308" s="56"/>
      <c r="AP308" s="56"/>
      <c r="AQ308" s="56"/>
      <c r="AR308" s="56"/>
      <c r="AS308" s="106"/>
      <c r="AT308" s="56"/>
      <c r="AU308" s="56"/>
      <c r="AV308" s="106"/>
      <c r="AW308" s="56"/>
      <c r="AX308" s="10"/>
      <c r="AY308" s="56"/>
      <c r="AZ308" s="56"/>
      <c r="BA308" s="56"/>
      <c r="BB308" s="56"/>
      <c r="BJ308" s="145"/>
      <c r="CD308" s="145"/>
      <c r="CT308" s="145"/>
    </row>
    <row r="309" spans="1:98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68"/>
      <c r="R309" s="56"/>
      <c r="S309" s="162"/>
      <c r="T309" s="106"/>
      <c r="U309" s="10"/>
      <c r="V309" s="56"/>
      <c r="W309" s="56"/>
      <c r="X309" s="56"/>
      <c r="Y309" s="56"/>
      <c r="Z309" s="56"/>
      <c r="AA309" s="172"/>
      <c r="AB309" s="56"/>
      <c r="AC309" s="56"/>
      <c r="AD309" s="106"/>
      <c r="AE309" s="56"/>
      <c r="AF309" s="56"/>
      <c r="AG309" s="56"/>
      <c r="AH309" s="56"/>
      <c r="AI309" s="56"/>
      <c r="AJ309" s="56"/>
      <c r="AK309" s="106"/>
      <c r="AL309" s="56"/>
      <c r="AM309" s="56"/>
      <c r="AN309" s="56"/>
      <c r="AO309" s="56"/>
      <c r="AP309" s="56"/>
      <c r="AQ309" s="56"/>
      <c r="AR309" s="56"/>
      <c r="AS309" s="106"/>
      <c r="AT309" s="56"/>
      <c r="AU309" s="56"/>
      <c r="AV309" s="106"/>
      <c r="AW309" s="56"/>
      <c r="AX309" s="10"/>
      <c r="AY309" s="56"/>
      <c r="AZ309" s="56"/>
      <c r="BA309" s="56"/>
      <c r="BB309" s="56"/>
      <c r="BJ309" s="145"/>
      <c r="CD309" s="145"/>
      <c r="CT309" s="145"/>
    </row>
    <row r="310" spans="1:98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68"/>
      <c r="R310" s="56"/>
      <c r="S310" s="162"/>
      <c r="T310" s="106"/>
      <c r="U310" s="10"/>
      <c r="V310" s="56"/>
      <c r="W310" s="56"/>
      <c r="X310" s="56"/>
      <c r="Y310" s="56"/>
      <c r="Z310" s="56"/>
      <c r="AA310" s="172"/>
      <c r="AB310" s="56"/>
      <c r="AC310" s="56"/>
      <c r="AD310" s="106"/>
      <c r="AE310" s="56"/>
      <c r="AF310" s="56"/>
      <c r="AG310" s="56"/>
      <c r="AH310" s="56"/>
      <c r="AI310" s="56"/>
      <c r="AJ310" s="56"/>
      <c r="AK310" s="106"/>
      <c r="AL310" s="56"/>
      <c r="AM310" s="56"/>
      <c r="AN310" s="56"/>
      <c r="AO310" s="56"/>
      <c r="AP310" s="56"/>
      <c r="AQ310" s="56"/>
      <c r="AR310" s="56"/>
      <c r="AS310" s="106"/>
      <c r="AT310" s="56"/>
      <c r="AU310" s="56"/>
      <c r="AV310" s="106"/>
      <c r="AW310" s="56"/>
      <c r="AX310" s="10"/>
      <c r="AY310" s="56"/>
      <c r="AZ310" s="56"/>
      <c r="BA310" s="56"/>
      <c r="BB310" s="56"/>
      <c r="BJ310" s="145"/>
      <c r="CD310" s="145"/>
      <c r="CT310" s="145"/>
    </row>
    <row r="311" spans="1:98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68"/>
      <c r="R311" s="56"/>
      <c r="S311" s="162"/>
      <c r="T311" s="106"/>
      <c r="U311" s="10"/>
      <c r="V311" s="56"/>
      <c r="W311" s="56"/>
      <c r="X311" s="56"/>
      <c r="Y311" s="56"/>
      <c r="Z311" s="56"/>
      <c r="AA311" s="172"/>
      <c r="AB311" s="56"/>
      <c r="AC311" s="56"/>
      <c r="AD311" s="106"/>
      <c r="AE311" s="56"/>
      <c r="AF311" s="56"/>
      <c r="AG311" s="56"/>
      <c r="AH311" s="56"/>
      <c r="AI311" s="56"/>
      <c r="AJ311" s="56"/>
      <c r="AK311" s="106"/>
      <c r="AL311" s="56"/>
      <c r="AM311" s="56"/>
      <c r="AN311" s="56"/>
      <c r="AO311" s="56"/>
      <c r="AP311" s="56"/>
      <c r="AQ311" s="56"/>
      <c r="AR311" s="56"/>
      <c r="AS311" s="106"/>
      <c r="AT311" s="56"/>
      <c r="AU311" s="56"/>
      <c r="AV311" s="106"/>
      <c r="AW311" s="56"/>
      <c r="AX311" s="10"/>
      <c r="AY311" s="56"/>
      <c r="AZ311" s="56"/>
      <c r="BA311" s="56"/>
      <c r="BB311" s="56"/>
      <c r="BJ311" s="145"/>
      <c r="CD311" s="145"/>
      <c r="CT311" s="145"/>
    </row>
    <row r="312" spans="1:98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68"/>
      <c r="R312" s="56"/>
      <c r="S312" s="162"/>
      <c r="T312" s="106"/>
      <c r="U312" s="10"/>
      <c r="V312" s="56"/>
      <c r="W312" s="56"/>
      <c r="X312" s="56"/>
      <c r="Y312" s="56"/>
      <c r="Z312" s="56"/>
      <c r="AA312" s="172"/>
      <c r="AB312" s="56"/>
      <c r="AC312" s="56"/>
      <c r="AD312" s="106"/>
      <c r="AE312" s="56"/>
      <c r="AF312" s="56"/>
      <c r="AG312" s="56"/>
      <c r="AH312" s="56"/>
      <c r="AI312" s="56"/>
      <c r="AJ312" s="56"/>
      <c r="AK312" s="106"/>
      <c r="AL312" s="56"/>
      <c r="AM312" s="56"/>
      <c r="AN312" s="56"/>
      <c r="AO312" s="56"/>
      <c r="AP312" s="56"/>
      <c r="AQ312" s="56"/>
      <c r="AR312" s="56"/>
      <c r="AS312" s="106"/>
      <c r="AT312" s="56"/>
      <c r="AU312" s="56"/>
      <c r="AV312" s="106"/>
      <c r="AW312" s="56"/>
      <c r="AX312" s="10"/>
      <c r="AY312" s="56"/>
      <c r="AZ312" s="56"/>
      <c r="BA312" s="56"/>
      <c r="BB312" s="56"/>
      <c r="BJ312" s="145"/>
      <c r="CD312" s="145"/>
      <c r="CT312" s="145"/>
    </row>
    <row r="313" spans="1:98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68"/>
      <c r="R313" s="56"/>
      <c r="S313" s="162"/>
      <c r="T313" s="106"/>
      <c r="U313" s="10"/>
      <c r="V313" s="56"/>
      <c r="W313" s="56"/>
      <c r="X313" s="56"/>
      <c r="Y313" s="56"/>
      <c r="Z313" s="56"/>
      <c r="AA313" s="172"/>
      <c r="AB313" s="56"/>
      <c r="AC313" s="56"/>
      <c r="AD313" s="106"/>
      <c r="AE313" s="56"/>
      <c r="AF313" s="56"/>
      <c r="AG313" s="56"/>
      <c r="AH313" s="56"/>
      <c r="AI313" s="56"/>
      <c r="AJ313" s="56"/>
      <c r="AK313" s="106"/>
      <c r="AL313" s="56"/>
      <c r="AM313" s="56"/>
      <c r="AN313" s="56"/>
      <c r="AO313" s="56"/>
      <c r="AP313" s="56"/>
      <c r="AQ313" s="56"/>
      <c r="AR313" s="56"/>
      <c r="AS313" s="106"/>
      <c r="AT313" s="56"/>
      <c r="AU313" s="56"/>
      <c r="AV313" s="106"/>
      <c r="AW313" s="56"/>
      <c r="AX313" s="10"/>
      <c r="AY313" s="56"/>
      <c r="AZ313" s="56"/>
      <c r="BA313" s="56"/>
      <c r="BB313" s="56"/>
      <c r="BJ313" s="145"/>
      <c r="CD313" s="145"/>
      <c r="CT313" s="145"/>
    </row>
    <row r="314" spans="1:98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68"/>
      <c r="R314" s="56"/>
      <c r="S314" s="162"/>
      <c r="T314" s="106"/>
      <c r="U314" s="10"/>
      <c r="V314" s="56"/>
      <c r="W314" s="56"/>
      <c r="X314" s="56"/>
      <c r="Y314" s="56"/>
      <c r="Z314" s="56"/>
      <c r="AA314" s="172"/>
      <c r="AB314" s="56"/>
      <c r="AC314" s="56"/>
      <c r="AD314" s="106"/>
      <c r="AE314" s="56"/>
      <c r="AF314" s="56"/>
      <c r="AG314" s="56"/>
      <c r="AH314" s="56"/>
      <c r="AI314" s="56"/>
      <c r="AJ314" s="56"/>
      <c r="AK314" s="106"/>
      <c r="AL314" s="56"/>
      <c r="AM314" s="56"/>
      <c r="AN314" s="56"/>
      <c r="AO314" s="56"/>
      <c r="AP314" s="56"/>
      <c r="AQ314" s="56"/>
      <c r="AR314" s="56"/>
      <c r="AS314" s="106"/>
      <c r="AT314" s="56"/>
      <c r="AU314" s="56"/>
      <c r="AV314" s="106"/>
      <c r="AW314" s="56"/>
      <c r="AX314" s="10"/>
      <c r="AY314" s="56"/>
      <c r="AZ314" s="56"/>
      <c r="BA314" s="56"/>
      <c r="BB314" s="56"/>
      <c r="BJ314" s="145"/>
      <c r="CD314" s="145"/>
      <c r="CT314" s="145"/>
    </row>
    <row r="315" spans="1:98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68"/>
      <c r="R315" s="56"/>
      <c r="S315" s="162"/>
      <c r="T315" s="106"/>
      <c r="U315" s="10"/>
      <c r="V315" s="56"/>
      <c r="W315" s="56"/>
      <c r="X315" s="56"/>
      <c r="Y315" s="56"/>
      <c r="Z315" s="56"/>
      <c r="AA315" s="172"/>
      <c r="AB315" s="56"/>
      <c r="AC315" s="56"/>
      <c r="AD315" s="106"/>
      <c r="AE315" s="56"/>
      <c r="AF315" s="56"/>
      <c r="AG315" s="56"/>
      <c r="AH315" s="56"/>
      <c r="AI315" s="56"/>
      <c r="AJ315" s="56"/>
      <c r="AK315" s="106"/>
      <c r="AL315" s="56"/>
      <c r="AM315" s="56"/>
      <c r="AN315" s="56"/>
      <c r="AO315" s="56"/>
      <c r="AP315" s="56"/>
      <c r="AQ315" s="56"/>
      <c r="AR315" s="56"/>
      <c r="AS315" s="106"/>
      <c r="AT315" s="56"/>
      <c r="AU315" s="56"/>
      <c r="AV315" s="106"/>
      <c r="AW315" s="56"/>
      <c r="AX315" s="10"/>
      <c r="AY315" s="56"/>
      <c r="AZ315" s="56"/>
      <c r="BA315" s="56"/>
      <c r="BB315" s="56"/>
      <c r="BJ315" s="145"/>
      <c r="CD315" s="145"/>
      <c r="CT315" s="145"/>
    </row>
    <row r="316" spans="1:98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68"/>
      <c r="R316" s="56"/>
      <c r="S316" s="162"/>
      <c r="T316" s="106"/>
      <c r="U316" s="10"/>
      <c r="V316" s="56"/>
      <c r="W316" s="56"/>
      <c r="X316" s="56"/>
      <c r="Y316" s="56"/>
      <c r="Z316" s="56"/>
      <c r="AA316" s="172"/>
      <c r="AB316" s="56"/>
      <c r="AC316" s="56"/>
      <c r="AD316" s="106"/>
      <c r="AE316" s="56"/>
      <c r="AF316" s="56"/>
      <c r="AG316" s="56"/>
      <c r="AH316" s="56"/>
      <c r="AI316" s="56"/>
      <c r="AJ316" s="56"/>
      <c r="AK316" s="106"/>
      <c r="AL316" s="56"/>
      <c r="AM316" s="56"/>
      <c r="AN316" s="56"/>
      <c r="AO316" s="56"/>
      <c r="AP316" s="56"/>
      <c r="AQ316" s="56"/>
      <c r="AR316" s="56"/>
      <c r="AS316" s="106"/>
      <c r="AT316" s="56"/>
      <c r="AU316" s="56"/>
      <c r="AV316" s="106"/>
      <c r="AW316" s="56"/>
      <c r="AX316" s="10"/>
      <c r="AY316" s="56"/>
      <c r="AZ316" s="56"/>
      <c r="BA316" s="56"/>
      <c r="BB316" s="56"/>
      <c r="BJ316" s="145"/>
      <c r="CD316" s="145"/>
      <c r="CT316" s="145"/>
    </row>
    <row r="317" spans="1:98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68"/>
      <c r="R317" s="56"/>
      <c r="S317" s="162"/>
      <c r="T317" s="106"/>
      <c r="U317" s="10"/>
      <c r="V317" s="56"/>
      <c r="W317" s="56"/>
      <c r="X317" s="56"/>
      <c r="Y317" s="56"/>
      <c r="Z317" s="56"/>
      <c r="AA317" s="172"/>
      <c r="AB317" s="56"/>
      <c r="AC317" s="56"/>
      <c r="AD317" s="106"/>
      <c r="AE317" s="56"/>
      <c r="AF317" s="56"/>
      <c r="AG317" s="56"/>
      <c r="AH317" s="56"/>
      <c r="AI317" s="56"/>
      <c r="AJ317" s="56"/>
      <c r="AK317" s="106"/>
      <c r="AL317" s="56"/>
      <c r="AM317" s="56"/>
      <c r="AN317" s="56"/>
      <c r="AO317" s="56"/>
      <c r="AP317" s="56"/>
      <c r="AQ317" s="56"/>
      <c r="AR317" s="56"/>
      <c r="AS317" s="106"/>
      <c r="AT317" s="56"/>
      <c r="AU317" s="56"/>
      <c r="AV317" s="106"/>
      <c r="AW317" s="56"/>
      <c r="AX317" s="10"/>
      <c r="AY317" s="56"/>
      <c r="AZ317" s="56"/>
      <c r="BA317" s="56"/>
      <c r="BB317" s="56"/>
      <c r="BJ317" s="145"/>
      <c r="CD317" s="145"/>
      <c r="CT317" s="145"/>
    </row>
    <row r="318" spans="1:98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68"/>
      <c r="R318" s="56"/>
      <c r="S318" s="162"/>
      <c r="T318" s="106"/>
      <c r="U318" s="10"/>
      <c r="V318" s="56"/>
      <c r="W318" s="56"/>
      <c r="X318" s="56"/>
      <c r="Y318" s="56"/>
      <c r="Z318" s="56"/>
      <c r="AA318" s="172"/>
      <c r="AB318" s="56"/>
      <c r="AC318" s="56"/>
      <c r="AD318" s="106"/>
      <c r="AE318" s="56"/>
      <c r="AF318" s="56"/>
      <c r="AG318" s="56"/>
      <c r="AH318" s="56"/>
      <c r="AI318" s="56"/>
      <c r="AJ318" s="56"/>
      <c r="AK318" s="106"/>
      <c r="AL318" s="56"/>
      <c r="AM318" s="56"/>
      <c r="AN318" s="56"/>
      <c r="AO318" s="56"/>
      <c r="AP318" s="56"/>
      <c r="AQ318" s="56"/>
      <c r="AR318" s="56"/>
      <c r="AS318" s="106"/>
      <c r="AT318" s="56"/>
      <c r="AU318" s="56"/>
      <c r="AV318" s="106"/>
      <c r="AW318" s="56"/>
      <c r="AX318" s="10"/>
      <c r="AY318" s="56"/>
      <c r="AZ318" s="56"/>
      <c r="BA318" s="56"/>
      <c r="BB318" s="56"/>
      <c r="BJ318" s="145"/>
      <c r="CD318" s="145"/>
      <c r="CT318" s="145"/>
    </row>
    <row r="319" spans="1:98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68"/>
      <c r="R319" s="56"/>
      <c r="S319" s="162"/>
      <c r="T319" s="106"/>
      <c r="U319" s="10"/>
      <c r="V319" s="56"/>
      <c r="W319" s="56"/>
      <c r="X319" s="56"/>
      <c r="Y319" s="56"/>
      <c r="Z319" s="56"/>
      <c r="AA319" s="172"/>
      <c r="AB319" s="56"/>
      <c r="AC319" s="56"/>
      <c r="AD319" s="106"/>
      <c r="AE319" s="56"/>
      <c r="AF319" s="56"/>
      <c r="AG319" s="56"/>
      <c r="AH319" s="56"/>
      <c r="AI319" s="56"/>
      <c r="AJ319" s="56"/>
      <c r="AK319" s="106"/>
      <c r="AL319" s="56"/>
      <c r="AM319" s="56"/>
      <c r="AN319" s="56"/>
      <c r="AO319" s="56"/>
      <c r="AP319" s="56"/>
      <c r="AQ319" s="56"/>
      <c r="AR319" s="56"/>
      <c r="AS319" s="106"/>
      <c r="AT319" s="56"/>
      <c r="AU319" s="56"/>
      <c r="AV319" s="106"/>
      <c r="AW319" s="56"/>
      <c r="AX319" s="10"/>
      <c r="AY319" s="56"/>
      <c r="AZ319" s="56"/>
      <c r="BA319" s="56"/>
      <c r="BB319" s="56"/>
      <c r="BJ319" s="145"/>
      <c r="CD319" s="145"/>
      <c r="CT319" s="145"/>
    </row>
    <row r="320" spans="1:98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68"/>
      <c r="R320" s="56"/>
      <c r="S320" s="162"/>
      <c r="T320" s="106"/>
      <c r="U320" s="10"/>
      <c r="V320" s="56"/>
      <c r="W320" s="56"/>
      <c r="X320" s="56"/>
      <c r="Y320" s="56"/>
      <c r="Z320" s="56"/>
      <c r="AA320" s="172"/>
      <c r="AB320" s="56"/>
      <c r="AC320" s="56"/>
      <c r="AD320" s="106"/>
      <c r="AE320" s="56"/>
      <c r="AF320" s="56"/>
      <c r="AG320" s="56"/>
      <c r="AH320" s="56"/>
      <c r="AI320" s="56"/>
      <c r="AJ320" s="56"/>
      <c r="AK320" s="106"/>
      <c r="AL320" s="56"/>
      <c r="AM320" s="56"/>
      <c r="AN320" s="56"/>
      <c r="AO320" s="56"/>
      <c r="AP320" s="56"/>
      <c r="AQ320" s="56"/>
      <c r="AR320" s="56"/>
      <c r="AS320" s="106"/>
      <c r="AT320" s="56"/>
      <c r="AU320" s="56"/>
      <c r="AV320" s="106"/>
      <c r="AW320" s="56"/>
      <c r="AX320" s="10"/>
      <c r="AY320" s="56"/>
      <c r="AZ320" s="56"/>
      <c r="BA320" s="56"/>
      <c r="BB320" s="56"/>
      <c r="BJ320" s="145"/>
      <c r="CD320" s="145"/>
      <c r="CT320" s="145"/>
    </row>
    <row r="321" spans="1:98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68"/>
      <c r="R321" s="56"/>
      <c r="S321" s="162"/>
      <c r="T321" s="106"/>
      <c r="U321" s="10"/>
      <c r="V321" s="56"/>
      <c r="W321" s="56"/>
      <c r="X321" s="56"/>
      <c r="Y321" s="56"/>
      <c r="Z321" s="56"/>
      <c r="AA321" s="172"/>
      <c r="AB321" s="56"/>
      <c r="AC321" s="56"/>
      <c r="AD321" s="106"/>
      <c r="AE321" s="56"/>
      <c r="AF321" s="56"/>
      <c r="AG321" s="56"/>
      <c r="AH321" s="56"/>
      <c r="AI321" s="56"/>
      <c r="AJ321" s="56"/>
      <c r="AK321" s="106"/>
      <c r="AL321" s="56"/>
      <c r="AM321" s="56"/>
      <c r="AN321" s="56"/>
      <c r="AO321" s="56"/>
      <c r="AP321" s="56"/>
      <c r="AQ321" s="56"/>
      <c r="AR321" s="56"/>
      <c r="AS321" s="106"/>
      <c r="AT321" s="56"/>
      <c r="AU321" s="56"/>
      <c r="AV321" s="106"/>
      <c r="AW321" s="56"/>
      <c r="AX321" s="10"/>
      <c r="AY321" s="56"/>
      <c r="AZ321" s="56"/>
      <c r="BA321" s="56"/>
      <c r="BB321" s="56"/>
      <c r="BJ321" s="145"/>
      <c r="CD321" s="145"/>
      <c r="CT321" s="145"/>
    </row>
    <row r="322" spans="1:98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68"/>
      <c r="R322" s="56"/>
      <c r="S322" s="162"/>
      <c r="T322" s="106"/>
      <c r="U322" s="10"/>
      <c r="V322" s="56"/>
      <c r="W322" s="56"/>
      <c r="X322" s="56"/>
      <c r="Y322" s="56"/>
      <c r="Z322" s="56"/>
      <c r="AA322" s="172"/>
      <c r="AB322" s="56"/>
      <c r="AC322" s="56"/>
      <c r="AD322" s="106"/>
      <c r="AE322" s="56"/>
      <c r="AF322" s="56"/>
      <c r="AG322" s="56"/>
      <c r="AH322" s="56"/>
      <c r="AI322" s="56"/>
      <c r="AJ322" s="56"/>
      <c r="AK322" s="106"/>
      <c r="AL322" s="56"/>
      <c r="AM322" s="56"/>
      <c r="AN322" s="56"/>
      <c r="AO322" s="56"/>
      <c r="AP322" s="56"/>
      <c r="AQ322" s="56"/>
      <c r="AR322" s="56"/>
      <c r="AS322" s="106"/>
      <c r="AT322" s="56"/>
      <c r="AU322" s="56"/>
      <c r="AV322" s="106"/>
      <c r="AW322" s="56"/>
      <c r="AX322" s="10"/>
      <c r="AY322" s="56"/>
      <c r="AZ322" s="56"/>
      <c r="BA322" s="56"/>
      <c r="BB322" s="56"/>
      <c r="BJ322" s="145"/>
      <c r="CD322" s="145"/>
      <c r="CT322" s="145"/>
    </row>
    <row r="323" spans="1:98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68"/>
      <c r="R323" s="56"/>
      <c r="S323" s="162"/>
      <c r="T323" s="106"/>
      <c r="U323" s="10"/>
      <c r="V323" s="56"/>
      <c r="W323" s="56"/>
      <c r="X323" s="56"/>
      <c r="Y323" s="56"/>
      <c r="Z323" s="56"/>
      <c r="AA323" s="172"/>
      <c r="AB323" s="56"/>
      <c r="AC323" s="56"/>
      <c r="AD323" s="106"/>
      <c r="AE323" s="56"/>
      <c r="AF323" s="56"/>
      <c r="AG323" s="56"/>
      <c r="AH323" s="56"/>
      <c r="AI323" s="56"/>
      <c r="AJ323" s="56"/>
      <c r="AK323" s="106"/>
      <c r="AL323" s="56"/>
      <c r="AM323" s="56"/>
      <c r="AN323" s="56"/>
      <c r="AO323" s="56"/>
      <c r="AP323" s="56"/>
      <c r="AQ323" s="56"/>
      <c r="AR323" s="56"/>
      <c r="AS323" s="106"/>
      <c r="AT323" s="56"/>
      <c r="AU323" s="56"/>
      <c r="AV323" s="106"/>
      <c r="AW323" s="56"/>
      <c r="AX323" s="10"/>
      <c r="AY323" s="56"/>
      <c r="AZ323" s="56"/>
      <c r="BA323" s="56"/>
      <c r="BB323" s="56"/>
      <c r="BJ323" s="145"/>
      <c r="CD323" s="145"/>
      <c r="CT323" s="145"/>
    </row>
    <row r="324" spans="1:98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68"/>
      <c r="R324" s="56"/>
      <c r="S324" s="162"/>
      <c r="T324" s="106"/>
      <c r="U324" s="10"/>
      <c r="V324" s="56"/>
      <c r="W324" s="56"/>
      <c r="X324" s="56"/>
      <c r="Y324" s="56"/>
      <c r="Z324" s="56"/>
      <c r="AA324" s="172"/>
      <c r="AB324" s="56"/>
      <c r="AC324" s="56"/>
      <c r="AD324" s="106"/>
      <c r="AE324" s="56"/>
      <c r="AF324" s="56"/>
      <c r="AG324" s="56"/>
      <c r="AH324" s="56"/>
      <c r="AI324" s="56"/>
      <c r="AJ324" s="56"/>
      <c r="AK324" s="106"/>
      <c r="AL324" s="56"/>
      <c r="AM324" s="56"/>
      <c r="AN324" s="56"/>
      <c r="AO324" s="56"/>
      <c r="AP324" s="56"/>
      <c r="AQ324" s="56"/>
      <c r="AR324" s="56"/>
      <c r="AS324" s="106"/>
      <c r="AT324" s="56"/>
      <c r="AU324" s="56"/>
      <c r="AV324" s="106"/>
      <c r="AW324" s="56"/>
      <c r="AX324" s="10"/>
      <c r="AY324" s="56"/>
      <c r="AZ324" s="56"/>
      <c r="BA324" s="56"/>
      <c r="BB324" s="56"/>
      <c r="BJ324" s="145"/>
      <c r="CD324" s="145"/>
      <c r="CT324" s="145"/>
    </row>
    <row r="325" spans="1:98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68"/>
      <c r="R325" s="56"/>
      <c r="S325" s="162"/>
      <c r="T325" s="106"/>
      <c r="U325" s="10"/>
      <c r="V325" s="56"/>
      <c r="W325" s="56"/>
      <c r="X325" s="56"/>
      <c r="Y325" s="56"/>
      <c r="Z325" s="56"/>
      <c r="AA325" s="172"/>
      <c r="AB325" s="56"/>
      <c r="AC325" s="56"/>
      <c r="AD325" s="106"/>
      <c r="AE325" s="56"/>
      <c r="AF325" s="56"/>
      <c r="AG325" s="56"/>
      <c r="AH325" s="56"/>
      <c r="AI325" s="56"/>
      <c r="AJ325" s="56"/>
      <c r="AK325" s="106"/>
      <c r="AL325" s="56"/>
      <c r="AM325" s="56"/>
      <c r="AN325" s="56"/>
      <c r="AO325" s="56"/>
      <c r="AP325" s="56"/>
      <c r="AQ325" s="56"/>
      <c r="AR325" s="56"/>
      <c r="AS325" s="106"/>
      <c r="AT325" s="56"/>
      <c r="AU325" s="56"/>
      <c r="AV325" s="106"/>
      <c r="AW325" s="56"/>
      <c r="AX325" s="10"/>
      <c r="AY325" s="56"/>
      <c r="AZ325" s="56"/>
      <c r="BA325" s="56"/>
      <c r="BB325" s="56"/>
      <c r="BJ325" s="145"/>
      <c r="CD325" s="145"/>
      <c r="CT325" s="145"/>
    </row>
    <row r="326" spans="1:98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68"/>
      <c r="R326" s="56"/>
      <c r="S326" s="162"/>
      <c r="T326" s="106"/>
      <c r="U326" s="10"/>
      <c r="V326" s="56"/>
      <c r="W326" s="56"/>
      <c r="X326" s="56"/>
      <c r="Y326" s="56"/>
      <c r="Z326" s="56"/>
      <c r="AA326" s="172"/>
      <c r="AB326" s="56"/>
      <c r="AC326" s="56"/>
      <c r="AD326" s="106"/>
      <c r="AE326" s="56"/>
      <c r="AF326" s="56"/>
      <c r="AG326" s="56"/>
      <c r="AH326" s="56"/>
      <c r="AI326" s="56"/>
      <c r="AJ326" s="56"/>
      <c r="AK326" s="106"/>
      <c r="AL326" s="56"/>
      <c r="AM326" s="56"/>
      <c r="AN326" s="56"/>
      <c r="AO326" s="56"/>
      <c r="AP326" s="56"/>
      <c r="AQ326" s="56"/>
      <c r="AR326" s="56"/>
      <c r="AS326" s="106"/>
      <c r="AT326" s="56"/>
      <c r="AU326" s="56"/>
      <c r="AV326" s="106"/>
      <c r="AW326" s="56"/>
      <c r="AX326" s="10"/>
      <c r="AY326" s="56"/>
      <c r="AZ326" s="56"/>
      <c r="BA326" s="56"/>
      <c r="BB326" s="56"/>
      <c r="BJ326" s="145"/>
      <c r="CD326" s="145"/>
      <c r="CT326" s="145"/>
    </row>
    <row r="327" spans="1:98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68"/>
      <c r="R327" s="56"/>
      <c r="S327" s="162"/>
      <c r="T327" s="106"/>
      <c r="U327" s="10"/>
      <c r="V327" s="56"/>
      <c r="W327" s="56"/>
      <c r="X327" s="56"/>
      <c r="Y327" s="56"/>
      <c r="Z327" s="56"/>
      <c r="AA327" s="172"/>
      <c r="AB327" s="56"/>
      <c r="AC327" s="56"/>
      <c r="AD327" s="106"/>
      <c r="AE327" s="56"/>
      <c r="AF327" s="56"/>
      <c r="AG327" s="56"/>
      <c r="AH327" s="56"/>
      <c r="AI327" s="56"/>
      <c r="AJ327" s="56"/>
      <c r="AK327" s="106"/>
      <c r="AL327" s="56"/>
      <c r="AM327" s="56"/>
      <c r="AN327" s="56"/>
      <c r="AO327" s="56"/>
      <c r="AP327" s="56"/>
      <c r="AQ327" s="56"/>
      <c r="AR327" s="56"/>
      <c r="AS327" s="106"/>
      <c r="AT327" s="56"/>
      <c r="AU327" s="56"/>
      <c r="AV327" s="106"/>
      <c r="AW327" s="56"/>
      <c r="AX327" s="10"/>
      <c r="AY327" s="56"/>
      <c r="AZ327" s="56"/>
      <c r="BA327" s="56"/>
      <c r="BB327" s="56"/>
      <c r="BJ327" s="145"/>
      <c r="CD327" s="145"/>
      <c r="CT327" s="145"/>
    </row>
    <row r="328" spans="1:98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68"/>
      <c r="R328" s="56"/>
      <c r="S328" s="162"/>
      <c r="T328" s="106"/>
      <c r="U328" s="10"/>
      <c r="V328" s="56"/>
      <c r="W328" s="56"/>
      <c r="X328" s="56"/>
      <c r="Y328" s="56"/>
      <c r="Z328" s="56"/>
      <c r="AA328" s="172"/>
      <c r="AB328" s="56"/>
      <c r="AC328" s="56"/>
      <c r="AD328" s="106"/>
      <c r="AE328" s="56"/>
      <c r="AF328" s="56"/>
      <c r="AG328" s="56"/>
      <c r="AH328" s="56"/>
      <c r="AI328" s="56"/>
      <c r="AJ328" s="56"/>
      <c r="AK328" s="106"/>
      <c r="AL328" s="56"/>
      <c r="AM328" s="56"/>
      <c r="AN328" s="56"/>
      <c r="AO328" s="56"/>
      <c r="AP328" s="56"/>
      <c r="AQ328" s="56"/>
      <c r="AR328" s="56"/>
      <c r="AS328" s="106"/>
      <c r="AT328" s="56"/>
      <c r="AU328" s="56"/>
      <c r="AV328" s="106"/>
      <c r="AW328" s="56"/>
      <c r="AX328" s="10"/>
      <c r="AY328" s="56"/>
      <c r="AZ328" s="56"/>
      <c r="BA328" s="56"/>
      <c r="BB328" s="56"/>
      <c r="BJ328" s="145"/>
      <c r="CD328" s="145"/>
      <c r="CT328" s="145"/>
    </row>
    <row r="329" spans="1:98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68"/>
      <c r="R329" s="56"/>
      <c r="S329" s="162"/>
      <c r="T329" s="106"/>
      <c r="U329" s="10"/>
      <c r="V329" s="56"/>
      <c r="W329" s="56"/>
      <c r="X329" s="56"/>
      <c r="Y329" s="56"/>
      <c r="Z329" s="56"/>
      <c r="AA329" s="172"/>
      <c r="AB329" s="56"/>
      <c r="AC329" s="56"/>
      <c r="AD329" s="106"/>
      <c r="AE329" s="56"/>
      <c r="AF329" s="56"/>
      <c r="AG329" s="56"/>
      <c r="AH329" s="56"/>
      <c r="AI329" s="56"/>
      <c r="AJ329" s="56"/>
      <c r="AK329" s="106"/>
      <c r="AL329" s="56"/>
      <c r="AM329" s="56"/>
      <c r="AN329" s="56"/>
      <c r="AO329" s="56"/>
      <c r="AP329" s="56"/>
      <c r="AQ329" s="56"/>
      <c r="AR329" s="56"/>
      <c r="AS329" s="106"/>
      <c r="AT329" s="56"/>
      <c r="AU329" s="56"/>
      <c r="AV329" s="106"/>
      <c r="AW329" s="56"/>
      <c r="AX329" s="10"/>
      <c r="AY329" s="56"/>
      <c r="AZ329" s="56"/>
      <c r="BA329" s="56"/>
      <c r="BB329" s="56"/>
      <c r="BJ329" s="145"/>
      <c r="CD329" s="145"/>
      <c r="CT329" s="145"/>
    </row>
    <row r="330" spans="1:98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68"/>
      <c r="R330" s="56"/>
      <c r="S330" s="162"/>
      <c r="T330" s="106"/>
      <c r="U330" s="10"/>
      <c r="V330" s="56"/>
      <c r="W330" s="56"/>
      <c r="X330" s="56"/>
      <c r="Y330" s="56"/>
      <c r="Z330" s="56"/>
      <c r="AA330" s="172"/>
      <c r="AB330" s="56"/>
      <c r="AC330" s="56"/>
      <c r="AD330" s="106"/>
      <c r="AE330" s="56"/>
      <c r="AF330" s="56"/>
      <c r="AG330" s="56"/>
      <c r="AH330" s="56"/>
      <c r="AI330" s="56"/>
      <c r="AJ330" s="56"/>
      <c r="AK330" s="106"/>
      <c r="AL330" s="56"/>
      <c r="AM330" s="56"/>
      <c r="AN330" s="56"/>
      <c r="AO330" s="56"/>
      <c r="AP330" s="56"/>
      <c r="AQ330" s="56"/>
      <c r="AR330" s="56"/>
      <c r="AS330" s="106"/>
      <c r="AT330" s="56"/>
      <c r="AU330" s="56"/>
      <c r="AV330" s="106"/>
      <c r="AW330" s="56"/>
      <c r="AX330" s="10"/>
      <c r="AY330" s="56"/>
      <c r="AZ330" s="56"/>
      <c r="BA330" s="56"/>
      <c r="BB330" s="56"/>
      <c r="BJ330" s="145"/>
      <c r="CD330" s="145"/>
      <c r="CT330" s="145"/>
    </row>
    <row r="331" spans="1:98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68"/>
      <c r="R331" s="56"/>
      <c r="S331" s="162"/>
      <c r="T331" s="106"/>
      <c r="U331" s="10"/>
      <c r="V331" s="56"/>
      <c r="W331" s="56"/>
      <c r="X331" s="56"/>
      <c r="Y331" s="56"/>
      <c r="Z331" s="56"/>
      <c r="AA331" s="172"/>
      <c r="AB331" s="56"/>
      <c r="AC331" s="56"/>
      <c r="AD331" s="106"/>
      <c r="AE331" s="56"/>
      <c r="AF331" s="56"/>
      <c r="AG331" s="56"/>
      <c r="AH331" s="56"/>
      <c r="AI331" s="56"/>
      <c r="AJ331" s="56"/>
      <c r="AK331" s="106"/>
      <c r="AL331" s="56"/>
      <c r="AM331" s="56"/>
      <c r="AN331" s="56"/>
      <c r="AO331" s="56"/>
      <c r="AP331" s="56"/>
      <c r="AQ331" s="56"/>
      <c r="AR331" s="56"/>
      <c r="AS331" s="106"/>
      <c r="AT331" s="56"/>
      <c r="AU331" s="56"/>
      <c r="AV331" s="106"/>
      <c r="AW331" s="56"/>
      <c r="AX331" s="10"/>
      <c r="AY331" s="56"/>
      <c r="AZ331" s="56"/>
      <c r="BA331" s="56"/>
      <c r="BB331" s="56"/>
      <c r="BJ331" s="145"/>
      <c r="CD331" s="145"/>
      <c r="CT331" s="145"/>
    </row>
    <row r="332" spans="1:98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68"/>
      <c r="R332" s="56"/>
      <c r="S332" s="162"/>
      <c r="T332" s="106"/>
      <c r="U332" s="10"/>
      <c r="V332" s="56"/>
      <c r="W332" s="56"/>
      <c r="X332" s="56"/>
      <c r="Y332" s="56"/>
      <c r="Z332" s="56"/>
      <c r="AA332" s="172"/>
      <c r="AB332" s="56"/>
      <c r="AC332" s="56"/>
      <c r="AD332" s="106"/>
      <c r="AE332" s="56"/>
      <c r="AF332" s="56"/>
      <c r="AG332" s="56"/>
      <c r="AH332" s="56"/>
      <c r="AI332" s="56"/>
      <c r="AJ332" s="56"/>
      <c r="AK332" s="106"/>
      <c r="AL332" s="56"/>
      <c r="AM332" s="56"/>
      <c r="AN332" s="56"/>
      <c r="AO332" s="56"/>
      <c r="AP332" s="56"/>
      <c r="AQ332" s="56"/>
      <c r="AR332" s="56"/>
      <c r="AS332" s="106"/>
      <c r="AT332" s="56"/>
      <c r="AU332" s="56"/>
      <c r="AV332" s="106"/>
      <c r="AW332" s="56"/>
      <c r="AX332" s="10"/>
      <c r="AY332" s="56"/>
      <c r="AZ332" s="56"/>
      <c r="BA332" s="56"/>
      <c r="BB332" s="56"/>
      <c r="BJ332" s="145"/>
      <c r="CD332" s="145"/>
      <c r="CT332" s="145"/>
    </row>
    <row r="333" spans="1:98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68"/>
      <c r="R333" s="56"/>
      <c r="S333" s="162"/>
      <c r="T333" s="106"/>
      <c r="U333" s="10"/>
      <c r="V333" s="56"/>
      <c r="W333" s="56"/>
      <c r="X333" s="56"/>
      <c r="Y333" s="56"/>
      <c r="Z333" s="56"/>
      <c r="AA333" s="172"/>
      <c r="AB333" s="56"/>
      <c r="AC333" s="56"/>
      <c r="AD333" s="106"/>
      <c r="AE333" s="56"/>
      <c r="AF333" s="56"/>
      <c r="AG333" s="56"/>
      <c r="AH333" s="56"/>
      <c r="AI333" s="56"/>
      <c r="AJ333" s="56"/>
      <c r="AK333" s="106"/>
      <c r="AL333" s="56"/>
      <c r="AM333" s="56"/>
      <c r="AN333" s="56"/>
      <c r="AO333" s="56"/>
      <c r="AP333" s="56"/>
      <c r="AQ333" s="56"/>
      <c r="AR333" s="56"/>
      <c r="AS333" s="106"/>
      <c r="AT333" s="56"/>
      <c r="AU333" s="56"/>
      <c r="AV333" s="106"/>
      <c r="AW333" s="56"/>
      <c r="AX333" s="10"/>
      <c r="AY333" s="56"/>
      <c r="AZ333" s="56"/>
      <c r="BA333" s="56"/>
      <c r="BB333" s="56"/>
      <c r="BJ333" s="145"/>
      <c r="CD333" s="145"/>
      <c r="CT333" s="145"/>
    </row>
    <row r="334" spans="1:98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68"/>
      <c r="R334" s="56"/>
      <c r="S334" s="162"/>
      <c r="T334" s="106"/>
      <c r="U334" s="10"/>
      <c r="V334" s="56"/>
      <c r="W334" s="56"/>
      <c r="X334" s="56"/>
      <c r="Y334" s="56"/>
      <c r="Z334" s="56"/>
      <c r="AA334" s="172"/>
      <c r="AB334" s="56"/>
      <c r="AC334" s="56"/>
      <c r="AD334" s="106"/>
      <c r="AE334" s="56"/>
      <c r="AF334" s="56"/>
      <c r="AG334" s="56"/>
      <c r="AH334" s="56"/>
      <c r="AI334" s="56"/>
      <c r="AJ334" s="56"/>
      <c r="AK334" s="106"/>
      <c r="AL334" s="56"/>
      <c r="AM334" s="56"/>
      <c r="AN334" s="56"/>
      <c r="AO334" s="56"/>
      <c r="AP334" s="56"/>
      <c r="AQ334" s="56"/>
      <c r="AR334" s="56"/>
      <c r="AS334" s="106"/>
      <c r="AT334" s="56"/>
      <c r="AU334" s="56"/>
      <c r="AV334" s="106"/>
      <c r="AW334" s="56"/>
      <c r="AX334" s="10"/>
      <c r="AY334" s="56"/>
      <c r="AZ334" s="56"/>
      <c r="BA334" s="56"/>
      <c r="BB334" s="56"/>
      <c r="BJ334" s="145"/>
      <c r="CD334" s="145"/>
      <c r="CT334" s="145"/>
    </row>
    <row r="335" spans="1:98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68"/>
      <c r="R335" s="56"/>
      <c r="S335" s="162"/>
      <c r="T335" s="106"/>
      <c r="U335" s="10"/>
      <c r="V335" s="56"/>
      <c r="W335" s="56"/>
      <c r="X335" s="56"/>
      <c r="Y335" s="56"/>
      <c r="Z335" s="56"/>
      <c r="AA335" s="172"/>
      <c r="AB335" s="56"/>
      <c r="AC335" s="56"/>
      <c r="AD335" s="106"/>
      <c r="AE335" s="56"/>
      <c r="AF335" s="56"/>
      <c r="AG335" s="56"/>
      <c r="AH335" s="56"/>
      <c r="AI335" s="56"/>
      <c r="AJ335" s="56"/>
      <c r="AK335" s="106"/>
      <c r="AL335" s="56"/>
      <c r="AM335" s="56"/>
      <c r="AN335" s="56"/>
      <c r="AO335" s="56"/>
      <c r="AP335" s="56"/>
      <c r="AQ335" s="56"/>
      <c r="AR335" s="56"/>
      <c r="AS335" s="106"/>
      <c r="AT335" s="56"/>
      <c r="AU335" s="56"/>
      <c r="AV335" s="106"/>
      <c r="AW335" s="56"/>
      <c r="AX335" s="10"/>
      <c r="AY335" s="56"/>
      <c r="AZ335" s="56"/>
      <c r="BA335" s="56"/>
      <c r="BB335" s="56"/>
      <c r="BJ335" s="145"/>
      <c r="CD335" s="145"/>
      <c r="CT335" s="145"/>
    </row>
    <row r="336" spans="1:98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68"/>
      <c r="R336" s="56"/>
      <c r="S336" s="162"/>
      <c r="T336" s="106"/>
      <c r="U336" s="10"/>
      <c r="V336" s="56"/>
      <c r="W336" s="56"/>
      <c r="X336" s="56"/>
      <c r="Y336" s="56"/>
      <c r="Z336" s="56"/>
      <c r="AA336" s="172"/>
      <c r="AB336" s="56"/>
      <c r="AC336" s="56"/>
      <c r="AD336" s="106"/>
      <c r="AE336" s="56"/>
      <c r="AF336" s="56"/>
      <c r="AG336" s="56"/>
      <c r="AH336" s="56"/>
      <c r="AI336" s="56"/>
      <c r="AJ336" s="56"/>
      <c r="AK336" s="106"/>
      <c r="AL336" s="56"/>
      <c r="AM336" s="56"/>
      <c r="AN336" s="56"/>
      <c r="AO336" s="56"/>
      <c r="AP336" s="56"/>
      <c r="AQ336" s="56"/>
      <c r="AR336" s="56"/>
      <c r="AS336" s="106"/>
      <c r="AT336" s="56"/>
      <c r="AU336" s="56"/>
      <c r="AV336" s="106"/>
      <c r="AW336" s="56"/>
      <c r="AX336" s="10"/>
      <c r="AY336" s="56"/>
      <c r="AZ336" s="56"/>
      <c r="BA336" s="56"/>
      <c r="BB336" s="56"/>
      <c r="BJ336" s="145"/>
      <c r="CD336" s="145"/>
      <c r="CT336" s="145"/>
    </row>
    <row r="337" spans="1:98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68"/>
      <c r="R337" s="56"/>
      <c r="S337" s="162"/>
      <c r="T337" s="106"/>
      <c r="U337" s="10"/>
      <c r="V337" s="56"/>
      <c r="W337" s="56"/>
      <c r="X337" s="56"/>
      <c r="Y337" s="56"/>
      <c r="Z337" s="56"/>
      <c r="AA337" s="172"/>
      <c r="AB337" s="56"/>
      <c r="AC337" s="56"/>
      <c r="AD337" s="106"/>
      <c r="AE337" s="56"/>
      <c r="AF337" s="56"/>
      <c r="AG337" s="56"/>
      <c r="AH337" s="56"/>
      <c r="AI337" s="56"/>
      <c r="AJ337" s="56"/>
      <c r="AK337" s="106"/>
      <c r="AL337" s="56"/>
      <c r="AM337" s="56"/>
      <c r="AN337" s="56"/>
      <c r="AO337" s="56"/>
      <c r="AP337" s="56"/>
      <c r="AQ337" s="56"/>
      <c r="AR337" s="56"/>
      <c r="AS337" s="106"/>
      <c r="AT337" s="56"/>
      <c r="AU337" s="56"/>
      <c r="AV337" s="106"/>
      <c r="AW337" s="56"/>
      <c r="AX337" s="10"/>
      <c r="AY337" s="56"/>
      <c r="AZ337" s="56"/>
      <c r="BA337" s="56"/>
      <c r="BB337" s="56"/>
      <c r="BJ337" s="145"/>
      <c r="CD337" s="145"/>
      <c r="CT337" s="145"/>
    </row>
    <row r="338" spans="1:98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68"/>
      <c r="R338" s="56"/>
      <c r="S338" s="162"/>
      <c r="T338" s="106"/>
      <c r="U338" s="10"/>
      <c r="V338" s="56"/>
      <c r="W338" s="56"/>
      <c r="X338" s="56"/>
      <c r="Y338" s="56"/>
      <c r="Z338" s="56"/>
      <c r="AA338" s="172"/>
      <c r="AB338" s="56"/>
      <c r="AC338" s="56"/>
      <c r="AD338" s="106"/>
      <c r="AE338" s="56"/>
      <c r="AF338" s="56"/>
      <c r="AG338" s="56"/>
      <c r="AH338" s="56"/>
      <c r="AI338" s="56"/>
      <c r="AJ338" s="56"/>
      <c r="AK338" s="106"/>
      <c r="AL338" s="56"/>
      <c r="AM338" s="56"/>
      <c r="AN338" s="56"/>
      <c r="AO338" s="56"/>
      <c r="AP338" s="56"/>
      <c r="AQ338" s="56"/>
      <c r="AR338" s="56"/>
      <c r="AS338" s="106"/>
      <c r="AT338" s="56"/>
      <c r="AU338" s="56"/>
      <c r="AV338" s="106"/>
      <c r="AW338" s="56"/>
      <c r="AX338" s="10"/>
      <c r="AY338" s="56"/>
      <c r="AZ338" s="56"/>
      <c r="BA338" s="56"/>
      <c r="BB338" s="56"/>
      <c r="BJ338" s="145"/>
      <c r="CD338" s="145"/>
      <c r="CT338" s="145"/>
    </row>
    <row r="339" spans="1:98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68"/>
      <c r="R339" s="56"/>
      <c r="S339" s="162"/>
      <c r="T339" s="106"/>
      <c r="U339" s="10"/>
      <c r="V339" s="56"/>
      <c r="W339" s="56"/>
      <c r="X339" s="56"/>
      <c r="Y339" s="56"/>
      <c r="Z339" s="56"/>
      <c r="AA339" s="172"/>
      <c r="AB339" s="56"/>
      <c r="AC339" s="56"/>
      <c r="AD339" s="106"/>
      <c r="AE339" s="56"/>
      <c r="AF339" s="56"/>
      <c r="AG339" s="56"/>
      <c r="AH339" s="56"/>
      <c r="AI339" s="56"/>
      <c r="AJ339" s="56"/>
      <c r="AK339" s="106"/>
      <c r="AL339" s="56"/>
      <c r="AM339" s="56"/>
      <c r="AN339" s="56"/>
      <c r="AO339" s="56"/>
      <c r="AP339" s="56"/>
      <c r="AQ339" s="56"/>
      <c r="AR339" s="56"/>
      <c r="AS339" s="106"/>
      <c r="AT339" s="56"/>
      <c r="AU339" s="56"/>
      <c r="AV339" s="106"/>
      <c r="AW339" s="56"/>
      <c r="AX339" s="10"/>
      <c r="AY339" s="56"/>
      <c r="AZ339" s="56"/>
      <c r="BA339" s="56"/>
      <c r="BB339" s="56"/>
      <c r="BJ339" s="145"/>
      <c r="CD339" s="145"/>
      <c r="CT339" s="145"/>
    </row>
    <row r="340" spans="1:98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68"/>
      <c r="R340" s="56"/>
      <c r="S340" s="162"/>
      <c r="T340" s="106"/>
      <c r="U340" s="10"/>
      <c r="V340" s="56"/>
      <c r="W340" s="56"/>
      <c r="X340" s="56"/>
      <c r="Y340" s="56"/>
      <c r="Z340" s="56"/>
      <c r="AA340" s="172"/>
      <c r="AB340" s="56"/>
      <c r="AC340" s="56"/>
      <c r="AD340" s="106"/>
      <c r="AE340" s="56"/>
      <c r="AF340" s="56"/>
      <c r="AG340" s="56"/>
      <c r="AH340" s="56"/>
      <c r="AI340" s="56"/>
      <c r="AJ340" s="56"/>
      <c r="AK340" s="106"/>
      <c r="AL340" s="56"/>
      <c r="AM340" s="56"/>
      <c r="AN340" s="56"/>
      <c r="AO340" s="56"/>
      <c r="AP340" s="56"/>
      <c r="AQ340" s="56"/>
      <c r="AR340" s="56"/>
      <c r="AS340" s="106"/>
      <c r="AT340" s="56"/>
      <c r="AU340" s="56"/>
      <c r="AV340" s="106"/>
      <c r="AW340" s="56"/>
      <c r="AX340" s="10"/>
      <c r="AY340" s="56"/>
      <c r="AZ340" s="56"/>
      <c r="BA340" s="56"/>
      <c r="BB340" s="56"/>
      <c r="BJ340" s="145"/>
      <c r="CD340" s="145"/>
      <c r="CT340" s="145"/>
    </row>
    <row r="341" spans="1:98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68"/>
      <c r="R341" s="56"/>
      <c r="S341" s="162"/>
      <c r="T341" s="106"/>
      <c r="U341" s="10"/>
      <c r="V341" s="56"/>
      <c r="W341" s="56"/>
      <c r="X341" s="56"/>
      <c r="Y341" s="56"/>
      <c r="Z341" s="56"/>
      <c r="AA341" s="172"/>
      <c r="AB341" s="56"/>
      <c r="AC341" s="56"/>
      <c r="AD341" s="106"/>
      <c r="AE341" s="56"/>
      <c r="AF341" s="56"/>
      <c r="AG341" s="56"/>
      <c r="AH341" s="56"/>
      <c r="AI341" s="56"/>
      <c r="AJ341" s="56"/>
      <c r="AK341" s="106"/>
      <c r="AL341" s="56"/>
      <c r="AM341" s="56"/>
      <c r="AN341" s="56"/>
      <c r="AO341" s="56"/>
      <c r="AP341" s="56"/>
      <c r="AQ341" s="56"/>
      <c r="AR341" s="56"/>
      <c r="AS341" s="106"/>
      <c r="AT341" s="56"/>
      <c r="AU341" s="56"/>
      <c r="AV341" s="106"/>
      <c r="AW341" s="56"/>
      <c r="AX341" s="10"/>
      <c r="AY341" s="56"/>
      <c r="AZ341" s="56"/>
      <c r="BA341" s="56"/>
      <c r="BB341" s="56"/>
      <c r="BJ341" s="145"/>
      <c r="CD341" s="145"/>
      <c r="CT341" s="145"/>
    </row>
    <row r="342" spans="1:98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68"/>
      <c r="R342" s="56"/>
      <c r="S342" s="162"/>
      <c r="T342" s="106"/>
      <c r="U342" s="10"/>
      <c r="V342" s="56"/>
      <c r="W342" s="56"/>
      <c r="X342" s="56"/>
      <c r="Y342" s="56"/>
      <c r="Z342" s="56"/>
      <c r="AA342" s="172"/>
      <c r="AB342" s="56"/>
      <c r="AC342" s="56"/>
      <c r="AD342" s="106"/>
      <c r="AE342" s="56"/>
      <c r="AF342" s="56"/>
      <c r="AG342" s="56"/>
      <c r="AH342" s="56"/>
      <c r="AI342" s="56"/>
      <c r="AJ342" s="56"/>
      <c r="AK342" s="106"/>
      <c r="AL342" s="56"/>
      <c r="AM342" s="56"/>
      <c r="AN342" s="56"/>
      <c r="AO342" s="56"/>
      <c r="AP342" s="56"/>
      <c r="AQ342" s="56"/>
      <c r="AR342" s="56"/>
      <c r="AS342" s="106"/>
      <c r="AT342" s="56"/>
      <c r="AU342" s="56"/>
      <c r="AV342" s="106"/>
      <c r="AW342" s="56"/>
      <c r="AX342" s="10"/>
      <c r="AY342" s="56"/>
      <c r="AZ342" s="56"/>
      <c r="BA342" s="56"/>
      <c r="BB342" s="56"/>
      <c r="BJ342" s="145"/>
      <c r="CD342" s="145"/>
      <c r="CT342" s="145"/>
    </row>
    <row r="343" spans="1:98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68"/>
      <c r="R343" s="56"/>
      <c r="S343" s="162"/>
      <c r="T343" s="106"/>
      <c r="U343" s="10"/>
      <c r="V343" s="56"/>
      <c r="W343" s="56"/>
      <c r="X343" s="56"/>
      <c r="Y343" s="56"/>
      <c r="Z343" s="56"/>
      <c r="AA343" s="172"/>
      <c r="AB343" s="56"/>
      <c r="AC343" s="56"/>
      <c r="AD343" s="106"/>
      <c r="AE343" s="56"/>
      <c r="AF343" s="56"/>
      <c r="AG343" s="56"/>
      <c r="AH343" s="56"/>
      <c r="AI343" s="56"/>
      <c r="AJ343" s="56"/>
      <c r="AK343" s="106"/>
      <c r="AL343" s="56"/>
      <c r="AM343" s="56"/>
      <c r="AN343" s="56"/>
      <c r="AO343" s="56"/>
      <c r="AP343" s="56"/>
      <c r="AQ343" s="56"/>
      <c r="AR343" s="56"/>
      <c r="AS343" s="106"/>
      <c r="AT343" s="56"/>
      <c r="AU343" s="56"/>
      <c r="AV343" s="106"/>
      <c r="AW343" s="56"/>
      <c r="AX343" s="10"/>
      <c r="AY343" s="56"/>
      <c r="AZ343" s="56"/>
      <c r="BA343" s="56"/>
      <c r="BB343" s="56"/>
      <c r="BJ343" s="145"/>
      <c r="CD343" s="145"/>
      <c r="CT343" s="145"/>
    </row>
    <row r="344" spans="1:98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68"/>
      <c r="R344" s="56"/>
      <c r="S344" s="162"/>
      <c r="T344" s="106"/>
      <c r="U344" s="10"/>
      <c r="V344" s="56"/>
      <c r="W344" s="56"/>
      <c r="X344" s="56"/>
      <c r="Y344" s="56"/>
      <c r="Z344" s="56"/>
      <c r="AA344" s="172"/>
      <c r="AB344" s="56"/>
      <c r="AC344" s="56"/>
      <c r="AD344" s="106"/>
      <c r="AE344" s="56"/>
      <c r="AF344" s="56"/>
      <c r="AG344" s="56"/>
      <c r="AH344" s="56"/>
      <c r="AI344" s="56"/>
      <c r="AJ344" s="56"/>
      <c r="AK344" s="106"/>
      <c r="AL344" s="56"/>
      <c r="AM344" s="56"/>
      <c r="AN344" s="56"/>
      <c r="AO344" s="56"/>
      <c r="AP344" s="56"/>
      <c r="AQ344" s="56"/>
      <c r="AR344" s="56"/>
      <c r="AS344" s="106"/>
      <c r="AT344" s="56"/>
      <c r="AU344" s="56"/>
      <c r="AV344" s="106"/>
      <c r="AW344" s="56"/>
      <c r="AX344" s="10"/>
      <c r="AY344" s="56"/>
      <c r="AZ344" s="56"/>
      <c r="BA344" s="56"/>
      <c r="BB344" s="56"/>
      <c r="BJ344" s="145"/>
      <c r="CD344" s="145"/>
      <c r="CT344" s="145"/>
    </row>
    <row r="345" spans="1:98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68"/>
      <c r="R345" s="56"/>
      <c r="S345" s="162"/>
      <c r="T345" s="106"/>
      <c r="U345" s="10"/>
      <c r="V345" s="56"/>
      <c r="W345" s="56"/>
      <c r="X345" s="56"/>
      <c r="Y345" s="56"/>
      <c r="Z345" s="56"/>
      <c r="AA345" s="172"/>
      <c r="AB345" s="56"/>
      <c r="AC345" s="56"/>
      <c r="AD345" s="106"/>
      <c r="AE345" s="56"/>
      <c r="AF345" s="56"/>
      <c r="AG345" s="56"/>
      <c r="AH345" s="56"/>
      <c r="AI345" s="56"/>
      <c r="AJ345" s="56"/>
      <c r="AK345" s="106"/>
      <c r="AL345" s="56"/>
      <c r="AM345" s="56"/>
      <c r="AN345" s="56"/>
      <c r="AO345" s="56"/>
      <c r="AP345" s="56"/>
      <c r="AQ345" s="56"/>
      <c r="AR345" s="56"/>
      <c r="AS345" s="106"/>
      <c r="AT345" s="56"/>
      <c r="AU345" s="56"/>
      <c r="AV345" s="106"/>
      <c r="AW345" s="56"/>
      <c r="AX345" s="10"/>
      <c r="AY345" s="56"/>
      <c r="AZ345" s="56"/>
      <c r="BA345" s="56"/>
      <c r="BB345" s="56"/>
      <c r="BJ345" s="145"/>
      <c r="CD345" s="145"/>
      <c r="CT345" s="145"/>
    </row>
    <row r="346" spans="1:98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68"/>
      <c r="R346" s="56"/>
      <c r="S346" s="162"/>
      <c r="T346" s="106"/>
      <c r="U346" s="10"/>
      <c r="V346" s="56"/>
      <c r="W346" s="56"/>
      <c r="X346" s="56"/>
      <c r="Y346" s="56"/>
      <c r="Z346" s="56"/>
      <c r="AA346" s="172"/>
      <c r="AB346" s="56"/>
      <c r="AC346" s="56"/>
      <c r="AD346" s="106"/>
      <c r="AE346" s="56"/>
      <c r="AF346" s="56"/>
      <c r="AG346" s="56"/>
      <c r="AH346" s="56"/>
      <c r="AI346" s="56"/>
      <c r="AJ346" s="56"/>
      <c r="AK346" s="106"/>
      <c r="AL346" s="56"/>
      <c r="AM346" s="56"/>
      <c r="AN346" s="56"/>
      <c r="AO346" s="56"/>
      <c r="AP346" s="56"/>
      <c r="AQ346" s="56"/>
      <c r="AR346" s="56"/>
      <c r="AS346" s="106"/>
      <c r="AT346" s="56"/>
      <c r="AU346" s="56"/>
      <c r="AV346" s="106"/>
      <c r="AW346" s="56"/>
      <c r="AX346" s="10"/>
      <c r="AY346" s="56"/>
      <c r="AZ346" s="56"/>
      <c r="BA346" s="56"/>
      <c r="BB346" s="56"/>
      <c r="BJ346" s="145"/>
      <c r="CD346" s="145"/>
      <c r="CT346" s="145"/>
    </row>
    <row r="347" spans="1:98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68"/>
      <c r="R347" s="56"/>
      <c r="S347" s="162"/>
      <c r="T347" s="106"/>
      <c r="U347" s="10"/>
      <c r="V347" s="56"/>
      <c r="W347" s="56"/>
      <c r="X347" s="56"/>
      <c r="Y347" s="56"/>
      <c r="Z347" s="56"/>
      <c r="AA347" s="172"/>
      <c r="AB347" s="56"/>
      <c r="AC347" s="56"/>
      <c r="AD347" s="106"/>
      <c r="AE347" s="56"/>
      <c r="AF347" s="56"/>
      <c r="AG347" s="56"/>
      <c r="AH347" s="56"/>
      <c r="AI347" s="56"/>
      <c r="AJ347" s="56"/>
      <c r="AK347" s="106"/>
      <c r="AL347" s="56"/>
      <c r="AM347" s="56"/>
      <c r="AN347" s="56"/>
      <c r="AO347" s="56"/>
      <c r="AP347" s="56"/>
      <c r="AQ347" s="56"/>
      <c r="AR347" s="56"/>
      <c r="AS347" s="106"/>
      <c r="AT347" s="56"/>
      <c r="AU347" s="56"/>
      <c r="AV347" s="106"/>
      <c r="AW347" s="56"/>
      <c r="AX347" s="10"/>
      <c r="AY347" s="56"/>
      <c r="AZ347" s="56"/>
      <c r="BA347" s="56"/>
      <c r="BB347" s="56"/>
      <c r="BJ347" s="145"/>
      <c r="CD347" s="145"/>
      <c r="CT347" s="145"/>
    </row>
    <row r="348" spans="1:98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68"/>
      <c r="R348" s="56"/>
      <c r="S348" s="162"/>
      <c r="T348" s="106"/>
      <c r="U348" s="10"/>
      <c r="V348" s="56"/>
      <c r="W348" s="56"/>
      <c r="X348" s="56"/>
      <c r="Y348" s="56"/>
      <c r="Z348" s="56"/>
      <c r="AA348" s="172"/>
      <c r="AB348" s="56"/>
      <c r="AC348" s="56"/>
      <c r="AD348" s="106"/>
      <c r="AE348" s="56"/>
      <c r="AF348" s="56"/>
      <c r="AG348" s="56"/>
      <c r="AH348" s="56"/>
      <c r="AI348" s="56"/>
      <c r="AJ348" s="56"/>
      <c r="AK348" s="106"/>
      <c r="AL348" s="56"/>
      <c r="AM348" s="56"/>
      <c r="AN348" s="56"/>
      <c r="AO348" s="56"/>
      <c r="AP348" s="56"/>
      <c r="AQ348" s="56"/>
      <c r="AR348" s="56"/>
      <c r="AS348" s="106"/>
      <c r="AT348" s="56"/>
      <c r="AU348" s="56"/>
      <c r="AV348" s="106"/>
      <c r="AW348" s="56"/>
      <c r="AX348" s="10"/>
      <c r="AY348" s="56"/>
      <c r="AZ348" s="56"/>
      <c r="BA348" s="56"/>
      <c r="BB348" s="56"/>
      <c r="BJ348" s="145"/>
      <c r="CD348" s="145"/>
      <c r="CT348" s="145"/>
    </row>
    <row r="349" spans="1:98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68"/>
      <c r="R349" s="56"/>
      <c r="S349" s="162"/>
      <c r="T349" s="106"/>
      <c r="U349" s="10"/>
      <c r="V349" s="56"/>
      <c r="W349" s="56"/>
      <c r="X349" s="56"/>
      <c r="Y349" s="56"/>
      <c r="Z349" s="56"/>
      <c r="AA349" s="172"/>
      <c r="AB349" s="56"/>
      <c r="AC349" s="56"/>
      <c r="AD349" s="106"/>
      <c r="AE349" s="56"/>
      <c r="AF349" s="56"/>
      <c r="AG349" s="56"/>
      <c r="AH349" s="56"/>
      <c r="AI349" s="56"/>
      <c r="AJ349" s="56"/>
      <c r="AK349" s="106"/>
      <c r="AL349" s="56"/>
      <c r="AM349" s="56"/>
      <c r="AN349" s="56"/>
      <c r="AO349" s="56"/>
      <c r="AP349" s="56"/>
      <c r="AQ349" s="56"/>
      <c r="AR349" s="56"/>
      <c r="AS349" s="106"/>
      <c r="AT349" s="56"/>
      <c r="AU349" s="56"/>
      <c r="AV349" s="106"/>
      <c r="AW349" s="56"/>
      <c r="AX349" s="10"/>
      <c r="AY349" s="56"/>
      <c r="AZ349" s="56"/>
      <c r="BA349" s="56"/>
      <c r="BB349" s="56"/>
      <c r="BJ349" s="145"/>
      <c r="CD349" s="145"/>
      <c r="CT349" s="145"/>
    </row>
    <row r="350" spans="1:98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68"/>
      <c r="R350" s="56"/>
      <c r="S350" s="162"/>
      <c r="T350" s="106"/>
      <c r="U350" s="10"/>
      <c r="V350" s="56"/>
      <c r="W350" s="56"/>
      <c r="X350" s="56"/>
      <c r="Y350" s="56"/>
      <c r="Z350" s="56"/>
      <c r="AA350" s="172"/>
      <c r="AB350" s="56"/>
      <c r="AC350" s="56"/>
      <c r="AD350" s="106"/>
      <c r="AE350" s="56"/>
      <c r="AF350" s="56"/>
      <c r="AG350" s="56"/>
      <c r="AH350" s="56"/>
      <c r="AI350" s="56"/>
      <c r="AJ350" s="56"/>
      <c r="AK350" s="106"/>
      <c r="AL350" s="56"/>
      <c r="AM350" s="56"/>
      <c r="AN350" s="56"/>
      <c r="AO350" s="56"/>
      <c r="AP350" s="56"/>
      <c r="AQ350" s="56"/>
      <c r="AR350" s="56"/>
      <c r="AS350" s="106"/>
      <c r="AT350" s="56"/>
      <c r="AU350" s="56"/>
      <c r="AV350" s="106"/>
      <c r="AW350" s="56"/>
      <c r="AX350" s="10"/>
      <c r="AY350" s="56"/>
      <c r="AZ350" s="56"/>
      <c r="BA350" s="56"/>
      <c r="BB350" s="56"/>
      <c r="BJ350" s="145"/>
      <c r="CD350" s="145"/>
      <c r="CT350" s="145"/>
    </row>
    <row r="351" spans="1:98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68"/>
      <c r="R351" s="56"/>
      <c r="S351" s="162"/>
      <c r="T351" s="106"/>
      <c r="U351" s="10"/>
      <c r="V351" s="56"/>
      <c r="W351" s="56"/>
      <c r="X351" s="56"/>
      <c r="Y351" s="56"/>
      <c r="Z351" s="56"/>
      <c r="AA351" s="172"/>
      <c r="AB351" s="56"/>
      <c r="AC351" s="56"/>
      <c r="AD351" s="106"/>
      <c r="AE351" s="56"/>
      <c r="AF351" s="56"/>
      <c r="AG351" s="56"/>
      <c r="AH351" s="56"/>
      <c r="AI351" s="56"/>
      <c r="AJ351" s="56"/>
      <c r="AK351" s="106"/>
      <c r="AL351" s="56"/>
      <c r="AM351" s="56"/>
      <c r="AN351" s="56"/>
      <c r="AO351" s="56"/>
      <c r="AP351" s="56"/>
      <c r="AQ351" s="56"/>
      <c r="AR351" s="56"/>
      <c r="AS351" s="106"/>
      <c r="AT351" s="56"/>
      <c r="AU351" s="56"/>
      <c r="AV351" s="106"/>
      <c r="AW351" s="56"/>
      <c r="AX351" s="10"/>
      <c r="AY351" s="56"/>
      <c r="AZ351" s="56"/>
      <c r="BA351" s="56"/>
      <c r="BB351" s="56"/>
      <c r="BJ351" s="145"/>
      <c r="CD351" s="145"/>
      <c r="CT351" s="145"/>
    </row>
    <row r="352" spans="1:98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68"/>
      <c r="R352" s="56"/>
      <c r="S352" s="162"/>
      <c r="T352" s="106"/>
      <c r="U352" s="10"/>
      <c r="V352" s="56"/>
      <c r="W352" s="56"/>
      <c r="X352" s="56"/>
      <c r="Y352" s="56"/>
      <c r="Z352" s="56"/>
      <c r="AA352" s="172"/>
      <c r="AB352" s="56"/>
      <c r="AC352" s="56"/>
      <c r="AD352" s="106"/>
      <c r="AE352" s="56"/>
      <c r="AF352" s="56"/>
      <c r="AG352" s="56"/>
      <c r="AH352" s="56"/>
      <c r="AI352" s="56"/>
      <c r="AJ352" s="56"/>
      <c r="AK352" s="106"/>
      <c r="AL352" s="56"/>
      <c r="AM352" s="56"/>
      <c r="AN352" s="56"/>
      <c r="AO352" s="56"/>
      <c r="AP352" s="56"/>
      <c r="AQ352" s="56"/>
      <c r="AR352" s="56"/>
      <c r="AS352" s="106"/>
      <c r="AT352" s="56"/>
      <c r="AU352" s="56"/>
      <c r="AV352" s="106"/>
      <c r="AW352" s="56"/>
      <c r="AX352" s="10"/>
      <c r="AY352" s="56"/>
      <c r="AZ352" s="56"/>
      <c r="BA352" s="56"/>
      <c r="BB352" s="56"/>
      <c r="BJ352" s="145"/>
      <c r="CD352" s="145"/>
      <c r="CT352" s="145"/>
    </row>
    <row r="353" spans="1:98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68"/>
      <c r="R353" s="56"/>
      <c r="S353" s="162"/>
      <c r="T353" s="106"/>
      <c r="U353" s="10"/>
      <c r="V353" s="56"/>
      <c r="W353" s="56"/>
      <c r="X353" s="56"/>
      <c r="Y353" s="56"/>
      <c r="Z353" s="56"/>
      <c r="AA353" s="172"/>
      <c r="AB353" s="56"/>
      <c r="AC353" s="56"/>
      <c r="AD353" s="106"/>
      <c r="AE353" s="56"/>
      <c r="AF353" s="56"/>
      <c r="AG353" s="56"/>
      <c r="AH353" s="56"/>
      <c r="AI353" s="56"/>
      <c r="AJ353" s="56"/>
      <c r="AK353" s="106"/>
      <c r="AL353" s="56"/>
      <c r="AM353" s="56"/>
      <c r="AN353" s="56"/>
      <c r="AO353" s="56"/>
      <c r="AP353" s="56"/>
      <c r="AQ353" s="56"/>
      <c r="AR353" s="56"/>
      <c r="AS353" s="106"/>
      <c r="AT353" s="56"/>
      <c r="AU353" s="56"/>
      <c r="AV353" s="106"/>
      <c r="AW353" s="56"/>
      <c r="AX353" s="10"/>
      <c r="AY353" s="56"/>
      <c r="AZ353" s="56"/>
      <c r="BA353" s="56"/>
      <c r="BB353" s="56"/>
      <c r="BJ353" s="145"/>
      <c r="CD353" s="145"/>
      <c r="CT353" s="145"/>
    </row>
    <row r="354" spans="1:98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68"/>
      <c r="R354" s="56"/>
      <c r="S354" s="162"/>
      <c r="T354" s="106"/>
      <c r="U354" s="10"/>
      <c r="V354" s="56"/>
      <c r="W354" s="56"/>
      <c r="X354" s="56"/>
      <c r="Y354" s="56"/>
      <c r="Z354" s="56"/>
      <c r="AA354" s="172"/>
      <c r="AB354" s="56"/>
      <c r="AC354" s="56"/>
      <c r="AD354" s="106"/>
      <c r="AE354" s="56"/>
      <c r="AF354" s="56"/>
      <c r="AG354" s="56"/>
      <c r="AH354" s="56"/>
      <c r="AI354" s="56"/>
      <c r="AJ354" s="56"/>
      <c r="AK354" s="106"/>
      <c r="AL354" s="56"/>
      <c r="AM354" s="56"/>
      <c r="AN354" s="56"/>
      <c r="AO354" s="56"/>
      <c r="AP354" s="56"/>
      <c r="AQ354" s="56"/>
      <c r="AR354" s="56"/>
      <c r="AS354" s="106"/>
      <c r="AT354" s="56"/>
      <c r="AU354" s="56"/>
      <c r="AV354" s="106"/>
      <c r="AW354" s="56"/>
      <c r="AX354" s="10"/>
      <c r="AY354" s="56"/>
      <c r="AZ354" s="56"/>
      <c r="BA354" s="56"/>
      <c r="BB354" s="56"/>
      <c r="BJ354" s="145"/>
      <c r="CD354" s="145"/>
      <c r="CT354" s="145"/>
    </row>
    <row r="355" spans="1:98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68"/>
      <c r="R355" s="56"/>
      <c r="S355" s="162"/>
      <c r="T355" s="106"/>
      <c r="U355" s="10"/>
      <c r="V355" s="56"/>
      <c r="W355" s="56"/>
      <c r="X355" s="56"/>
      <c r="Y355" s="56"/>
      <c r="Z355" s="56"/>
      <c r="AA355" s="172"/>
      <c r="AB355" s="56"/>
      <c r="AC355" s="56"/>
      <c r="AD355" s="106"/>
      <c r="AE355" s="56"/>
      <c r="AF355" s="56"/>
      <c r="AG355" s="56"/>
      <c r="AH355" s="56"/>
      <c r="AI355" s="56"/>
      <c r="AJ355" s="56"/>
      <c r="AK355" s="106"/>
      <c r="AL355" s="56"/>
      <c r="AM355" s="56"/>
      <c r="AN355" s="56"/>
      <c r="AO355" s="56"/>
      <c r="AP355" s="56"/>
      <c r="AQ355" s="56"/>
      <c r="AR355" s="56"/>
      <c r="AS355" s="106"/>
      <c r="AT355" s="56"/>
      <c r="AU355" s="56"/>
      <c r="AV355" s="106"/>
      <c r="AW355" s="56"/>
      <c r="AX355" s="10"/>
      <c r="AY355" s="56"/>
      <c r="AZ355" s="56"/>
      <c r="BA355" s="56"/>
      <c r="BB355" s="56"/>
      <c r="BJ355" s="145"/>
      <c r="CD355" s="145"/>
      <c r="CT355" s="145"/>
    </row>
    <row r="356" spans="1:98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68"/>
      <c r="R356" s="56"/>
      <c r="S356" s="162"/>
      <c r="T356" s="106"/>
      <c r="U356" s="10"/>
      <c r="V356" s="56"/>
      <c r="W356" s="56"/>
      <c r="X356" s="56"/>
      <c r="Y356" s="56"/>
      <c r="Z356" s="56"/>
      <c r="AA356" s="172"/>
      <c r="AB356" s="56"/>
      <c r="AC356" s="56"/>
      <c r="AD356" s="106"/>
      <c r="AE356" s="56"/>
      <c r="AF356" s="56"/>
      <c r="AG356" s="56"/>
      <c r="AH356" s="56"/>
      <c r="AI356" s="56"/>
      <c r="AJ356" s="56"/>
      <c r="AK356" s="106"/>
      <c r="AL356" s="56"/>
      <c r="AM356" s="56"/>
      <c r="AN356" s="56"/>
      <c r="AO356" s="56"/>
      <c r="AP356" s="56"/>
      <c r="AQ356" s="56"/>
      <c r="AR356" s="56"/>
      <c r="AS356" s="106"/>
      <c r="AT356" s="56"/>
      <c r="AU356" s="56"/>
      <c r="AV356" s="106"/>
      <c r="AW356" s="56"/>
      <c r="AX356" s="10"/>
      <c r="AY356" s="56"/>
      <c r="AZ356" s="56"/>
      <c r="BA356" s="56"/>
      <c r="BB356" s="56"/>
      <c r="BJ356" s="145"/>
      <c r="CD356" s="145"/>
      <c r="CT356" s="145"/>
    </row>
    <row r="357" spans="1:98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68"/>
      <c r="R357" s="56"/>
      <c r="S357" s="162"/>
      <c r="T357" s="106"/>
      <c r="U357" s="10"/>
      <c r="V357" s="56"/>
      <c r="W357" s="56"/>
      <c r="X357" s="56"/>
      <c r="Y357" s="56"/>
      <c r="Z357" s="56"/>
      <c r="AA357" s="172"/>
      <c r="AB357" s="56"/>
      <c r="AC357" s="56"/>
      <c r="AD357" s="106"/>
      <c r="AE357" s="56"/>
      <c r="AF357" s="56"/>
      <c r="AG357" s="56"/>
      <c r="AH357" s="56"/>
      <c r="AI357" s="56"/>
      <c r="AJ357" s="56"/>
      <c r="AK357" s="106"/>
      <c r="AL357" s="56"/>
      <c r="AM357" s="56"/>
      <c r="AN357" s="56"/>
      <c r="AO357" s="56"/>
      <c r="AP357" s="56"/>
      <c r="AQ357" s="56"/>
      <c r="AR357" s="56"/>
      <c r="AS357" s="106"/>
      <c r="AT357" s="56"/>
      <c r="AU357" s="56"/>
      <c r="AV357" s="106"/>
      <c r="AW357" s="56"/>
      <c r="AX357" s="10"/>
      <c r="AY357" s="56"/>
      <c r="AZ357" s="56"/>
      <c r="BA357" s="56"/>
      <c r="BB357" s="56"/>
      <c r="BJ357" s="145"/>
      <c r="CD357" s="145"/>
      <c r="CT357" s="145"/>
    </row>
    <row r="358" spans="1:98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68"/>
      <c r="R358" s="56"/>
      <c r="S358" s="162"/>
      <c r="T358" s="106"/>
      <c r="U358" s="10"/>
      <c r="V358" s="56"/>
      <c r="W358" s="56"/>
      <c r="X358" s="56"/>
      <c r="Y358" s="56"/>
      <c r="Z358" s="56"/>
      <c r="AA358" s="172"/>
      <c r="AB358" s="56"/>
      <c r="AC358" s="56"/>
      <c r="AD358" s="106"/>
      <c r="AE358" s="56"/>
      <c r="AF358" s="56"/>
      <c r="AG358" s="56"/>
      <c r="AH358" s="56"/>
      <c r="AI358" s="56"/>
      <c r="AJ358" s="56"/>
      <c r="AK358" s="106"/>
      <c r="AL358" s="56"/>
      <c r="AM358" s="56"/>
      <c r="AN358" s="56"/>
      <c r="AO358" s="56"/>
      <c r="AP358" s="56"/>
      <c r="AQ358" s="56"/>
      <c r="AR358" s="56"/>
      <c r="AS358" s="106"/>
      <c r="AT358" s="56"/>
      <c r="AU358" s="56"/>
      <c r="AV358" s="106"/>
      <c r="AW358" s="56"/>
      <c r="AX358" s="10"/>
      <c r="AY358" s="56"/>
      <c r="AZ358" s="56"/>
      <c r="BA358" s="56"/>
      <c r="BB358" s="56"/>
      <c r="BJ358" s="145"/>
      <c r="CD358" s="145"/>
      <c r="CT358" s="145"/>
    </row>
    <row r="359" spans="1:98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68"/>
      <c r="R359" s="56"/>
      <c r="S359" s="162"/>
      <c r="T359" s="106"/>
      <c r="U359" s="10"/>
      <c r="V359" s="56"/>
      <c r="W359" s="56"/>
      <c r="X359" s="56"/>
      <c r="Y359" s="56"/>
      <c r="Z359" s="56"/>
      <c r="AA359" s="172"/>
      <c r="AB359" s="56"/>
      <c r="AC359" s="56"/>
      <c r="AD359" s="106"/>
      <c r="AE359" s="56"/>
      <c r="AF359" s="56"/>
      <c r="AG359" s="56"/>
      <c r="AH359" s="56"/>
      <c r="AI359" s="56"/>
      <c r="AJ359" s="56"/>
      <c r="AK359" s="106"/>
      <c r="AL359" s="56"/>
      <c r="AM359" s="56"/>
      <c r="AN359" s="56"/>
      <c r="AO359" s="56"/>
      <c r="AP359" s="56"/>
      <c r="AQ359" s="56"/>
      <c r="AR359" s="56"/>
      <c r="AS359" s="106"/>
      <c r="AT359" s="56"/>
      <c r="AU359" s="56"/>
      <c r="AV359" s="106"/>
      <c r="AW359" s="56"/>
      <c r="AX359" s="10"/>
      <c r="AY359" s="56"/>
      <c r="AZ359" s="56"/>
      <c r="BA359" s="56"/>
      <c r="BB359" s="56"/>
      <c r="BJ359" s="145"/>
      <c r="CD359" s="145"/>
      <c r="CT359" s="145"/>
    </row>
    <row r="360" spans="1:98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68"/>
      <c r="R360" s="56"/>
      <c r="S360" s="162"/>
      <c r="T360" s="106"/>
      <c r="U360" s="10"/>
      <c r="V360" s="56"/>
      <c r="W360" s="56"/>
      <c r="X360" s="56"/>
      <c r="Y360" s="56"/>
      <c r="Z360" s="56"/>
      <c r="AA360" s="172"/>
      <c r="AB360" s="56"/>
      <c r="AC360" s="56"/>
      <c r="AD360" s="106"/>
      <c r="AE360" s="56"/>
      <c r="AF360" s="56"/>
      <c r="AG360" s="56"/>
      <c r="AH360" s="56"/>
      <c r="AI360" s="56"/>
      <c r="AJ360" s="56"/>
      <c r="AK360" s="106"/>
      <c r="AL360" s="56"/>
      <c r="AM360" s="56"/>
      <c r="AN360" s="56"/>
      <c r="AO360" s="56"/>
      <c r="AP360" s="56"/>
      <c r="AQ360" s="56"/>
      <c r="AR360" s="56"/>
      <c r="AS360" s="106"/>
      <c r="AT360" s="56"/>
      <c r="AU360" s="56"/>
      <c r="AV360" s="106"/>
      <c r="AW360" s="56"/>
      <c r="AX360" s="10"/>
      <c r="AY360" s="56"/>
      <c r="AZ360" s="56"/>
      <c r="BA360" s="56"/>
      <c r="BB360" s="56"/>
      <c r="BJ360" s="145"/>
      <c r="CD360" s="145"/>
      <c r="CT360" s="145"/>
    </row>
    <row r="361" spans="1:98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68"/>
      <c r="R361" s="56"/>
      <c r="S361" s="162"/>
      <c r="T361" s="106"/>
      <c r="U361" s="10"/>
      <c r="V361" s="56"/>
      <c r="W361" s="56"/>
      <c r="X361" s="56"/>
      <c r="Y361" s="56"/>
      <c r="Z361" s="56"/>
      <c r="AA361" s="172"/>
      <c r="AB361" s="56"/>
      <c r="AC361" s="56"/>
      <c r="AD361" s="106"/>
      <c r="AE361" s="56"/>
      <c r="AF361" s="56"/>
      <c r="AG361" s="56"/>
      <c r="AH361" s="56"/>
      <c r="AI361" s="56"/>
      <c r="AJ361" s="56"/>
      <c r="AK361" s="106"/>
      <c r="AL361" s="56"/>
      <c r="AM361" s="56"/>
      <c r="AN361" s="56"/>
      <c r="AO361" s="56"/>
      <c r="AP361" s="56"/>
      <c r="AQ361" s="56"/>
      <c r="AR361" s="56"/>
      <c r="AS361" s="106"/>
      <c r="AT361" s="56"/>
      <c r="AU361" s="56"/>
      <c r="AV361" s="106"/>
      <c r="AW361" s="56"/>
      <c r="AX361" s="10"/>
      <c r="AY361" s="56"/>
      <c r="AZ361" s="56"/>
      <c r="BA361" s="56"/>
      <c r="BB361" s="56"/>
      <c r="BJ361" s="145"/>
      <c r="CD361" s="145"/>
      <c r="CT361" s="145"/>
    </row>
    <row r="362" spans="1:98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68"/>
      <c r="R362" s="56"/>
      <c r="S362" s="162"/>
      <c r="T362" s="106"/>
      <c r="U362" s="10"/>
      <c r="V362" s="56"/>
      <c r="W362" s="56"/>
      <c r="X362" s="56"/>
      <c r="Y362" s="56"/>
      <c r="Z362" s="56"/>
      <c r="AA362" s="172"/>
      <c r="AB362" s="56"/>
      <c r="AC362" s="56"/>
      <c r="AD362" s="106"/>
      <c r="AE362" s="56"/>
      <c r="AF362" s="56"/>
      <c r="AG362" s="56"/>
      <c r="AH362" s="56"/>
      <c r="AI362" s="56"/>
      <c r="AJ362" s="56"/>
      <c r="AK362" s="106"/>
      <c r="AL362" s="56"/>
      <c r="AM362" s="56"/>
      <c r="AN362" s="56"/>
      <c r="AO362" s="56"/>
      <c r="AP362" s="56"/>
      <c r="AQ362" s="56"/>
      <c r="AR362" s="56"/>
      <c r="AS362" s="106"/>
      <c r="AT362" s="56"/>
      <c r="AU362" s="56"/>
      <c r="AV362" s="106"/>
      <c r="AW362" s="56"/>
      <c r="AX362" s="10"/>
      <c r="AY362" s="56"/>
      <c r="AZ362" s="56"/>
      <c r="BA362" s="56"/>
      <c r="BB362" s="56"/>
      <c r="BJ362" s="145"/>
      <c r="CD362" s="145"/>
      <c r="CT362" s="145"/>
    </row>
    <row r="363" spans="1:98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68"/>
      <c r="R363" s="56"/>
      <c r="S363" s="162"/>
      <c r="T363" s="106"/>
      <c r="U363" s="10"/>
      <c r="V363" s="56"/>
      <c r="W363" s="56"/>
      <c r="X363" s="56"/>
      <c r="Y363" s="56"/>
      <c r="Z363" s="56"/>
      <c r="AA363" s="172"/>
      <c r="AB363" s="56"/>
      <c r="AC363" s="56"/>
      <c r="AD363" s="106"/>
      <c r="AE363" s="56"/>
      <c r="AF363" s="56"/>
      <c r="AG363" s="56"/>
      <c r="AH363" s="56"/>
      <c r="AI363" s="56"/>
      <c r="AJ363" s="56"/>
      <c r="AK363" s="106"/>
      <c r="AL363" s="56"/>
      <c r="AM363" s="56"/>
      <c r="AN363" s="56"/>
      <c r="AO363" s="56"/>
      <c r="AP363" s="56"/>
      <c r="AQ363" s="56"/>
      <c r="AR363" s="56"/>
      <c r="AS363" s="106"/>
      <c r="AT363" s="56"/>
      <c r="AU363" s="56"/>
      <c r="AV363" s="106"/>
      <c r="AW363" s="56"/>
      <c r="AX363" s="10"/>
      <c r="AY363" s="56"/>
      <c r="AZ363" s="56"/>
      <c r="BA363" s="56"/>
      <c r="BB363" s="56"/>
      <c r="BJ363" s="145"/>
      <c r="CD363" s="145"/>
      <c r="CT363" s="145"/>
    </row>
    <row r="364" spans="1:98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68"/>
      <c r="R364" s="56"/>
      <c r="S364" s="162"/>
      <c r="T364" s="106"/>
      <c r="U364" s="10"/>
      <c r="V364" s="56"/>
      <c r="W364" s="56"/>
      <c r="X364" s="56"/>
      <c r="Y364" s="56"/>
      <c r="Z364" s="56"/>
      <c r="AA364" s="172"/>
      <c r="AB364" s="56"/>
      <c r="AC364" s="56"/>
      <c r="AD364" s="106"/>
      <c r="AE364" s="56"/>
      <c r="AF364" s="56"/>
      <c r="AG364" s="56"/>
      <c r="AH364" s="56"/>
      <c r="AI364" s="56"/>
      <c r="AJ364" s="56"/>
      <c r="AK364" s="106"/>
      <c r="AL364" s="56"/>
      <c r="AM364" s="56"/>
      <c r="AN364" s="56"/>
      <c r="AO364" s="56"/>
      <c r="AP364" s="56"/>
      <c r="AQ364" s="56"/>
      <c r="AR364" s="56"/>
      <c r="AS364" s="106"/>
      <c r="AT364" s="56"/>
      <c r="AU364" s="56"/>
      <c r="AV364" s="106"/>
      <c r="AW364" s="56"/>
      <c r="AX364" s="10"/>
      <c r="AY364" s="56"/>
      <c r="AZ364" s="56"/>
      <c r="BA364" s="56"/>
      <c r="BB364" s="56"/>
      <c r="BJ364" s="145"/>
      <c r="CD364" s="145"/>
      <c r="CT364" s="145"/>
    </row>
    <row r="365" spans="1:98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68"/>
      <c r="R365" s="56"/>
      <c r="S365" s="162"/>
      <c r="T365" s="106"/>
      <c r="U365" s="10"/>
      <c r="V365" s="56"/>
      <c r="W365" s="56"/>
      <c r="X365" s="56"/>
      <c r="Y365" s="56"/>
      <c r="Z365" s="56"/>
      <c r="AA365" s="172"/>
      <c r="AB365" s="56"/>
      <c r="AC365" s="56"/>
      <c r="AD365" s="106"/>
      <c r="AE365" s="56"/>
      <c r="AF365" s="56"/>
      <c r="AG365" s="56"/>
      <c r="AH365" s="56"/>
      <c r="AI365" s="56"/>
      <c r="AJ365" s="56"/>
      <c r="AK365" s="106"/>
      <c r="AL365" s="56"/>
      <c r="AM365" s="56"/>
      <c r="AN365" s="56"/>
      <c r="AO365" s="56"/>
      <c r="AP365" s="56"/>
      <c r="AQ365" s="56"/>
      <c r="AR365" s="56"/>
      <c r="AS365" s="106"/>
      <c r="AT365" s="56"/>
      <c r="AU365" s="56"/>
      <c r="AV365" s="106"/>
      <c r="AW365" s="56"/>
      <c r="AX365" s="10"/>
      <c r="AY365" s="56"/>
      <c r="AZ365" s="56"/>
      <c r="BA365" s="56"/>
      <c r="BB365" s="56"/>
      <c r="BJ365" s="145"/>
      <c r="CD365" s="145"/>
      <c r="CT365" s="145"/>
    </row>
    <row r="366" spans="1:98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68"/>
      <c r="R366" s="56"/>
      <c r="S366" s="162"/>
      <c r="T366" s="106"/>
      <c r="U366" s="10"/>
      <c r="V366" s="56"/>
      <c r="W366" s="56"/>
      <c r="X366" s="56"/>
      <c r="Y366" s="56"/>
      <c r="Z366" s="56"/>
      <c r="AA366" s="172"/>
      <c r="AB366" s="56"/>
      <c r="AC366" s="56"/>
      <c r="AD366" s="106"/>
      <c r="AE366" s="56"/>
      <c r="AF366" s="56"/>
      <c r="AG366" s="56"/>
      <c r="AH366" s="56"/>
      <c r="AI366" s="56"/>
      <c r="AJ366" s="56"/>
      <c r="AK366" s="106"/>
      <c r="AL366" s="56"/>
      <c r="AM366" s="56"/>
      <c r="AN366" s="56"/>
      <c r="AO366" s="56"/>
      <c r="AP366" s="56"/>
      <c r="AQ366" s="56"/>
      <c r="AR366" s="56"/>
      <c r="AS366" s="106"/>
      <c r="AT366" s="56"/>
      <c r="AU366" s="56"/>
      <c r="AV366" s="106"/>
      <c r="AW366" s="56"/>
      <c r="AX366" s="10"/>
      <c r="AY366" s="56"/>
      <c r="AZ366" s="56"/>
      <c r="BA366" s="56"/>
      <c r="BB366" s="56"/>
      <c r="BJ366" s="145"/>
      <c r="CD366" s="145"/>
      <c r="CT366" s="145"/>
    </row>
    <row r="367" spans="1:98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68"/>
      <c r="R367" s="56"/>
      <c r="S367" s="162"/>
      <c r="T367" s="106"/>
      <c r="U367" s="10"/>
      <c r="V367" s="56"/>
      <c r="W367" s="56"/>
      <c r="X367" s="56"/>
      <c r="Y367" s="56"/>
      <c r="Z367" s="56"/>
      <c r="AA367" s="172"/>
      <c r="AB367" s="56"/>
      <c r="AC367" s="56"/>
      <c r="AD367" s="106"/>
      <c r="AE367" s="56"/>
      <c r="AF367" s="56"/>
      <c r="AG367" s="56"/>
      <c r="AH367" s="56"/>
      <c r="AI367" s="56"/>
      <c r="AJ367" s="56"/>
      <c r="AK367" s="106"/>
      <c r="AL367" s="56"/>
      <c r="AM367" s="56"/>
      <c r="AN367" s="56"/>
      <c r="AO367" s="56"/>
      <c r="AP367" s="56"/>
      <c r="AQ367" s="56"/>
      <c r="AR367" s="56"/>
      <c r="AS367" s="106"/>
      <c r="AT367" s="56"/>
      <c r="AU367" s="56"/>
      <c r="AV367" s="106"/>
      <c r="AW367" s="56"/>
      <c r="AX367" s="10"/>
      <c r="AY367" s="56"/>
      <c r="AZ367" s="56"/>
      <c r="BA367" s="56"/>
      <c r="BB367" s="56"/>
      <c r="BJ367" s="145"/>
      <c r="CD367" s="145"/>
      <c r="CT367" s="145"/>
    </row>
    <row r="368" spans="1:98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68"/>
      <c r="R368" s="56"/>
      <c r="S368" s="162"/>
      <c r="T368" s="106"/>
      <c r="U368" s="10"/>
      <c r="V368" s="56"/>
      <c r="W368" s="56"/>
      <c r="X368" s="56"/>
      <c r="Y368" s="56"/>
      <c r="Z368" s="56"/>
      <c r="AA368" s="172"/>
      <c r="AB368" s="56"/>
      <c r="AC368" s="56"/>
      <c r="AD368" s="106"/>
      <c r="AE368" s="56"/>
      <c r="AF368" s="56"/>
      <c r="AG368" s="56"/>
      <c r="AH368" s="56"/>
      <c r="AI368" s="56"/>
      <c r="AJ368" s="56"/>
      <c r="AK368" s="106"/>
      <c r="AL368" s="56"/>
      <c r="AM368" s="56"/>
      <c r="AN368" s="56"/>
      <c r="AO368" s="56"/>
      <c r="AP368" s="56"/>
      <c r="AQ368" s="56"/>
      <c r="AR368" s="56"/>
      <c r="AS368" s="106"/>
      <c r="AT368" s="56"/>
      <c r="AU368" s="56"/>
      <c r="AV368" s="106"/>
      <c r="AW368" s="56"/>
      <c r="AX368" s="10"/>
      <c r="AY368" s="56"/>
      <c r="AZ368" s="56"/>
      <c r="BA368" s="56"/>
      <c r="BB368" s="56"/>
      <c r="BJ368" s="145"/>
      <c r="CD368" s="145"/>
      <c r="CT368" s="145"/>
    </row>
    <row r="369" spans="1:98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68"/>
      <c r="R369" s="56"/>
      <c r="S369" s="162"/>
      <c r="T369" s="106"/>
      <c r="U369" s="10"/>
      <c r="V369" s="56"/>
      <c r="W369" s="56"/>
      <c r="X369" s="56"/>
      <c r="Y369" s="56"/>
      <c r="Z369" s="56"/>
      <c r="AA369" s="172"/>
      <c r="AB369" s="56"/>
      <c r="AC369" s="56"/>
      <c r="AD369" s="106"/>
      <c r="AE369" s="56"/>
      <c r="AF369" s="56"/>
      <c r="AG369" s="56"/>
      <c r="AH369" s="56"/>
      <c r="AI369" s="56"/>
      <c r="AJ369" s="56"/>
      <c r="AK369" s="106"/>
      <c r="AL369" s="56"/>
      <c r="AM369" s="56"/>
      <c r="AN369" s="56"/>
      <c r="AO369" s="56"/>
      <c r="AP369" s="56"/>
      <c r="AQ369" s="56"/>
      <c r="AR369" s="56"/>
      <c r="AS369" s="106"/>
      <c r="AT369" s="56"/>
      <c r="AU369" s="56"/>
      <c r="AV369" s="106"/>
      <c r="AW369" s="56"/>
      <c r="AX369" s="10"/>
      <c r="AY369" s="56"/>
      <c r="AZ369" s="56"/>
      <c r="BA369" s="56"/>
      <c r="BB369" s="56"/>
      <c r="BJ369" s="145"/>
      <c r="CD369" s="145"/>
      <c r="CT369" s="145"/>
    </row>
    <row r="370" spans="1:98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68"/>
      <c r="R370" s="56"/>
      <c r="S370" s="162"/>
      <c r="T370" s="106"/>
      <c r="U370" s="10"/>
      <c r="V370" s="56"/>
      <c r="W370" s="56"/>
      <c r="X370" s="56"/>
      <c r="Y370" s="56"/>
      <c r="Z370" s="56"/>
      <c r="AA370" s="172"/>
      <c r="AB370" s="56"/>
      <c r="AC370" s="56"/>
      <c r="AD370" s="106"/>
      <c r="AE370" s="56"/>
      <c r="AF370" s="56"/>
      <c r="AG370" s="56"/>
      <c r="AH370" s="56"/>
      <c r="AI370" s="56"/>
      <c r="AJ370" s="56"/>
      <c r="AK370" s="106"/>
      <c r="AL370" s="56"/>
      <c r="AM370" s="56"/>
      <c r="AN370" s="56"/>
      <c r="AO370" s="56"/>
      <c r="AP370" s="56"/>
      <c r="AQ370" s="56"/>
      <c r="AR370" s="56"/>
      <c r="AS370" s="106"/>
      <c r="AT370" s="56"/>
      <c r="AU370" s="56"/>
      <c r="AV370" s="106"/>
      <c r="AW370" s="56"/>
      <c r="AX370" s="10"/>
      <c r="AY370" s="56"/>
      <c r="AZ370" s="56"/>
      <c r="BA370" s="56"/>
      <c r="BB370" s="56"/>
      <c r="BJ370" s="145"/>
      <c r="CD370" s="145"/>
      <c r="CT370" s="145"/>
    </row>
    <row r="371" spans="1:98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68"/>
      <c r="R371" s="56"/>
      <c r="S371" s="162"/>
      <c r="T371" s="106"/>
      <c r="U371" s="10"/>
      <c r="V371" s="56"/>
      <c r="W371" s="56"/>
      <c r="X371" s="56"/>
      <c r="Y371" s="56"/>
      <c r="Z371" s="56"/>
      <c r="AA371" s="172"/>
      <c r="AB371" s="56"/>
      <c r="AC371" s="56"/>
      <c r="AD371" s="106"/>
      <c r="AE371" s="56"/>
      <c r="AF371" s="56"/>
      <c r="AG371" s="56"/>
      <c r="AH371" s="56"/>
      <c r="AI371" s="56"/>
      <c r="AJ371" s="56"/>
      <c r="AK371" s="106"/>
      <c r="AL371" s="56"/>
      <c r="AM371" s="56"/>
      <c r="AN371" s="56"/>
      <c r="AO371" s="56"/>
      <c r="AP371" s="56"/>
      <c r="AQ371" s="56"/>
      <c r="AR371" s="56"/>
      <c r="AS371" s="106"/>
      <c r="AT371" s="56"/>
      <c r="AU371" s="56"/>
      <c r="AV371" s="106"/>
      <c r="AW371" s="56"/>
      <c r="AX371" s="10"/>
      <c r="AY371" s="56"/>
      <c r="AZ371" s="56"/>
      <c r="BA371" s="56"/>
      <c r="BB371" s="56"/>
      <c r="BJ371" s="145"/>
      <c r="CD371" s="145"/>
      <c r="CT371" s="145"/>
    </row>
    <row r="372" spans="1:98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68"/>
      <c r="R372" s="56"/>
      <c r="S372" s="162"/>
      <c r="T372" s="106"/>
      <c r="U372" s="10"/>
      <c r="V372" s="56"/>
      <c r="W372" s="56"/>
      <c r="X372" s="56"/>
      <c r="Y372" s="56"/>
      <c r="Z372" s="56"/>
      <c r="AA372" s="172"/>
      <c r="AB372" s="56"/>
      <c r="AC372" s="56"/>
      <c r="AD372" s="106"/>
      <c r="AE372" s="56"/>
      <c r="AF372" s="56"/>
      <c r="AG372" s="56"/>
      <c r="AH372" s="56"/>
      <c r="AI372" s="56"/>
      <c r="AJ372" s="56"/>
      <c r="AK372" s="106"/>
      <c r="AL372" s="56"/>
      <c r="AM372" s="56"/>
      <c r="AN372" s="56"/>
      <c r="AO372" s="56"/>
      <c r="AP372" s="56"/>
      <c r="AQ372" s="56"/>
      <c r="AR372" s="56"/>
      <c r="AS372" s="106"/>
      <c r="AT372" s="56"/>
      <c r="AU372" s="56"/>
      <c r="AV372" s="106"/>
      <c r="AW372" s="56"/>
      <c r="AX372" s="10"/>
      <c r="AY372" s="56"/>
      <c r="AZ372" s="56"/>
      <c r="BA372" s="56"/>
      <c r="BB372" s="56"/>
      <c r="BJ372" s="145"/>
      <c r="CD372" s="145"/>
      <c r="CT372" s="145"/>
    </row>
    <row r="373" spans="1:98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68"/>
      <c r="R373" s="56"/>
      <c r="S373" s="162"/>
      <c r="T373" s="106"/>
      <c r="U373" s="10"/>
      <c r="V373" s="56"/>
      <c r="W373" s="56"/>
      <c r="X373" s="56"/>
      <c r="Y373" s="56"/>
      <c r="Z373" s="56"/>
      <c r="AA373" s="172"/>
      <c r="AB373" s="56"/>
      <c r="AC373" s="56"/>
      <c r="AD373" s="106"/>
      <c r="AE373" s="56"/>
      <c r="AF373" s="56"/>
      <c r="AG373" s="56"/>
      <c r="AH373" s="56"/>
      <c r="AI373" s="56"/>
      <c r="AJ373" s="56"/>
      <c r="AK373" s="106"/>
      <c r="AL373" s="56"/>
      <c r="AM373" s="56"/>
      <c r="AN373" s="56"/>
      <c r="AO373" s="56"/>
      <c r="AP373" s="56"/>
      <c r="AQ373" s="56"/>
      <c r="AR373" s="56"/>
      <c r="AS373" s="106"/>
      <c r="AT373" s="56"/>
      <c r="AU373" s="56"/>
      <c r="AV373" s="106"/>
      <c r="AW373" s="56"/>
      <c r="AX373" s="10"/>
      <c r="AY373" s="56"/>
      <c r="AZ373" s="56"/>
      <c r="BA373" s="56"/>
      <c r="BB373" s="56"/>
      <c r="BJ373" s="145"/>
      <c r="CD373" s="145"/>
      <c r="CT373" s="145"/>
    </row>
    <row r="374" spans="1:98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68"/>
      <c r="R374" s="56"/>
      <c r="S374" s="162"/>
      <c r="T374" s="106"/>
      <c r="U374" s="10"/>
      <c r="V374" s="56"/>
      <c r="W374" s="56"/>
      <c r="X374" s="56"/>
      <c r="Y374" s="56"/>
      <c r="Z374" s="56"/>
      <c r="AA374" s="172"/>
      <c r="AB374" s="56"/>
      <c r="AC374" s="56"/>
      <c r="AD374" s="106"/>
      <c r="AE374" s="56"/>
      <c r="AF374" s="56"/>
      <c r="AG374" s="56"/>
      <c r="AH374" s="56"/>
      <c r="AI374" s="56"/>
      <c r="AJ374" s="56"/>
      <c r="AK374" s="106"/>
      <c r="AL374" s="56"/>
      <c r="AM374" s="56"/>
      <c r="AN374" s="56"/>
      <c r="AO374" s="56"/>
      <c r="AP374" s="56"/>
      <c r="AQ374" s="56"/>
      <c r="AR374" s="56"/>
      <c r="AS374" s="106"/>
      <c r="AT374" s="56"/>
      <c r="AU374" s="56"/>
      <c r="AV374" s="106"/>
      <c r="AW374" s="56"/>
      <c r="AX374" s="10"/>
      <c r="AY374" s="56"/>
      <c r="AZ374" s="56"/>
      <c r="BA374" s="56"/>
      <c r="BB374" s="56"/>
      <c r="BJ374" s="145"/>
      <c r="CD374" s="145"/>
      <c r="CT374" s="145"/>
    </row>
    <row r="375" spans="1:98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68"/>
      <c r="R375" s="56"/>
      <c r="S375" s="162"/>
      <c r="T375" s="106"/>
      <c r="U375" s="10"/>
      <c r="V375" s="56"/>
      <c r="W375" s="56"/>
      <c r="X375" s="56"/>
      <c r="Y375" s="56"/>
      <c r="Z375" s="56"/>
      <c r="AA375" s="172"/>
      <c r="AB375" s="56"/>
      <c r="AC375" s="56"/>
      <c r="AD375" s="106"/>
      <c r="AE375" s="56"/>
      <c r="AF375" s="56"/>
      <c r="AG375" s="56"/>
      <c r="AH375" s="56"/>
      <c r="AI375" s="56"/>
      <c r="AJ375" s="56"/>
      <c r="AK375" s="106"/>
      <c r="AL375" s="56"/>
      <c r="AM375" s="56"/>
      <c r="AN375" s="56"/>
      <c r="AO375" s="56"/>
      <c r="AP375" s="56"/>
      <c r="AQ375" s="56"/>
      <c r="AR375" s="56"/>
      <c r="AS375" s="106"/>
      <c r="AT375" s="56"/>
      <c r="AU375" s="56"/>
      <c r="AV375" s="106"/>
      <c r="AW375" s="56"/>
      <c r="AX375" s="10"/>
      <c r="AY375" s="56"/>
      <c r="AZ375" s="56"/>
      <c r="BA375" s="56"/>
      <c r="BB375" s="56"/>
      <c r="BJ375" s="145"/>
      <c r="CD375" s="145"/>
      <c r="CT375" s="145"/>
    </row>
    <row r="376" spans="1:98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68"/>
      <c r="R376" s="56"/>
      <c r="S376" s="162"/>
      <c r="T376" s="106"/>
      <c r="U376" s="10"/>
      <c r="V376" s="56"/>
      <c r="W376" s="56"/>
      <c r="X376" s="56"/>
      <c r="Y376" s="56"/>
      <c r="Z376" s="56"/>
      <c r="AA376" s="172"/>
      <c r="AB376" s="56"/>
      <c r="AC376" s="56"/>
      <c r="AD376" s="106"/>
      <c r="AE376" s="56"/>
      <c r="AF376" s="56"/>
      <c r="AG376" s="56"/>
      <c r="AH376" s="56"/>
      <c r="AI376" s="56"/>
      <c r="AJ376" s="56"/>
      <c r="AK376" s="106"/>
      <c r="AL376" s="56"/>
      <c r="AM376" s="56"/>
      <c r="AN376" s="56"/>
      <c r="AO376" s="56"/>
      <c r="AP376" s="56"/>
      <c r="AQ376" s="56"/>
      <c r="AR376" s="56"/>
      <c r="AS376" s="106"/>
      <c r="AT376" s="56"/>
      <c r="AU376" s="56"/>
      <c r="AV376" s="106"/>
      <c r="AW376" s="56"/>
      <c r="AX376" s="10"/>
      <c r="AY376" s="56"/>
      <c r="AZ376" s="56"/>
      <c r="BA376" s="56"/>
      <c r="BB376" s="56"/>
      <c r="BJ376" s="145"/>
      <c r="CD376" s="145"/>
      <c r="CT376" s="145"/>
    </row>
    <row r="377" spans="1:98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68"/>
      <c r="R377" s="56"/>
      <c r="S377" s="162"/>
      <c r="T377" s="106"/>
      <c r="U377" s="10"/>
      <c r="V377" s="56"/>
      <c r="W377" s="56"/>
      <c r="X377" s="56"/>
      <c r="Y377" s="56"/>
      <c r="Z377" s="56"/>
      <c r="AA377" s="172"/>
      <c r="AB377" s="56"/>
      <c r="AC377" s="56"/>
      <c r="AD377" s="106"/>
      <c r="AE377" s="56"/>
      <c r="AF377" s="56"/>
      <c r="AG377" s="56"/>
      <c r="AH377" s="56"/>
      <c r="AI377" s="56"/>
      <c r="AJ377" s="56"/>
      <c r="AK377" s="106"/>
      <c r="AL377" s="56"/>
      <c r="AM377" s="56"/>
      <c r="AN377" s="56"/>
      <c r="AO377" s="56"/>
      <c r="AP377" s="56"/>
      <c r="AQ377" s="56"/>
      <c r="AR377" s="56"/>
      <c r="AS377" s="106"/>
      <c r="AT377" s="56"/>
      <c r="AU377" s="56"/>
      <c r="AV377" s="106"/>
      <c r="AW377" s="56"/>
      <c r="AX377" s="10"/>
      <c r="AY377" s="56"/>
      <c r="AZ377" s="56"/>
      <c r="BA377" s="56"/>
      <c r="BB377" s="56"/>
      <c r="BJ377" s="145"/>
      <c r="CD377" s="145"/>
      <c r="CT377" s="145"/>
    </row>
    <row r="378" spans="1:98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68"/>
      <c r="R378" s="56"/>
      <c r="S378" s="162"/>
      <c r="T378" s="106"/>
      <c r="U378" s="10"/>
      <c r="V378" s="56"/>
      <c r="W378" s="56"/>
      <c r="X378" s="56"/>
      <c r="Y378" s="56"/>
      <c r="Z378" s="56"/>
      <c r="AA378" s="172"/>
      <c r="AB378" s="56"/>
      <c r="AC378" s="56"/>
      <c r="AD378" s="106"/>
      <c r="AE378" s="56"/>
      <c r="AF378" s="56"/>
      <c r="AG378" s="56"/>
      <c r="AH378" s="56"/>
      <c r="AI378" s="56"/>
      <c r="AJ378" s="56"/>
      <c r="AK378" s="106"/>
      <c r="AL378" s="56"/>
      <c r="AM378" s="56"/>
      <c r="AN378" s="56"/>
      <c r="AO378" s="56"/>
      <c r="AP378" s="56"/>
      <c r="AQ378" s="56"/>
      <c r="AR378" s="56"/>
      <c r="AS378" s="106"/>
      <c r="AT378" s="56"/>
      <c r="AU378" s="56"/>
      <c r="AV378" s="106"/>
      <c r="AW378" s="56"/>
      <c r="AX378" s="10"/>
      <c r="AY378" s="56"/>
      <c r="AZ378" s="56"/>
      <c r="BA378" s="56"/>
      <c r="BB378" s="56"/>
      <c r="BJ378" s="145"/>
      <c r="CD378" s="145"/>
      <c r="CT378" s="145"/>
    </row>
    <row r="379" spans="1:98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68"/>
      <c r="R379" s="56"/>
      <c r="S379" s="162"/>
      <c r="T379" s="106"/>
      <c r="U379" s="10"/>
      <c r="V379" s="56"/>
      <c r="W379" s="56"/>
      <c r="X379" s="56"/>
      <c r="Y379" s="56"/>
      <c r="Z379" s="56"/>
      <c r="AA379" s="172"/>
      <c r="AB379" s="56"/>
      <c r="AC379" s="56"/>
      <c r="AD379" s="106"/>
      <c r="AE379" s="56"/>
      <c r="AF379" s="56"/>
      <c r="AG379" s="56"/>
      <c r="AH379" s="56"/>
      <c r="AI379" s="56"/>
      <c r="AJ379" s="56"/>
      <c r="AK379" s="106"/>
      <c r="AL379" s="56"/>
      <c r="AM379" s="56"/>
      <c r="AN379" s="56"/>
      <c r="AO379" s="56"/>
      <c r="AP379" s="56"/>
      <c r="AQ379" s="56"/>
      <c r="AR379" s="56"/>
      <c r="AS379" s="106"/>
      <c r="AT379" s="56"/>
      <c r="AU379" s="56"/>
      <c r="AV379" s="106"/>
      <c r="AW379" s="56"/>
      <c r="AX379" s="10"/>
      <c r="AY379" s="56"/>
      <c r="AZ379" s="56"/>
      <c r="BA379" s="56"/>
      <c r="BB379" s="56"/>
      <c r="BJ379" s="145"/>
      <c r="CD379" s="145"/>
      <c r="CT379" s="145"/>
    </row>
    <row r="380" spans="1:98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68"/>
      <c r="R380" s="56"/>
      <c r="S380" s="162"/>
      <c r="T380" s="106"/>
      <c r="U380" s="10"/>
      <c r="V380" s="56"/>
      <c r="W380" s="56"/>
      <c r="X380" s="56"/>
      <c r="Y380" s="56"/>
      <c r="Z380" s="56"/>
      <c r="AA380" s="172"/>
      <c r="AB380" s="56"/>
      <c r="AC380" s="56"/>
      <c r="AD380" s="106"/>
      <c r="AE380" s="56"/>
      <c r="AF380" s="56"/>
      <c r="AG380" s="56"/>
      <c r="AH380" s="56"/>
      <c r="AI380" s="56"/>
      <c r="AJ380" s="56"/>
      <c r="AK380" s="106"/>
      <c r="AL380" s="56"/>
      <c r="AM380" s="56"/>
      <c r="AN380" s="56"/>
      <c r="AO380" s="56"/>
      <c r="AP380" s="56"/>
      <c r="AQ380" s="56"/>
      <c r="AR380" s="56"/>
      <c r="AS380" s="106"/>
      <c r="AT380" s="56"/>
      <c r="AU380" s="56"/>
      <c r="AV380" s="106"/>
      <c r="AW380" s="56"/>
      <c r="AX380" s="10"/>
      <c r="AY380" s="56"/>
      <c r="AZ380" s="56"/>
      <c r="BA380" s="56"/>
      <c r="BB380" s="56"/>
      <c r="BJ380" s="145"/>
      <c r="CD380" s="145"/>
      <c r="CT380" s="145"/>
    </row>
    <row r="381" spans="1:98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68"/>
      <c r="R381" s="56"/>
      <c r="S381" s="162"/>
      <c r="T381" s="106"/>
      <c r="U381" s="10"/>
      <c r="V381" s="56"/>
      <c r="W381" s="56"/>
      <c r="X381" s="56"/>
      <c r="Y381" s="56"/>
      <c r="Z381" s="56"/>
      <c r="AA381" s="172"/>
      <c r="AB381" s="56"/>
      <c r="AC381" s="56"/>
      <c r="AD381" s="106"/>
      <c r="AE381" s="56"/>
      <c r="AF381" s="56"/>
      <c r="AG381" s="56"/>
      <c r="AH381" s="56"/>
      <c r="AI381" s="56"/>
      <c r="AJ381" s="56"/>
      <c r="AK381" s="106"/>
      <c r="AL381" s="56"/>
      <c r="AM381" s="56"/>
      <c r="AN381" s="56"/>
      <c r="AO381" s="56"/>
      <c r="AP381" s="56"/>
      <c r="AQ381" s="56"/>
      <c r="AR381" s="56"/>
      <c r="AS381" s="106"/>
      <c r="AT381" s="56"/>
      <c r="AU381" s="56"/>
      <c r="AV381" s="106"/>
      <c r="AW381" s="56"/>
      <c r="AX381" s="10"/>
      <c r="AY381" s="56"/>
      <c r="AZ381" s="56"/>
      <c r="BA381" s="56"/>
      <c r="BB381" s="56"/>
      <c r="BJ381" s="145"/>
      <c r="CD381" s="145"/>
      <c r="CT381" s="145"/>
    </row>
    <row r="382" spans="1:98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68"/>
      <c r="R382" s="56"/>
      <c r="S382" s="162"/>
      <c r="T382" s="106"/>
      <c r="U382" s="10"/>
      <c r="V382" s="56"/>
      <c r="W382" s="56"/>
      <c r="X382" s="56"/>
      <c r="Y382" s="56"/>
      <c r="Z382" s="56"/>
      <c r="AA382" s="172"/>
      <c r="AB382" s="56"/>
      <c r="AC382" s="56"/>
      <c r="AD382" s="106"/>
      <c r="AE382" s="56"/>
      <c r="AF382" s="56"/>
      <c r="AG382" s="56"/>
      <c r="AH382" s="56"/>
      <c r="AI382" s="56"/>
      <c r="AJ382" s="56"/>
      <c r="AK382" s="106"/>
      <c r="AL382" s="56"/>
      <c r="AM382" s="56"/>
      <c r="AN382" s="56"/>
      <c r="AO382" s="56"/>
      <c r="AP382" s="56"/>
      <c r="AQ382" s="56"/>
      <c r="AR382" s="56"/>
      <c r="AS382" s="106"/>
      <c r="AT382" s="56"/>
      <c r="AU382" s="56"/>
      <c r="AV382" s="106"/>
      <c r="AW382" s="56"/>
      <c r="AX382" s="10"/>
      <c r="AY382" s="56"/>
      <c r="AZ382" s="56"/>
      <c r="BA382" s="56"/>
      <c r="BB382" s="56"/>
      <c r="BJ382" s="145"/>
      <c r="CD382" s="145"/>
      <c r="CT382" s="145"/>
    </row>
    <row r="383" spans="1:98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68"/>
      <c r="R383" s="56"/>
      <c r="S383" s="162"/>
      <c r="T383" s="106"/>
      <c r="U383" s="10"/>
      <c r="V383" s="56"/>
      <c r="W383" s="56"/>
      <c r="X383" s="56"/>
      <c r="Y383" s="56"/>
      <c r="Z383" s="56"/>
      <c r="AA383" s="172"/>
      <c r="AB383" s="56"/>
      <c r="AC383" s="56"/>
      <c r="AD383" s="106"/>
      <c r="AE383" s="56"/>
      <c r="AF383" s="56"/>
      <c r="AG383" s="56"/>
      <c r="AH383" s="56"/>
      <c r="AI383" s="56"/>
      <c r="AJ383" s="56"/>
      <c r="AK383" s="106"/>
      <c r="AL383" s="56"/>
      <c r="AM383" s="56"/>
      <c r="AN383" s="56"/>
      <c r="AO383" s="56"/>
      <c r="AP383" s="56"/>
      <c r="AQ383" s="56"/>
      <c r="AR383" s="56"/>
      <c r="AS383" s="106"/>
      <c r="AT383" s="56"/>
      <c r="AU383" s="56"/>
      <c r="AV383" s="106"/>
      <c r="AW383" s="56"/>
      <c r="AX383" s="10"/>
      <c r="AY383" s="56"/>
      <c r="AZ383" s="56"/>
      <c r="BA383" s="56"/>
      <c r="BB383" s="56"/>
      <c r="BJ383" s="145"/>
      <c r="CD383" s="145"/>
      <c r="CT383" s="145"/>
    </row>
    <row r="384" spans="1:98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68"/>
      <c r="R384" s="56"/>
      <c r="S384" s="162"/>
      <c r="T384" s="106"/>
      <c r="U384" s="10"/>
      <c r="V384" s="56"/>
      <c r="W384" s="56"/>
      <c r="X384" s="56"/>
      <c r="Y384" s="56"/>
      <c r="Z384" s="56"/>
      <c r="AA384" s="172"/>
      <c r="AB384" s="56"/>
      <c r="AC384" s="56"/>
      <c r="AD384" s="106"/>
      <c r="AE384" s="56"/>
      <c r="AF384" s="56"/>
      <c r="AG384" s="56"/>
      <c r="AH384" s="56"/>
      <c r="AI384" s="56"/>
      <c r="AJ384" s="56"/>
      <c r="AK384" s="106"/>
      <c r="AL384" s="56"/>
      <c r="AM384" s="56"/>
      <c r="AN384" s="56"/>
      <c r="AO384" s="56"/>
      <c r="AP384" s="56"/>
      <c r="AQ384" s="56"/>
      <c r="AR384" s="56"/>
      <c r="AS384" s="106"/>
      <c r="AT384" s="56"/>
      <c r="AU384" s="56"/>
      <c r="AV384" s="106"/>
      <c r="AW384" s="56"/>
      <c r="AX384" s="10"/>
      <c r="AY384" s="56"/>
      <c r="AZ384" s="56"/>
      <c r="BA384" s="56"/>
      <c r="BB384" s="56"/>
      <c r="BJ384" s="145"/>
      <c r="CD384" s="145"/>
      <c r="CT384" s="145"/>
    </row>
    <row r="385" spans="1:98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68"/>
      <c r="R385" s="56"/>
      <c r="S385" s="162"/>
      <c r="T385" s="106"/>
      <c r="U385" s="10"/>
      <c r="V385" s="56"/>
      <c r="W385" s="56"/>
      <c r="X385" s="56"/>
      <c r="Y385" s="56"/>
      <c r="Z385" s="56"/>
      <c r="AA385" s="172"/>
      <c r="AB385" s="56"/>
      <c r="AC385" s="56"/>
      <c r="AD385" s="106"/>
      <c r="AE385" s="56"/>
      <c r="AF385" s="56"/>
      <c r="AG385" s="56"/>
      <c r="AH385" s="56"/>
      <c r="AI385" s="56"/>
      <c r="AJ385" s="56"/>
      <c r="AK385" s="106"/>
      <c r="AL385" s="56"/>
      <c r="AM385" s="56"/>
      <c r="AN385" s="56"/>
      <c r="AO385" s="56"/>
      <c r="AP385" s="56"/>
      <c r="AQ385" s="56"/>
      <c r="AR385" s="56"/>
      <c r="AS385" s="106"/>
      <c r="AT385" s="56"/>
      <c r="AU385" s="56"/>
      <c r="AV385" s="106"/>
      <c r="AW385" s="56"/>
      <c r="AX385" s="10"/>
      <c r="AY385" s="56"/>
      <c r="AZ385" s="56"/>
      <c r="BA385" s="56"/>
      <c r="BB385" s="56"/>
      <c r="BJ385" s="145"/>
      <c r="CD385" s="145"/>
      <c r="CT385" s="145"/>
    </row>
    <row r="386" spans="1:98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68"/>
      <c r="R386" s="56"/>
      <c r="S386" s="162"/>
      <c r="T386" s="106"/>
      <c r="U386" s="10"/>
      <c r="V386" s="56"/>
      <c r="W386" s="56"/>
      <c r="X386" s="56"/>
      <c r="Y386" s="56"/>
      <c r="Z386" s="56"/>
      <c r="AA386" s="172"/>
      <c r="AB386" s="56"/>
      <c r="AC386" s="56"/>
      <c r="AD386" s="106"/>
      <c r="AE386" s="56"/>
      <c r="AF386" s="56"/>
      <c r="AG386" s="56"/>
      <c r="AH386" s="56"/>
      <c r="AI386" s="56"/>
      <c r="AJ386" s="56"/>
      <c r="AK386" s="106"/>
      <c r="AL386" s="56"/>
      <c r="AM386" s="56"/>
      <c r="AN386" s="56"/>
      <c r="AO386" s="56"/>
      <c r="AP386" s="56"/>
      <c r="AQ386" s="56"/>
      <c r="AR386" s="56"/>
      <c r="AS386" s="106"/>
      <c r="AT386" s="56"/>
      <c r="AU386" s="56"/>
      <c r="AV386" s="106"/>
      <c r="AW386" s="56"/>
      <c r="AX386" s="10"/>
      <c r="AY386" s="56"/>
      <c r="AZ386" s="56"/>
      <c r="BA386" s="56"/>
      <c r="BB386" s="56"/>
      <c r="BJ386" s="145"/>
      <c r="CD386" s="145"/>
      <c r="CT386" s="145"/>
    </row>
    <row r="387" spans="1:98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68"/>
      <c r="R387" s="56"/>
      <c r="S387" s="162"/>
      <c r="T387" s="106"/>
      <c r="U387" s="10"/>
      <c r="V387" s="56"/>
      <c r="W387" s="56"/>
      <c r="X387" s="56"/>
      <c r="Y387" s="56"/>
      <c r="Z387" s="56"/>
      <c r="AA387" s="172"/>
      <c r="AB387" s="56"/>
      <c r="AC387" s="56"/>
      <c r="AD387" s="106"/>
      <c r="AE387" s="56"/>
      <c r="AF387" s="56"/>
      <c r="AG387" s="56"/>
      <c r="AH387" s="56"/>
      <c r="AI387" s="56"/>
      <c r="AJ387" s="56"/>
      <c r="AK387" s="106"/>
      <c r="AL387" s="56"/>
      <c r="AM387" s="56"/>
      <c r="AN387" s="56"/>
      <c r="AO387" s="56"/>
      <c r="AP387" s="56"/>
      <c r="AQ387" s="56"/>
      <c r="AR387" s="56"/>
      <c r="AS387" s="106"/>
      <c r="AT387" s="56"/>
      <c r="AU387" s="56"/>
      <c r="AV387" s="106"/>
      <c r="AW387" s="56"/>
      <c r="AX387" s="10"/>
      <c r="AY387" s="56"/>
      <c r="AZ387" s="56"/>
      <c r="BA387" s="56"/>
      <c r="BB387" s="56"/>
      <c r="BJ387" s="145"/>
      <c r="CD387" s="145"/>
      <c r="CT387" s="145"/>
    </row>
    <row r="388" spans="1:98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68"/>
      <c r="R388" s="56"/>
      <c r="S388" s="162"/>
      <c r="T388" s="106"/>
      <c r="U388" s="10"/>
      <c r="V388" s="56"/>
      <c r="W388" s="56"/>
      <c r="X388" s="56"/>
      <c r="Y388" s="56"/>
      <c r="Z388" s="56"/>
      <c r="AA388" s="172"/>
      <c r="AB388" s="56"/>
      <c r="AC388" s="56"/>
      <c r="AD388" s="106"/>
      <c r="AE388" s="56"/>
      <c r="AF388" s="56"/>
      <c r="AG388" s="56"/>
      <c r="AH388" s="56"/>
      <c r="AI388" s="56"/>
      <c r="AJ388" s="56"/>
      <c r="AK388" s="106"/>
      <c r="AL388" s="56"/>
      <c r="AM388" s="56"/>
      <c r="AN388" s="56"/>
      <c r="AO388" s="56"/>
      <c r="AP388" s="56"/>
      <c r="AQ388" s="56"/>
      <c r="AR388" s="56"/>
      <c r="AS388" s="106"/>
      <c r="AT388" s="56"/>
      <c r="AU388" s="56"/>
      <c r="AV388" s="106"/>
      <c r="AW388" s="56"/>
      <c r="AX388" s="10"/>
      <c r="AY388" s="56"/>
      <c r="AZ388" s="56"/>
      <c r="BA388" s="56"/>
      <c r="BB388" s="56"/>
      <c r="BJ388" s="145"/>
      <c r="CD388" s="145"/>
      <c r="CT388" s="145"/>
    </row>
    <row r="389" spans="1:98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68"/>
      <c r="R389" s="56"/>
      <c r="S389" s="162"/>
      <c r="T389" s="106"/>
      <c r="U389" s="10"/>
      <c r="V389" s="56"/>
      <c r="W389" s="56"/>
      <c r="X389" s="56"/>
      <c r="Y389" s="56"/>
      <c r="Z389" s="56"/>
      <c r="AA389" s="172"/>
      <c r="AB389" s="56"/>
      <c r="AC389" s="56"/>
      <c r="AD389" s="106"/>
      <c r="AE389" s="56"/>
      <c r="AF389" s="56"/>
      <c r="AG389" s="56"/>
      <c r="AH389" s="56"/>
      <c r="AI389" s="56"/>
      <c r="AJ389" s="56"/>
      <c r="AK389" s="106"/>
      <c r="AL389" s="56"/>
      <c r="AM389" s="56"/>
      <c r="AN389" s="56"/>
      <c r="AO389" s="56"/>
      <c r="AP389" s="56"/>
      <c r="AQ389" s="56"/>
      <c r="AR389" s="56"/>
      <c r="AS389" s="106"/>
      <c r="AT389" s="56"/>
      <c r="AU389" s="56"/>
      <c r="AV389" s="106"/>
      <c r="AW389" s="56"/>
      <c r="AX389" s="10"/>
      <c r="AY389" s="56"/>
      <c r="AZ389" s="56"/>
      <c r="BA389" s="56"/>
      <c r="BB389" s="56"/>
      <c r="BJ389" s="145"/>
      <c r="CD389" s="145"/>
      <c r="CT389" s="145"/>
    </row>
    <row r="390" spans="1:98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68"/>
      <c r="R390" s="56"/>
      <c r="S390" s="162"/>
      <c r="T390" s="106"/>
      <c r="U390" s="10"/>
      <c r="V390" s="56"/>
      <c r="W390" s="56"/>
      <c r="X390" s="56"/>
      <c r="Y390" s="56"/>
      <c r="Z390" s="56"/>
      <c r="AA390" s="172"/>
      <c r="AB390" s="56"/>
      <c r="AC390" s="56"/>
      <c r="AD390" s="106"/>
      <c r="AE390" s="56"/>
      <c r="AF390" s="56"/>
      <c r="AG390" s="56"/>
      <c r="AH390" s="56"/>
      <c r="AI390" s="56"/>
      <c r="AJ390" s="56"/>
      <c r="AK390" s="106"/>
      <c r="AL390" s="56"/>
      <c r="AM390" s="56"/>
      <c r="AN390" s="56"/>
      <c r="AO390" s="56"/>
      <c r="AP390" s="56"/>
      <c r="AQ390" s="56"/>
      <c r="AR390" s="56"/>
      <c r="AS390" s="106"/>
      <c r="AT390" s="56"/>
      <c r="AU390" s="56"/>
      <c r="AV390" s="106"/>
      <c r="AW390" s="56"/>
      <c r="AX390" s="10"/>
      <c r="AY390" s="56"/>
      <c r="AZ390" s="56"/>
      <c r="BA390" s="56"/>
      <c r="BB390" s="56"/>
      <c r="BJ390" s="145"/>
      <c r="CD390" s="145"/>
      <c r="CT390" s="145"/>
    </row>
    <row r="391" spans="1:98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68"/>
      <c r="R391" s="56"/>
      <c r="S391" s="162"/>
      <c r="T391" s="106"/>
      <c r="U391" s="10"/>
      <c r="V391" s="56"/>
      <c r="W391" s="56"/>
      <c r="X391" s="56"/>
      <c r="Y391" s="56"/>
      <c r="Z391" s="56"/>
      <c r="AA391" s="172"/>
      <c r="AB391" s="56"/>
      <c r="AC391" s="56"/>
      <c r="AD391" s="106"/>
      <c r="AE391" s="56"/>
      <c r="AF391" s="56"/>
      <c r="AG391" s="56"/>
      <c r="AH391" s="56"/>
      <c r="AI391" s="56"/>
      <c r="AJ391" s="56"/>
      <c r="AK391" s="106"/>
      <c r="AL391" s="56"/>
      <c r="AM391" s="56"/>
      <c r="AN391" s="56"/>
      <c r="AO391" s="56"/>
      <c r="AP391" s="56"/>
      <c r="AQ391" s="56"/>
      <c r="AR391" s="56"/>
      <c r="AS391" s="106"/>
      <c r="AT391" s="56"/>
      <c r="AU391" s="56"/>
      <c r="AV391" s="106"/>
      <c r="AW391" s="56"/>
      <c r="AX391" s="10"/>
      <c r="AY391" s="56"/>
      <c r="AZ391" s="56"/>
      <c r="BA391" s="56"/>
      <c r="BB391" s="56"/>
      <c r="BJ391" s="145"/>
      <c r="CD391" s="145"/>
      <c r="CT391" s="145"/>
    </row>
    <row r="392" spans="1:98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68"/>
      <c r="R392" s="56"/>
      <c r="S392" s="162"/>
      <c r="T392" s="106"/>
      <c r="U392" s="10"/>
      <c r="V392" s="56"/>
      <c r="W392" s="56"/>
      <c r="X392" s="56"/>
      <c r="Y392" s="56"/>
      <c r="Z392" s="56"/>
      <c r="AA392" s="172"/>
      <c r="AB392" s="56"/>
      <c r="AC392" s="56"/>
      <c r="AD392" s="106"/>
      <c r="AE392" s="56"/>
      <c r="AF392" s="56"/>
      <c r="AG392" s="56"/>
      <c r="AH392" s="56"/>
      <c r="AI392" s="56"/>
      <c r="AJ392" s="56"/>
      <c r="AK392" s="106"/>
      <c r="AL392" s="56"/>
      <c r="AM392" s="56"/>
      <c r="AN392" s="56"/>
      <c r="AO392" s="56"/>
      <c r="AP392" s="56"/>
      <c r="AQ392" s="56"/>
      <c r="AR392" s="56"/>
      <c r="AS392" s="106"/>
      <c r="AT392" s="56"/>
      <c r="AU392" s="56"/>
      <c r="AV392" s="106"/>
      <c r="AW392" s="56"/>
      <c r="AX392" s="10"/>
      <c r="AY392" s="56"/>
      <c r="AZ392" s="56"/>
      <c r="BA392" s="56"/>
      <c r="BB392" s="56"/>
      <c r="BJ392" s="145"/>
      <c r="CD392" s="145"/>
      <c r="CT392" s="145"/>
    </row>
    <row r="393" spans="1:98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68"/>
      <c r="R393" s="56"/>
      <c r="S393" s="162"/>
      <c r="T393" s="106"/>
      <c r="U393" s="10"/>
      <c r="V393" s="56"/>
      <c r="W393" s="56"/>
      <c r="X393" s="56"/>
      <c r="Y393" s="56"/>
      <c r="Z393" s="56"/>
      <c r="AA393" s="172"/>
      <c r="AB393" s="56"/>
      <c r="AC393" s="56"/>
      <c r="AD393" s="106"/>
      <c r="AE393" s="56"/>
      <c r="AF393" s="56"/>
      <c r="AG393" s="56"/>
      <c r="AH393" s="56"/>
      <c r="AI393" s="56"/>
      <c r="AJ393" s="56"/>
      <c r="AK393" s="106"/>
      <c r="AL393" s="56"/>
      <c r="AM393" s="56"/>
      <c r="AN393" s="56"/>
      <c r="AO393" s="56"/>
      <c r="AP393" s="56"/>
      <c r="AQ393" s="56"/>
      <c r="AR393" s="56"/>
      <c r="AS393" s="106"/>
      <c r="AT393" s="56"/>
      <c r="AU393" s="56"/>
      <c r="AV393" s="106"/>
      <c r="AW393" s="56"/>
      <c r="AX393" s="10"/>
      <c r="AY393" s="56"/>
      <c r="AZ393" s="56"/>
      <c r="BA393" s="56"/>
      <c r="BB393" s="56"/>
      <c r="BJ393" s="145"/>
      <c r="CD393" s="145"/>
      <c r="CT393" s="145"/>
    </row>
    <row r="394" spans="1:98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68"/>
      <c r="R394" s="56"/>
      <c r="S394" s="162"/>
      <c r="T394" s="106"/>
      <c r="U394" s="10"/>
      <c r="V394" s="56"/>
      <c r="W394" s="56"/>
      <c r="X394" s="56"/>
      <c r="Y394" s="56"/>
      <c r="Z394" s="56"/>
      <c r="AA394" s="172"/>
      <c r="AB394" s="56"/>
      <c r="AC394" s="56"/>
      <c r="AD394" s="106"/>
      <c r="AE394" s="56"/>
      <c r="AF394" s="56"/>
      <c r="AG394" s="56"/>
      <c r="AH394" s="56"/>
      <c r="AI394" s="56"/>
      <c r="AJ394" s="56"/>
      <c r="AK394" s="106"/>
      <c r="AL394" s="56"/>
      <c r="AM394" s="56"/>
      <c r="AN394" s="56"/>
      <c r="AO394" s="56"/>
      <c r="AP394" s="56"/>
      <c r="AQ394" s="56"/>
      <c r="AR394" s="56"/>
      <c r="AS394" s="106"/>
      <c r="AT394" s="56"/>
      <c r="AU394" s="56"/>
      <c r="AV394" s="106"/>
      <c r="AW394" s="56"/>
      <c r="AX394" s="10"/>
      <c r="AY394" s="56"/>
      <c r="AZ394" s="56"/>
      <c r="BA394" s="56"/>
      <c r="BB394" s="56"/>
      <c r="BJ394" s="145"/>
      <c r="CD394" s="145"/>
      <c r="CT394" s="145"/>
    </row>
    <row r="395" spans="1:98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68"/>
      <c r="R395" s="56"/>
      <c r="S395" s="162"/>
      <c r="T395" s="106"/>
      <c r="U395" s="10"/>
      <c r="V395" s="56"/>
      <c r="W395" s="56"/>
      <c r="X395" s="56"/>
      <c r="Y395" s="56"/>
      <c r="Z395" s="56"/>
      <c r="AA395" s="172"/>
      <c r="AB395" s="56"/>
      <c r="AC395" s="56"/>
      <c r="AD395" s="106"/>
      <c r="AE395" s="56"/>
      <c r="AF395" s="56"/>
      <c r="AG395" s="56"/>
      <c r="AH395" s="56"/>
      <c r="AI395" s="56"/>
      <c r="AJ395" s="56"/>
      <c r="AK395" s="106"/>
      <c r="AL395" s="56"/>
      <c r="AM395" s="56"/>
      <c r="AN395" s="56"/>
      <c r="AO395" s="56"/>
      <c r="AP395" s="56"/>
      <c r="AQ395" s="56"/>
      <c r="AR395" s="56"/>
      <c r="AS395" s="106"/>
      <c r="AT395" s="56"/>
      <c r="AU395" s="56"/>
      <c r="AV395" s="106"/>
      <c r="AW395" s="56"/>
      <c r="AX395" s="10"/>
      <c r="AY395" s="56"/>
      <c r="AZ395" s="56"/>
      <c r="BA395" s="56"/>
      <c r="BB395" s="56"/>
      <c r="BJ395" s="145"/>
      <c r="CD395" s="145"/>
      <c r="CT395" s="145"/>
    </row>
    <row r="396" spans="1:98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68"/>
      <c r="R396" s="56"/>
      <c r="S396" s="162"/>
      <c r="T396" s="106"/>
      <c r="U396" s="10"/>
      <c r="V396" s="56"/>
      <c r="W396" s="56"/>
      <c r="X396" s="56"/>
      <c r="Y396" s="56"/>
      <c r="Z396" s="56"/>
      <c r="AA396" s="172"/>
      <c r="AB396" s="56"/>
      <c r="AC396" s="56"/>
      <c r="AD396" s="106"/>
      <c r="AE396" s="56"/>
      <c r="AF396" s="56"/>
      <c r="AG396" s="56"/>
      <c r="AH396" s="56"/>
      <c r="AI396" s="56"/>
      <c r="AJ396" s="56"/>
      <c r="AK396" s="106"/>
      <c r="AL396" s="56"/>
      <c r="AM396" s="56"/>
      <c r="AN396" s="56"/>
      <c r="AO396" s="56"/>
      <c r="AP396" s="56"/>
      <c r="AQ396" s="56"/>
      <c r="AR396" s="56"/>
      <c r="AS396" s="106"/>
      <c r="AT396" s="56"/>
      <c r="AU396" s="56"/>
      <c r="AV396" s="106"/>
      <c r="AW396" s="56"/>
      <c r="AX396" s="10"/>
      <c r="AY396" s="56"/>
      <c r="AZ396" s="56"/>
      <c r="BA396" s="56"/>
      <c r="BB396" s="56"/>
      <c r="BJ396" s="145"/>
      <c r="CD396" s="145"/>
      <c r="CT396" s="145"/>
    </row>
    <row r="397" spans="1:98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68"/>
      <c r="R397" s="56"/>
      <c r="S397" s="162"/>
      <c r="T397" s="106"/>
      <c r="U397" s="10"/>
      <c r="V397" s="56"/>
      <c r="W397" s="56"/>
      <c r="X397" s="56"/>
      <c r="Y397" s="56"/>
      <c r="Z397" s="56"/>
      <c r="AA397" s="172"/>
      <c r="AB397" s="56"/>
      <c r="AC397" s="56"/>
      <c r="AD397" s="106"/>
      <c r="AE397" s="56"/>
      <c r="AF397" s="56"/>
      <c r="AG397" s="56"/>
      <c r="AH397" s="56"/>
      <c r="AI397" s="56"/>
      <c r="AJ397" s="56"/>
      <c r="AK397" s="106"/>
      <c r="AL397" s="56"/>
      <c r="AM397" s="56"/>
      <c r="AN397" s="56"/>
      <c r="AO397" s="56"/>
      <c r="AP397" s="56"/>
      <c r="AQ397" s="56"/>
      <c r="AR397" s="56"/>
      <c r="AS397" s="106"/>
      <c r="AT397" s="56"/>
      <c r="AU397" s="56"/>
      <c r="AV397" s="106"/>
      <c r="AW397" s="56"/>
      <c r="AX397" s="10"/>
      <c r="AY397" s="56"/>
      <c r="AZ397" s="56"/>
      <c r="BA397" s="56"/>
      <c r="BB397" s="56"/>
      <c r="BJ397" s="145"/>
      <c r="CD397" s="145"/>
      <c r="CT397" s="145"/>
    </row>
    <row r="398" spans="1:98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68"/>
      <c r="R398" s="56"/>
      <c r="S398" s="162"/>
      <c r="T398" s="106"/>
      <c r="U398" s="10"/>
      <c r="V398" s="56"/>
      <c r="W398" s="56"/>
      <c r="X398" s="56"/>
      <c r="Y398" s="56"/>
      <c r="Z398" s="56"/>
      <c r="AA398" s="172"/>
      <c r="AB398" s="56"/>
      <c r="AC398" s="56"/>
      <c r="AD398" s="106"/>
      <c r="AE398" s="56"/>
      <c r="AF398" s="56"/>
      <c r="AG398" s="56"/>
      <c r="AH398" s="56"/>
      <c r="AI398" s="56"/>
      <c r="AJ398" s="56"/>
      <c r="AK398" s="106"/>
      <c r="AL398" s="56"/>
      <c r="AM398" s="56"/>
      <c r="AN398" s="56"/>
      <c r="AO398" s="56"/>
      <c r="AP398" s="56"/>
      <c r="AQ398" s="56"/>
      <c r="AR398" s="56"/>
      <c r="AS398" s="106"/>
      <c r="AT398" s="56"/>
      <c r="AU398" s="56"/>
      <c r="AV398" s="106"/>
      <c r="AW398" s="56"/>
      <c r="AX398" s="10"/>
      <c r="AY398" s="56"/>
      <c r="AZ398" s="56"/>
      <c r="BA398" s="56"/>
      <c r="BB398" s="56"/>
      <c r="BJ398" s="145"/>
      <c r="CD398" s="145"/>
      <c r="CT398" s="145"/>
    </row>
    <row r="399" spans="1:98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68"/>
      <c r="R399" s="56"/>
      <c r="S399" s="162"/>
      <c r="T399" s="106"/>
      <c r="U399" s="10"/>
      <c r="V399" s="56"/>
      <c r="W399" s="56"/>
      <c r="X399" s="56"/>
      <c r="Y399" s="56"/>
      <c r="Z399" s="56"/>
      <c r="AA399" s="172"/>
      <c r="AB399" s="56"/>
      <c r="AC399" s="56"/>
      <c r="AD399" s="106"/>
      <c r="AE399" s="56"/>
      <c r="AF399" s="56"/>
      <c r="AG399" s="56"/>
      <c r="AH399" s="56"/>
      <c r="AI399" s="56"/>
      <c r="AJ399" s="56"/>
      <c r="AK399" s="106"/>
      <c r="AL399" s="56"/>
      <c r="AM399" s="56"/>
      <c r="AN399" s="56"/>
      <c r="AO399" s="56"/>
      <c r="AP399" s="56"/>
      <c r="AQ399" s="56"/>
      <c r="AR399" s="56"/>
      <c r="AS399" s="106"/>
      <c r="AT399" s="56"/>
      <c r="AU399" s="56"/>
      <c r="AV399" s="106"/>
      <c r="AW399" s="56"/>
      <c r="AX399" s="10"/>
      <c r="AY399" s="56"/>
      <c r="AZ399" s="56"/>
      <c r="BA399" s="56"/>
      <c r="BB399" s="56"/>
      <c r="BJ399" s="145"/>
      <c r="CD399" s="145"/>
      <c r="CT399" s="145"/>
    </row>
    <row r="400" spans="1:98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68"/>
      <c r="R400" s="56"/>
      <c r="S400" s="162"/>
      <c r="T400" s="106"/>
      <c r="U400" s="10"/>
      <c r="V400" s="56"/>
      <c r="W400" s="56"/>
      <c r="X400" s="56"/>
      <c r="Y400" s="56"/>
      <c r="Z400" s="56"/>
      <c r="AA400" s="172"/>
      <c r="AB400" s="56"/>
      <c r="AC400" s="56"/>
      <c r="AD400" s="106"/>
      <c r="AE400" s="56"/>
      <c r="AF400" s="56"/>
      <c r="AG400" s="56"/>
      <c r="AH400" s="56"/>
      <c r="AI400" s="56"/>
      <c r="AJ400" s="56"/>
      <c r="AK400" s="106"/>
      <c r="AL400" s="56"/>
      <c r="AM400" s="56"/>
      <c r="AN400" s="56"/>
      <c r="AO400" s="56"/>
      <c r="AP400" s="56"/>
      <c r="AQ400" s="56"/>
      <c r="AR400" s="56"/>
      <c r="AS400" s="106"/>
      <c r="AT400" s="56"/>
      <c r="AU400" s="56"/>
      <c r="AV400" s="106"/>
      <c r="AW400" s="56"/>
      <c r="AX400" s="10"/>
      <c r="AY400" s="56"/>
      <c r="AZ400" s="56"/>
      <c r="BA400" s="56"/>
      <c r="BB400" s="56"/>
      <c r="BJ400" s="145"/>
      <c r="CD400" s="145"/>
      <c r="CT400" s="145"/>
    </row>
    <row r="401" spans="1:98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68"/>
      <c r="R401" s="56"/>
      <c r="S401" s="162"/>
      <c r="T401" s="106"/>
      <c r="U401" s="10"/>
      <c r="V401" s="56"/>
      <c r="W401" s="56"/>
      <c r="X401" s="56"/>
      <c r="Y401" s="56"/>
      <c r="Z401" s="56"/>
      <c r="AA401" s="172"/>
      <c r="AB401" s="56"/>
      <c r="AC401" s="56"/>
      <c r="AD401" s="106"/>
      <c r="AE401" s="56"/>
      <c r="AF401" s="56"/>
      <c r="AG401" s="56"/>
      <c r="AH401" s="56"/>
      <c r="AI401" s="56"/>
      <c r="AJ401" s="56"/>
      <c r="AK401" s="106"/>
      <c r="AL401" s="56"/>
      <c r="AM401" s="56"/>
      <c r="AN401" s="56"/>
      <c r="AO401" s="56"/>
      <c r="AP401" s="56"/>
      <c r="AQ401" s="56"/>
      <c r="AR401" s="56"/>
      <c r="AS401" s="106"/>
      <c r="AT401" s="56"/>
      <c r="AU401" s="56"/>
      <c r="AV401" s="106"/>
      <c r="AW401" s="56"/>
      <c r="AX401" s="10"/>
      <c r="AY401" s="56"/>
      <c r="AZ401" s="56"/>
      <c r="BA401" s="56"/>
      <c r="BB401" s="56"/>
      <c r="BJ401" s="145"/>
      <c r="CD401" s="145"/>
      <c r="CT401" s="145"/>
    </row>
    <row r="402" spans="1:98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68"/>
      <c r="R402" s="56"/>
      <c r="S402" s="162"/>
      <c r="T402" s="106"/>
      <c r="U402" s="10"/>
      <c r="V402" s="56"/>
      <c r="W402" s="56"/>
      <c r="X402" s="56"/>
      <c r="Y402" s="56"/>
      <c r="Z402" s="56"/>
      <c r="AA402" s="172"/>
      <c r="AB402" s="56"/>
      <c r="AC402" s="56"/>
      <c r="AD402" s="106"/>
      <c r="AE402" s="56"/>
      <c r="AF402" s="56"/>
      <c r="AG402" s="56"/>
      <c r="AH402" s="56"/>
      <c r="AI402" s="56"/>
      <c r="AJ402" s="56"/>
      <c r="AK402" s="106"/>
      <c r="AL402" s="56"/>
      <c r="AM402" s="56"/>
      <c r="AN402" s="56"/>
      <c r="AO402" s="56"/>
      <c r="AP402" s="56"/>
      <c r="AQ402" s="56"/>
      <c r="AR402" s="56"/>
      <c r="AS402" s="106"/>
      <c r="AT402" s="56"/>
      <c r="AU402" s="56"/>
      <c r="AV402" s="106"/>
      <c r="AW402" s="56"/>
      <c r="AX402" s="10"/>
      <c r="AY402" s="56"/>
      <c r="AZ402" s="56"/>
      <c r="BA402" s="56"/>
      <c r="BB402" s="56"/>
      <c r="BJ402" s="145"/>
      <c r="CD402" s="145"/>
      <c r="CT402" s="145"/>
    </row>
    <row r="403" spans="1:98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68"/>
      <c r="R403" s="56"/>
      <c r="S403" s="162"/>
      <c r="T403" s="106"/>
      <c r="U403" s="10"/>
      <c r="V403" s="56"/>
      <c r="W403" s="56"/>
      <c r="X403" s="56"/>
      <c r="Y403" s="56"/>
      <c r="Z403" s="56"/>
      <c r="AA403" s="172"/>
      <c r="AB403" s="56"/>
      <c r="AC403" s="56"/>
      <c r="AD403" s="106"/>
      <c r="AE403" s="56"/>
      <c r="AF403" s="56"/>
      <c r="AG403" s="56"/>
      <c r="AH403" s="56"/>
      <c r="AI403" s="56"/>
      <c r="AJ403" s="56"/>
      <c r="AK403" s="106"/>
      <c r="AL403" s="56"/>
      <c r="AM403" s="56"/>
      <c r="AN403" s="56"/>
      <c r="AO403" s="56"/>
      <c r="AP403" s="56"/>
      <c r="AQ403" s="56"/>
      <c r="AR403" s="56"/>
      <c r="AS403" s="106"/>
      <c r="AT403" s="56"/>
      <c r="AU403" s="56"/>
      <c r="AV403" s="106"/>
      <c r="AW403" s="56"/>
      <c r="AX403" s="10"/>
      <c r="AY403" s="56"/>
      <c r="AZ403" s="56"/>
      <c r="BA403" s="56"/>
      <c r="BB403" s="56"/>
      <c r="BJ403" s="145"/>
      <c r="CD403" s="145"/>
      <c r="CT403" s="145"/>
    </row>
    <row r="404" spans="1:98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68"/>
      <c r="R404" s="56"/>
      <c r="S404" s="162"/>
      <c r="T404" s="106"/>
      <c r="U404" s="10"/>
      <c r="V404" s="56"/>
      <c r="W404" s="56"/>
      <c r="X404" s="56"/>
      <c r="Y404" s="56"/>
      <c r="Z404" s="56"/>
      <c r="AA404" s="172"/>
      <c r="AB404" s="56"/>
      <c r="AC404" s="56"/>
      <c r="AD404" s="106"/>
      <c r="AE404" s="56"/>
      <c r="AF404" s="56"/>
      <c r="AG404" s="56"/>
      <c r="AH404" s="56"/>
      <c r="AI404" s="56"/>
      <c r="AJ404" s="56"/>
      <c r="AK404" s="106"/>
      <c r="AL404" s="56"/>
      <c r="AM404" s="56"/>
      <c r="AN404" s="56"/>
      <c r="AO404" s="56"/>
      <c r="AP404" s="56"/>
      <c r="AQ404" s="56"/>
      <c r="AR404" s="56"/>
      <c r="AS404" s="106"/>
      <c r="AT404" s="56"/>
      <c r="AU404" s="56"/>
      <c r="AV404" s="106"/>
      <c r="AW404" s="56"/>
      <c r="AX404" s="10"/>
      <c r="AY404" s="56"/>
      <c r="AZ404" s="56"/>
      <c r="BA404" s="56"/>
      <c r="BB404" s="56"/>
      <c r="BJ404" s="145"/>
      <c r="CD404" s="145"/>
      <c r="CT404" s="145"/>
    </row>
    <row r="405" spans="1:98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68"/>
      <c r="R405" s="56"/>
      <c r="S405" s="162"/>
      <c r="T405" s="106"/>
      <c r="U405" s="10"/>
      <c r="V405" s="56"/>
      <c r="W405" s="56"/>
      <c r="X405" s="56"/>
      <c r="Y405" s="56"/>
      <c r="Z405" s="56"/>
      <c r="AA405" s="172"/>
      <c r="AB405" s="56"/>
      <c r="AC405" s="56"/>
      <c r="AD405" s="106"/>
      <c r="AE405" s="56"/>
      <c r="AF405" s="56"/>
      <c r="AG405" s="56"/>
      <c r="AH405" s="56"/>
      <c r="AI405" s="56"/>
      <c r="AJ405" s="56"/>
      <c r="AK405" s="106"/>
      <c r="AL405" s="56"/>
      <c r="AM405" s="56"/>
      <c r="AN405" s="56"/>
      <c r="AO405" s="56"/>
      <c r="AP405" s="56"/>
      <c r="AQ405" s="56"/>
      <c r="AR405" s="56"/>
      <c r="AS405" s="106"/>
      <c r="AT405" s="56"/>
      <c r="AU405" s="56"/>
      <c r="AV405" s="106"/>
      <c r="AW405" s="56"/>
      <c r="AX405" s="10"/>
      <c r="AY405" s="56"/>
      <c r="AZ405" s="56"/>
      <c r="BA405" s="56"/>
      <c r="BB405" s="56"/>
      <c r="BJ405" s="145"/>
      <c r="CD405" s="145"/>
      <c r="CT405" s="145"/>
    </row>
    <row r="406" spans="1:98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68"/>
      <c r="R406" s="56"/>
      <c r="S406" s="162"/>
      <c r="T406" s="106"/>
      <c r="U406" s="10"/>
      <c r="V406" s="56"/>
      <c r="W406" s="56"/>
      <c r="X406" s="56"/>
      <c r="Y406" s="56"/>
      <c r="Z406" s="56"/>
      <c r="AA406" s="172"/>
      <c r="AB406" s="56"/>
      <c r="AC406" s="56"/>
      <c r="AD406" s="106"/>
      <c r="AE406" s="56"/>
      <c r="AF406" s="56"/>
      <c r="AG406" s="56"/>
      <c r="AH406" s="56"/>
      <c r="AI406" s="56"/>
      <c r="AJ406" s="56"/>
      <c r="AK406" s="106"/>
      <c r="AL406" s="56"/>
      <c r="AM406" s="56"/>
      <c r="AN406" s="56"/>
      <c r="AO406" s="56"/>
      <c r="AP406" s="56"/>
      <c r="AQ406" s="56"/>
      <c r="AR406" s="56"/>
      <c r="AS406" s="106"/>
      <c r="AT406" s="56"/>
      <c r="AU406" s="56"/>
      <c r="AV406" s="106"/>
      <c r="AW406" s="56"/>
      <c r="AX406" s="10"/>
      <c r="AY406" s="56"/>
      <c r="AZ406" s="56"/>
      <c r="BA406" s="56"/>
      <c r="BB406" s="56"/>
      <c r="BJ406" s="145"/>
      <c r="CD406" s="145"/>
      <c r="CT406" s="145"/>
    </row>
    <row r="407" spans="1:98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68"/>
      <c r="R407" s="56"/>
      <c r="S407" s="162"/>
      <c r="T407" s="106"/>
      <c r="U407" s="10"/>
      <c r="V407" s="56"/>
      <c r="W407" s="56"/>
      <c r="X407" s="56"/>
      <c r="Y407" s="56"/>
      <c r="Z407" s="56"/>
      <c r="AA407" s="172"/>
      <c r="AB407" s="56"/>
      <c r="AC407" s="56"/>
      <c r="AD407" s="106"/>
      <c r="AE407" s="56"/>
      <c r="AF407" s="56"/>
      <c r="AG407" s="56"/>
      <c r="AH407" s="56"/>
      <c r="AI407" s="56"/>
      <c r="AJ407" s="56"/>
      <c r="AK407" s="106"/>
      <c r="AL407" s="56"/>
      <c r="AM407" s="56"/>
      <c r="AN407" s="56"/>
      <c r="AO407" s="56"/>
      <c r="AP407" s="56"/>
      <c r="AQ407" s="56"/>
      <c r="AR407" s="56"/>
      <c r="AS407" s="106"/>
      <c r="AT407" s="56"/>
      <c r="AU407" s="56"/>
      <c r="AV407" s="106"/>
      <c r="AW407" s="56"/>
      <c r="AX407" s="10"/>
      <c r="AY407" s="56"/>
      <c r="AZ407" s="56"/>
      <c r="BA407" s="56"/>
      <c r="BB407" s="56"/>
      <c r="BJ407" s="145"/>
      <c r="CD407" s="145"/>
      <c r="CT407" s="145"/>
    </row>
    <row r="408" spans="1:98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68"/>
      <c r="R408" s="56"/>
      <c r="S408" s="162"/>
      <c r="T408" s="106"/>
      <c r="U408" s="10"/>
      <c r="V408" s="56"/>
      <c r="W408" s="56"/>
      <c r="X408" s="56"/>
      <c r="Y408" s="56"/>
      <c r="Z408" s="56"/>
      <c r="AA408" s="172"/>
      <c r="AB408" s="56"/>
      <c r="AC408" s="56"/>
      <c r="AD408" s="106"/>
      <c r="AE408" s="56"/>
      <c r="AF408" s="56"/>
      <c r="AG408" s="56"/>
      <c r="AH408" s="56"/>
      <c r="AI408" s="56"/>
      <c r="AJ408" s="56"/>
      <c r="AK408" s="106"/>
      <c r="AL408" s="56"/>
      <c r="AM408" s="56"/>
      <c r="AN408" s="56"/>
      <c r="AO408" s="56"/>
      <c r="AP408" s="56"/>
      <c r="AQ408" s="56"/>
      <c r="AR408" s="56"/>
      <c r="AS408" s="106"/>
      <c r="AT408" s="56"/>
      <c r="AU408" s="56"/>
      <c r="AV408" s="106"/>
      <c r="AW408" s="56"/>
      <c r="AX408" s="10"/>
      <c r="AY408" s="56"/>
      <c r="AZ408" s="56"/>
      <c r="BA408" s="56"/>
      <c r="BB408" s="56"/>
      <c r="BJ408" s="145"/>
      <c r="CD408" s="145"/>
      <c r="CT408" s="145"/>
    </row>
    <row r="409" spans="1:98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68"/>
      <c r="R409" s="56"/>
      <c r="S409" s="162"/>
      <c r="T409" s="106"/>
      <c r="U409" s="10"/>
      <c r="V409" s="56"/>
      <c r="W409" s="56"/>
      <c r="X409" s="56"/>
      <c r="Y409" s="56"/>
      <c r="Z409" s="56"/>
      <c r="AA409" s="172"/>
      <c r="AB409" s="56"/>
      <c r="AC409" s="56"/>
      <c r="AD409" s="106"/>
      <c r="AE409" s="56"/>
      <c r="AF409" s="56"/>
      <c r="AG409" s="56"/>
      <c r="AH409" s="56"/>
      <c r="AI409" s="56"/>
      <c r="AJ409" s="56"/>
      <c r="AK409" s="106"/>
      <c r="AL409" s="56"/>
      <c r="AM409" s="56"/>
      <c r="AN409" s="56"/>
      <c r="AO409" s="56"/>
      <c r="AP409" s="56"/>
      <c r="AQ409" s="56"/>
      <c r="AR409" s="56"/>
      <c r="AS409" s="106"/>
      <c r="AT409" s="56"/>
      <c r="AU409" s="56"/>
      <c r="AV409" s="106"/>
      <c r="AW409" s="56"/>
      <c r="AX409" s="10"/>
      <c r="AY409" s="56"/>
      <c r="AZ409" s="56"/>
      <c r="BA409" s="56"/>
      <c r="BB409" s="56"/>
      <c r="BJ409" s="145"/>
      <c r="CD409" s="145"/>
      <c r="CT409" s="145"/>
    </row>
    <row r="410" spans="1:98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68"/>
      <c r="R410" s="56"/>
      <c r="S410" s="162"/>
      <c r="T410" s="106"/>
      <c r="U410" s="10"/>
      <c r="V410" s="56"/>
      <c r="W410" s="56"/>
      <c r="X410" s="56"/>
      <c r="Y410" s="56"/>
      <c r="Z410" s="56"/>
      <c r="AA410" s="172"/>
      <c r="AB410" s="56"/>
      <c r="AC410" s="56"/>
      <c r="AD410" s="106"/>
      <c r="AE410" s="56"/>
      <c r="AF410" s="56"/>
      <c r="AG410" s="56"/>
      <c r="AH410" s="56"/>
      <c r="AI410" s="56"/>
      <c r="AJ410" s="56"/>
      <c r="AK410" s="106"/>
      <c r="AL410" s="56"/>
      <c r="AM410" s="56"/>
      <c r="AN410" s="56"/>
      <c r="AO410" s="56"/>
      <c r="AP410" s="56"/>
      <c r="AQ410" s="56"/>
      <c r="AR410" s="56"/>
      <c r="AS410" s="106"/>
      <c r="AT410" s="56"/>
      <c r="AU410" s="56"/>
      <c r="AV410" s="106"/>
      <c r="AW410" s="56"/>
      <c r="AX410" s="10"/>
      <c r="AY410" s="56"/>
      <c r="AZ410" s="56"/>
      <c r="BA410" s="56"/>
      <c r="BB410" s="56"/>
      <c r="BJ410" s="145"/>
      <c r="CD410" s="145"/>
      <c r="CT410" s="145"/>
    </row>
    <row r="411" spans="1:98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68"/>
      <c r="R411" s="56"/>
      <c r="S411" s="162"/>
      <c r="T411" s="106"/>
      <c r="U411" s="10"/>
      <c r="V411" s="56"/>
      <c r="W411" s="56"/>
      <c r="X411" s="56"/>
      <c r="Y411" s="56"/>
      <c r="Z411" s="56"/>
      <c r="AA411" s="172"/>
      <c r="AB411" s="56"/>
      <c r="AC411" s="56"/>
      <c r="AD411" s="106"/>
      <c r="AE411" s="56"/>
      <c r="AF411" s="56"/>
      <c r="AG411" s="56"/>
      <c r="AH411" s="56"/>
      <c r="AI411" s="56"/>
      <c r="AJ411" s="56"/>
      <c r="AK411" s="106"/>
      <c r="AL411" s="56"/>
      <c r="AM411" s="56"/>
      <c r="AN411" s="56"/>
      <c r="AO411" s="56"/>
      <c r="AP411" s="56"/>
      <c r="AQ411" s="56"/>
      <c r="AR411" s="56"/>
      <c r="AS411" s="106"/>
      <c r="AT411" s="56"/>
      <c r="AU411" s="56"/>
      <c r="AV411" s="106"/>
      <c r="AW411" s="56"/>
      <c r="AX411" s="10"/>
      <c r="AY411" s="56"/>
      <c r="AZ411" s="56"/>
      <c r="BA411" s="56"/>
      <c r="BB411" s="56"/>
      <c r="BJ411" s="145"/>
      <c r="CD411" s="145"/>
      <c r="CT411" s="145"/>
    </row>
    <row r="412" spans="1:98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68"/>
      <c r="R412" s="56"/>
      <c r="S412" s="162"/>
      <c r="T412" s="106"/>
      <c r="U412" s="10"/>
      <c r="V412" s="56"/>
      <c r="W412" s="56"/>
      <c r="X412" s="56"/>
      <c r="Y412" s="56"/>
      <c r="Z412" s="56"/>
      <c r="AA412" s="172"/>
      <c r="AB412" s="56"/>
      <c r="AC412" s="56"/>
      <c r="AD412" s="106"/>
      <c r="AE412" s="56"/>
      <c r="AF412" s="56"/>
      <c r="AG412" s="56"/>
      <c r="AH412" s="56"/>
      <c r="AI412" s="56"/>
      <c r="AJ412" s="56"/>
      <c r="AK412" s="106"/>
      <c r="AL412" s="56"/>
      <c r="AM412" s="56"/>
      <c r="AN412" s="56"/>
      <c r="AO412" s="56"/>
      <c r="AP412" s="56"/>
      <c r="AQ412" s="56"/>
      <c r="AR412" s="56"/>
      <c r="AS412" s="106"/>
      <c r="AT412" s="56"/>
      <c r="AU412" s="56"/>
      <c r="AV412" s="106"/>
      <c r="AW412" s="56"/>
      <c r="AX412" s="10"/>
      <c r="AY412" s="56"/>
      <c r="AZ412" s="56"/>
      <c r="BA412" s="56"/>
      <c r="BB412" s="56"/>
      <c r="BJ412" s="145"/>
      <c r="CD412" s="145"/>
      <c r="CT412" s="145"/>
    </row>
    <row r="413" spans="1:98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68"/>
      <c r="R413" s="56"/>
      <c r="S413" s="162"/>
      <c r="T413" s="106"/>
      <c r="U413" s="10"/>
      <c r="V413" s="56"/>
      <c r="W413" s="56"/>
      <c r="X413" s="56"/>
      <c r="Y413" s="56"/>
      <c r="Z413" s="56"/>
      <c r="AA413" s="172"/>
      <c r="AB413" s="56"/>
      <c r="AC413" s="56"/>
      <c r="AD413" s="106"/>
      <c r="AE413" s="56"/>
      <c r="AF413" s="56"/>
      <c r="AG413" s="56"/>
      <c r="AH413" s="56"/>
      <c r="AI413" s="56"/>
      <c r="AJ413" s="56"/>
      <c r="AK413" s="106"/>
      <c r="AL413" s="56"/>
      <c r="AM413" s="56"/>
      <c r="AN413" s="56"/>
      <c r="AO413" s="56"/>
      <c r="AP413" s="56"/>
      <c r="AQ413" s="56"/>
      <c r="AR413" s="56"/>
      <c r="AS413" s="106"/>
      <c r="AT413" s="56"/>
      <c r="AU413" s="56"/>
      <c r="AV413" s="106"/>
      <c r="AW413" s="56"/>
      <c r="AX413" s="10"/>
      <c r="AY413" s="56"/>
      <c r="AZ413" s="56"/>
      <c r="BA413" s="56"/>
      <c r="BB413" s="56"/>
      <c r="BJ413" s="145"/>
      <c r="CD413" s="145"/>
      <c r="CT413" s="145"/>
    </row>
    <row r="414" spans="1:98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68"/>
      <c r="R414" s="56"/>
      <c r="S414" s="162"/>
      <c r="T414" s="106"/>
      <c r="U414" s="10"/>
      <c r="V414" s="56"/>
      <c r="W414" s="56"/>
      <c r="X414" s="56"/>
      <c r="Y414" s="56"/>
      <c r="Z414" s="56"/>
      <c r="AA414" s="172"/>
      <c r="AB414" s="56"/>
      <c r="AC414" s="56"/>
      <c r="AD414" s="106"/>
      <c r="AE414" s="56"/>
      <c r="AF414" s="56"/>
      <c r="AG414" s="56"/>
      <c r="AH414" s="56"/>
      <c r="AI414" s="56"/>
      <c r="AJ414" s="56"/>
      <c r="AK414" s="106"/>
      <c r="AL414" s="56"/>
      <c r="AM414" s="56"/>
      <c r="AN414" s="56"/>
      <c r="AO414" s="56"/>
      <c r="AP414" s="56"/>
      <c r="AQ414" s="56"/>
      <c r="AR414" s="56"/>
      <c r="AS414" s="106"/>
      <c r="AT414" s="56"/>
      <c r="AU414" s="56"/>
      <c r="AV414" s="106"/>
      <c r="AW414" s="56"/>
      <c r="AX414" s="10"/>
      <c r="AY414" s="56"/>
      <c r="AZ414" s="56"/>
      <c r="BA414" s="56"/>
      <c r="BB414" s="56"/>
      <c r="BJ414" s="145"/>
      <c r="CD414" s="145"/>
      <c r="CT414" s="145"/>
    </row>
    <row r="415" spans="1:98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68"/>
      <c r="R415" s="56"/>
      <c r="S415" s="162"/>
      <c r="T415" s="106"/>
      <c r="U415" s="10"/>
      <c r="V415" s="56"/>
      <c r="W415" s="56"/>
      <c r="X415" s="56"/>
      <c r="Y415" s="56"/>
      <c r="Z415" s="56"/>
      <c r="AA415" s="172"/>
      <c r="AB415" s="56"/>
      <c r="AC415" s="56"/>
      <c r="AD415" s="106"/>
      <c r="AE415" s="56"/>
      <c r="AF415" s="56"/>
      <c r="AG415" s="56"/>
      <c r="AH415" s="56"/>
      <c r="AI415" s="56"/>
      <c r="AJ415" s="56"/>
      <c r="AK415" s="106"/>
      <c r="AL415" s="56"/>
      <c r="AM415" s="56"/>
      <c r="AN415" s="56"/>
      <c r="AO415" s="56"/>
      <c r="AP415" s="56"/>
      <c r="AQ415" s="56"/>
      <c r="AR415" s="56"/>
      <c r="AS415" s="106"/>
      <c r="AT415" s="56"/>
      <c r="AU415" s="56"/>
      <c r="AV415" s="106"/>
      <c r="AW415" s="56"/>
      <c r="AX415" s="10"/>
      <c r="AY415" s="56"/>
      <c r="AZ415" s="56"/>
      <c r="BA415" s="56"/>
      <c r="BB415" s="56"/>
      <c r="BJ415" s="145"/>
      <c r="CD415" s="145"/>
      <c r="CT415" s="145"/>
    </row>
    <row r="416" spans="1:98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68"/>
      <c r="R416" s="56"/>
      <c r="S416" s="162"/>
      <c r="T416" s="106"/>
      <c r="U416" s="10"/>
      <c r="V416" s="56"/>
      <c r="W416" s="56"/>
      <c r="X416" s="56"/>
      <c r="Y416" s="56"/>
      <c r="Z416" s="56"/>
      <c r="AA416" s="172"/>
      <c r="AB416" s="56"/>
      <c r="AC416" s="56"/>
      <c r="AD416" s="106"/>
      <c r="AE416" s="56"/>
      <c r="AF416" s="56"/>
      <c r="AG416" s="56"/>
      <c r="AH416" s="56"/>
      <c r="AI416" s="56"/>
      <c r="AJ416" s="56"/>
      <c r="AK416" s="106"/>
      <c r="AL416" s="56"/>
      <c r="AM416" s="56"/>
      <c r="AN416" s="56"/>
      <c r="AO416" s="56"/>
      <c r="AP416" s="56"/>
      <c r="AQ416" s="56"/>
      <c r="AR416" s="56"/>
      <c r="AS416" s="106"/>
      <c r="AT416" s="56"/>
      <c r="AU416" s="56"/>
      <c r="AV416" s="106"/>
      <c r="AW416" s="56"/>
      <c r="AX416" s="10"/>
      <c r="AY416" s="56"/>
      <c r="AZ416" s="56"/>
      <c r="BA416" s="56"/>
      <c r="BB416" s="56"/>
      <c r="BJ416" s="145"/>
      <c r="CD416" s="145"/>
      <c r="CT416" s="145"/>
    </row>
    <row r="417" spans="1:98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68"/>
      <c r="R417" s="56"/>
      <c r="S417" s="162"/>
      <c r="T417" s="106"/>
      <c r="U417" s="10"/>
      <c r="V417" s="56"/>
      <c r="W417" s="56"/>
      <c r="X417" s="56"/>
      <c r="Y417" s="56"/>
      <c r="Z417" s="56"/>
      <c r="AA417" s="172"/>
      <c r="AB417" s="56"/>
      <c r="AC417" s="56"/>
      <c r="AD417" s="106"/>
      <c r="AE417" s="56"/>
      <c r="AF417" s="56"/>
      <c r="AG417" s="56"/>
      <c r="AH417" s="56"/>
      <c r="AI417" s="56"/>
      <c r="AJ417" s="56"/>
      <c r="AK417" s="106"/>
      <c r="AL417" s="56"/>
      <c r="AM417" s="56"/>
      <c r="AN417" s="56"/>
      <c r="AO417" s="56"/>
      <c r="AP417" s="56"/>
      <c r="AQ417" s="56"/>
      <c r="AR417" s="56"/>
      <c r="AS417" s="106"/>
      <c r="AT417" s="56"/>
      <c r="AU417" s="56"/>
      <c r="AV417" s="106"/>
      <c r="AW417" s="56"/>
      <c r="AX417" s="10"/>
      <c r="AY417" s="56"/>
      <c r="AZ417" s="56"/>
      <c r="BA417" s="56"/>
      <c r="BB417" s="56"/>
      <c r="BJ417" s="145"/>
      <c r="CD417" s="145"/>
      <c r="CT417" s="145"/>
    </row>
    <row r="418" spans="1:98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68"/>
      <c r="R418" s="56"/>
      <c r="S418" s="162"/>
      <c r="T418" s="106"/>
      <c r="U418" s="10"/>
      <c r="V418" s="56"/>
      <c r="W418" s="56"/>
      <c r="X418" s="56"/>
      <c r="Y418" s="56"/>
      <c r="Z418" s="56"/>
      <c r="AA418" s="172"/>
      <c r="AB418" s="56"/>
      <c r="AC418" s="56"/>
      <c r="AD418" s="106"/>
      <c r="AE418" s="56"/>
      <c r="AF418" s="56"/>
      <c r="AG418" s="56"/>
      <c r="AH418" s="56"/>
      <c r="AI418" s="56"/>
      <c r="AJ418" s="56"/>
      <c r="AK418" s="106"/>
      <c r="AL418" s="56"/>
      <c r="AM418" s="56"/>
      <c r="AN418" s="56"/>
      <c r="AO418" s="56"/>
      <c r="AP418" s="56"/>
      <c r="AQ418" s="56"/>
      <c r="AR418" s="56"/>
      <c r="AS418" s="106"/>
      <c r="AT418" s="56"/>
      <c r="AU418" s="56"/>
      <c r="AV418" s="106"/>
      <c r="AW418" s="56"/>
      <c r="AX418" s="10"/>
      <c r="AY418" s="56"/>
      <c r="AZ418" s="56"/>
      <c r="BA418" s="56"/>
      <c r="BB418" s="56"/>
      <c r="BJ418" s="145"/>
      <c r="CD418" s="145"/>
      <c r="CT418" s="145"/>
    </row>
    <row r="419" spans="1:98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68"/>
      <c r="R419" s="56"/>
      <c r="S419" s="162"/>
      <c r="T419" s="106"/>
      <c r="U419" s="10"/>
      <c r="V419" s="56"/>
      <c r="W419" s="56"/>
      <c r="X419" s="56"/>
      <c r="Y419" s="56"/>
      <c r="Z419" s="56"/>
      <c r="AA419" s="172"/>
      <c r="AB419" s="56"/>
      <c r="AC419" s="56"/>
      <c r="AD419" s="106"/>
      <c r="AE419" s="56"/>
      <c r="AF419" s="56"/>
      <c r="AG419" s="56"/>
      <c r="AH419" s="56"/>
      <c r="AI419" s="56"/>
      <c r="AJ419" s="56"/>
      <c r="AK419" s="106"/>
      <c r="AL419" s="56"/>
      <c r="AM419" s="56"/>
      <c r="AN419" s="56"/>
      <c r="AO419" s="56"/>
      <c r="AP419" s="56"/>
      <c r="AQ419" s="56"/>
      <c r="AR419" s="56"/>
      <c r="AS419" s="106"/>
      <c r="AT419" s="56"/>
      <c r="AU419" s="56"/>
      <c r="AV419" s="106"/>
      <c r="AW419" s="56"/>
      <c r="AX419" s="10"/>
      <c r="AY419" s="56"/>
      <c r="AZ419" s="56"/>
      <c r="BA419" s="56"/>
      <c r="BB419" s="56"/>
      <c r="BJ419" s="145"/>
      <c r="CD419" s="145"/>
      <c r="CT419" s="145"/>
    </row>
    <row r="420" spans="1:98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68"/>
      <c r="R420" s="56"/>
      <c r="S420" s="162"/>
      <c r="T420" s="106"/>
      <c r="U420" s="10"/>
      <c r="V420" s="56"/>
      <c r="W420" s="56"/>
      <c r="X420" s="56"/>
      <c r="Y420" s="56"/>
      <c r="Z420" s="56"/>
      <c r="AA420" s="172"/>
      <c r="AB420" s="56"/>
      <c r="AC420" s="56"/>
      <c r="AD420" s="106"/>
      <c r="AE420" s="56"/>
      <c r="AF420" s="56"/>
      <c r="AG420" s="56"/>
      <c r="AH420" s="56"/>
      <c r="AI420" s="56"/>
      <c r="AJ420" s="56"/>
      <c r="AK420" s="106"/>
      <c r="AL420" s="56"/>
      <c r="AM420" s="56"/>
      <c r="AN420" s="56"/>
      <c r="AO420" s="56"/>
      <c r="AP420" s="56"/>
      <c r="AQ420" s="56"/>
      <c r="AR420" s="56"/>
      <c r="AS420" s="106"/>
      <c r="AT420" s="56"/>
      <c r="AU420" s="56"/>
      <c r="AV420" s="106"/>
      <c r="AW420" s="56"/>
      <c r="AX420" s="10"/>
      <c r="AY420" s="56"/>
      <c r="AZ420" s="56"/>
      <c r="BA420" s="56"/>
      <c r="BB420" s="56"/>
      <c r="BJ420" s="145"/>
      <c r="CD420" s="145"/>
      <c r="CT420" s="145"/>
    </row>
    <row r="421" spans="1:98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68"/>
      <c r="R421" s="56"/>
      <c r="S421" s="162"/>
      <c r="T421" s="106"/>
      <c r="U421" s="10"/>
      <c r="V421" s="56"/>
      <c r="W421" s="56"/>
      <c r="X421" s="56"/>
      <c r="Y421" s="56"/>
      <c r="Z421" s="56"/>
      <c r="AA421" s="172"/>
      <c r="AB421" s="56"/>
      <c r="AC421" s="56"/>
      <c r="AD421" s="106"/>
      <c r="AE421" s="56"/>
      <c r="AF421" s="56"/>
      <c r="AG421" s="56"/>
      <c r="AH421" s="56"/>
      <c r="AI421" s="56"/>
      <c r="AJ421" s="56"/>
      <c r="AK421" s="106"/>
      <c r="AL421" s="56"/>
      <c r="AM421" s="56"/>
      <c r="AN421" s="56"/>
      <c r="AO421" s="56"/>
      <c r="AP421" s="56"/>
      <c r="AQ421" s="56"/>
      <c r="AR421" s="56"/>
      <c r="AS421" s="106"/>
      <c r="AT421" s="56"/>
      <c r="AU421" s="56"/>
      <c r="AV421" s="106"/>
      <c r="AW421" s="56"/>
      <c r="AX421" s="10"/>
      <c r="AY421" s="56"/>
      <c r="AZ421" s="56"/>
      <c r="BA421" s="56"/>
      <c r="BB421" s="56"/>
      <c r="BJ421" s="145"/>
      <c r="CD421" s="145"/>
      <c r="CT421" s="145"/>
    </row>
    <row r="422" spans="1:98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68"/>
      <c r="R422" s="56"/>
      <c r="S422" s="162"/>
      <c r="T422" s="106"/>
      <c r="U422" s="10"/>
      <c r="V422" s="56"/>
      <c r="W422" s="56"/>
      <c r="X422" s="56"/>
      <c r="Y422" s="56"/>
      <c r="Z422" s="56"/>
      <c r="AA422" s="172"/>
      <c r="AB422" s="56"/>
      <c r="AC422" s="56"/>
      <c r="AD422" s="106"/>
      <c r="AE422" s="56"/>
      <c r="AF422" s="56"/>
      <c r="AG422" s="56"/>
      <c r="AH422" s="56"/>
      <c r="AI422" s="56"/>
      <c r="AJ422" s="56"/>
      <c r="AK422" s="106"/>
      <c r="AL422" s="56"/>
      <c r="AM422" s="56"/>
      <c r="AN422" s="56"/>
      <c r="AO422" s="56"/>
      <c r="AP422" s="56"/>
      <c r="AQ422" s="56"/>
      <c r="AR422" s="56"/>
      <c r="AS422" s="106"/>
      <c r="AT422" s="56"/>
      <c r="AU422" s="56"/>
      <c r="AV422" s="106"/>
      <c r="AW422" s="56"/>
      <c r="AX422" s="10"/>
      <c r="AY422" s="56"/>
      <c r="AZ422" s="56"/>
      <c r="BA422" s="56"/>
      <c r="BB422" s="56"/>
      <c r="BJ422" s="145"/>
      <c r="CD422" s="145"/>
      <c r="CT422" s="145"/>
    </row>
    <row r="423" spans="1:98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68"/>
      <c r="R423" s="56"/>
      <c r="S423" s="162"/>
      <c r="T423" s="106"/>
      <c r="U423" s="10"/>
      <c r="V423" s="56"/>
      <c r="W423" s="56"/>
      <c r="X423" s="56"/>
      <c r="Y423" s="56"/>
      <c r="Z423" s="56"/>
      <c r="AA423" s="172"/>
      <c r="AB423" s="56"/>
      <c r="AC423" s="56"/>
      <c r="AD423" s="106"/>
      <c r="AE423" s="56"/>
      <c r="AF423" s="56"/>
      <c r="AG423" s="56"/>
      <c r="AH423" s="56"/>
      <c r="AI423" s="56"/>
      <c r="AJ423" s="56"/>
      <c r="AK423" s="106"/>
      <c r="AL423" s="56"/>
      <c r="AM423" s="56"/>
      <c r="AN423" s="56"/>
      <c r="AO423" s="56"/>
      <c r="AP423" s="56"/>
      <c r="AQ423" s="56"/>
      <c r="AR423" s="56"/>
      <c r="AS423" s="106"/>
      <c r="AT423" s="56"/>
      <c r="AU423" s="56"/>
      <c r="AV423" s="106"/>
      <c r="AW423" s="56"/>
      <c r="AX423" s="10"/>
      <c r="AY423" s="56"/>
      <c r="AZ423" s="56"/>
      <c r="BA423" s="56"/>
      <c r="BB423" s="56"/>
      <c r="BJ423" s="145"/>
      <c r="CD423" s="145"/>
      <c r="CT423" s="145"/>
    </row>
    <row r="424" spans="1:98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68"/>
      <c r="R424" s="56"/>
      <c r="S424" s="162"/>
      <c r="T424" s="106"/>
      <c r="U424" s="10"/>
      <c r="V424" s="56"/>
      <c r="W424" s="56"/>
      <c r="X424" s="56"/>
      <c r="Y424" s="56"/>
      <c r="Z424" s="56"/>
      <c r="AA424" s="172"/>
      <c r="AB424" s="56"/>
      <c r="AC424" s="56"/>
      <c r="AD424" s="106"/>
      <c r="AE424" s="56"/>
      <c r="AF424" s="56"/>
      <c r="AG424" s="56"/>
      <c r="AH424" s="56"/>
      <c r="AI424" s="56"/>
      <c r="AJ424" s="56"/>
      <c r="AK424" s="106"/>
      <c r="AL424" s="56"/>
      <c r="AM424" s="56"/>
      <c r="AN424" s="56"/>
      <c r="AO424" s="56"/>
      <c r="AP424" s="56"/>
      <c r="AQ424" s="56"/>
      <c r="AR424" s="56"/>
      <c r="AS424" s="106"/>
      <c r="AT424" s="56"/>
      <c r="AU424" s="56"/>
      <c r="AV424" s="106"/>
      <c r="AW424" s="56"/>
      <c r="AX424" s="10"/>
      <c r="AY424" s="56"/>
      <c r="AZ424" s="56"/>
      <c r="BA424" s="56"/>
      <c r="BB424" s="56"/>
      <c r="BJ424" s="145"/>
      <c r="CD424" s="145"/>
      <c r="CT424" s="145"/>
    </row>
    <row r="425" spans="1:98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68"/>
      <c r="R425" s="56"/>
      <c r="S425" s="162"/>
      <c r="T425" s="106"/>
      <c r="U425" s="10"/>
      <c r="V425" s="56"/>
      <c r="W425" s="56"/>
      <c r="X425" s="56"/>
      <c r="Y425" s="56"/>
      <c r="Z425" s="56"/>
      <c r="AA425" s="172"/>
      <c r="AB425" s="56"/>
      <c r="AC425" s="56"/>
      <c r="AD425" s="106"/>
      <c r="AE425" s="56"/>
      <c r="AF425" s="56"/>
      <c r="AG425" s="56"/>
      <c r="AH425" s="56"/>
      <c r="AI425" s="56"/>
      <c r="AJ425" s="56"/>
      <c r="AK425" s="106"/>
      <c r="AL425" s="56"/>
      <c r="AM425" s="56"/>
      <c r="AN425" s="56"/>
      <c r="AO425" s="56"/>
      <c r="AP425" s="56"/>
      <c r="AQ425" s="56"/>
      <c r="AR425" s="56"/>
      <c r="AS425" s="106"/>
      <c r="AT425" s="56"/>
      <c r="AU425" s="56"/>
      <c r="AV425" s="106"/>
      <c r="AW425" s="56"/>
      <c r="AX425" s="10"/>
      <c r="AY425" s="56"/>
      <c r="AZ425" s="56"/>
      <c r="BA425" s="56"/>
      <c r="BB425" s="56"/>
      <c r="BJ425" s="145"/>
      <c r="CD425" s="145"/>
      <c r="CT425" s="145"/>
    </row>
    <row r="426" spans="1:98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68"/>
      <c r="R426" s="56"/>
      <c r="S426" s="162"/>
      <c r="T426" s="106"/>
      <c r="U426" s="10"/>
      <c r="V426" s="56"/>
      <c r="W426" s="56"/>
      <c r="X426" s="56"/>
      <c r="Y426" s="56"/>
      <c r="Z426" s="56"/>
      <c r="AA426" s="172"/>
      <c r="AB426" s="56"/>
      <c r="AC426" s="56"/>
      <c r="AD426" s="106"/>
      <c r="AE426" s="56"/>
      <c r="AF426" s="56"/>
      <c r="AG426" s="56"/>
      <c r="AH426" s="56"/>
      <c r="AI426" s="56"/>
      <c r="AJ426" s="56"/>
      <c r="AK426" s="106"/>
      <c r="AL426" s="56"/>
      <c r="AM426" s="56"/>
      <c r="AN426" s="56"/>
      <c r="AO426" s="56"/>
      <c r="AP426" s="56"/>
      <c r="AQ426" s="56"/>
      <c r="AR426" s="56"/>
      <c r="AS426" s="106"/>
      <c r="AT426" s="56"/>
      <c r="AU426" s="56"/>
      <c r="AV426" s="106"/>
      <c r="AW426" s="56"/>
      <c r="AX426" s="10"/>
      <c r="AY426" s="56"/>
      <c r="AZ426" s="56"/>
      <c r="BA426" s="56"/>
      <c r="BB426" s="56"/>
      <c r="BJ426" s="145"/>
      <c r="CD426" s="145"/>
      <c r="CT426" s="145"/>
    </row>
    <row r="427" spans="1:98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68"/>
      <c r="R427" s="56"/>
      <c r="S427" s="162"/>
      <c r="T427" s="106"/>
      <c r="U427" s="10"/>
      <c r="V427" s="56"/>
      <c r="W427" s="56"/>
      <c r="X427" s="56"/>
      <c r="Y427" s="56"/>
      <c r="Z427" s="56"/>
      <c r="AA427" s="172"/>
      <c r="AB427" s="56"/>
      <c r="AC427" s="56"/>
      <c r="AD427" s="106"/>
      <c r="AE427" s="56"/>
      <c r="AF427" s="56"/>
      <c r="AG427" s="56"/>
      <c r="AH427" s="56"/>
      <c r="AI427" s="56"/>
      <c r="AJ427" s="56"/>
      <c r="AK427" s="106"/>
      <c r="AL427" s="56"/>
      <c r="AM427" s="56"/>
      <c r="AN427" s="56"/>
      <c r="AO427" s="56"/>
      <c r="AP427" s="56"/>
      <c r="AQ427" s="56"/>
      <c r="AR427" s="56"/>
      <c r="AS427" s="106"/>
      <c r="AT427" s="56"/>
      <c r="AU427" s="56"/>
      <c r="AV427" s="106"/>
      <c r="AW427" s="56"/>
      <c r="AX427" s="10"/>
      <c r="AY427" s="56"/>
      <c r="AZ427" s="56"/>
      <c r="BA427" s="56"/>
      <c r="BB427" s="56"/>
      <c r="BJ427" s="145"/>
      <c r="CD427" s="145"/>
      <c r="CT427" s="145"/>
    </row>
    <row r="428" spans="1:98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68"/>
      <c r="R428" s="56"/>
      <c r="S428" s="162"/>
      <c r="T428" s="106"/>
      <c r="U428" s="10"/>
      <c r="V428" s="56"/>
      <c r="W428" s="56"/>
      <c r="X428" s="56"/>
      <c r="Y428" s="56"/>
      <c r="Z428" s="56"/>
      <c r="AA428" s="172"/>
      <c r="AB428" s="56"/>
      <c r="AC428" s="56"/>
      <c r="AD428" s="106"/>
      <c r="AE428" s="56"/>
      <c r="AF428" s="56"/>
      <c r="AG428" s="56"/>
      <c r="AH428" s="56"/>
      <c r="AI428" s="56"/>
      <c r="AJ428" s="56"/>
      <c r="AK428" s="106"/>
      <c r="AL428" s="56"/>
      <c r="AM428" s="56"/>
      <c r="AN428" s="56"/>
      <c r="AO428" s="56"/>
      <c r="AP428" s="56"/>
      <c r="AQ428" s="56"/>
      <c r="AR428" s="56"/>
      <c r="AS428" s="106"/>
      <c r="AT428" s="56"/>
      <c r="AU428" s="56"/>
      <c r="AV428" s="106"/>
      <c r="AW428" s="56"/>
      <c r="AX428" s="10"/>
      <c r="AY428" s="56"/>
      <c r="AZ428" s="56"/>
      <c r="BA428" s="56"/>
      <c r="BB428" s="56"/>
      <c r="BJ428" s="145"/>
      <c r="CD428" s="145"/>
      <c r="CT428" s="145"/>
    </row>
    <row r="429" spans="1:98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68"/>
      <c r="R429" s="56"/>
      <c r="S429" s="162"/>
      <c r="T429" s="106"/>
      <c r="U429" s="10"/>
      <c r="V429" s="56"/>
      <c r="W429" s="56"/>
      <c r="X429" s="56"/>
      <c r="Y429" s="56"/>
      <c r="Z429" s="56"/>
      <c r="AA429" s="172"/>
      <c r="AB429" s="56"/>
      <c r="AC429" s="56"/>
      <c r="AD429" s="106"/>
      <c r="AE429" s="56"/>
      <c r="AF429" s="56"/>
      <c r="AG429" s="56"/>
      <c r="AH429" s="56"/>
      <c r="AI429" s="56"/>
      <c r="AJ429" s="56"/>
      <c r="AK429" s="106"/>
      <c r="AL429" s="56"/>
      <c r="AM429" s="56"/>
      <c r="AN429" s="56"/>
      <c r="AO429" s="56"/>
      <c r="AP429" s="56"/>
      <c r="AQ429" s="56"/>
      <c r="AR429" s="56"/>
      <c r="AS429" s="106"/>
      <c r="AT429" s="56"/>
      <c r="AU429" s="56"/>
      <c r="AV429" s="106"/>
      <c r="AW429" s="56"/>
      <c r="AX429" s="10"/>
      <c r="AY429" s="56"/>
      <c r="AZ429" s="56"/>
      <c r="BA429" s="56"/>
      <c r="BB429" s="56"/>
      <c r="BJ429" s="145"/>
      <c r="CD429" s="145"/>
      <c r="CT429" s="145"/>
    </row>
    <row r="430" spans="1:98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68"/>
      <c r="R430" s="56"/>
      <c r="S430" s="162"/>
      <c r="T430" s="106"/>
      <c r="U430" s="10"/>
      <c r="V430" s="56"/>
      <c r="W430" s="56"/>
      <c r="X430" s="56"/>
      <c r="Y430" s="56"/>
      <c r="Z430" s="56"/>
      <c r="AA430" s="172"/>
      <c r="AB430" s="56"/>
      <c r="AC430" s="56"/>
      <c r="AD430" s="106"/>
      <c r="AE430" s="56"/>
      <c r="AF430" s="56"/>
      <c r="AG430" s="56"/>
      <c r="AH430" s="56"/>
      <c r="AI430" s="56"/>
      <c r="AJ430" s="56"/>
      <c r="AK430" s="106"/>
      <c r="AL430" s="56"/>
      <c r="AM430" s="56"/>
      <c r="AN430" s="56"/>
      <c r="AO430" s="56"/>
      <c r="AP430" s="56"/>
      <c r="AQ430" s="56"/>
      <c r="AR430" s="56"/>
      <c r="AS430" s="106"/>
      <c r="AT430" s="56"/>
      <c r="AU430" s="56"/>
      <c r="AV430" s="106"/>
      <c r="AW430" s="56"/>
      <c r="AX430" s="10"/>
      <c r="AY430" s="56"/>
      <c r="AZ430" s="56"/>
      <c r="BA430" s="56"/>
      <c r="BB430" s="56"/>
      <c r="BJ430" s="145"/>
      <c r="CD430" s="145"/>
      <c r="CT430" s="145"/>
    </row>
    <row r="431" spans="1:98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68"/>
      <c r="R431" s="56"/>
      <c r="S431" s="162"/>
      <c r="T431" s="106"/>
      <c r="U431" s="10"/>
      <c r="V431" s="56"/>
      <c r="W431" s="56"/>
      <c r="X431" s="56"/>
      <c r="Y431" s="56"/>
      <c r="Z431" s="56"/>
      <c r="AA431" s="172"/>
      <c r="AB431" s="56"/>
      <c r="AC431" s="56"/>
      <c r="AD431" s="106"/>
      <c r="AE431" s="56"/>
      <c r="AF431" s="56"/>
      <c r="AG431" s="56"/>
      <c r="AH431" s="56"/>
      <c r="AI431" s="56"/>
      <c r="AJ431" s="56"/>
      <c r="AK431" s="106"/>
      <c r="AL431" s="56"/>
      <c r="AM431" s="56"/>
      <c r="AN431" s="56"/>
      <c r="AO431" s="56"/>
      <c r="AP431" s="56"/>
      <c r="AQ431" s="56"/>
      <c r="AR431" s="56"/>
      <c r="AS431" s="106"/>
      <c r="AT431" s="56"/>
      <c r="AU431" s="56"/>
      <c r="AV431" s="106"/>
      <c r="AW431" s="56"/>
      <c r="AX431" s="10"/>
      <c r="AY431" s="56"/>
      <c r="AZ431" s="56"/>
      <c r="BA431" s="56"/>
      <c r="BB431" s="56"/>
      <c r="BJ431" s="145"/>
      <c r="CD431" s="145"/>
      <c r="CT431" s="145"/>
    </row>
    <row r="432" spans="1:98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68"/>
      <c r="R432" s="56"/>
      <c r="S432" s="162"/>
      <c r="T432" s="106"/>
      <c r="U432" s="10"/>
      <c r="V432" s="56"/>
      <c r="W432" s="56"/>
      <c r="X432" s="56"/>
      <c r="Y432" s="56"/>
      <c r="Z432" s="56"/>
      <c r="AA432" s="172"/>
      <c r="AB432" s="56"/>
      <c r="AC432" s="56"/>
      <c r="AD432" s="106"/>
      <c r="AE432" s="56"/>
      <c r="AF432" s="56"/>
      <c r="AG432" s="56"/>
      <c r="AH432" s="56"/>
      <c r="AI432" s="56"/>
      <c r="AJ432" s="56"/>
      <c r="AK432" s="106"/>
      <c r="AL432" s="56"/>
      <c r="AM432" s="56"/>
      <c r="AN432" s="56"/>
      <c r="AO432" s="56"/>
      <c r="AP432" s="56"/>
      <c r="AQ432" s="56"/>
      <c r="AR432" s="56"/>
      <c r="AS432" s="106"/>
      <c r="AT432" s="56"/>
      <c r="AU432" s="56"/>
      <c r="AV432" s="106"/>
      <c r="AW432" s="56"/>
      <c r="AX432" s="10"/>
      <c r="AY432" s="56"/>
      <c r="AZ432" s="56"/>
      <c r="BA432" s="56"/>
      <c r="BB432" s="56"/>
      <c r="BJ432" s="145"/>
      <c r="CD432" s="145"/>
      <c r="CT432" s="145"/>
    </row>
    <row r="433" spans="1:98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68"/>
      <c r="R433" s="56"/>
      <c r="S433" s="162"/>
      <c r="T433" s="106"/>
      <c r="U433" s="10"/>
      <c r="V433" s="56"/>
      <c r="W433" s="56"/>
      <c r="X433" s="56"/>
      <c r="Y433" s="56"/>
      <c r="Z433" s="56"/>
      <c r="AA433" s="172"/>
      <c r="AB433" s="56"/>
      <c r="AC433" s="56"/>
      <c r="AD433" s="106"/>
      <c r="AE433" s="56"/>
      <c r="AF433" s="56"/>
      <c r="AG433" s="56"/>
      <c r="AH433" s="56"/>
      <c r="AI433" s="56"/>
      <c r="AJ433" s="56"/>
      <c r="AK433" s="106"/>
      <c r="AL433" s="56"/>
      <c r="AM433" s="56"/>
      <c r="AN433" s="56"/>
      <c r="AO433" s="56"/>
      <c r="AP433" s="56"/>
      <c r="AQ433" s="56"/>
      <c r="AR433" s="56"/>
      <c r="AS433" s="106"/>
      <c r="AT433" s="56"/>
      <c r="AU433" s="56"/>
      <c r="AV433" s="106"/>
      <c r="AW433" s="56"/>
      <c r="AX433" s="10"/>
      <c r="AY433" s="56"/>
      <c r="AZ433" s="56"/>
      <c r="BA433" s="56"/>
      <c r="BB433" s="56"/>
      <c r="BJ433" s="145"/>
      <c r="CD433" s="145"/>
      <c r="CT433" s="145"/>
    </row>
    <row r="434" spans="1:98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68"/>
      <c r="R434" s="56"/>
      <c r="S434" s="162"/>
      <c r="T434" s="106"/>
      <c r="U434" s="10"/>
      <c r="V434" s="56"/>
      <c r="W434" s="56"/>
      <c r="X434" s="56"/>
      <c r="Y434" s="56"/>
      <c r="Z434" s="56"/>
      <c r="AA434" s="172"/>
      <c r="AB434" s="56"/>
      <c r="AC434" s="56"/>
      <c r="AD434" s="106"/>
      <c r="AE434" s="56"/>
      <c r="AF434" s="56"/>
      <c r="AG434" s="56"/>
      <c r="AH434" s="56"/>
      <c r="AI434" s="56"/>
      <c r="AJ434" s="56"/>
      <c r="AK434" s="106"/>
      <c r="AL434" s="56"/>
      <c r="AM434" s="56"/>
      <c r="AN434" s="56"/>
      <c r="AO434" s="56"/>
      <c r="AP434" s="56"/>
      <c r="AQ434" s="56"/>
      <c r="AR434" s="56"/>
      <c r="AS434" s="106"/>
      <c r="AT434" s="56"/>
      <c r="AU434" s="56"/>
      <c r="AV434" s="106"/>
      <c r="AW434" s="56"/>
      <c r="AX434" s="10"/>
      <c r="AY434" s="56"/>
      <c r="AZ434" s="56"/>
      <c r="BA434" s="56"/>
      <c r="BB434" s="56"/>
      <c r="BJ434" s="145"/>
      <c r="CD434" s="145"/>
      <c r="CT434" s="145"/>
    </row>
    <row r="435" spans="1:98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68"/>
      <c r="R435" s="56"/>
      <c r="S435" s="162"/>
      <c r="T435" s="106"/>
      <c r="U435" s="10"/>
      <c r="V435" s="56"/>
      <c r="W435" s="56"/>
      <c r="X435" s="56"/>
      <c r="Y435" s="56"/>
      <c r="Z435" s="56"/>
      <c r="AA435" s="172"/>
      <c r="AB435" s="56"/>
      <c r="AC435" s="56"/>
      <c r="AD435" s="106"/>
      <c r="AE435" s="56"/>
      <c r="AF435" s="56"/>
      <c r="AG435" s="56"/>
      <c r="AH435" s="56"/>
      <c r="AI435" s="56"/>
      <c r="AJ435" s="56"/>
      <c r="AK435" s="106"/>
      <c r="AL435" s="56"/>
      <c r="AM435" s="56"/>
      <c r="AN435" s="56"/>
      <c r="AO435" s="56"/>
      <c r="AP435" s="56"/>
      <c r="AQ435" s="56"/>
      <c r="AR435" s="56"/>
      <c r="AS435" s="106"/>
      <c r="AT435" s="56"/>
      <c r="AU435" s="56"/>
      <c r="AV435" s="106"/>
      <c r="AW435" s="56"/>
      <c r="AX435" s="10"/>
      <c r="AY435" s="56"/>
      <c r="AZ435" s="56"/>
      <c r="BA435" s="56"/>
      <c r="BB435" s="56"/>
      <c r="BJ435" s="145"/>
      <c r="CD435" s="145"/>
      <c r="CT435" s="145"/>
    </row>
    <row r="436" spans="1:98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68"/>
      <c r="R436" s="56"/>
      <c r="S436" s="162"/>
      <c r="T436" s="106"/>
      <c r="U436" s="10"/>
      <c r="V436" s="56"/>
      <c r="W436" s="56"/>
      <c r="X436" s="56"/>
      <c r="Y436" s="56"/>
      <c r="Z436" s="56"/>
      <c r="AA436" s="172"/>
      <c r="AB436" s="56"/>
      <c r="AC436" s="56"/>
      <c r="AD436" s="106"/>
      <c r="AE436" s="56"/>
      <c r="AF436" s="56"/>
      <c r="AG436" s="56"/>
      <c r="AH436" s="56"/>
      <c r="AI436" s="56"/>
      <c r="AJ436" s="56"/>
      <c r="AK436" s="106"/>
      <c r="AL436" s="56"/>
      <c r="AM436" s="56"/>
      <c r="AN436" s="56"/>
      <c r="AO436" s="56"/>
      <c r="AP436" s="56"/>
      <c r="AQ436" s="56"/>
      <c r="AR436" s="56"/>
      <c r="AS436" s="106"/>
      <c r="AT436" s="56"/>
      <c r="AU436" s="56"/>
      <c r="AV436" s="106"/>
      <c r="AW436" s="56"/>
      <c r="AX436" s="10"/>
      <c r="AY436" s="56"/>
      <c r="AZ436" s="56"/>
      <c r="BA436" s="56"/>
      <c r="BB436" s="56"/>
      <c r="BJ436" s="145"/>
      <c r="CD436" s="145"/>
      <c r="CT436" s="145"/>
    </row>
    <row r="437" spans="1:98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68"/>
      <c r="R437" s="56"/>
      <c r="S437" s="162"/>
      <c r="T437" s="106"/>
      <c r="U437" s="10"/>
      <c r="V437" s="56"/>
      <c r="W437" s="56"/>
      <c r="X437" s="56"/>
      <c r="Y437" s="56"/>
      <c r="Z437" s="56"/>
      <c r="AA437" s="172"/>
      <c r="AB437" s="56"/>
      <c r="AC437" s="56"/>
      <c r="AD437" s="106"/>
      <c r="AE437" s="56"/>
      <c r="AF437" s="56"/>
      <c r="AG437" s="56"/>
      <c r="AH437" s="56"/>
      <c r="AI437" s="56"/>
      <c r="AJ437" s="56"/>
      <c r="AK437" s="106"/>
      <c r="AL437" s="56"/>
      <c r="AM437" s="56"/>
      <c r="AN437" s="56"/>
      <c r="AO437" s="56"/>
      <c r="AP437" s="56"/>
      <c r="AQ437" s="56"/>
      <c r="AR437" s="56"/>
      <c r="AS437" s="106"/>
      <c r="AT437" s="56"/>
      <c r="AU437" s="56"/>
      <c r="AV437" s="106"/>
      <c r="AW437" s="56"/>
      <c r="AX437" s="10"/>
      <c r="AY437" s="56"/>
      <c r="AZ437" s="56"/>
      <c r="BA437" s="56"/>
      <c r="BB437" s="56"/>
      <c r="BJ437" s="145"/>
      <c r="CD437" s="145"/>
      <c r="CT437" s="145"/>
    </row>
    <row r="438" spans="1:98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68"/>
      <c r="R438" s="56"/>
      <c r="S438" s="162"/>
      <c r="T438" s="106"/>
      <c r="U438" s="10"/>
      <c r="V438" s="56"/>
      <c r="W438" s="56"/>
      <c r="X438" s="56"/>
      <c r="Y438" s="56"/>
      <c r="Z438" s="56"/>
      <c r="AA438" s="172"/>
      <c r="AB438" s="56"/>
      <c r="AC438" s="56"/>
      <c r="AD438" s="106"/>
      <c r="AE438" s="56"/>
      <c r="AF438" s="56"/>
      <c r="AG438" s="56"/>
      <c r="AH438" s="56"/>
      <c r="AI438" s="56"/>
      <c r="AJ438" s="56"/>
      <c r="AK438" s="106"/>
      <c r="AL438" s="56"/>
      <c r="AM438" s="56"/>
      <c r="AN438" s="56"/>
      <c r="AO438" s="56"/>
      <c r="AP438" s="56"/>
      <c r="AQ438" s="56"/>
      <c r="AR438" s="56"/>
      <c r="AS438" s="106"/>
      <c r="AT438" s="56"/>
      <c r="AU438" s="56"/>
      <c r="AV438" s="106"/>
      <c r="AW438" s="56"/>
      <c r="AX438" s="10"/>
      <c r="AY438" s="56"/>
      <c r="AZ438" s="56"/>
      <c r="BA438" s="56"/>
      <c r="BB438" s="56"/>
      <c r="BJ438" s="145"/>
      <c r="CD438" s="145"/>
      <c r="CT438" s="145"/>
    </row>
    <row r="439" spans="1:98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68"/>
      <c r="R439" s="56"/>
      <c r="S439" s="162"/>
      <c r="T439" s="106"/>
      <c r="U439" s="10"/>
      <c r="V439" s="56"/>
      <c r="W439" s="56"/>
      <c r="X439" s="56"/>
      <c r="Y439" s="56"/>
      <c r="Z439" s="56"/>
      <c r="AA439" s="172"/>
      <c r="AB439" s="56"/>
      <c r="AC439" s="56"/>
      <c r="AD439" s="106"/>
      <c r="AE439" s="56"/>
      <c r="AF439" s="56"/>
      <c r="AG439" s="56"/>
      <c r="AH439" s="56"/>
      <c r="AI439" s="56"/>
      <c r="AJ439" s="56"/>
      <c r="AK439" s="106"/>
      <c r="AL439" s="56"/>
      <c r="AM439" s="56"/>
      <c r="AN439" s="56"/>
      <c r="AO439" s="56"/>
      <c r="AP439" s="56"/>
      <c r="AQ439" s="56"/>
      <c r="AR439" s="56"/>
      <c r="AS439" s="106"/>
      <c r="AT439" s="56"/>
      <c r="AU439" s="56"/>
      <c r="AV439" s="106"/>
      <c r="AW439" s="56"/>
      <c r="AX439" s="10"/>
      <c r="AY439" s="56"/>
      <c r="AZ439" s="56"/>
      <c r="BA439" s="56"/>
      <c r="BB439" s="56"/>
      <c r="BJ439" s="145"/>
      <c r="CD439" s="145"/>
      <c r="CT439" s="145"/>
    </row>
    <row r="440" spans="1:98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68"/>
      <c r="R440" s="56"/>
      <c r="S440" s="162"/>
      <c r="T440" s="106"/>
      <c r="U440" s="10"/>
      <c r="V440" s="56"/>
      <c r="W440" s="56"/>
      <c r="X440" s="56"/>
      <c r="Y440" s="56"/>
      <c r="Z440" s="56"/>
      <c r="AA440" s="172"/>
      <c r="AB440" s="56"/>
      <c r="AC440" s="56"/>
      <c r="AD440" s="106"/>
      <c r="AE440" s="56"/>
      <c r="AF440" s="56"/>
      <c r="AG440" s="56"/>
      <c r="AH440" s="56"/>
      <c r="AI440" s="56"/>
      <c r="AJ440" s="56"/>
      <c r="AK440" s="106"/>
      <c r="AL440" s="56"/>
      <c r="AM440" s="56"/>
      <c r="AN440" s="56"/>
      <c r="AO440" s="56"/>
      <c r="AP440" s="56"/>
      <c r="AQ440" s="56"/>
      <c r="AR440" s="56"/>
      <c r="AS440" s="106"/>
      <c r="AT440" s="56"/>
      <c r="AU440" s="56"/>
      <c r="AV440" s="106"/>
      <c r="AW440" s="56"/>
      <c r="AX440" s="10"/>
      <c r="AY440" s="56"/>
      <c r="AZ440" s="56"/>
      <c r="BA440" s="56"/>
      <c r="BB440" s="56"/>
      <c r="BJ440" s="145"/>
      <c r="CD440" s="145"/>
      <c r="CT440" s="145"/>
    </row>
    <row r="441" spans="1:98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68"/>
      <c r="R441" s="56"/>
      <c r="S441" s="162"/>
      <c r="T441" s="106"/>
      <c r="U441" s="10"/>
      <c r="V441" s="56"/>
      <c r="W441" s="56"/>
      <c r="X441" s="56"/>
      <c r="Y441" s="56"/>
      <c r="Z441" s="56"/>
      <c r="AA441" s="172"/>
      <c r="AB441" s="56"/>
      <c r="AC441" s="56"/>
      <c r="AD441" s="106"/>
      <c r="AE441" s="56"/>
      <c r="AF441" s="56"/>
      <c r="AG441" s="56"/>
      <c r="AH441" s="56"/>
      <c r="AI441" s="56"/>
      <c r="AJ441" s="56"/>
      <c r="AK441" s="106"/>
      <c r="AL441" s="56"/>
      <c r="AM441" s="56"/>
      <c r="AN441" s="56"/>
      <c r="AO441" s="56"/>
      <c r="AP441" s="56"/>
      <c r="AQ441" s="56"/>
      <c r="AR441" s="56"/>
      <c r="AS441" s="106"/>
      <c r="AT441" s="56"/>
      <c r="AU441" s="56"/>
      <c r="AV441" s="106"/>
      <c r="AW441" s="56"/>
      <c r="AX441" s="10"/>
      <c r="AY441" s="56"/>
      <c r="AZ441" s="56"/>
      <c r="BA441" s="56"/>
      <c r="BB441" s="56"/>
      <c r="BJ441" s="145"/>
      <c r="CD441" s="145"/>
      <c r="CT441" s="145"/>
    </row>
    <row r="442" spans="1:98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68"/>
      <c r="R442" s="56"/>
      <c r="S442" s="162"/>
      <c r="T442" s="106"/>
      <c r="U442" s="10"/>
      <c r="V442" s="56"/>
      <c r="W442" s="56"/>
      <c r="X442" s="56"/>
      <c r="Y442" s="56"/>
      <c r="Z442" s="56"/>
      <c r="AA442" s="172"/>
      <c r="AB442" s="56"/>
      <c r="AC442" s="56"/>
      <c r="AD442" s="106"/>
      <c r="AE442" s="56"/>
      <c r="AF442" s="56"/>
      <c r="AG442" s="56"/>
      <c r="AH442" s="56"/>
      <c r="AI442" s="56"/>
      <c r="AJ442" s="56"/>
      <c r="AK442" s="106"/>
      <c r="AL442" s="56"/>
      <c r="AM442" s="56"/>
      <c r="AN442" s="56"/>
      <c r="AO442" s="56"/>
      <c r="AP442" s="56"/>
      <c r="AQ442" s="56"/>
      <c r="AR442" s="56"/>
      <c r="AS442" s="106"/>
      <c r="AT442" s="56"/>
      <c r="AU442" s="56"/>
      <c r="AV442" s="106"/>
      <c r="AW442" s="56"/>
      <c r="AX442" s="10"/>
      <c r="AY442" s="56"/>
      <c r="AZ442" s="56"/>
      <c r="BA442" s="56"/>
      <c r="BB442" s="56"/>
      <c r="BJ442" s="145"/>
      <c r="CD442" s="145"/>
      <c r="CT442" s="145"/>
    </row>
    <row r="443" spans="1:98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68"/>
      <c r="R443" s="56"/>
      <c r="S443" s="162"/>
      <c r="T443" s="106"/>
      <c r="U443" s="10"/>
      <c r="V443" s="56"/>
      <c r="W443" s="56"/>
      <c r="X443" s="56"/>
      <c r="Y443" s="56"/>
      <c r="Z443" s="56"/>
      <c r="AA443" s="172"/>
      <c r="AB443" s="56"/>
      <c r="AC443" s="56"/>
      <c r="AD443" s="106"/>
      <c r="AE443" s="56"/>
      <c r="AF443" s="56"/>
      <c r="AG443" s="56"/>
      <c r="AH443" s="56"/>
      <c r="AI443" s="56"/>
      <c r="AJ443" s="56"/>
      <c r="AK443" s="106"/>
      <c r="AL443" s="56"/>
      <c r="AM443" s="56"/>
      <c r="AN443" s="56"/>
      <c r="AO443" s="56"/>
      <c r="AP443" s="56"/>
      <c r="AQ443" s="56"/>
      <c r="AR443" s="56"/>
      <c r="AS443" s="106"/>
      <c r="AT443" s="56"/>
      <c r="AU443" s="56"/>
      <c r="AV443" s="106"/>
      <c r="AW443" s="56"/>
      <c r="AX443" s="10"/>
      <c r="AY443" s="56"/>
      <c r="AZ443" s="56"/>
      <c r="BA443" s="56"/>
      <c r="BB443" s="56"/>
      <c r="BJ443" s="145"/>
      <c r="CD443" s="145"/>
      <c r="CT443" s="145"/>
    </row>
    <row r="444" spans="1:98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68"/>
      <c r="R444" s="56"/>
      <c r="S444" s="162"/>
      <c r="T444" s="106"/>
      <c r="U444" s="10"/>
      <c r="V444" s="56"/>
      <c r="W444" s="56"/>
      <c r="X444" s="56"/>
      <c r="Y444" s="56"/>
      <c r="Z444" s="56"/>
      <c r="AA444" s="172"/>
      <c r="AB444" s="56"/>
      <c r="AC444" s="56"/>
      <c r="AD444" s="106"/>
      <c r="AE444" s="56"/>
      <c r="AF444" s="56"/>
      <c r="AG444" s="56"/>
      <c r="AH444" s="56"/>
      <c r="AI444" s="56"/>
      <c r="AJ444" s="56"/>
      <c r="AK444" s="106"/>
      <c r="AL444" s="56"/>
      <c r="AM444" s="56"/>
      <c r="AN444" s="56"/>
      <c r="AO444" s="56"/>
      <c r="AP444" s="56"/>
      <c r="AQ444" s="56"/>
      <c r="AR444" s="56"/>
      <c r="AS444" s="106"/>
      <c r="AT444" s="56"/>
      <c r="AU444" s="56"/>
      <c r="AV444" s="106"/>
      <c r="AW444" s="56"/>
      <c r="AX444" s="10"/>
      <c r="AY444" s="56"/>
      <c r="AZ444" s="56"/>
      <c r="BA444" s="56"/>
      <c r="BB444" s="56"/>
      <c r="BJ444" s="145"/>
      <c r="CD444" s="145"/>
      <c r="CT444" s="145"/>
    </row>
    <row r="445" spans="1:98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68"/>
      <c r="R445" s="56"/>
      <c r="S445" s="162"/>
      <c r="T445" s="106"/>
      <c r="U445" s="10"/>
      <c r="V445" s="56"/>
      <c r="W445" s="56"/>
      <c r="X445" s="56"/>
      <c r="Y445" s="56"/>
      <c r="Z445" s="56"/>
      <c r="AA445" s="172"/>
      <c r="AB445" s="56"/>
      <c r="AC445" s="56"/>
      <c r="AD445" s="106"/>
      <c r="AE445" s="56"/>
      <c r="AF445" s="56"/>
      <c r="AG445" s="56"/>
      <c r="AH445" s="56"/>
      <c r="AI445" s="56"/>
      <c r="AJ445" s="56"/>
      <c r="AK445" s="106"/>
      <c r="AL445" s="56"/>
      <c r="AM445" s="56"/>
      <c r="AN445" s="56"/>
      <c r="AO445" s="56"/>
      <c r="AP445" s="56"/>
      <c r="AQ445" s="56"/>
      <c r="AR445" s="56"/>
      <c r="AS445" s="106"/>
      <c r="AT445" s="56"/>
      <c r="AU445" s="56"/>
      <c r="AV445" s="106"/>
      <c r="AW445" s="56"/>
      <c r="AX445" s="10"/>
      <c r="AY445" s="56"/>
      <c r="AZ445" s="56"/>
      <c r="BA445" s="56"/>
      <c r="BB445" s="56"/>
      <c r="BJ445" s="145"/>
      <c r="CD445" s="145"/>
      <c r="CT445" s="145"/>
    </row>
    <row r="446" spans="1:98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68"/>
      <c r="R446" s="56"/>
      <c r="S446" s="162"/>
      <c r="T446" s="106"/>
      <c r="U446" s="10"/>
      <c r="V446" s="56"/>
      <c r="W446" s="56"/>
      <c r="X446" s="56"/>
      <c r="Y446" s="56"/>
      <c r="Z446" s="56"/>
      <c r="AA446" s="172"/>
      <c r="AB446" s="56"/>
      <c r="AC446" s="56"/>
      <c r="AD446" s="106"/>
      <c r="AE446" s="56"/>
      <c r="AF446" s="56"/>
      <c r="AG446" s="56"/>
      <c r="AH446" s="56"/>
      <c r="AI446" s="56"/>
      <c r="AJ446" s="56"/>
      <c r="AK446" s="106"/>
      <c r="AL446" s="56"/>
      <c r="AM446" s="56"/>
      <c r="AN446" s="56"/>
      <c r="AO446" s="56"/>
      <c r="AP446" s="56"/>
      <c r="AQ446" s="56"/>
      <c r="AR446" s="56"/>
      <c r="AS446" s="106"/>
      <c r="AT446" s="56"/>
      <c r="AU446" s="56"/>
      <c r="AV446" s="106"/>
      <c r="AW446" s="56"/>
      <c r="AX446" s="10"/>
      <c r="AY446" s="56"/>
      <c r="AZ446" s="56"/>
      <c r="BA446" s="56"/>
      <c r="BB446" s="56"/>
      <c r="BJ446" s="145"/>
      <c r="CD446" s="145"/>
      <c r="CT446" s="145"/>
    </row>
    <row r="447" spans="1:98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68"/>
      <c r="R447" s="56"/>
      <c r="S447" s="162"/>
      <c r="T447" s="106"/>
      <c r="U447" s="10"/>
      <c r="V447" s="56"/>
      <c r="W447" s="56"/>
      <c r="X447" s="56"/>
      <c r="Y447" s="56"/>
      <c r="Z447" s="56"/>
      <c r="AA447" s="172"/>
      <c r="AB447" s="56"/>
      <c r="AC447" s="56"/>
      <c r="AD447" s="106"/>
      <c r="AE447" s="56"/>
      <c r="AF447" s="56"/>
      <c r="AG447" s="56"/>
      <c r="AH447" s="56"/>
      <c r="AI447" s="56"/>
      <c r="AJ447" s="56"/>
      <c r="AK447" s="106"/>
      <c r="AL447" s="56"/>
      <c r="AM447" s="56"/>
      <c r="AN447" s="56"/>
      <c r="AO447" s="56"/>
      <c r="AP447" s="56"/>
      <c r="AQ447" s="56"/>
      <c r="AR447" s="56"/>
      <c r="AS447" s="106"/>
      <c r="AT447" s="56"/>
      <c r="AU447" s="56"/>
      <c r="AV447" s="106"/>
      <c r="AW447" s="56"/>
      <c r="AX447" s="10"/>
      <c r="AY447" s="56"/>
      <c r="AZ447" s="56"/>
      <c r="BA447" s="56"/>
      <c r="BB447" s="56"/>
      <c r="BJ447" s="145"/>
      <c r="CD447" s="145"/>
      <c r="CT447" s="145"/>
    </row>
    <row r="448" spans="1:98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68"/>
      <c r="R448" s="56"/>
      <c r="S448" s="162"/>
      <c r="T448" s="106"/>
      <c r="U448" s="10"/>
      <c r="V448" s="56"/>
      <c r="W448" s="56"/>
      <c r="X448" s="56"/>
      <c r="Y448" s="56"/>
      <c r="Z448" s="56"/>
      <c r="AA448" s="172"/>
      <c r="AB448" s="56"/>
      <c r="AC448" s="56"/>
      <c r="AD448" s="106"/>
      <c r="AE448" s="56"/>
      <c r="AF448" s="56"/>
      <c r="AG448" s="56"/>
      <c r="AH448" s="56"/>
      <c r="AI448" s="56"/>
      <c r="AJ448" s="56"/>
      <c r="AK448" s="106"/>
      <c r="AL448" s="56"/>
      <c r="AM448" s="56"/>
      <c r="AN448" s="56"/>
      <c r="AO448" s="56"/>
      <c r="AP448" s="56"/>
      <c r="AQ448" s="56"/>
      <c r="AR448" s="56"/>
      <c r="AS448" s="106"/>
      <c r="AT448" s="56"/>
      <c r="AU448" s="56"/>
      <c r="AV448" s="106"/>
      <c r="AW448" s="56"/>
      <c r="AX448" s="10"/>
      <c r="AY448" s="56"/>
      <c r="AZ448" s="56"/>
      <c r="BA448" s="56"/>
      <c r="BB448" s="56"/>
      <c r="BJ448" s="145"/>
      <c r="CD448" s="145"/>
      <c r="CT448" s="145"/>
    </row>
    <row r="449" spans="1:98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68"/>
      <c r="R449" s="56"/>
      <c r="S449" s="162"/>
      <c r="T449" s="106"/>
      <c r="U449" s="10"/>
      <c r="V449" s="56"/>
      <c r="W449" s="56"/>
      <c r="X449" s="56"/>
      <c r="Y449" s="56"/>
      <c r="Z449" s="56"/>
      <c r="AA449" s="172"/>
      <c r="AB449" s="56"/>
      <c r="AC449" s="56"/>
      <c r="AD449" s="106"/>
      <c r="AE449" s="56"/>
      <c r="AF449" s="56"/>
      <c r="AG449" s="56"/>
      <c r="AH449" s="56"/>
      <c r="AI449" s="56"/>
      <c r="AJ449" s="56"/>
      <c r="AK449" s="106"/>
      <c r="AL449" s="56"/>
      <c r="AM449" s="56"/>
      <c r="AN449" s="56"/>
      <c r="AO449" s="56"/>
      <c r="AP449" s="56"/>
      <c r="AQ449" s="56"/>
      <c r="AR449" s="56"/>
      <c r="AS449" s="106"/>
      <c r="AT449" s="56"/>
      <c r="AU449" s="56"/>
      <c r="AV449" s="106"/>
      <c r="AW449" s="56"/>
      <c r="AX449" s="10"/>
      <c r="AY449" s="56"/>
      <c r="AZ449" s="56"/>
      <c r="BA449" s="56"/>
      <c r="BB449" s="56"/>
      <c r="BJ449" s="145"/>
      <c r="CD449" s="145"/>
      <c r="CT449" s="145"/>
    </row>
    <row r="450" spans="1:98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68"/>
      <c r="R450" s="56"/>
      <c r="S450" s="162"/>
      <c r="T450" s="106"/>
      <c r="U450" s="10"/>
      <c r="V450" s="56"/>
      <c r="W450" s="56"/>
      <c r="X450" s="56"/>
      <c r="Y450" s="56"/>
      <c r="Z450" s="56"/>
      <c r="AA450" s="172"/>
      <c r="AB450" s="56"/>
      <c r="AC450" s="56"/>
      <c r="AD450" s="106"/>
      <c r="AE450" s="56"/>
      <c r="AF450" s="56"/>
      <c r="AG450" s="56"/>
      <c r="AH450" s="56"/>
      <c r="AI450" s="56"/>
      <c r="AJ450" s="56"/>
      <c r="AK450" s="106"/>
      <c r="AL450" s="56"/>
      <c r="AM450" s="56"/>
      <c r="AN450" s="56"/>
      <c r="AO450" s="56"/>
      <c r="AP450" s="56"/>
      <c r="AQ450" s="56"/>
      <c r="AR450" s="56"/>
      <c r="AS450" s="106"/>
      <c r="AT450" s="56"/>
      <c r="AU450" s="56"/>
      <c r="AV450" s="106"/>
      <c r="AW450" s="56"/>
      <c r="AX450" s="10"/>
      <c r="AY450" s="56"/>
      <c r="AZ450" s="56"/>
      <c r="BA450" s="56"/>
      <c r="BB450" s="56"/>
      <c r="BJ450" s="145"/>
      <c r="CD450" s="145"/>
      <c r="CT450" s="145"/>
    </row>
    <row r="451" spans="1:98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68"/>
      <c r="R451" s="56"/>
      <c r="S451" s="162"/>
      <c r="T451" s="106"/>
      <c r="U451" s="10"/>
      <c r="V451" s="56"/>
      <c r="W451" s="56"/>
      <c r="X451" s="56"/>
      <c r="Y451" s="56"/>
      <c r="Z451" s="56"/>
      <c r="AA451" s="172"/>
      <c r="AB451" s="56"/>
      <c r="AC451" s="56"/>
      <c r="AD451" s="106"/>
      <c r="AE451" s="56"/>
      <c r="AF451" s="56"/>
      <c r="AG451" s="56"/>
      <c r="AH451" s="56"/>
      <c r="AI451" s="56"/>
      <c r="AJ451" s="56"/>
      <c r="AK451" s="106"/>
      <c r="AL451" s="56"/>
      <c r="AM451" s="56"/>
      <c r="AN451" s="56"/>
      <c r="AO451" s="56"/>
      <c r="AP451" s="56"/>
      <c r="AQ451" s="56"/>
      <c r="AR451" s="56"/>
      <c r="AS451" s="106"/>
      <c r="AT451" s="56"/>
      <c r="AU451" s="56"/>
      <c r="AV451" s="106"/>
      <c r="AW451" s="56"/>
      <c r="AX451" s="10"/>
      <c r="AY451" s="56"/>
      <c r="AZ451" s="56"/>
      <c r="BA451" s="56"/>
      <c r="BB451" s="56"/>
      <c r="BJ451" s="145"/>
      <c r="CD451" s="145"/>
      <c r="CT451" s="145"/>
    </row>
    <row r="452" spans="1:98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68"/>
      <c r="R452" s="56"/>
      <c r="S452" s="162"/>
      <c r="T452" s="106"/>
      <c r="U452" s="10"/>
      <c r="V452" s="56"/>
      <c r="W452" s="56"/>
      <c r="X452" s="56"/>
      <c r="Y452" s="56"/>
      <c r="Z452" s="56"/>
      <c r="AA452" s="172"/>
      <c r="AB452" s="56"/>
      <c r="AC452" s="56"/>
      <c r="AD452" s="106"/>
      <c r="AE452" s="56"/>
      <c r="AF452" s="56"/>
      <c r="AG452" s="56"/>
      <c r="AH452" s="56"/>
      <c r="AI452" s="56"/>
      <c r="AJ452" s="56"/>
      <c r="AK452" s="106"/>
      <c r="AL452" s="56"/>
      <c r="AM452" s="56"/>
      <c r="AN452" s="56"/>
      <c r="AO452" s="56"/>
      <c r="AP452" s="56"/>
      <c r="AQ452" s="56"/>
      <c r="AR452" s="56"/>
      <c r="AS452" s="106"/>
      <c r="AT452" s="56"/>
      <c r="AU452" s="56"/>
      <c r="AV452" s="106"/>
      <c r="AW452" s="56"/>
      <c r="AX452" s="10"/>
      <c r="AY452" s="56"/>
      <c r="AZ452" s="56"/>
      <c r="BA452" s="56"/>
      <c r="BB452" s="56"/>
      <c r="BJ452" s="145"/>
      <c r="CD452" s="145"/>
      <c r="CT452" s="145"/>
    </row>
    <row r="453" spans="1:98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68"/>
      <c r="R453" s="56"/>
      <c r="S453" s="162"/>
      <c r="T453" s="106"/>
      <c r="U453" s="10"/>
      <c r="V453" s="56"/>
      <c r="W453" s="56"/>
      <c r="X453" s="56"/>
      <c r="Y453" s="56"/>
      <c r="Z453" s="56"/>
      <c r="AA453" s="172"/>
      <c r="AB453" s="56"/>
      <c r="AC453" s="56"/>
      <c r="AD453" s="106"/>
      <c r="AE453" s="56"/>
      <c r="AF453" s="56"/>
      <c r="AG453" s="56"/>
      <c r="AH453" s="56"/>
      <c r="AI453" s="56"/>
      <c r="AJ453" s="56"/>
      <c r="AK453" s="106"/>
      <c r="AL453" s="56"/>
      <c r="AM453" s="56"/>
      <c r="AN453" s="56"/>
      <c r="AO453" s="56"/>
      <c r="AP453" s="56"/>
      <c r="AQ453" s="56"/>
      <c r="AR453" s="56"/>
      <c r="AS453" s="106"/>
      <c r="AT453" s="56"/>
      <c r="AU453" s="56"/>
      <c r="AV453" s="106"/>
      <c r="AW453" s="56"/>
      <c r="AX453" s="10"/>
      <c r="AY453" s="56"/>
      <c r="AZ453" s="56"/>
      <c r="BA453" s="56"/>
      <c r="BB453" s="56"/>
      <c r="BJ453" s="145"/>
      <c r="CD453" s="145"/>
      <c r="CT453" s="145"/>
    </row>
    <row r="454" spans="1:98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68"/>
      <c r="R454" s="56"/>
      <c r="S454" s="162"/>
      <c r="T454" s="106"/>
      <c r="U454" s="10"/>
      <c r="V454" s="56"/>
      <c r="W454" s="56"/>
      <c r="X454" s="56"/>
      <c r="Y454" s="56"/>
      <c r="Z454" s="56"/>
      <c r="AA454" s="172"/>
      <c r="AB454" s="56"/>
      <c r="AC454" s="56"/>
      <c r="AD454" s="106"/>
      <c r="AE454" s="56"/>
      <c r="AF454" s="56"/>
      <c r="AG454" s="56"/>
      <c r="AH454" s="56"/>
      <c r="AI454" s="56"/>
      <c r="AJ454" s="56"/>
      <c r="AK454" s="106"/>
      <c r="AL454" s="56"/>
      <c r="AM454" s="56"/>
      <c r="AN454" s="56"/>
      <c r="AO454" s="56"/>
      <c r="AP454" s="56"/>
      <c r="AQ454" s="56"/>
      <c r="AR454" s="56"/>
      <c r="AS454" s="106"/>
      <c r="AT454" s="56"/>
      <c r="AU454" s="56"/>
      <c r="AV454" s="106"/>
      <c r="AW454" s="56"/>
      <c r="AX454" s="10"/>
      <c r="AY454" s="56"/>
      <c r="AZ454" s="56"/>
      <c r="BA454" s="56"/>
      <c r="BB454" s="56"/>
      <c r="BJ454" s="145"/>
      <c r="CD454" s="145"/>
      <c r="CT454" s="145"/>
    </row>
    <row r="455" spans="1:98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68"/>
      <c r="R455" s="56"/>
      <c r="S455" s="162"/>
      <c r="T455" s="106"/>
      <c r="U455" s="10"/>
      <c r="V455" s="56"/>
      <c r="W455" s="56"/>
      <c r="X455" s="56"/>
      <c r="Y455" s="56"/>
      <c r="Z455" s="56"/>
      <c r="AA455" s="172"/>
      <c r="AB455" s="56"/>
      <c r="AC455" s="56"/>
      <c r="AD455" s="106"/>
      <c r="AE455" s="56"/>
      <c r="AF455" s="56"/>
      <c r="AG455" s="56"/>
      <c r="AH455" s="56"/>
      <c r="AI455" s="56"/>
      <c r="AJ455" s="56"/>
      <c r="AK455" s="106"/>
      <c r="AL455" s="56"/>
      <c r="AM455" s="56"/>
      <c r="AN455" s="56"/>
      <c r="AO455" s="56"/>
      <c r="AP455" s="56"/>
      <c r="AQ455" s="56"/>
      <c r="AR455" s="56"/>
      <c r="AS455" s="106"/>
      <c r="AT455" s="56"/>
      <c r="AU455" s="56"/>
      <c r="AV455" s="106"/>
      <c r="AW455" s="56"/>
      <c r="AX455" s="10"/>
      <c r="AY455" s="56"/>
      <c r="AZ455" s="56"/>
      <c r="BA455" s="56"/>
      <c r="BB455" s="56"/>
      <c r="BJ455" s="145"/>
      <c r="CD455" s="145"/>
      <c r="CT455" s="145"/>
    </row>
    <row r="456" spans="1:98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68"/>
      <c r="R456" s="56"/>
      <c r="S456" s="162"/>
      <c r="T456" s="106"/>
      <c r="U456" s="10"/>
      <c r="V456" s="56"/>
      <c r="W456" s="56"/>
      <c r="X456" s="56"/>
      <c r="Y456" s="56"/>
      <c r="Z456" s="56"/>
      <c r="AA456" s="172"/>
      <c r="AB456" s="56"/>
      <c r="AC456" s="56"/>
      <c r="AD456" s="106"/>
      <c r="AE456" s="56"/>
      <c r="AF456" s="56"/>
      <c r="AG456" s="56"/>
      <c r="AH456" s="56"/>
      <c r="AI456" s="56"/>
      <c r="AJ456" s="56"/>
      <c r="AK456" s="106"/>
      <c r="AL456" s="56"/>
      <c r="AM456" s="56"/>
      <c r="AN456" s="56"/>
      <c r="AO456" s="56"/>
      <c r="AP456" s="56"/>
      <c r="AQ456" s="56"/>
      <c r="AR456" s="56"/>
      <c r="AS456" s="106"/>
      <c r="AT456" s="56"/>
      <c r="AU456" s="56"/>
      <c r="AV456" s="106"/>
      <c r="AW456" s="56"/>
      <c r="AX456" s="10"/>
      <c r="AY456" s="56"/>
      <c r="AZ456" s="56"/>
      <c r="BA456" s="56"/>
      <c r="BB456" s="56"/>
      <c r="BJ456" s="145"/>
      <c r="CD456" s="145"/>
      <c r="CT456" s="145"/>
    </row>
    <row r="457" spans="1:98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68"/>
      <c r="R457" s="56"/>
      <c r="S457" s="162"/>
      <c r="T457" s="106"/>
      <c r="U457" s="10"/>
      <c r="V457" s="56"/>
      <c r="W457" s="56"/>
      <c r="X457" s="56"/>
      <c r="Y457" s="56"/>
      <c r="Z457" s="56"/>
      <c r="AA457" s="172"/>
      <c r="AB457" s="56"/>
      <c r="AC457" s="56"/>
      <c r="AD457" s="106"/>
      <c r="AE457" s="56"/>
      <c r="AF457" s="56"/>
      <c r="AG457" s="56"/>
      <c r="AH457" s="56"/>
      <c r="AI457" s="56"/>
      <c r="AJ457" s="56"/>
      <c r="AK457" s="106"/>
      <c r="AL457" s="56"/>
      <c r="AM457" s="56"/>
      <c r="AN457" s="56"/>
      <c r="AO457" s="56"/>
      <c r="AP457" s="56"/>
      <c r="AQ457" s="56"/>
      <c r="AR457" s="56"/>
      <c r="AS457" s="106"/>
      <c r="AT457" s="56"/>
      <c r="AU457" s="56"/>
      <c r="AV457" s="106"/>
      <c r="AW457" s="56"/>
      <c r="AX457" s="10"/>
      <c r="AY457" s="56"/>
      <c r="AZ457" s="56"/>
      <c r="BA457" s="56"/>
      <c r="BB457" s="56"/>
      <c r="BJ457" s="145"/>
      <c r="CD457" s="145"/>
      <c r="CT457" s="145"/>
    </row>
    <row r="458" spans="1:98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68"/>
      <c r="R458" s="56"/>
      <c r="S458" s="162"/>
      <c r="T458" s="106"/>
      <c r="U458" s="10"/>
      <c r="V458" s="56"/>
      <c r="W458" s="56"/>
      <c r="X458" s="56"/>
      <c r="Y458" s="56"/>
      <c r="Z458" s="56"/>
      <c r="AA458" s="172"/>
      <c r="AB458" s="56"/>
      <c r="AC458" s="56"/>
      <c r="AD458" s="106"/>
      <c r="AE458" s="56"/>
      <c r="AF458" s="56"/>
      <c r="AG458" s="56"/>
      <c r="AH458" s="56"/>
      <c r="AI458" s="56"/>
      <c r="AJ458" s="56"/>
      <c r="AK458" s="106"/>
      <c r="AL458" s="56"/>
      <c r="AM458" s="56"/>
      <c r="AN458" s="56"/>
      <c r="AO458" s="56"/>
      <c r="AP458" s="56"/>
      <c r="AQ458" s="56"/>
      <c r="AR458" s="56"/>
      <c r="AS458" s="106"/>
      <c r="AT458" s="56"/>
      <c r="AU458" s="56"/>
      <c r="AV458" s="106"/>
      <c r="AW458" s="56"/>
      <c r="AX458" s="10"/>
      <c r="AY458" s="56"/>
      <c r="AZ458" s="56"/>
      <c r="BA458" s="56"/>
      <c r="BB458" s="56"/>
      <c r="BJ458" s="145"/>
      <c r="CD458" s="145"/>
      <c r="CT458" s="145"/>
    </row>
    <row r="459" spans="1:98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68"/>
      <c r="R459" s="56"/>
      <c r="S459" s="162"/>
      <c r="T459" s="106"/>
      <c r="U459" s="10"/>
      <c r="V459" s="56"/>
      <c r="W459" s="56"/>
      <c r="X459" s="56"/>
      <c r="Y459" s="56"/>
      <c r="Z459" s="56"/>
      <c r="AA459" s="172"/>
      <c r="AB459" s="56"/>
      <c r="AC459" s="56"/>
      <c r="AD459" s="106"/>
      <c r="AE459" s="56"/>
      <c r="AF459" s="56"/>
      <c r="AG459" s="56"/>
      <c r="AH459" s="56"/>
      <c r="AI459" s="56"/>
      <c r="AJ459" s="56"/>
      <c r="AK459" s="106"/>
      <c r="AL459" s="56"/>
      <c r="AM459" s="56"/>
      <c r="AN459" s="56"/>
      <c r="AO459" s="56"/>
      <c r="AP459" s="56"/>
      <c r="AQ459" s="56"/>
      <c r="AR459" s="56"/>
      <c r="AS459" s="106"/>
      <c r="AT459" s="56"/>
      <c r="AU459" s="56"/>
      <c r="AV459" s="106"/>
      <c r="AW459" s="56"/>
      <c r="AX459" s="10"/>
      <c r="AY459" s="56"/>
      <c r="AZ459" s="56"/>
      <c r="BA459" s="56"/>
      <c r="BB459" s="56"/>
      <c r="BJ459" s="145"/>
      <c r="CD459" s="145"/>
      <c r="CT459" s="145"/>
    </row>
    <row r="460" spans="1:98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68"/>
      <c r="R460" s="56"/>
      <c r="S460" s="162"/>
      <c r="T460" s="106"/>
      <c r="U460" s="10"/>
      <c r="V460" s="56"/>
      <c r="W460" s="56"/>
      <c r="X460" s="56"/>
      <c r="Y460" s="56"/>
      <c r="Z460" s="56"/>
      <c r="AA460" s="172"/>
      <c r="AB460" s="56"/>
      <c r="AC460" s="56"/>
      <c r="AD460" s="106"/>
      <c r="AE460" s="56"/>
      <c r="AF460" s="56"/>
      <c r="AG460" s="56"/>
      <c r="AH460" s="56"/>
      <c r="AI460" s="56"/>
      <c r="AJ460" s="56"/>
      <c r="AK460" s="106"/>
      <c r="AL460" s="56"/>
      <c r="AM460" s="56"/>
      <c r="AN460" s="56"/>
      <c r="AO460" s="56"/>
      <c r="AP460" s="56"/>
      <c r="AQ460" s="56"/>
      <c r="AR460" s="56"/>
      <c r="AS460" s="106"/>
      <c r="AT460" s="56"/>
      <c r="AU460" s="56"/>
      <c r="AV460" s="106"/>
      <c r="AW460" s="56"/>
      <c r="AX460" s="10"/>
      <c r="AY460" s="56"/>
      <c r="AZ460" s="56"/>
      <c r="BA460" s="56"/>
      <c r="BB460" s="56"/>
      <c r="BJ460" s="145"/>
      <c r="CD460" s="145"/>
      <c r="CT460" s="145"/>
    </row>
    <row r="461" spans="1:98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68"/>
      <c r="R461" s="56"/>
      <c r="S461" s="162"/>
      <c r="T461" s="106"/>
      <c r="U461" s="10"/>
      <c r="V461" s="56"/>
      <c r="W461" s="56"/>
      <c r="X461" s="56"/>
      <c r="Y461" s="56"/>
      <c r="Z461" s="56"/>
      <c r="AA461" s="172"/>
      <c r="AB461" s="56"/>
      <c r="AC461" s="56"/>
      <c r="AD461" s="106"/>
      <c r="AE461" s="56"/>
      <c r="AF461" s="56"/>
      <c r="AG461" s="56"/>
      <c r="AH461" s="56"/>
      <c r="AI461" s="56"/>
      <c r="AJ461" s="56"/>
      <c r="AK461" s="106"/>
      <c r="AL461" s="56"/>
      <c r="AM461" s="56"/>
      <c r="AN461" s="56"/>
      <c r="AO461" s="56"/>
      <c r="AP461" s="56"/>
      <c r="AQ461" s="56"/>
      <c r="AR461" s="56"/>
      <c r="AS461" s="106"/>
      <c r="AT461" s="56"/>
      <c r="AU461" s="56"/>
      <c r="AV461" s="106"/>
      <c r="AW461" s="56"/>
      <c r="AX461" s="10"/>
      <c r="AY461" s="56"/>
      <c r="AZ461" s="56"/>
      <c r="BA461" s="56"/>
      <c r="BB461" s="56"/>
      <c r="BJ461" s="145"/>
      <c r="CD461" s="145"/>
      <c r="CT461" s="145"/>
    </row>
    <row r="462" spans="1:98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68"/>
      <c r="R462" s="56"/>
      <c r="S462" s="162"/>
      <c r="T462" s="106"/>
      <c r="U462" s="10"/>
      <c r="V462" s="56"/>
      <c r="W462" s="56"/>
      <c r="X462" s="56"/>
      <c r="Y462" s="56"/>
      <c r="Z462" s="56"/>
      <c r="AA462" s="172"/>
      <c r="AB462" s="56"/>
      <c r="AC462" s="56"/>
      <c r="AD462" s="106"/>
      <c r="AE462" s="56"/>
      <c r="AF462" s="56"/>
      <c r="AG462" s="56"/>
      <c r="AH462" s="56"/>
      <c r="AI462" s="56"/>
      <c r="AJ462" s="56"/>
      <c r="AK462" s="106"/>
      <c r="AL462" s="56"/>
      <c r="AM462" s="56"/>
      <c r="AN462" s="56"/>
      <c r="AO462" s="56"/>
      <c r="AP462" s="56"/>
      <c r="AQ462" s="56"/>
      <c r="AR462" s="56"/>
      <c r="AS462" s="106"/>
      <c r="AT462" s="56"/>
      <c r="AU462" s="56"/>
      <c r="AV462" s="106"/>
      <c r="AW462" s="56"/>
      <c r="AX462" s="10"/>
      <c r="AY462" s="56"/>
      <c r="AZ462" s="56"/>
      <c r="BA462" s="56"/>
      <c r="BB462" s="56"/>
      <c r="BJ462" s="145"/>
      <c r="CD462" s="145"/>
      <c r="CT462" s="145"/>
    </row>
    <row r="463" spans="1:98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68"/>
      <c r="R463" s="56"/>
      <c r="S463" s="162"/>
      <c r="T463" s="106"/>
      <c r="U463" s="10"/>
      <c r="V463" s="56"/>
      <c r="W463" s="56"/>
      <c r="X463" s="56"/>
      <c r="Y463" s="56"/>
      <c r="Z463" s="56"/>
      <c r="AA463" s="172"/>
      <c r="AB463" s="56"/>
      <c r="AC463" s="56"/>
      <c r="AD463" s="106"/>
      <c r="AE463" s="56"/>
      <c r="AF463" s="56"/>
      <c r="AG463" s="56"/>
      <c r="AH463" s="56"/>
      <c r="AI463" s="56"/>
      <c r="AJ463" s="56"/>
      <c r="AK463" s="106"/>
      <c r="AL463" s="56"/>
      <c r="AM463" s="56"/>
      <c r="AN463" s="56"/>
      <c r="AO463" s="56"/>
      <c r="AP463" s="56"/>
      <c r="AQ463" s="56"/>
      <c r="AR463" s="56"/>
      <c r="AS463" s="106"/>
      <c r="AT463" s="56"/>
      <c r="AU463" s="56"/>
      <c r="AV463" s="106"/>
      <c r="AW463" s="56"/>
      <c r="AX463" s="10"/>
      <c r="AY463" s="56"/>
      <c r="AZ463" s="56"/>
      <c r="BA463" s="56"/>
      <c r="BB463" s="56"/>
      <c r="BJ463" s="145"/>
      <c r="CD463" s="145"/>
      <c r="CT463" s="145"/>
    </row>
    <row r="464" spans="1:98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68"/>
      <c r="R464" s="56"/>
      <c r="S464" s="162"/>
      <c r="T464" s="106"/>
      <c r="U464" s="10"/>
      <c r="V464" s="56"/>
      <c r="W464" s="56"/>
      <c r="X464" s="56"/>
      <c r="Y464" s="56"/>
      <c r="Z464" s="56"/>
      <c r="AA464" s="172"/>
      <c r="AB464" s="56"/>
      <c r="AC464" s="56"/>
      <c r="AD464" s="106"/>
      <c r="AE464" s="56"/>
      <c r="AF464" s="56"/>
      <c r="AG464" s="56"/>
      <c r="AH464" s="56"/>
      <c r="AI464" s="56"/>
      <c r="AJ464" s="56"/>
      <c r="AK464" s="106"/>
      <c r="AL464" s="56"/>
      <c r="AM464" s="56"/>
      <c r="AN464" s="56"/>
      <c r="AO464" s="56"/>
      <c r="AP464" s="56"/>
      <c r="AQ464" s="56"/>
      <c r="AR464" s="56"/>
      <c r="AS464" s="106"/>
      <c r="AT464" s="56"/>
      <c r="AU464" s="56"/>
      <c r="AV464" s="106"/>
      <c r="AW464" s="56"/>
      <c r="AX464" s="10"/>
      <c r="AY464" s="56"/>
      <c r="AZ464" s="56"/>
      <c r="BA464" s="56"/>
      <c r="BB464" s="56"/>
      <c r="BJ464" s="145"/>
      <c r="CD464" s="145"/>
      <c r="CT464" s="145"/>
    </row>
    <row r="465" spans="1:98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68"/>
      <c r="R465" s="56"/>
      <c r="S465" s="162"/>
      <c r="T465" s="106"/>
      <c r="U465" s="10"/>
      <c r="V465" s="56"/>
      <c r="W465" s="56"/>
      <c r="X465" s="56"/>
      <c r="Y465" s="56"/>
      <c r="Z465" s="56"/>
      <c r="AA465" s="172"/>
      <c r="AB465" s="56"/>
      <c r="AC465" s="56"/>
      <c r="AD465" s="106"/>
      <c r="AE465" s="56"/>
      <c r="AF465" s="56"/>
      <c r="AG465" s="56"/>
      <c r="AH465" s="56"/>
      <c r="AI465" s="56"/>
      <c r="AJ465" s="56"/>
      <c r="AK465" s="106"/>
      <c r="AL465" s="56"/>
      <c r="AM465" s="56"/>
      <c r="AN465" s="56"/>
      <c r="AO465" s="56"/>
      <c r="AP465" s="56"/>
      <c r="AQ465" s="56"/>
      <c r="AR465" s="56"/>
      <c r="AS465" s="106"/>
      <c r="AT465" s="56"/>
      <c r="AU465" s="56"/>
      <c r="AV465" s="106"/>
      <c r="AW465" s="56"/>
      <c r="AX465" s="10"/>
      <c r="AY465" s="56"/>
      <c r="AZ465" s="56"/>
      <c r="BA465" s="56"/>
      <c r="BB465" s="56"/>
      <c r="BJ465" s="145"/>
      <c r="CD465" s="145"/>
      <c r="CT465" s="145"/>
    </row>
    <row r="466" spans="1:98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68"/>
      <c r="R466" s="56"/>
      <c r="S466" s="162"/>
      <c r="T466" s="106"/>
      <c r="U466" s="10"/>
      <c r="V466" s="56"/>
      <c r="W466" s="56"/>
      <c r="X466" s="56"/>
      <c r="Y466" s="56"/>
      <c r="Z466" s="56"/>
      <c r="AA466" s="172"/>
      <c r="AB466" s="56"/>
      <c r="AC466" s="56"/>
      <c r="AD466" s="106"/>
      <c r="AE466" s="56"/>
      <c r="AF466" s="56"/>
      <c r="AG466" s="56"/>
      <c r="AH466" s="56"/>
      <c r="AI466" s="56"/>
      <c r="AJ466" s="56"/>
      <c r="AK466" s="106"/>
      <c r="AL466" s="56"/>
      <c r="AM466" s="56"/>
      <c r="AN466" s="56"/>
      <c r="AO466" s="56"/>
      <c r="AP466" s="56"/>
      <c r="AQ466" s="56"/>
      <c r="AR466" s="56"/>
      <c r="AS466" s="106"/>
      <c r="AT466" s="56"/>
      <c r="AU466" s="56"/>
      <c r="AV466" s="106"/>
      <c r="AW466" s="56"/>
      <c r="AX466" s="10"/>
      <c r="AY466" s="56"/>
      <c r="AZ466" s="56"/>
      <c r="BA466" s="56"/>
      <c r="BB466" s="56"/>
      <c r="BJ466" s="145"/>
      <c r="CD466" s="145"/>
      <c r="CT466" s="145"/>
    </row>
    <row r="467" spans="1:98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68"/>
      <c r="R467" s="56"/>
      <c r="S467" s="162"/>
      <c r="T467" s="106"/>
      <c r="U467" s="10"/>
      <c r="V467" s="56"/>
      <c r="W467" s="56"/>
      <c r="X467" s="56"/>
      <c r="Y467" s="56"/>
      <c r="Z467" s="56"/>
      <c r="AA467" s="172"/>
      <c r="AB467" s="56"/>
      <c r="AC467" s="56"/>
      <c r="AD467" s="106"/>
      <c r="AE467" s="56"/>
      <c r="AF467" s="56"/>
      <c r="AG467" s="56"/>
      <c r="AH467" s="56"/>
      <c r="AI467" s="56"/>
      <c r="AJ467" s="56"/>
      <c r="AK467" s="106"/>
      <c r="AL467" s="56"/>
      <c r="AM467" s="56"/>
      <c r="AN467" s="56"/>
      <c r="AO467" s="56"/>
      <c r="AP467" s="56"/>
      <c r="AQ467" s="56"/>
      <c r="AR467" s="56"/>
      <c r="AS467" s="106"/>
      <c r="AT467" s="56"/>
      <c r="AU467" s="56"/>
      <c r="AV467" s="106"/>
      <c r="AW467" s="56"/>
      <c r="AX467" s="10"/>
      <c r="AY467" s="56"/>
      <c r="AZ467" s="56"/>
      <c r="BA467" s="56"/>
      <c r="BB467" s="56"/>
      <c r="BJ467" s="145"/>
      <c r="CD467" s="145"/>
      <c r="CT467" s="145"/>
    </row>
    <row r="468" spans="1:98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68"/>
      <c r="R468" s="56"/>
      <c r="S468" s="162"/>
      <c r="T468" s="106"/>
      <c r="U468" s="10"/>
      <c r="V468" s="56"/>
      <c r="W468" s="56"/>
      <c r="X468" s="56"/>
      <c r="Y468" s="56"/>
      <c r="Z468" s="56"/>
      <c r="AA468" s="172"/>
      <c r="AB468" s="56"/>
      <c r="AC468" s="56"/>
      <c r="AD468" s="106"/>
      <c r="AE468" s="56"/>
      <c r="AF468" s="56"/>
      <c r="AG468" s="56"/>
      <c r="AH468" s="56"/>
      <c r="AI468" s="56"/>
      <c r="AJ468" s="56"/>
      <c r="AK468" s="106"/>
      <c r="AL468" s="56"/>
      <c r="AM468" s="56"/>
      <c r="AN468" s="56"/>
      <c r="AO468" s="56"/>
      <c r="AP468" s="56"/>
      <c r="AQ468" s="56"/>
      <c r="AR468" s="56"/>
      <c r="AS468" s="106"/>
      <c r="AT468" s="56"/>
      <c r="AU468" s="56"/>
      <c r="AV468" s="106"/>
      <c r="AW468" s="56"/>
      <c r="AX468" s="10"/>
      <c r="AY468" s="56"/>
      <c r="AZ468" s="56"/>
      <c r="BA468" s="56"/>
      <c r="BB468" s="56"/>
      <c r="BJ468" s="145"/>
      <c r="CD468" s="145"/>
      <c r="CT468" s="145"/>
    </row>
    <row r="469" spans="1:98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68"/>
      <c r="R469" s="56"/>
      <c r="S469" s="162"/>
      <c r="T469" s="106"/>
      <c r="U469" s="10"/>
      <c r="V469" s="56"/>
      <c r="W469" s="56"/>
      <c r="X469" s="56"/>
      <c r="Y469" s="56"/>
      <c r="Z469" s="56"/>
      <c r="AA469" s="172"/>
      <c r="AB469" s="56"/>
      <c r="AC469" s="56"/>
      <c r="AD469" s="106"/>
      <c r="AE469" s="56"/>
      <c r="AF469" s="56"/>
      <c r="AG469" s="56"/>
      <c r="AH469" s="56"/>
      <c r="AI469" s="56"/>
      <c r="AJ469" s="56"/>
      <c r="AK469" s="106"/>
      <c r="AL469" s="56"/>
      <c r="AM469" s="56"/>
      <c r="AN469" s="56"/>
      <c r="AO469" s="56"/>
      <c r="AP469" s="56"/>
      <c r="AQ469" s="56"/>
      <c r="AR469" s="56"/>
      <c r="AS469" s="106"/>
      <c r="AT469" s="56"/>
      <c r="AU469" s="56"/>
      <c r="AV469" s="106"/>
      <c r="AW469" s="56"/>
      <c r="AX469" s="10"/>
      <c r="AY469" s="56"/>
      <c r="AZ469" s="56"/>
      <c r="BA469" s="56"/>
      <c r="BB469" s="56"/>
      <c r="BJ469" s="145"/>
      <c r="CD469" s="145"/>
      <c r="CT469" s="145"/>
    </row>
    <row r="470" spans="1:98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68"/>
      <c r="R470" s="56"/>
      <c r="S470" s="162"/>
      <c r="T470" s="106"/>
      <c r="U470" s="10"/>
      <c r="V470" s="56"/>
      <c r="W470" s="56"/>
      <c r="X470" s="56"/>
      <c r="Y470" s="56"/>
      <c r="Z470" s="56"/>
      <c r="AA470" s="172"/>
      <c r="AB470" s="56"/>
      <c r="AC470" s="56"/>
      <c r="AD470" s="106"/>
      <c r="AE470" s="56"/>
      <c r="AF470" s="56"/>
      <c r="AG470" s="56"/>
      <c r="AH470" s="56"/>
      <c r="AI470" s="56"/>
      <c r="AJ470" s="56"/>
      <c r="AK470" s="106"/>
      <c r="AL470" s="56"/>
      <c r="AM470" s="56"/>
      <c r="AN470" s="56"/>
      <c r="AO470" s="56"/>
      <c r="AP470" s="56"/>
      <c r="AQ470" s="56"/>
      <c r="AR470" s="56"/>
      <c r="AS470" s="106"/>
      <c r="AT470" s="56"/>
      <c r="AU470" s="56"/>
      <c r="AV470" s="106"/>
      <c r="AW470" s="56"/>
      <c r="AX470" s="10"/>
      <c r="AY470" s="56"/>
      <c r="AZ470" s="56"/>
      <c r="BA470" s="56"/>
      <c r="BB470" s="56"/>
      <c r="BJ470" s="145"/>
      <c r="CD470" s="145"/>
      <c r="CT470" s="145"/>
    </row>
    <row r="471" spans="1:98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68"/>
      <c r="R471" s="56"/>
      <c r="S471" s="162"/>
      <c r="T471" s="106"/>
      <c r="U471" s="10"/>
      <c r="V471" s="56"/>
      <c r="W471" s="56"/>
      <c r="X471" s="56"/>
      <c r="Y471" s="56"/>
      <c r="Z471" s="56"/>
      <c r="AA471" s="172"/>
      <c r="AB471" s="56"/>
      <c r="AC471" s="56"/>
      <c r="AD471" s="106"/>
      <c r="AE471" s="56"/>
      <c r="AF471" s="56"/>
      <c r="AG471" s="56"/>
      <c r="AH471" s="56"/>
      <c r="AI471" s="56"/>
      <c r="AJ471" s="56"/>
      <c r="AK471" s="106"/>
      <c r="AL471" s="56"/>
      <c r="AM471" s="56"/>
      <c r="AN471" s="56"/>
      <c r="AO471" s="56"/>
      <c r="AP471" s="56"/>
      <c r="AQ471" s="56"/>
      <c r="AR471" s="56"/>
      <c r="AS471" s="106"/>
      <c r="AT471" s="56"/>
      <c r="AU471" s="56"/>
      <c r="AV471" s="106"/>
      <c r="AW471" s="56"/>
      <c r="AX471" s="10"/>
      <c r="AY471" s="56"/>
      <c r="AZ471" s="56"/>
      <c r="BA471" s="56"/>
      <c r="BB471" s="56"/>
      <c r="BJ471" s="145"/>
      <c r="CD471" s="145"/>
      <c r="CT471" s="145"/>
    </row>
    <row r="472" spans="1:98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68"/>
      <c r="R472" s="56"/>
      <c r="S472" s="162"/>
      <c r="T472" s="106"/>
      <c r="U472" s="10"/>
      <c r="V472" s="56"/>
      <c r="W472" s="56"/>
      <c r="X472" s="56"/>
      <c r="Y472" s="56"/>
      <c r="Z472" s="56"/>
      <c r="AA472" s="172"/>
      <c r="AB472" s="56"/>
      <c r="AC472" s="56"/>
      <c r="AD472" s="106"/>
      <c r="AE472" s="56"/>
      <c r="AF472" s="56"/>
      <c r="AG472" s="56"/>
      <c r="AH472" s="56"/>
      <c r="AI472" s="56"/>
      <c r="AJ472" s="56"/>
      <c r="AK472" s="106"/>
      <c r="AL472" s="56"/>
      <c r="AM472" s="56"/>
      <c r="AN472" s="56"/>
      <c r="AO472" s="56"/>
      <c r="AP472" s="56"/>
      <c r="AQ472" s="56"/>
      <c r="AR472" s="56"/>
      <c r="AS472" s="106"/>
      <c r="AT472" s="56"/>
      <c r="AU472" s="56"/>
      <c r="AV472" s="106"/>
      <c r="AW472" s="56"/>
      <c r="AX472" s="10"/>
      <c r="AY472" s="56"/>
      <c r="AZ472" s="56"/>
      <c r="BA472" s="56"/>
      <c r="BB472" s="56"/>
      <c r="BJ472" s="145"/>
      <c r="CD472" s="145"/>
      <c r="CT472" s="145"/>
    </row>
    <row r="473" spans="1:98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68"/>
      <c r="R473" s="56"/>
      <c r="S473" s="162"/>
      <c r="T473" s="106"/>
      <c r="U473" s="10"/>
      <c r="V473" s="56"/>
      <c r="W473" s="56"/>
      <c r="X473" s="56"/>
      <c r="Y473" s="56"/>
      <c r="Z473" s="56"/>
      <c r="AA473" s="172"/>
      <c r="AB473" s="56"/>
      <c r="AC473" s="56"/>
      <c r="AD473" s="106"/>
      <c r="AE473" s="56"/>
      <c r="AF473" s="56"/>
      <c r="AG473" s="56"/>
      <c r="AH473" s="56"/>
      <c r="AI473" s="56"/>
      <c r="AJ473" s="56"/>
      <c r="AK473" s="106"/>
      <c r="AL473" s="56"/>
      <c r="AM473" s="56"/>
      <c r="AN473" s="56"/>
      <c r="AO473" s="56"/>
      <c r="AP473" s="56"/>
      <c r="AQ473" s="56"/>
      <c r="AR473" s="56"/>
      <c r="AS473" s="106"/>
      <c r="AT473" s="56"/>
      <c r="AU473" s="56"/>
      <c r="AV473" s="106"/>
      <c r="AW473" s="56"/>
      <c r="AX473" s="10"/>
      <c r="AY473" s="56"/>
      <c r="AZ473" s="56"/>
      <c r="BA473" s="56"/>
      <c r="BB473" s="56"/>
      <c r="BJ473" s="145"/>
      <c r="CD473" s="145"/>
      <c r="CT473" s="145"/>
    </row>
    <row r="474" spans="1:98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68"/>
      <c r="R474" s="56"/>
      <c r="S474" s="162"/>
      <c r="T474" s="106"/>
      <c r="U474" s="10"/>
      <c r="V474" s="56"/>
      <c r="W474" s="56"/>
      <c r="X474" s="56"/>
      <c r="Y474" s="56"/>
      <c r="Z474" s="56"/>
      <c r="AA474" s="172"/>
      <c r="AB474" s="56"/>
      <c r="AC474" s="56"/>
      <c r="AD474" s="106"/>
      <c r="AE474" s="56"/>
      <c r="AF474" s="56"/>
      <c r="AG474" s="56"/>
      <c r="AH474" s="56"/>
      <c r="AI474" s="56"/>
      <c r="AJ474" s="56"/>
      <c r="AK474" s="106"/>
      <c r="AL474" s="56"/>
      <c r="AM474" s="56"/>
      <c r="AN474" s="56"/>
      <c r="AO474" s="56"/>
      <c r="AP474" s="56"/>
      <c r="AQ474" s="56"/>
      <c r="AR474" s="56"/>
      <c r="AS474" s="106"/>
      <c r="AT474" s="56"/>
      <c r="AU474" s="56"/>
      <c r="AV474" s="106"/>
      <c r="AW474" s="56"/>
      <c r="AX474" s="10"/>
      <c r="AY474" s="56"/>
      <c r="AZ474" s="56"/>
      <c r="BA474" s="56"/>
      <c r="BB474" s="56"/>
      <c r="BJ474" s="145"/>
      <c r="CD474" s="145"/>
      <c r="CT474" s="145"/>
    </row>
    <row r="475" spans="1:98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68"/>
      <c r="R475" s="56"/>
      <c r="S475" s="162"/>
      <c r="T475" s="106"/>
      <c r="U475" s="10"/>
      <c r="V475" s="56"/>
      <c r="W475" s="56"/>
      <c r="X475" s="56"/>
      <c r="Y475" s="56"/>
      <c r="Z475" s="56"/>
      <c r="AA475" s="172"/>
      <c r="AB475" s="56"/>
      <c r="AC475" s="56"/>
      <c r="AD475" s="106"/>
      <c r="AE475" s="56"/>
      <c r="AF475" s="56"/>
      <c r="AG475" s="56"/>
      <c r="AH475" s="56"/>
      <c r="AI475" s="56"/>
      <c r="AJ475" s="56"/>
      <c r="AK475" s="106"/>
      <c r="AL475" s="56"/>
      <c r="AM475" s="56"/>
      <c r="AN475" s="56"/>
      <c r="AO475" s="56"/>
      <c r="AP475" s="56"/>
      <c r="AQ475" s="56"/>
      <c r="AR475" s="56"/>
      <c r="AS475" s="106"/>
      <c r="AT475" s="56"/>
      <c r="AU475" s="56"/>
      <c r="AV475" s="106"/>
      <c r="AW475" s="56"/>
      <c r="AX475" s="10"/>
      <c r="AY475" s="56"/>
      <c r="AZ475" s="56"/>
      <c r="BA475" s="56"/>
      <c r="BB475" s="56"/>
      <c r="BJ475" s="145"/>
      <c r="CD475" s="145"/>
      <c r="CT475" s="145"/>
    </row>
    <row r="476" spans="1:98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68"/>
      <c r="R476" s="56"/>
      <c r="S476" s="162"/>
      <c r="T476" s="106"/>
      <c r="U476" s="10"/>
      <c r="V476" s="56"/>
      <c r="W476" s="56"/>
      <c r="X476" s="56"/>
      <c r="Y476" s="56"/>
      <c r="Z476" s="56"/>
      <c r="AA476" s="172"/>
      <c r="AB476" s="56"/>
      <c r="AC476" s="56"/>
      <c r="AD476" s="106"/>
      <c r="AE476" s="56"/>
      <c r="AF476" s="56"/>
      <c r="AG476" s="56"/>
      <c r="AH476" s="56"/>
      <c r="AI476" s="56"/>
      <c r="AJ476" s="56"/>
      <c r="AK476" s="106"/>
      <c r="AL476" s="56"/>
      <c r="AM476" s="56"/>
      <c r="AN476" s="56"/>
      <c r="AO476" s="56"/>
      <c r="AP476" s="56"/>
      <c r="AQ476" s="56"/>
      <c r="AR476" s="56"/>
      <c r="AS476" s="106"/>
      <c r="AT476" s="56"/>
      <c r="AU476" s="56"/>
      <c r="AV476" s="106"/>
      <c r="AW476" s="56"/>
      <c r="AX476" s="10"/>
      <c r="AY476" s="56"/>
      <c r="AZ476" s="56"/>
      <c r="BA476" s="56"/>
      <c r="BB476" s="56"/>
      <c r="BJ476" s="145"/>
      <c r="CD476" s="145"/>
      <c r="CT476" s="145"/>
    </row>
    <row r="477" spans="1:98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68"/>
      <c r="R477" s="56"/>
      <c r="S477" s="162"/>
      <c r="T477" s="106"/>
      <c r="U477" s="10"/>
      <c r="V477" s="56"/>
      <c r="W477" s="56"/>
      <c r="X477" s="56"/>
      <c r="Y477" s="56"/>
      <c r="Z477" s="56"/>
      <c r="AA477" s="172"/>
      <c r="AB477" s="56"/>
      <c r="AC477" s="56"/>
      <c r="AD477" s="106"/>
      <c r="AE477" s="56"/>
      <c r="AF477" s="56"/>
      <c r="AG477" s="56"/>
      <c r="AH477" s="56"/>
      <c r="AI477" s="56"/>
      <c r="AJ477" s="56"/>
      <c r="AK477" s="106"/>
      <c r="AL477" s="56"/>
      <c r="AM477" s="56"/>
      <c r="AN477" s="56"/>
      <c r="AO477" s="56"/>
      <c r="AP477" s="56"/>
      <c r="AQ477" s="56"/>
      <c r="AR477" s="56"/>
      <c r="AS477" s="106"/>
      <c r="AT477" s="56"/>
      <c r="AU477" s="56"/>
      <c r="AV477" s="106"/>
      <c r="AW477" s="56"/>
      <c r="AX477" s="10"/>
      <c r="AY477" s="56"/>
      <c r="AZ477" s="56"/>
      <c r="BA477" s="56"/>
      <c r="BB477" s="56"/>
      <c r="BJ477" s="145"/>
      <c r="CD477" s="145"/>
      <c r="CT477" s="145"/>
    </row>
    <row r="478" spans="1:98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68"/>
      <c r="R478" s="56"/>
      <c r="S478" s="162"/>
      <c r="T478" s="106"/>
      <c r="U478" s="10"/>
      <c r="V478" s="56"/>
      <c r="W478" s="56"/>
      <c r="X478" s="56"/>
      <c r="Y478" s="56"/>
      <c r="Z478" s="56"/>
      <c r="AA478" s="172"/>
      <c r="AB478" s="56"/>
      <c r="AC478" s="56"/>
      <c r="AD478" s="106"/>
      <c r="AE478" s="56"/>
      <c r="AF478" s="56"/>
      <c r="AG478" s="56"/>
      <c r="AH478" s="56"/>
      <c r="AI478" s="56"/>
      <c r="AJ478" s="56"/>
      <c r="AK478" s="106"/>
      <c r="AL478" s="56"/>
      <c r="AM478" s="56"/>
      <c r="AN478" s="56"/>
      <c r="AO478" s="56"/>
      <c r="AP478" s="56"/>
      <c r="AQ478" s="56"/>
      <c r="AR478" s="56"/>
      <c r="AS478" s="106"/>
      <c r="AT478" s="56"/>
      <c r="AU478" s="56"/>
      <c r="AV478" s="106"/>
      <c r="AW478" s="56"/>
      <c r="AX478" s="10"/>
      <c r="AY478" s="56"/>
      <c r="AZ478" s="56"/>
      <c r="BA478" s="56"/>
      <c r="BB478" s="56"/>
      <c r="BJ478" s="145"/>
      <c r="CD478" s="145"/>
      <c r="CT478" s="145"/>
    </row>
    <row r="479" spans="1:98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68"/>
      <c r="R479" s="56"/>
      <c r="S479" s="162"/>
      <c r="T479" s="106"/>
      <c r="U479" s="10"/>
      <c r="V479" s="56"/>
      <c r="W479" s="56"/>
      <c r="X479" s="56"/>
      <c r="Y479" s="56"/>
      <c r="Z479" s="56"/>
      <c r="AA479" s="172"/>
      <c r="AB479" s="56"/>
      <c r="AC479" s="56"/>
      <c r="AD479" s="106"/>
      <c r="AE479" s="56"/>
      <c r="AF479" s="56"/>
      <c r="AG479" s="56"/>
      <c r="AH479" s="56"/>
      <c r="AI479" s="56"/>
      <c r="AJ479" s="56"/>
      <c r="AK479" s="106"/>
      <c r="AL479" s="56"/>
      <c r="AM479" s="56"/>
      <c r="AN479" s="56"/>
      <c r="AO479" s="56"/>
      <c r="AP479" s="56"/>
      <c r="AQ479" s="56"/>
      <c r="AR479" s="56"/>
      <c r="AS479" s="106"/>
      <c r="AT479" s="56"/>
      <c r="AU479" s="56"/>
      <c r="AV479" s="106"/>
      <c r="AW479" s="56"/>
      <c r="AX479" s="10"/>
      <c r="AY479" s="56"/>
      <c r="AZ479" s="56"/>
      <c r="BA479" s="56"/>
      <c r="BB479" s="56"/>
      <c r="BJ479" s="145"/>
      <c r="CD479" s="145"/>
      <c r="CT479" s="145"/>
    </row>
    <row r="480" spans="1:98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68"/>
      <c r="R480" s="56"/>
      <c r="S480" s="162"/>
      <c r="T480" s="106"/>
      <c r="U480" s="10"/>
      <c r="V480" s="56"/>
      <c r="W480" s="56"/>
      <c r="X480" s="56"/>
      <c r="Y480" s="56"/>
      <c r="Z480" s="56"/>
      <c r="AA480" s="172"/>
      <c r="AB480" s="56"/>
      <c r="AC480" s="56"/>
      <c r="AD480" s="106"/>
      <c r="AE480" s="56"/>
      <c r="AF480" s="56"/>
      <c r="AG480" s="56"/>
      <c r="AH480" s="56"/>
      <c r="AI480" s="56"/>
      <c r="AJ480" s="56"/>
      <c r="AK480" s="106"/>
      <c r="AL480" s="56"/>
      <c r="AM480" s="56"/>
      <c r="AN480" s="56"/>
      <c r="AO480" s="56"/>
      <c r="AP480" s="56"/>
      <c r="AQ480" s="56"/>
      <c r="AR480" s="56"/>
      <c r="AS480" s="106"/>
      <c r="AT480" s="56"/>
      <c r="AU480" s="56"/>
      <c r="AV480" s="106"/>
      <c r="AW480" s="56"/>
      <c r="AX480" s="10"/>
      <c r="AY480" s="56"/>
      <c r="AZ480" s="56"/>
      <c r="BA480" s="56"/>
      <c r="BB480" s="56"/>
      <c r="BJ480" s="145"/>
      <c r="CD480" s="145"/>
      <c r="CT480" s="145"/>
    </row>
    <row r="481" spans="1:98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68"/>
      <c r="R481" s="56"/>
      <c r="S481" s="162"/>
      <c r="T481" s="106"/>
      <c r="U481" s="10"/>
      <c r="V481" s="56"/>
      <c r="W481" s="56"/>
      <c r="X481" s="56"/>
      <c r="Y481" s="56"/>
      <c r="Z481" s="56"/>
      <c r="AA481" s="172"/>
      <c r="AB481" s="56"/>
      <c r="AC481" s="56"/>
      <c r="AD481" s="106"/>
      <c r="AE481" s="56"/>
      <c r="AF481" s="56"/>
      <c r="AG481" s="56"/>
      <c r="AH481" s="56"/>
      <c r="AI481" s="56"/>
      <c r="AJ481" s="56"/>
      <c r="AK481" s="106"/>
      <c r="AL481" s="56"/>
      <c r="AM481" s="56"/>
      <c r="AN481" s="56"/>
      <c r="AO481" s="56"/>
      <c r="AP481" s="56"/>
      <c r="AQ481" s="56"/>
      <c r="AR481" s="56"/>
      <c r="AS481" s="106"/>
      <c r="AT481" s="56"/>
      <c r="AU481" s="56"/>
      <c r="AV481" s="106"/>
      <c r="AW481" s="56"/>
      <c r="AX481" s="10"/>
      <c r="AY481" s="56"/>
      <c r="AZ481" s="56"/>
      <c r="BA481" s="56"/>
      <c r="BB481" s="56"/>
      <c r="BJ481" s="145"/>
      <c r="CD481" s="145"/>
      <c r="CT481" s="145"/>
    </row>
    <row r="482" spans="1:98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68"/>
      <c r="R482" s="56"/>
      <c r="S482" s="162"/>
      <c r="T482" s="106"/>
      <c r="U482" s="10"/>
      <c r="V482" s="56"/>
      <c r="W482" s="56"/>
      <c r="X482" s="56"/>
      <c r="Y482" s="56"/>
      <c r="Z482" s="56"/>
      <c r="AA482" s="172"/>
      <c r="AB482" s="56"/>
      <c r="AC482" s="56"/>
      <c r="AD482" s="106"/>
      <c r="AE482" s="56"/>
      <c r="AF482" s="56"/>
      <c r="AG482" s="56"/>
      <c r="AH482" s="56"/>
      <c r="AI482" s="56"/>
      <c r="AJ482" s="56"/>
      <c r="AK482" s="106"/>
      <c r="AL482" s="56"/>
      <c r="AM482" s="56"/>
      <c r="AN482" s="56"/>
      <c r="AO482" s="56"/>
      <c r="AP482" s="56"/>
      <c r="AQ482" s="56"/>
      <c r="AR482" s="56"/>
      <c r="AS482" s="106"/>
      <c r="AT482" s="56"/>
      <c r="AU482" s="56"/>
      <c r="AV482" s="106"/>
      <c r="AW482" s="56"/>
      <c r="AX482" s="10"/>
      <c r="AY482" s="56"/>
      <c r="AZ482" s="56"/>
      <c r="BA482" s="56"/>
      <c r="BB482" s="56"/>
      <c r="BJ482" s="145"/>
      <c r="CD482" s="145"/>
      <c r="CT482" s="145"/>
    </row>
    <row r="483" spans="1:98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68"/>
      <c r="R483" s="56"/>
      <c r="S483" s="162"/>
      <c r="T483" s="106"/>
      <c r="U483" s="10"/>
      <c r="V483" s="56"/>
      <c r="W483" s="56"/>
      <c r="X483" s="56"/>
      <c r="Y483" s="56"/>
      <c r="Z483" s="56"/>
      <c r="AA483" s="172"/>
      <c r="AB483" s="56"/>
      <c r="AC483" s="56"/>
      <c r="AD483" s="106"/>
      <c r="AE483" s="56"/>
      <c r="AF483" s="56"/>
      <c r="AG483" s="56"/>
      <c r="AH483" s="56"/>
      <c r="AI483" s="56"/>
      <c r="AJ483" s="56"/>
      <c r="AK483" s="106"/>
      <c r="AL483" s="56"/>
      <c r="AM483" s="56"/>
      <c r="AN483" s="56"/>
      <c r="AO483" s="56"/>
      <c r="AP483" s="56"/>
      <c r="AQ483" s="56"/>
      <c r="AR483" s="56"/>
      <c r="AS483" s="106"/>
      <c r="AT483" s="56"/>
      <c r="AU483" s="56"/>
      <c r="AV483" s="106"/>
      <c r="AW483" s="56"/>
      <c r="AX483" s="10"/>
      <c r="AY483" s="56"/>
      <c r="AZ483" s="56"/>
      <c r="BA483" s="56"/>
      <c r="BB483" s="56"/>
      <c r="BJ483" s="145"/>
      <c r="CD483" s="145"/>
      <c r="CT483" s="145"/>
    </row>
    <row r="484" spans="1:98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68"/>
      <c r="R484" s="56"/>
      <c r="S484" s="162"/>
      <c r="T484" s="106"/>
      <c r="U484" s="10"/>
      <c r="V484" s="56"/>
      <c r="W484" s="56"/>
      <c r="X484" s="56"/>
      <c r="Y484" s="56"/>
      <c r="Z484" s="56"/>
      <c r="AA484" s="172"/>
      <c r="AB484" s="56"/>
      <c r="AC484" s="56"/>
      <c r="AD484" s="106"/>
      <c r="AE484" s="56"/>
      <c r="AF484" s="56"/>
      <c r="AG484" s="56"/>
      <c r="AH484" s="56"/>
      <c r="AI484" s="56"/>
      <c r="AJ484" s="56"/>
      <c r="AK484" s="106"/>
      <c r="AL484" s="56"/>
      <c r="AM484" s="56"/>
      <c r="AN484" s="56"/>
      <c r="AO484" s="56"/>
      <c r="AP484" s="56"/>
      <c r="AQ484" s="56"/>
      <c r="AR484" s="56"/>
      <c r="AS484" s="106"/>
      <c r="AT484" s="56"/>
      <c r="AU484" s="56"/>
      <c r="AV484" s="106"/>
      <c r="AW484" s="56"/>
      <c r="AX484" s="10"/>
      <c r="AY484" s="56"/>
      <c r="AZ484" s="56"/>
      <c r="BA484" s="56"/>
      <c r="BB484" s="56"/>
      <c r="BJ484" s="145"/>
      <c r="CD484" s="145"/>
      <c r="CT484" s="145"/>
    </row>
    <row r="485" spans="1:98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68"/>
      <c r="R485" s="56"/>
      <c r="S485" s="162"/>
      <c r="T485" s="106"/>
      <c r="U485" s="10"/>
      <c r="V485" s="56"/>
      <c r="W485" s="56"/>
      <c r="X485" s="56"/>
      <c r="Y485" s="56"/>
      <c r="Z485" s="56"/>
      <c r="AA485" s="172"/>
      <c r="AB485" s="56"/>
      <c r="AC485" s="56"/>
      <c r="AD485" s="106"/>
      <c r="AE485" s="56"/>
      <c r="AF485" s="56"/>
      <c r="AG485" s="56"/>
      <c r="AH485" s="56"/>
      <c r="AI485" s="56"/>
      <c r="AJ485" s="56"/>
      <c r="AK485" s="106"/>
      <c r="AL485" s="56"/>
      <c r="AM485" s="56"/>
      <c r="AN485" s="56"/>
      <c r="AO485" s="56"/>
      <c r="AP485" s="56"/>
      <c r="AQ485" s="56"/>
      <c r="AR485" s="56"/>
      <c r="AS485" s="106"/>
      <c r="AT485" s="56"/>
      <c r="AU485" s="56"/>
      <c r="AV485" s="106"/>
      <c r="AW485" s="56"/>
      <c r="AX485" s="10"/>
      <c r="AY485" s="56"/>
      <c r="AZ485" s="56"/>
      <c r="BA485" s="56"/>
      <c r="BB485" s="56"/>
      <c r="BJ485" s="145"/>
      <c r="CD485" s="145"/>
      <c r="CT485" s="145"/>
    </row>
    <row r="486" spans="1:98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68"/>
      <c r="R486" s="56"/>
      <c r="S486" s="162"/>
      <c r="T486" s="106"/>
      <c r="U486" s="10"/>
      <c r="V486" s="56"/>
      <c r="W486" s="56"/>
      <c r="X486" s="56"/>
      <c r="Y486" s="56"/>
      <c r="Z486" s="56"/>
      <c r="AA486" s="172"/>
      <c r="AB486" s="56"/>
      <c r="AC486" s="56"/>
      <c r="AD486" s="106"/>
      <c r="AE486" s="56"/>
      <c r="AF486" s="56"/>
      <c r="AG486" s="56"/>
      <c r="AH486" s="56"/>
      <c r="AI486" s="56"/>
      <c r="AJ486" s="56"/>
      <c r="AK486" s="106"/>
      <c r="AL486" s="56"/>
      <c r="AM486" s="56"/>
      <c r="AN486" s="56"/>
      <c r="AO486" s="56"/>
      <c r="AP486" s="56"/>
      <c r="AQ486" s="56"/>
      <c r="AR486" s="56"/>
      <c r="AS486" s="106"/>
      <c r="AT486" s="56"/>
      <c r="AU486" s="56"/>
      <c r="AV486" s="106"/>
      <c r="AW486" s="56"/>
      <c r="AX486" s="10"/>
      <c r="AY486" s="56"/>
      <c r="AZ486" s="56"/>
      <c r="BA486" s="56"/>
      <c r="BB486" s="56"/>
      <c r="BJ486" s="145"/>
      <c r="CD486" s="145"/>
      <c r="CT486" s="145"/>
    </row>
    <row r="487" spans="1:98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68"/>
      <c r="R487" s="56"/>
      <c r="S487" s="162"/>
      <c r="T487" s="106"/>
      <c r="U487" s="10"/>
      <c r="V487" s="56"/>
      <c r="W487" s="56"/>
      <c r="X487" s="56"/>
      <c r="Y487" s="56"/>
      <c r="Z487" s="56"/>
      <c r="AA487" s="172"/>
      <c r="AB487" s="56"/>
      <c r="AC487" s="56"/>
      <c r="AD487" s="106"/>
      <c r="AE487" s="56"/>
      <c r="AF487" s="56"/>
      <c r="AG487" s="56"/>
      <c r="AH487" s="56"/>
      <c r="AI487" s="56"/>
      <c r="AJ487" s="56"/>
      <c r="AK487" s="106"/>
      <c r="AL487" s="56"/>
      <c r="AM487" s="56"/>
      <c r="AN487" s="56"/>
      <c r="AO487" s="56"/>
      <c r="AP487" s="56"/>
      <c r="AQ487" s="56"/>
      <c r="AR487" s="56"/>
      <c r="AS487" s="106"/>
      <c r="AT487" s="56"/>
      <c r="AU487" s="56"/>
      <c r="AV487" s="106"/>
      <c r="AW487" s="56"/>
      <c r="AX487" s="10"/>
      <c r="AY487" s="56"/>
      <c r="AZ487" s="56"/>
      <c r="BA487" s="56"/>
      <c r="BB487" s="56"/>
      <c r="BJ487" s="145"/>
      <c r="CD487" s="145"/>
      <c r="CT487" s="145"/>
    </row>
    <row r="488" spans="1:98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68"/>
      <c r="R488" s="56"/>
      <c r="S488" s="162"/>
      <c r="T488" s="106"/>
      <c r="U488" s="10"/>
      <c r="V488" s="56"/>
      <c r="W488" s="56"/>
      <c r="X488" s="56"/>
      <c r="Y488" s="56"/>
      <c r="Z488" s="56"/>
      <c r="AA488" s="172"/>
      <c r="AB488" s="56"/>
      <c r="AC488" s="56"/>
      <c r="AD488" s="106"/>
      <c r="AE488" s="56"/>
      <c r="AF488" s="56"/>
      <c r="AG488" s="56"/>
      <c r="AH488" s="56"/>
      <c r="AI488" s="56"/>
      <c r="AJ488" s="56"/>
      <c r="AK488" s="106"/>
      <c r="AL488" s="56"/>
      <c r="AM488" s="56"/>
      <c r="AN488" s="56"/>
      <c r="AO488" s="56"/>
      <c r="AP488" s="56"/>
      <c r="AQ488" s="56"/>
      <c r="AR488" s="56"/>
      <c r="AS488" s="106"/>
      <c r="AT488" s="56"/>
      <c r="AU488" s="56"/>
      <c r="AV488" s="106"/>
      <c r="AW488" s="56"/>
      <c r="AX488" s="10"/>
      <c r="AY488" s="56"/>
      <c r="AZ488" s="56"/>
      <c r="BA488" s="56"/>
      <c r="BB488" s="56"/>
      <c r="BJ488" s="145"/>
      <c r="CD488" s="145"/>
      <c r="CT488" s="145"/>
    </row>
    <row r="489" spans="1:98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68"/>
      <c r="R489" s="56"/>
      <c r="S489" s="162"/>
      <c r="T489" s="106"/>
      <c r="U489" s="10"/>
      <c r="V489" s="56"/>
      <c r="W489" s="56"/>
      <c r="X489" s="56"/>
      <c r="Y489" s="56"/>
      <c r="Z489" s="56"/>
      <c r="AA489" s="172"/>
      <c r="AB489" s="56"/>
      <c r="AC489" s="56"/>
      <c r="AD489" s="106"/>
      <c r="AE489" s="56"/>
      <c r="AF489" s="56"/>
      <c r="AG489" s="56"/>
      <c r="AH489" s="56"/>
      <c r="AI489" s="56"/>
      <c r="AJ489" s="56"/>
      <c r="AK489" s="106"/>
      <c r="AL489" s="56"/>
      <c r="AM489" s="56"/>
      <c r="AN489" s="56"/>
      <c r="AO489" s="56"/>
      <c r="AP489" s="56"/>
      <c r="AQ489" s="56"/>
      <c r="AR489" s="56"/>
      <c r="AS489" s="106"/>
      <c r="AT489" s="56"/>
      <c r="AU489" s="56"/>
      <c r="AV489" s="106"/>
      <c r="AW489" s="56"/>
      <c r="AX489" s="10"/>
      <c r="AY489" s="56"/>
      <c r="AZ489" s="56"/>
      <c r="BA489" s="56"/>
      <c r="BB489" s="56"/>
      <c r="BJ489" s="145"/>
      <c r="CD489" s="145"/>
      <c r="CT489" s="145"/>
    </row>
    <row r="490" spans="1:98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68"/>
      <c r="R490" s="56"/>
      <c r="S490" s="162"/>
      <c r="T490" s="106"/>
      <c r="U490" s="10"/>
      <c r="V490" s="56"/>
      <c r="W490" s="56"/>
      <c r="X490" s="56"/>
      <c r="Y490" s="56"/>
      <c r="Z490" s="56"/>
      <c r="AA490" s="172"/>
      <c r="AB490" s="56"/>
      <c r="AC490" s="56"/>
      <c r="AD490" s="106"/>
      <c r="AE490" s="56"/>
      <c r="AF490" s="56"/>
      <c r="AG490" s="56"/>
      <c r="AH490" s="56"/>
      <c r="AI490" s="56"/>
      <c r="AJ490" s="56"/>
      <c r="AK490" s="106"/>
      <c r="AL490" s="56"/>
      <c r="AM490" s="56"/>
      <c r="AN490" s="56"/>
      <c r="AO490" s="56"/>
      <c r="AP490" s="56"/>
      <c r="AQ490" s="56"/>
      <c r="AR490" s="56"/>
      <c r="AS490" s="106"/>
      <c r="AT490" s="56"/>
      <c r="AU490" s="56"/>
      <c r="AV490" s="106"/>
      <c r="AW490" s="56"/>
      <c r="AX490" s="10"/>
      <c r="AY490" s="56"/>
      <c r="AZ490" s="56"/>
      <c r="BA490" s="56"/>
      <c r="BB490" s="56"/>
      <c r="BJ490" s="145"/>
      <c r="CD490" s="145"/>
      <c r="CT490" s="145"/>
    </row>
    <row r="491" spans="1:98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68"/>
      <c r="R491" s="56"/>
      <c r="S491" s="162"/>
      <c r="T491" s="106"/>
      <c r="U491" s="10"/>
      <c r="V491" s="56"/>
      <c r="W491" s="56"/>
      <c r="X491" s="56"/>
      <c r="Y491" s="56"/>
      <c r="Z491" s="56"/>
      <c r="AA491" s="172"/>
      <c r="AB491" s="56"/>
      <c r="AC491" s="56"/>
      <c r="AD491" s="106"/>
      <c r="AE491" s="56"/>
      <c r="AF491" s="56"/>
      <c r="AG491" s="56"/>
      <c r="AH491" s="56"/>
      <c r="AI491" s="56"/>
      <c r="AJ491" s="56"/>
      <c r="AK491" s="106"/>
      <c r="AL491" s="56"/>
      <c r="AM491" s="56"/>
      <c r="AN491" s="56"/>
      <c r="AO491" s="56"/>
      <c r="AP491" s="56"/>
      <c r="AQ491" s="56"/>
      <c r="AR491" s="56"/>
      <c r="AS491" s="106"/>
      <c r="AT491" s="56"/>
      <c r="AU491" s="56"/>
      <c r="AV491" s="106"/>
      <c r="AW491" s="56"/>
      <c r="AX491" s="10"/>
      <c r="AY491" s="56"/>
      <c r="AZ491" s="56"/>
      <c r="BA491" s="56"/>
      <c r="BB491" s="56"/>
      <c r="BJ491" s="145"/>
      <c r="CD491" s="145"/>
      <c r="CT491" s="145"/>
    </row>
    <row r="492" spans="1:98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68"/>
      <c r="R492" s="56"/>
      <c r="S492" s="162"/>
      <c r="T492" s="106"/>
      <c r="U492" s="10"/>
      <c r="V492" s="56"/>
      <c r="W492" s="56"/>
      <c r="X492" s="56"/>
      <c r="Y492" s="56"/>
      <c r="Z492" s="56"/>
      <c r="AA492" s="172"/>
      <c r="AB492" s="56"/>
      <c r="AC492" s="56"/>
      <c r="AD492" s="106"/>
      <c r="AE492" s="56"/>
      <c r="AF492" s="56"/>
      <c r="AG492" s="56"/>
      <c r="AH492" s="56"/>
      <c r="AI492" s="56"/>
      <c r="AJ492" s="56"/>
      <c r="AK492" s="106"/>
      <c r="AL492" s="56"/>
      <c r="AM492" s="56"/>
      <c r="AN492" s="56"/>
      <c r="AO492" s="56"/>
      <c r="AP492" s="56"/>
      <c r="AQ492" s="56"/>
      <c r="AR492" s="56"/>
      <c r="AS492" s="106"/>
      <c r="AT492" s="56"/>
      <c r="AU492" s="56"/>
      <c r="AV492" s="106"/>
      <c r="AW492" s="56"/>
      <c r="AX492" s="10"/>
      <c r="AY492" s="56"/>
      <c r="AZ492" s="56"/>
      <c r="BA492" s="56"/>
      <c r="BB492" s="56"/>
      <c r="BJ492" s="145"/>
      <c r="CD492" s="145"/>
      <c r="CT492" s="145"/>
    </row>
    <row r="493" spans="1:98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68"/>
      <c r="R493" s="56"/>
      <c r="S493" s="162"/>
      <c r="T493" s="106"/>
      <c r="U493" s="10"/>
      <c r="V493" s="56"/>
      <c r="W493" s="56"/>
      <c r="X493" s="56"/>
      <c r="Y493" s="56"/>
      <c r="Z493" s="56"/>
      <c r="AA493" s="172"/>
      <c r="AB493" s="56"/>
      <c r="AC493" s="56"/>
      <c r="AD493" s="106"/>
      <c r="AE493" s="56"/>
      <c r="AF493" s="56"/>
      <c r="AG493" s="56"/>
      <c r="AH493" s="56"/>
      <c r="AI493" s="56"/>
      <c r="AJ493" s="56"/>
      <c r="AK493" s="106"/>
      <c r="AL493" s="56"/>
      <c r="AM493" s="56"/>
      <c r="AN493" s="56"/>
      <c r="AO493" s="56"/>
      <c r="AP493" s="56"/>
      <c r="AQ493" s="56"/>
      <c r="AR493" s="56"/>
      <c r="AS493" s="106"/>
      <c r="AT493" s="56"/>
      <c r="AU493" s="56"/>
      <c r="AV493" s="106"/>
      <c r="AW493" s="56"/>
      <c r="AX493" s="10"/>
      <c r="AY493" s="56"/>
      <c r="AZ493" s="56"/>
      <c r="BA493" s="56"/>
      <c r="BB493" s="56"/>
      <c r="BJ493" s="145"/>
      <c r="CD493" s="145"/>
      <c r="CT493" s="145"/>
    </row>
    <row r="494" spans="1:98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68"/>
      <c r="R494" s="56"/>
      <c r="S494" s="162"/>
      <c r="T494" s="106"/>
      <c r="U494" s="10"/>
      <c r="V494" s="56"/>
      <c r="W494" s="56"/>
      <c r="X494" s="56"/>
      <c r="Y494" s="56"/>
      <c r="Z494" s="56"/>
      <c r="AA494" s="172"/>
      <c r="AB494" s="56"/>
      <c r="AC494" s="56"/>
      <c r="AD494" s="106"/>
      <c r="AE494" s="56"/>
      <c r="AF494" s="56"/>
      <c r="AG494" s="56"/>
      <c r="AH494" s="56"/>
      <c r="AI494" s="56"/>
      <c r="AJ494" s="56"/>
      <c r="AK494" s="106"/>
      <c r="AL494" s="56"/>
      <c r="AM494" s="56"/>
      <c r="AN494" s="56"/>
      <c r="AO494" s="56"/>
      <c r="AP494" s="56"/>
      <c r="AQ494" s="56"/>
      <c r="AR494" s="56"/>
      <c r="AS494" s="106"/>
      <c r="AT494" s="56"/>
      <c r="AU494" s="56"/>
      <c r="AV494" s="106"/>
      <c r="AW494" s="56"/>
      <c r="AX494" s="10"/>
      <c r="AY494" s="56"/>
      <c r="AZ494" s="56"/>
      <c r="BA494" s="56"/>
      <c r="BB494" s="56"/>
      <c r="BJ494" s="145"/>
      <c r="CD494" s="145"/>
      <c r="CT494" s="145"/>
    </row>
    <row r="495" spans="1:98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68"/>
      <c r="R495" s="56"/>
      <c r="S495" s="162"/>
      <c r="T495" s="106"/>
      <c r="U495" s="10"/>
      <c r="V495" s="56"/>
      <c r="W495" s="56"/>
      <c r="X495" s="56"/>
      <c r="Y495" s="56"/>
      <c r="Z495" s="56"/>
      <c r="AA495" s="172"/>
      <c r="AB495" s="56"/>
      <c r="AC495" s="56"/>
      <c r="AD495" s="106"/>
      <c r="AE495" s="56"/>
      <c r="AF495" s="56"/>
      <c r="AG495" s="56"/>
      <c r="AH495" s="56"/>
      <c r="AI495" s="56"/>
      <c r="AJ495" s="56"/>
      <c r="AK495" s="106"/>
      <c r="AL495" s="56"/>
      <c r="AM495" s="56"/>
      <c r="AN495" s="56"/>
      <c r="AO495" s="56"/>
      <c r="AP495" s="56"/>
      <c r="AQ495" s="56"/>
      <c r="AR495" s="56"/>
      <c r="AS495" s="106"/>
      <c r="AT495" s="56"/>
      <c r="AU495" s="56"/>
      <c r="AV495" s="106"/>
      <c r="AW495" s="56"/>
      <c r="AX495" s="10"/>
      <c r="AY495" s="56"/>
      <c r="AZ495" s="56"/>
      <c r="BA495" s="56"/>
      <c r="BB495" s="56"/>
      <c r="BJ495" s="145"/>
      <c r="CD495" s="145"/>
      <c r="CT495" s="145"/>
    </row>
    <row r="496" spans="1:98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68"/>
      <c r="R496" s="56"/>
      <c r="S496" s="162"/>
      <c r="T496" s="106"/>
      <c r="U496" s="10"/>
      <c r="V496" s="56"/>
      <c r="W496" s="56"/>
      <c r="X496" s="56"/>
      <c r="Y496" s="56"/>
      <c r="Z496" s="56"/>
      <c r="AA496" s="172"/>
      <c r="AB496" s="56"/>
      <c r="AC496" s="56"/>
      <c r="AD496" s="106"/>
      <c r="AE496" s="56"/>
      <c r="AF496" s="56"/>
      <c r="AG496" s="56"/>
      <c r="AH496" s="56"/>
      <c r="AI496" s="56"/>
      <c r="AJ496" s="56"/>
      <c r="AK496" s="106"/>
      <c r="AL496" s="56"/>
      <c r="AM496" s="56"/>
      <c r="AN496" s="56"/>
      <c r="AO496" s="56"/>
      <c r="AP496" s="56"/>
      <c r="AQ496" s="56"/>
      <c r="AR496" s="56"/>
      <c r="AS496" s="106"/>
      <c r="AT496" s="56"/>
      <c r="AU496" s="56"/>
      <c r="AV496" s="106"/>
      <c r="AW496" s="56"/>
      <c r="AX496" s="10"/>
      <c r="AY496" s="56"/>
      <c r="AZ496" s="56"/>
      <c r="BA496" s="56"/>
      <c r="BB496" s="56"/>
      <c r="BJ496" s="145"/>
      <c r="CD496" s="145"/>
      <c r="CT496" s="145"/>
    </row>
    <row r="497" spans="1:98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68"/>
      <c r="R497" s="56"/>
      <c r="S497" s="162"/>
      <c r="T497" s="106"/>
      <c r="U497" s="10"/>
      <c r="V497" s="56"/>
      <c r="W497" s="56"/>
      <c r="X497" s="56"/>
      <c r="Y497" s="56"/>
      <c r="Z497" s="56"/>
      <c r="AA497" s="172"/>
      <c r="AB497" s="56"/>
      <c r="AC497" s="56"/>
      <c r="AD497" s="106"/>
      <c r="AE497" s="56"/>
      <c r="AF497" s="56"/>
      <c r="AG497" s="56"/>
      <c r="AH497" s="56"/>
      <c r="AI497" s="56"/>
      <c r="AJ497" s="56"/>
      <c r="AK497" s="106"/>
      <c r="AL497" s="56"/>
      <c r="AM497" s="56"/>
      <c r="AN497" s="56"/>
      <c r="AO497" s="56"/>
      <c r="AP497" s="56"/>
      <c r="AQ497" s="56"/>
      <c r="AR497" s="56"/>
      <c r="AS497" s="106"/>
      <c r="AT497" s="56"/>
      <c r="AU497" s="56"/>
      <c r="AV497" s="106"/>
      <c r="AW497" s="56"/>
      <c r="AX497" s="10"/>
      <c r="AY497" s="56"/>
      <c r="AZ497" s="56"/>
      <c r="BA497" s="56"/>
      <c r="BB497" s="56"/>
      <c r="BJ497" s="145"/>
      <c r="CD497" s="145"/>
      <c r="CT497" s="145"/>
    </row>
    <row r="498" spans="1:98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68"/>
      <c r="R498" s="56"/>
      <c r="S498" s="162"/>
      <c r="T498" s="106"/>
      <c r="U498" s="10"/>
      <c r="V498" s="56"/>
      <c r="W498" s="56"/>
      <c r="X498" s="56"/>
      <c r="Y498" s="56"/>
      <c r="Z498" s="56"/>
      <c r="AA498" s="172"/>
      <c r="AB498" s="56"/>
      <c r="AC498" s="56"/>
      <c r="AD498" s="106"/>
      <c r="AE498" s="56"/>
      <c r="AF498" s="56"/>
      <c r="AG498" s="56"/>
      <c r="AH498" s="56"/>
      <c r="AI498" s="56"/>
      <c r="AJ498" s="56"/>
      <c r="AK498" s="106"/>
      <c r="AL498" s="56"/>
      <c r="AM498" s="56"/>
      <c r="AN498" s="56"/>
      <c r="AO498" s="56"/>
      <c r="AP498" s="56"/>
      <c r="AQ498" s="56"/>
      <c r="AR498" s="56"/>
      <c r="AS498" s="106"/>
      <c r="AT498" s="56"/>
      <c r="AU498" s="56"/>
      <c r="AV498" s="106"/>
      <c r="AW498" s="56"/>
      <c r="AX498" s="10"/>
      <c r="AY498" s="56"/>
      <c r="AZ498" s="56"/>
      <c r="BA498" s="56"/>
      <c r="BB498" s="56"/>
      <c r="BJ498" s="145"/>
      <c r="CD498" s="145"/>
      <c r="CT498" s="145"/>
    </row>
    <row r="499" spans="1:98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68"/>
      <c r="R499" s="56"/>
      <c r="S499" s="162"/>
      <c r="T499" s="106"/>
      <c r="U499" s="10"/>
      <c r="V499" s="56"/>
      <c r="W499" s="56"/>
      <c r="X499" s="56"/>
      <c r="Y499" s="56"/>
      <c r="Z499" s="56"/>
      <c r="AA499" s="172"/>
      <c r="AB499" s="56"/>
      <c r="AC499" s="56"/>
      <c r="AD499" s="106"/>
      <c r="AE499" s="56"/>
      <c r="AF499" s="56"/>
      <c r="AG499" s="56"/>
      <c r="AH499" s="56"/>
      <c r="AI499" s="56"/>
      <c r="AJ499" s="56"/>
      <c r="AK499" s="106"/>
      <c r="AL499" s="56"/>
      <c r="AM499" s="56"/>
      <c r="AN499" s="56"/>
      <c r="AO499" s="56"/>
      <c r="AP499" s="56"/>
      <c r="AQ499" s="56"/>
      <c r="AR499" s="56"/>
      <c r="AS499" s="106"/>
      <c r="AT499" s="56"/>
      <c r="AU499" s="56"/>
      <c r="AV499" s="106"/>
      <c r="AW499" s="56"/>
      <c r="AX499" s="10"/>
      <c r="AY499" s="56"/>
      <c r="AZ499" s="56"/>
      <c r="BA499" s="56"/>
      <c r="BB499" s="56"/>
      <c r="BJ499" s="145"/>
      <c r="CD499" s="145"/>
      <c r="CT499" s="145"/>
    </row>
    <row r="500" spans="1:98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68"/>
      <c r="R500" s="56"/>
      <c r="S500" s="162"/>
      <c r="T500" s="106"/>
      <c r="U500" s="10"/>
      <c r="V500" s="56"/>
      <c r="W500" s="56"/>
      <c r="X500" s="56"/>
      <c r="Y500" s="56"/>
      <c r="Z500" s="56"/>
      <c r="AA500" s="172"/>
      <c r="AB500" s="56"/>
      <c r="AC500" s="56"/>
      <c r="AD500" s="106"/>
      <c r="AE500" s="56"/>
      <c r="AF500" s="56"/>
      <c r="AG500" s="56"/>
      <c r="AH500" s="56"/>
      <c r="AI500" s="56"/>
      <c r="AJ500" s="56"/>
      <c r="AK500" s="106"/>
      <c r="AL500" s="56"/>
      <c r="AM500" s="56"/>
      <c r="AN500" s="56"/>
      <c r="AO500" s="56"/>
      <c r="AP500" s="56"/>
      <c r="AQ500" s="56"/>
      <c r="AR500" s="56"/>
      <c r="AS500" s="106"/>
      <c r="AT500" s="56"/>
      <c r="AU500" s="56"/>
      <c r="AV500" s="106"/>
      <c r="AW500" s="56"/>
      <c r="AX500" s="10"/>
      <c r="AY500" s="56"/>
      <c r="AZ500" s="56"/>
      <c r="BA500" s="56"/>
      <c r="BB500" s="56"/>
      <c r="BJ500" s="145"/>
      <c r="CD500" s="145"/>
      <c r="CT500" s="145"/>
    </row>
    <row r="501" spans="1:98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68"/>
      <c r="R501" s="56"/>
      <c r="S501" s="162"/>
      <c r="T501" s="106"/>
      <c r="U501" s="10"/>
      <c r="V501" s="56"/>
      <c r="W501" s="56"/>
      <c r="X501" s="56"/>
      <c r="Y501" s="56"/>
      <c r="Z501" s="56"/>
      <c r="AA501" s="172"/>
      <c r="AB501" s="56"/>
      <c r="AC501" s="56"/>
      <c r="AD501" s="106"/>
      <c r="AE501" s="56"/>
      <c r="AF501" s="56"/>
      <c r="AG501" s="56"/>
      <c r="AH501" s="56"/>
      <c r="AI501" s="56"/>
      <c r="AJ501" s="56"/>
      <c r="AK501" s="106"/>
      <c r="AL501" s="56"/>
      <c r="AM501" s="56"/>
      <c r="AN501" s="56"/>
      <c r="AO501" s="56"/>
      <c r="AP501" s="56"/>
      <c r="AQ501" s="56"/>
      <c r="AR501" s="56"/>
      <c r="AS501" s="106"/>
      <c r="AT501" s="56"/>
      <c r="AU501" s="56"/>
      <c r="AV501" s="106"/>
      <c r="AW501" s="56"/>
      <c r="AX501" s="10"/>
      <c r="AY501" s="56"/>
      <c r="AZ501" s="56"/>
      <c r="BA501" s="56"/>
      <c r="BB501" s="56"/>
      <c r="BJ501" s="145"/>
      <c r="CD501" s="145"/>
      <c r="CT501" s="145"/>
    </row>
    <row r="502" spans="1:98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68"/>
      <c r="R502" s="56"/>
      <c r="S502" s="162"/>
      <c r="T502" s="106"/>
      <c r="U502" s="10"/>
      <c r="V502" s="56"/>
      <c r="W502" s="56"/>
      <c r="X502" s="56"/>
      <c r="Y502" s="56"/>
      <c r="Z502" s="56"/>
      <c r="AA502" s="172"/>
      <c r="AB502" s="56"/>
      <c r="AC502" s="56"/>
      <c r="AD502" s="106"/>
      <c r="AE502" s="56"/>
      <c r="AF502" s="56"/>
      <c r="AG502" s="56"/>
      <c r="AH502" s="56"/>
      <c r="AI502" s="56"/>
      <c r="AJ502" s="56"/>
      <c r="AK502" s="106"/>
      <c r="AL502" s="56"/>
      <c r="AM502" s="56"/>
      <c r="AN502" s="56"/>
      <c r="AO502" s="56"/>
      <c r="AP502" s="56"/>
      <c r="AQ502" s="56"/>
      <c r="AR502" s="56"/>
      <c r="AS502" s="106"/>
      <c r="AT502" s="56"/>
      <c r="AU502" s="56"/>
      <c r="AV502" s="106"/>
      <c r="AW502" s="56"/>
      <c r="AX502" s="10"/>
      <c r="AY502" s="56"/>
      <c r="AZ502" s="56"/>
      <c r="BA502" s="56"/>
      <c r="BB502" s="56"/>
      <c r="BJ502" s="145"/>
      <c r="CD502" s="145"/>
      <c r="CT502" s="145"/>
    </row>
    <row r="503" spans="1:98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68"/>
      <c r="R503" s="56"/>
      <c r="S503" s="162"/>
      <c r="T503" s="106"/>
      <c r="U503" s="10"/>
      <c r="V503" s="56"/>
      <c r="W503" s="56"/>
      <c r="X503" s="56"/>
      <c r="Y503" s="56"/>
      <c r="Z503" s="56"/>
      <c r="AA503" s="172"/>
      <c r="AB503" s="56"/>
      <c r="AC503" s="56"/>
      <c r="AD503" s="106"/>
      <c r="AE503" s="56"/>
      <c r="AF503" s="56"/>
      <c r="AG503" s="56"/>
      <c r="AH503" s="56"/>
      <c r="AI503" s="56"/>
      <c r="AJ503" s="56"/>
      <c r="AK503" s="106"/>
      <c r="AL503" s="56"/>
      <c r="AM503" s="56"/>
      <c r="AN503" s="56"/>
      <c r="AO503" s="56"/>
      <c r="AP503" s="56"/>
      <c r="AQ503" s="56"/>
      <c r="AR503" s="56"/>
      <c r="AS503" s="106"/>
      <c r="AT503" s="56"/>
      <c r="AU503" s="56"/>
      <c r="AV503" s="106"/>
      <c r="AW503" s="56"/>
      <c r="AX503" s="10"/>
      <c r="AY503" s="56"/>
      <c r="AZ503" s="56"/>
      <c r="BA503" s="56"/>
      <c r="BB503" s="56"/>
      <c r="BJ503" s="145"/>
      <c r="CD503" s="145"/>
      <c r="CT503" s="145"/>
    </row>
    <row r="504" spans="1:98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68"/>
      <c r="R504" s="56"/>
      <c r="S504" s="162"/>
      <c r="T504" s="106"/>
      <c r="U504" s="10"/>
      <c r="V504" s="56"/>
      <c r="W504" s="56"/>
      <c r="X504" s="56"/>
      <c r="Y504" s="56"/>
      <c r="Z504" s="56"/>
      <c r="AA504" s="172"/>
      <c r="AB504" s="56"/>
      <c r="AC504" s="56"/>
      <c r="AD504" s="106"/>
      <c r="AE504" s="56"/>
      <c r="AF504" s="56"/>
      <c r="AG504" s="56"/>
      <c r="AH504" s="56"/>
      <c r="AI504" s="56"/>
      <c r="AJ504" s="56"/>
      <c r="AK504" s="106"/>
      <c r="AL504" s="56"/>
      <c r="AM504" s="56"/>
      <c r="AN504" s="56"/>
      <c r="AO504" s="56"/>
      <c r="AP504" s="56"/>
      <c r="AQ504" s="56"/>
      <c r="AR504" s="56"/>
      <c r="AS504" s="106"/>
      <c r="AT504" s="56"/>
      <c r="AU504" s="56"/>
      <c r="AV504" s="106"/>
      <c r="AW504" s="56"/>
      <c r="AX504" s="10"/>
      <c r="AY504" s="56"/>
      <c r="AZ504" s="56"/>
      <c r="BA504" s="56"/>
      <c r="BB504" s="56"/>
      <c r="BJ504" s="145"/>
      <c r="CD504" s="145"/>
      <c r="CT504" s="145"/>
    </row>
    <row r="505" spans="1:98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68"/>
      <c r="R505" s="56"/>
      <c r="S505" s="162"/>
      <c r="T505" s="106"/>
      <c r="U505" s="10"/>
      <c r="V505" s="56"/>
      <c r="W505" s="56"/>
      <c r="X505" s="56"/>
      <c r="Y505" s="56"/>
      <c r="Z505" s="56"/>
      <c r="AA505" s="172"/>
      <c r="AB505" s="56"/>
      <c r="AC505" s="56"/>
      <c r="AD505" s="106"/>
      <c r="AE505" s="56"/>
      <c r="AF505" s="56"/>
      <c r="AG505" s="56"/>
      <c r="AH505" s="56"/>
      <c r="AI505" s="56"/>
      <c r="AJ505" s="56"/>
      <c r="AK505" s="106"/>
      <c r="AL505" s="56"/>
      <c r="AM505" s="56"/>
      <c r="AN505" s="56"/>
      <c r="AO505" s="56"/>
      <c r="AP505" s="56"/>
      <c r="AQ505" s="56"/>
      <c r="AR505" s="56"/>
      <c r="AS505" s="106"/>
      <c r="AT505" s="56"/>
      <c r="AU505" s="56"/>
      <c r="AV505" s="106"/>
      <c r="AW505" s="56"/>
      <c r="AX505" s="10"/>
      <c r="AY505" s="56"/>
      <c r="AZ505" s="56"/>
      <c r="BA505" s="56"/>
      <c r="BB505" s="56"/>
      <c r="BJ505" s="145"/>
      <c r="CD505" s="145"/>
      <c r="CT505" s="145"/>
    </row>
    <row r="506" spans="1:98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68"/>
      <c r="R506" s="56"/>
      <c r="S506" s="162"/>
      <c r="T506" s="106"/>
      <c r="U506" s="10"/>
      <c r="V506" s="56"/>
      <c r="W506" s="56"/>
      <c r="X506" s="56"/>
      <c r="Y506" s="56"/>
      <c r="Z506" s="56"/>
      <c r="AA506" s="172"/>
      <c r="AB506" s="56"/>
      <c r="AC506" s="56"/>
      <c r="AD506" s="106"/>
      <c r="AE506" s="56"/>
      <c r="AF506" s="56"/>
      <c r="AG506" s="56"/>
      <c r="AH506" s="56"/>
      <c r="AI506" s="56"/>
      <c r="AJ506" s="56"/>
      <c r="AK506" s="106"/>
      <c r="AL506" s="56"/>
      <c r="AM506" s="56"/>
      <c r="AN506" s="56"/>
      <c r="AO506" s="56"/>
      <c r="AP506" s="56"/>
      <c r="AQ506" s="56"/>
      <c r="AR506" s="56"/>
      <c r="AS506" s="106"/>
      <c r="AT506" s="56"/>
      <c r="AU506" s="56"/>
      <c r="AV506" s="106"/>
      <c r="AW506" s="56"/>
      <c r="AX506" s="10"/>
      <c r="AY506" s="56"/>
      <c r="AZ506" s="56"/>
      <c r="BA506" s="56"/>
      <c r="BB506" s="56"/>
      <c r="BJ506" s="145"/>
      <c r="CD506" s="145"/>
      <c r="CT506" s="145"/>
    </row>
    <row r="507" spans="1:98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68"/>
      <c r="R507" s="56"/>
      <c r="S507" s="162"/>
      <c r="T507" s="106"/>
      <c r="U507" s="10"/>
      <c r="V507" s="56"/>
      <c r="W507" s="56"/>
      <c r="X507" s="56"/>
      <c r="Y507" s="56"/>
      <c r="Z507" s="56"/>
      <c r="AA507" s="172"/>
      <c r="AB507" s="56"/>
      <c r="AC507" s="56"/>
      <c r="AD507" s="106"/>
      <c r="AE507" s="56"/>
      <c r="AF507" s="56"/>
      <c r="AG507" s="56"/>
      <c r="AH507" s="56"/>
      <c r="AI507" s="56"/>
      <c r="AJ507" s="56"/>
      <c r="AK507" s="106"/>
      <c r="AL507" s="56"/>
      <c r="AM507" s="56"/>
      <c r="AN507" s="56"/>
      <c r="AO507" s="56"/>
      <c r="AP507" s="56"/>
      <c r="AQ507" s="56"/>
      <c r="AR507" s="56"/>
      <c r="AS507" s="106"/>
      <c r="AT507" s="56"/>
      <c r="AU507" s="56"/>
      <c r="AV507" s="106"/>
      <c r="AW507" s="56"/>
      <c r="AX507" s="10"/>
      <c r="AY507" s="56"/>
      <c r="AZ507" s="56"/>
      <c r="BA507" s="56"/>
      <c r="BB507" s="56"/>
      <c r="BJ507" s="145"/>
      <c r="CD507" s="145"/>
      <c r="CT507" s="145"/>
    </row>
    <row r="508" spans="1:98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68"/>
      <c r="R508" s="56"/>
      <c r="S508" s="162"/>
      <c r="T508" s="106"/>
      <c r="U508" s="10"/>
      <c r="V508" s="56"/>
      <c r="W508" s="56"/>
      <c r="X508" s="56"/>
      <c r="Y508" s="56"/>
      <c r="Z508" s="56"/>
      <c r="AA508" s="172"/>
      <c r="AB508" s="56"/>
      <c r="AC508" s="56"/>
      <c r="AD508" s="106"/>
      <c r="AE508" s="56"/>
      <c r="AF508" s="56"/>
      <c r="AG508" s="56"/>
      <c r="AH508" s="56"/>
      <c r="AI508" s="56"/>
      <c r="AJ508" s="56"/>
      <c r="AK508" s="106"/>
      <c r="AL508" s="56"/>
      <c r="AM508" s="56"/>
      <c r="AN508" s="56"/>
      <c r="AO508" s="56"/>
      <c r="AP508" s="56"/>
      <c r="AQ508" s="56"/>
      <c r="AR508" s="56"/>
      <c r="AS508" s="106"/>
      <c r="AT508" s="56"/>
      <c r="AU508" s="56"/>
      <c r="AV508" s="106"/>
      <c r="AW508" s="56"/>
      <c r="AX508" s="10"/>
      <c r="AY508" s="56"/>
      <c r="AZ508" s="56"/>
      <c r="BA508" s="56"/>
      <c r="BB508" s="56"/>
      <c r="BJ508" s="145"/>
      <c r="CD508" s="145"/>
      <c r="CT508" s="145"/>
    </row>
    <row r="509" spans="1:98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68"/>
      <c r="R509" s="56"/>
      <c r="S509" s="162"/>
      <c r="T509" s="106"/>
      <c r="U509" s="10"/>
      <c r="V509" s="56"/>
      <c r="W509" s="56"/>
      <c r="X509" s="56"/>
      <c r="Y509" s="56"/>
      <c r="Z509" s="56"/>
      <c r="AA509" s="172"/>
      <c r="AB509" s="56"/>
      <c r="AC509" s="56"/>
      <c r="AD509" s="106"/>
      <c r="AE509" s="56"/>
      <c r="AF509" s="56"/>
      <c r="AG509" s="56"/>
      <c r="AH509" s="56"/>
      <c r="AI509" s="56"/>
      <c r="AJ509" s="56"/>
      <c r="AK509" s="106"/>
      <c r="AL509" s="56"/>
      <c r="AM509" s="56"/>
      <c r="AN509" s="56"/>
      <c r="AO509" s="56"/>
      <c r="AP509" s="56"/>
      <c r="AQ509" s="56"/>
      <c r="AR509" s="56"/>
      <c r="AS509" s="106"/>
      <c r="AT509" s="56"/>
      <c r="AU509" s="56"/>
      <c r="AV509" s="106"/>
      <c r="AW509" s="56"/>
      <c r="AX509" s="10"/>
      <c r="AY509" s="56"/>
      <c r="AZ509" s="56"/>
      <c r="BA509" s="56"/>
      <c r="BB509" s="56"/>
      <c r="BJ509" s="145"/>
      <c r="CD509" s="145"/>
      <c r="CT509" s="145"/>
    </row>
    <row r="510" spans="1:98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68"/>
      <c r="R510" s="56"/>
      <c r="S510" s="162"/>
      <c r="T510" s="106"/>
      <c r="U510" s="10"/>
      <c r="V510" s="56"/>
      <c r="W510" s="56"/>
      <c r="X510" s="56"/>
      <c r="Y510" s="56"/>
      <c r="Z510" s="56"/>
      <c r="AA510" s="172"/>
      <c r="AB510" s="56"/>
      <c r="AC510" s="56"/>
      <c r="AD510" s="106"/>
      <c r="AE510" s="56"/>
      <c r="AF510" s="56"/>
      <c r="AG510" s="56"/>
      <c r="AH510" s="56"/>
      <c r="AI510" s="56"/>
      <c r="AJ510" s="56"/>
      <c r="AK510" s="106"/>
      <c r="AL510" s="56"/>
      <c r="AM510" s="56"/>
      <c r="AN510" s="56"/>
      <c r="AO510" s="56"/>
      <c r="AP510" s="56"/>
      <c r="AQ510" s="56"/>
      <c r="AR510" s="56"/>
      <c r="AS510" s="106"/>
      <c r="AT510" s="56"/>
      <c r="AU510" s="56"/>
      <c r="AV510" s="106"/>
      <c r="AW510" s="56"/>
      <c r="AX510" s="10"/>
      <c r="AY510" s="56"/>
      <c r="AZ510" s="56"/>
      <c r="BA510" s="56"/>
      <c r="BB510" s="56"/>
      <c r="BJ510" s="145"/>
      <c r="CD510" s="145"/>
      <c r="CT510" s="145"/>
    </row>
    <row r="511" spans="1:98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68"/>
      <c r="R511" s="56"/>
      <c r="S511" s="162"/>
      <c r="T511" s="106"/>
      <c r="U511" s="10"/>
      <c r="V511" s="56"/>
      <c r="W511" s="56"/>
      <c r="X511" s="56"/>
      <c r="Y511" s="56"/>
      <c r="Z511" s="56"/>
      <c r="AA511" s="172"/>
      <c r="AB511" s="56"/>
      <c r="AC511" s="56"/>
      <c r="AD511" s="106"/>
      <c r="AE511" s="56"/>
      <c r="AF511" s="56"/>
      <c r="AG511" s="56"/>
      <c r="AH511" s="56"/>
      <c r="AI511" s="56"/>
      <c r="AJ511" s="56"/>
      <c r="AK511" s="106"/>
      <c r="AL511" s="56"/>
      <c r="AM511" s="56"/>
      <c r="AN511" s="56"/>
      <c r="AO511" s="56"/>
      <c r="AP511" s="56"/>
      <c r="AQ511" s="56"/>
      <c r="AR511" s="56"/>
      <c r="AS511" s="106"/>
      <c r="AT511" s="56"/>
      <c r="AU511" s="56"/>
      <c r="AV511" s="106"/>
      <c r="AW511" s="56"/>
      <c r="AX511" s="10"/>
      <c r="AY511" s="56"/>
      <c r="AZ511" s="56"/>
      <c r="BA511" s="56"/>
      <c r="BB511" s="56"/>
      <c r="BJ511" s="145"/>
      <c r="CD511" s="145"/>
      <c r="CT511" s="145"/>
    </row>
    <row r="512" spans="1:98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68"/>
      <c r="R512" s="56"/>
      <c r="S512" s="162"/>
      <c r="T512" s="106"/>
      <c r="U512" s="10"/>
      <c r="V512" s="56"/>
      <c r="W512" s="56"/>
      <c r="X512" s="56"/>
      <c r="Y512" s="56"/>
      <c r="Z512" s="56"/>
      <c r="AA512" s="172"/>
      <c r="AB512" s="56"/>
      <c r="AC512" s="56"/>
      <c r="AD512" s="106"/>
      <c r="AE512" s="56"/>
      <c r="AF512" s="56"/>
      <c r="AG512" s="56"/>
      <c r="AH512" s="56"/>
      <c r="AI512" s="56"/>
      <c r="AJ512" s="56"/>
      <c r="AK512" s="106"/>
      <c r="AL512" s="56"/>
      <c r="AM512" s="56"/>
      <c r="AN512" s="56"/>
      <c r="AO512" s="56"/>
      <c r="AP512" s="56"/>
      <c r="AQ512" s="56"/>
      <c r="AR512" s="56"/>
      <c r="AS512" s="106"/>
      <c r="AT512" s="56"/>
      <c r="AU512" s="56"/>
      <c r="AV512" s="106"/>
      <c r="AW512" s="56"/>
      <c r="AX512" s="10"/>
      <c r="AY512" s="56"/>
      <c r="AZ512" s="56"/>
      <c r="BA512" s="56"/>
      <c r="BB512" s="56"/>
      <c r="BJ512" s="145"/>
      <c r="CD512" s="145"/>
      <c r="CT512" s="145"/>
    </row>
    <row r="513" spans="1:98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68"/>
      <c r="R513" s="56"/>
      <c r="S513" s="162"/>
      <c r="T513" s="106"/>
      <c r="U513" s="10"/>
      <c r="V513" s="56"/>
      <c r="W513" s="56"/>
      <c r="X513" s="56"/>
      <c r="Y513" s="56"/>
      <c r="Z513" s="56"/>
      <c r="AA513" s="172"/>
      <c r="AB513" s="56"/>
      <c r="AC513" s="56"/>
      <c r="AD513" s="106"/>
      <c r="AE513" s="56"/>
      <c r="AF513" s="56"/>
      <c r="AG513" s="56"/>
      <c r="AH513" s="56"/>
      <c r="AI513" s="56"/>
      <c r="AJ513" s="56"/>
      <c r="AK513" s="106"/>
      <c r="AL513" s="56"/>
      <c r="AM513" s="56"/>
      <c r="AN513" s="56"/>
      <c r="AO513" s="56"/>
      <c r="AP513" s="56"/>
      <c r="AQ513" s="56"/>
      <c r="AR513" s="56"/>
      <c r="AS513" s="106"/>
      <c r="AT513" s="56"/>
      <c r="AU513" s="56"/>
      <c r="AV513" s="106"/>
      <c r="AW513" s="56"/>
      <c r="AX513" s="10"/>
      <c r="AY513" s="56"/>
      <c r="AZ513" s="56"/>
      <c r="BA513" s="56"/>
      <c r="BB513" s="56"/>
      <c r="BJ513" s="145"/>
      <c r="CD513" s="145"/>
      <c r="CT513" s="145"/>
    </row>
    <row r="514" spans="1:98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68"/>
      <c r="R514" s="56"/>
      <c r="S514" s="162"/>
      <c r="T514" s="106"/>
      <c r="U514" s="10"/>
      <c r="V514" s="56"/>
      <c r="W514" s="56"/>
      <c r="X514" s="56"/>
      <c r="Y514" s="56"/>
      <c r="Z514" s="56"/>
      <c r="AA514" s="172"/>
      <c r="AB514" s="56"/>
      <c r="AC514" s="56"/>
      <c r="AD514" s="106"/>
      <c r="AE514" s="56"/>
      <c r="AF514" s="56"/>
      <c r="AG514" s="56"/>
      <c r="AH514" s="56"/>
      <c r="AI514" s="56"/>
      <c r="AJ514" s="56"/>
      <c r="AK514" s="106"/>
      <c r="AL514" s="56"/>
      <c r="AM514" s="56"/>
      <c r="AN514" s="56"/>
      <c r="AO514" s="56"/>
      <c r="AP514" s="56"/>
      <c r="AQ514" s="56"/>
      <c r="AR514" s="56"/>
      <c r="AS514" s="106"/>
      <c r="AT514" s="56"/>
      <c r="AU514" s="56"/>
      <c r="AV514" s="106"/>
      <c r="AW514" s="56"/>
      <c r="AX514" s="10"/>
      <c r="AY514" s="56"/>
      <c r="AZ514" s="56"/>
      <c r="BA514" s="56"/>
      <c r="BB514" s="56"/>
      <c r="BJ514" s="145"/>
      <c r="CD514" s="145"/>
      <c r="CT514" s="145"/>
    </row>
    <row r="515" spans="1:98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68"/>
      <c r="R515" s="56"/>
      <c r="S515" s="162"/>
      <c r="T515" s="106"/>
      <c r="U515" s="10"/>
      <c r="V515" s="56"/>
      <c r="W515" s="56"/>
      <c r="X515" s="56"/>
      <c r="Y515" s="56"/>
      <c r="Z515" s="56"/>
      <c r="AA515" s="172"/>
      <c r="AB515" s="56"/>
      <c r="AC515" s="56"/>
      <c r="AD515" s="106"/>
      <c r="AE515" s="56"/>
      <c r="AF515" s="56"/>
      <c r="AG515" s="56"/>
      <c r="AH515" s="56"/>
      <c r="AI515" s="56"/>
      <c r="AJ515" s="56"/>
      <c r="AK515" s="106"/>
      <c r="AL515" s="56"/>
      <c r="AM515" s="56"/>
      <c r="AN515" s="56"/>
      <c r="AO515" s="56"/>
      <c r="AP515" s="56"/>
      <c r="AQ515" s="56"/>
      <c r="AR515" s="56"/>
      <c r="AS515" s="106"/>
      <c r="AT515" s="56"/>
      <c r="AU515" s="56"/>
      <c r="AV515" s="106"/>
      <c r="AW515" s="56"/>
      <c r="AX515" s="10"/>
      <c r="AY515" s="56"/>
      <c r="AZ515" s="56"/>
      <c r="BA515" s="56"/>
      <c r="BB515" s="56"/>
      <c r="BJ515" s="145"/>
      <c r="CD515" s="145"/>
      <c r="CT515" s="145"/>
    </row>
    <row r="516" spans="1:98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68"/>
      <c r="R516" s="56"/>
      <c r="S516" s="162"/>
      <c r="T516" s="106"/>
      <c r="U516" s="10"/>
      <c r="V516" s="56"/>
      <c r="W516" s="56"/>
      <c r="X516" s="56"/>
      <c r="Y516" s="56"/>
      <c r="Z516" s="56"/>
      <c r="AA516" s="172"/>
      <c r="AB516" s="56"/>
      <c r="AC516" s="56"/>
      <c r="AD516" s="106"/>
      <c r="AE516" s="56"/>
      <c r="AF516" s="56"/>
      <c r="AG516" s="56"/>
      <c r="AH516" s="56"/>
      <c r="AI516" s="56"/>
      <c r="AJ516" s="56"/>
      <c r="AK516" s="106"/>
      <c r="AL516" s="56"/>
      <c r="AM516" s="56"/>
      <c r="AN516" s="56"/>
      <c r="AO516" s="56"/>
      <c r="AP516" s="56"/>
      <c r="AQ516" s="56"/>
      <c r="AR516" s="56"/>
      <c r="AS516" s="106"/>
      <c r="AT516" s="56"/>
      <c r="AU516" s="56"/>
      <c r="AV516" s="106"/>
      <c r="AW516" s="56"/>
      <c r="AX516" s="10"/>
      <c r="AY516" s="56"/>
      <c r="AZ516" s="56"/>
      <c r="BA516" s="56"/>
      <c r="BB516" s="56"/>
      <c r="BJ516" s="145"/>
      <c r="CD516" s="145"/>
      <c r="CT516" s="145"/>
    </row>
    <row r="517" spans="1:98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68"/>
      <c r="R517" s="56"/>
      <c r="S517" s="162"/>
      <c r="T517" s="106"/>
      <c r="U517" s="10"/>
      <c r="V517" s="56"/>
      <c r="W517" s="56"/>
      <c r="X517" s="56"/>
      <c r="Y517" s="56"/>
      <c r="Z517" s="56"/>
      <c r="AA517" s="172"/>
      <c r="AB517" s="56"/>
      <c r="AC517" s="56"/>
      <c r="AD517" s="106"/>
      <c r="AE517" s="56"/>
      <c r="AF517" s="56"/>
      <c r="AG517" s="56"/>
      <c r="AH517" s="56"/>
      <c r="AI517" s="56"/>
      <c r="AJ517" s="56"/>
      <c r="AK517" s="106"/>
      <c r="AL517" s="56"/>
      <c r="AM517" s="56"/>
      <c r="AN517" s="56"/>
      <c r="AO517" s="56"/>
      <c r="AP517" s="56"/>
      <c r="AQ517" s="56"/>
      <c r="AR517" s="56"/>
      <c r="AS517" s="106"/>
      <c r="AT517" s="56"/>
      <c r="AU517" s="56"/>
      <c r="AV517" s="106"/>
      <c r="AW517" s="56"/>
      <c r="AX517" s="10"/>
      <c r="AY517" s="56"/>
      <c r="AZ517" s="56"/>
      <c r="BA517" s="56"/>
      <c r="BB517" s="56"/>
      <c r="BJ517" s="145"/>
      <c r="CD517" s="145"/>
      <c r="CT517" s="145"/>
    </row>
    <row r="518" spans="1:98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68"/>
      <c r="R518" s="56"/>
      <c r="S518" s="162"/>
      <c r="T518" s="106"/>
      <c r="U518" s="10"/>
      <c r="V518" s="56"/>
      <c r="W518" s="56"/>
      <c r="X518" s="56"/>
      <c r="Y518" s="56"/>
      <c r="Z518" s="56"/>
      <c r="AA518" s="172"/>
      <c r="AB518" s="56"/>
      <c r="AC518" s="56"/>
      <c r="AD518" s="106"/>
      <c r="AE518" s="56"/>
      <c r="AF518" s="56"/>
      <c r="AG518" s="56"/>
      <c r="AH518" s="56"/>
      <c r="AI518" s="56"/>
      <c r="AJ518" s="56"/>
      <c r="AK518" s="106"/>
      <c r="AL518" s="56"/>
      <c r="AM518" s="56"/>
      <c r="AN518" s="56"/>
      <c r="AO518" s="56"/>
      <c r="AP518" s="56"/>
      <c r="AQ518" s="56"/>
      <c r="AR518" s="56"/>
      <c r="AS518" s="106"/>
      <c r="AT518" s="56"/>
      <c r="AU518" s="56"/>
      <c r="AV518" s="106"/>
      <c r="AW518" s="56"/>
      <c r="AX518" s="10"/>
      <c r="AY518" s="56"/>
      <c r="AZ518" s="56"/>
      <c r="BA518" s="56"/>
      <c r="BB518" s="56"/>
      <c r="BJ518" s="145"/>
      <c r="CD518" s="145"/>
      <c r="CT518" s="145"/>
    </row>
    <row r="519" spans="1:98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68"/>
      <c r="R519" s="56"/>
      <c r="S519" s="162"/>
      <c r="T519" s="106"/>
      <c r="U519" s="10"/>
      <c r="V519" s="56"/>
      <c r="W519" s="56"/>
      <c r="X519" s="56"/>
      <c r="Y519" s="56"/>
      <c r="Z519" s="56"/>
      <c r="AA519" s="172"/>
      <c r="AB519" s="56"/>
      <c r="AC519" s="56"/>
      <c r="AD519" s="106"/>
      <c r="AE519" s="56"/>
      <c r="AF519" s="56"/>
      <c r="AG519" s="56"/>
      <c r="AH519" s="56"/>
      <c r="AI519" s="56"/>
      <c r="AJ519" s="56"/>
      <c r="AK519" s="106"/>
      <c r="AL519" s="56"/>
      <c r="AM519" s="56"/>
      <c r="AN519" s="56"/>
      <c r="AO519" s="56"/>
      <c r="AP519" s="56"/>
      <c r="AQ519" s="56"/>
      <c r="AR519" s="56"/>
      <c r="AS519" s="106"/>
      <c r="AT519" s="56"/>
      <c r="AU519" s="56"/>
      <c r="AV519" s="106"/>
      <c r="AW519" s="56"/>
      <c r="AX519" s="10"/>
      <c r="AY519" s="56"/>
      <c r="AZ519" s="56"/>
      <c r="BA519" s="56"/>
      <c r="BB519" s="56"/>
      <c r="BJ519" s="145"/>
      <c r="CD519" s="145"/>
      <c r="CT519" s="145"/>
    </row>
    <row r="520" spans="1:98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68"/>
      <c r="R520" s="56"/>
      <c r="S520" s="162"/>
      <c r="T520" s="106"/>
      <c r="U520" s="10"/>
      <c r="V520" s="56"/>
      <c r="W520" s="56"/>
      <c r="X520" s="56"/>
      <c r="Y520" s="56"/>
      <c r="Z520" s="56"/>
      <c r="AA520" s="172"/>
      <c r="AB520" s="56"/>
      <c r="AC520" s="56"/>
      <c r="AD520" s="106"/>
      <c r="AE520" s="56"/>
      <c r="AF520" s="56"/>
      <c r="AG520" s="56"/>
      <c r="AH520" s="56"/>
      <c r="AI520" s="56"/>
      <c r="AJ520" s="56"/>
      <c r="AK520" s="106"/>
      <c r="AL520" s="56"/>
      <c r="AM520" s="56"/>
      <c r="AN520" s="56"/>
      <c r="AO520" s="56"/>
      <c r="AP520" s="56"/>
      <c r="AQ520" s="56"/>
      <c r="AR520" s="56"/>
      <c r="AS520" s="106"/>
      <c r="AT520" s="56"/>
      <c r="AU520" s="56"/>
      <c r="AV520" s="106"/>
      <c r="AW520" s="56"/>
      <c r="AX520" s="10"/>
      <c r="AY520" s="56"/>
      <c r="AZ520" s="56"/>
      <c r="BA520" s="56"/>
      <c r="BB520" s="56"/>
      <c r="BJ520" s="145"/>
      <c r="CD520" s="145"/>
      <c r="CT520" s="145"/>
    </row>
    <row r="521" spans="1:98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68"/>
      <c r="R521" s="56"/>
      <c r="S521" s="162"/>
      <c r="T521" s="106"/>
      <c r="U521" s="10"/>
      <c r="V521" s="56"/>
      <c r="W521" s="56"/>
      <c r="X521" s="56"/>
      <c r="Y521" s="56"/>
      <c r="Z521" s="56"/>
      <c r="AA521" s="172"/>
      <c r="AB521" s="56"/>
      <c r="AC521" s="56"/>
      <c r="AD521" s="106"/>
      <c r="AE521" s="56"/>
      <c r="AF521" s="56"/>
      <c r="AG521" s="56"/>
      <c r="AH521" s="56"/>
      <c r="AI521" s="56"/>
      <c r="AJ521" s="56"/>
      <c r="AK521" s="106"/>
      <c r="AL521" s="56"/>
      <c r="AM521" s="56"/>
      <c r="AN521" s="56"/>
      <c r="AO521" s="56"/>
      <c r="AP521" s="56"/>
      <c r="AQ521" s="56"/>
      <c r="AR521" s="56"/>
      <c r="AS521" s="106"/>
      <c r="AT521" s="56"/>
      <c r="AU521" s="56"/>
      <c r="AV521" s="106"/>
      <c r="AW521" s="56"/>
      <c r="AX521" s="10"/>
      <c r="AY521" s="56"/>
      <c r="AZ521" s="56"/>
      <c r="BA521" s="56"/>
      <c r="BB521" s="56"/>
      <c r="BJ521" s="145"/>
      <c r="CD521" s="145"/>
      <c r="CT521" s="145"/>
    </row>
    <row r="522" spans="1:98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68"/>
      <c r="R522" s="56"/>
      <c r="S522" s="162"/>
      <c r="T522" s="106"/>
      <c r="U522" s="10"/>
      <c r="V522" s="56"/>
      <c r="W522" s="56"/>
      <c r="X522" s="56"/>
      <c r="Y522" s="56"/>
      <c r="Z522" s="56"/>
      <c r="AA522" s="172"/>
      <c r="AB522" s="56"/>
      <c r="AC522" s="56"/>
      <c r="AD522" s="106"/>
      <c r="AE522" s="56"/>
      <c r="AF522" s="56"/>
      <c r="AG522" s="56"/>
      <c r="AH522" s="56"/>
      <c r="AI522" s="56"/>
      <c r="AJ522" s="56"/>
      <c r="AK522" s="106"/>
      <c r="AL522" s="56"/>
      <c r="AM522" s="56"/>
      <c r="AN522" s="56"/>
      <c r="AO522" s="56"/>
      <c r="AP522" s="56"/>
      <c r="AQ522" s="56"/>
      <c r="AR522" s="56"/>
      <c r="AS522" s="106"/>
      <c r="AT522" s="56"/>
      <c r="AU522" s="56"/>
      <c r="AV522" s="106"/>
      <c r="AW522" s="56"/>
      <c r="AX522" s="10"/>
      <c r="AY522" s="56"/>
      <c r="AZ522" s="56"/>
      <c r="BA522" s="56"/>
      <c r="BB522" s="56"/>
      <c r="BJ522" s="145"/>
      <c r="CD522" s="145"/>
      <c r="CT522" s="145"/>
    </row>
    <row r="523" spans="1:98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68"/>
      <c r="R523" s="56"/>
      <c r="S523" s="162"/>
      <c r="T523" s="106"/>
      <c r="U523" s="10"/>
      <c r="V523" s="56"/>
      <c r="W523" s="56"/>
      <c r="X523" s="56"/>
      <c r="Y523" s="56"/>
      <c r="Z523" s="56"/>
      <c r="AA523" s="172"/>
      <c r="AB523" s="56"/>
      <c r="AC523" s="56"/>
      <c r="AD523" s="106"/>
      <c r="AE523" s="56"/>
      <c r="AF523" s="56"/>
      <c r="AG523" s="56"/>
      <c r="AH523" s="56"/>
      <c r="AI523" s="56"/>
      <c r="AJ523" s="56"/>
      <c r="AK523" s="106"/>
      <c r="AL523" s="56"/>
      <c r="AM523" s="56"/>
      <c r="AN523" s="56"/>
      <c r="AO523" s="56"/>
      <c r="AP523" s="56"/>
      <c r="AQ523" s="56"/>
      <c r="AR523" s="56"/>
      <c r="AS523" s="106"/>
      <c r="AT523" s="56"/>
      <c r="AU523" s="56"/>
      <c r="AV523" s="106"/>
      <c r="AW523" s="56"/>
      <c r="AX523" s="10"/>
      <c r="AY523" s="56"/>
      <c r="AZ523" s="56"/>
      <c r="BA523" s="56"/>
      <c r="BB523" s="56"/>
      <c r="BJ523" s="145"/>
      <c r="CD523" s="145"/>
      <c r="CT523" s="145"/>
    </row>
    <row r="524" spans="1:98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68"/>
      <c r="R524" s="56"/>
      <c r="S524" s="162"/>
      <c r="T524" s="106"/>
      <c r="U524" s="10"/>
      <c r="V524" s="56"/>
      <c r="W524" s="56"/>
      <c r="X524" s="56"/>
      <c r="Y524" s="56"/>
      <c r="Z524" s="56"/>
      <c r="AA524" s="172"/>
      <c r="AB524" s="56"/>
      <c r="AC524" s="56"/>
      <c r="AD524" s="106"/>
      <c r="AE524" s="56"/>
      <c r="AF524" s="56"/>
      <c r="AG524" s="56"/>
      <c r="AH524" s="56"/>
      <c r="AI524" s="56"/>
      <c r="AJ524" s="56"/>
      <c r="AK524" s="106"/>
      <c r="AL524" s="56"/>
      <c r="AM524" s="56"/>
      <c r="AN524" s="56"/>
      <c r="AO524" s="56"/>
      <c r="AP524" s="56"/>
      <c r="AQ524" s="56"/>
      <c r="AR524" s="56"/>
      <c r="AS524" s="106"/>
      <c r="AT524" s="56"/>
      <c r="AU524" s="56"/>
      <c r="AV524" s="106"/>
      <c r="AW524" s="56"/>
      <c r="AX524" s="10"/>
      <c r="AY524" s="56"/>
      <c r="AZ524" s="56"/>
      <c r="BA524" s="56"/>
      <c r="BB524" s="56"/>
      <c r="BJ524" s="145"/>
      <c r="CD524" s="145"/>
      <c r="CT524" s="145"/>
    </row>
    <row r="525" spans="1:98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68"/>
      <c r="R525" s="56"/>
      <c r="S525" s="162"/>
      <c r="T525" s="106"/>
      <c r="U525" s="10"/>
      <c r="V525" s="56"/>
      <c r="W525" s="56"/>
      <c r="X525" s="56"/>
      <c r="Y525" s="56"/>
      <c r="Z525" s="56"/>
      <c r="AA525" s="172"/>
      <c r="AB525" s="56"/>
      <c r="AC525" s="56"/>
      <c r="AD525" s="106"/>
      <c r="AE525" s="56"/>
      <c r="AF525" s="56"/>
      <c r="AG525" s="56"/>
      <c r="AH525" s="56"/>
      <c r="AI525" s="56"/>
      <c r="AJ525" s="56"/>
      <c r="AK525" s="106"/>
      <c r="AL525" s="56"/>
      <c r="AM525" s="56"/>
      <c r="AN525" s="56"/>
      <c r="AO525" s="56"/>
      <c r="AP525" s="56"/>
      <c r="AQ525" s="56"/>
      <c r="AR525" s="56"/>
      <c r="AS525" s="106"/>
      <c r="AT525" s="56"/>
      <c r="AU525" s="56"/>
      <c r="AV525" s="106"/>
      <c r="AW525" s="56"/>
      <c r="AX525" s="10"/>
      <c r="AY525" s="56"/>
      <c r="AZ525" s="56"/>
      <c r="BA525" s="56"/>
      <c r="BB525" s="56"/>
      <c r="BJ525" s="145"/>
      <c r="CD525" s="145"/>
      <c r="CT525" s="145"/>
    </row>
    <row r="526" spans="1:98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68"/>
      <c r="R526" s="56"/>
      <c r="S526" s="162"/>
      <c r="T526" s="106"/>
      <c r="U526" s="10"/>
      <c r="V526" s="56"/>
      <c r="W526" s="56"/>
      <c r="X526" s="56"/>
      <c r="Y526" s="56"/>
      <c r="Z526" s="56"/>
      <c r="AA526" s="172"/>
      <c r="AB526" s="56"/>
      <c r="AC526" s="56"/>
      <c r="AD526" s="106"/>
      <c r="AE526" s="56"/>
      <c r="AF526" s="56"/>
      <c r="AG526" s="56"/>
      <c r="AH526" s="56"/>
      <c r="AI526" s="56"/>
      <c r="AJ526" s="56"/>
      <c r="AK526" s="106"/>
      <c r="AL526" s="56"/>
      <c r="AM526" s="56"/>
      <c r="AN526" s="56"/>
      <c r="AO526" s="56"/>
      <c r="AP526" s="56"/>
      <c r="AQ526" s="56"/>
      <c r="AR526" s="56"/>
      <c r="AS526" s="106"/>
      <c r="AT526" s="56"/>
      <c r="AU526" s="56"/>
      <c r="AV526" s="106"/>
      <c r="AW526" s="56"/>
      <c r="AX526" s="10"/>
      <c r="AY526" s="56"/>
      <c r="AZ526" s="56"/>
      <c r="BA526" s="56"/>
      <c r="BB526" s="56"/>
      <c r="BJ526" s="145"/>
      <c r="CD526" s="145"/>
      <c r="CT526" s="145"/>
    </row>
    <row r="527" spans="1:98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68"/>
      <c r="R527" s="56"/>
      <c r="S527" s="162"/>
      <c r="T527" s="106"/>
      <c r="U527" s="10"/>
      <c r="V527" s="56"/>
      <c r="W527" s="56"/>
      <c r="X527" s="56"/>
      <c r="Y527" s="56"/>
      <c r="Z527" s="56"/>
      <c r="AA527" s="172"/>
      <c r="AB527" s="56"/>
      <c r="AC527" s="56"/>
      <c r="AD527" s="106"/>
      <c r="AE527" s="56"/>
      <c r="AF527" s="56"/>
      <c r="AG527" s="56"/>
      <c r="AH527" s="56"/>
      <c r="AI527" s="56"/>
      <c r="AJ527" s="56"/>
      <c r="AK527" s="106"/>
      <c r="AL527" s="56"/>
      <c r="AM527" s="56"/>
      <c r="AN527" s="56"/>
      <c r="AO527" s="56"/>
      <c r="AP527" s="56"/>
      <c r="AQ527" s="56"/>
      <c r="AR527" s="56"/>
      <c r="AS527" s="106"/>
      <c r="AT527" s="56"/>
      <c r="AU527" s="56"/>
      <c r="AV527" s="106"/>
      <c r="AW527" s="56"/>
      <c r="AX527" s="10"/>
      <c r="AY527" s="56"/>
      <c r="AZ527" s="56"/>
      <c r="BA527" s="56"/>
      <c r="BB527" s="56"/>
      <c r="BJ527" s="145"/>
      <c r="CD527" s="145"/>
      <c r="CT527" s="145"/>
    </row>
    <row r="528" spans="1:98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68"/>
      <c r="R528" s="56"/>
      <c r="S528" s="162"/>
      <c r="T528" s="106"/>
      <c r="U528" s="10"/>
      <c r="V528" s="56"/>
      <c r="W528" s="56"/>
      <c r="X528" s="56"/>
      <c r="Y528" s="56"/>
      <c r="Z528" s="56"/>
      <c r="AA528" s="172"/>
      <c r="AB528" s="56"/>
      <c r="AC528" s="56"/>
      <c r="AD528" s="106"/>
      <c r="AE528" s="56"/>
      <c r="AF528" s="56"/>
      <c r="AG528" s="56"/>
      <c r="AH528" s="56"/>
      <c r="AI528" s="56"/>
      <c r="AJ528" s="56"/>
      <c r="AK528" s="106"/>
      <c r="AL528" s="56"/>
      <c r="AM528" s="56"/>
      <c r="AN528" s="56"/>
      <c r="AO528" s="56"/>
      <c r="AP528" s="56"/>
      <c r="AQ528" s="56"/>
      <c r="AR528" s="56"/>
      <c r="AS528" s="106"/>
      <c r="AT528" s="56"/>
      <c r="AU528" s="56"/>
      <c r="AV528" s="106"/>
      <c r="AW528" s="56"/>
      <c r="AX528" s="10"/>
      <c r="AY528" s="56"/>
      <c r="AZ528" s="56"/>
      <c r="BA528" s="56"/>
      <c r="BB528" s="56"/>
      <c r="BJ528" s="145"/>
      <c r="CD528" s="145"/>
      <c r="CT528" s="145"/>
    </row>
    <row r="529" spans="1:98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68"/>
      <c r="R529" s="56"/>
      <c r="S529" s="162"/>
      <c r="T529" s="106"/>
      <c r="U529" s="10"/>
      <c r="V529" s="56"/>
      <c r="W529" s="56"/>
      <c r="X529" s="56"/>
      <c r="Y529" s="56"/>
      <c r="Z529" s="56"/>
      <c r="AA529" s="172"/>
      <c r="AB529" s="56"/>
      <c r="AC529" s="56"/>
      <c r="AD529" s="106"/>
      <c r="AE529" s="56"/>
      <c r="AF529" s="56"/>
      <c r="AG529" s="56"/>
      <c r="AH529" s="56"/>
      <c r="AI529" s="56"/>
      <c r="AJ529" s="56"/>
      <c r="AK529" s="106"/>
      <c r="AL529" s="56"/>
      <c r="AM529" s="56"/>
      <c r="AN529" s="56"/>
      <c r="AO529" s="56"/>
      <c r="AP529" s="56"/>
      <c r="AQ529" s="56"/>
      <c r="AR529" s="56"/>
      <c r="AS529" s="106"/>
      <c r="AT529" s="56"/>
      <c r="AU529" s="56"/>
      <c r="AV529" s="106"/>
      <c r="AW529" s="56"/>
      <c r="AX529" s="10"/>
      <c r="AY529" s="56"/>
      <c r="AZ529" s="56"/>
      <c r="BA529" s="56"/>
      <c r="BB529" s="56"/>
      <c r="BJ529" s="145"/>
      <c r="CD529" s="145"/>
      <c r="CT529" s="145"/>
    </row>
    <row r="530" spans="1:98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68"/>
      <c r="R530" s="56"/>
      <c r="S530" s="162"/>
      <c r="T530" s="106"/>
      <c r="U530" s="10"/>
      <c r="V530" s="56"/>
      <c r="W530" s="56"/>
      <c r="X530" s="56"/>
      <c r="Y530" s="56"/>
      <c r="Z530" s="56"/>
      <c r="AA530" s="172"/>
      <c r="AB530" s="56"/>
      <c r="AC530" s="56"/>
      <c r="AD530" s="106"/>
      <c r="AE530" s="56"/>
      <c r="AF530" s="56"/>
      <c r="AG530" s="56"/>
      <c r="AH530" s="56"/>
      <c r="AI530" s="56"/>
      <c r="AJ530" s="56"/>
      <c r="AK530" s="106"/>
      <c r="AL530" s="56"/>
      <c r="AM530" s="56"/>
      <c r="AN530" s="56"/>
      <c r="AO530" s="56"/>
      <c r="AP530" s="56"/>
      <c r="AQ530" s="56"/>
      <c r="AR530" s="56"/>
      <c r="AS530" s="106"/>
      <c r="AT530" s="56"/>
      <c r="AU530" s="56"/>
      <c r="AV530" s="106"/>
      <c r="AW530" s="56"/>
      <c r="AX530" s="10"/>
      <c r="AY530" s="56"/>
      <c r="AZ530" s="56"/>
      <c r="BA530" s="56"/>
      <c r="BB530" s="56"/>
      <c r="BJ530" s="145"/>
      <c r="CD530" s="145"/>
      <c r="CT530" s="145"/>
    </row>
    <row r="531" spans="1:98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68"/>
      <c r="R531" s="56"/>
      <c r="S531" s="162"/>
      <c r="T531" s="106"/>
      <c r="U531" s="10"/>
      <c r="V531" s="56"/>
      <c r="W531" s="56"/>
      <c r="X531" s="56"/>
      <c r="Y531" s="56"/>
      <c r="Z531" s="56"/>
      <c r="AA531" s="172"/>
      <c r="AB531" s="56"/>
      <c r="AC531" s="56"/>
      <c r="AD531" s="106"/>
      <c r="AE531" s="56"/>
      <c r="AF531" s="56"/>
      <c r="AG531" s="56"/>
      <c r="AH531" s="56"/>
      <c r="AI531" s="56"/>
      <c r="AJ531" s="56"/>
      <c r="AK531" s="106"/>
      <c r="AL531" s="56"/>
      <c r="AM531" s="56"/>
      <c r="AN531" s="56"/>
      <c r="AO531" s="56"/>
      <c r="AP531" s="56"/>
      <c r="AQ531" s="56"/>
      <c r="AR531" s="56"/>
      <c r="AS531" s="106"/>
      <c r="AT531" s="56"/>
      <c r="AU531" s="56"/>
      <c r="AV531" s="106"/>
      <c r="AW531" s="56"/>
      <c r="AX531" s="10"/>
      <c r="AY531" s="56"/>
      <c r="AZ531" s="56"/>
      <c r="BA531" s="56"/>
      <c r="BB531" s="56"/>
      <c r="BJ531" s="145"/>
      <c r="CD531" s="145"/>
      <c r="CT531" s="145"/>
    </row>
    <row r="532" spans="1:98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68"/>
      <c r="R532" s="56"/>
      <c r="S532" s="162"/>
      <c r="T532" s="106"/>
      <c r="U532" s="10"/>
      <c r="V532" s="56"/>
      <c r="W532" s="56"/>
      <c r="X532" s="56"/>
      <c r="Y532" s="56"/>
      <c r="Z532" s="56"/>
      <c r="AA532" s="172"/>
      <c r="AB532" s="56"/>
      <c r="AC532" s="56"/>
      <c r="AD532" s="106"/>
      <c r="AE532" s="56"/>
      <c r="AF532" s="56"/>
      <c r="AG532" s="56"/>
      <c r="AH532" s="56"/>
      <c r="AI532" s="56"/>
      <c r="AJ532" s="56"/>
      <c r="AK532" s="106"/>
      <c r="AL532" s="56"/>
      <c r="AM532" s="56"/>
      <c r="AN532" s="56"/>
      <c r="AO532" s="56"/>
      <c r="AP532" s="56"/>
      <c r="AQ532" s="56"/>
      <c r="AR532" s="56"/>
      <c r="AS532" s="106"/>
      <c r="AT532" s="56"/>
      <c r="AU532" s="56"/>
      <c r="AV532" s="106"/>
      <c r="AW532" s="56"/>
      <c r="AX532" s="10"/>
      <c r="AY532" s="56"/>
      <c r="AZ532" s="56"/>
      <c r="BA532" s="56"/>
      <c r="BB532" s="56"/>
      <c r="BJ532" s="145"/>
      <c r="CD532" s="145"/>
      <c r="CT532" s="145"/>
    </row>
    <row r="533" spans="1:98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68"/>
      <c r="R533" s="56"/>
      <c r="S533" s="162"/>
      <c r="T533" s="106"/>
      <c r="U533" s="10"/>
      <c r="V533" s="56"/>
      <c r="W533" s="56"/>
      <c r="X533" s="56"/>
      <c r="Y533" s="56"/>
      <c r="Z533" s="56"/>
      <c r="AA533" s="172"/>
      <c r="AB533" s="56"/>
      <c r="AC533" s="56"/>
      <c r="AD533" s="106"/>
      <c r="AE533" s="56"/>
      <c r="AF533" s="56"/>
      <c r="AG533" s="56"/>
      <c r="AH533" s="56"/>
      <c r="AI533" s="56"/>
      <c r="AJ533" s="56"/>
      <c r="AK533" s="106"/>
      <c r="AL533" s="56"/>
      <c r="AM533" s="56"/>
      <c r="AN533" s="56"/>
      <c r="AO533" s="56"/>
      <c r="AP533" s="56"/>
      <c r="AQ533" s="56"/>
      <c r="AR533" s="56"/>
      <c r="AS533" s="106"/>
      <c r="AT533" s="56"/>
      <c r="AU533" s="56"/>
      <c r="AV533" s="106"/>
      <c r="AW533" s="56"/>
      <c r="AX533" s="10"/>
      <c r="AY533" s="56"/>
      <c r="AZ533" s="56"/>
      <c r="BA533" s="56"/>
      <c r="BB533" s="56"/>
      <c r="BJ533" s="145"/>
      <c r="CD533" s="145"/>
      <c r="CT533" s="145"/>
    </row>
    <row r="534" spans="1:98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68"/>
      <c r="R534" s="56"/>
      <c r="S534" s="162"/>
      <c r="T534" s="106"/>
      <c r="U534" s="10"/>
      <c r="V534" s="56"/>
      <c r="W534" s="56"/>
      <c r="X534" s="56"/>
      <c r="Y534" s="56"/>
      <c r="Z534" s="56"/>
      <c r="AA534" s="172"/>
      <c r="AB534" s="56"/>
      <c r="AC534" s="56"/>
      <c r="AD534" s="106"/>
      <c r="AE534" s="56"/>
      <c r="AF534" s="56"/>
      <c r="AG534" s="56"/>
      <c r="AH534" s="56"/>
      <c r="AI534" s="56"/>
      <c r="AJ534" s="56"/>
      <c r="AK534" s="106"/>
      <c r="AL534" s="56"/>
      <c r="AM534" s="56"/>
      <c r="AN534" s="56"/>
      <c r="AO534" s="56"/>
      <c r="AP534" s="56"/>
      <c r="AQ534" s="56"/>
      <c r="AR534" s="56"/>
      <c r="AS534" s="106"/>
      <c r="AT534" s="56"/>
      <c r="AU534" s="56"/>
      <c r="AV534" s="106"/>
      <c r="AW534" s="56"/>
      <c r="AX534" s="10"/>
      <c r="AY534" s="56"/>
      <c r="AZ534" s="56"/>
      <c r="BA534" s="56"/>
      <c r="BB534" s="56"/>
      <c r="BJ534" s="145"/>
      <c r="CD534" s="145"/>
      <c r="CT534" s="145"/>
    </row>
    <row r="535" spans="1:98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68"/>
      <c r="R535" s="56"/>
      <c r="S535" s="162"/>
      <c r="T535" s="106"/>
      <c r="U535" s="10"/>
      <c r="V535" s="56"/>
      <c r="W535" s="56"/>
      <c r="X535" s="56"/>
      <c r="Y535" s="56"/>
      <c r="Z535" s="56"/>
      <c r="AA535" s="172"/>
      <c r="AB535" s="56"/>
      <c r="AC535" s="56"/>
      <c r="AD535" s="106"/>
      <c r="AE535" s="56"/>
      <c r="AF535" s="56"/>
      <c r="AG535" s="56"/>
      <c r="AH535" s="56"/>
      <c r="AI535" s="56"/>
      <c r="AJ535" s="56"/>
      <c r="AK535" s="106"/>
      <c r="AL535" s="56"/>
      <c r="AM535" s="56"/>
      <c r="AN535" s="56"/>
      <c r="AO535" s="56"/>
      <c r="AP535" s="56"/>
      <c r="AQ535" s="56"/>
      <c r="AR535" s="56"/>
      <c r="AS535" s="106"/>
      <c r="AT535" s="56"/>
      <c r="AU535" s="56"/>
      <c r="AV535" s="106"/>
      <c r="AW535" s="56"/>
      <c r="AX535" s="10"/>
      <c r="AY535" s="56"/>
      <c r="AZ535" s="56"/>
      <c r="BA535" s="56"/>
      <c r="BB535" s="56"/>
      <c r="BJ535" s="145"/>
      <c r="CD535" s="145"/>
      <c r="CT535" s="145"/>
    </row>
    <row r="536" spans="1:98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68"/>
      <c r="R536" s="56"/>
      <c r="S536" s="162"/>
      <c r="T536" s="106"/>
      <c r="U536" s="10"/>
      <c r="V536" s="56"/>
      <c r="W536" s="56"/>
      <c r="X536" s="56"/>
      <c r="Y536" s="56"/>
      <c r="Z536" s="56"/>
      <c r="AA536" s="172"/>
      <c r="AB536" s="56"/>
      <c r="AC536" s="56"/>
      <c r="AD536" s="106"/>
      <c r="AE536" s="56"/>
      <c r="AF536" s="56"/>
      <c r="AG536" s="56"/>
      <c r="AH536" s="56"/>
      <c r="AI536" s="56"/>
      <c r="AJ536" s="56"/>
      <c r="AK536" s="106"/>
      <c r="AL536" s="56"/>
      <c r="AM536" s="56"/>
      <c r="AN536" s="56"/>
      <c r="AO536" s="56"/>
      <c r="AP536" s="56"/>
      <c r="AQ536" s="56"/>
      <c r="AR536" s="56"/>
      <c r="AS536" s="106"/>
      <c r="AT536" s="56"/>
      <c r="AU536" s="56"/>
      <c r="AV536" s="106"/>
      <c r="AW536" s="56"/>
      <c r="AX536" s="10"/>
      <c r="AY536" s="56"/>
      <c r="AZ536" s="56"/>
      <c r="BA536" s="56"/>
      <c r="BB536" s="56"/>
      <c r="BJ536" s="145"/>
      <c r="CD536" s="145"/>
      <c r="CT536" s="145"/>
    </row>
    <row r="537" spans="1:98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68"/>
      <c r="R537" s="56"/>
      <c r="S537" s="162"/>
      <c r="T537" s="106"/>
      <c r="U537" s="10"/>
      <c r="V537" s="56"/>
      <c r="W537" s="56"/>
      <c r="X537" s="56"/>
      <c r="Y537" s="56"/>
      <c r="Z537" s="56"/>
      <c r="AA537" s="172"/>
      <c r="AB537" s="56"/>
      <c r="AC537" s="56"/>
      <c r="AD537" s="106"/>
      <c r="AE537" s="56"/>
      <c r="AF537" s="56"/>
      <c r="AG537" s="56"/>
      <c r="AH537" s="56"/>
      <c r="AI537" s="56"/>
      <c r="AJ537" s="56"/>
      <c r="AK537" s="106"/>
      <c r="AL537" s="56"/>
      <c r="AM537" s="56"/>
      <c r="AN537" s="56"/>
      <c r="AO537" s="56"/>
      <c r="AP537" s="56"/>
      <c r="AQ537" s="56"/>
      <c r="AR537" s="56"/>
      <c r="AS537" s="106"/>
      <c r="AT537" s="56"/>
      <c r="AU537" s="56"/>
      <c r="AV537" s="106"/>
      <c r="AW537" s="56"/>
      <c r="AX537" s="10"/>
      <c r="AY537" s="56"/>
      <c r="AZ537" s="56"/>
      <c r="BA537" s="56"/>
      <c r="BB537" s="56"/>
      <c r="BJ537" s="145"/>
      <c r="CD537" s="145"/>
      <c r="CT537" s="145"/>
    </row>
    <row r="538" spans="1:98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68"/>
      <c r="R538" s="56"/>
      <c r="S538" s="162"/>
      <c r="T538" s="106"/>
      <c r="U538" s="10"/>
      <c r="V538" s="56"/>
      <c r="W538" s="56"/>
      <c r="X538" s="56"/>
      <c r="Y538" s="56"/>
      <c r="Z538" s="56"/>
      <c r="AA538" s="172"/>
      <c r="AB538" s="56"/>
      <c r="AC538" s="56"/>
      <c r="AD538" s="106"/>
      <c r="AE538" s="56"/>
      <c r="AF538" s="56"/>
      <c r="AG538" s="56"/>
      <c r="AH538" s="56"/>
      <c r="AI538" s="56"/>
      <c r="AJ538" s="56"/>
      <c r="AK538" s="106"/>
      <c r="AL538" s="56"/>
      <c r="AM538" s="56"/>
      <c r="AN538" s="56"/>
      <c r="AO538" s="56"/>
      <c r="AP538" s="56"/>
      <c r="AQ538" s="56"/>
      <c r="AR538" s="56"/>
      <c r="AS538" s="106"/>
      <c r="AT538" s="56"/>
      <c r="AU538" s="56"/>
      <c r="AV538" s="106"/>
      <c r="AW538" s="56"/>
      <c r="AX538" s="10"/>
      <c r="AY538" s="56"/>
      <c r="AZ538" s="56"/>
      <c r="BA538" s="56"/>
      <c r="BB538" s="56"/>
      <c r="BJ538" s="145"/>
      <c r="CD538" s="145"/>
      <c r="CT538" s="145"/>
    </row>
    <row r="539" spans="1:98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68"/>
      <c r="R539" s="56"/>
      <c r="S539" s="162"/>
      <c r="T539" s="106"/>
      <c r="U539" s="10"/>
      <c r="V539" s="56"/>
      <c r="W539" s="56"/>
      <c r="X539" s="56"/>
      <c r="Y539" s="56"/>
      <c r="Z539" s="56"/>
      <c r="AA539" s="172"/>
      <c r="AB539" s="56"/>
      <c r="AC539" s="56"/>
      <c r="AD539" s="106"/>
      <c r="AE539" s="56"/>
      <c r="AF539" s="56"/>
      <c r="AG539" s="56"/>
      <c r="AH539" s="56"/>
      <c r="AI539" s="56"/>
      <c r="AJ539" s="56"/>
      <c r="AK539" s="106"/>
      <c r="AL539" s="56"/>
      <c r="AM539" s="56"/>
      <c r="AN539" s="56"/>
      <c r="AO539" s="56"/>
      <c r="AP539" s="56"/>
      <c r="AQ539" s="56"/>
      <c r="AR539" s="56"/>
      <c r="AS539" s="106"/>
      <c r="AT539" s="56"/>
      <c r="AU539" s="56"/>
      <c r="AV539" s="106"/>
      <c r="AW539" s="56"/>
      <c r="AX539" s="10"/>
      <c r="AY539" s="56"/>
      <c r="AZ539" s="56"/>
      <c r="BA539" s="56"/>
      <c r="BB539" s="56"/>
      <c r="BJ539" s="145"/>
      <c r="CD539" s="145"/>
      <c r="CT539" s="145"/>
    </row>
    <row r="540" spans="1:98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68"/>
      <c r="R540" s="56"/>
      <c r="S540" s="162"/>
      <c r="T540" s="106"/>
      <c r="U540" s="10"/>
      <c r="V540" s="56"/>
      <c r="W540" s="56"/>
      <c r="X540" s="56"/>
      <c r="Y540" s="56"/>
      <c r="Z540" s="56"/>
      <c r="AA540" s="172"/>
      <c r="AB540" s="56"/>
      <c r="AC540" s="56"/>
      <c r="AD540" s="106"/>
      <c r="AE540" s="56"/>
      <c r="AF540" s="56"/>
      <c r="AG540" s="56"/>
      <c r="AH540" s="56"/>
      <c r="AI540" s="56"/>
      <c r="AJ540" s="56"/>
      <c r="AK540" s="106"/>
      <c r="AL540" s="56"/>
      <c r="AM540" s="56"/>
      <c r="AN540" s="56"/>
      <c r="AO540" s="56"/>
      <c r="AP540" s="56"/>
      <c r="AQ540" s="56"/>
      <c r="AR540" s="56"/>
      <c r="AS540" s="106"/>
      <c r="AT540" s="56"/>
      <c r="AU540" s="56"/>
      <c r="AV540" s="106"/>
      <c r="AW540" s="56"/>
      <c r="AX540" s="10"/>
      <c r="AY540" s="56"/>
      <c r="AZ540" s="56"/>
      <c r="BA540" s="56"/>
      <c r="BB540" s="56"/>
      <c r="BJ540" s="145"/>
      <c r="CD540" s="145"/>
      <c r="CT540" s="145"/>
    </row>
    <row r="541" spans="1:98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68"/>
      <c r="R541" s="56"/>
      <c r="S541" s="162"/>
      <c r="T541" s="106"/>
      <c r="U541" s="10"/>
      <c r="V541" s="56"/>
      <c r="W541" s="56"/>
      <c r="X541" s="56"/>
      <c r="Y541" s="56"/>
      <c r="Z541" s="56"/>
      <c r="AA541" s="172"/>
      <c r="AB541" s="56"/>
      <c r="AC541" s="56"/>
      <c r="AD541" s="106"/>
      <c r="AE541" s="56"/>
      <c r="AF541" s="56"/>
      <c r="AG541" s="56"/>
      <c r="AH541" s="56"/>
      <c r="AI541" s="56"/>
      <c r="AJ541" s="56"/>
      <c r="AK541" s="106"/>
      <c r="AL541" s="56"/>
      <c r="AM541" s="56"/>
      <c r="AN541" s="56"/>
      <c r="AO541" s="56"/>
      <c r="AP541" s="56"/>
      <c r="AQ541" s="56"/>
      <c r="AR541" s="56"/>
      <c r="AS541" s="106"/>
      <c r="AT541" s="56"/>
      <c r="AU541" s="56"/>
      <c r="AV541" s="106"/>
      <c r="AW541" s="56"/>
      <c r="AX541" s="10"/>
      <c r="AY541" s="56"/>
      <c r="AZ541" s="56"/>
      <c r="BA541" s="56"/>
      <c r="BB541" s="56"/>
      <c r="BJ541" s="145"/>
      <c r="CD541" s="145"/>
      <c r="CT541" s="145"/>
    </row>
    <row r="542" spans="1:98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68"/>
      <c r="R542" s="56"/>
      <c r="S542" s="162"/>
      <c r="T542" s="106"/>
      <c r="U542" s="10"/>
      <c r="V542" s="56"/>
      <c r="W542" s="56"/>
      <c r="X542" s="56"/>
      <c r="Y542" s="56"/>
      <c r="Z542" s="56"/>
      <c r="AA542" s="172"/>
      <c r="AB542" s="56"/>
      <c r="AC542" s="56"/>
      <c r="AD542" s="106"/>
      <c r="AE542" s="56"/>
      <c r="AF542" s="56"/>
      <c r="AG542" s="56"/>
      <c r="AH542" s="56"/>
      <c r="AI542" s="56"/>
      <c r="AJ542" s="56"/>
      <c r="AK542" s="106"/>
      <c r="AL542" s="56"/>
      <c r="AM542" s="56"/>
      <c r="AN542" s="56"/>
      <c r="AO542" s="56"/>
      <c r="AP542" s="56"/>
      <c r="AQ542" s="56"/>
      <c r="AR542" s="56"/>
      <c r="AS542" s="106"/>
      <c r="AT542" s="56"/>
      <c r="AU542" s="56"/>
      <c r="AV542" s="106"/>
      <c r="AW542" s="56"/>
      <c r="AX542" s="10"/>
      <c r="AY542" s="56"/>
      <c r="AZ542" s="56"/>
      <c r="BA542" s="56"/>
      <c r="BB542" s="56"/>
      <c r="BJ542" s="145"/>
      <c r="CD542" s="145"/>
      <c r="CT542" s="145"/>
    </row>
    <row r="543" spans="1:98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68"/>
      <c r="R543" s="56"/>
      <c r="S543" s="162"/>
      <c r="T543" s="106"/>
      <c r="U543" s="10"/>
      <c r="V543" s="56"/>
      <c r="W543" s="56"/>
      <c r="X543" s="56"/>
      <c r="Y543" s="56"/>
      <c r="Z543" s="56"/>
      <c r="AA543" s="172"/>
      <c r="AB543" s="56"/>
      <c r="AC543" s="56"/>
      <c r="AD543" s="106"/>
      <c r="AE543" s="56"/>
      <c r="AF543" s="56"/>
      <c r="AG543" s="56"/>
      <c r="AH543" s="56"/>
      <c r="AI543" s="56"/>
      <c r="AJ543" s="56"/>
      <c r="AK543" s="106"/>
      <c r="AL543" s="56"/>
      <c r="AM543" s="56"/>
      <c r="AN543" s="56"/>
      <c r="AO543" s="56"/>
      <c r="AP543" s="56"/>
      <c r="AQ543" s="56"/>
      <c r="AR543" s="56"/>
      <c r="AS543" s="106"/>
      <c r="AT543" s="56"/>
      <c r="AU543" s="56"/>
      <c r="AV543" s="106"/>
      <c r="AW543" s="56"/>
      <c r="AX543" s="10"/>
      <c r="AY543" s="56"/>
      <c r="AZ543" s="56"/>
      <c r="BA543" s="56"/>
      <c r="BB543" s="56"/>
      <c r="BJ543" s="145"/>
      <c r="CD543" s="145"/>
      <c r="CT543" s="145"/>
    </row>
    <row r="544" spans="1:98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68"/>
      <c r="R544" s="56"/>
      <c r="S544" s="162"/>
      <c r="T544" s="106"/>
      <c r="U544" s="10"/>
      <c r="V544" s="56"/>
      <c r="W544" s="56"/>
      <c r="X544" s="56"/>
      <c r="Y544" s="56"/>
      <c r="Z544" s="56"/>
      <c r="AA544" s="172"/>
      <c r="AB544" s="56"/>
      <c r="AC544" s="56"/>
      <c r="AD544" s="106"/>
      <c r="AE544" s="56"/>
      <c r="AF544" s="56"/>
      <c r="AG544" s="56"/>
      <c r="AH544" s="56"/>
      <c r="AI544" s="56"/>
      <c r="AJ544" s="56"/>
      <c r="AK544" s="106"/>
      <c r="AL544" s="56"/>
      <c r="AM544" s="56"/>
      <c r="AN544" s="56"/>
      <c r="AO544" s="56"/>
      <c r="AP544" s="56"/>
      <c r="AQ544" s="56"/>
      <c r="AR544" s="56"/>
      <c r="AS544" s="106"/>
      <c r="AT544" s="56"/>
      <c r="AU544" s="56"/>
      <c r="AV544" s="106"/>
      <c r="AW544" s="56"/>
      <c r="AX544" s="10"/>
      <c r="AY544" s="56"/>
      <c r="AZ544" s="56"/>
      <c r="BA544" s="56"/>
      <c r="BB544" s="56"/>
      <c r="BJ544" s="145"/>
      <c r="CD544" s="145"/>
      <c r="CT544" s="145"/>
    </row>
    <row r="545" spans="1:98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68"/>
      <c r="R545" s="56"/>
      <c r="S545" s="162"/>
      <c r="T545" s="106"/>
      <c r="U545" s="10"/>
      <c r="V545" s="56"/>
      <c r="W545" s="56"/>
      <c r="X545" s="56"/>
      <c r="Y545" s="56"/>
      <c r="Z545" s="56"/>
      <c r="AA545" s="172"/>
      <c r="AB545" s="56"/>
      <c r="AC545" s="56"/>
      <c r="AD545" s="106"/>
      <c r="AE545" s="56"/>
      <c r="AF545" s="56"/>
      <c r="AG545" s="56"/>
      <c r="AH545" s="56"/>
      <c r="AI545" s="56"/>
      <c r="AJ545" s="56"/>
      <c r="AK545" s="106"/>
      <c r="AL545" s="56"/>
      <c r="AM545" s="56"/>
      <c r="AN545" s="56"/>
      <c r="AO545" s="56"/>
      <c r="AP545" s="56"/>
      <c r="AQ545" s="56"/>
      <c r="AR545" s="56"/>
      <c r="AS545" s="106"/>
      <c r="AT545" s="56"/>
      <c r="AU545" s="56"/>
      <c r="AV545" s="106"/>
      <c r="AW545" s="56"/>
      <c r="AX545" s="10"/>
      <c r="AY545" s="56"/>
      <c r="AZ545" s="56"/>
      <c r="BA545" s="56"/>
      <c r="BB545" s="56"/>
      <c r="BJ545" s="145"/>
      <c r="CD545" s="145"/>
      <c r="CT545" s="145"/>
    </row>
    <row r="546" spans="1:98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68"/>
      <c r="R546" s="56"/>
      <c r="S546" s="162"/>
      <c r="T546" s="106"/>
      <c r="U546" s="10"/>
      <c r="V546" s="56"/>
      <c r="W546" s="56"/>
      <c r="X546" s="56"/>
      <c r="Y546" s="56"/>
      <c r="Z546" s="56"/>
      <c r="AA546" s="172"/>
      <c r="AB546" s="56"/>
      <c r="AC546" s="56"/>
      <c r="AD546" s="106"/>
      <c r="AE546" s="56"/>
      <c r="AF546" s="56"/>
      <c r="AG546" s="56"/>
      <c r="AH546" s="56"/>
      <c r="AI546" s="56"/>
      <c r="AJ546" s="56"/>
      <c r="AK546" s="106"/>
      <c r="AL546" s="56"/>
      <c r="AM546" s="56"/>
      <c r="AN546" s="56"/>
      <c r="AO546" s="56"/>
      <c r="AP546" s="56"/>
      <c r="AQ546" s="56"/>
      <c r="AR546" s="56"/>
      <c r="AS546" s="106"/>
      <c r="AT546" s="56"/>
      <c r="AU546" s="56"/>
      <c r="AV546" s="106"/>
      <c r="AW546" s="56"/>
      <c r="AX546" s="10"/>
      <c r="AY546" s="56"/>
      <c r="AZ546" s="56"/>
      <c r="BA546" s="56"/>
      <c r="BB546" s="56"/>
      <c r="BJ546" s="145"/>
      <c r="CD546" s="145"/>
      <c r="CT546" s="145"/>
    </row>
    <row r="547" spans="1:98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68"/>
      <c r="R547" s="56"/>
      <c r="S547" s="162"/>
      <c r="T547" s="106"/>
      <c r="U547" s="10"/>
      <c r="V547" s="56"/>
      <c r="W547" s="56"/>
      <c r="X547" s="56"/>
      <c r="Y547" s="56"/>
      <c r="Z547" s="56"/>
      <c r="AA547" s="172"/>
      <c r="AB547" s="56"/>
      <c r="AC547" s="56"/>
      <c r="AD547" s="106"/>
      <c r="AE547" s="56"/>
      <c r="AF547" s="56"/>
      <c r="AG547" s="56"/>
      <c r="AH547" s="56"/>
      <c r="AI547" s="56"/>
      <c r="AJ547" s="56"/>
      <c r="AK547" s="106"/>
      <c r="AL547" s="56"/>
      <c r="AM547" s="56"/>
      <c r="AN547" s="56"/>
      <c r="AO547" s="56"/>
      <c r="AP547" s="56"/>
      <c r="AQ547" s="56"/>
      <c r="AR547" s="56"/>
      <c r="AS547" s="106"/>
      <c r="AT547" s="56"/>
      <c r="AU547" s="56"/>
      <c r="AV547" s="106"/>
      <c r="AW547" s="56"/>
      <c r="AX547" s="10"/>
      <c r="AY547" s="56"/>
      <c r="AZ547" s="56"/>
      <c r="BA547" s="56"/>
      <c r="BB547" s="56"/>
      <c r="BJ547" s="145"/>
      <c r="CD547" s="145"/>
      <c r="CT547" s="145"/>
    </row>
    <row r="548" spans="1:98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68"/>
      <c r="R548" s="56"/>
      <c r="S548" s="162"/>
      <c r="T548" s="106"/>
      <c r="U548" s="10"/>
      <c r="V548" s="56"/>
      <c r="W548" s="56"/>
      <c r="X548" s="56"/>
      <c r="Y548" s="56"/>
      <c r="Z548" s="56"/>
      <c r="AA548" s="172"/>
      <c r="AB548" s="56"/>
      <c r="AC548" s="56"/>
      <c r="AD548" s="106"/>
      <c r="AE548" s="56"/>
      <c r="AF548" s="56"/>
      <c r="AG548" s="56"/>
      <c r="AH548" s="56"/>
      <c r="AI548" s="56"/>
      <c r="AJ548" s="56"/>
      <c r="AK548" s="106"/>
      <c r="AL548" s="56"/>
      <c r="AM548" s="56"/>
      <c r="AN548" s="56"/>
      <c r="AO548" s="56"/>
      <c r="AP548" s="56"/>
      <c r="AQ548" s="56"/>
      <c r="AR548" s="56"/>
      <c r="AS548" s="106"/>
      <c r="AT548" s="56"/>
      <c r="AU548" s="56"/>
      <c r="AV548" s="106"/>
      <c r="AW548" s="56"/>
      <c r="AX548" s="10"/>
      <c r="AY548" s="56"/>
      <c r="AZ548" s="56"/>
      <c r="BA548" s="56"/>
      <c r="BB548" s="56"/>
      <c r="BJ548" s="145"/>
      <c r="CD548" s="145"/>
      <c r="CT548" s="145"/>
    </row>
    <row r="549" spans="1:98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68"/>
      <c r="R549" s="56"/>
      <c r="S549" s="162"/>
      <c r="T549" s="106"/>
      <c r="U549" s="10"/>
      <c r="V549" s="56"/>
      <c r="W549" s="56"/>
      <c r="X549" s="56"/>
      <c r="Y549" s="56"/>
      <c r="Z549" s="56"/>
      <c r="AA549" s="172"/>
      <c r="AB549" s="56"/>
      <c r="AC549" s="56"/>
      <c r="AD549" s="106"/>
      <c r="AE549" s="56"/>
      <c r="AF549" s="56"/>
      <c r="AG549" s="56"/>
      <c r="AH549" s="56"/>
      <c r="AI549" s="56"/>
      <c r="AJ549" s="56"/>
      <c r="AK549" s="106"/>
      <c r="AL549" s="56"/>
      <c r="AM549" s="56"/>
      <c r="AN549" s="56"/>
      <c r="AO549" s="56"/>
      <c r="AP549" s="56"/>
      <c r="AQ549" s="56"/>
      <c r="AR549" s="56"/>
      <c r="AS549" s="106"/>
      <c r="AT549" s="56"/>
      <c r="AU549" s="56"/>
      <c r="AV549" s="106"/>
      <c r="AW549" s="56"/>
      <c r="AX549" s="10"/>
      <c r="AY549" s="56"/>
      <c r="AZ549" s="56"/>
      <c r="BA549" s="56"/>
      <c r="BB549" s="56"/>
      <c r="BJ549" s="145"/>
      <c r="CD549" s="145"/>
      <c r="CT549" s="145"/>
    </row>
    <row r="550" spans="1:98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68"/>
      <c r="R550" s="56"/>
      <c r="S550" s="162"/>
      <c r="T550" s="106"/>
      <c r="U550" s="10"/>
      <c r="V550" s="56"/>
      <c r="W550" s="56"/>
      <c r="X550" s="56"/>
      <c r="Y550" s="56"/>
      <c r="Z550" s="56"/>
      <c r="AA550" s="172"/>
      <c r="AB550" s="56"/>
      <c r="AC550" s="56"/>
      <c r="AD550" s="106"/>
      <c r="AE550" s="56"/>
      <c r="AF550" s="56"/>
      <c r="AG550" s="56"/>
      <c r="AH550" s="56"/>
      <c r="AI550" s="56"/>
      <c r="AJ550" s="56"/>
      <c r="AK550" s="106"/>
      <c r="AL550" s="56"/>
      <c r="AM550" s="56"/>
      <c r="AN550" s="56"/>
      <c r="AO550" s="56"/>
      <c r="AP550" s="56"/>
      <c r="AQ550" s="56"/>
      <c r="AR550" s="56"/>
      <c r="AS550" s="106"/>
      <c r="AT550" s="56"/>
      <c r="AU550" s="56"/>
      <c r="AV550" s="106"/>
      <c r="AW550" s="56"/>
      <c r="AX550" s="10"/>
      <c r="AY550" s="56"/>
      <c r="AZ550" s="56"/>
      <c r="BA550" s="56"/>
      <c r="BB550" s="56"/>
      <c r="BJ550" s="145"/>
      <c r="CD550" s="145"/>
      <c r="CT550" s="145"/>
    </row>
    <row r="551" spans="1:98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68"/>
      <c r="R551" s="56"/>
      <c r="S551" s="162"/>
      <c r="T551" s="106"/>
      <c r="U551" s="10"/>
      <c r="V551" s="56"/>
      <c r="W551" s="56"/>
      <c r="X551" s="56"/>
      <c r="Y551" s="56"/>
      <c r="Z551" s="56"/>
      <c r="AA551" s="172"/>
      <c r="AB551" s="56"/>
      <c r="AC551" s="56"/>
      <c r="AD551" s="106"/>
      <c r="AE551" s="56"/>
      <c r="AF551" s="56"/>
      <c r="AG551" s="56"/>
      <c r="AH551" s="56"/>
      <c r="AI551" s="56"/>
      <c r="AJ551" s="56"/>
      <c r="AK551" s="106"/>
      <c r="AL551" s="56"/>
      <c r="AM551" s="56"/>
      <c r="AN551" s="56"/>
      <c r="AO551" s="56"/>
      <c r="AP551" s="56"/>
      <c r="AQ551" s="56"/>
      <c r="AR551" s="56"/>
      <c r="AS551" s="106"/>
      <c r="AT551" s="56"/>
      <c r="AU551" s="56"/>
      <c r="AV551" s="106"/>
      <c r="AW551" s="56"/>
      <c r="AX551" s="10"/>
      <c r="AY551" s="56"/>
      <c r="AZ551" s="56"/>
      <c r="BA551" s="56"/>
      <c r="BB551" s="56"/>
      <c r="BJ551" s="145"/>
      <c r="CD551" s="145"/>
      <c r="CT551" s="145"/>
    </row>
    <row r="552" spans="1:98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68"/>
      <c r="R552" s="56"/>
      <c r="S552" s="162"/>
      <c r="T552" s="106"/>
      <c r="U552" s="10"/>
      <c r="V552" s="56"/>
      <c r="W552" s="56"/>
      <c r="X552" s="56"/>
      <c r="Y552" s="56"/>
      <c r="Z552" s="56"/>
      <c r="AA552" s="172"/>
      <c r="AB552" s="56"/>
      <c r="AC552" s="56"/>
      <c r="AD552" s="106"/>
      <c r="AE552" s="56"/>
      <c r="AF552" s="56"/>
      <c r="AG552" s="56"/>
      <c r="AH552" s="56"/>
      <c r="AI552" s="56"/>
      <c r="AJ552" s="56"/>
      <c r="AK552" s="106"/>
      <c r="AL552" s="56"/>
      <c r="AM552" s="56"/>
      <c r="AN552" s="56"/>
      <c r="AO552" s="56"/>
      <c r="AP552" s="56"/>
      <c r="AQ552" s="56"/>
      <c r="AR552" s="56"/>
      <c r="AS552" s="106"/>
      <c r="AT552" s="56"/>
      <c r="AU552" s="56"/>
      <c r="AV552" s="106"/>
      <c r="AW552" s="56"/>
      <c r="AX552" s="10"/>
      <c r="AY552" s="56"/>
      <c r="AZ552" s="56"/>
      <c r="BA552" s="56"/>
      <c r="BB552" s="56"/>
      <c r="BJ552" s="145"/>
      <c r="CD552" s="145"/>
      <c r="CT552" s="145"/>
    </row>
    <row r="553" spans="1:98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68"/>
      <c r="R553" s="56"/>
      <c r="S553" s="162"/>
      <c r="T553" s="106"/>
      <c r="U553" s="10"/>
      <c r="V553" s="56"/>
      <c r="W553" s="56"/>
      <c r="X553" s="56"/>
      <c r="Y553" s="56"/>
      <c r="Z553" s="56"/>
      <c r="AA553" s="172"/>
      <c r="AB553" s="56"/>
      <c r="AC553" s="56"/>
      <c r="AD553" s="106"/>
      <c r="AE553" s="56"/>
      <c r="AF553" s="56"/>
      <c r="AG553" s="56"/>
      <c r="AH553" s="56"/>
      <c r="AI553" s="56"/>
      <c r="AJ553" s="56"/>
      <c r="AK553" s="106"/>
      <c r="AL553" s="56"/>
      <c r="AM553" s="56"/>
      <c r="AN553" s="56"/>
      <c r="AO553" s="56"/>
      <c r="AP553" s="56"/>
      <c r="AQ553" s="56"/>
      <c r="AR553" s="56"/>
      <c r="AS553" s="106"/>
      <c r="AT553" s="56"/>
      <c r="AU553" s="56"/>
      <c r="AV553" s="106"/>
      <c r="AW553" s="56"/>
      <c r="AX553" s="10"/>
      <c r="AY553" s="56"/>
      <c r="AZ553" s="56"/>
      <c r="BA553" s="56"/>
      <c r="BB553" s="56"/>
      <c r="BJ553" s="145"/>
      <c r="CD553" s="145"/>
      <c r="CT553" s="145"/>
    </row>
    <row r="554" spans="1:98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68"/>
      <c r="R554" s="56"/>
      <c r="S554" s="162"/>
      <c r="T554" s="106"/>
      <c r="U554" s="10"/>
      <c r="V554" s="56"/>
      <c r="W554" s="56"/>
      <c r="X554" s="56"/>
      <c r="Y554" s="56"/>
      <c r="Z554" s="56"/>
      <c r="AA554" s="172"/>
      <c r="AB554" s="56"/>
      <c r="AC554" s="56"/>
      <c r="AD554" s="106"/>
      <c r="AE554" s="56"/>
      <c r="AF554" s="56"/>
      <c r="AG554" s="56"/>
      <c r="AH554" s="56"/>
      <c r="AI554" s="56"/>
      <c r="AJ554" s="56"/>
      <c r="AK554" s="106"/>
      <c r="AL554" s="56"/>
      <c r="AM554" s="56"/>
      <c r="AN554" s="56"/>
      <c r="AO554" s="56"/>
      <c r="AP554" s="56"/>
      <c r="AQ554" s="56"/>
      <c r="AR554" s="56"/>
      <c r="AS554" s="106"/>
      <c r="AT554" s="56"/>
      <c r="AU554" s="56"/>
      <c r="AV554" s="106"/>
      <c r="AW554" s="56"/>
      <c r="AX554" s="10"/>
      <c r="AY554" s="56"/>
      <c r="AZ554" s="56"/>
      <c r="BA554" s="56"/>
      <c r="BB554" s="56"/>
      <c r="BJ554" s="145"/>
      <c r="CD554" s="145"/>
      <c r="CT554" s="145"/>
    </row>
    <row r="555" spans="1:98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68"/>
      <c r="R555" s="56"/>
      <c r="S555" s="162"/>
      <c r="T555" s="106"/>
      <c r="U555" s="10"/>
      <c r="V555" s="56"/>
      <c r="W555" s="56"/>
      <c r="X555" s="56"/>
      <c r="Y555" s="56"/>
      <c r="Z555" s="56"/>
      <c r="AA555" s="172"/>
      <c r="AB555" s="56"/>
      <c r="AC555" s="56"/>
      <c r="AD555" s="106"/>
      <c r="AE555" s="56"/>
      <c r="AF555" s="56"/>
      <c r="AG555" s="56"/>
      <c r="AH555" s="56"/>
      <c r="AI555" s="56"/>
      <c r="AJ555" s="56"/>
      <c r="AK555" s="106"/>
      <c r="AL555" s="56"/>
      <c r="AM555" s="56"/>
      <c r="AN555" s="56"/>
      <c r="AO555" s="56"/>
      <c r="AP555" s="56"/>
      <c r="AQ555" s="56"/>
      <c r="AR555" s="56"/>
      <c r="AS555" s="106"/>
      <c r="AT555" s="56"/>
      <c r="AU555" s="56"/>
      <c r="AV555" s="106"/>
      <c r="AW555" s="56"/>
      <c r="AX555" s="10"/>
      <c r="AY555" s="56"/>
      <c r="AZ555" s="56"/>
      <c r="BA555" s="56"/>
      <c r="BB555" s="56"/>
      <c r="BJ555" s="145"/>
      <c r="CD555" s="145"/>
      <c r="CT555" s="145"/>
    </row>
    <row r="556" spans="1:98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68"/>
      <c r="R556" s="56"/>
      <c r="S556" s="162"/>
      <c r="T556" s="106"/>
      <c r="U556" s="10"/>
      <c r="V556" s="56"/>
      <c r="W556" s="56"/>
      <c r="X556" s="56"/>
      <c r="Y556" s="56"/>
      <c r="Z556" s="56"/>
      <c r="AA556" s="172"/>
      <c r="AB556" s="56"/>
      <c r="AC556" s="56"/>
      <c r="AD556" s="106"/>
      <c r="AE556" s="56"/>
      <c r="AF556" s="56"/>
      <c r="AG556" s="56"/>
      <c r="AH556" s="56"/>
      <c r="AI556" s="56"/>
      <c r="AJ556" s="56"/>
      <c r="AK556" s="106"/>
      <c r="AL556" s="56"/>
      <c r="AM556" s="56"/>
      <c r="AN556" s="56"/>
      <c r="AO556" s="56"/>
      <c r="AP556" s="56"/>
      <c r="AQ556" s="56"/>
      <c r="AR556" s="56"/>
      <c r="AS556" s="106"/>
      <c r="AT556" s="56"/>
      <c r="AU556" s="56"/>
      <c r="AV556" s="106"/>
      <c r="AW556" s="56"/>
      <c r="AX556" s="10"/>
      <c r="AY556" s="56"/>
      <c r="AZ556" s="56"/>
      <c r="BA556" s="56"/>
      <c r="BB556" s="56"/>
      <c r="BJ556" s="145"/>
      <c r="CD556" s="145"/>
      <c r="CT556" s="145"/>
    </row>
    <row r="557" spans="1:98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68"/>
      <c r="R557" s="56"/>
      <c r="S557" s="162"/>
      <c r="T557" s="106"/>
      <c r="U557" s="10"/>
      <c r="V557" s="56"/>
      <c r="W557" s="56"/>
      <c r="X557" s="56"/>
      <c r="Y557" s="56"/>
      <c r="Z557" s="56"/>
      <c r="AA557" s="172"/>
      <c r="AB557" s="56"/>
      <c r="AC557" s="56"/>
      <c r="AD557" s="106"/>
      <c r="AE557" s="56"/>
      <c r="AF557" s="56"/>
      <c r="AG557" s="56"/>
      <c r="AH557" s="56"/>
      <c r="AI557" s="56"/>
      <c r="AJ557" s="56"/>
      <c r="AK557" s="106"/>
      <c r="AL557" s="56"/>
      <c r="AM557" s="56"/>
      <c r="AN557" s="56"/>
      <c r="AO557" s="56"/>
      <c r="AP557" s="56"/>
      <c r="AQ557" s="56"/>
      <c r="AR557" s="56"/>
      <c r="AS557" s="106"/>
      <c r="AT557" s="56"/>
      <c r="AU557" s="56"/>
      <c r="AV557" s="106"/>
      <c r="AW557" s="56"/>
      <c r="AX557" s="10"/>
      <c r="AY557" s="56"/>
      <c r="AZ557" s="56"/>
      <c r="BA557" s="56"/>
      <c r="BB557" s="56"/>
      <c r="BJ557" s="145"/>
      <c r="CD557" s="145"/>
      <c r="CT557" s="145"/>
    </row>
    <row r="558" spans="1:98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68"/>
      <c r="R558" s="56"/>
      <c r="S558" s="162"/>
      <c r="T558" s="106"/>
      <c r="U558" s="10"/>
      <c r="V558" s="56"/>
      <c r="W558" s="56"/>
      <c r="X558" s="56"/>
      <c r="Y558" s="56"/>
      <c r="Z558" s="56"/>
      <c r="AA558" s="172"/>
      <c r="AB558" s="56"/>
      <c r="AC558" s="56"/>
      <c r="AD558" s="106"/>
      <c r="AE558" s="56"/>
      <c r="AF558" s="56"/>
      <c r="AG558" s="56"/>
      <c r="AH558" s="56"/>
      <c r="AI558" s="56"/>
      <c r="AJ558" s="56"/>
      <c r="AK558" s="106"/>
      <c r="AL558" s="56"/>
      <c r="AM558" s="56"/>
      <c r="AN558" s="56"/>
      <c r="AO558" s="56"/>
      <c r="AP558" s="56"/>
      <c r="AQ558" s="56"/>
      <c r="AR558" s="56"/>
      <c r="AS558" s="106"/>
      <c r="AT558" s="56"/>
      <c r="AU558" s="56"/>
      <c r="AV558" s="106"/>
      <c r="AW558" s="56"/>
      <c r="AX558" s="10"/>
      <c r="AY558" s="56"/>
      <c r="AZ558" s="56"/>
      <c r="BA558" s="56"/>
      <c r="BB558" s="56"/>
      <c r="BJ558" s="145"/>
      <c r="CD558" s="145"/>
      <c r="CT558" s="145"/>
    </row>
    <row r="559" spans="1:98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68"/>
      <c r="R559" s="56"/>
      <c r="S559" s="162"/>
      <c r="T559" s="106"/>
      <c r="U559" s="10"/>
      <c r="V559" s="56"/>
      <c r="W559" s="56"/>
      <c r="X559" s="56"/>
      <c r="Y559" s="56"/>
      <c r="Z559" s="56"/>
      <c r="AA559" s="172"/>
      <c r="AB559" s="56"/>
      <c r="AC559" s="56"/>
      <c r="AD559" s="106"/>
      <c r="AE559" s="56"/>
      <c r="AF559" s="56"/>
      <c r="AG559" s="56"/>
      <c r="AH559" s="56"/>
      <c r="AI559" s="56"/>
      <c r="AJ559" s="56"/>
      <c r="AK559" s="106"/>
      <c r="AL559" s="56"/>
      <c r="AM559" s="56"/>
      <c r="AN559" s="56"/>
      <c r="AO559" s="56"/>
      <c r="AP559" s="56"/>
      <c r="AQ559" s="56"/>
      <c r="AR559" s="56"/>
      <c r="AS559" s="106"/>
      <c r="AT559" s="56"/>
      <c r="AU559" s="56"/>
      <c r="AV559" s="106"/>
      <c r="AW559" s="56"/>
      <c r="AX559" s="10"/>
      <c r="AY559" s="56"/>
      <c r="AZ559" s="56"/>
      <c r="BA559" s="56"/>
      <c r="BB559" s="56"/>
      <c r="BJ559" s="145"/>
      <c r="CD559" s="145"/>
      <c r="CT559" s="145"/>
    </row>
    <row r="560" spans="1:98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68"/>
      <c r="R560" s="56"/>
      <c r="S560" s="162"/>
      <c r="T560" s="106"/>
      <c r="U560" s="10"/>
      <c r="V560" s="56"/>
      <c r="W560" s="56"/>
      <c r="X560" s="56"/>
      <c r="Y560" s="56"/>
      <c r="Z560" s="56"/>
      <c r="AA560" s="172"/>
      <c r="AB560" s="56"/>
      <c r="AC560" s="56"/>
      <c r="AD560" s="106"/>
      <c r="AE560" s="56"/>
      <c r="AF560" s="56"/>
      <c r="AG560" s="56"/>
      <c r="AH560" s="56"/>
      <c r="AI560" s="56"/>
      <c r="AJ560" s="56"/>
      <c r="AK560" s="106"/>
      <c r="AL560" s="56"/>
      <c r="AM560" s="56"/>
      <c r="AN560" s="56"/>
      <c r="AO560" s="56"/>
      <c r="AP560" s="56"/>
      <c r="AQ560" s="56"/>
      <c r="AR560" s="56"/>
      <c r="AS560" s="106"/>
      <c r="AT560" s="56"/>
      <c r="AU560" s="56"/>
      <c r="AV560" s="106"/>
      <c r="AW560" s="56"/>
      <c r="AX560" s="10"/>
      <c r="AY560" s="56"/>
      <c r="AZ560" s="56"/>
      <c r="BA560" s="56"/>
      <c r="BB560" s="56"/>
      <c r="BJ560" s="145"/>
      <c r="CD560" s="145"/>
      <c r="CT560" s="145"/>
    </row>
    <row r="561" spans="1:98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68"/>
      <c r="R561" s="56"/>
      <c r="S561" s="162"/>
      <c r="T561" s="106"/>
      <c r="U561" s="10"/>
      <c r="V561" s="56"/>
      <c r="W561" s="56"/>
      <c r="X561" s="56"/>
      <c r="Y561" s="56"/>
      <c r="Z561" s="56"/>
      <c r="AA561" s="172"/>
      <c r="AB561" s="56"/>
      <c r="AC561" s="56"/>
      <c r="AD561" s="106"/>
      <c r="AE561" s="56"/>
      <c r="AF561" s="56"/>
      <c r="AG561" s="56"/>
      <c r="AH561" s="56"/>
      <c r="AI561" s="56"/>
      <c r="AJ561" s="56"/>
      <c r="AK561" s="106"/>
      <c r="AL561" s="56"/>
      <c r="AM561" s="56"/>
      <c r="AN561" s="56"/>
      <c r="AO561" s="56"/>
      <c r="AP561" s="56"/>
      <c r="AQ561" s="56"/>
      <c r="AR561" s="56"/>
      <c r="AS561" s="106"/>
      <c r="AT561" s="56"/>
      <c r="AU561" s="56"/>
      <c r="AV561" s="106"/>
      <c r="AW561" s="56"/>
      <c r="AX561" s="10"/>
      <c r="AY561" s="56"/>
      <c r="AZ561" s="56"/>
      <c r="BA561" s="56"/>
      <c r="BB561" s="56"/>
      <c r="BJ561" s="145"/>
      <c r="CD561" s="145"/>
      <c r="CT561" s="145"/>
    </row>
    <row r="562" spans="1:98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68"/>
      <c r="R562" s="56"/>
      <c r="S562" s="162"/>
      <c r="T562" s="106"/>
      <c r="U562" s="10"/>
      <c r="V562" s="56"/>
      <c r="W562" s="56"/>
      <c r="X562" s="56"/>
      <c r="Y562" s="56"/>
      <c r="Z562" s="56"/>
      <c r="AA562" s="172"/>
      <c r="AB562" s="56"/>
      <c r="AC562" s="56"/>
      <c r="AD562" s="106"/>
      <c r="AE562" s="56"/>
      <c r="AF562" s="56"/>
      <c r="AG562" s="56"/>
      <c r="AH562" s="56"/>
      <c r="AI562" s="56"/>
      <c r="AJ562" s="56"/>
      <c r="AK562" s="106"/>
      <c r="AL562" s="56"/>
      <c r="AM562" s="56"/>
      <c r="AN562" s="56"/>
      <c r="AO562" s="56"/>
      <c r="AP562" s="56"/>
      <c r="AQ562" s="56"/>
      <c r="AR562" s="56"/>
      <c r="AS562" s="106"/>
      <c r="AT562" s="56"/>
      <c r="AU562" s="56"/>
      <c r="AV562" s="106"/>
      <c r="AW562" s="56"/>
      <c r="AX562" s="10"/>
      <c r="AY562" s="56"/>
      <c r="AZ562" s="56"/>
      <c r="BA562" s="56"/>
      <c r="BB562" s="56"/>
      <c r="BJ562" s="145"/>
      <c r="CD562" s="145"/>
      <c r="CT562" s="145"/>
    </row>
    <row r="563" spans="1:98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68"/>
      <c r="R563" s="56"/>
      <c r="S563" s="162"/>
      <c r="T563" s="106"/>
      <c r="U563" s="10"/>
      <c r="V563" s="56"/>
      <c r="W563" s="56"/>
      <c r="X563" s="56"/>
      <c r="Y563" s="56"/>
      <c r="Z563" s="56"/>
      <c r="AA563" s="172"/>
      <c r="AB563" s="56"/>
      <c r="AC563" s="56"/>
      <c r="AD563" s="106"/>
      <c r="AE563" s="56"/>
      <c r="AF563" s="56"/>
      <c r="AG563" s="56"/>
      <c r="AH563" s="56"/>
      <c r="AI563" s="56"/>
      <c r="AJ563" s="56"/>
      <c r="AK563" s="106"/>
      <c r="AL563" s="56"/>
      <c r="AM563" s="56"/>
      <c r="AN563" s="56"/>
      <c r="AO563" s="56"/>
      <c r="AP563" s="56"/>
      <c r="AQ563" s="56"/>
      <c r="AR563" s="56"/>
      <c r="AS563" s="106"/>
      <c r="AT563" s="56"/>
      <c r="AU563" s="56"/>
      <c r="AV563" s="106"/>
      <c r="AW563" s="56"/>
      <c r="AX563" s="10"/>
      <c r="AY563" s="56"/>
      <c r="AZ563" s="56"/>
      <c r="BA563" s="56"/>
      <c r="BB563" s="56"/>
      <c r="BJ563" s="145"/>
      <c r="CD563" s="145"/>
      <c r="CT563" s="145"/>
    </row>
    <row r="564" spans="1:98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68"/>
      <c r="R564" s="56"/>
      <c r="S564" s="162"/>
      <c r="T564" s="106"/>
      <c r="U564" s="10"/>
      <c r="V564" s="56"/>
      <c r="W564" s="56"/>
      <c r="X564" s="56"/>
      <c r="Y564" s="56"/>
      <c r="Z564" s="56"/>
      <c r="AA564" s="172"/>
      <c r="AB564" s="56"/>
      <c r="AC564" s="56"/>
      <c r="AD564" s="106"/>
      <c r="AE564" s="56"/>
      <c r="AF564" s="56"/>
      <c r="AG564" s="56"/>
      <c r="AH564" s="56"/>
      <c r="AI564" s="56"/>
      <c r="AJ564" s="56"/>
      <c r="AK564" s="106"/>
      <c r="AL564" s="56"/>
      <c r="AM564" s="56"/>
      <c r="AN564" s="56"/>
      <c r="AO564" s="56"/>
      <c r="AP564" s="56"/>
      <c r="AQ564" s="56"/>
      <c r="AR564" s="56"/>
      <c r="AS564" s="106"/>
      <c r="AT564" s="56"/>
      <c r="AU564" s="56"/>
      <c r="AV564" s="106"/>
      <c r="AW564" s="56"/>
      <c r="AX564" s="10"/>
      <c r="AY564" s="56"/>
      <c r="AZ564" s="56"/>
      <c r="BA564" s="56"/>
      <c r="BB564" s="56"/>
      <c r="BJ564" s="145"/>
      <c r="CD564" s="145"/>
      <c r="CT564" s="145"/>
    </row>
    <row r="565" spans="1:98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68"/>
      <c r="R565" s="56"/>
      <c r="S565" s="162"/>
      <c r="T565" s="106"/>
      <c r="U565" s="10"/>
      <c r="V565" s="56"/>
      <c r="W565" s="56"/>
      <c r="X565" s="56"/>
      <c r="Y565" s="56"/>
      <c r="Z565" s="56"/>
      <c r="AA565" s="172"/>
      <c r="AB565" s="56"/>
      <c r="AC565" s="56"/>
      <c r="AD565" s="106"/>
      <c r="AE565" s="56"/>
      <c r="AF565" s="56"/>
      <c r="AG565" s="56"/>
      <c r="AH565" s="56"/>
      <c r="AI565" s="56"/>
      <c r="AJ565" s="56"/>
      <c r="AK565" s="106"/>
      <c r="AL565" s="56"/>
      <c r="AM565" s="56"/>
      <c r="AN565" s="56"/>
      <c r="AO565" s="56"/>
      <c r="AP565" s="56"/>
      <c r="AQ565" s="56"/>
      <c r="AR565" s="56"/>
      <c r="AS565" s="106"/>
      <c r="AT565" s="56"/>
      <c r="AU565" s="56"/>
      <c r="AV565" s="106"/>
      <c r="AW565" s="56"/>
      <c r="AX565" s="10"/>
      <c r="AY565" s="56"/>
      <c r="AZ565" s="56"/>
      <c r="BA565" s="56"/>
      <c r="BB565" s="56"/>
      <c r="BJ565" s="145"/>
      <c r="CD565" s="145"/>
      <c r="CT565" s="145"/>
    </row>
    <row r="566" spans="1:98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68"/>
      <c r="R566" s="56"/>
      <c r="S566" s="162"/>
      <c r="T566" s="106"/>
      <c r="U566" s="10"/>
      <c r="V566" s="56"/>
      <c r="W566" s="56"/>
      <c r="X566" s="56"/>
      <c r="Y566" s="56"/>
      <c r="Z566" s="56"/>
      <c r="AA566" s="172"/>
      <c r="AB566" s="56"/>
      <c r="AC566" s="56"/>
      <c r="AD566" s="106"/>
      <c r="AE566" s="56"/>
      <c r="AF566" s="56"/>
      <c r="AG566" s="56"/>
      <c r="AH566" s="56"/>
      <c r="AI566" s="56"/>
      <c r="AJ566" s="56"/>
      <c r="AK566" s="106"/>
      <c r="AL566" s="56"/>
      <c r="AM566" s="56"/>
      <c r="AN566" s="56"/>
      <c r="AO566" s="56"/>
      <c r="AP566" s="56"/>
      <c r="AQ566" s="56"/>
      <c r="AR566" s="56"/>
      <c r="AS566" s="106"/>
      <c r="AT566" s="56"/>
      <c r="AU566" s="56"/>
      <c r="AV566" s="106"/>
      <c r="AW566" s="56"/>
      <c r="AX566" s="10"/>
      <c r="AY566" s="56"/>
      <c r="AZ566" s="56"/>
      <c r="BA566" s="56"/>
      <c r="BB566" s="56"/>
      <c r="BJ566" s="145"/>
      <c r="CD566" s="145"/>
      <c r="CT566" s="145"/>
    </row>
    <row r="567" spans="1:98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68"/>
      <c r="R567" s="56"/>
      <c r="S567" s="162"/>
      <c r="T567" s="106"/>
      <c r="U567" s="10"/>
      <c r="V567" s="56"/>
      <c r="W567" s="56"/>
      <c r="X567" s="56"/>
      <c r="Y567" s="56"/>
      <c r="Z567" s="56"/>
      <c r="AA567" s="172"/>
      <c r="AB567" s="56"/>
      <c r="AC567" s="56"/>
      <c r="AD567" s="106"/>
      <c r="AE567" s="56"/>
      <c r="AF567" s="56"/>
      <c r="AG567" s="56"/>
      <c r="AH567" s="56"/>
      <c r="AI567" s="56"/>
      <c r="AJ567" s="56"/>
      <c r="AK567" s="106"/>
      <c r="AL567" s="56"/>
      <c r="AM567" s="56"/>
      <c r="AN567" s="56"/>
      <c r="AO567" s="56"/>
      <c r="AP567" s="56"/>
      <c r="AQ567" s="56"/>
      <c r="AR567" s="56"/>
      <c r="AS567" s="106"/>
      <c r="AT567" s="56"/>
      <c r="AU567" s="56"/>
      <c r="AV567" s="106"/>
      <c r="AW567" s="56"/>
      <c r="AX567" s="10"/>
      <c r="AY567" s="56"/>
      <c r="AZ567" s="56"/>
      <c r="BA567" s="56"/>
      <c r="BB567" s="56"/>
      <c r="BJ567" s="145"/>
      <c r="CD567" s="145"/>
      <c r="CT567" s="145"/>
    </row>
    <row r="568" spans="1:98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68"/>
      <c r="R568" s="56"/>
      <c r="S568" s="162"/>
      <c r="T568" s="106"/>
      <c r="U568" s="10"/>
      <c r="V568" s="56"/>
      <c r="W568" s="56"/>
      <c r="X568" s="56"/>
      <c r="Y568" s="56"/>
      <c r="Z568" s="56"/>
      <c r="AA568" s="172"/>
      <c r="AB568" s="56"/>
      <c r="AC568" s="56"/>
      <c r="AD568" s="106"/>
      <c r="AE568" s="56"/>
      <c r="AF568" s="56"/>
      <c r="AG568" s="56"/>
      <c r="AH568" s="56"/>
      <c r="AI568" s="56"/>
      <c r="AJ568" s="56"/>
      <c r="AK568" s="106"/>
      <c r="AL568" s="56"/>
      <c r="AM568" s="56"/>
      <c r="AN568" s="56"/>
      <c r="AO568" s="56"/>
      <c r="AP568" s="56"/>
      <c r="AQ568" s="56"/>
      <c r="AR568" s="56"/>
      <c r="AS568" s="106"/>
      <c r="AT568" s="56"/>
      <c r="AU568" s="56"/>
      <c r="AV568" s="106"/>
      <c r="AW568" s="56"/>
      <c r="AX568" s="10"/>
      <c r="AY568" s="56"/>
      <c r="AZ568" s="56"/>
      <c r="BA568" s="56"/>
      <c r="BB568" s="56"/>
      <c r="BJ568" s="145"/>
      <c r="CD568" s="145"/>
      <c r="CT568" s="145"/>
    </row>
    <row r="569" spans="1:98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68"/>
      <c r="R569" s="56"/>
      <c r="S569" s="162"/>
      <c r="T569" s="106"/>
      <c r="U569" s="10"/>
      <c r="V569" s="56"/>
      <c r="W569" s="56"/>
      <c r="X569" s="56"/>
      <c r="Y569" s="56"/>
      <c r="Z569" s="56"/>
      <c r="AA569" s="172"/>
      <c r="AB569" s="56"/>
      <c r="AC569" s="56"/>
      <c r="AD569" s="106"/>
      <c r="AE569" s="56"/>
      <c r="AF569" s="56"/>
      <c r="AG569" s="56"/>
      <c r="AH569" s="56"/>
      <c r="AI569" s="56"/>
      <c r="AJ569" s="56"/>
      <c r="AK569" s="106"/>
      <c r="AL569" s="56"/>
      <c r="AM569" s="56"/>
      <c r="AN569" s="56"/>
      <c r="AO569" s="56"/>
      <c r="AP569" s="56"/>
      <c r="AQ569" s="56"/>
      <c r="AR569" s="56"/>
      <c r="AS569" s="106"/>
      <c r="AT569" s="56"/>
      <c r="AU569" s="56"/>
      <c r="AV569" s="106"/>
      <c r="AW569" s="56"/>
      <c r="AX569" s="10"/>
      <c r="AY569" s="56"/>
      <c r="AZ569" s="56"/>
      <c r="BA569" s="56"/>
      <c r="BB569" s="56"/>
      <c r="BJ569" s="145"/>
      <c r="CD569" s="145"/>
      <c r="CT569" s="145"/>
    </row>
    <row r="570" spans="1:98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68"/>
      <c r="R570" s="56"/>
      <c r="S570" s="162"/>
      <c r="T570" s="106"/>
      <c r="U570" s="10"/>
      <c r="V570" s="56"/>
      <c r="W570" s="56"/>
      <c r="X570" s="56"/>
      <c r="Y570" s="56"/>
      <c r="Z570" s="56"/>
      <c r="AA570" s="172"/>
      <c r="AB570" s="56"/>
      <c r="AC570" s="56"/>
      <c r="AD570" s="106"/>
      <c r="AE570" s="56"/>
      <c r="AF570" s="56"/>
      <c r="AG570" s="56"/>
      <c r="AH570" s="56"/>
      <c r="AI570" s="56"/>
      <c r="AJ570" s="56"/>
      <c r="AK570" s="106"/>
      <c r="AL570" s="56"/>
      <c r="AM570" s="56"/>
      <c r="AN570" s="56"/>
      <c r="AO570" s="56"/>
      <c r="AP570" s="56"/>
      <c r="AQ570" s="56"/>
      <c r="AR570" s="56"/>
      <c r="AS570" s="106"/>
      <c r="AT570" s="56"/>
      <c r="AU570" s="56"/>
      <c r="AV570" s="106"/>
      <c r="AW570" s="56"/>
      <c r="AX570" s="10"/>
      <c r="AY570" s="56"/>
      <c r="AZ570" s="56"/>
      <c r="BA570" s="56"/>
      <c r="BB570" s="56"/>
      <c r="BJ570" s="145"/>
      <c r="CD570" s="145"/>
      <c r="CT570" s="145"/>
    </row>
    <row r="571" spans="1:98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68"/>
      <c r="R571" s="56"/>
      <c r="S571" s="162"/>
      <c r="T571" s="106"/>
      <c r="U571" s="10"/>
      <c r="V571" s="56"/>
      <c r="W571" s="56"/>
      <c r="X571" s="56"/>
      <c r="Y571" s="56"/>
      <c r="Z571" s="56"/>
      <c r="AA571" s="172"/>
      <c r="AB571" s="56"/>
      <c r="AC571" s="56"/>
      <c r="AD571" s="106"/>
      <c r="AE571" s="56"/>
      <c r="AF571" s="56"/>
      <c r="AG571" s="56"/>
      <c r="AH571" s="56"/>
      <c r="AI571" s="56"/>
      <c r="AJ571" s="56"/>
      <c r="AK571" s="106"/>
      <c r="AL571" s="56"/>
      <c r="AM571" s="56"/>
      <c r="AN571" s="56"/>
      <c r="AO571" s="56"/>
      <c r="AP571" s="56"/>
      <c r="AQ571" s="56"/>
      <c r="AR571" s="56"/>
      <c r="AS571" s="106"/>
      <c r="AT571" s="56"/>
      <c r="AU571" s="56"/>
      <c r="AV571" s="106"/>
      <c r="AW571" s="56"/>
      <c r="AX571" s="10"/>
      <c r="AY571" s="56"/>
      <c r="AZ571" s="56"/>
      <c r="BA571" s="56"/>
      <c r="BB571" s="56"/>
      <c r="BJ571" s="145"/>
      <c r="CD571" s="145"/>
      <c r="CT571" s="145"/>
    </row>
    <row r="572" spans="1:98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68"/>
      <c r="R572" s="56"/>
      <c r="S572" s="162"/>
      <c r="T572" s="106"/>
      <c r="U572" s="10"/>
      <c r="V572" s="56"/>
      <c r="W572" s="56"/>
      <c r="X572" s="56"/>
      <c r="Y572" s="56"/>
      <c r="Z572" s="56"/>
      <c r="AA572" s="172"/>
      <c r="AB572" s="56"/>
      <c r="AC572" s="56"/>
      <c r="AD572" s="106"/>
      <c r="AE572" s="56"/>
      <c r="AF572" s="56"/>
      <c r="AG572" s="56"/>
      <c r="AH572" s="56"/>
      <c r="AI572" s="56"/>
      <c r="AJ572" s="56"/>
      <c r="AK572" s="106"/>
      <c r="AL572" s="56"/>
      <c r="AM572" s="56"/>
      <c r="AN572" s="56"/>
      <c r="AO572" s="56"/>
      <c r="AP572" s="56"/>
      <c r="AQ572" s="56"/>
      <c r="AR572" s="56"/>
      <c r="AS572" s="106"/>
      <c r="AT572" s="56"/>
      <c r="AU572" s="56"/>
      <c r="AV572" s="106"/>
      <c r="AW572" s="56"/>
      <c r="AX572" s="10"/>
      <c r="AY572" s="56"/>
      <c r="AZ572" s="56"/>
      <c r="BA572" s="56"/>
      <c r="BB572" s="56"/>
      <c r="BJ572" s="145"/>
      <c r="CD572" s="145"/>
      <c r="CT572" s="145"/>
    </row>
    <row r="573" spans="1:98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68"/>
      <c r="R573" s="56"/>
      <c r="S573" s="162"/>
      <c r="T573" s="106"/>
      <c r="U573" s="10"/>
      <c r="V573" s="56"/>
      <c r="W573" s="56"/>
      <c r="X573" s="56"/>
      <c r="Y573" s="56"/>
      <c r="Z573" s="56"/>
      <c r="AA573" s="172"/>
      <c r="AB573" s="56"/>
      <c r="AC573" s="56"/>
      <c r="AD573" s="106"/>
      <c r="AE573" s="56"/>
      <c r="AF573" s="56"/>
      <c r="AG573" s="56"/>
      <c r="AH573" s="56"/>
      <c r="AI573" s="56"/>
      <c r="AJ573" s="56"/>
      <c r="AK573" s="106"/>
      <c r="AL573" s="56"/>
      <c r="AM573" s="56"/>
      <c r="AN573" s="56"/>
      <c r="AO573" s="56"/>
      <c r="AP573" s="56"/>
      <c r="AQ573" s="56"/>
      <c r="AR573" s="56"/>
      <c r="AS573" s="106"/>
      <c r="AT573" s="56"/>
      <c r="AU573" s="56"/>
      <c r="AV573" s="106"/>
      <c r="AW573" s="56"/>
      <c r="AX573" s="10"/>
      <c r="AY573" s="56"/>
      <c r="AZ573" s="56"/>
      <c r="BA573" s="56"/>
      <c r="BB573" s="56"/>
      <c r="BJ573" s="145"/>
      <c r="CD573" s="145"/>
      <c r="CT573" s="145"/>
    </row>
    <row r="574" spans="1:98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68"/>
      <c r="R574" s="56"/>
      <c r="S574" s="162"/>
      <c r="T574" s="106"/>
      <c r="U574" s="10"/>
      <c r="V574" s="56"/>
      <c r="W574" s="56"/>
      <c r="X574" s="56"/>
      <c r="Y574" s="56"/>
      <c r="Z574" s="56"/>
      <c r="AA574" s="172"/>
      <c r="AB574" s="56"/>
      <c r="AC574" s="56"/>
      <c r="AD574" s="106"/>
      <c r="AE574" s="56"/>
      <c r="AF574" s="56"/>
      <c r="AG574" s="56"/>
      <c r="AH574" s="56"/>
      <c r="AI574" s="56"/>
      <c r="AJ574" s="56"/>
      <c r="AK574" s="106"/>
      <c r="AL574" s="56"/>
      <c r="AM574" s="56"/>
      <c r="AN574" s="56"/>
      <c r="AO574" s="56"/>
      <c r="AP574" s="56"/>
      <c r="AQ574" s="56"/>
      <c r="AR574" s="56"/>
      <c r="AS574" s="106"/>
      <c r="AT574" s="56"/>
      <c r="AU574" s="56"/>
      <c r="AV574" s="106"/>
      <c r="AW574" s="56"/>
      <c r="AX574" s="10"/>
      <c r="AY574" s="56"/>
      <c r="AZ574" s="56"/>
      <c r="BA574" s="56"/>
      <c r="BB574" s="56"/>
      <c r="BJ574" s="145"/>
      <c r="CD574" s="145"/>
      <c r="CT574" s="145"/>
    </row>
    <row r="575" spans="1:98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68"/>
      <c r="R575" s="56"/>
      <c r="S575" s="162"/>
      <c r="T575" s="106"/>
      <c r="U575" s="10"/>
      <c r="V575" s="56"/>
      <c r="W575" s="56"/>
      <c r="X575" s="56"/>
      <c r="Y575" s="56"/>
      <c r="Z575" s="56"/>
      <c r="AA575" s="172"/>
      <c r="AB575" s="56"/>
      <c r="AC575" s="56"/>
      <c r="AD575" s="106"/>
      <c r="AE575" s="56"/>
      <c r="AF575" s="56"/>
      <c r="AG575" s="56"/>
      <c r="AH575" s="56"/>
      <c r="AI575" s="56"/>
      <c r="AJ575" s="56"/>
      <c r="AK575" s="106"/>
      <c r="AL575" s="56"/>
      <c r="AM575" s="56"/>
      <c r="AN575" s="56"/>
      <c r="AO575" s="56"/>
      <c r="AP575" s="56"/>
      <c r="AQ575" s="56"/>
      <c r="AR575" s="56"/>
      <c r="AS575" s="106"/>
      <c r="AT575" s="56"/>
      <c r="AU575" s="56"/>
      <c r="AV575" s="106"/>
      <c r="AW575" s="56"/>
      <c r="AX575" s="10"/>
      <c r="AY575" s="56"/>
      <c r="AZ575" s="56"/>
      <c r="BA575" s="56"/>
      <c r="BB575" s="56"/>
      <c r="BJ575" s="145"/>
      <c r="CD575" s="145"/>
      <c r="CT575" s="145"/>
    </row>
    <row r="576" spans="1:98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68"/>
      <c r="R576" s="56"/>
      <c r="S576" s="162"/>
      <c r="T576" s="106"/>
      <c r="U576" s="10"/>
      <c r="V576" s="56"/>
      <c r="W576" s="56"/>
      <c r="X576" s="56"/>
      <c r="Y576" s="56"/>
      <c r="Z576" s="56"/>
      <c r="AA576" s="172"/>
      <c r="AB576" s="56"/>
      <c r="AC576" s="56"/>
      <c r="AD576" s="106"/>
      <c r="AE576" s="56"/>
      <c r="AF576" s="56"/>
      <c r="AG576" s="56"/>
      <c r="AH576" s="56"/>
      <c r="AI576" s="56"/>
      <c r="AJ576" s="56"/>
      <c r="AK576" s="106"/>
      <c r="AL576" s="56"/>
      <c r="AM576" s="56"/>
      <c r="AN576" s="56"/>
      <c r="AO576" s="56"/>
      <c r="AP576" s="56"/>
      <c r="AQ576" s="56"/>
      <c r="AR576" s="56"/>
      <c r="AS576" s="106"/>
      <c r="AT576" s="56"/>
      <c r="AU576" s="56"/>
      <c r="AV576" s="106"/>
      <c r="AW576" s="56"/>
      <c r="AX576" s="10"/>
      <c r="AY576" s="56"/>
      <c r="AZ576" s="56"/>
      <c r="BA576" s="56"/>
      <c r="BB576" s="56"/>
      <c r="BJ576" s="145"/>
      <c r="CD576" s="145"/>
      <c r="CT576" s="145"/>
    </row>
    <row r="577" spans="1:98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68"/>
      <c r="R577" s="56"/>
      <c r="S577" s="162"/>
      <c r="T577" s="106"/>
      <c r="U577" s="10"/>
      <c r="V577" s="56"/>
      <c r="W577" s="56"/>
      <c r="X577" s="56"/>
      <c r="Y577" s="56"/>
      <c r="Z577" s="56"/>
      <c r="AA577" s="172"/>
      <c r="AB577" s="56"/>
      <c r="AC577" s="56"/>
      <c r="AD577" s="106"/>
      <c r="AE577" s="56"/>
      <c r="AF577" s="56"/>
      <c r="AG577" s="56"/>
      <c r="AH577" s="56"/>
      <c r="AI577" s="56"/>
      <c r="AJ577" s="56"/>
      <c r="AK577" s="106"/>
      <c r="AL577" s="56"/>
      <c r="AM577" s="56"/>
      <c r="AN577" s="56"/>
      <c r="AO577" s="56"/>
      <c r="AP577" s="56"/>
      <c r="AQ577" s="56"/>
      <c r="AR577" s="56"/>
      <c r="AS577" s="106"/>
      <c r="AT577" s="56"/>
      <c r="AU577" s="56"/>
      <c r="AV577" s="106"/>
      <c r="AW577" s="56"/>
      <c r="AX577" s="10"/>
      <c r="AY577" s="56"/>
      <c r="AZ577" s="56"/>
      <c r="BA577" s="56"/>
      <c r="BB577" s="56"/>
      <c r="BJ577" s="145"/>
      <c r="CD577" s="145"/>
      <c r="CT577" s="145"/>
    </row>
    <row r="578" spans="1:98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68"/>
      <c r="R578" s="56"/>
      <c r="S578" s="162"/>
      <c r="T578" s="106"/>
      <c r="U578" s="10"/>
      <c r="V578" s="56"/>
      <c r="W578" s="56"/>
      <c r="X578" s="56"/>
      <c r="Y578" s="56"/>
      <c r="Z578" s="56"/>
      <c r="AA578" s="172"/>
      <c r="AB578" s="56"/>
      <c r="AC578" s="56"/>
      <c r="AD578" s="106"/>
      <c r="AE578" s="56"/>
      <c r="AF578" s="56"/>
      <c r="AG578" s="56"/>
      <c r="AH578" s="56"/>
      <c r="AI578" s="56"/>
      <c r="AJ578" s="56"/>
      <c r="AK578" s="106"/>
      <c r="AL578" s="56"/>
      <c r="AM578" s="56"/>
      <c r="AN578" s="56"/>
      <c r="AO578" s="56"/>
      <c r="AP578" s="56"/>
      <c r="AQ578" s="56"/>
      <c r="AR578" s="56"/>
      <c r="AS578" s="106"/>
      <c r="AT578" s="56"/>
      <c r="AU578" s="56"/>
      <c r="AV578" s="106"/>
      <c r="AW578" s="56"/>
      <c r="AX578" s="10"/>
      <c r="AY578" s="56"/>
      <c r="AZ578" s="56"/>
      <c r="BA578" s="56"/>
      <c r="BB578" s="56"/>
      <c r="BJ578" s="145"/>
      <c r="CD578" s="145"/>
      <c r="CT578" s="145"/>
    </row>
    <row r="579" spans="1:98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68"/>
      <c r="R579" s="56"/>
      <c r="S579" s="162"/>
      <c r="T579" s="106"/>
      <c r="U579" s="10"/>
      <c r="V579" s="56"/>
      <c r="W579" s="56"/>
      <c r="X579" s="56"/>
      <c r="Y579" s="56"/>
      <c r="Z579" s="56"/>
      <c r="AA579" s="172"/>
      <c r="AB579" s="56"/>
      <c r="AC579" s="56"/>
      <c r="AD579" s="106"/>
      <c r="AE579" s="56"/>
      <c r="AF579" s="56"/>
      <c r="AG579" s="56"/>
      <c r="AH579" s="56"/>
      <c r="AI579" s="56"/>
      <c r="AJ579" s="56"/>
      <c r="AK579" s="106"/>
      <c r="AL579" s="56"/>
      <c r="AM579" s="56"/>
      <c r="AN579" s="56"/>
      <c r="AO579" s="56"/>
      <c r="AP579" s="56"/>
      <c r="AQ579" s="56"/>
      <c r="AR579" s="56"/>
      <c r="AS579" s="106"/>
      <c r="AT579" s="56"/>
      <c r="AU579" s="56"/>
      <c r="AV579" s="106"/>
      <c r="AW579" s="56"/>
      <c r="AX579" s="10"/>
      <c r="AY579" s="56"/>
      <c r="AZ579" s="56"/>
      <c r="BA579" s="56"/>
      <c r="BB579" s="56"/>
      <c r="BJ579" s="145"/>
      <c r="CD579" s="145"/>
      <c r="CT579" s="145"/>
    </row>
    <row r="580" spans="1:98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68"/>
      <c r="R580" s="56"/>
      <c r="S580" s="162"/>
      <c r="T580" s="106"/>
      <c r="U580" s="10"/>
      <c r="V580" s="56"/>
      <c r="W580" s="56"/>
      <c r="X580" s="56"/>
      <c r="Y580" s="56"/>
      <c r="Z580" s="56"/>
      <c r="AA580" s="172"/>
      <c r="AB580" s="56"/>
      <c r="AC580" s="56"/>
      <c r="AD580" s="106"/>
      <c r="AE580" s="56"/>
      <c r="AF580" s="56"/>
      <c r="AG580" s="56"/>
      <c r="AH580" s="56"/>
      <c r="AI580" s="56"/>
      <c r="AJ580" s="56"/>
      <c r="AK580" s="106"/>
      <c r="AL580" s="56"/>
      <c r="AM580" s="56"/>
      <c r="AN580" s="56"/>
      <c r="AO580" s="56"/>
      <c r="AP580" s="56"/>
      <c r="AQ580" s="56"/>
      <c r="AR580" s="56"/>
      <c r="AS580" s="106"/>
      <c r="AT580" s="56"/>
      <c r="AU580" s="56"/>
      <c r="AV580" s="106"/>
      <c r="AW580" s="56"/>
      <c r="AX580" s="10"/>
      <c r="AY580" s="56"/>
      <c r="AZ580" s="56"/>
      <c r="BA580" s="56"/>
      <c r="BB580" s="56"/>
      <c r="BJ580" s="145"/>
      <c r="CD580" s="145"/>
      <c r="CT580" s="145"/>
    </row>
    <row r="581" spans="1:98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68"/>
      <c r="R581" s="56"/>
      <c r="S581" s="162"/>
      <c r="T581" s="106"/>
      <c r="U581" s="10"/>
      <c r="V581" s="56"/>
      <c r="W581" s="56"/>
      <c r="X581" s="56"/>
      <c r="Y581" s="56"/>
      <c r="Z581" s="56"/>
      <c r="AA581" s="172"/>
      <c r="AB581" s="56"/>
      <c r="AC581" s="56"/>
      <c r="AD581" s="106"/>
      <c r="AE581" s="56"/>
      <c r="AF581" s="56"/>
      <c r="AG581" s="56"/>
      <c r="AH581" s="56"/>
      <c r="AI581" s="56"/>
      <c r="AJ581" s="56"/>
      <c r="AK581" s="106"/>
      <c r="AL581" s="56"/>
      <c r="AM581" s="56"/>
      <c r="AN581" s="56"/>
      <c r="AO581" s="56"/>
      <c r="AP581" s="56"/>
      <c r="AQ581" s="56"/>
      <c r="AR581" s="56"/>
      <c r="AS581" s="106"/>
      <c r="AT581" s="56"/>
      <c r="AU581" s="56"/>
      <c r="AV581" s="106"/>
      <c r="AW581" s="56"/>
      <c r="AX581" s="10"/>
      <c r="AY581" s="56"/>
      <c r="AZ581" s="56"/>
      <c r="BA581" s="56"/>
      <c r="BB581" s="56"/>
      <c r="BJ581" s="145"/>
      <c r="CD581" s="145"/>
      <c r="CT581" s="145"/>
    </row>
    <row r="582" spans="1:98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68"/>
      <c r="R582" s="56"/>
      <c r="S582" s="162"/>
      <c r="T582" s="106"/>
      <c r="U582" s="10"/>
      <c r="V582" s="56"/>
      <c r="W582" s="56"/>
      <c r="X582" s="56"/>
      <c r="Y582" s="56"/>
      <c r="Z582" s="56"/>
      <c r="AA582" s="172"/>
      <c r="AB582" s="56"/>
      <c r="AC582" s="56"/>
      <c r="AD582" s="106"/>
      <c r="AE582" s="56"/>
      <c r="AF582" s="56"/>
      <c r="AG582" s="56"/>
      <c r="AH582" s="56"/>
      <c r="AI582" s="56"/>
      <c r="AJ582" s="56"/>
      <c r="AK582" s="106"/>
      <c r="AL582" s="56"/>
      <c r="AM582" s="56"/>
      <c r="AN582" s="56"/>
      <c r="AO582" s="56"/>
      <c r="AP582" s="56"/>
      <c r="AQ582" s="56"/>
      <c r="AR582" s="56"/>
      <c r="AS582" s="106"/>
      <c r="AT582" s="56"/>
      <c r="AU582" s="56"/>
      <c r="AV582" s="106"/>
      <c r="AW582" s="56"/>
      <c r="AX582" s="10"/>
      <c r="AY582" s="56"/>
      <c r="AZ582" s="56"/>
      <c r="BA582" s="56"/>
      <c r="BB582" s="56"/>
      <c r="BJ582" s="145"/>
      <c r="CD582" s="145"/>
      <c r="CT582" s="145"/>
    </row>
    <row r="583" spans="1:98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68"/>
      <c r="R583" s="56"/>
      <c r="S583" s="162"/>
      <c r="T583" s="106"/>
      <c r="U583" s="10"/>
      <c r="V583" s="56"/>
      <c r="W583" s="56"/>
      <c r="X583" s="56"/>
      <c r="Y583" s="56"/>
      <c r="Z583" s="56"/>
      <c r="AA583" s="172"/>
      <c r="AB583" s="56"/>
      <c r="AC583" s="56"/>
      <c r="AD583" s="106"/>
      <c r="AE583" s="56"/>
      <c r="AF583" s="56"/>
      <c r="AG583" s="56"/>
      <c r="AH583" s="56"/>
      <c r="AI583" s="56"/>
      <c r="AJ583" s="56"/>
      <c r="AK583" s="106"/>
      <c r="AL583" s="56"/>
      <c r="AM583" s="56"/>
      <c r="AN583" s="56"/>
      <c r="AO583" s="56"/>
      <c r="AP583" s="56"/>
      <c r="AQ583" s="56"/>
      <c r="AR583" s="56"/>
      <c r="AS583" s="106"/>
      <c r="AT583" s="56"/>
      <c r="AU583" s="56"/>
      <c r="AV583" s="106"/>
      <c r="AW583" s="56"/>
      <c r="AX583" s="10"/>
      <c r="AY583" s="56"/>
      <c r="AZ583" s="56"/>
      <c r="BA583" s="56"/>
      <c r="BB583" s="56"/>
      <c r="BJ583" s="145"/>
      <c r="CD583" s="145"/>
      <c r="CT583" s="145"/>
    </row>
    <row r="584" spans="1:98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68"/>
      <c r="R584" s="56"/>
      <c r="S584" s="162"/>
      <c r="T584" s="106"/>
      <c r="U584" s="10"/>
      <c r="V584" s="56"/>
      <c r="W584" s="56"/>
      <c r="X584" s="56"/>
      <c r="Y584" s="56"/>
      <c r="Z584" s="56"/>
      <c r="AA584" s="172"/>
      <c r="AB584" s="56"/>
      <c r="AC584" s="56"/>
      <c r="AD584" s="106"/>
      <c r="AE584" s="56"/>
      <c r="AF584" s="56"/>
      <c r="AG584" s="56"/>
      <c r="AH584" s="56"/>
      <c r="AI584" s="56"/>
      <c r="AJ584" s="56"/>
      <c r="AK584" s="106"/>
      <c r="AL584" s="56"/>
      <c r="AM584" s="56"/>
      <c r="AN584" s="56"/>
      <c r="AO584" s="56"/>
      <c r="AP584" s="56"/>
      <c r="AQ584" s="56"/>
      <c r="AR584" s="56"/>
      <c r="AS584" s="106"/>
      <c r="AT584" s="56"/>
      <c r="AU584" s="56"/>
      <c r="AV584" s="106"/>
      <c r="AW584" s="56"/>
      <c r="AX584" s="10"/>
      <c r="AY584" s="56"/>
      <c r="AZ584" s="56"/>
      <c r="BA584" s="56"/>
      <c r="BB584" s="56"/>
      <c r="BJ584" s="145"/>
      <c r="CD584" s="145"/>
      <c r="CT584" s="145"/>
    </row>
    <row r="585" spans="1:98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68"/>
      <c r="R585" s="56"/>
      <c r="S585" s="162"/>
      <c r="T585" s="106"/>
      <c r="U585" s="10"/>
      <c r="V585" s="56"/>
      <c r="W585" s="56"/>
      <c r="X585" s="56"/>
      <c r="Y585" s="56"/>
      <c r="Z585" s="56"/>
      <c r="AA585" s="172"/>
      <c r="AB585" s="56"/>
      <c r="AC585" s="56"/>
      <c r="AD585" s="106"/>
      <c r="AE585" s="56"/>
      <c r="AF585" s="56"/>
      <c r="AG585" s="56"/>
      <c r="AH585" s="56"/>
      <c r="AI585" s="56"/>
      <c r="AJ585" s="56"/>
      <c r="AK585" s="106"/>
      <c r="AL585" s="56"/>
      <c r="AM585" s="56"/>
      <c r="AN585" s="56"/>
      <c r="AO585" s="56"/>
      <c r="AP585" s="56"/>
      <c r="AQ585" s="56"/>
      <c r="AR585" s="56"/>
      <c r="AS585" s="106"/>
      <c r="AT585" s="56"/>
      <c r="AU585" s="56"/>
      <c r="AV585" s="106"/>
      <c r="AW585" s="56"/>
      <c r="AX585" s="10"/>
      <c r="AY585" s="56"/>
      <c r="AZ585" s="56"/>
      <c r="BA585" s="56"/>
      <c r="BB585" s="56"/>
      <c r="BJ585" s="145"/>
      <c r="CD585" s="145"/>
      <c r="CT585" s="145"/>
    </row>
    <row r="586" spans="1:98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68"/>
      <c r="R586" s="56"/>
      <c r="S586" s="162"/>
      <c r="T586" s="106"/>
      <c r="U586" s="10"/>
      <c r="V586" s="56"/>
      <c r="W586" s="56"/>
      <c r="X586" s="56"/>
      <c r="Y586" s="56"/>
      <c r="Z586" s="56"/>
      <c r="AA586" s="172"/>
      <c r="AB586" s="56"/>
      <c r="AC586" s="56"/>
      <c r="AD586" s="106"/>
      <c r="AE586" s="56"/>
      <c r="AF586" s="56"/>
      <c r="AG586" s="56"/>
      <c r="AH586" s="56"/>
      <c r="AI586" s="56"/>
      <c r="AJ586" s="56"/>
      <c r="AK586" s="106"/>
      <c r="AL586" s="56"/>
      <c r="AM586" s="56"/>
      <c r="AN586" s="56"/>
      <c r="AO586" s="56"/>
      <c r="AP586" s="56"/>
      <c r="AQ586" s="56"/>
      <c r="AR586" s="56"/>
      <c r="AS586" s="106"/>
      <c r="AT586" s="56"/>
      <c r="AU586" s="56"/>
      <c r="AV586" s="106"/>
      <c r="AW586" s="56"/>
      <c r="AX586" s="10"/>
      <c r="AY586" s="56"/>
      <c r="AZ586" s="56"/>
      <c r="BA586" s="56"/>
      <c r="BB586" s="56"/>
      <c r="BJ586" s="145"/>
      <c r="CD586" s="145"/>
      <c r="CT586" s="145"/>
    </row>
    <row r="587" spans="1:98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68"/>
      <c r="R587" s="56"/>
      <c r="S587" s="162"/>
      <c r="T587" s="106"/>
      <c r="U587" s="10"/>
      <c r="V587" s="56"/>
      <c r="W587" s="56"/>
      <c r="X587" s="56"/>
      <c r="Y587" s="56"/>
      <c r="Z587" s="56"/>
      <c r="AA587" s="172"/>
      <c r="AB587" s="56"/>
      <c r="AC587" s="56"/>
      <c r="AD587" s="106"/>
      <c r="AE587" s="56"/>
      <c r="AF587" s="56"/>
      <c r="AG587" s="56"/>
      <c r="AH587" s="56"/>
      <c r="AI587" s="56"/>
      <c r="AJ587" s="56"/>
      <c r="AK587" s="106"/>
      <c r="AL587" s="56"/>
      <c r="AM587" s="56"/>
      <c r="AN587" s="56"/>
      <c r="AO587" s="56"/>
      <c r="AP587" s="56"/>
      <c r="AQ587" s="56"/>
      <c r="AR587" s="56"/>
      <c r="AS587" s="106"/>
      <c r="AT587" s="56"/>
      <c r="AU587" s="56"/>
      <c r="AV587" s="106"/>
      <c r="AW587" s="56"/>
      <c r="AX587" s="10"/>
      <c r="AY587" s="56"/>
      <c r="AZ587" s="56"/>
      <c r="BA587" s="56"/>
      <c r="BB587" s="56"/>
      <c r="BJ587" s="145"/>
      <c r="CD587" s="145"/>
      <c r="CT587" s="145"/>
    </row>
    <row r="588" spans="1:98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68"/>
      <c r="R588" s="56"/>
      <c r="S588" s="162"/>
      <c r="T588" s="106"/>
      <c r="U588" s="10"/>
      <c r="V588" s="56"/>
      <c r="W588" s="56"/>
      <c r="X588" s="56"/>
      <c r="Y588" s="56"/>
      <c r="Z588" s="56"/>
      <c r="AA588" s="172"/>
      <c r="AB588" s="56"/>
      <c r="AC588" s="56"/>
      <c r="AD588" s="106"/>
      <c r="AE588" s="56"/>
      <c r="AF588" s="56"/>
      <c r="AG588" s="56"/>
      <c r="AH588" s="56"/>
      <c r="AI588" s="56"/>
      <c r="AJ588" s="56"/>
      <c r="AK588" s="106"/>
      <c r="AL588" s="56"/>
      <c r="AM588" s="56"/>
      <c r="AN588" s="56"/>
      <c r="AO588" s="56"/>
      <c r="AP588" s="56"/>
      <c r="AQ588" s="56"/>
      <c r="AR588" s="56"/>
      <c r="AS588" s="106"/>
      <c r="AT588" s="56"/>
      <c r="AU588" s="56"/>
      <c r="AV588" s="106"/>
      <c r="AW588" s="56"/>
      <c r="AX588" s="10"/>
      <c r="AY588" s="56"/>
      <c r="AZ588" s="56"/>
      <c r="BA588" s="56"/>
      <c r="BB588" s="56"/>
      <c r="BJ588" s="145"/>
      <c r="CD588" s="145"/>
      <c r="CT588" s="145"/>
    </row>
    <row r="589" spans="1:98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68"/>
      <c r="R589" s="56"/>
      <c r="S589" s="162"/>
      <c r="T589" s="106"/>
      <c r="U589" s="10"/>
      <c r="V589" s="56"/>
      <c r="W589" s="56"/>
      <c r="X589" s="56"/>
      <c r="Y589" s="56"/>
      <c r="Z589" s="56"/>
      <c r="AA589" s="172"/>
      <c r="AB589" s="56"/>
      <c r="AC589" s="56"/>
      <c r="AD589" s="106"/>
      <c r="AE589" s="56"/>
      <c r="AF589" s="56"/>
      <c r="AG589" s="56"/>
      <c r="AH589" s="56"/>
      <c r="AI589" s="56"/>
      <c r="AJ589" s="56"/>
      <c r="AK589" s="106"/>
      <c r="AL589" s="56"/>
      <c r="AM589" s="56"/>
      <c r="AN589" s="56"/>
      <c r="AO589" s="56"/>
      <c r="AP589" s="56"/>
      <c r="AQ589" s="56"/>
      <c r="AR589" s="56"/>
      <c r="AS589" s="106"/>
      <c r="AT589" s="56"/>
      <c r="AU589" s="56"/>
      <c r="AV589" s="106"/>
      <c r="AW589" s="56"/>
      <c r="AX589" s="10"/>
      <c r="AY589" s="56"/>
      <c r="AZ589" s="56"/>
      <c r="BA589" s="56"/>
      <c r="BB589" s="56"/>
      <c r="BJ589" s="145"/>
      <c r="CD589" s="145"/>
      <c r="CT589" s="145"/>
    </row>
    <row r="590" spans="1:98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68"/>
      <c r="R590" s="56"/>
      <c r="S590" s="162"/>
      <c r="T590" s="106"/>
      <c r="U590" s="10"/>
      <c r="V590" s="56"/>
      <c r="W590" s="56"/>
      <c r="X590" s="56"/>
      <c r="Y590" s="56"/>
      <c r="Z590" s="56"/>
      <c r="AA590" s="172"/>
      <c r="AB590" s="56"/>
      <c r="AC590" s="56"/>
      <c r="AD590" s="106"/>
      <c r="AE590" s="56"/>
      <c r="AF590" s="56"/>
      <c r="AG590" s="56"/>
      <c r="AH590" s="56"/>
      <c r="AI590" s="56"/>
      <c r="AJ590" s="56"/>
      <c r="AK590" s="106"/>
      <c r="AL590" s="56"/>
      <c r="AM590" s="56"/>
      <c r="AN590" s="56"/>
      <c r="AO590" s="56"/>
      <c r="AP590" s="56"/>
      <c r="AQ590" s="56"/>
      <c r="AR590" s="56"/>
      <c r="AS590" s="106"/>
      <c r="AT590" s="56"/>
      <c r="AU590" s="56"/>
      <c r="AV590" s="106"/>
      <c r="AW590" s="56"/>
      <c r="AX590" s="10"/>
      <c r="AY590" s="56"/>
      <c r="AZ590" s="56"/>
      <c r="BA590" s="56"/>
      <c r="BB590" s="56"/>
      <c r="BJ590" s="145"/>
      <c r="CD590" s="145"/>
      <c r="CT590" s="145"/>
    </row>
    <row r="591" spans="1:98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68"/>
      <c r="R591" s="56"/>
      <c r="S591" s="162"/>
      <c r="T591" s="106"/>
      <c r="U591" s="10"/>
      <c r="V591" s="56"/>
      <c r="W591" s="56"/>
      <c r="X591" s="56"/>
      <c r="Y591" s="56"/>
      <c r="Z591" s="56"/>
      <c r="AA591" s="172"/>
      <c r="AB591" s="56"/>
      <c r="AC591" s="56"/>
      <c r="AD591" s="106"/>
      <c r="AE591" s="56"/>
      <c r="AF591" s="56"/>
      <c r="AG591" s="56"/>
      <c r="AH591" s="56"/>
      <c r="AI591" s="56"/>
      <c r="AJ591" s="56"/>
      <c r="AK591" s="106"/>
      <c r="AL591" s="56"/>
      <c r="AM591" s="56"/>
      <c r="AN591" s="56"/>
      <c r="AO591" s="56"/>
      <c r="AP591" s="56"/>
      <c r="AQ591" s="56"/>
      <c r="AR591" s="56"/>
      <c r="AS591" s="106"/>
      <c r="AT591" s="56"/>
      <c r="AU591" s="56"/>
      <c r="AV591" s="106"/>
      <c r="AW591" s="56"/>
      <c r="AX591" s="10"/>
      <c r="AY591" s="56"/>
      <c r="AZ591" s="56"/>
      <c r="BA591" s="56"/>
      <c r="BB591" s="56"/>
      <c r="BJ591" s="145"/>
      <c r="CD591" s="145"/>
      <c r="CT591" s="145"/>
    </row>
    <row r="592" spans="1:98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68"/>
      <c r="R592" s="56"/>
      <c r="S592" s="162"/>
      <c r="T592" s="106"/>
      <c r="U592" s="10"/>
      <c r="V592" s="56"/>
      <c r="W592" s="56"/>
      <c r="X592" s="56"/>
      <c r="Y592" s="56"/>
      <c r="Z592" s="56"/>
      <c r="AA592" s="172"/>
      <c r="AB592" s="56"/>
      <c r="AC592" s="56"/>
      <c r="AD592" s="106"/>
      <c r="AE592" s="56"/>
      <c r="AF592" s="56"/>
      <c r="AG592" s="56"/>
      <c r="AH592" s="56"/>
      <c r="AI592" s="56"/>
      <c r="AJ592" s="56"/>
      <c r="AK592" s="106"/>
      <c r="AL592" s="56"/>
      <c r="AM592" s="56"/>
      <c r="AN592" s="56"/>
      <c r="AO592" s="56"/>
      <c r="AP592" s="56"/>
      <c r="AQ592" s="56"/>
      <c r="AR592" s="56"/>
      <c r="AS592" s="106"/>
      <c r="AT592" s="56"/>
      <c r="AU592" s="56"/>
      <c r="AV592" s="106"/>
      <c r="AW592" s="56"/>
      <c r="AX592" s="10"/>
      <c r="AY592" s="56"/>
      <c r="AZ592" s="56"/>
      <c r="BA592" s="56"/>
      <c r="BB592" s="56"/>
      <c r="BJ592" s="145"/>
      <c r="CD592" s="145"/>
      <c r="CT592" s="145"/>
    </row>
    <row r="593" spans="1:98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68"/>
      <c r="R593" s="56"/>
      <c r="S593" s="162"/>
      <c r="T593" s="106"/>
      <c r="U593" s="10"/>
      <c r="V593" s="56"/>
      <c r="W593" s="56"/>
      <c r="X593" s="56"/>
      <c r="Y593" s="56"/>
      <c r="Z593" s="56"/>
      <c r="AA593" s="172"/>
      <c r="AB593" s="56"/>
      <c r="AC593" s="56"/>
      <c r="AD593" s="106"/>
      <c r="AE593" s="56"/>
      <c r="AF593" s="56"/>
      <c r="AG593" s="56"/>
      <c r="AH593" s="56"/>
      <c r="AI593" s="56"/>
      <c r="AJ593" s="56"/>
      <c r="AK593" s="106"/>
      <c r="AL593" s="56"/>
      <c r="AM593" s="56"/>
      <c r="AN593" s="56"/>
      <c r="AO593" s="56"/>
      <c r="AP593" s="56"/>
      <c r="AQ593" s="56"/>
      <c r="AR593" s="56"/>
      <c r="AS593" s="106"/>
      <c r="AT593" s="56"/>
      <c r="AU593" s="56"/>
      <c r="AV593" s="106"/>
      <c r="AW593" s="56"/>
      <c r="AX593" s="10"/>
      <c r="AY593" s="56"/>
      <c r="AZ593" s="56"/>
      <c r="BA593" s="56"/>
      <c r="BB593" s="56"/>
      <c r="BJ593" s="145"/>
      <c r="CD593" s="145"/>
      <c r="CT593" s="145"/>
    </row>
    <row r="594" spans="1:98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68"/>
      <c r="R594" s="56"/>
      <c r="S594" s="162"/>
      <c r="T594" s="106"/>
      <c r="U594" s="10"/>
      <c r="V594" s="56"/>
      <c r="W594" s="56"/>
      <c r="X594" s="56"/>
      <c r="Y594" s="56"/>
      <c r="Z594" s="56"/>
      <c r="AA594" s="172"/>
      <c r="AB594" s="56"/>
      <c r="AC594" s="56"/>
      <c r="AD594" s="106"/>
      <c r="AE594" s="56"/>
      <c r="AF594" s="56"/>
      <c r="AG594" s="56"/>
      <c r="AH594" s="56"/>
      <c r="AI594" s="56"/>
      <c r="AJ594" s="56"/>
      <c r="AK594" s="106"/>
      <c r="AL594" s="56"/>
      <c r="AM594" s="56"/>
      <c r="AN594" s="56"/>
      <c r="AO594" s="56"/>
      <c r="AP594" s="56"/>
      <c r="AQ594" s="56"/>
      <c r="AR594" s="56"/>
      <c r="AS594" s="106"/>
      <c r="AT594" s="56"/>
      <c r="AU594" s="56"/>
      <c r="AV594" s="106"/>
      <c r="AW594" s="56"/>
      <c r="AX594" s="10"/>
      <c r="AY594" s="56"/>
      <c r="AZ594" s="56"/>
      <c r="BA594" s="56"/>
      <c r="BB594" s="56"/>
      <c r="BJ594" s="145"/>
      <c r="CD594" s="145"/>
      <c r="CT594" s="145"/>
    </row>
    <row r="595" spans="1:98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68"/>
      <c r="R595" s="56"/>
      <c r="S595" s="162"/>
      <c r="T595" s="106"/>
      <c r="U595" s="10"/>
      <c r="V595" s="56"/>
      <c r="W595" s="56"/>
      <c r="X595" s="56"/>
      <c r="Y595" s="56"/>
      <c r="Z595" s="56"/>
      <c r="AA595" s="172"/>
      <c r="AB595" s="56"/>
      <c r="AC595" s="56"/>
      <c r="AD595" s="106"/>
      <c r="AE595" s="56"/>
      <c r="AF595" s="56"/>
      <c r="AG595" s="56"/>
      <c r="AH595" s="56"/>
      <c r="AI595" s="56"/>
      <c r="AJ595" s="56"/>
      <c r="AK595" s="106"/>
      <c r="AL595" s="56"/>
      <c r="AM595" s="56"/>
      <c r="AN595" s="56"/>
      <c r="AO595" s="56"/>
      <c r="AP595" s="56"/>
      <c r="AQ595" s="56"/>
      <c r="AR595" s="56"/>
      <c r="AS595" s="106"/>
      <c r="AT595" s="56"/>
      <c r="AU595" s="56"/>
      <c r="AV595" s="106"/>
      <c r="AW595" s="56"/>
      <c r="AX595" s="10"/>
      <c r="AY595" s="56"/>
      <c r="AZ595" s="56"/>
      <c r="BA595" s="56"/>
      <c r="BB595" s="56"/>
      <c r="BJ595" s="145"/>
      <c r="CD595" s="145"/>
      <c r="CT595" s="145"/>
    </row>
    <row r="596" spans="1:98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68"/>
      <c r="R596" s="56"/>
      <c r="S596" s="162"/>
      <c r="T596" s="106"/>
      <c r="U596" s="10"/>
      <c r="V596" s="56"/>
      <c r="W596" s="56"/>
      <c r="X596" s="56"/>
      <c r="Y596" s="56"/>
      <c r="Z596" s="56"/>
      <c r="AA596" s="172"/>
      <c r="AB596" s="56"/>
      <c r="AC596" s="56"/>
      <c r="AD596" s="106"/>
      <c r="AE596" s="56"/>
      <c r="AF596" s="56"/>
      <c r="AG596" s="56"/>
      <c r="AH596" s="56"/>
      <c r="AI596" s="56"/>
      <c r="AJ596" s="56"/>
      <c r="AK596" s="106"/>
      <c r="AL596" s="56"/>
      <c r="AM596" s="56"/>
      <c r="AN596" s="56"/>
      <c r="AO596" s="56"/>
      <c r="AP596" s="56"/>
      <c r="AQ596" s="56"/>
      <c r="AR596" s="56"/>
      <c r="AS596" s="106"/>
      <c r="AT596" s="56"/>
      <c r="AU596" s="56"/>
      <c r="AV596" s="106"/>
      <c r="AW596" s="56"/>
      <c r="AX596" s="10"/>
      <c r="AY596" s="56"/>
      <c r="AZ596" s="56"/>
      <c r="BA596" s="56"/>
      <c r="BB596" s="56"/>
      <c r="BJ596" s="145"/>
      <c r="CD596" s="145"/>
      <c r="CT596" s="145"/>
    </row>
    <row r="597" spans="1:98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68"/>
      <c r="R597" s="56"/>
      <c r="S597" s="162"/>
      <c r="T597" s="106"/>
      <c r="U597" s="10"/>
      <c r="V597" s="56"/>
      <c r="W597" s="56"/>
      <c r="X597" s="56"/>
      <c r="Y597" s="56"/>
      <c r="Z597" s="56"/>
      <c r="AA597" s="172"/>
      <c r="AB597" s="56"/>
      <c r="AC597" s="56"/>
      <c r="AD597" s="106"/>
      <c r="AE597" s="56"/>
      <c r="AF597" s="56"/>
      <c r="AG597" s="56"/>
      <c r="AH597" s="56"/>
      <c r="AI597" s="56"/>
      <c r="AJ597" s="56"/>
      <c r="AK597" s="106"/>
      <c r="AL597" s="56"/>
      <c r="AM597" s="56"/>
      <c r="AN597" s="56"/>
      <c r="AO597" s="56"/>
      <c r="AP597" s="56"/>
      <c r="AQ597" s="56"/>
      <c r="AR597" s="56"/>
      <c r="AS597" s="106"/>
      <c r="AT597" s="56"/>
      <c r="AU597" s="56"/>
      <c r="AV597" s="106"/>
      <c r="AW597" s="56"/>
      <c r="AX597" s="10"/>
      <c r="AY597" s="56"/>
      <c r="AZ597" s="56"/>
      <c r="BA597" s="56"/>
      <c r="BB597" s="56"/>
      <c r="BJ597" s="145"/>
      <c r="CD597" s="145"/>
      <c r="CT597" s="145"/>
    </row>
    <row r="598" spans="1:98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68"/>
      <c r="R598" s="56"/>
      <c r="S598" s="162"/>
      <c r="T598" s="106"/>
      <c r="U598" s="10"/>
      <c r="V598" s="56"/>
      <c r="W598" s="56"/>
      <c r="X598" s="56"/>
      <c r="Y598" s="56"/>
      <c r="Z598" s="56"/>
      <c r="AA598" s="172"/>
      <c r="AB598" s="56"/>
      <c r="AC598" s="56"/>
      <c r="AD598" s="106"/>
      <c r="AE598" s="56"/>
      <c r="AF598" s="56"/>
      <c r="AG598" s="56"/>
      <c r="AH598" s="56"/>
      <c r="AI598" s="56"/>
      <c r="AJ598" s="56"/>
      <c r="AK598" s="106"/>
      <c r="AL598" s="56"/>
      <c r="AM598" s="56"/>
      <c r="AN598" s="56"/>
      <c r="AO598" s="56"/>
      <c r="AP598" s="56"/>
      <c r="AQ598" s="56"/>
      <c r="AR598" s="56"/>
      <c r="AS598" s="106"/>
      <c r="AT598" s="56"/>
      <c r="AU598" s="56"/>
      <c r="AV598" s="106"/>
      <c r="AW598" s="56"/>
      <c r="AX598" s="10"/>
      <c r="AY598" s="56"/>
      <c r="AZ598" s="56"/>
      <c r="BA598" s="56"/>
      <c r="BB598" s="56"/>
      <c r="BJ598" s="145"/>
      <c r="CD598" s="145"/>
      <c r="CT598" s="145"/>
    </row>
    <row r="599" spans="1:98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68"/>
      <c r="R599" s="56"/>
      <c r="S599" s="162"/>
      <c r="T599" s="106"/>
      <c r="U599" s="10"/>
      <c r="V599" s="56"/>
      <c r="W599" s="56"/>
      <c r="X599" s="56"/>
      <c r="Y599" s="56"/>
      <c r="Z599" s="56"/>
      <c r="AA599" s="172"/>
      <c r="AB599" s="56"/>
      <c r="AC599" s="56"/>
      <c r="AD599" s="106"/>
      <c r="AE599" s="56"/>
      <c r="AF599" s="56"/>
      <c r="AG599" s="56"/>
      <c r="AH599" s="56"/>
      <c r="AI599" s="56"/>
      <c r="AJ599" s="56"/>
      <c r="AK599" s="106"/>
      <c r="AL599" s="56"/>
      <c r="AM599" s="56"/>
      <c r="AN599" s="56"/>
      <c r="AO599" s="56"/>
      <c r="AP599" s="56"/>
      <c r="AQ599" s="56"/>
      <c r="AR599" s="56"/>
      <c r="AS599" s="106"/>
      <c r="AT599" s="56"/>
      <c r="AU599" s="56"/>
      <c r="AV599" s="106"/>
      <c r="AW599" s="56"/>
      <c r="AX599" s="10"/>
      <c r="AY599" s="56"/>
      <c r="AZ599" s="56"/>
      <c r="BA599" s="56"/>
      <c r="BB599" s="56"/>
      <c r="BJ599" s="145"/>
      <c r="CD599" s="145"/>
      <c r="CT599" s="145"/>
    </row>
    <row r="600" spans="1:98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68"/>
      <c r="R600" s="56"/>
      <c r="S600" s="162"/>
      <c r="T600" s="106"/>
      <c r="U600" s="10"/>
      <c r="V600" s="56"/>
      <c r="W600" s="56"/>
      <c r="X600" s="56"/>
      <c r="Y600" s="56"/>
      <c r="Z600" s="56"/>
      <c r="AA600" s="172"/>
      <c r="AB600" s="56"/>
      <c r="AC600" s="56"/>
      <c r="AD600" s="106"/>
      <c r="AE600" s="56"/>
      <c r="AF600" s="56"/>
      <c r="AG600" s="56"/>
      <c r="AH600" s="56"/>
      <c r="AI600" s="56"/>
      <c r="AJ600" s="56"/>
      <c r="AK600" s="106"/>
      <c r="AL600" s="56"/>
      <c r="AM600" s="56"/>
      <c r="AN600" s="56"/>
      <c r="AO600" s="56"/>
      <c r="AP600" s="56"/>
      <c r="AQ600" s="56"/>
      <c r="AR600" s="56"/>
      <c r="AS600" s="106"/>
      <c r="AT600" s="56"/>
      <c r="AU600" s="56"/>
      <c r="AV600" s="106"/>
      <c r="AW600" s="56"/>
      <c r="AX600" s="10"/>
      <c r="AY600" s="56"/>
      <c r="AZ600" s="56"/>
      <c r="BA600" s="56"/>
      <c r="BB600" s="56"/>
      <c r="BJ600" s="145"/>
      <c r="CD600" s="145"/>
      <c r="CT600" s="145"/>
    </row>
    <row r="601" spans="1:98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68"/>
      <c r="R601" s="56"/>
      <c r="S601" s="162"/>
      <c r="T601" s="106"/>
      <c r="U601" s="10"/>
      <c r="V601" s="56"/>
      <c r="W601" s="56"/>
      <c r="X601" s="56"/>
      <c r="Y601" s="56"/>
      <c r="Z601" s="56"/>
      <c r="AA601" s="172"/>
      <c r="AB601" s="56"/>
      <c r="AC601" s="56"/>
      <c r="AD601" s="106"/>
      <c r="AE601" s="56"/>
      <c r="AF601" s="56"/>
      <c r="AG601" s="56"/>
      <c r="AH601" s="56"/>
      <c r="AI601" s="56"/>
      <c r="AJ601" s="56"/>
      <c r="AK601" s="106"/>
      <c r="AL601" s="56"/>
      <c r="AM601" s="56"/>
      <c r="AN601" s="56"/>
      <c r="AO601" s="56"/>
      <c r="AP601" s="56"/>
      <c r="AQ601" s="56"/>
      <c r="AR601" s="56"/>
      <c r="AS601" s="106"/>
      <c r="AT601" s="56"/>
      <c r="AU601" s="56"/>
      <c r="AV601" s="106"/>
      <c r="AW601" s="56"/>
      <c r="AX601" s="10"/>
      <c r="AY601" s="56"/>
      <c r="AZ601" s="56"/>
      <c r="BA601" s="56"/>
      <c r="BB601" s="56"/>
      <c r="BJ601" s="145"/>
      <c r="CD601" s="145"/>
      <c r="CT601" s="145"/>
    </row>
    <row r="602" spans="1:98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68"/>
      <c r="R602" s="56"/>
      <c r="S602" s="162"/>
      <c r="T602" s="106"/>
      <c r="U602" s="10"/>
      <c r="V602" s="56"/>
      <c r="W602" s="56"/>
      <c r="X602" s="56"/>
      <c r="Y602" s="56"/>
      <c r="Z602" s="56"/>
      <c r="AA602" s="172"/>
      <c r="AB602" s="56"/>
      <c r="AC602" s="56"/>
      <c r="AD602" s="106"/>
      <c r="AE602" s="56"/>
      <c r="AF602" s="56"/>
      <c r="AG602" s="56"/>
      <c r="AH602" s="56"/>
      <c r="AI602" s="56"/>
      <c r="AJ602" s="56"/>
      <c r="AK602" s="106"/>
      <c r="AL602" s="56"/>
      <c r="AM602" s="56"/>
      <c r="AN602" s="56"/>
      <c r="AO602" s="56"/>
      <c r="AP602" s="56"/>
      <c r="AQ602" s="56"/>
      <c r="AR602" s="56"/>
      <c r="AS602" s="106"/>
      <c r="AT602" s="56"/>
      <c r="AU602" s="56"/>
      <c r="AV602" s="106"/>
      <c r="AW602" s="56"/>
      <c r="AX602" s="10"/>
      <c r="AY602" s="56"/>
      <c r="AZ602" s="56"/>
      <c r="BA602" s="56"/>
      <c r="BB602" s="56"/>
      <c r="BJ602" s="145"/>
      <c r="CD602" s="145"/>
      <c r="CT602" s="145"/>
    </row>
    <row r="603" spans="1:98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68"/>
      <c r="R603" s="56"/>
      <c r="S603" s="162"/>
      <c r="T603" s="106"/>
      <c r="U603" s="10"/>
      <c r="V603" s="56"/>
      <c r="W603" s="56"/>
      <c r="X603" s="56"/>
      <c r="Y603" s="56"/>
      <c r="Z603" s="56"/>
      <c r="AA603" s="172"/>
      <c r="AB603" s="56"/>
      <c r="AC603" s="56"/>
      <c r="AD603" s="106"/>
      <c r="AE603" s="56"/>
      <c r="AF603" s="56"/>
      <c r="AG603" s="56"/>
      <c r="AH603" s="56"/>
      <c r="AI603" s="56"/>
      <c r="AJ603" s="56"/>
      <c r="AK603" s="106"/>
      <c r="AL603" s="56"/>
      <c r="AM603" s="56"/>
      <c r="AN603" s="56"/>
      <c r="AO603" s="56"/>
      <c r="AP603" s="56"/>
      <c r="AQ603" s="56"/>
      <c r="AR603" s="56"/>
      <c r="AS603" s="106"/>
      <c r="AT603" s="56"/>
      <c r="AU603" s="56"/>
      <c r="AV603" s="106"/>
      <c r="AW603" s="56"/>
      <c r="AX603" s="10"/>
      <c r="AY603" s="56"/>
      <c r="AZ603" s="56"/>
      <c r="BA603" s="56"/>
      <c r="BB603" s="56"/>
      <c r="BJ603" s="145"/>
      <c r="CD603" s="145"/>
      <c r="CT603" s="145"/>
    </row>
    <row r="604" spans="1:98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68"/>
      <c r="R604" s="56"/>
      <c r="S604" s="162"/>
      <c r="T604" s="106"/>
      <c r="U604" s="10"/>
      <c r="V604" s="56"/>
      <c r="W604" s="56"/>
      <c r="X604" s="56"/>
      <c r="Y604" s="56"/>
      <c r="Z604" s="56"/>
      <c r="AA604" s="172"/>
      <c r="AB604" s="56"/>
      <c r="AC604" s="56"/>
      <c r="AD604" s="106"/>
      <c r="AE604" s="56"/>
      <c r="AF604" s="56"/>
      <c r="AG604" s="56"/>
      <c r="AH604" s="56"/>
      <c r="AI604" s="56"/>
      <c r="AJ604" s="56"/>
      <c r="AK604" s="106"/>
      <c r="AL604" s="56"/>
      <c r="AM604" s="56"/>
      <c r="AN604" s="56"/>
      <c r="AO604" s="56"/>
      <c r="AP604" s="56"/>
      <c r="AQ604" s="56"/>
      <c r="AR604" s="56"/>
      <c r="AS604" s="106"/>
      <c r="AT604" s="56"/>
      <c r="AU604" s="56"/>
      <c r="AV604" s="106"/>
      <c r="AW604" s="56"/>
      <c r="AX604" s="10"/>
      <c r="AY604" s="56"/>
      <c r="AZ604" s="56"/>
      <c r="BA604" s="56"/>
      <c r="BB604" s="56"/>
      <c r="BJ604" s="145"/>
      <c r="CD604" s="145"/>
      <c r="CT604" s="145"/>
    </row>
    <row r="605" spans="1:98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68"/>
      <c r="R605" s="56"/>
      <c r="S605" s="162"/>
      <c r="T605" s="106"/>
      <c r="U605" s="10"/>
      <c r="V605" s="56"/>
      <c r="W605" s="56"/>
      <c r="X605" s="56"/>
      <c r="Y605" s="56"/>
      <c r="Z605" s="56"/>
      <c r="AA605" s="172"/>
      <c r="AB605" s="56"/>
      <c r="AC605" s="56"/>
      <c r="AD605" s="106"/>
      <c r="AE605" s="56"/>
      <c r="AF605" s="56"/>
      <c r="AG605" s="56"/>
      <c r="AH605" s="56"/>
      <c r="AI605" s="56"/>
      <c r="AJ605" s="56"/>
      <c r="AK605" s="106"/>
      <c r="AL605" s="56"/>
      <c r="AM605" s="56"/>
      <c r="AN605" s="56"/>
      <c r="AO605" s="56"/>
      <c r="AP605" s="56"/>
      <c r="AQ605" s="56"/>
      <c r="AR605" s="56"/>
      <c r="AS605" s="106"/>
      <c r="AT605" s="56"/>
      <c r="AU605" s="56"/>
      <c r="AV605" s="106"/>
      <c r="AW605" s="56"/>
      <c r="AX605" s="10"/>
      <c r="AY605" s="56"/>
      <c r="AZ605" s="56"/>
      <c r="BA605" s="56"/>
      <c r="BB605" s="56"/>
      <c r="BJ605" s="145"/>
      <c r="CD605" s="145"/>
      <c r="CT605" s="145"/>
    </row>
    <row r="606" spans="1:98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68"/>
      <c r="R606" s="56"/>
      <c r="S606" s="162"/>
      <c r="T606" s="106"/>
      <c r="U606" s="10"/>
      <c r="V606" s="56"/>
      <c r="W606" s="56"/>
      <c r="X606" s="56"/>
      <c r="Y606" s="56"/>
      <c r="Z606" s="56"/>
      <c r="AA606" s="172"/>
      <c r="AB606" s="56"/>
      <c r="AC606" s="56"/>
      <c r="AD606" s="106"/>
      <c r="AE606" s="56"/>
      <c r="AF606" s="56"/>
      <c r="AG606" s="56"/>
      <c r="AH606" s="56"/>
      <c r="AI606" s="56"/>
      <c r="AJ606" s="56"/>
      <c r="AK606" s="106"/>
      <c r="AL606" s="56"/>
      <c r="AM606" s="56"/>
      <c r="AN606" s="56"/>
      <c r="AO606" s="56"/>
      <c r="AP606" s="56"/>
      <c r="AQ606" s="56"/>
      <c r="AR606" s="56"/>
      <c r="AS606" s="106"/>
      <c r="AT606" s="56"/>
      <c r="AU606" s="56"/>
      <c r="AV606" s="106"/>
      <c r="AW606" s="56"/>
      <c r="AX606" s="10"/>
      <c r="AY606" s="56"/>
      <c r="AZ606" s="56"/>
      <c r="BA606" s="56"/>
      <c r="BB606" s="56"/>
      <c r="BJ606" s="145"/>
      <c r="CD606" s="145"/>
      <c r="CT606" s="145"/>
    </row>
    <row r="607" spans="1:98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68"/>
      <c r="R607" s="56"/>
      <c r="S607" s="162"/>
      <c r="T607" s="106"/>
      <c r="U607" s="10"/>
      <c r="V607" s="56"/>
      <c r="W607" s="56"/>
      <c r="X607" s="56"/>
      <c r="Y607" s="56"/>
      <c r="Z607" s="56"/>
      <c r="AA607" s="172"/>
      <c r="AB607" s="56"/>
      <c r="AC607" s="56"/>
      <c r="AD607" s="106"/>
      <c r="AE607" s="56"/>
      <c r="AF607" s="56"/>
      <c r="AG607" s="56"/>
      <c r="AH607" s="56"/>
      <c r="AI607" s="56"/>
      <c r="AJ607" s="56"/>
      <c r="AK607" s="106"/>
      <c r="AL607" s="56"/>
      <c r="AM607" s="56"/>
      <c r="AN607" s="56"/>
      <c r="AO607" s="56"/>
      <c r="AP607" s="56"/>
      <c r="AQ607" s="56"/>
      <c r="AR607" s="56"/>
      <c r="AS607" s="106"/>
      <c r="AT607" s="56"/>
      <c r="AU607" s="56"/>
      <c r="AV607" s="106"/>
      <c r="AW607" s="56"/>
      <c r="AX607" s="10"/>
      <c r="AY607" s="56"/>
      <c r="AZ607" s="56"/>
      <c r="BA607" s="56"/>
      <c r="BB607" s="56"/>
      <c r="BJ607" s="145"/>
      <c r="CD607" s="145"/>
      <c r="CT607" s="145"/>
    </row>
    <row r="608" spans="1:98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68"/>
      <c r="R608" s="56"/>
      <c r="S608" s="162"/>
      <c r="T608" s="106"/>
      <c r="U608" s="10"/>
      <c r="V608" s="56"/>
      <c r="W608" s="56"/>
      <c r="X608" s="56"/>
      <c r="Y608" s="56"/>
      <c r="Z608" s="56"/>
      <c r="AA608" s="172"/>
      <c r="AB608" s="56"/>
      <c r="AC608" s="56"/>
      <c r="AD608" s="106"/>
      <c r="AE608" s="56"/>
      <c r="AF608" s="56"/>
      <c r="AG608" s="56"/>
      <c r="AH608" s="56"/>
      <c r="AI608" s="56"/>
      <c r="AJ608" s="56"/>
      <c r="AK608" s="106"/>
      <c r="AL608" s="56"/>
      <c r="AM608" s="56"/>
      <c r="AN608" s="56"/>
      <c r="AO608" s="56"/>
      <c r="AP608" s="56"/>
      <c r="AQ608" s="56"/>
      <c r="AR608" s="56"/>
      <c r="AS608" s="106"/>
      <c r="AT608" s="56"/>
      <c r="AU608" s="56"/>
      <c r="AV608" s="106"/>
      <c r="AW608" s="56"/>
      <c r="AX608" s="10"/>
      <c r="AY608" s="56"/>
      <c r="AZ608" s="56"/>
      <c r="BA608" s="56"/>
      <c r="BB608" s="56"/>
      <c r="BJ608" s="145"/>
      <c r="CD608" s="145"/>
      <c r="CT608" s="145"/>
    </row>
    <row r="609" spans="1:98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68"/>
      <c r="R609" s="56"/>
      <c r="S609" s="162"/>
      <c r="T609" s="106"/>
      <c r="U609" s="10"/>
      <c r="V609" s="56"/>
      <c r="W609" s="56"/>
      <c r="X609" s="56"/>
      <c r="Y609" s="56"/>
      <c r="Z609" s="56"/>
      <c r="AA609" s="172"/>
      <c r="AB609" s="56"/>
      <c r="AC609" s="56"/>
      <c r="AD609" s="106"/>
      <c r="AE609" s="56"/>
      <c r="AF609" s="56"/>
      <c r="AG609" s="56"/>
      <c r="AH609" s="56"/>
      <c r="AI609" s="56"/>
      <c r="AJ609" s="56"/>
      <c r="AK609" s="106"/>
      <c r="AL609" s="56"/>
      <c r="AM609" s="56"/>
      <c r="AN609" s="56"/>
      <c r="AO609" s="56"/>
      <c r="AP609" s="56"/>
      <c r="AQ609" s="56"/>
      <c r="AR609" s="56"/>
      <c r="AS609" s="106"/>
      <c r="AT609" s="56"/>
      <c r="AU609" s="56"/>
      <c r="AV609" s="106"/>
      <c r="AW609" s="56"/>
      <c r="AX609" s="10"/>
      <c r="AY609" s="56"/>
      <c r="AZ609" s="56"/>
      <c r="BA609" s="56"/>
      <c r="BB609" s="56"/>
      <c r="BJ609" s="145"/>
      <c r="CD609" s="145"/>
      <c r="CT609" s="145"/>
    </row>
    <row r="610" spans="1:98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68"/>
      <c r="R610" s="56"/>
      <c r="S610" s="162"/>
      <c r="T610" s="106"/>
      <c r="U610" s="10"/>
      <c r="V610" s="56"/>
      <c r="W610" s="56"/>
      <c r="X610" s="56"/>
      <c r="Y610" s="56"/>
      <c r="Z610" s="56"/>
      <c r="AA610" s="172"/>
      <c r="AB610" s="56"/>
      <c r="AC610" s="56"/>
      <c r="AD610" s="106"/>
      <c r="AE610" s="56"/>
      <c r="AF610" s="56"/>
      <c r="AG610" s="56"/>
      <c r="AH610" s="56"/>
      <c r="AI610" s="56"/>
      <c r="AJ610" s="56"/>
      <c r="AK610" s="106"/>
      <c r="AL610" s="56"/>
      <c r="AM610" s="56"/>
      <c r="AN610" s="56"/>
      <c r="AO610" s="56"/>
      <c r="AP610" s="56"/>
      <c r="AQ610" s="56"/>
      <c r="AR610" s="56"/>
      <c r="AS610" s="106"/>
      <c r="AT610" s="56"/>
      <c r="AU610" s="56"/>
      <c r="AV610" s="106"/>
      <c r="AW610" s="56"/>
      <c r="AX610" s="10"/>
      <c r="AY610" s="56"/>
      <c r="AZ610" s="56"/>
      <c r="BA610" s="56"/>
      <c r="BB610" s="56"/>
      <c r="BJ610" s="145"/>
      <c r="CD610" s="145"/>
      <c r="CT610" s="145"/>
    </row>
    <row r="611" spans="1:98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68"/>
      <c r="R611" s="56"/>
      <c r="S611" s="162"/>
      <c r="T611" s="106"/>
      <c r="U611" s="10"/>
      <c r="V611" s="56"/>
      <c r="W611" s="56"/>
      <c r="X611" s="56"/>
      <c r="Y611" s="56"/>
      <c r="Z611" s="56"/>
      <c r="AA611" s="172"/>
      <c r="AB611" s="56"/>
      <c r="AC611" s="56"/>
      <c r="AD611" s="106"/>
      <c r="AE611" s="56"/>
      <c r="AF611" s="56"/>
      <c r="AG611" s="56"/>
      <c r="AH611" s="56"/>
      <c r="AI611" s="56"/>
      <c r="AJ611" s="56"/>
      <c r="AK611" s="106"/>
      <c r="AL611" s="56"/>
      <c r="AM611" s="56"/>
      <c r="AN611" s="56"/>
      <c r="AO611" s="56"/>
      <c r="AP611" s="56"/>
      <c r="AQ611" s="56"/>
      <c r="AR611" s="56"/>
      <c r="AS611" s="106"/>
      <c r="AT611" s="56"/>
      <c r="AU611" s="56"/>
      <c r="AV611" s="106"/>
      <c r="AW611" s="56"/>
      <c r="AX611" s="10"/>
      <c r="AY611" s="56"/>
      <c r="AZ611" s="56"/>
      <c r="BA611" s="56"/>
      <c r="BB611" s="56"/>
      <c r="BJ611" s="145"/>
      <c r="CD611" s="145"/>
      <c r="CT611" s="145"/>
    </row>
    <row r="612" spans="1:98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68"/>
      <c r="R612" s="56"/>
      <c r="S612" s="162"/>
      <c r="T612" s="106"/>
      <c r="U612" s="10"/>
      <c r="V612" s="56"/>
      <c r="W612" s="56"/>
      <c r="X612" s="56"/>
      <c r="Y612" s="56"/>
      <c r="Z612" s="56"/>
      <c r="AA612" s="172"/>
      <c r="AB612" s="56"/>
      <c r="AC612" s="56"/>
      <c r="AD612" s="106"/>
      <c r="AE612" s="56"/>
      <c r="AF612" s="56"/>
      <c r="AG612" s="56"/>
      <c r="AH612" s="56"/>
      <c r="AI612" s="56"/>
      <c r="AJ612" s="56"/>
      <c r="AK612" s="106"/>
      <c r="AL612" s="56"/>
      <c r="AM612" s="56"/>
      <c r="AN612" s="56"/>
      <c r="AO612" s="56"/>
      <c r="AP612" s="56"/>
      <c r="AQ612" s="56"/>
      <c r="AR612" s="56"/>
      <c r="AS612" s="106"/>
      <c r="AT612" s="56"/>
      <c r="AU612" s="56"/>
      <c r="AV612" s="106"/>
      <c r="AW612" s="56"/>
      <c r="AX612" s="10"/>
      <c r="AY612" s="56"/>
      <c r="AZ612" s="56"/>
      <c r="BA612" s="56"/>
      <c r="BB612" s="56"/>
      <c r="BJ612" s="145"/>
      <c r="CD612" s="145"/>
      <c r="CT612" s="145"/>
    </row>
    <row r="613" spans="1:98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68"/>
      <c r="R613" s="56"/>
      <c r="S613" s="162"/>
      <c r="T613" s="106"/>
      <c r="U613" s="10"/>
      <c r="V613" s="56"/>
      <c r="W613" s="56"/>
      <c r="X613" s="56"/>
      <c r="Y613" s="56"/>
      <c r="Z613" s="56"/>
      <c r="AA613" s="172"/>
      <c r="AB613" s="56"/>
      <c r="AC613" s="56"/>
      <c r="AD613" s="106"/>
      <c r="AE613" s="56"/>
      <c r="AF613" s="56"/>
      <c r="AG613" s="56"/>
      <c r="AH613" s="56"/>
      <c r="AI613" s="56"/>
      <c r="AJ613" s="56"/>
      <c r="AK613" s="106"/>
      <c r="AL613" s="56"/>
      <c r="AM613" s="56"/>
      <c r="AN613" s="56"/>
      <c r="AO613" s="56"/>
      <c r="AP613" s="56"/>
      <c r="AQ613" s="56"/>
      <c r="AR613" s="56"/>
      <c r="AS613" s="106"/>
      <c r="AT613" s="56"/>
      <c r="AU613" s="56"/>
      <c r="AV613" s="106"/>
      <c r="AW613" s="56"/>
      <c r="AX613" s="10"/>
      <c r="AY613" s="56"/>
      <c r="AZ613" s="56"/>
      <c r="BA613" s="56"/>
      <c r="BB613" s="56"/>
      <c r="BJ613" s="145"/>
      <c r="CD613" s="145"/>
      <c r="CT613" s="145"/>
    </row>
    <row r="614" spans="1:98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68"/>
      <c r="R614" s="56"/>
      <c r="S614" s="162"/>
      <c r="T614" s="106"/>
      <c r="U614" s="10"/>
      <c r="V614" s="56"/>
      <c r="W614" s="56"/>
      <c r="X614" s="56"/>
      <c r="Y614" s="56"/>
      <c r="Z614" s="56"/>
      <c r="AA614" s="172"/>
      <c r="AB614" s="56"/>
      <c r="AC614" s="56"/>
      <c r="AD614" s="106"/>
      <c r="AE614" s="56"/>
      <c r="AF614" s="56"/>
      <c r="AG614" s="56"/>
      <c r="AH614" s="56"/>
      <c r="AI614" s="56"/>
      <c r="AJ614" s="56"/>
      <c r="AK614" s="106"/>
      <c r="AL614" s="56"/>
      <c r="AM614" s="56"/>
      <c r="AN614" s="56"/>
      <c r="AO614" s="56"/>
      <c r="AP614" s="56"/>
      <c r="AQ614" s="56"/>
      <c r="AR614" s="56"/>
      <c r="AS614" s="106"/>
      <c r="AT614" s="56"/>
      <c r="AU614" s="56"/>
      <c r="AV614" s="106"/>
      <c r="AW614" s="56"/>
      <c r="AX614" s="10"/>
      <c r="AY614" s="56"/>
      <c r="AZ614" s="56"/>
      <c r="BA614" s="56"/>
      <c r="BB614" s="56"/>
      <c r="BJ614" s="145"/>
      <c r="CD614" s="145"/>
      <c r="CT614" s="145"/>
    </row>
  </sheetData>
  <phoneticPr fontId="1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topLeftCell="G1" workbookViewId="0">
      <selection activeCell="L22" sqref="L22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597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605</v>
      </c>
      <c r="I3" s="56" t="s">
        <v>617</v>
      </c>
      <c r="J3" s="56" t="s">
        <v>618</v>
      </c>
      <c r="K3" s="56" t="s">
        <v>619</v>
      </c>
      <c r="L3" s="56" t="s">
        <v>624</v>
      </c>
      <c r="M3" s="56" t="s">
        <v>639</v>
      </c>
    </row>
    <row r="4" spans="1:24" s="103" customFormat="1" ht="64.5" customHeight="1" thickBot="1" x14ac:dyDescent="0.2">
      <c r="A4" s="98" t="s">
        <v>600</v>
      </c>
      <c r="B4" s="91" t="s">
        <v>715</v>
      </c>
      <c r="C4" s="107"/>
      <c r="D4" s="91"/>
      <c r="E4" s="91"/>
      <c r="F4" s="107"/>
      <c r="G4" s="94" t="s">
        <v>607</v>
      </c>
      <c r="H4" s="94" t="s">
        <v>611</v>
      </c>
      <c r="I4" s="93" t="s">
        <v>705</v>
      </c>
      <c r="J4" s="93" t="s">
        <v>706</v>
      </c>
      <c r="K4" s="93" t="s">
        <v>707</v>
      </c>
      <c r="L4" s="93" t="s">
        <v>622</v>
      </c>
      <c r="M4" s="93" t="s">
        <v>712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608</v>
      </c>
      <c r="H5" s="11" t="s">
        <v>609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615</v>
      </c>
      <c r="H6" s="11" t="s">
        <v>616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612</v>
      </c>
      <c r="H7" s="11" t="s">
        <v>623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610</v>
      </c>
      <c r="H8" s="11" t="s">
        <v>614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613</v>
      </c>
      <c r="H9" s="11" t="s">
        <v>709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720</v>
      </c>
      <c r="H10" s="11" t="s">
        <v>686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703</v>
      </c>
      <c r="H11" s="10" t="s">
        <v>708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704</v>
      </c>
      <c r="H12" s="10" t="s">
        <v>708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711</v>
      </c>
      <c r="H13" s="10" t="s">
        <v>713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717</v>
      </c>
      <c r="H14" s="10" t="s">
        <v>718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722</v>
      </c>
      <c r="H15" s="10" t="s">
        <v>716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723</v>
      </c>
      <c r="H16" s="10" t="s">
        <v>721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724</v>
      </c>
      <c r="H17" s="10" t="s">
        <v>725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919</v>
      </c>
      <c r="H18" s="10" t="s">
        <v>920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1160</v>
      </c>
      <c r="H19" s="159" t="s">
        <v>1132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2018-08-31T06:19:51Z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