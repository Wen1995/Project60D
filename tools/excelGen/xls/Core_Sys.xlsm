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EVENTS" sheetId="43" r:id="rId6"/>
  </sheets>
  <calcPr calcId="152511"/>
</workbook>
</file>

<file path=xl/calcChain.xml><?xml version="1.0" encoding="utf-8"?>
<calcChain xmlns="http://schemas.openxmlformats.org/spreadsheetml/2006/main">
  <c r="BM204" i="9" l="1"/>
  <c r="AO204" i="9" s="1"/>
  <c r="BK204" i="9"/>
  <c r="BF204" i="9"/>
  <c r="BA204" i="9"/>
  <c r="AM204" i="9"/>
  <c r="AK204" i="9"/>
  <c r="AI204" i="9"/>
  <c r="AF204" i="9"/>
  <c r="F204" i="9"/>
  <c r="C204" i="9"/>
  <c r="U204" i="9" s="1"/>
  <c r="BM203" i="9"/>
  <c r="AO203" i="9" s="1"/>
  <c r="BK203" i="9"/>
  <c r="BF203" i="9"/>
  <c r="BA203" i="9"/>
  <c r="AM203" i="9"/>
  <c r="AK203" i="9"/>
  <c r="AI203" i="9"/>
  <c r="AF203" i="9"/>
  <c r="AG204" i="9" s="1"/>
  <c r="U203" i="9"/>
  <c r="F203" i="9"/>
  <c r="C203" i="9"/>
  <c r="BM202" i="9"/>
  <c r="AO202" i="9" s="1"/>
  <c r="BK202" i="9"/>
  <c r="BF202" i="9"/>
  <c r="BA202" i="9"/>
  <c r="AM202" i="9"/>
  <c r="AK202" i="9"/>
  <c r="AI202" i="9"/>
  <c r="AF202" i="9"/>
  <c r="F202" i="9"/>
  <c r="C202" i="9"/>
  <c r="U202" i="9" s="1"/>
  <c r="BM201" i="9"/>
  <c r="AO201" i="9" s="1"/>
  <c r="BK201" i="9"/>
  <c r="BF201" i="9"/>
  <c r="BA201" i="9"/>
  <c r="AM201" i="9"/>
  <c r="AK201" i="9"/>
  <c r="AI201" i="9"/>
  <c r="F201" i="9"/>
  <c r="C201" i="9"/>
  <c r="U201" i="9" s="1"/>
  <c r="BM200" i="9"/>
  <c r="AO200" i="9" s="1"/>
  <c r="BK200" i="9"/>
  <c r="BF200" i="9"/>
  <c r="BA200" i="9"/>
  <c r="AM200" i="9"/>
  <c r="AK200" i="9"/>
  <c r="AI200" i="9"/>
  <c r="AF200" i="9"/>
  <c r="U200" i="9"/>
  <c r="F200" i="9"/>
  <c r="A200" i="9" s="1"/>
  <c r="C200" i="9"/>
  <c r="BM199" i="9"/>
  <c r="AO199" i="9" s="1"/>
  <c r="BK199" i="9"/>
  <c r="BF199" i="9"/>
  <c r="BA199" i="9"/>
  <c r="AM199" i="9"/>
  <c r="AK199" i="9"/>
  <c r="AI199" i="9"/>
  <c r="F199" i="9"/>
  <c r="C199" i="9"/>
  <c r="U199" i="9" s="1"/>
  <c r="BM198" i="9"/>
  <c r="AO198" i="9" s="1"/>
  <c r="BK198" i="9"/>
  <c r="BF198" i="9"/>
  <c r="BA198" i="9"/>
  <c r="AM198" i="9"/>
  <c r="AK198" i="9"/>
  <c r="AI198" i="9"/>
  <c r="AF198" i="9"/>
  <c r="F198" i="9"/>
  <c r="A198" i="9" s="1"/>
  <c r="C198" i="9"/>
  <c r="U198" i="9" s="1"/>
  <c r="BM197" i="9"/>
  <c r="AO197" i="9" s="1"/>
  <c r="BK197" i="9"/>
  <c r="BF197" i="9"/>
  <c r="BA197" i="9"/>
  <c r="AM197" i="9"/>
  <c r="AK197" i="9"/>
  <c r="AI197" i="9"/>
  <c r="AF197" i="9"/>
  <c r="F197" i="9"/>
  <c r="C197" i="9"/>
  <c r="U197" i="9" s="1"/>
  <c r="BM196" i="9"/>
  <c r="AO196" i="9" s="1"/>
  <c r="BK196" i="9"/>
  <c r="BF196" i="9"/>
  <c r="BA196" i="9"/>
  <c r="AM196" i="9"/>
  <c r="AK196" i="9"/>
  <c r="AI196" i="9"/>
  <c r="AF196" i="9"/>
  <c r="F196" i="9"/>
  <c r="C196" i="9"/>
  <c r="U196" i="9" s="1"/>
  <c r="BM195" i="9"/>
  <c r="AO195" i="9" s="1"/>
  <c r="BK195" i="9"/>
  <c r="BF195" i="9"/>
  <c r="BA195" i="9"/>
  <c r="AV195" i="9"/>
  <c r="AM195" i="9"/>
  <c r="AK195" i="9"/>
  <c r="AI195" i="9"/>
  <c r="AF195" i="9"/>
  <c r="AG196" i="9" s="1"/>
  <c r="U195" i="9"/>
  <c r="F195" i="9"/>
  <c r="C195" i="9"/>
  <c r="BM194" i="9"/>
  <c r="AO194" i="9" s="1"/>
  <c r="BK194" i="9"/>
  <c r="BA194" i="9"/>
  <c r="AV194" i="9"/>
  <c r="AM194" i="9"/>
  <c r="AK194" i="9"/>
  <c r="AI194" i="9"/>
  <c r="AF194" i="9"/>
  <c r="F194" i="9"/>
  <c r="C194" i="9"/>
  <c r="U194" i="9" s="1"/>
  <c r="BM193" i="9"/>
  <c r="AO193" i="9" s="1"/>
  <c r="BK193" i="9"/>
  <c r="BF193" i="9"/>
  <c r="BA193" i="9"/>
  <c r="AV193" i="9"/>
  <c r="AM193" i="9"/>
  <c r="AK193" i="9"/>
  <c r="AI193" i="9"/>
  <c r="F193" i="9"/>
  <c r="C193" i="9"/>
  <c r="U193" i="9" s="1"/>
  <c r="BM192" i="9"/>
  <c r="AO192" i="9" s="1"/>
  <c r="BK192" i="9"/>
  <c r="BF192" i="9"/>
  <c r="BA192" i="9"/>
  <c r="AV192" i="9"/>
  <c r="AM192" i="9"/>
  <c r="AK192" i="9"/>
  <c r="AI192" i="9"/>
  <c r="AF192" i="9"/>
  <c r="U192" i="9"/>
  <c r="F192" i="9"/>
  <c r="A192" i="9" s="1"/>
  <c r="C192" i="9"/>
  <c r="BM191" i="9"/>
  <c r="AO191" i="9" s="1"/>
  <c r="BK191" i="9"/>
  <c r="BF191" i="9"/>
  <c r="BA191" i="9"/>
  <c r="AV191" i="9"/>
  <c r="AM191" i="9"/>
  <c r="AK191" i="9"/>
  <c r="AI191" i="9"/>
  <c r="F191" i="9"/>
  <c r="C191" i="9"/>
  <c r="U191" i="9" s="1"/>
  <c r="BM190" i="9"/>
  <c r="AO190" i="9" s="1"/>
  <c r="BK190" i="9"/>
  <c r="BF190" i="9"/>
  <c r="BA190" i="9"/>
  <c r="AV190" i="9"/>
  <c r="AM190" i="9"/>
  <c r="AK190" i="9"/>
  <c r="AI190" i="9"/>
  <c r="AF190" i="9"/>
  <c r="F190" i="9"/>
  <c r="A190" i="9" s="1"/>
  <c r="C190" i="9"/>
  <c r="U190" i="9" s="1"/>
  <c r="BM189" i="9"/>
  <c r="AO189" i="9" s="1"/>
  <c r="BK189" i="9"/>
  <c r="BF189" i="9"/>
  <c r="BA189" i="9"/>
  <c r="AV189" i="9"/>
  <c r="AM189" i="9"/>
  <c r="AK189" i="9"/>
  <c r="AI189" i="9"/>
  <c r="AF189" i="9"/>
  <c r="F189" i="9"/>
  <c r="C189" i="9"/>
  <c r="U189" i="9" s="1"/>
  <c r="BM188" i="9"/>
  <c r="AO188" i="9" s="1"/>
  <c r="BK188" i="9"/>
  <c r="BF188" i="9"/>
  <c r="BA188" i="9"/>
  <c r="AV188" i="9"/>
  <c r="AM188" i="9"/>
  <c r="AK188" i="9"/>
  <c r="AI188" i="9"/>
  <c r="AF188" i="9"/>
  <c r="F188" i="9"/>
  <c r="C188" i="9"/>
  <c r="U188" i="9" s="1"/>
  <c r="BM187" i="9"/>
  <c r="AO187" i="9" s="1"/>
  <c r="BK187" i="9"/>
  <c r="BF187" i="9"/>
  <c r="BA187" i="9"/>
  <c r="AV187" i="9"/>
  <c r="AM187" i="9"/>
  <c r="AK187" i="9"/>
  <c r="AI187" i="9"/>
  <c r="AF187" i="9"/>
  <c r="U187" i="9"/>
  <c r="F187" i="9"/>
  <c r="C187" i="9"/>
  <c r="BM186" i="9"/>
  <c r="AO186" i="9" s="1"/>
  <c r="BK186" i="9"/>
  <c r="BF186" i="9"/>
  <c r="BA186" i="9"/>
  <c r="AV186" i="9"/>
  <c r="AM186" i="9"/>
  <c r="AK186" i="9"/>
  <c r="AI186" i="9"/>
  <c r="AF186" i="9"/>
  <c r="F186" i="9"/>
  <c r="C186" i="9"/>
  <c r="U186" i="9" s="1"/>
  <c r="BM185" i="9"/>
  <c r="AO185" i="9" s="1"/>
  <c r="BK185" i="9"/>
  <c r="BF185" i="9"/>
  <c r="AV185" i="9"/>
  <c r="AM185" i="9"/>
  <c r="AK185" i="9"/>
  <c r="AI185" i="9"/>
  <c r="F185" i="9"/>
  <c r="C185" i="9"/>
  <c r="U185" i="9" s="1"/>
  <c r="F17" i="30"/>
  <c r="A17" i="30"/>
  <c r="AG199" i="9" l="1"/>
  <c r="A197" i="9"/>
  <c r="A188" i="9"/>
  <c r="AG203" i="9"/>
  <c r="A204" i="9"/>
  <c r="A185" i="9"/>
  <c r="AF191" i="9"/>
  <c r="AG192" i="9" s="1"/>
  <c r="A193" i="9"/>
  <c r="AF199" i="9"/>
  <c r="AG200" i="9" s="1"/>
  <c r="A201" i="9"/>
  <c r="AG193" i="9"/>
  <c r="A194" i="9"/>
  <c r="A202" i="9"/>
  <c r="A191" i="9"/>
  <c r="AG198" i="9"/>
  <c r="AG195" i="9"/>
  <c r="A196" i="9"/>
  <c r="A189" i="9"/>
  <c r="A186" i="9"/>
  <c r="AG190" i="9"/>
  <c r="A199" i="9"/>
  <c r="AG187" i="9"/>
  <c r="AG197" i="9"/>
  <c r="AF185" i="9"/>
  <c r="AG185" i="9" s="1"/>
  <c r="A187" i="9"/>
  <c r="AF193" i="9"/>
  <c r="A195" i="9"/>
  <c r="AF201" i="9"/>
  <c r="AG202" i="9" s="1"/>
  <c r="A203" i="9"/>
  <c r="AG194" i="9"/>
  <c r="AG191" i="9"/>
  <c r="AG189" i="9"/>
  <c r="AG188" i="9"/>
  <c r="F28" i="30"/>
  <c r="F29" i="30"/>
  <c r="F30" i="30"/>
  <c r="F31" i="30"/>
  <c r="F32" i="30"/>
  <c r="F33" i="30"/>
  <c r="F34" i="30"/>
  <c r="F35" i="30"/>
  <c r="F36" i="30"/>
  <c r="F37" i="30"/>
  <c r="A37" i="30" s="1"/>
  <c r="F38" i="30"/>
  <c r="A38" i="30" s="1"/>
  <c r="F39" i="30"/>
  <c r="A39" i="30" s="1"/>
  <c r="F40" i="30"/>
  <c r="F41" i="30"/>
  <c r="F42" i="30"/>
  <c r="F43" i="30"/>
  <c r="F44" i="30"/>
  <c r="F45" i="30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A51" i="30" s="1"/>
  <c r="F52" i="30"/>
  <c r="F53" i="30"/>
  <c r="F54" i="30"/>
  <c r="F55" i="30"/>
  <c r="F56" i="30"/>
  <c r="F57" i="30"/>
  <c r="F58" i="30"/>
  <c r="F59" i="30"/>
  <c r="AG201" i="9" l="1"/>
  <c r="AG186" i="9"/>
  <c r="F49" i="43"/>
  <c r="A49" i="43"/>
  <c r="F48" i="43"/>
  <c r="A48" i="43" s="1"/>
  <c r="F47" i="43"/>
  <c r="A47" i="43"/>
  <c r="F46" i="43"/>
  <c r="A46" i="43"/>
  <c r="F45" i="43"/>
  <c r="A45" i="43"/>
  <c r="F44" i="43"/>
  <c r="A44" i="43" s="1"/>
  <c r="F43" i="43"/>
  <c r="A43" i="43"/>
  <c r="F42" i="43"/>
  <c r="A42" i="43"/>
  <c r="F41" i="43"/>
  <c r="A41" i="43"/>
  <c r="F40" i="43"/>
  <c r="A40" i="43" s="1"/>
  <c r="F39" i="43"/>
  <c r="A39" i="43"/>
  <c r="F38" i="43"/>
  <c r="A38" i="43"/>
  <c r="F37" i="43"/>
  <c r="A37" i="43"/>
  <c r="F36" i="43"/>
  <c r="A36" i="43" s="1"/>
  <c r="F35" i="43"/>
  <c r="A35" i="43"/>
  <c r="F34" i="43"/>
  <c r="A34" i="43"/>
  <c r="F33" i="43"/>
  <c r="A33" i="43"/>
  <c r="F32" i="43"/>
  <c r="A32" i="43" s="1"/>
  <c r="F31" i="43"/>
  <c r="A31" i="43"/>
  <c r="F30" i="43"/>
  <c r="A30" i="43"/>
  <c r="F29" i="43"/>
  <c r="A29" i="43"/>
  <c r="F28" i="43"/>
  <c r="A28" i="43" s="1"/>
  <c r="F27" i="43"/>
  <c r="A27" i="43"/>
  <c r="F26" i="43"/>
  <c r="A26" i="43"/>
  <c r="F25" i="43"/>
  <c r="A25" i="43"/>
  <c r="F24" i="43"/>
  <c r="A24" i="43" s="1"/>
  <c r="F23" i="43"/>
  <c r="A23" i="43"/>
  <c r="F22" i="43"/>
  <c r="A22" i="43"/>
  <c r="F21" i="43"/>
  <c r="A21" i="43"/>
  <c r="F20" i="43"/>
  <c r="A20" i="43" s="1"/>
  <c r="F19" i="43"/>
  <c r="A19" i="43"/>
  <c r="F18" i="43"/>
  <c r="A18" i="43"/>
  <c r="F17" i="43"/>
  <c r="A17" i="43"/>
  <c r="F16" i="43"/>
  <c r="A16" i="43" s="1"/>
  <c r="F15" i="43"/>
  <c r="A15" i="43"/>
  <c r="F14" i="43"/>
  <c r="A14" i="43"/>
  <c r="F13" i="43"/>
  <c r="A13" i="43"/>
  <c r="F12" i="43"/>
  <c r="A12" i="43" s="1"/>
  <c r="F11" i="43"/>
  <c r="A11" i="43"/>
  <c r="F10" i="43"/>
  <c r="A10" i="43"/>
  <c r="O9" i="43"/>
  <c r="F9" i="43"/>
  <c r="A9" i="43"/>
  <c r="F8" i="43"/>
  <c r="A8" i="43"/>
  <c r="O7" i="43"/>
  <c r="F7" i="43"/>
  <c r="A7" i="43"/>
  <c r="O6" i="43"/>
  <c r="F6" i="43"/>
  <c r="A6" i="43"/>
  <c r="O5" i="43"/>
  <c r="F5" i="43"/>
  <c r="A5" i="43"/>
  <c r="AF76" i="9" l="1"/>
  <c r="AF83" i="9"/>
  <c r="AF265" i="9"/>
  <c r="AG265" i="9" s="1"/>
  <c r="AF266" i="9"/>
  <c r="AF267" i="9"/>
  <c r="AG268" i="9" s="1"/>
  <c r="AF268" i="9"/>
  <c r="AF269" i="9"/>
  <c r="AF270" i="9"/>
  <c r="AF271" i="9"/>
  <c r="AF272" i="9"/>
  <c r="AG273" i="9" s="1"/>
  <c r="AF273" i="9"/>
  <c r="AF274" i="9"/>
  <c r="AG275" i="9" s="1"/>
  <c r="AF275" i="9"/>
  <c r="AG276" i="9" s="1"/>
  <c r="AF276" i="9"/>
  <c r="AF277" i="9"/>
  <c r="AG277" i="9" s="1"/>
  <c r="AF278" i="9"/>
  <c r="AG279" i="9" s="1"/>
  <c r="AF279" i="9"/>
  <c r="AF280" i="9"/>
  <c r="AF281" i="9"/>
  <c r="AG281" i="9" s="1"/>
  <c r="AF282" i="9"/>
  <c r="AF283" i="9"/>
  <c r="AG283" i="9" s="1"/>
  <c r="AF284" i="9"/>
  <c r="AF285" i="9"/>
  <c r="AG285" i="9" s="1"/>
  <c r="AF286" i="9"/>
  <c r="AG287" i="9" s="1"/>
  <c r="AF287" i="9"/>
  <c r="AF288" i="9"/>
  <c r="AF289" i="9"/>
  <c r="AF290" i="9"/>
  <c r="AG291" i="9" s="1"/>
  <c r="AF291" i="9"/>
  <c r="AG292" i="9" s="1"/>
  <c r="AF292" i="9"/>
  <c r="AF293" i="9"/>
  <c r="AF294" i="9"/>
  <c r="AF295" i="9"/>
  <c r="AF296" i="9"/>
  <c r="AF297" i="9"/>
  <c r="AF298" i="9"/>
  <c r="AF299" i="9"/>
  <c r="AG300" i="9" s="1"/>
  <c r="AF300" i="9"/>
  <c r="AF301" i="9"/>
  <c r="AF302" i="9"/>
  <c r="AG303" i="9" s="1"/>
  <c r="AF303" i="9"/>
  <c r="AF304" i="9"/>
  <c r="AF305" i="9"/>
  <c r="AF306" i="9"/>
  <c r="AG307" i="9" s="1"/>
  <c r="AF307" i="9"/>
  <c r="AF308" i="9"/>
  <c r="AF309" i="9"/>
  <c r="AG310" i="9" s="1"/>
  <c r="AF310" i="9"/>
  <c r="AG311" i="9" s="1"/>
  <c r="AF311" i="9"/>
  <c r="AF312" i="9"/>
  <c r="AF313" i="9"/>
  <c r="AF314" i="9"/>
  <c r="AG315" i="9" s="1"/>
  <c r="AF315" i="9"/>
  <c r="AG316" i="9" s="1"/>
  <c r="AF316" i="9"/>
  <c r="AF317" i="9"/>
  <c r="AF318" i="9"/>
  <c r="AF319" i="9"/>
  <c r="AF320" i="9"/>
  <c r="AF321" i="9"/>
  <c r="AF322" i="9"/>
  <c r="AF323" i="9"/>
  <c r="AG324" i="9" s="1"/>
  <c r="AF324" i="9"/>
  <c r="AF325" i="9"/>
  <c r="AG325" i="9" s="1"/>
  <c r="AF326" i="9"/>
  <c r="AF327" i="9"/>
  <c r="AF328" i="9"/>
  <c r="AF329" i="9"/>
  <c r="AG329" i="9" s="1"/>
  <c r="AF330" i="9"/>
  <c r="AF331" i="9"/>
  <c r="AF332" i="9"/>
  <c r="AF333" i="9"/>
  <c r="AF334" i="9"/>
  <c r="AG335" i="9" s="1"/>
  <c r="AF335" i="9"/>
  <c r="AF336" i="9"/>
  <c r="AF337" i="9"/>
  <c r="AG337" i="9" s="1"/>
  <c r="AF338" i="9"/>
  <c r="AF339" i="9"/>
  <c r="AG340" i="9" s="1"/>
  <c r="AF340" i="9"/>
  <c r="AF341" i="9"/>
  <c r="AG341" i="9" s="1"/>
  <c r="AF342" i="9"/>
  <c r="AF343" i="9"/>
  <c r="AF344" i="9"/>
  <c r="AF345" i="9"/>
  <c r="AG345" i="9" s="1"/>
  <c r="AF346" i="9"/>
  <c r="AG347" i="9" s="1"/>
  <c r="AF347" i="9"/>
  <c r="AG348" i="9" s="1"/>
  <c r="AF348" i="9"/>
  <c r="AF349" i="9"/>
  <c r="AF350" i="9"/>
  <c r="AF351" i="9"/>
  <c r="AF352" i="9"/>
  <c r="AF353" i="9"/>
  <c r="AF354" i="9"/>
  <c r="AF355" i="9"/>
  <c r="AG355" i="9" s="1"/>
  <c r="AF356" i="9"/>
  <c r="AF357" i="9"/>
  <c r="AF358" i="9"/>
  <c r="AG359" i="9" s="1"/>
  <c r="AF359" i="9"/>
  <c r="AF360" i="9"/>
  <c r="AF361" i="9"/>
  <c r="AG361" i="9" s="1"/>
  <c r="AF362" i="9"/>
  <c r="AG363" i="9" s="1"/>
  <c r="AF363" i="9"/>
  <c r="AG364" i="9" s="1"/>
  <c r="AF364" i="9"/>
  <c r="AF365" i="9"/>
  <c r="AF366" i="9"/>
  <c r="AF367" i="9"/>
  <c r="AF368" i="9"/>
  <c r="AF369" i="9"/>
  <c r="AG369" i="9" s="1"/>
  <c r="AF370" i="9"/>
  <c r="AF371" i="9"/>
  <c r="AG372" i="9" s="1"/>
  <c r="AF372" i="9"/>
  <c r="AF373" i="9"/>
  <c r="AF374" i="9"/>
  <c r="AG375" i="9" s="1"/>
  <c r="AF375" i="9"/>
  <c r="AF376" i="9"/>
  <c r="AF377" i="9"/>
  <c r="AF378" i="9"/>
  <c r="AG379" i="9" s="1"/>
  <c r="AF379" i="9"/>
  <c r="AF380" i="9"/>
  <c r="AF381" i="9"/>
  <c r="AG381" i="9" s="1"/>
  <c r="AF382" i="9"/>
  <c r="AG383" i="9" s="1"/>
  <c r="AF383" i="9"/>
  <c r="AF384" i="9"/>
  <c r="AF385" i="9"/>
  <c r="AF386" i="9"/>
  <c r="AF387" i="9"/>
  <c r="AG387" i="9" s="1"/>
  <c r="AF388" i="9"/>
  <c r="AF389" i="9"/>
  <c r="AF390" i="9"/>
  <c r="AF391" i="9"/>
  <c r="AF392" i="9"/>
  <c r="AF393" i="9"/>
  <c r="AF394" i="9"/>
  <c r="AG395" i="9" s="1"/>
  <c r="AF395" i="9"/>
  <c r="AF396" i="9"/>
  <c r="AF397" i="9"/>
  <c r="AG397" i="9" s="1"/>
  <c r="AF398" i="9"/>
  <c r="AF399" i="9"/>
  <c r="AF400" i="9"/>
  <c r="AF401" i="9"/>
  <c r="AF402" i="9"/>
  <c r="AF403" i="9"/>
  <c r="AG404" i="9" s="1"/>
  <c r="AF404" i="9"/>
  <c r="AF405" i="9"/>
  <c r="AF406" i="9"/>
  <c r="AG406" i="9" s="1"/>
  <c r="AF407" i="9"/>
  <c r="AF408" i="9"/>
  <c r="AF409" i="9"/>
  <c r="AF410" i="9"/>
  <c r="AF411" i="9"/>
  <c r="AG412" i="9" s="1"/>
  <c r="AF412" i="9"/>
  <c r="AF413" i="9"/>
  <c r="AF414" i="9"/>
  <c r="AF415" i="9"/>
  <c r="AF416" i="9"/>
  <c r="AF417" i="9"/>
  <c r="AG417" i="9" s="1"/>
  <c r="AF418" i="9"/>
  <c r="AG419" i="9" s="1"/>
  <c r="AF419" i="9"/>
  <c r="AG420" i="9" s="1"/>
  <c r="AF420" i="9"/>
  <c r="AF421" i="9"/>
  <c r="AF422" i="9"/>
  <c r="AG423" i="9" s="1"/>
  <c r="AF423" i="9"/>
  <c r="AF424" i="9"/>
  <c r="AF425" i="9"/>
  <c r="AF426" i="9"/>
  <c r="AG427" i="9" s="1"/>
  <c r="AF427" i="9"/>
  <c r="AF428" i="9"/>
  <c r="AF429" i="9"/>
  <c r="AF430" i="9"/>
  <c r="AG430" i="9" s="1"/>
  <c r="AF431" i="9"/>
  <c r="AF432" i="9"/>
  <c r="AF433" i="9"/>
  <c r="AF434" i="9"/>
  <c r="AF435" i="9"/>
  <c r="AG436" i="9" s="1"/>
  <c r="AF436" i="9"/>
  <c r="AF437" i="9"/>
  <c r="AF438" i="9"/>
  <c r="AF439" i="9"/>
  <c r="AF440" i="9"/>
  <c r="AF441" i="9"/>
  <c r="AF442" i="9"/>
  <c r="AG443" i="9" s="1"/>
  <c r="AF443" i="9"/>
  <c r="AG444" i="9" s="1"/>
  <c r="AF444" i="9"/>
  <c r="AF445" i="9"/>
  <c r="AG445" i="9" s="1"/>
  <c r="AF446" i="9"/>
  <c r="AG447" i="9" s="1"/>
  <c r="AF447" i="9"/>
  <c r="AF448" i="9"/>
  <c r="AF449" i="9"/>
  <c r="AF450" i="9"/>
  <c r="AG451" i="9" s="1"/>
  <c r="AF451" i="9"/>
  <c r="AG452" i="9" s="1"/>
  <c r="AF452" i="9"/>
  <c r="AF453" i="9"/>
  <c r="AF454" i="9"/>
  <c r="AG455" i="9" s="1"/>
  <c r="AF455" i="9"/>
  <c r="AF456" i="9"/>
  <c r="AF457" i="9"/>
  <c r="AG457" i="9" s="1"/>
  <c r="AF458" i="9"/>
  <c r="AF459" i="9"/>
  <c r="AG460" i="9" s="1"/>
  <c r="AF460" i="9"/>
  <c r="AF461" i="9"/>
  <c r="AF462" i="9"/>
  <c r="AF463" i="9"/>
  <c r="AF464" i="9"/>
  <c r="AF465" i="9"/>
  <c r="AF466" i="9"/>
  <c r="AF467" i="9"/>
  <c r="AG467" i="9" s="1"/>
  <c r="AF468" i="9"/>
  <c r="AF469" i="9"/>
  <c r="AF470" i="9"/>
  <c r="AG471" i="9" s="1"/>
  <c r="AF471" i="9"/>
  <c r="AF472" i="9"/>
  <c r="AF473" i="9"/>
  <c r="AF474" i="9"/>
  <c r="AG475" i="9" s="1"/>
  <c r="AF475" i="9"/>
  <c r="AG476" i="9" s="1"/>
  <c r="AF476" i="9"/>
  <c r="AF477" i="9"/>
  <c r="AF478" i="9"/>
  <c r="AF479" i="9"/>
  <c r="AF480" i="9"/>
  <c r="AF481" i="9"/>
  <c r="AG481" i="9" s="1"/>
  <c r="AF482" i="9"/>
  <c r="AG483" i="9" s="1"/>
  <c r="AF483" i="9"/>
  <c r="AG484" i="9" s="1"/>
  <c r="AF484" i="9"/>
  <c r="AF485" i="9"/>
  <c r="AG485" i="9" s="1"/>
  <c r="AF486" i="9"/>
  <c r="AG487" i="9" s="1"/>
  <c r="AF487" i="9"/>
  <c r="AF488" i="9"/>
  <c r="AF489" i="9"/>
  <c r="AG489" i="9" s="1"/>
  <c r="AF490" i="9"/>
  <c r="AF491" i="9"/>
  <c r="AG492" i="9" s="1"/>
  <c r="AF492" i="9"/>
  <c r="AF493" i="9"/>
  <c r="AF494" i="9"/>
  <c r="AF495" i="9"/>
  <c r="AF496" i="9"/>
  <c r="AF497" i="9"/>
  <c r="AF498" i="9"/>
  <c r="AG499" i="9" s="1"/>
  <c r="AF499" i="9"/>
  <c r="AF500" i="9"/>
  <c r="AF501" i="9"/>
  <c r="AF502" i="9"/>
  <c r="AG502" i="9" s="1"/>
  <c r="AF503" i="9"/>
  <c r="AF504" i="9"/>
  <c r="AF505" i="9"/>
  <c r="AF506" i="9"/>
  <c r="AF507" i="9"/>
  <c r="AF508" i="9"/>
  <c r="AF509" i="9"/>
  <c r="AF510" i="9"/>
  <c r="AG511" i="9" s="1"/>
  <c r="AF511" i="9"/>
  <c r="AF512" i="9"/>
  <c r="AF513" i="9"/>
  <c r="AF514" i="9"/>
  <c r="AG515" i="9" s="1"/>
  <c r="AF515" i="9"/>
  <c r="AG516" i="9" s="1"/>
  <c r="AF516" i="9"/>
  <c r="AF517" i="9"/>
  <c r="AF518" i="9"/>
  <c r="AF519" i="9"/>
  <c r="AF520" i="9"/>
  <c r="AF521" i="9"/>
  <c r="AG521" i="9" s="1"/>
  <c r="AF522" i="9"/>
  <c r="AF523" i="9"/>
  <c r="AG523" i="9" s="1"/>
  <c r="AF524" i="9"/>
  <c r="AF525" i="9"/>
  <c r="AG525" i="9" s="1"/>
  <c r="AF526" i="9"/>
  <c r="AG527" i="9" s="1"/>
  <c r="AF527" i="9"/>
  <c r="AF528" i="9"/>
  <c r="AF529" i="9"/>
  <c r="AF530" i="9"/>
  <c r="AG531" i="9" s="1"/>
  <c r="AF531" i="9"/>
  <c r="AG532" i="9" s="1"/>
  <c r="AF532" i="9"/>
  <c r="AF533" i="9"/>
  <c r="AG533" i="9" s="1"/>
  <c r="AF534" i="9"/>
  <c r="AG535" i="9" s="1"/>
  <c r="AF535" i="9"/>
  <c r="AF536" i="9"/>
  <c r="AF537" i="9"/>
  <c r="AF538" i="9"/>
  <c r="AG539" i="9" s="1"/>
  <c r="AF539" i="9"/>
  <c r="AG540" i="9" s="1"/>
  <c r="AF540" i="9"/>
  <c r="AF541" i="9"/>
  <c r="AF542" i="9"/>
  <c r="AF543" i="9"/>
  <c r="AF544" i="9"/>
  <c r="AF545" i="9"/>
  <c r="AF546" i="9"/>
  <c r="AG547" i="9" s="1"/>
  <c r="AF547" i="9"/>
  <c r="AG548" i="9" s="1"/>
  <c r="AF548" i="9"/>
  <c r="AF549" i="9"/>
  <c r="AF550" i="9"/>
  <c r="AG551" i="9" s="1"/>
  <c r="AF551" i="9"/>
  <c r="AF552" i="9"/>
  <c r="AF553" i="9"/>
  <c r="AF554" i="9"/>
  <c r="AF555" i="9"/>
  <c r="AG556" i="9" s="1"/>
  <c r="AF556" i="9"/>
  <c r="AF557" i="9"/>
  <c r="AF558" i="9"/>
  <c r="AG558" i="9" s="1"/>
  <c r="AF559" i="9"/>
  <c r="AF560" i="9"/>
  <c r="AF561" i="9"/>
  <c r="AG561" i="9" s="1"/>
  <c r="AF562" i="9"/>
  <c r="AG563" i="9" s="1"/>
  <c r="AF563" i="9"/>
  <c r="AF564" i="9"/>
  <c r="AF565" i="9"/>
  <c r="AF566" i="9"/>
  <c r="AG567" i="9" s="1"/>
  <c r="AF567" i="9"/>
  <c r="AF568" i="9"/>
  <c r="AF569" i="9"/>
  <c r="AF570" i="9"/>
  <c r="AF571" i="9"/>
  <c r="AF572" i="9"/>
  <c r="AF573" i="9"/>
  <c r="AF574" i="9"/>
  <c r="AG575" i="9" s="1"/>
  <c r="AF575" i="9"/>
  <c r="AF576" i="9"/>
  <c r="AF577" i="9"/>
  <c r="AF578" i="9"/>
  <c r="AF579" i="9"/>
  <c r="AF580" i="9"/>
  <c r="AF581" i="9"/>
  <c r="AF582" i="9"/>
  <c r="AF583" i="9"/>
  <c r="AF584" i="9"/>
  <c r="AF585" i="9"/>
  <c r="AF586" i="9"/>
  <c r="AF587" i="9"/>
  <c r="AG587" i="9" s="1"/>
  <c r="AF588" i="9"/>
  <c r="AF589" i="9"/>
  <c r="AG589" i="9" s="1"/>
  <c r="AF590" i="9"/>
  <c r="AG590" i="9" s="1"/>
  <c r="AF591" i="9"/>
  <c r="AF592" i="9"/>
  <c r="AF593" i="9"/>
  <c r="AF594" i="9"/>
  <c r="AG595" i="9" s="1"/>
  <c r="AF595" i="9"/>
  <c r="AG596" i="9" s="1"/>
  <c r="AF596" i="9"/>
  <c r="AF597" i="9"/>
  <c r="AG597" i="9" s="1"/>
  <c r="AF598" i="9"/>
  <c r="AG599" i="9" s="1"/>
  <c r="AF599" i="9"/>
  <c r="AF600" i="9"/>
  <c r="AF601" i="9"/>
  <c r="AF602" i="9"/>
  <c r="AG603" i="9" s="1"/>
  <c r="AF603" i="9"/>
  <c r="AG604" i="9" s="1"/>
  <c r="AF604" i="9"/>
  <c r="AG297" i="9"/>
  <c r="AG306" i="9"/>
  <c r="AG330" i="9"/>
  <c r="AG390" i="9"/>
  <c r="AG433" i="9"/>
  <c r="AG453" i="9"/>
  <c r="AG458" i="9"/>
  <c r="AG490" i="9"/>
  <c r="AG553" i="9"/>
  <c r="AG562" i="9"/>
  <c r="AG577" i="9"/>
  <c r="AG428" i="9"/>
  <c r="AG500" i="9"/>
  <c r="AG572" i="9"/>
  <c r="AG579" i="9"/>
  <c r="AG557" i="9"/>
  <c r="AG549" i="9"/>
  <c r="AG517" i="9"/>
  <c r="AG493" i="9"/>
  <c r="AG469" i="9"/>
  <c r="AG459" i="9"/>
  <c r="AG413" i="9"/>
  <c r="AG403" i="9"/>
  <c r="AG389" i="9"/>
  <c r="AG373" i="9"/>
  <c r="AG371" i="9"/>
  <c r="AG331" i="9"/>
  <c r="AG299" i="9"/>
  <c r="AG267" i="9"/>
  <c r="AO265" i="9"/>
  <c r="AO266" i="9"/>
  <c r="AO267" i="9"/>
  <c r="AO268" i="9"/>
  <c r="AO269" i="9"/>
  <c r="AO270" i="9"/>
  <c r="AO271" i="9"/>
  <c r="AO272" i="9"/>
  <c r="AO273" i="9"/>
  <c r="AO274" i="9"/>
  <c r="AO275" i="9"/>
  <c r="AO276" i="9"/>
  <c r="AO277" i="9"/>
  <c r="AO278" i="9"/>
  <c r="AO279" i="9"/>
  <c r="AO280" i="9"/>
  <c r="AO281" i="9"/>
  <c r="AO282" i="9"/>
  <c r="AO283" i="9"/>
  <c r="AO284" i="9"/>
  <c r="AO285" i="9"/>
  <c r="AO286" i="9"/>
  <c r="AO287" i="9"/>
  <c r="AO288" i="9"/>
  <c r="AO289" i="9"/>
  <c r="AO290" i="9"/>
  <c r="AO291" i="9"/>
  <c r="AO292" i="9"/>
  <c r="AO293" i="9"/>
  <c r="AO294" i="9"/>
  <c r="AO295" i="9"/>
  <c r="AO296" i="9"/>
  <c r="AO297" i="9"/>
  <c r="AO298" i="9"/>
  <c r="AO299" i="9"/>
  <c r="AO300" i="9"/>
  <c r="AO301" i="9"/>
  <c r="AO302" i="9"/>
  <c r="AO303" i="9"/>
  <c r="AO304" i="9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AO525" i="9"/>
  <c r="AO526" i="9"/>
  <c r="AO527" i="9"/>
  <c r="AO528" i="9"/>
  <c r="AO529" i="9"/>
  <c r="AO530" i="9"/>
  <c r="AO531" i="9"/>
  <c r="AO532" i="9"/>
  <c r="AO533" i="9"/>
  <c r="AO534" i="9"/>
  <c r="AO535" i="9"/>
  <c r="AO536" i="9"/>
  <c r="AO537" i="9"/>
  <c r="AO538" i="9"/>
  <c r="AO539" i="9"/>
  <c r="AO540" i="9"/>
  <c r="AO541" i="9"/>
  <c r="AO542" i="9"/>
  <c r="AO543" i="9"/>
  <c r="AO544" i="9"/>
  <c r="AO545" i="9"/>
  <c r="AO546" i="9"/>
  <c r="AO547" i="9"/>
  <c r="AO548" i="9"/>
  <c r="AO549" i="9"/>
  <c r="AO550" i="9"/>
  <c r="AO551" i="9"/>
  <c r="AO552" i="9"/>
  <c r="AO553" i="9"/>
  <c r="AO554" i="9"/>
  <c r="AO555" i="9"/>
  <c r="AO556" i="9"/>
  <c r="AO557" i="9"/>
  <c r="AO558" i="9"/>
  <c r="AO559" i="9"/>
  <c r="AO560" i="9"/>
  <c r="AO561" i="9"/>
  <c r="AO562" i="9"/>
  <c r="AO563" i="9"/>
  <c r="AO564" i="9"/>
  <c r="AO565" i="9"/>
  <c r="AO566" i="9"/>
  <c r="AO567" i="9"/>
  <c r="AO568" i="9"/>
  <c r="AO569" i="9"/>
  <c r="AO570" i="9"/>
  <c r="AO571" i="9"/>
  <c r="AO572" i="9"/>
  <c r="AO573" i="9"/>
  <c r="AO574" i="9"/>
  <c r="AO575" i="9"/>
  <c r="AO576" i="9"/>
  <c r="AO577" i="9"/>
  <c r="AO578" i="9"/>
  <c r="AO579" i="9"/>
  <c r="AO580" i="9"/>
  <c r="AO581" i="9"/>
  <c r="AO582" i="9"/>
  <c r="AO583" i="9"/>
  <c r="AO584" i="9"/>
  <c r="AO585" i="9"/>
  <c r="AO586" i="9"/>
  <c r="AO587" i="9"/>
  <c r="AO588" i="9"/>
  <c r="AO589" i="9"/>
  <c r="AO590" i="9"/>
  <c r="AO591" i="9"/>
  <c r="AO592" i="9"/>
  <c r="AO593" i="9"/>
  <c r="AO594" i="9"/>
  <c r="AO595" i="9"/>
  <c r="AO596" i="9"/>
  <c r="AO597" i="9"/>
  <c r="AO598" i="9"/>
  <c r="AO599" i="9"/>
  <c r="AO600" i="9"/>
  <c r="AO601" i="9"/>
  <c r="AO602" i="9"/>
  <c r="AO603" i="9"/>
  <c r="AO604" i="9"/>
  <c r="AV10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05" i="9"/>
  <c r="BK206" i="9"/>
  <c r="BK207" i="9"/>
  <c r="BK208" i="9"/>
  <c r="BK209" i="9"/>
  <c r="BK210" i="9"/>
  <c r="BK211" i="9"/>
  <c r="BK212" i="9"/>
  <c r="BK213" i="9"/>
  <c r="BK214" i="9"/>
  <c r="BK215" i="9"/>
  <c r="BK216" i="9"/>
  <c r="BK217" i="9"/>
  <c r="BK218" i="9"/>
  <c r="BK219" i="9"/>
  <c r="BK220" i="9"/>
  <c r="BK221" i="9"/>
  <c r="BK222" i="9"/>
  <c r="BK223" i="9"/>
  <c r="BK22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285" i="9"/>
  <c r="BK286" i="9"/>
  <c r="BK287" i="9"/>
  <c r="BK288" i="9"/>
  <c r="BK289" i="9"/>
  <c r="BK290" i="9"/>
  <c r="BK291" i="9"/>
  <c r="BK292" i="9"/>
  <c r="BK293" i="9"/>
  <c r="BK294" i="9"/>
  <c r="BK295" i="9"/>
  <c r="BK296" i="9"/>
  <c r="BK297" i="9"/>
  <c r="BK298" i="9"/>
  <c r="BK299" i="9"/>
  <c r="BK300" i="9"/>
  <c r="BK301" i="9"/>
  <c r="BK302" i="9"/>
  <c r="BK303" i="9"/>
  <c r="BK30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BK505" i="9"/>
  <c r="BK506" i="9"/>
  <c r="BK507" i="9"/>
  <c r="BK508" i="9"/>
  <c r="BK509" i="9"/>
  <c r="BK510" i="9"/>
  <c r="BK511" i="9"/>
  <c r="BK512" i="9"/>
  <c r="BK513" i="9"/>
  <c r="BK514" i="9"/>
  <c r="BK515" i="9"/>
  <c r="BK516" i="9"/>
  <c r="BK517" i="9"/>
  <c r="BK518" i="9"/>
  <c r="BK519" i="9"/>
  <c r="BK520" i="9"/>
  <c r="BK521" i="9"/>
  <c r="BK522" i="9"/>
  <c r="BK523" i="9"/>
  <c r="BK524" i="9"/>
  <c r="BK525" i="9"/>
  <c r="BK526" i="9"/>
  <c r="BK527" i="9"/>
  <c r="BK528" i="9"/>
  <c r="BK529" i="9"/>
  <c r="BK530" i="9"/>
  <c r="BK531" i="9"/>
  <c r="BK532" i="9"/>
  <c r="BK533" i="9"/>
  <c r="BK534" i="9"/>
  <c r="BK535" i="9"/>
  <c r="BK536" i="9"/>
  <c r="BK537" i="9"/>
  <c r="BK538" i="9"/>
  <c r="BK539" i="9"/>
  <c r="BK540" i="9"/>
  <c r="BK541" i="9"/>
  <c r="BK542" i="9"/>
  <c r="BK543" i="9"/>
  <c r="BK544" i="9"/>
  <c r="BK545" i="9"/>
  <c r="BK546" i="9"/>
  <c r="BK547" i="9"/>
  <c r="BK548" i="9"/>
  <c r="BK549" i="9"/>
  <c r="BK550" i="9"/>
  <c r="BK551" i="9"/>
  <c r="BK552" i="9"/>
  <c r="BK553" i="9"/>
  <c r="BK554" i="9"/>
  <c r="BK555" i="9"/>
  <c r="BK556" i="9"/>
  <c r="BK557" i="9"/>
  <c r="BK558" i="9"/>
  <c r="BK559" i="9"/>
  <c r="BK560" i="9"/>
  <c r="BK561" i="9"/>
  <c r="BK562" i="9"/>
  <c r="BK563" i="9"/>
  <c r="BK564" i="9"/>
  <c r="BK565" i="9"/>
  <c r="BK566" i="9"/>
  <c r="BK567" i="9"/>
  <c r="BK568" i="9"/>
  <c r="BK569" i="9"/>
  <c r="BK570" i="9"/>
  <c r="BK571" i="9"/>
  <c r="BK572" i="9"/>
  <c r="BK573" i="9"/>
  <c r="BK574" i="9"/>
  <c r="BK575" i="9"/>
  <c r="BK576" i="9"/>
  <c r="BK577" i="9"/>
  <c r="BK578" i="9"/>
  <c r="BK579" i="9"/>
  <c r="BK580" i="9"/>
  <c r="BK581" i="9"/>
  <c r="BK582" i="9"/>
  <c r="BK583" i="9"/>
  <c r="BK584" i="9"/>
  <c r="BK585" i="9"/>
  <c r="BK586" i="9"/>
  <c r="BK587" i="9"/>
  <c r="BK588" i="9"/>
  <c r="BK589" i="9"/>
  <c r="BK590" i="9"/>
  <c r="BK591" i="9"/>
  <c r="BK592" i="9"/>
  <c r="BK593" i="9"/>
  <c r="BK594" i="9"/>
  <c r="BK595" i="9"/>
  <c r="BK596" i="9"/>
  <c r="BK597" i="9"/>
  <c r="BK598" i="9"/>
  <c r="BK599" i="9"/>
  <c r="BK600" i="9"/>
  <c r="BK601" i="9"/>
  <c r="BK602" i="9"/>
  <c r="BK603" i="9"/>
  <c r="BK604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K11" i="9"/>
  <c r="BK10" i="9"/>
  <c r="BK9" i="9"/>
  <c r="BK8" i="9"/>
  <c r="BK7" i="9"/>
  <c r="BK6" i="9"/>
  <c r="BK5" i="9"/>
  <c r="A33" i="30"/>
  <c r="BF246" i="9"/>
  <c r="BF247" i="9"/>
  <c r="BF248" i="9"/>
  <c r="BF249" i="9"/>
  <c r="BF250" i="9"/>
  <c r="BF251" i="9"/>
  <c r="BF253" i="9"/>
  <c r="BF254" i="9"/>
  <c r="BF255" i="9"/>
  <c r="BF256" i="9"/>
  <c r="BF257" i="9"/>
  <c r="BF258" i="9"/>
  <c r="BF259" i="9"/>
  <c r="BF260" i="9"/>
  <c r="BF261" i="9"/>
  <c r="BF262" i="9"/>
  <c r="BF263" i="9"/>
  <c r="BF264" i="9"/>
  <c r="F23" i="30"/>
  <c r="A23" i="30" s="1"/>
  <c r="BF75" i="9" s="1"/>
  <c r="F24" i="30"/>
  <c r="A24" i="30" s="1"/>
  <c r="BF96" i="9" s="1"/>
  <c r="F25" i="30"/>
  <c r="A25" i="30" s="1"/>
  <c r="F26" i="30"/>
  <c r="A26" i="30" s="1"/>
  <c r="BF278" i="9" s="1"/>
  <c r="F27" i="30"/>
  <c r="A27" i="30" s="1"/>
  <c r="BF312" i="9" s="1"/>
  <c r="A28" i="30"/>
  <c r="BF331" i="9" s="1"/>
  <c r="A29" i="30"/>
  <c r="BF415" i="9" s="1"/>
  <c r="A30" i="30"/>
  <c r="BF437" i="9" s="1"/>
  <c r="A36" i="30"/>
  <c r="BF562" i="9" s="1"/>
  <c r="F22" i="30"/>
  <c r="A22" i="30" s="1"/>
  <c r="BF14" i="9" s="1"/>
  <c r="A31" i="30"/>
  <c r="BF456" i="9" s="1"/>
  <c r="A32" i="30"/>
  <c r="BF474" i="9" s="1"/>
  <c r="A34" i="30"/>
  <c r="BF536" i="9" s="1"/>
  <c r="A35" i="30"/>
  <c r="BF599" i="9" s="1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05" i="9"/>
  <c r="BF206" i="9"/>
  <c r="BF207" i="9"/>
  <c r="BF208" i="9"/>
  <c r="BF209" i="9"/>
  <c r="BF210" i="9"/>
  <c r="BF211" i="9"/>
  <c r="BF212" i="9"/>
  <c r="BF213" i="9"/>
  <c r="BF215" i="9"/>
  <c r="BF216" i="9"/>
  <c r="BF217" i="9"/>
  <c r="BF218" i="9"/>
  <c r="BF219" i="9"/>
  <c r="BF220" i="9"/>
  <c r="BF221" i="9"/>
  <c r="BF222" i="9"/>
  <c r="BF223" i="9"/>
  <c r="BF22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65" i="9"/>
  <c r="BF266" i="9"/>
  <c r="BF267" i="9"/>
  <c r="BF268" i="9"/>
  <c r="BF269" i="9"/>
  <c r="BF270" i="9"/>
  <c r="BF271" i="9"/>
  <c r="BF272" i="9"/>
  <c r="BF273" i="9"/>
  <c r="BF274" i="9"/>
  <c r="BF275" i="9"/>
  <c r="BF276" i="9"/>
  <c r="BF277" i="9"/>
  <c r="BF279" i="9"/>
  <c r="BF280" i="9"/>
  <c r="BF281" i="9"/>
  <c r="BF282" i="9"/>
  <c r="BF283" i="9"/>
  <c r="BF284" i="9"/>
  <c r="BF285" i="9"/>
  <c r="BF286" i="9"/>
  <c r="BF287" i="9"/>
  <c r="BF288" i="9"/>
  <c r="BF289" i="9"/>
  <c r="BF290" i="9"/>
  <c r="BF291" i="9"/>
  <c r="BF292" i="9"/>
  <c r="BF293" i="9"/>
  <c r="BF294" i="9"/>
  <c r="BF295" i="9"/>
  <c r="BF296" i="9"/>
  <c r="BF297" i="9"/>
  <c r="BF299" i="9"/>
  <c r="BF300" i="9"/>
  <c r="BF301" i="9"/>
  <c r="BF302" i="9"/>
  <c r="BF303" i="9"/>
  <c r="BF304" i="9"/>
  <c r="BF305" i="9"/>
  <c r="BF306" i="9"/>
  <c r="BF307" i="9"/>
  <c r="BF308" i="9"/>
  <c r="BF309" i="9"/>
  <c r="BF310" i="9"/>
  <c r="BF311" i="9"/>
  <c r="BF313" i="9"/>
  <c r="BF314" i="9"/>
  <c r="BF315" i="9"/>
  <c r="BF316" i="9"/>
  <c r="BF317" i="9"/>
  <c r="BF318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2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1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4" i="9"/>
  <c r="BF495" i="9"/>
  <c r="BF496" i="9"/>
  <c r="BF497" i="9"/>
  <c r="BF498" i="9"/>
  <c r="BF499" i="9"/>
  <c r="BF500" i="9"/>
  <c r="BF501" i="9"/>
  <c r="BF502" i="9"/>
  <c r="BF503" i="9"/>
  <c r="BF504" i="9"/>
  <c r="BF506" i="9"/>
  <c r="BF507" i="9"/>
  <c r="BF508" i="9"/>
  <c r="BF509" i="9"/>
  <c r="BF510" i="9"/>
  <c r="BF511" i="9"/>
  <c r="BF513" i="9"/>
  <c r="BF514" i="9"/>
  <c r="BF515" i="9"/>
  <c r="BF516" i="9"/>
  <c r="BF517" i="9"/>
  <c r="BF518" i="9"/>
  <c r="BF519" i="9"/>
  <c r="BF520" i="9"/>
  <c r="BF521" i="9"/>
  <c r="BF522" i="9"/>
  <c r="BF523" i="9"/>
  <c r="BF524" i="9"/>
  <c r="BF526" i="9"/>
  <c r="BF527" i="9"/>
  <c r="BF528" i="9"/>
  <c r="BF529" i="9"/>
  <c r="BF530" i="9"/>
  <c r="BF531" i="9"/>
  <c r="BF532" i="9"/>
  <c r="BF533" i="9"/>
  <c r="BF534" i="9"/>
  <c r="BF535" i="9"/>
  <c r="BF537" i="9"/>
  <c r="BF538" i="9"/>
  <c r="BF539" i="9"/>
  <c r="BF540" i="9"/>
  <c r="BF541" i="9"/>
  <c r="BF542" i="9"/>
  <c r="BF543" i="9"/>
  <c r="BF544" i="9"/>
  <c r="BF546" i="9"/>
  <c r="BF547" i="9"/>
  <c r="BF548" i="9"/>
  <c r="BF549" i="9"/>
  <c r="BF551" i="9"/>
  <c r="BF552" i="9"/>
  <c r="BF553" i="9"/>
  <c r="BF554" i="9"/>
  <c r="BF555" i="9"/>
  <c r="BF556" i="9"/>
  <c r="BF557" i="9"/>
  <c r="BF558" i="9"/>
  <c r="BF559" i="9"/>
  <c r="BF560" i="9"/>
  <c r="BF561" i="9"/>
  <c r="BF563" i="9"/>
  <c r="BF564" i="9"/>
  <c r="BF566" i="9"/>
  <c r="BF567" i="9"/>
  <c r="BF568" i="9"/>
  <c r="BF569" i="9"/>
  <c r="BF570" i="9"/>
  <c r="BF571" i="9"/>
  <c r="BF572" i="9"/>
  <c r="BF573" i="9"/>
  <c r="BF574" i="9"/>
  <c r="BF575" i="9"/>
  <c r="BF576" i="9"/>
  <c r="BF577" i="9"/>
  <c r="BF578" i="9"/>
  <c r="BF579" i="9"/>
  <c r="BF580" i="9"/>
  <c r="BF581" i="9"/>
  <c r="BF582" i="9"/>
  <c r="BF583" i="9"/>
  <c r="BF584" i="9"/>
  <c r="BF586" i="9"/>
  <c r="BF587" i="9"/>
  <c r="BF588" i="9"/>
  <c r="BF590" i="9"/>
  <c r="BF591" i="9"/>
  <c r="BF592" i="9"/>
  <c r="BF593" i="9"/>
  <c r="BF594" i="9"/>
  <c r="BF595" i="9"/>
  <c r="BF596" i="9"/>
  <c r="BF597" i="9"/>
  <c r="BF598" i="9"/>
  <c r="BF600" i="9"/>
  <c r="BF601" i="9"/>
  <c r="BF602" i="9"/>
  <c r="BF603" i="9"/>
  <c r="BF24" i="9"/>
  <c r="BF23" i="9"/>
  <c r="BF22" i="9"/>
  <c r="BF21" i="9"/>
  <c r="BF20" i="9"/>
  <c r="BF19" i="9"/>
  <c r="BF18" i="9"/>
  <c r="BF17" i="9"/>
  <c r="BF16" i="9"/>
  <c r="BF15" i="9"/>
  <c r="BF13" i="9"/>
  <c r="BF12" i="9"/>
  <c r="BF11" i="9"/>
  <c r="BF10" i="9"/>
  <c r="BF9" i="9"/>
  <c r="BF8" i="9"/>
  <c r="BF7" i="9"/>
  <c r="BF6" i="9"/>
  <c r="BF5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06" i="9"/>
  <c r="BA207" i="9"/>
  <c r="BA208" i="9"/>
  <c r="BA209" i="9"/>
  <c r="BA210" i="9"/>
  <c r="BA211" i="9"/>
  <c r="BA212" i="9"/>
  <c r="BA213" i="9"/>
  <c r="BA214" i="9"/>
  <c r="BA215" i="9"/>
  <c r="BA216" i="9"/>
  <c r="BA217" i="9"/>
  <c r="BA218" i="9"/>
  <c r="BA219" i="9"/>
  <c r="BA220" i="9"/>
  <c r="BA221" i="9"/>
  <c r="BA222" i="9"/>
  <c r="BA223" i="9"/>
  <c r="BA22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286" i="9"/>
  <c r="BA287" i="9"/>
  <c r="BA288" i="9"/>
  <c r="BA289" i="9"/>
  <c r="BA290" i="9"/>
  <c r="BA291" i="9"/>
  <c r="BA292" i="9"/>
  <c r="BA293" i="9"/>
  <c r="BA294" i="9"/>
  <c r="BA295" i="9"/>
  <c r="BA296" i="9"/>
  <c r="BA297" i="9"/>
  <c r="BA298" i="9"/>
  <c r="BA299" i="9"/>
  <c r="BA300" i="9"/>
  <c r="BA301" i="9"/>
  <c r="BA302" i="9"/>
  <c r="BA303" i="9"/>
  <c r="BA30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BA506" i="9"/>
  <c r="BA507" i="9"/>
  <c r="BA508" i="9"/>
  <c r="BA509" i="9"/>
  <c r="BA510" i="9"/>
  <c r="BA511" i="9"/>
  <c r="BA512" i="9"/>
  <c r="BA513" i="9"/>
  <c r="BA514" i="9"/>
  <c r="BA515" i="9"/>
  <c r="BA516" i="9"/>
  <c r="BA517" i="9"/>
  <c r="BA518" i="9"/>
  <c r="BA519" i="9"/>
  <c r="BA520" i="9"/>
  <c r="BA521" i="9"/>
  <c r="BA522" i="9"/>
  <c r="BA523" i="9"/>
  <c r="BA524" i="9"/>
  <c r="BA526" i="9"/>
  <c r="BA527" i="9"/>
  <c r="BA528" i="9"/>
  <c r="BA529" i="9"/>
  <c r="BA530" i="9"/>
  <c r="BA531" i="9"/>
  <c r="BA532" i="9"/>
  <c r="BA533" i="9"/>
  <c r="BA534" i="9"/>
  <c r="BA535" i="9"/>
  <c r="BA536" i="9"/>
  <c r="BA537" i="9"/>
  <c r="BA538" i="9"/>
  <c r="BA539" i="9"/>
  <c r="BA540" i="9"/>
  <c r="BA541" i="9"/>
  <c r="BA542" i="9"/>
  <c r="BA543" i="9"/>
  <c r="BA544" i="9"/>
  <c r="BA546" i="9"/>
  <c r="BA547" i="9"/>
  <c r="BA548" i="9"/>
  <c r="BA549" i="9"/>
  <c r="BA550" i="9"/>
  <c r="BA551" i="9"/>
  <c r="BA552" i="9"/>
  <c r="BA553" i="9"/>
  <c r="BA554" i="9"/>
  <c r="BA555" i="9"/>
  <c r="BA556" i="9"/>
  <c r="BA557" i="9"/>
  <c r="BA558" i="9"/>
  <c r="BA559" i="9"/>
  <c r="BA560" i="9"/>
  <c r="BA561" i="9"/>
  <c r="BA562" i="9"/>
  <c r="BA563" i="9"/>
  <c r="BA564" i="9"/>
  <c r="BA566" i="9"/>
  <c r="BA567" i="9"/>
  <c r="BA568" i="9"/>
  <c r="BA569" i="9"/>
  <c r="BA570" i="9"/>
  <c r="BA571" i="9"/>
  <c r="BA572" i="9"/>
  <c r="BA573" i="9"/>
  <c r="BA574" i="9"/>
  <c r="BA575" i="9"/>
  <c r="BA576" i="9"/>
  <c r="BA577" i="9"/>
  <c r="BA578" i="9"/>
  <c r="BA579" i="9"/>
  <c r="BA580" i="9"/>
  <c r="BA581" i="9"/>
  <c r="BA582" i="9"/>
  <c r="BA583" i="9"/>
  <c r="BA584" i="9"/>
  <c r="BA586" i="9"/>
  <c r="BA587" i="9"/>
  <c r="BA588" i="9"/>
  <c r="BA589" i="9"/>
  <c r="BA590" i="9"/>
  <c r="BA591" i="9"/>
  <c r="BA592" i="9"/>
  <c r="BA593" i="9"/>
  <c r="BA594" i="9"/>
  <c r="BA595" i="9"/>
  <c r="BA596" i="9"/>
  <c r="BA597" i="9"/>
  <c r="BA598" i="9"/>
  <c r="BA599" i="9"/>
  <c r="BA600" i="9"/>
  <c r="BA601" i="9"/>
  <c r="BA602" i="9"/>
  <c r="BA603" i="9"/>
  <c r="BA604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BA6" i="9"/>
  <c r="F8" i="30"/>
  <c r="A8" i="30" s="1"/>
  <c r="AV125" i="9"/>
  <c r="AV126" i="9"/>
  <c r="AV127" i="9"/>
  <c r="AV128" i="9"/>
  <c r="AV129" i="9"/>
  <c r="AV130" i="9"/>
  <c r="AV131" i="9"/>
  <c r="AV132" i="9"/>
  <c r="AV133" i="9"/>
  <c r="AV134" i="9"/>
  <c r="AV135" i="9"/>
  <c r="AV136" i="9"/>
  <c r="AV137" i="9"/>
  <c r="AV138" i="9"/>
  <c r="AV139" i="9"/>
  <c r="AV140" i="9"/>
  <c r="AV141" i="9"/>
  <c r="AV142" i="9"/>
  <c r="AV143" i="9"/>
  <c r="AV144" i="9"/>
  <c r="AV145" i="9"/>
  <c r="AV146" i="9"/>
  <c r="AV147" i="9"/>
  <c r="AV148" i="9"/>
  <c r="AV149" i="9"/>
  <c r="AV150" i="9"/>
  <c r="AV151" i="9"/>
  <c r="AV152" i="9"/>
  <c r="AV153" i="9"/>
  <c r="AV154" i="9"/>
  <c r="AV155" i="9"/>
  <c r="AV156" i="9"/>
  <c r="AV157" i="9"/>
  <c r="AV158" i="9"/>
  <c r="AV159" i="9"/>
  <c r="AV160" i="9"/>
  <c r="AV161" i="9"/>
  <c r="AV162" i="9"/>
  <c r="AV163" i="9"/>
  <c r="AV164" i="9"/>
  <c r="AV165" i="9"/>
  <c r="AV166" i="9"/>
  <c r="AV167" i="9"/>
  <c r="AV168" i="9"/>
  <c r="AV169" i="9"/>
  <c r="AV170" i="9"/>
  <c r="AV171" i="9"/>
  <c r="AV172" i="9"/>
  <c r="AV173" i="9"/>
  <c r="AV174" i="9"/>
  <c r="AV175" i="9"/>
  <c r="AV176" i="9"/>
  <c r="AV177" i="9"/>
  <c r="AV178" i="9"/>
  <c r="AV179" i="9"/>
  <c r="AV180" i="9"/>
  <c r="AV181" i="9"/>
  <c r="AV182" i="9"/>
  <c r="AV183" i="9"/>
  <c r="AV184" i="9"/>
  <c r="AV225" i="9"/>
  <c r="AV226" i="9"/>
  <c r="AV227" i="9"/>
  <c r="AV228" i="9"/>
  <c r="AV229" i="9"/>
  <c r="AV230" i="9"/>
  <c r="AV231" i="9"/>
  <c r="AV232" i="9"/>
  <c r="AV233" i="9"/>
  <c r="AV234" i="9"/>
  <c r="AV235" i="9"/>
  <c r="AV236" i="9"/>
  <c r="AV237" i="9"/>
  <c r="AV238" i="9"/>
  <c r="AV239" i="9"/>
  <c r="AV240" i="9"/>
  <c r="AV241" i="9"/>
  <c r="AV242" i="9"/>
  <c r="AV243" i="9"/>
  <c r="AV244" i="9"/>
  <c r="AV265" i="9"/>
  <c r="AV266" i="9"/>
  <c r="AV267" i="9"/>
  <c r="AV268" i="9"/>
  <c r="AV269" i="9"/>
  <c r="AV270" i="9"/>
  <c r="AV271" i="9"/>
  <c r="AV272" i="9"/>
  <c r="AV273" i="9"/>
  <c r="AV274" i="9"/>
  <c r="AV275" i="9"/>
  <c r="AV276" i="9"/>
  <c r="AV277" i="9"/>
  <c r="AV278" i="9"/>
  <c r="AV279" i="9"/>
  <c r="AV280" i="9"/>
  <c r="AV281" i="9"/>
  <c r="AV282" i="9"/>
  <c r="AV283" i="9"/>
  <c r="AV284" i="9"/>
  <c r="AV285" i="9"/>
  <c r="AV286" i="9"/>
  <c r="AV287" i="9"/>
  <c r="AV288" i="9"/>
  <c r="AV289" i="9"/>
  <c r="AV290" i="9"/>
  <c r="AV291" i="9"/>
  <c r="AV292" i="9"/>
  <c r="AV293" i="9"/>
  <c r="AV294" i="9"/>
  <c r="AV295" i="9"/>
  <c r="AV296" i="9"/>
  <c r="AV297" i="9"/>
  <c r="AV298" i="9"/>
  <c r="AV299" i="9"/>
  <c r="AV300" i="9"/>
  <c r="AV301" i="9"/>
  <c r="AV302" i="9"/>
  <c r="AV303" i="9"/>
  <c r="AV30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45" i="9"/>
  <c r="AV446" i="9"/>
  <c r="AV447" i="9"/>
  <c r="AV448" i="9"/>
  <c r="AV449" i="9"/>
  <c r="AV450" i="9"/>
  <c r="AV451" i="9"/>
  <c r="AV452" i="9"/>
  <c r="AV453" i="9"/>
  <c r="AV454" i="9"/>
  <c r="AV455" i="9"/>
  <c r="AV456" i="9"/>
  <c r="AV457" i="9"/>
  <c r="AV458" i="9"/>
  <c r="AV459" i="9"/>
  <c r="AV460" i="9"/>
  <c r="AV461" i="9"/>
  <c r="AV462" i="9"/>
  <c r="AV463" i="9"/>
  <c r="AV46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AV505" i="9"/>
  <c r="AV506" i="9"/>
  <c r="AV507" i="9"/>
  <c r="AV508" i="9"/>
  <c r="AV509" i="9"/>
  <c r="AV510" i="9"/>
  <c r="AV511" i="9"/>
  <c r="AV512" i="9"/>
  <c r="AV513" i="9"/>
  <c r="AV514" i="9"/>
  <c r="AV515" i="9"/>
  <c r="AV516" i="9"/>
  <c r="AV517" i="9"/>
  <c r="AV518" i="9"/>
  <c r="AV519" i="9"/>
  <c r="AV520" i="9"/>
  <c r="AV521" i="9"/>
  <c r="AV522" i="9"/>
  <c r="AV523" i="9"/>
  <c r="AV524" i="9"/>
  <c r="AV525" i="9"/>
  <c r="AV526" i="9"/>
  <c r="AV527" i="9"/>
  <c r="AV528" i="9"/>
  <c r="AV529" i="9"/>
  <c r="AV530" i="9"/>
  <c r="AV531" i="9"/>
  <c r="AV532" i="9"/>
  <c r="AV533" i="9"/>
  <c r="AV534" i="9"/>
  <c r="AV535" i="9"/>
  <c r="AV536" i="9"/>
  <c r="AV537" i="9"/>
  <c r="AV538" i="9"/>
  <c r="AV539" i="9"/>
  <c r="AV540" i="9"/>
  <c r="AV541" i="9"/>
  <c r="AV542" i="9"/>
  <c r="AV543" i="9"/>
  <c r="AV544" i="9"/>
  <c r="AV545" i="9"/>
  <c r="AV546" i="9"/>
  <c r="AV547" i="9"/>
  <c r="AV548" i="9"/>
  <c r="AV549" i="9"/>
  <c r="AV550" i="9"/>
  <c r="AV551" i="9"/>
  <c r="AV552" i="9"/>
  <c r="AV553" i="9"/>
  <c r="AV554" i="9"/>
  <c r="AV555" i="9"/>
  <c r="AV556" i="9"/>
  <c r="AV557" i="9"/>
  <c r="AV558" i="9"/>
  <c r="AV559" i="9"/>
  <c r="AV560" i="9"/>
  <c r="AV561" i="9"/>
  <c r="AV562" i="9"/>
  <c r="AV563" i="9"/>
  <c r="AV564" i="9"/>
  <c r="AV565" i="9"/>
  <c r="AV566" i="9"/>
  <c r="AV567" i="9"/>
  <c r="AV568" i="9"/>
  <c r="AV569" i="9"/>
  <c r="AV570" i="9"/>
  <c r="AV571" i="9"/>
  <c r="AV572" i="9"/>
  <c r="AV573" i="9"/>
  <c r="AV574" i="9"/>
  <c r="AV575" i="9"/>
  <c r="AV576" i="9"/>
  <c r="AV577" i="9"/>
  <c r="AV578" i="9"/>
  <c r="AV579" i="9"/>
  <c r="AV580" i="9"/>
  <c r="AV581" i="9"/>
  <c r="AV582" i="9"/>
  <c r="AV583" i="9"/>
  <c r="AV584" i="9"/>
  <c r="AV585" i="9"/>
  <c r="AV586" i="9"/>
  <c r="AV587" i="9"/>
  <c r="AV588" i="9"/>
  <c r="AV589" i="9"/>
  <c r="AV590" i="9"/>
  <c r="AV591" i="9"/>
  <c r="AV592" i="9"/>
  <c r="AV593" i="9"/>
  <c r="AV594" i="9"/>
  <c r="AV595" i="9"/>
  <c r="AV596" i="9"/>
  <c r="AV597" i="9"/>
  <c r="AV598" i="9"/>
  <c r="AV599" i="9"/>
  <c r="AV600" i="9"/>
  <c r="AV601" i="9"/>
  <c r="AV602" i="9"/>
  <c r="AV603" i="9"/>
  <c r="AV604" i="9"/>
  <c r="BM84" i="9"/>
  <c r="AF84" i="9" s="1"/>
  <c r="AM84" i="9"/>
  <c r="AK84" i="9"/>
  <c r="AI84" i="9"/>
  <c r="F84" i="9"/>
  <c r="C84" i="9"/>
  <c r="U84" i="9" s="1"/>
  <c r="BM83" i="9"/>
  <c r="AM83" i="9"/>
  <c r="AK83" i="9"/>
  <c r="AI83" i="9"/>
  <c r="F83" i="9"/>
  <c r="C83" i="9"/>
  <c r="U83" i="9" s="1"/>
  <c r="BM82" i="9"/>
  <c r="AO82" i="9" s="1"/>
  <c r="AM82" i="9"/>
  <c r="AK82" i="9"/>
  <c r="AI82" i="9"/>
  <c r="F82" i="9"/>
  <c r="C82" i="9"/>
  <c r="BM81" i="9"/>
  <c r="AF81" i="9" s="1"/>
  <c r="AM81" i="9"/>
  <c r="AK81" i="9"/>
  <c r="AI81" i="9"/>
  <c r="F81" i="9"/>
  <c r="C81" i="9"/>
  <c r="U81" i="9" s="1"/>
  <c r="BM80" i="9"/>
  <c r="AO80" i="9" s="1"/>
  <c r="AM80" i="9"/>
  <c r="AK80" i="9"/>
  <c r="AI80" i="9"/>
  <c r="F80" i="9"/>
  <c r="C80" i="9"/>
  <c r="BM79" i="9"/>
  <c r="AF79" i="9" s="1"/>
  <c r="AM79" i="9"/>
  <c r="AK79" i="9"/>
  <c r="AI79" i="9"/>
  <c r="F79" i="9"/>
  <c r="C79" i="9"/>
  <c r="U79" i="9" s="1"/>
  <c r="BM78" i="9"/>
  <c r="AO78" i="9" s="1"/>
  <c r="AM78" i="9"/>
  <c r="AK78" i="9"/>
  <c r="AI78" i="9"/>
  <c r="F78" i="9"/>
  <c r="C78" i="9"/>
  <c r="BM77" i="9"/>
  <c r="AF77" i="9" s="1"/>
  <c r="AG77" i="9" s="1"/>
  <c r="AM77" i="9"/>
  <c r="AK77" i="9"/>
  <c r="AI77" i="9"/>
  <c r="F77" i="9"/>
  <c r="C77" i="9"/>
  <c r="U77" i="9" s="1"/>
  <c r="BM76" i="9"/>
  <c r="AM76" i="9"/>
  <c r="AK76" i="9"/>
  <c r="AI76" i="9"/>
  <c r="F76" i="9"/>
  <c r="C76" i="9"/>
  <c r="U76" i="9" s="1"/>
  <c r="BM75" i="9"/>
  <c r="AF75" i="9" s="1"/>
  <c r="AM75" i="9"/>
  <c r="AK75" i="9"/>
  <c r="AI75" i="9"/>
  <c r="F75" i="9"/>
  <c r="C75" i="9"/>
  <c r="U75" i="9" s="1"/>
  <c r="BM74" i="9"/>
  <c r="AF74" i="9" s="1"/>
  <c r="AM74" i="9"/>
  <c r="AK74" i="9"/>
  <c r="AI74" i="9"/>
  <c r="F74" i="9"/>
  <c r="C74" i="9"/>
  <c r="U74" i="9" s="1"/>
  <c r="BM73" i="9"/>
  <c r="AO73" i="9" s="1"/>
  <c r="AM73" i="9"/>
  <c r="AK73" i="9"/>
  <c r="AI73" i="9"/>
  <c r="F73" i="9"/>
  <c r="C73" i="9"/>
  <c r="U73" i="9" s="1"/>
  <c r="BM72" i="9"/>
  <c r="AM72" i="9"/>
  <c r="AK72" i="9"/>
  <c r="AI72" i="9"/>
  <c r="F72" i="9"/>
  <c r="C72" i="9"/>
  <c r="BM71" i="9"/>
  <c r="AF71" i="9" s="1"/>
  <c r="AM71" i="9"/>
  <c r="AK71" i="9"/>
  <c r="AI71" i="9"/>
  <c r="F71" i="9"/>
  <c r="C71" i="9"/>
  <c r="U71" i="9" s="1"/>
  <c r="BM70" i="9"/>
  <c r="AO70" i="9" s="1"/>
  <c r="AM70" i="9"/>
  <c r="AK70" i="9"/>
  <c r="AI70" i="9"/>
  <c r="F70" i="9"/>
  <c r="C70" i="9"/>
  <c r="BM69" i="9"/>
  <c r="AF69" i="9" s="1"/>
  <c r="AM69" i="9"/>
  <c r="AK69" i="9"/>
  <c r="AI69" i="9"/>
  <c r="F69" i="9"/>
  <c r="C69" i="9"/>
  <c r="BM68" i="9"/>
  <c r="AO68" i="9" s="1"/>
  <c r="AM68" i="9"/>
  <c r="AK68" i="9"/>
  <c r="AI68" i="9"/>
  <c r="F68" i="9"/>
  <c r="C68" i="9"/>
  <c r="BM67" i="9"/>
  <c r="AF67" i="9" s="1"/>
  <c r="AM67" i="9"/>
  <c r="AK67" i="9"/>
  <c r="AI67" i="9"/>
  <c r="F67" i="9"/>
  <c r="C67" i="9"/>
  <c r="U67" i="9" s="1"/>
  <c r="BM66" i="9"/>
  <c r="AO66" i="9" s="1"/>
  <c r="AM66" i="9"/>
  <c r="AK66" i="9"/>
  <c r="AI66" i="9"/>
  <c r="F66" i="9"/>
  <c r="C66" i="9"/>
  <c r="BM65" i="9"/>
  <c r="AO65" i="9" s="1"/>
  <c r="AM65" i="9"/>
  <c r="AK65" i="9"/>
  <c r="AI65" i="9"/>
  <c r="F65" i="9"/>
  <c r="C65" i="9"/>
  <c r="U65" i="9" s="1"/>
  <c r="AM604" i="9"/>
  <c r="AM603" i="9"/>
  <c r="AM602" i="9"/>
  <c r="AM601" i="9"/>
  <c r="AM600" i="9"/>
  <c r="AM599" i="9"/>
  <c r="AM598" i="9"/>
  <c r="AM597" i="9"/>
  <c r="AM596" i="9"/>
  <c r="AM595" i="9"/>
  <c r="AM594" i="9"/>
  <c r="AM593" i="9"/>
  <c r="AM592" i="9"/>
  <c r="AM591" i="9"/>
  <c r="AM590" i="9"/>
  <c r="AM589" i="9"/>
  <c r="AM588" i="9"/>
  <c r="AM587" i="9"/>
  <c r="AM586" i="9"/>
  <c r="AM585" i="9"/>
  <c r="AM584" i="9"/>
  <c r="AM583" i="9"/>
  <c r="AM582" i="9"/>
  <c r="AM581" i="9"/>
  <c r="AM580" i="9"/>
  <c r="AM579" i="9"/>
  <c r="AM578" i="9"/>
  <c r="AM577" i="9"/>
  <c r="AM576" i="9"/>
  <c r="AM575" i="9"/>
  <c r="AM574" i="9"/>
  <c r="AM573" i="9"/>
  <c r="AM572" i="9"/>
  <c r="AM571" i="9"/>
  <c r="AM570" i="9"/>
  <c r="AM569" i="9"/>
  <c r="AM568" i="9"/>
  <c r="AM567" i="9"/>
  <c r="AM566" i="9"/>
  <c r="AM565" i="9"/>
  <c r="AM564" i="9"/>
  <c r="AM563" i="9"/>
  <c r="AM562" i="9"/>
  <c r="AM561" i="9"/>
  <c r="AM560" i="9"/>
  <c r="AM559" i="9"/>
  <c r="AM558" i="9"/>
  <c r="AM557" i="9"/>
  <c r="AM556" i="9"/>
  <c r="AM555" i="9"/>
  <c r="AM554" i="9"/>
  <c r="AM553" i="9"/>
  <c r="AM552" i="9"/>
  <c r="AM551" i="9"/>
  <c r="AM550" i="9"/>
  <c r="AM549" i="9"/>
  <c r="AM548" i="9"/>
  <c r="AM547" i="9"/>
  <c r="AM546" i="9"/>
  <c r="AM545" i="9"/>
  <c r="AM544" i="9"/>
  <c r="AM543" i="9"/>
  <c r="AM542" i="9"/>
  <c r="AM541" i="9"/>
  <c r="AM540" i="9"/>
  <c r="AM539" i="9"/>
  <c r="AM538" i="9"/>
  <c r="AM537" i="9"/>
  <c r="AM536" i="9"/>
  <c r="AM535" i="9"/>
  <c r="AM534" i="9"/>
  <c r="AM533" i="9"/>
  <c r="AM532" i="9"/>
  <c r="AM531" i="9"/>
  <c r="AM530" i="9"/>
  <c r="AM529" i="9"/>
  <c r="AM528" i="9"/>
  <c r="AM527" i="9"/>
  <c r="AM526" i="9"/>
  <c r="AM525" i="9"/>
  <c r="AM524" i="9"/>
  <c r="AM523" i="9"/>
  <c r="AM522" i="9"/>
  <c r="AM521" i="9"/>
  <c r="AM520" i="9"/>
  <c r="AM519" i="9"/>
  <c r="AM518" i="9"/>
  <c r="AM517" i="9"/>
  <c r="AM516" i="9"/>
  <c r="AM515" i="9"/>
  <c r="AM514" i="9"/>
  <c r="AM513" i="9"/>
  <c r="AM512" i="9"/>
  <c r="AM511" i="9"/>
  <c r="AM510" i="9"/>
  <c r="AM509" i="9"/>
  <c r="AM508" i="9"/>
  <c r="AM507" i="9"/>
  <c r="AM506" i="9"/>
  <c r="AM505" i="9"/>
  <c r="AM504" i="9"/>
  <c r="AM503" i="9"/>
  <c r="AM502" i="9"/>
  <c r="AM501" i="9"/>
  <c r="AM500" i="9"/>
  <c r="AM499" i="9"/>
  <c r="AM498" i="9"/>
  <c r="AM497" i="9"/>
  <c r="AM496" i="9"/>
  <c r="AM495" i="9"/>
  <c r="AM494" i="9"/>
  <c r="AM493" i="9"/>
  <c r="AM492" i="9"/>
  <c r="AM491" i="9"/>
  <c r="AM490" i="9"/>
  <c r="AM489" i="9"/>
  <c r="AM488" i="9"/>
  <c r="AM487" i="9"/>
  <c r="AM486" i="9"/>
  <c r="AM485" i="9"/>
  <c r="AM484" i="9"/>
  <c r="AM483" i="9"/>
  <c r="AM482" i="9"/>
  <c r="AM481" i="9"/>
  <c r="AM480" i="9"/>
  <c r="AM479" i="9"/>
  <c r="AM478" i="9"/>
  <c r="AM477" i="9"/>
  <c r="AM476" i="9"/>
  <c r="AM475" i="9"/>
  <c r="AM474" i="9"/>
  <c r="AM473" i="9"/>
  <c r="AM472" i="9"/>
  <c r="AM471" i="9"/>
  <c r="AM470" i="9"/>
  <c r="AM469" i="9"/>
  <c r="AM468" i="9"/>
  <c r="AM467" i="9"/>
  <c r="AM466" i="9"/>
  <c r="AM4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424" i="9"/>
  <c r="AM423" i="9"/>
  <c r="AM422" i="9"/>
  <c r="AM421" i="9"/>
  <c r="AM420" i="9"/>
  <c r="AM419" i="9"/>
  <c r="AM418" i="9"/>
  <c r="AM417" i="9"/>
  <c r="AM416" i="9"/>
  <c r="AM415" i="9"/>
  <c r="AM414" i="9"/>
  <c r="AM413" i="9"/>
  <c r="AM412" i="9"/>
  <c r="AM411" i="9"/>
  <c r="AM410" i="9"/>
  <c r="AM409" i="9"/>
  <c r="AM408" i="9"/>
  <c r="AM407" i="9"/>
  <c r="AM406" i="9"/>
  <c r="AM405" i="9"/>
  <c r="AM404" i="9"/>
  <c r="AM403" i="9"/>
  <c r="AM402" i="9"/>
  <c r="AM401" i="9"/>
  <c r="AM400" i="9"/>
  <c r="AM399" i="9"/>
  <c r="AM398" i="9"/>
  <c r="AM397" i="9"/>
  <c r="AM396" i="9"/>
  <c r="AM395" i="9"/>
  <c r="AM394" i="9"/>
  <c r="AM393" i="9"/>
  <c r="AM392" i="9"/>
  <c r="AM391" i="9"/>
  <c r="AM390" i="9"/>
  <c r="AM389" i="9"/>
  <c r="AM388" i="9"/>
  <c r="AM387" i="9"/>
  <c r="AM386" i="9"/>
  <c r="AM385" i="9"/>
  <c r="AM384" i="9"/>
  <c r="AM383" i="9"/>
  <c r="AM382" i="9"/>
  <c r="AM381" i="9"/>
  <c r="AM380" i="9"/>
  <c r="AM379" i="9"/>
  <c r="AM378" i="9"/>
  <c r="AM377" i="9"/>
  <c r="AM376" i="9"/>
  <c r="AM375" i="9"/>
  <c r="AM374" i="9"/>
  <c r="AM373" i="9"/>
  <c r="AM372" i="9"/>
  <c r="AM371" i="9"/>
  <c r="AM370" i="9"/>
  <c r="AM369" i="9"/>
  <c r="AM368" i="9"/>
  <c r="AM367" i="9"/>
  <c r="AM366" i="9"/>
  <c r="AM365" i="9"/>
  <c r="AM364" i="9"/>
  <c r="AM363" i="9"/>
  <c r="AM362" i="9"/>
  <c r="AM361" i="9"/>
  <c r="AM360" i="9"/>
  <c r="AM359" i="9"/>
  <c r="AM358" i="9"/>
  <c r="AM357" i="9"/>
  <c r="AM356" i="9"/>
  <c r="AM355" i="9"/>
  <c r="AM354" i="9"/>
  <c r="AM353" i="9"/>
  <c r="AM352" i="9"/>
  <c r="AM351" i="9"/>
  <c r="AM350" i="9"/>
  <c r="AM349" i="9"/>
  <c r="AM348" i="9"/>
  <c r="AM347" i="9"/>
  <c r="AM346" i="9"/>
  <c r="AM345" i="9"/>
  <c r="AM344" i="9"/>
  <c r="AM343" i="9"/>
  <c r="AM342" i="9"/>
  <c r="AM341" i="9"/>
  <c r="AM340" i="9"/>
  <c r="AM339" i="9"/>
  <c r="AM338" i="9"/>
  <c r="AM337" i="9"/>
  <c r="AM336" i="9"/>
  <c r="AM335" i="9"/>
  <c r="AM334" i="9"/>
  <c r="AM333" i="9"/>
  <c r="AM332" i="9"/>
  <c r="AM331" i="9"/>
  <c r="AM330" i="9"/>
  <c r="AM329" i="9"/>
  <c r="AM328" i="9"/>
  <c r="AM327" i="9"/>
  <c r="AM326" i="9"/>
  <c r="AM325" i="9"/>
  <c r="AM324" i="9"/>
  <c r="AM323" i="9"/>
  <c r="AM322" i="9"/>
  <c r="AM321" i="9"/>
  <c r="AM320" i="9"/>
  <c r="AM319" i="9"/>
  <c r="AM318" i="9"/>
  <c r="AM317" i="9"/>
  <c r="AM316" i="9"/>
  <c r="AM315" i="9"/>
  <c r="AM314" i="9"/>
  <c r="AM313" i="9"/>
  <c r="AM312" i="9"/>
  <c r="AM311" i="9"/>
  <c r="AM310" i="9"/>
  <c r="AM309" i="9"/>
  <c r="AM308" i="9"/>
  <c r="AM307" i="9"/>
  <c r="AM306" i="9"/>
  <c r="AM305" i="9"/>
  <c r="AM304" i="9"/>
  <c r="AM303" i="9"/>
  <c r="AM302" i="9"/>
  <c r="AM301" i="9"/>
  <c r="AM300" i="9"/>
  <c r="AM299" i="9"/>
  <c r="AM298" i="9"/>
  <c r="AM297" i="9"/>
  <c r="AM296" i="9"/>
  <c r="AM295" i="9"/>
  <c r="AM294" i="9"/>
  <c r="AM293" i="9"/>
  <c r="AM292" i="9"/>
  <c r="AM291" i="9"/>
  <c r="AM290" i="9"/>
  <c r="AM289" i="9"/>
  <c r="AM288" i="9"/>
  <c r="AM287" i="9"/>
  <c r="AM286" i="9"/>
  <c r="AM285" i="9"/>
  <c r="AM284" i="9"/>
  <c r="AM283" i="9"/>
  <c r="AM282" i="9"/>
  <c r="AM281" i="9"/>
  <c r="AM280" i="9"/>
  <c r="AM279" i="9"/>
  <c r="AM278" i="9"/>
  <c r="AM277" i="9"/>
  <c r="AM276" i="9"/>
  <c r="AM275" i="9"/>
  <c r="AM274" i="9"/>
  <c r="AM273" i="9"/>
  <c r="AM272" i="9"/>
  <c r="AM271" i="9"/>
  <c r="AM270" i="9"/>
  <c r="AM269" i="9"/>
  <c r="AM268" i="9"/>
  <c r="AM267" i="9"/>
  <c r="AM266" i="9"/>
  <c r="AM265" i="9"/>
  <c r="AM264" i="9"/>
  <c r="AM263" i="9"/>
  <c r="AM262" i="9"/>
  <c r="AM261" i="9"/>
  <c r="AM260" i="9"/>
  <c r="AM259" i="9"/>
  <c r="AM258" i="9"/>
  <c r="AM257" i="9"/>
  <c r="AM256" i="9"/>
  <c r="AM255" i="9"/>
  <c r="AM254" i="9"/>
  <c r="AM253" i="9"/>
  <c r="AM252" i="9"/>
  <c r="AM251" i="9"/>
  <c r="AM250" i="9"/>
  <c r="AM249" i="9"/>
  <c r="AM248" i="9"/>
  <c r="AM247" i="9"/>
  <c r="AM246" i="9"/>
  <c r="AM245" i="9"/>
  <c r="AM244" i="9"/>
  <c r="AM243" i="9"/>
  <c r="AM242" i="9"/>
  <c r="AM241" i="9"/>
  <c r="AM240" i="9"/>
  <c r="AM239" i="9"/>
  <c r="AM238" i="9"/>
  <c r="AM237" i="9"/>
  <c r="AM236" i="9"/>
  <c r="AM235" i="9"/>
  <c r="AM234" i="9"/>
  <c r="AM233" i="9"/>
  <c r="AM232" i="9"/>
  <c r="AM231" i="9"/>
  <c r="AM230" i="9"/>
  <c r="AM229" i="9"/>
  <c r="AM228" i="9"/>
  <c r="AM227" i="9"/>
  <c r="AM226" i="9"/>
  <c r="AM225" i="9"/>
  <c r="AM224" i="9"/>
  <c r="AM223" i="9"/>
  <c r="AM222" i="9"/>
  <c r="AM221" i="9"/>
  <c r="AM220" i="9"/>
  <c r="AM219" i="9"/>
  <c r="AM218" i="9"/>
  <c r="AM217" i="9"/>
  <c r="AM216" i="9"/>
  <c r="AM215" i="9"/>
  <c r="AM214" i="9"/>
  <c r="AM213" i="9"/>
  <c r="AM212" i="9"/>
  <c r="AM211" i="9"/>
  <c r="AM210" i="9"/>
  <c r="AM209" i="9"/>
  <c r="AM208" i="9"/>
  <c r="AM207" i="9"/>
  <c r="AM206" i="9"/>
  <c r="AM205" i="9"/>
  <c r="AM184" i="9"/>
  <c r="AM183" i="9"/>
  <c r="AM182" i="9"/>
  <c r="AM181" i="9"/>
  <c r="AM180" i="9"/>
  <c r="AM179" i="9"/>
  <c r="AM178" i="9"/>
  <c r="AM177" i="9"/>
  <c r="AM176" i="9"/>
  <c r="AM175" i="9"/>
  <c r="AM174" i="9"/>
  <c r="AM173" i="9"/>
  <c r="AM172" i="9"/>
  <c r="AM171" i="9"/>
  <c r="AM170" i="9"/>
  <c r="AM169" i="9"/>
  <c r="AM168" i="9"/>
  <c r="AM167" i="9"/>
  <c r="AM166" i="9"/>
  <c r="AM165" i="9"/>
  <c r="AM164" i="9"/>
  <c r="AM163" i="9"/>
  <c r="AM162" i="9"/>
  <c r="AM161" i="9"/>
  <c r="AM160" i="9"/>
  <c r="AM159" i="9"/>
  <c r="AM158" i="9"/>
  <c r="AM157" i="9"/>
  <c r="AM156" i="9"/>
  <c r="AM155" i="9"/>
  <c r="AM154" i="9"/>
  <c r="AM153" i="9"/>
  <c r="AM152" i="9"/>
  <c r="AM151" i="9"/>
  <c r="AM150" i="9"/>
  <c r="AM149" i="9"/>
  <c r="AM148" i="9"/>
  <c r="AM147" i="9"/>
  <c r="AM146" i="9"/>
  <c r="AM145" i="9"/>
  <c r="AM144" i="9"/>
  <c r="AM143" i="9"/>
  <c r="AM142" i="9"/>
  <c r="AM141" i="9"/>
  <c r="AM140" i="9"/>
  <c r="AM139" i="9"/>
  <c r="AM138" i="9"/>
  <c r="AM137" i="9"/>
  <c r="AM136" i="9"/>
  <c r="AM135" i="9"/>
  <c r="AM134" i="9"/>
  <c r="AM133" i="9"/>
  <c r="AM132" i="9"/>
  <c r="AM131" i="9"/>
  <c r="AM130" i="9"/>
  <c r="AM129" i="9"/>
  <c r="AM128" i="9"/>
  <c r="AM127" i="9"/>
  <c r="AM126" i="9"/>
  <c r="AM125" i="9"/>
  <c r="AM124" i="9"/>
  <c r="AM123" i="9"/>
  <c r="AM122" i="9"/>
  <c r="AM121" i="9"/>
  <c r="AM120" i="9"/>
  <c r="AM119" i="9"/>
  <c r="AM118" i="9"/>
  <c r="AM117" i="9"/>
  <c r="AM116" i="9"/>
  <c r="AM115" i="9"/>
  <c r="AM114" i="9"/>
  <c r="AM113" i="9"/>
  <c r="AM112" i="9"/>
  <c r="AM111" i="9"/>
  <c r="AM110" i="9"/>
  <c r="AM109" i="9"/>
  <c r="AM108" i="9"/>
  <c r="AM107" i="9"/>
  <c r="AM106" i="9"/>
  <c r="AM105" i="9"/>
  <c r="AM104" i="9"/>
  <c r="AM103" i="9"/>
  <c r="AM102" i="9"/>
  <c r="AM101" i="9"/>
  <c r="AM100" i="9"/>
  <c r="AM99" i="9"/>
  <c r="AM98" i="9"/>
  <c r="AM97" i="9"/>
  <c r="AM96" i="9"/>
  <c r="AM95" i="9"/>
  <c r="AM94" i="9"/>
  <c r="AM93" i="9"/>
  <c r="AM92" i="9"/>
  <c r="AM91" i="9"/>
  <c r="AM90" i="9"/>
  <c r="AM89" i="9"/>
  <c r="AM88" i="9"/>
  <c r="AM87" i="9"/>
  <c r="AM86" i="9"/>
  <c r="AM85" i="9"/>
  <c r="AM64" i="9"/>
  <c r="AM63" i="9"/>
  <c r="AM62" i="9"/>
  <c r="AM61" i="9"/>
  <c r="AM60" i="9"/>
  <c r="AM59" i="9"/>
  <c r="AM58" i="9"/>
  <c r="AM57" i="9"/>
  <c r="AM56" i="9"/>
  <c r="AM55" i="9"/>
  <c r="AM54" i="9"/>
  <c r="AM53" i="9"/>
  <c r="AM52" i="9"/>
  <c r="AM51" i="9"/>
  <c r="AM50" i="9"/>
  <c r="AM49" i="9"/>
  <c r="AM48" i="9"/>
  <c r="AM47" i="9"/>
  <c r="AM46" i="9"/>
  <c r="AM45" i="9"/>
  <c r="AM44" i="9"/>
  <c r="AM43" i="9"/>
  <c r="AM42" i="9"/>
  <c r="AM41" i="9"/>
  <c r="AM40" i="9"/>
  <c r="AM39" i="9"/>
  <c r="AM38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M6" i="9"/>
  <c r="AM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05" i="9"/>
  <c r="AK206" i="9"/>
  <c r="AK207" i="9"/>
  <c r="AK208" i="9"/>
  <c r="AK209" i="9"/>
  <c r="AK210" i="9"/>
  <c r="AK211" i="9"/>
  <c r="AK212" i="9"/>
  <c r="AK213" i="9"/>
  <c r="AK214" i="9"/>
  <c r="AK215" i="9"/>
  <c r="AK216" i="9"/>
  <c r="AK217" i="9"/>
  <c r="AK218" i="9"/>
  <c r="AK219" i="9"/>
  <c r="AK220" i="9"/>
  <c r="AK221" i="9"/>
  <c r="AK222" i="9"/>
  <c r="AK223" i="9"/>
  <c r="AK22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285" i="9"/>
  <c r="AK286" i="9"/>
  <c r="AK287" i="9"/>
  <c r="AK288" i="9"/>
  <c r="AK289" i="9"/>
  <c r="AK290" i="9"/>
  <c r="AK291" i="9"/>
  <c r="AK292" i="9"/>
  <c r="AK293" i="9"/>
  <c r="AK294" i="9"/>
  <c r="AK295" i="9"/>
  <c r="AK296" i="9"/>
  <c r="AK297" i="9"/>
  <c r="AK298" i="9"/>
  <c r="AK299" i="9"/>
  <c r="AK300" i="9"/>
  <c r="AK301" i="9"/>
  <c r="AK302" i="9"/>
  <c r="AK303" i="9"/>
  <c r="AK30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505" i="9"/>
  <c r="AK506" i="9"/>
  <c r="AK507" i="9"/>
  <c r="AK508" i="9"/>
  <c r="AK509" i="9"/>
  <c r="AK510" i="9"/>
  <c r="AK511" i="9"/>
  <c r="AK512" i="9"/>
  <c r="AK513" i="9"/>
  <c r="AK514" i="9"/>
  <c r="AK515" i="9"/>
  <c r="AK516" i="9"/>
  <c r="AK517" i="9"/>
  <c r="AK518" i="9"/>
  <c r="AK519" i="9"/>
  <c r="AK520" i="9"/>
  <c r="AK521" i="9"/>
  <c r="AK522" i="9"/>
  <c r="AK523" i="9"/>
  <c r="AK524" i="9"/>
  <c r="AK525" i="9"/>
  <c r="AK526" i="9"/>
  <c r="AK527" i="9"/>
  <c r="AK528" i="9"/>
  <c r="AK529" i="9"/>
  <c r="AK530" i="9"/>
  <c r="AK531" i="9"/>
  <c r="AK532" i="9"/>
  <c r="AK533" i="9"/>
  <c r="AK534" i="9"/>
  <c r="AK535" i="9"/>
  <c r="AK536" i="9"/>
  <c r="AK537" i="9"/>
  <c r="AK538" i="9"/>
  <c r="AK539" i="9"/>
  <c r="AK540" i="9"/>
  <c r="AK541" i="9"/>
  <c r="AK542" i="9"/>
  <c r="AK543" i="9"/>
  <c r="AK544" i="9"/>
  <c r="AK545" i="9"/>
  <c r="AK546" i="9"/>
  <c r="AK547" i="9"/>
  <c r="AK548" i="9"/>
  <c r="AK549" i="9"/>
  <c r="AK550" i="9"/>
  <c r="AK551" i="9"/>
  <c r="AK552" i="9"/>
  <c r="AK553" i="9"/>
  <c r="AK554" i="9"/>
  <c r="AK555" i="9"/>
  <c r="AK556" i="9"/>
  <c r="AK557" i="9"/>
  <c r="AK558" i="9"/>
  <c r="AK559" i="9"/>
  <c r="AK560" i="9"/>
  <c r="AK561" i="9"/>
  <c r="AK562" i="9"/>
  <c r="AK563" i="9"/>
  <c r="AK564" i="9"/>
  <c r="AK565" i="9"/>
  <c r="AK566" i="9"/>
  <c r="AK567" i="9"/>
  <c r="AK568" i="9"/>
  <c r="AK569" i="9"/>
  <c r="AK570" i="9"/>
  <c r="AK571" i="9"/>
  <c r="AK572" i="9"/>
  <c r="AK573" i="9"/>
  <c r="AK574" i="9"/>
  <c r="AK575" i="9"/>
  <c r="AK576" i="9"/>
  <c r="AK577" i="9"/>
  <c r="AK578" i="9"/>
  <c r="AK579" i="9"/>
  <c r="AK580" i="9"/>
  <c r="AK581" i="9"/>
  <c r="AK582" i="9"/>
  <c r="AK583" i="9"/>
  <c r="AK584" i="9"/>
  <c r="AK585" i="9"/>
  <c r="AK586" i="9"/>
  <c r="AK587" i="9"/>
  <c r="AK588" i="9"/>
  <c r="AK589" i="9"/>
  <c r="AK590" i="9"/>
  <c r="AK591" i="9"/>
  <c r="AK592" i="9"/>
  <c r="AK593" i="9"/>
  <c r="AK594" i="9"/>
  <c r="AK595" i="9"/>
  <c r="AK596" i="9"/>
  <c r="AK597" i="9"/>
  <c r="AK598" i="9"/>
  <c r="AK599" i="9"/>
  <c r="AK600" i="9"/>
  <c r="AK601" i="9"/>
  <c r="AK602" i="9"/>
  <c r="AK603" i="9"/>
  <c r="AK6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BF214" i="9" l="1"/>
  <c r="BF194" i="9"/>
  <c r="AG323" i="9"/>
  <c r="AG435" i="9"/>
  <c r="AG524" i="9"/>
  <c r="AG482" i="9"/>
  <c r="AG370" i="9"/>
  <c r="AG75" i="9"/>
  <c r="AG588" i="9"/>
  <c r="AG362" i="9"/>
  <c r="AG580" i="9"/>
  <c r="AG573" i="9"/>
  <c r="AG564" i="9"/>
  <c r="AG508" i="9"/>
  <c r="AG501" i="9"/>
  <c r="AG477" i="9"/>
  <c r="AG468" i="9"/>
  <c r="AG461" i="9"/>
  <c r="AG421" i="9"/>
  <c r="AG396" i="9"/>
  <c r="AG388" i="9"/>
  <c r="AG380" i="9"/>
  <c r="AG357" i="9"/>
  <c r="AG349" i="9"/>
  <c r="AG332" i="9"/>
  <c r="AG309" i="9"/>
  <c r="AG301" i="9"/>
  <c r="AG293" i="9"/>
  <c r="AG284" i="9"/>
  <c r="AG83" i="9"/>
  <c r="AG339" i="9"/>
  <c r="AG411" i="9"/>
  <c r="AF82" i="9"/>
  <c r="AG602" i="9"/>
  <c r="AG586" i="9"/>
  <c r="AG570" i="9"/>
  <c r="AG546" i="9"/>
  <c r="AG530" i="9"/>
  <c r="AG514" i="9"/>
  <c r="AG498" i="9"/>
  <c r="AG474" i="9"/>
  <c r="AG442" i="9"/>
  <c r="AG426" i="9"/>
  <c r="AG394" i="9"/>
  <c r="AG378" i="9"/>
  <c r="AG314" i="9"/>
  <c r="AG298" i="9"/>
  <c r="AG593" i="9"/>
  <c r="AG569" i="9"/>
  <c r="AG537" i="9"/>
  <c r="AG529" i="9"/>
  <c r="AG513" i="9"/>
  <c r="AG497" i="9"/>
  <c r="AG449" i="9"/>
  <c r="AG409" i="9"/>
  <c r="AG401" i="9"/>
  <c r="AG393" i="9"/>
  <c r="AG377" i="9"/>
  <c r="AG321" i="9"/>
  <c r="AG313" i="9"/>
  <c r="AG594" i="9"/>
  <c r="AG578" i="9"/>
  <c r="AG554" i="9"/>
  <c r="AG506" i="9"/>
  <c r="AG466" i="9"/>
  <c r="AG450" i="9"/>
  <c r="AG434" i="9"/>
  <c r="AG418" i="9"/>
  <c r="AG402" i="9"/>
  <c r="AG386" i="9"/>
  <c r="AG354" i="9"/>
  <c r="AG290" i="9"/>
  <c r="AG274" i="9"/>
  <c r="A77" i="9"/>
  <c r="AG522" i="9"/>
  <c r="AG407" i="9"/>
  <c r="AO72" i="9"/>
  <c r="AF72" i="9"/>
  <c r="AG72" i="9" s="1"/>
  <c r="AF68" i="9"/>
  <c r="AG68" i="9" s="1"/>
  <c r="AG82" i="9"/>
  <c r="AF66" i="9"/>
  <c r="AG67" i="9" s="1"/>
  <c r="A68" i="9"/>
  <c r="A76" i="9"/>
  <c r="AF73" i="9"/>
  <c r="AG74" i="9" s="1"/>
  <c r="AF65" i="9"/>
  <c r="AF80" i="9"/>
  <c r="AG81" i="9" s="1"/>
  <c r="AF78" i="9"/>
  <c r="AG79" i="9" s="1"/>
  <c r="AF70" i="9"/>
  <c r="AG71" i="9" s="1"/>
  <c r="BF390" i="9"/>
  <c r="AG478" i="9"/>
  <c r="AG479" i="9"/>
  <c r="AG399" i="9"/>
  <c r="AG398" i="9"/>
  <c r="AG343" i="9"/>
  <c r="AG342" i="9"/>
  <c r="AG319" i="9"/>
  <c r="AG318" i="9"/>
  <c r="AG598" i="9"/>
  <c r="AG582" i="9"/>
  <c r="AG566" i="9"/>
  <c r="AG550" i="9"/>
  <c r="AG542" i="9"/>
  <c r="AG518" i="9"/>
  <c r="AG510" i="9"/>
  <c r="AG494" i="9"/>
  <c r="AG470" i="9"/>
  <c r="AG462" i="9"/>
  <c r="AG438" i="9"/>
  <c r="AG422" i="9"/>
  <c r="AG414" i="9"/>
  <c r="AG374" i="9"/>
  <c r="AG366" i="9"/>
  <c r="AG350" i="9"/>
  <c r="AG334" i="9"/>
  <c r="AG326" i="9"/>
  <c r="AG302" i="9"/>
  <c r="AG294" i="9"/>
  <c r="AG286" i="9"/>
  <c r="AG278" i="9"/>
  <c r="AG270" i="9"/>
  <c r="AG66" i="9"/>
  <c r="AG591" i="9"/>
  <c r="AG446" i="9"/>
  <c r="AG526" i="9"/>
  <c r="AG454" i="9"/>
  <c r="AG382" i="9"/>
  <c r="AG574" i="9"/>
  <c r="AG358" i="9"/>
  <c r="AG503" i="9"/>
  <c r="AG269" i="9"/>
  <c r="AG541" i="9"/>
  <c r="AG581" i="9"/>
  <c r="AG509" i="9"/>
  <c r="AG441" i="9"/>
  <c r="AG338" i="9"/>
  <c r="AG486" i="9"/>
  <c r="AG333" i="9"/>
  <c r="AG437" i="9"/>
  <c r="AG65" i="9"/>
  <c r="AG308" i="9"/>
  <c r="AG356" i="9"/>
  <c r="AG282" i="9"/>
  <c r="AG534" i="9"/>
  <c r="AG266" i="9"/>
  <c r="AG365" i="9"/>
  <c r="AG405" i="9"/>
  <c r="AG429" i="9"/>
  <c r="AG585" i="9"/>
  <c r="AG317" i="9"/>
  <c r="AG351" i="9"/>
  <c r="AG565" i="9"/>
  <c r="AG289" i="9"/>
  <c r="AG385" i="9"/>
  <c r="AG473" i="9"/>
  <c r="AG601" i="9"/>
  <c r="AG322" i="9"/>
  <c r="AG410" i="9"/>
  <c r="AG544" i="9"/>
  <c r="AG520" i="9"/>
  <c r="AG488" i="9"/>
  <c r="AG464" i="9"/>
  <c r="AG440" i="9"/>
  <c r="AG416" i="9"/>
  <c r="AG392" i="9"/>
  <c r="AG368" i="9"/>
  <c r="AG344" i="9"/>
  <c r="AG320" i="9"/>
  <c r="AG296" i="9"/>
  <c r="AG272" i="9"/>
  <c r="AG425" i="9"/>
  <c r="AG271" i="9"/>
  <c r="AG346" i="9"/>
  <c r="AG367" i="9"/>
  <c r="AG439" i="9"/>
  <c r="AG465" i="9"/>
  <c r="AG305" i="9"/>
  <c r="AG415" i="9"/>
  <c r="AG491" i="9"/>
  <c r="AG505" i="9"/>
  <c r="AG543" i="9"/>
  <c r="AG555" i="9"/>
  <c r="AG538" i="9"/>
  <c r="AG600" i="9"/>
  <c r="AG592" i="9"/>
  <c r="AG584" i="9"/>
  <c r="AG576" i="9"/>
  <c r="AG568" i="9"/>
  <c r="AG560" i="9"/>
  <c r="AG536" i="9"/>
  <c r="AG512" i="9"/>
  <c r="AG496" i="9"/>
  <c r="AG472" i="9"/>
  <c r="AG448" i="9"/>
  <c r="AG424" i="9"/>
  <c r="AG400" i="9"/>
  <c r="AG376" i="9"/>
  <c r="AG352" i="9"/>
  <c r="AG328" i="9"/>
  <c r="AG304" i="9"/>
  <c r="AG280" i="9"/>
  <c r="AG76" i="9"/>
  <c r="AG463" i="9"/>
  <c r="AG295" i="9"/>
  <c r="AG327" i="9"/>
  <c r="AG391" i="9"/>
  <c r="AG519" i="9"/>
  <c r="AG545" i="9"/>
  <c r="AG583" i="9"/>
  <c r="AG353" i="9"/>
  <c r="AG552" i="9"/>
  <c r="AG528" i="9"/>
  <c r="AG504" i="9"/>
  <c r="AG480" i="9"/>
  <c r="AG456" i="9"/>
  <c r="AG432" i="9"/>
  <c r="AG408" i="9"/>
  <c r="AG384" i="9"/>
  <c r="AG360" i="9"/>
  <c r="AG336" i="9"/>
  <c r="AG312" i="9"/>
  <c r="AG288" i="9"/>
  <c r="AG84" i="9"/>
  <c r="AG431" i="9"/>
  <c r="AG495" i="9"/>
  <c r="AG507" i="9"/>
  <c r="AG559" i="9"/>
  <c r="AG571" i="9"/>
  <c r="A84" i="9"/>
  <c r="AO77" i="9"/>
  <c r="A74" i="9"/>
  <c r="A75" i="9"/>
  <c r="A79" i="9"/>
  <c r="AO71" i="9"/>
  <c r="AO84" i="9"/>
  <c r="A71" i="9"/>
  <c r="A70" i="9"/>
  <c r="U70" i="9"/>
  <c r="AO81" i="9"/>
  <c r="AO69" i="9"/>
  <c r="AO75" i="9"/>
  <c r="AO76" i="9"/>
  <c r="A78" i="9"/>
  <c r="U78" i="9"/>
  <c r="U82" i="9"/>
  <c r="A82" i="9"/>
  <c r="AO74" i="9"/>
  <c r="AO83" i="9"/>
  <c r="U68" i="9"/>
  <c r="AO67" i="9"/>
  <c r="U69" i="9"/>
  <c r="A69" i="9"/>
  <c r="AO79" i="9"/>
  <c r="U66" i="9"/>
  <c r="A66" i="9"/>
  <c r="A72" i="9"/>
  <c r="A83" i="9"/>
  <c r="A67" i="9"/>
  <c r="A80" i="9"/>
  <c r="AV32" i="9"/>
  <c r="AV31" i="9"/>
  <c r="AV42" i="9"/>
  <c r="AV50" i="9"/>
  <c r="AV58" i="9"/>
  <c r="AV346" i="9"/>
  <c r="AV354" i="9"/>
  <c r="AV362" i="9"/>
  <c r="AV370" i="9"/>
  <c r="AV378" i="9"/>
  <c r="AV19" i="9"/>
  <c r="AV11" i="9"/>
  <c r="AV35" i="9"/>
  <c r="AV52" i="9"/>
  <c r="AV356" i="9"/>
  <c r="AV372" i="9"/>
  <c r="AV17" i="9"/>
  <c r="AV36" i="9"/>
  <c r="AV53" i="9"/>
  <c r="AV349" i="9"/>
  <c r="AV365" i="9"/>
  <c r="AV381" i="9"/>
  <c r="AV24" i="9"/>
  <c r="AV8" i="9"/>
  <c r="AV37" i="9"/>
  <c r="AV54" i="9"/>
  <c r="AV358" i="9"/>
  <c r="AV374" i="9"/>
  <c r="AV23" i="9"/>
  <c r="AV7" i="9"/>
  <c r="AV49" i="9"/>
  <c r="AV353" i="9"/>
  <c r="AV377" i="9"/>
  <c r="AV12" i="9"/>
  <c r="AV33" i="9"/>
  <c r="AV43" i="9"/>
  <c r="AV51" i="9"/>
  <c r="AV59" i="9"/>
  <c r="AV347" i="9"/>
  <c r="AV355" i="9"/>
  <c r="AV363" i="9"/>
  <c r="AV371" i="9"/>
  <c r="AV379" i="9"/>
  <c r="AV18" i="9"/>
  <c r="AV44" i="9"/>
  <c r="AV60" i="9"/>
  <c r="AV348" i="9"/>
  <c r="AV364" i="9"/>
  <c r="AV380" i="9"/>
  <c r="AV9" i="9"/>
  <c r="AV25" i="9"/>
  <c r="AV45" i="9"/>
  <c r="AV61" i="9"/>
  <c r="AV357" i="9"/>
  <c r="AV373" i="9"/>
  <c r="AV16" i="9"/>
  <c r="AV27" i="9"/>
  <c r="AV46" i="9"/>
  <c r="AV62" i="9"/>
  <c r="AV350" i="9"/>
  <c r="AV366" i="9"/>
  <c r="AV382" i="9"/>
  <c r="AV15" i="9"/>
  <c r="AV30" i="9"/>
  <c r="AV57" i="9"/>
  <c r="AV361" i="9"/>
  <c r="AV20" i="9"/>
  <c r="AV28" i="9"/>
  <c r="AV38" i="9"/>
  <c r="AV47" i="9"/>
  <c r="AV55" i="9"/>
  <c r="AV63" i="9"/>
  <c r="AV351" i="9"/>
  <c r="AV359" i="9"/>
  <c r="AV367" i="9"/>
  <c r="AV375" i="9"/>
  <c r="AV383" i="9"/>
  <c r="AV22" i="9"/>
  <c r="AV14" i="9"/>
  <c r="AV6" i="9"/>
  <c r="AV29" i="9"/>
  <c r="AV39" i="9"/>
  <c r="AV48" i="9"/>
  <c r="AV56" i="9"/>
  <c r="AV64" i="9"/>
  <c r="AV352" i="9"/>
  <c r="AV360" i="9"/>
  <c r="AV368" i="9"/>
  <c r="AV376" i="9"/>
  <c r="AV384" i="9"/>
  <c r="AV21" i="9"/>
  <c r="AV13" i="9"/>
  <c r="AV5" i="9"/>
  <c r="AV41" i="9"/>
  <c r="AV345" i="9"/>
  <c r="AV369" i="9"/>
  <c r="BF512" i="9"/>
  <c r="BF252" i="9"/>
  <c r="BF550" i="9"/>
  <c r="BF589" i="9"/>
  <c r="BF604" i="9"/>
  <c r="BF298" i="9"/>
  <c r="BF234" i="9"/>
  <c r="AV34" i="9"/>
  <c r="AV26" i="9"/>
  <c r="AV40" i="9"/>
  <c r="A65" i="9"/>
  <c r="A73" i="9"/>
  <c r="A81" i="9"/>
  <c r="U72" i="9"/>
  <c r="U80" i="9"/>
  <c r="F6" i="30"/>
  <c r="F7" i="30"/>
  <c r="F9" i="30"/>
  <c r="F10" i="30"/>
  <c r="A10" i="30" s="1"/>
  <c r="F12" i="30"/>
  <c r="A12" i="30" s="1"/>
  <c r="F11" i="30"/>
  <c r="A11" i="30" s="1"/>
  <c r="AV418" i="9" s="1"/>
  <c r="F13" i="30"/>
  <c r="A13" i="30" s="1"/>
  <c r="F14" i="30"/>
  <c r="A14" i="30" s="1"/>
  <c r="F15" i="30"/>
  <c r="A15" i="30" s="1"/>
  <c r="F16" i="30"/>
  <c r="A16" i="30" s="1"/>
  <c r="F18" i="30"/>
  <c r="A18" i="30" s="1"/>
  <c r="BA185" i="9" s="1"/>
  <c r="F19" i="30"/>
  <c r="A19" i="30" s="1"/>
  <c r="F20" i="30"/>
  <c r="A20" i="30" s="1"/>
  <c r="F21" i="30"/>
  <c r="A21" i="30" s="1"/>
  <c r="BF525" i="9" s="1"/>
  <c r="A40" i="30"/>
  <c r="A41" i="30"/>
  <c r="A43" i="30"/>
  <c r="A45" i="30"/>
  <c r="A53" i="30"/>
  <c r="A54" i="30"/>
  <c r="A55" i="30"/>
  <c r="A56" i="30"/>
  <c r="A57" i="30"/>
  <c r="A58" i="30"/>
  <c r="A59" i="30"/>
  <c r="F5" i="30"/>
  <c r="A42" i="30"/>
  <c r="A44" i="30"/>
  <c r="A52" i="30"/>
  <c r="AI604" i="9"/>
  <c r="AI603" i="9"/>
  <c r="AI602" i="9"/>
  <c r="AI601" i="9"/>
  <c r="AI600" i="9"/>
  <c r="AI599" i="9"/>
  <c r="AI598" i="9"/>
  <c r="AI597" i="9"/>
  <c r="AI596" i="9"/>
  <c r="AI595" i="9"/>
  <c r="AI594" i="9"/>
  <c r="AI593" i="9"/>
  <c r="AI592" i="9"/>
  <c r="AI591" i="9"/>
  <c r="AI590" i="9"/>
  <c r="AI589" i="9"/>
  <c r="AI588" i="9"/>
  <c r="AI587" i="9"/>
  <c r="AI586" i="9"/>
  <c r="AI585" i="9"/>
  <c r="AI584" i="9"/>
  <c r="AI583" i="9"/>
  <c r="AI582" i="9"/>
  <c r="AI581" i="9"/>
  <c r="AI580" i="9"/>
  <c r="AI579" i="9"/>
  <c r="AI578" i="9"/>
  <c r="AI577" i="9"/>
  <c r="AI576" i="9"/>
  <c r="AI575" i="9"/>
  <c r="AI574" i="9"/>
  <c r="AI573" i="9"/>
  <c r="AI572" i="9"/>
  <c r="AI571" i="9"/>
  <c r="AI570" i="9"/>
  <c r="AI569" i="9"/>
  <c r="AI568" i="9"/>
  <c r="AI567" i="9"/>
  <c r="AI566" i="9"/>
  <c r="AI565" i="9"/>
  <c r="AI564" i="9"/>
  <c r="AI563" i="9"/>
  <c r="AI562" i="9"/>
  <c r="AI561" i="9"/>
  <c r="AI560" i="9"/>
  <c r="AI559" i="9"/>
  <c r="AI558" i="9"/>
  <c r="AI557" i="9"/>
  <c r="AI556" i="9"/>
  <c r="AI555" i="9"/>
  <c r="AI554" i="9"/>
  <c r="AI553" i="9"/>
  <c r="AI552" i="9"/>
  <c r="AI551" i="9"/>
  <c r="AI550" i="9"/>
  <c r="AI549" i="9"/>
  <c r="AI548" i="9"/>
  <c r="AI547" i="9"/>
  <c r="AI546" i="9"/>
  <c r="AI545" i="9"/>
  <c r="AI544" i="9"/>
  <c r="AI543" i="9"/>
  <c r="AI542" i="9"/>
  <c r="AI541" i="9"/>
  <c r="AI540" i="9"/>
  <c r="AI539" i="9"/>
  <c r="AI538" i="9"/>
  <c r="AI537" i="9"/>
  <c r="AI536" i="9"/>
  <c r="AI535" i="9"/>
  <c r="AI534" i="9"/>
  <c r="AI533" i="9"/>
  <c r="AI532" i="9"/>
  <c r="AI531" i="9"/>
  <c r="AI530" i="9"/>
  <c r="AI529" i="9"/>
  <c r="AI528" i="9"/>
  <c r="AI527" i="9"/>
  <c r="AI526" i="9"/>
  <c r="AI525" i="9"/>
  <c r="AI524" i="9"/>
  <c r="AI523" i="9"/>
  <c r="AI522" i="9"/>
  <c r="AI521" i="9"/>
  <c r="AI520" i="9"/>
  <c r="AI519" i="9"/>
  <c r="AI518" i="9"/>
  <c r="AI517" i="9"/>
  <c r="AI516" i="9"/>
  <c r="AI515" i="9"/>
  <c r="AI514" i="9"/>
  <c r="AI513" i="9"/>
  <c r="AI512" i="9"/>
  <c r="AI511" i="9"/>
  <c r="AI510" i="9"/>
  <c r="AI509" i="9"/>
  <c r="AI508" i="9"/>
  <c r="AI507" i="9"/>
  <c r="AI506" i="9"/>
  <c r="AI505" i="9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I304" i="9"/>
  <c r="AI303" i="9"/>
  <c r="AI302" i="9"/>
  <c r="AI301" i="9"/>
  <c r="AI300" i="9"/>
  <c r="AI299" i="9"/>
  <c r="AI298" i="9"/>
  <c r="AI297" i="9"/>
  <c r="AI296" i="9"/>
  <c r="AI295" i="9"/>
  <c r="AI294" i="9"/>
  <c r="AI293" i="9"/>
  <c r="AI292" i="9"/>
  <c r="AI291" i="9"/>
  <c r="AI290" i="9"/>
  <c r="AI289" i="9"/>
  <c r="AI288" i="9"/>
  <c r="AI287" i="9"/>
  <c r="AI286" i="9"/>
  <c r="AI285" i="9"/>
  <c r="AI284" i="9"/>
  <c r="AI283" i="9"/>
  <c r="AI282" i="9"/>
  <c r="AI281" i="9"/>
  <c r="AI280" i="9"/>
  <c r="AI279" i="9"/>
  <c r="AI278" i="9"/>
  <c r="AI277" i="9"/>
  <c r="AI276" i="9"/>
  <c r="AI275" i="9"/>
  <c r="AI274" i="9"/>
  <c r="AI273" i="9"/>
  <c r="AI272" i="9"/>
  <c r="AI271" i="9"/>
  <c r="AI270" i="9"/>
  <c r="AI269" i="9"/>
  <c r="AI268" i="9"/>
  <c r="AI267" i="9"/>
  <c r="AI266" i="9"/>
  <c r="AI265" i="9"/>
  <c r="AV197" i="9" l="1"/>
  <c r="AQ203" i="9"/>
  <c r="AV201" i="9"/>
  <c r="AV199" i="9"/>
  <c r="AV202" i="9"/>
  <c r="AV200" i="9"/>
  <c r="AV198" i="9"/>
  <c r="AV196" i="9"/>
  <c r="AQ204" i="9"/>
  <c r="AQ195" i="9"/>
  <c r="AQ187" i="9"/>
  <c r="AQ201" i="9"/>
  <c r="AQ193" i="9"/>
  <c r="AQ185" i="9"/>
  <c r="AQ200" i="9"/>
  <c r="AQ198" i="9"/>
  <c r="AQ196" i="9"/>
  <c r="AQ190" i="9"/>
  <c r="AQ188" i="9"/>
  <c r="AQ202" i="9"/>
  <c r="AQ194" i="9"/>
  <c r="AQ186" i="9"/>
  <c r="AQ197" i="9"/>
  <c r="AQ189" i="9"/>
  <c r="AQ199" i="9"/>
  <c r="AQ191" i="9"/>
  <c r="AQ192" i="9"/>
  <c r="AV203" i="9"/>
  <c r="AV204" i="9"/>
  <c r="AG69" i="9"/>
  <c r="AG80" i="9"/>
  <c r="AG78" i="9"/>
  <c r="AG70" i="9"/>
  <c r="AG73" i="9"/>
  <c r="AV79" i="9"/>
  <c r="AV81" i="9"/>
  <c r="AV80" i="9"/>
  <c r="AV82" i="9"/>
  <c r="AV83" i="9"/>
  <c r="AV84" i="9"/>
  <c r="AV78" i="9"/>
  <c r="BF565" i="9"/>
  <c r="BF545" i="9"/>
  <c r="BF585" i="9"/>
  <c r="AQ359" i="9"/>
  <c r="AQ374" i="9"/>
  <c r="AQ382" i="9"/>
  <c r="AQ361" i="9"/>
  <c r="AQ384" i="9"/>
  <c r="AQ363" i="9"/>
  <c r="AQ380" i="9"/>
  <c r="AQ373" i="9"/>
  <c r="AQ360" i="9"/>
  <c r="AQ375" i="9"/>
  <c r="AQ383" i="9"/>
  <c r="AQ376" i="9"/>
  <c r="AQ364" i="9"/>
  <c r="AQ372" i="9"/>
  <c r="AQ381" i="9"/>
  <c r="AQ362" i="9"/>
  <c r="AQ377" i="9"/>
  <c r="AQ378" i="9"/>
  <c r="AQ379" i="9"/>
  <c r="AV103" i="9"/>
  <c r="AV119" i="9"/>
  <c r="AV221" i="9"/>
  <c r="AV263" i="9"/>
  <c r="AV102" i="9"/>
  <c r="AV104" i="9"/>
  <c r="AV120" i="9"/>
  <c r="AV220" i="9"/>
  <c r="AV121" i="9"/>
  <c r="AV99" i="9"/>
  <c r="AV100" i="9"/>
  <c r="AV224" i="9"/>
  <c r="AV264" i="9"/>
  <c r="AV122" i="9"/>
  <c r="AV222" i="9"/>
  <c r="AV262" i="9"/>
  <c r="AV123" i="9"/>
  <c r="AV223" i="9"/>
  <c r="AV124" i="9"/>
  <c r="AV101" i="9"/>
  <c r="BA45" i="9"/>
  <c r="BA85" i="9"/>
  <c r="BA125" i="9"/>
  <c r="BA165" i="9"/>
  <c r="BA225" i="9"/>
  <c r="BA265" i="9"/>
  <c r="BA305" i="9"/>
  <c r="BA345" i="9"/>
  <c r="BA385" i="9"/>
  <c r="BA425" i="9"/>
  <c r="BA465" i="9"/>
  <c r="BA505" i="9"/>
  <c r="BA545" i="9"/>
  <c r="BA585" i="9"/>
  <c r="BA5" i="9"/>
  <c r="BA25" i="9"/>
  <c r="BA65" i="9"/>
  <c r="BA105" i="9"/>
  <c r="BA145" i="9"/>
  <c r="BA205" i="9"/>
  <c r="BA245" i="9"/>
  <c r="BA285" i="9"/>
  <c r="BA325" i="9"/>
  <c r="BA365" i="9"/>
  <c r="BA405" i="9"/>
  <c r="BA445" i="9"/>
  <c r="BA485" i="9"/>
  <c r="BA525" i="9"/>
  <c r="BA565" i="9"/>
  <c r="AV87" i="9"/>
  <c r="AV95" i="9"/>
  <c r="AV111" i="9"/>
  <c r="AV211" i="9"/>
  <c r="AV219" i="9"/>
  <c r="AV251" i="9"/>
  <c r="AV259" i="9"/>
  <c r="AV113" i="9"/>
  <c r="AV205" i="9"/>
  <c r="AV253" i="9"/>
  <c r="AV91" i="9"/>
  <c r="AV107" i="9"/>
  <c r="AV115" i="9"/>
  <c r="AV207" i="9"/>
  <c r="AV247" i="9"/>
  <c r="AV92" i="9"/>
  <c r="AV108" i="9"/>
  <c r="AV116" i="9"/>
  <c r="AV216" i="9"/>
  <c r="AV256" i="9"/>
  <c r="AV93" i="9"/>
  <c r="AV117" i="9"/>
  <c r="AV209" i="9"/>
  <c r="AV86" i="9"/>
  <c r="AV258" i="9"/>
  <c r="AV88" i="9"/>
  <c r="AV96" i="9"/>
  <c r="AV112" i="9"/>
  <c r="AV212" i="9"/>
  <c r="AV252" i="9"/>
  <c r="AV260" i="9"/>
  <c r="AV89" i="9"/>
  <c r="AV97" i="9"/>
  <c r="AV105" i="9"/>
  <c r="AV213" i="9"/>
  <c r="AV245" i="9"/>
  <c r="AV261" i="9"/>
  <c r="AV215" i="9"/>
  <c r="AV255" i="9"/>
  <c r="AV85" i="9"/>
  <c r="AV109" i="9"/>
  <c r="AV257" i="9"/>
  <c r="AV94" i="9"/>
  <c r="AV110" i="9"/>
  <c r="AV210" i="9"/>
  <c r="AV90" i="9"/>
  <c r="AV98" i="9"/>
  <c r="AV106" i="9"/>
  <c r="AV114" i="9"/>
  <c r="AV206" i="9"/>
  <c r="AV214" i="9"/>
  <c r="AV246" i="9"/>
  <c r="AV254" i="9"/>
  <c r="AV208" i="9"/>
  <c r="AV248" i="9"/>
  <c r="AV217" i="9"/>
  <c r="AV249" i="9"/>
  <c r="AV118" i="9"/>
  <c r="AV218" i="9"/>
  <c r="AV250" i="9"/>
  <c r="BF485" i="9"/>
  <c r="BF465" i="9"/>
  <c r="BF505" i="9"/>
  <c r="AV71" i="9"/>
  <c r="AV65" i="9"/>
  <c r="AV67" i="9"/>
  <c r="AV68" i="9"/>
  <c r="AV77" i="9"/>
  <c r="AV72" i="9"/>
  <c r="AV73" i="9"/>
  <c r="AV75" i="9"/>
  <c r="AV76" i="9"/>
  <c r="AV70" i="9"/>
  <c r="AV66" i="9"/>
  <c r="AV74" i="9"/>
  <c r="AV69" i="9"/>
  <c r="AV309" i="9"/>
  <c r="AV317" i="9"/>
  <c r="AV325" i="9"/>
  <c r="AV333" i="9"/>
  <c r="AV341" i="9"/>
  <c r="AV389" i="9"/>
  <c r="AV397" i="9"/>
  <c r="AV310" i="9"/>
  <c r="AV318" i="9"/>
  <c r="AV326" i="9"/>
  <c r="AV334" i="9"/>
  <c r="AV342" i="9"/>
  <c r="AV390" i="9"/>
  <c r="AV398" i="9"/>
  <c r="AV311" i="9"/>
  <c r="AV319" i="9"/>
  <c r="AV327" i="9"/>
  <c r="AV335" i="9"/>
  <c r="AV343" i="9"/>
  <c r="AV391" i="9"/>
  <c r="AV399" i="9"/>
  <c r="AV312" i="9"/>
  <c r="AV320" i="9"/>
  <c r="AV328" i="9"/>
  <c r="AV336" i="9"/>
  <c r="AV344" i="9"/>
  <c r="AV392" i="9"/>
  <c r="AV400" i="9"/>
  <c r="AV305" i="9"/>
  <c r="AV313" i="9"/>
  <c r="AV321" i="9"/>
  <c r="AV329" i="9"/>
  <c r="AV337" i="9"/>
  <c r="AV385" i="9"/>
  <c r="AV393" i="9"/>
  <c r="AV401" i="9"/>
  <c r="AV306" i="9"/>
  <c r="AV314" i="9"/>
  <c r="AV322" i="9"/>
  <c r="AV330" i="9"/>
  <c r="AV338" i="9"/>
  <c r="AV386" i="9"/>
  <c r="AV394" i="9"/>
  <c r="AV402" i="9"/>
  <c r="AV307" i="9"/>
  <c r="AV315" i="9"/>
  <c r="AV323" i="9"/>
  <c r="AV331" i="9"/>
  <c r="AV339" i="9"/>
  <c r="AV387" i="9"/>
  <c r="AV395" i="9"/>
  <c r="AV403" i="9"/>
  <c r="AV340" i="9"/>
  <c r="AV388" i="9"/>
  <c r="AV396" i="9"/>
  <c r="AV404" i="9"/>
  <c r="AV308" i="9"/>
  <c r="AV316" i="9"/>
  <c r="AV324" i="9"/>
  <c r="AV332" i="9"/>
  <c r="AV405" i="9"/>
  <c r="AV413" i="9"/>
  <c r="AV421" i="9"/>
  <c r="AV406" i="9"/>
  <c r="AV414" i="9"/>
  <c r="AV422" i="9"/>
  <c r="AV407" i="9"/>
  <c r="AV415" i="9"/>
  <c r="AV423" i="9"/>
  <c r="AV408" i="9"/>
  <c r="AV416" i="9"/>
  <c r="AV424" i="9"/>
  <c r="AV409" i="9"/>
  <c r="AV417" i="9"/>
  <c r="AV410" i="9"/>
  <c r="AV411" i="9"/>
  <c r="AV419" i="9"/>
  <c r="AV412" i="9"/>
  <c r="AV420" i="9"/>
  <c r="AQ127" i="9"/>
  <c r="AQ135" i="9"/>
  <c r="AQ143" i="9"/>
  <c r="AQ307" i="9"/>
  <c r="AQ315" i="9"/>
  <c r="AQ323" i="9"/>
  <c r="AQ435" i="9"/>
  <c r="AQ443" i="9"/>
  <c r="AQ130" i="9"/>
  <c r="AQ318" i="9"/>
  <c r="AQ128" i="9"/>
  <c r="AQ136" i="9"/>
  <c r="AQ144" i="9"/>
  <c r="AQ308" i="9"/>
  <c r="AQ316" i="9"/>
  <c r="AQ324" i="9"/>
  <c r="AQ436" i="9"/>
  <c r="AQ444" i="9"/>
  <c r="AQ310" i="9"/>
  <c r="AQ129" i="9"/>
  <c r="AQ137" i="9"/>
  <c r="AQ309" i="9"/>
  <c r="AQ317" i="9"/>
  <c r="AQ437" i="9"/>
  <c r="AQ138" i="9"/>
  <c r="AQ438" i="9"/>
  <c r="AQ131" i="9"/>
  <c r="AQ139" i="9"/>
  <c r="AQ311" i="9"/>
  <c r="AQ319" i="9"/>
  <c r="AQ439" i="9"/>
  <c r="AQ126" i="9"/>
  <c r="AQ320" i="9"/>
  <c r="AQ442" i="9"/>
  <c r="AQ134" i="9"/>
  <c r="AQ432" i="9"/>
  <c r="AQ306" i="9"/>
  <c r="AQ433" i="9"/>
  <c r="AQ314" i="9"/>
  <c r="AQ132" i="9"/>
  <c r="AQ321" i="9"/>
  <c r="AQ133" i="9"/>
  <c r="AQ322" i="9"/>
  <c r="AQ305" i="9"/>
  <c r="AQ140" i="9"/>
  <c r="AQ141" i="9"/>
  <c r="AQ312" i="9"/>
  <c r="AQ434" i="9"/>
  <c r="AQ142" i="9"/>
  <c r="AQ313" i="9"/>
  <c r="AQ440" i="9"/>
  <c r="AQ125" i="9"/>
  <c r="AQ441" i="9"/>
  <c r="AQ151" i="9"/>
  <c r="AQ159" i="9"/>
  <c r="AQ167" i="9"/>
  <c r="AQ175" i="9"/>
  <c r="AQ183" i="9"/>
  <c r="AQ211" i="9"/>
  <c r="AQ219" i="9"/>
  <c r="AQ227" i="9"/>
  <c r="AQ235" i="9"/>
  <c r="AQ243" i="9"/>
  <c r="AQ251" i="9"/>
  <c r="AQ259" i="9"/>
  <c r="AQ267" i="9"/>
  <c r="AQ275" i="9"/>
  <c r="AQ283" i="9"/>
  <c r="AQ291" i="9"/>
  <c r="AQ299" i="9"/>
  <c r="AQ451" i="9"/>
  <c r="AQ459" i="9"/>
  <c r="AQ467" i="9"/>
  <c r="AQ475" i="9"/>
  <c r="AQ483" i="9"/>
  <c r="AQ491" i="9"/>
  <c r="AQ499" i="9"/>
  <c r="AQ507" i="9"/>
  <c r="AQ515" i="9"/>
  <c r="AQ523" i="9"/>
  <c r="AQ531" i="9"/>
  <c r="AQ539" i="9"/>
  <c r="AQ547" i="9"/>
  <c r="AQ555" i="9"/>
  <c r="AQ563" i="9"/>
  <c r="AQ571" i="9"/>
  <c r="AQ579" i="9"/>
  <c r="AQ587" i="9"/>
  <c r="AQ595" i="9"/>
  <c r="AQ603" i="9"/>
  <c r="AQ154" i="9"/>
  <c r="AQ178" i="9"/>
  <c r="AQ222" i="9"/>
  <c r="AQ246" i="9"/>
  <c r="AQ270" i="9"/>
  <c r="AQ294" i="9"/>
  <c r="AQ454" i="9"/>
  <c r="AQ478" i="9"/>
  <c r="AQ502" i="9"/>
  <c r="AQ526" i="9"/>
  <c r="AQ152" i="9"/>
  <c r="AQ160" i="9"/>
  <c r="AQ168" i="9"/>
  <c r="AQ176" i="9"/>
  <c r="AQ184" i="9"/>
  <c r="AQ212" i="9"/>
  <c r="AQ220" i="9"/>
  <c r="AQ228" i="9"/>
  <c r="AQ236" i="9"/>
  <c r="AQ244" i="9"/>
  <c r="AQ252" i="9"/>
  <c r="AQ260" i="9"/>
  <c r="AQ268" i="9"/>
  <c r="AQ276" i="9"/>
  <c r="AQ284" i="9"/>
  <c r="AQ292" i="9"/>
  <c r="AQ300" i="9"/>
  <c r="AQ452" i="9"/>
  <c r="AQ460" i="9"/>
  <c r="AQ468" i="9"/>
  <c r="AQ476" i="9"/>
  <c r="AQ484" i="9"/>
  <c r="AQ492" i="9"/>
  <c r="AQ500" i="9"/>
  <c r="AQ508" i="9"/>
  <c r="AQ516" i="9"/>
  <c r="AQ524" i="9"/>
  <c r="AQ532" i="9"/>
  <c r="AQ540" i="9"/>
  <c r="AQ548" i="9"/>
  <c r="AQ556" i="9"/>
  <c r="AQ564" i="9"/>
  <c r="AQ572" i="9"/>
  <c r="AQ580" i="9"/>
  <c r="AQ588" i="9"/>
  <c r="AQ596" i="9"/>
  <c r="AQ604" i="9"/>
  <c r="AQ146" i="9"/>
  <c r="AQ170" i="9"/>
  <c r="AQ214" i="9"/>
  <c r="AQ238" i="9"/>
  <c r="AQ262" i="9"/>
  <c r="AQ286" i="9"/>
  <c r="AQ446" i="9"/>
  <c r="AQ462" i="9"/>
  <c r="AQ486" i="9"/>
  <c r="AQ510" i="9"/>
  <c r="AQ534" i="9"/>
  <c r="AQ145" i="9"/>
  <c r="AQ153" i="9"/>
  <c r="AQ161" i="9"/>
  <c r="AQ169" i="9"/>
  <c r="AQ177" i="9"/>
  <c r="AQ205" i="9"/>
  <c r="AQ213" i="9"/>
  <c r="AQ221" i="9"/>
  <c r="AQ229" i="9"/>
  <c r="AQ237" i="9"/>
  <c r="AQ245" i="9"/>
  <c r="AQ253" i="9"/>
  <c r="AQ261" i="9"/>
  <c r="AQ269" i="9"/>
  <c r="AQ277" i="9"/>
  <c r="AQ285" i="9"/>
  <c r="AQ293" i="9"/>
  <c r="AQ301" i="9"/>
  <c r="AQ445" i="9"/>
  <c r="AQ453" i="9"/>
  <c r="AQ461" i="9"/>
  <c r="AQ469" i="9"/>
  <c r="AQ477" i="9"/>
  <c r="AQ485" i="9"/>
  <c r="AQ493" i="9"/>
  <c r="AQ501" i="9"/>
  <c r="AQ509" i="9"/>
  <c r="AQ517" i="9"/>
  <c r="AQ525" i="9"/>
  <c r="AQ533" i="9"/>
  <c r="AQ541" i="9"/>
  <c r="AQ549" i="9"/>
  <c r="AQ557" i="9"/>
  <c r="AQ565" i="9"/>
  <c r="AQ573" i="9"/>
  <c r="AQ581" i="9"/>
  <c r="AQ589" i="9"/>
  <c r="AQ597" i="9"/>
  <c r="AQ162" i="9"/>
  <c r="AQ206" i="9"/>
  <c r="AQ230" i="9"/>
  <c r="AQ254" i="9"/>
  <c r="AQ278" i="9"/>
  <c r="AQ302" i="9"/>
  <c r="AQ470" i="9"/>
  <c r="AQ494" i="9"/>
  <c r="AQ518" i="9"/>
  <c r="AQ147" i="9"/>
  <c r="AQ155" i="9"/>
  <c r="AQ163" i="9"/>
  <c r="AQ171" i="9"/>
  <c r="AQ179" i="9"/>
  <c r="AQ207" i="9"/>
  <c r="AQ215" i="9"/>
  <c r="AQ223" i="9"/>
  <c r="AQ231" i="9"/>
  <c r="AQ239" i="9"/>
  <c r="AQ247" i="9"/>
  <c r="AQ255" i="9"/>
  <c r="AQ263" i="9"/>
  <c r="AQ271" i="9"/>
  <c r="AQ279" i="9"/>
  <c r="AQ287" i="9"/>
  <c r="AQ295" i="9"/>
  <c r="AQ303" i="9"/>
  <c r="AQ447" i="9"/>
  <c r="AQ455" i="9"/>
  <c r="AQ463" i="9"/>
  <c r="AQ471" i="9"/>
  <c r="AQ479" i="9"/>
  <c r="AQ487" i="9"/>
  <c r="AQ495" i="9"/>
  <c r="AQ503" i="9"/>
  <c r="AQ511" i="9"/>
  <c r="AQ519" i="9"/>
  <c r="AQ527" i="9"/>
  <c r="AQ535" i="9"/>
  <c r="AQ543" i="9"/>
  <c r="AQ551" i="9"/>
  <c r="AQ559" i="9"/>
  <c r="AQ567" i="9"/>
  <c r="AQ575" i="9"/>
  <c r="AQ583" i="9"/>
  <c r="AQ591" i="9"/>
  <c r="AQ599" i="9"/>
  <c r="AQ149" i="9"/>
  <c r="AQ172" i="9"/>
  <c r="AQ210" i="9"/>
  <c r="AQ233" i="9"/>
  <c r="AQ256" i="9"/>
  <c r="AQ274" i="9"/>
  <c r="AQ297" i="9"/>
  <c r="AQ465" i="9"/>
  <c r="AQ488" i="9"/>
  <c r="AQ506" i="9"/>
  <c r="AQ529" i="9"/>
  <c r="AQ546" i="9"/>
  <c r="AQ562" i="9"/>
  <c r="AQ578" i="9"/>
  <c r="AQ594" i="9"/>
  <c r="AQ550" i="9"/>
  <c r="AQ598" i="9"/>
  <c r="AQ218" i="9"/>
  <c r="AQ282" i="9"/>
  <c r="AQ514" i="9"/>
  <c r="AQ569" i="9"/>
  <c r="AQ158" i="9"/>
  <c r="AQ242" i="9"/>
  <c r="AQ497" i="9"/>
  <c r="AQ554" i="9"/>
  <c r="AQ602" i="9"/>
  <c r="AQ505" i="9"/>
  <c r="AQ577" i="9"/>
  <c r="AQ150" i="9"/>
  <c r="AQ173" i="9"/>
  <c r="AQ216" i="9"/>
  <c r="AQ234" i="9"/>
  <c r="AQ257" i="9"/>
  <c r="AQ280" i="9"/>
  <c r="AQ298" i="9"/>
  <c r="AQ448" i="9"/>
  <c r="AQ466" i="9"/>
  <c r="AQ489" i="9"/>
  <c r="AQ512" i="9"/>
  <c r="AQ530" i="9"/>
  <c r="AQ566" i="9"/>
  <c r="AQ582" i="9"/>
  <c r="AQ180" i="9"/>
  <c r="AQ264" i="9"/>
  <c r="AQ473" i="9"/>
  <c r="AQ537" i="9"/>
  <c r="AQ585" i="9"/>
  <c r="AQ181" i="9"/>
  <c r="AQ265" i="9"/>
  <c r="AQ474" i="9"/>
  <c r="AQ538" i="9"/>
  <c r="AQ586" i="9"/>
  <c r="AQ296" i="9"/>
  <c r="AQ482" i="9"/>
  <c r="AQ561" i="9"/>
  <c r="AQ156" i="9"/>
  <c r="AQ174" i="9"/>
  <c r="AQ217" i="9"/>
  <c r="AQ240" i="9"/>
  <c r="AQ258" i="9"/>
  <c r="AQ281" i="9"/>
  <c r="AQ304" i="9"/>
  <c r="AQ449" i="9"/>
  <c r="AQ472" i="9"/>
  <c r="AQ490" i="9"/>
  <c r="AQ513" i="9"/>
  <c r="AQ536" i="9"/>
  <c r="AQ552" i="9"/>
  <c r="AQ568" i="9"/>
  <c r="AQ584" i="9"/>
  <c r="AQ600" i="9"/>
  <c r="AQ157" i="9"/>
  <c r="AQ241" i="9"/>
  <c r="AQ450" i="9"/>
  <c r="AQ496" i="9"/>
  <c r="AQ553" i="9"/>
  <c r="AQ601" i="9"/>
  <c r="AQ224" i="9"/>
  <c r="AQ288" i="9"/>
  <c r="AQ456" i="9"/>
  <c r="AQ520" i="9"/>
  <c r="AQ570" i="9"/>
  <c r="AQ464" i="9"/>
  <c r="AQ545" i="9"/>
  <c r="AQ164" i="9"/>
  <c r="AQ182" i="9"/>
  <c r="AQ225" i="9"/>
  <c r="AQ248" i="9"/>
  <c r="AQ266" i="9"/>
  <c r="AQ289" i="9"/>
  <c r="AQ457" i="9"/>
  <c r="AQ480" i="9"/>
  <c r="AQ498" i="9"/>
  <c r="AQ521" i="9"/>
  <c r="AQ542" i="9"/>
  <c r="AQ558" i="9"/>
  <c r="AQ574" i="9"/>
  <c r="AQ590" i="9"/>
  <c r="AQ165" i="9"/>
  <c r="AQ208" i="9"/>
  <c r="AQ226" i="9"/>
  <c r="AQ249" i="9"/>
  <c r="AQ272" i="9"/>
  <c r="AQ290" i="9"/>
  <c r="AQ458" i="9"/>
  <c r="AQ481" i="9"/>
  <c r="AQ504" i="9"/>
  <c r="AQ522" i="9"/>
  <c r="AQ544" i="9"/>
  <c r="AQ560" i="9"/>
  <c r="AQ576" i="9"/>
  <c r="AQ592" i="9"/>
  <c r="AQ148" i="9"/>
  <c r="AQ166" i="9"/>
  <c r="AQ209" i="9"/>
  <c r="AQ232" i="9"/>
  <c r="AQ250" i="9"/>
  <c r="AQ273" i="9"/>
  <c r="AQ528" i="9"/>
  <c r="AQ593" i="9"/>
  <c r="AQ87" i="9"/>
  <c r="AQ95" i="9"/>
  <c r="AQ103" i="9"/>
  <c r="AQ111" i="9"/>
  <c r="AQ119" i="9"/>
  <c r="AQ411" i="9"/>
  <c r="AQ419" i="9"/>
  <c r="AQ106" i="9"/>
  <c r="AQ406" i="9"/>
  <c r="AQ88" i="9"/>
  <c r="AQ96" i="9"/>
  <c r="AQ104" i="9"/>
  <c r="AQ112" i="9"/>
  <c r="AQ120" i="9"/>
  <c r="AQ412" i="9"/>
  <c r="AQ420" i="9"/>
  <c r="AQ98" i="9"/>
  <c r="AQ122" i="9"/>
  <c r="AQ422" i="9"/>
  <c r="AQ89" i="9"/>
  <c r="AQ97" i="9"/>
  <c r="AQ105" i="9"/>
  <c r="AQ113" i="9"/>
  <c r="AQ121" i="9"/>
  <c r="AQ405" i="9"/>
  <c r="AQ413" i="9"/>
  <c r="AQ421" i="9"/>
  <c r="AQ90" i="9"/>
  <c r="AQ114" i="9"/>
  <c r="AQ414" i="9"/>
  <c r="AQ91" i="9"/>
  <c r="AQ99" i="9"/>
  <c r="AQ107" i="9"/>
  <c r="AQ115" i="9"/>
  <c r="AQ123" i="9"/>
  <c r="AQ407" i="9"/>
  <c r="AQ415" i="9"/>
  <c r="AQ423" i="9"/>
  <c r="AQ85" i="9"/>
  <c r="AQ108" i="9"/>
  <c r="AQ424" i="9"/>
  <c r="AQ94" i="9"/>
  <c r="AQ86" i="9"/>
  <c r="AQ109" i="9"/>
  <c r="AQ116" i="9"/>
  <c r="AQ117" i="9"/>
  <c r="AQ410" i="9"/>
  <c r="AQ92" i="9"/>
  <c r="AQ110" i="9"/>
  <c r="AQ408" i="9"/>
  <c r="AQ93" i="9"/>
  <c r="AQ409" i="9"/>
  <c r="AQ100" i="9"/>
  <c r="AQ118" i="9"/>
  <c r="AQ416" i="9"/>
  <c r="AQ101" i="9"/>
  <c r="AQ124" i="9"/>
  <c r="AQ417" i="9"/>
  <c r="AQ102" i="9"/>
  <c r="AQ418" i="9"/>
  <c r="AQ331" i="9"/>
  <c r="AQ339" i="9"/>
  <c r="AQ387" i="9"/>
  <c r="AQ395" i="9"/>
  <c r="AQ403" i="9"/>
  <c r="AQ427" i="9"/>
  <c r="AQ430" i="9"/>
  <c r="AQ332" i="9"/>
  <c r="AQ340" i="9"/>
  <c r="AQ388" i="9"/>
  <c r="AQ396" i="9"/>
  <c r="AQ404" i="9"/>
  <c r="AQ428" i="9"/>
  <c r="AQ334" i="9"/>
  <c r="AQ325" i="9"/>
  <c r="AQ333" i="9"/>
  <c r="AQ341" i="9"/>
  <c r="AQ389" i="9"/>
  <c r="AQ397" i="9"/>
  <c r="AQ429" i="9"/>
  <c r="AQ326" i="9"/>
  <c r="AQ342" i="9"/>
  <c r="AQ390" i="9"/>
  <c r="AQ398" i="9"/>
  <c r="AQ327" i="9"/>
  <c r="AQ335" i="9"/>
  <c r="AQ343" i="9"/>
  <c r="AQ391" i="9"/>
  <c r="AQ399" i="9"/>
  <c r="AQ431" i="9"/>
  <c r="AQ338" i="9"/>
  <c r="AQ401" i="9"/>
  <c r="AQ344" i="9"/>
  <c r="AQ402" i="9"/>
  <c r="AQ425" i="9"/>
  <c r="AQ328" i="9"/>
  <c r="AQ329" i="9"/>
  <c r="AQ385" i="9"/>
  <c r="AQ426" i="9"/>
  <c r="AQ386" i="9"/>
  <c r="AQ392" i="9"/>
  <c r="AQ337" i="9"/>
  <c r="AQ330" i="9"/>
  <c r="AQ393" i="9"/>
  <c r="AQ336" i="9"/>
  <c r="AQ394" i="9"/>
  <c r="AQ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65" i="9"/>
  <c r="F265" i="9"/>
  <c r="C266" i="9"/>
  <c r="F266" i="9"/>
  <c r="C267" i="9"/>
  <c r="F267" i="9"/>
  <c r="C268" i="9"/>
  <c r="F268" i="9"/>
  <c r="C269" i="9"/>
  <c r="F269" i="9"/>
  <c r="C270" i="9"/>
  <c r="F270" i="9"/>
  <c r="C271" i="9"/>
  <c r="F271" i="9"/>
  <c r="C272" i="9"/>
  <c r="F272" i="9"/>
  <c r="C273" i="9"/>
  <c r="F273" i="9"/>
  <c r="C274" i="9"/>
  <c r="F274" i="9"/>
  <c r="C275" i="9"/>
  <c r="F275" i="9"/>
  <c r="C276" i="9"/>
  <c r="F276" i="9"/>
  <c r="C277" i="9"/>
  <c r="F277" i="9"/>
  <c r="C278" i="9"/>
  <c r="F278" i="9"/>
  <c r="C279" i="9"/>
  <c r="F279" i="9"/>
  <c r="C280" i="9"/>
  <c r="F280" i="9"/>
  <c r="C281" i="9"/>
  <c r="F281" i="9"/>
  <c r="C282" i="9"/>
  <c r="F282" i="9"/>
  <c r="C283" i="9"/>
  <c r="F283" i="9"/>
  <c r="C284" i="9"/>
  <c r="F284" i="9"/>
  <c r="U265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A586" i="9" s="1"/>
  <c r="C587" i="9"/>
  <c r="C588" i="9"/>
  <c r="C589" i="9"/>
  <c r="C590" i="9"/>
  <c r="A590" i="9" s="1"/>
  <c r="C591" i="9"/>
  <c r="C592" i="9"/>
  <c r="C593" i="9"/>
  <c r="C594" i="9"/>
  <c r="A594" i="9" s="1"/>
  <c r="C595" i="9"/>
  <c r="C596" i="9"/>
  <c r="C597" i="9"/>
  <c r="C598" i="9"/>
  <c r="A598" i="9" s="1"/>
  <c r="C599" i="9"/>
  <c r="C600" i="9"/>
  <c r="C601" i="9"/>
  <c r="C602" i="9"/>
  <c r="A602" i="9" s="1"/>
  <c r="C603" i="9"/>
  <c r="C60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A298" i="9" s="1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M244" i="9"/>
  <c r="AF244" i="9" s="1"/>
  <c r="AI244" i="9"/>
  <c r="F244" i="9"/>
  <c r="C244" i="9"/>
  <c r="U244" i="9" s="1"/>
  <c r="BM243" i="9"/>
  <c r="AF243" i="9" s="1"/>
  <c r="AI243" i="9"/>
  <c r="F243" i="9"/>
  <c r="C243" i="9"/>
  <c r="U243" i="9" s="1"/>
  <c r="BM242" i="9"/>
  <c r="AF242" i="9" s="1"/>
  <c r="AI242" i="9"/>
  <c r="F242" i="9"/>
  <c r="C242" i="9"/>
  <c r="U242" i="9" s="1"/>
  <c r="BM241" i="9"/>
  <c r="AF241" i="9" s="1"/>
  <c r="AG242" i="9" s="1"/>
  <c r="AI241" i="9"/>
  <c r="F241" i="9"/>
  <c r="C241" i="9"/>
  <c r="U241" i="9" s="1"/>
  <c r="BM240" i="9"/>
  <c r="AF240" i="9" s="1"/>
  <c r="AI240" i="9"/>
  <c r="F240" i="9"/>
  <c r="C240" i="9"/>
  <c r="U240" i="9" s="1"/>
  <c r="BM239" i="9"/>
  <c r="AF239" i="9" s="1"/>
  <c r="AG240" i="9" s="1"/>
  <c r="AI239" i="9"/>
  <c r="F239" i="9"/>
  <c r="C239" i="9"/>
  <c r="BM238" i="9"/>
  <c r="AF238" i="9" s="1"/>
  <c r="AI238" i="9"/>
  <c r="F238" i="9"/>
  <c r="C238" i="9"/>
  <c r="BM237" i="9"/>
  <c r="AF237" i="9" s="1"/>
  <c r="AG238" i="9" s="1"/>
  <c r="AI237" i="9"/>
  <c r="F237" i="9"/>
  <c r="C237" i="9"/>
  <c r="U237" i="9" s="1"/>
  <c r="BM236" i="9"/>
  <c r="AF236" i="9" s="1"/>
  <c r="AI236" i="9"/>
  <c r="F236" i="9"/>
  <c r="C236" i="9"/>
  <c r="U236" i="9" s="1"/>
  <c r="BM235" i="9"/>
  <c r="AF235" i="9" s="1"/>
  <c r="AG236" i="9" s="1"/>
  <c r="AI235" i="9"/>
  <c r="F235" i="9"/>
  <c r="C235" i="9"/>
  <c r="U235" i="9" s="1"/>
  <c r="BM234" i="9"/>
  <c r="AF234" i="9" s="1"/>
  <c r="AI234" i="9"/>
  <c r="F234" i="9"/>
  <c r="C234" i="9"/>
  <c r="U234" i="9" s="1"/>
  <c r="BM233" i="9"/>
  <c r="AF233" i="9" s="1"/>
  <c r="AG234" i="9" s="1"/>
  <c r="AI233" i="9"/>
  <c r="F233" i="9"/>
  <c r="C233" i="9"/>
  <c r="U233" i="9" s="1"/>
  <c r="BM232" i="9"/>
  <c r="AF232" i="9" s="1"/>
  <c r="AI232" i="9"/>
  <c r="F232" i="9"/>
  <c r="C232" i="9"/>
  <c r="U232" i="9" s="1"/>
  <c r="BM231" i="9"/>
  <c r="AF231" i="9" s="1"/>
  <c r="AG232" i="9" s="1"/>
  <c r="AI231" i="9"/>
  <c r="F231" i="9"/>
  <c r="C231" i="9"/>
  <c r="BM230" i="9"/>
  <c r="AF230" i="9" s="1"/>
  <c r="AI230" i="9"/>
  <c r="F230" i="9"/>
  <c r="C230" i="9"/>
  <c r="BM229" i="9"/>
  <c r="AF229" i="9" s="1"/>
  <c r="AG230" i="9" s="1"/>
  <c r="AI229" i="9"/>
  <c r="F229" i="9"/>
  <c r="C229" i="9"/>
  <c r="BM228" i="9"/>
  <c r="AF228" i="9" s="1"/>
  <c r="AI228" i="9"/>
  <c r="F228" i="9"/>
  <c r="C228" i="9"/>
  <c r="U228" i="9" s="1"/>
  <c r="BM227" i="9"/>
  <c r="AF227" i="9" s="1"/>
  <c r="AG228" i="9" s="1"/>
  <c r="AI227" i="9"/>
  <c r="F227" i="9"/>
  <c r="C227" i="9"/>
  <c r="U227" i="9" s="1"/>
  <c r="BM226" i="9"/>
  <c r="AF226" i="9" s="1"/>
  <c r="AI226" i="9"/>
  <c r="F226" i="9"/>
  <c r="C226" i="9"/>
  <c r="U226" i="9" s="1"/>
  <c r="BM225" i="9"/>
  <c r="AF225" i="9" s="1"/>
  <c r="AI225" i="9"/>
  <c r="F225" i="9"/>
  <c r="C225" i="9"/>
  <c r="U225" i="9" s="1"/>
  <c r="AG237" i="9" l="1"/>
  <c r="AG241" i="9"/>
  <c r="AG239" i="9"/>
  <c r="AG244" i="9"/>
  <c r="AG243" i="9"/>
  <c r="AG235" i="9"/>
  <c r="AG226" i="9"/>
  <c r="AG225" i="9"/>
  <c r="AG227" i="9"/>
  <c r="AG229" i="9"/>
  <c r="AG231" i="9"/>
  <c r="AG233" i="9"/>
  <c r="AO242" i="9"/>
  <c r="AO226" i="9"/>
  <c r="AO234" i="9"/>
  <c r="AO240" i="9"/>
  <c r="A425" i="9"/>
  <c r="A409" i="9"/>
  <c r="A345" i="9"/>
  <c r="AO225" i="9"/>
  <c r="AO233" i="9"/>
  <c r="AO241" i="9"/>
  <c r="AO228" i="9"/>
  <c r="AO232" i="9"/>
  <c r="AO238" i="9"/>
  <c r="AO227" i="9"/>
  <c r="AO231" i="9"/>
  <c r="AO237" i="9"/>
  <c r="AO243" i="9"/>
  <c r="AO230" i="9"/>
  <c r="AO236" i="9"/>
  <c r="AO244" i="9"/>
  <c r="A473" i="9"/>
  <c r="AO229" i="9"/>
  <c r="AO235" i="9"/>
  <c r="AO239" i="9"/>
  <c r="A603" i="9"/>
  <c r="A595" i="9"/>
  <c r="A587" i="9"/>
  <c r="A601" i="9"/>
  <c r="A553" i="9"/>
  <c r="A489" i="9"/>
  <c r="A280" i="9"/>
  <c r="A577" i="9"/>
  <c r="A537" i="9"/>
  <c r="A297" i="9"/>
  <c r="A554" i="9"/>
  <c r="A490" i="9"/>
  <c r="A513" i="9"/>
  <c r="A361" i="9"/>
  <c r="A571" i="9"/>
  <c r="A339" i="9"/>
  <c r="A385" i="9"/>
  <c r="A321" i="9"/>
  <c r="A599" i="9"/>
  <c r="A591" i="9"/>
  <c r="A426" i="9"/>
  <c r="A449" i="9"/>
  <c r="A281" i="9"/>
  <c r="A277" i="9"/>
  <c r="A273" i="9"/>
  <c r="A269" i="9"/>
  <c r="A265" i="9"/>
  <c r="A443" i="9"/>
  <c r="A403" i="9"/>
  <c r="A379" i="9"/>
  <c r="A299" i="9"/>
  <c r="A530" i="9"/>
  <c r="A466" i="9"/>
  <c r="A362" i="9"/>
  <c r="A338" i="9"/>
  <c r="A322" i="9"/>
  <c r="A27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7" i="9"/>
  <c r="A369" i="9"/>
  <c r="A353" i="9"/>
  <c r="A337" i="9"/>
  <c r="A329" i="9"/>
  <c r="A313" i="9"/>
  <c r="A305" i="9"/>
  <c r="A289" i="9"/>
  <c r="A531" i="9"/>
  <c r="A507" i="9"/>
  <c r="A467" i="9"/>
  <c r="A315" i="9"/>
  <c r="A402" i="9"/>
  <c r="A572" i="9"/>
  <c r="A548" i="9"/>
  <c r="A524" i="9"/>
  <c r="A500" i="9"/>
  <c r="A476" i="9"/>
  <c r="A460" i="9"/>
  <c r="A444" i="9"/>
  <c r="A420" i="9"/>
  <c r="A396" i="9"/>
  <c r="A364" i="9"/>
  <c r="A340" i="9"/>
  <c r="A324" i="9"/>
  <c r="A300" i="9"/>
  <c r="A579" i="9"/>
  <c r="A555" i="9"/>
  <c r="A499" i="9"/>
  <c r="A475" i="9"/>
  <c r="A451" i="9"/>
  <c r="A427" i="9"/>
  <c r="A387" i="9"/>
  <c r="A363" i="9"/>
  <c r="A30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8" i="9"/>
  <c r="A370" i="9"/>
  <c r="A354" i="9"/>
  <c r="A346" i="9"/>
  <c r="A330" i="9"/>
  <c r="A314" i="9"/>
  <c r="A306" i="9"/>
  <c r="A290" i="9"/>
  <c r="A284" i="9"/>
  <c r="A272" i="9"/>
  <c r="A268" i="9"/>
  <c r="A593" i="9"/>
  <c r="A585" i="9"/>
  <c r="A564" i="9"/>
  <c r="A540" i="9"/>
  <c r="A516" i="9"/>
  <c r="A492" i="9"/>
  <c r="A468" i="9"/>
  <c r="A436" i="9"/>
  <c r="A404" i="9"/>
  <c r="A388" i="9"/>
  <c r="A372" i="9"/>
  <c r="A356" i="9"/>
  <c r="A332" i="9"/>
  <c r="A308" i="9"/>
  <c r="A547" i="9"/>
  <c r="A523" i="9"/>
  <c r="A483" i="9"/>
  <c r="A459" i="9"/>
  <c r="A419" i="9"/>
  <c r="A395" i="9"/>
  <c r="A355" i="9"/>
  <c r="A323" i="9"/>
  <c r="A291" i="9"/>
  <c r="A562" i="9"/>
  <c r="A580" i="9"/>
  <c r="A556" i="9"/>
  <c r="A532" i="9"/>
  <c r="A508" i="9"/>
  <c r="A484" i="9"/>
  <c r="A452" i="9"/>
  <c r="A428" i="9"/>
  <c r="A412" i="9"/>
  <c r="A380" i="9"/>
  <c r="A348" i="9"/>
  <c r="A316" i="9"/>
  <c r="A292" i="9"/>
  <c r="A563" i="9"/>
  <c r="A539" i="9"/>
  <c r="A515" i="9"/>
  <c r="A491" i="9"/>
  <c r="A435" i="9"/>
  <c r="A411" i="9"/>
  <c r="A371" i="9"/>
  <c r="A347" i="9"/>
  <c r="A33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4" i="9"/>
  <c r="A376" i="9"/>
  <c r="A368" i="9"/>
  <c r="A360" i="9"/>
  <c r="A352" i="9"/>
  <c r="A344" i="9"/>
  <c r="A336" i="9"/>
  <c r="A328" i="9"/>
  <c r="A320" i="9"/>
  <c r="A312" i="9"/>
  <c r="A304" i="9"/>
  <c r="A296" i="9"/>
  <c r="A288" i="9"/>
  <c r="A283" i="9"/>
  <c r="A279" i="9"/>
  <c r="A275" i="9"/>
  <c r="A271" i="9"/>
  <c r="A267" i="9"/>
  <c r="A282" i="9"/>
  <c r="A274" i="9"/>
  <c r="A26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81" i="9"/>
  <c r="A373" i="9"/>
  <c r="A365" i="9"/>
  <c r="A357" i="9"/>
  <c r="A349" i="9"/>
  <c r="A341" i="9"/>
  <c r="A333" i="9"/>
  <c r="A325" i="9"/>
  <c r="A317" i="9"/>
  <c r="A309" i="9"/>
  <c r="A301" i="9"/>
  <c r="A293" i="9"/>
  <c r="A285" i="9"/>
  <c r="A583" i="9"/>
  <c r="A559" i="9"/>
  <c r="A535" i="9"/>
  <c r="A511" i="9"/>
  <c r="A487" i="9"/>
  <c r="A463" i="9"/>
  <c r="A423" i="9"/>
  <c r="A399" i="9"/>
  <c r="A383" i="9"/>
  <c r="A359" i="9"/>
  <c r="A335" i="9"/>
  <c r="A311" i="9"/>
  <c r="A287" i="9"/>
  <c r="A574" i="9"/>
  <c r="A550" i="9"/>
  <c r="A526" i="9"/>
  <c r="A502" i="9"/>
  <c r="A478" i="9"/>
  <c r="A454" i="9"/>
  <c r="A430" i="9"/>
  <c r="A406" i="9"/>
  <c r="A382" i="9"/>
  <c r="A366" i="9"/>
  <c r="A342" i="9"/>
  <c r="A310" i="9"/>
  <c r="A29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5" i="9"/>
  <c r="A351" i="9"/>
  <c r="A327" i="9"/>
  <c r="A303" i="9"/>
  <c r="A582" i="9"/>
  <c r="A566" i="9"/>
  <c r="A542" i="9"/>
  <c r="A510" i="9"/>
  <c r="A494" i="9"/>
  <c r="A470" i="9"/>
  <c r="A446" i="9"/>
  <c r="A422" i="9"/>
  <c r="A398" i="9"/>
  <c r="A374" i="9"/>
  <c r="A350" i="9"/>
  <c r="A326" i="9"/>
  <c r="A318" i="9"/>
  <c r="A286" i="9"/>
  <c r="A270" i="9"/>
  <c r="A575" i="9"/>
  <c r="A551" i="9"/>
  <c r="A519" i="9"/>
  <c r="A495" i="9"/>
  <c r="A479" i="9"/>
  <c r="A447" i="9"/>
  <c r="A431" i="9"/>
  <c r="A415" i="9"/>
  <c r="A391" i="9"/>
  <c r="A367" i="9"/>
  <c r="A343" i="9"/>
  <c r="A319" i="9"/>
  <c r="A295" i="9"/>
  <c r="A558" i="9"/>
  <c r="A534" i="9"/>
  <c r="A518" i="9"/>
  <c r="A486" i="9"/>
  <c r="A462" i="9"/>
  <c r="A438" i="9"/>
  <c r="A414" i="9"/>
  <c r="A390" i="9"/>
  <c r="A358" i="9"/>
  <c r="A334" i="9"/>
  <c r="A302" i="9"/>
  <c r="A278" i="9"/>
  <c r="A243" i="9"/>
  <c r="A231" i="9"/>
  <c r="A239" i="9"/>
  <c r="A237" i="9"/>
  <c r="A235" i="9"/>
  <c r="A240" i="9"/>
  <c r="A228" i="9"/>
  <c r="A229" i="9"/>
  <c r="A232" i="9"/>
  <c r="A227" i="9"/>
  <c r="U229" i="9"/>
  <c r="A236" i="9"/>
  <c r="A244" i="9"/>
  <c r="U231" i="9"/>
  <c r="U239" i="9"/>
  <c r="A230" i="9"/>
  <c r="A234" i="9"/>
  <c r="A238" i="9"/>
  <c r="A242" i="9"/>
  <c r="U266" i="9"/>
  <c r="A226" i="9"/>
  <c r="U230" i="9"/>
  <c r="A225" i="9"/>
  <c r="A233" i="9"/>
  <c r="A241" i="9"/>
  <c r="U238" i="9"/>
  <c r="C21" i="9" l="1"/>
  <c r="F21" i="9"/>
  <c r="AI21" i="9"/>
  <c r="BM21" i="9"/>
  <c r="AF21" i="9" s="1"/>
  <c r="C22" i="9"/>
  <c r="U22" i="9" s="1"/>
  <c r="F22" i="9"/>
  <c r="AI22" i="9"/>
  <c r="BM22" i="9"/>
  <c r="AF22" i="9" s="1"/>
  <c r="AG23" i="9" s="1"/>
  <c r="C23" i="9"/>
  <c r="F23" i="9"/>
  <c r="AI23" i="9"/>
  <c r="BM23" i="9"/>
  <c r="AF23" i="9" s="1"/>
  <c r="C24" i="9"/>
  <c r="U24" i="9" s="1"/>
  <c r="F24" i="9"/>
  <c r="AI24" i="9"/>
  <c r="BM24" i="9"/>
  <c r="AF24" i="9" s="1"/>
  <c r="AG22" i="9" l="1"/>
  <c r="AG24" i="9"/>
  <c r="AO23" i="9"/>
  <c r="AO24" i="9"/>
  <c r="AO22" i="9"/>
  <c r="AO21" i="9"/>
  <c r="A22" i="9"/>
  <c r="A21" i="9"/>
  <c r="A23" i="9"/>
  <c r="U21" i="9"/>
  <c r="U23" i="9"/>
  <c r="A24" i="9"/>
  <c r="O9" i="30" l="1"/>
  <c r="A9" i="30"/>
  <c r="AQ10" i="9" s="1"/>
  <c r="O7" i="30"/>
  <c r="A7" i="30"/>
  <c r="O6" i="30"/>
  <c r="A6" i="30"/>
  <c r="O5" i="30"/>
  <c r="A5" i="30"/>
  <c r="BM264" i="9"/>
  <c r="AF264" i="9" s="1"/>
  <c r="AI264" i="9"/>
  <c r="F264" i="9"/>
  <c r="C264" i="9"/>
  <c r="U264" i="9" s="1"/>
  <c r="BM263" i="9"/>
  <c r="AF263" i="9" s="1"/>
  <c r="AG264" i="9" s="1"/>
  <c r="AI263" i="9"/>
  <c r="F263" i="9"/>
  <c r="C263" i="9"/>
  <c r="BM262" i="9"/>
  <c r="AF262" i="9" s="1"/>
  <c r="AI262" i="9"/>
  <c r="F262" i="9"/>
  <c r="C262" i="9"/>
  <c r="BM261" i="9"/>
  <c r="AF261" i="9" s="1"/>
  <c r="AI261" i="9"/>
  <c r="F261" i="9"/>
  <c r="C261" i="9"/>
  <c r="U261" i="9" s="1"/>
  <c r="BM260" i="9"/>
  <c r="AF260" i="9" s="1"/>
  <c r="AI260" i="9"/>
  <c r="F260" i="9"/>
  <c r="C260" i="9"/>
  <c r="BM259" i="9"/>
  <c r="AF259" i="9" s="1"/>
  <c r="AG260" i="9" s="1"/>
  <c r="AI259" i="9"/>
  <c r="F259" i="9"/>
  <c r="C259" i="9"/>
  <c r="U259" i="9" s="1"/>
  <c r="BM258" i="9"/>
  <c r="AF258" i="9" s="1"/>
  <c r="AI258" i="9"/>
  <c r="F258" i="9"/>
  <c r="C258" i="9"/>
  <c r="U258" i="9" s="1"/>
  <c r="BM257" i="9"/>
  <c r="AF257" i="9" s="1"/>
  <c r="AG258" i="9" s="1"/>
  <c r="AI257" i="9"/>
  <c r="F257" i="9"/>
  <c r="C257" i="9"/>
  <c r="U257" i="9" s="1"/>
  <c r="BM256" i="9"/>
  <c r="AF256" i="9" s="1"/>
  <c r="AI256" i="9"/>
  <c r="F256" i="9"/>
  <c r="C256" i="9"/>
  <c r="BM255" i="9"/>
  <c r="AF255" i="9" s="1"/>
  <c r="AG256" i="9" s="1"/>
  <c r="AI255" i="9"/>
  <c r="F255" i="9"/>
  <c r="C255" i="9"/>
  <c r="BM254" i="9"/>
  <c r="AF254" i="9" s="1"/>
  <c r="AI254" i="9"/>
  <c r="F254" i="9"/>
  <c r="C254" i="9"/>
  <c r="BM253" i="9"/>
  <c r="AF253" i="9" s="1"/>
  <c r="AG254" i="9" s="1"/>
  <c r="AI253" i="9"/>
  <c r="F253" i="9"/>
  <c r="C253" i="9"/>
  <c r="U253" i="9" s="1"/>
  <c r="BM252" i="9"/>
  <c r="AF252" i="9" s="1"/>
  <c r="AI252" i="9"/>
  <c r="F252" i="9"/>
  <c r="C252" i="9"/>
  <c r="U252" i="9" s="1"/>
  <c r="BM251" i="9"/>
  <c r="AF251" i="9" s="1"/>
  <c r="AG252" i="9" s="1"/>
  <c r="AI251" i="9"/>
  <c r="F251" i="9"/>
  <c r="C251" i="9"/>
  <c r="U251" i="9" s="1"/>
  <c r="BM250" i="9"/>
  <c r="AF250" i="9" s="1"/>
  <c r="AI250" i="9"/>
  <c r="F250" i="9"/>
  <c r="C250" i="9"/>
  <c r="U250" i="9" s="1"/>
  <c r="BM249" i="9"/>
  <c r="AF249" i="9" s="1"/>
  <c r="AI249" i="9"/>
  <c r="F249" i="9"/>
  <c r="C249" i="9"/>
  <c r="U249" i="9" s="1"/>
  <c r="BM248" i="9"/>
  <c r="AF248" i="9" s="1"/>
  <c r="AI248" i="9"/>
  <c r="F248" i="9"/>
  <c r="C248" i="9"/>
  <c r="U248" i="9" s="1"/>
  <c r="BM247" i="9"/>
  <c r="AF247" i="9" s="1"/>
  <c r="AG248" i="9" s="1"/>
  <c r="AI247" i="9"/>
  <c r="F247" i="9"/>
  <c r="C247" i="9"/>
  <c r="U247" i="9" s="1"/>
  <c r="BM246" i="9"/>
  <c r="AF246" i="9" s="1"/>
  <c r="AI246" i="9"/>
  <c r="F246" i="9"/>
  <c r="C246" i="9"/>
  <c r="U246" i="9" s="1"/>
  <c r="BM245" i="9"/>
  <c r="AF245" i="9" s="1"/>
  <c r="AI245" i="9"/>
  <c r="F245" i="9"/>
  <c r="C245" i="9"/>
  <c r="U245" i="9" s="1"/>
  <c r="BM224" i="9"/>
  <c r="AF224" i="9" s="1"/>
  <c r="AI224" i="9"/>
  <c r="F224" i="9"/>
  <c r="C224" i="9"/>
  <c r="U224" i="9" s="1"/>
  <c r="BM223" i="9"/>
  <c r="AF223" i="9" s="1"/>
  <c r="AG224" i="9" s="1"/>
  <c r="AI223" i="9"/>
  <c r="F223" i="9"/>
  <c r="C223" i="9"/>
  <c r="BM222" i="9"/>
  <c r="AF222" i="9" s="1"/>
  <c r="AI222" i="9"/>
  <c r="F222" i="9"/>
  <c r="C222" i="9"/>
  <c r="BM221" i="9"/>
  <c r="AF221" i="9" s="1"/>
  <c r="AG222" i="9" s="1"/>
  <c r="AI221" i="9"/>
  <c r="F221" i="9"/>
  <c r="C221" i="9"/>
  <c r="U221" i="9" s="1"/>
  <c r="BM220" i="9"/>
  <c r="AF220" i="9" s="1"/>
  <c r="AI220" i="9"/>
  <c r="F220" i="9"/>
  <c r="C220" i="9"/>
  <c r="BM219" i="9"/>
  <c r="AF219" i="9" s="1"/>
  <c r="AG220" i="9" s="1"/>
  <c r="AI219" i="9"/>
  <c r="F219" i="9"/>
  <c r="C219" i="9"/>
  <c r="U219" i="9" s="1"/>
  <c r="BM218" i="9"/>
  <c r="AF218" i="9" s="1"/>
  <c r="AI218" i="9"/>
  <c r="F218" i="9"/>
  <c r="C218" i="9"/>
  <c r="U218" i="9" s="1"/>
  <c r="BM217" i="9"/>
  <c r="AF217" i="9" s="1"/>
  <c r="AG218" i="9" s="1"/>
  <c r="AI217" i="9"/>
  <c r="F217" i="9"/>
  <c r="C217" i="9"/>
  <c r="BM216" i="9"/>
  <c r="AF216" i="9" s="1"/>
  <c r="AI216" i="9"/>
  <c r="F216" i="9"/>
  <c r="C216" i="9"/>
  <c r="U216" i="9" s="1"/>
  <c r="BM215" i="9"/>
  <c r="AF215" i="9" s="1"/>
  <c r="AG216" i="9" s="1"/>
  <c r="AI215" i="9"/>
  <c r="F215" i="9"/>
  <c r="C215" i="9"/>
  <c r="U215" i="9" s="1"/>
  <c r="BM214" i="9"/>
  <c r="AF214" i="9" s="1"/>
  <c r="AI214" i="9"/>
  <c r="F214" i="9"/>
  <c r="C214" i="9"/>
  <c r="BM213" i="9"/>
  <c r="AF213" i="9" s="1"/>
  <c r="AG214" i="9" s="1"/>
  <c r="AI213" i="9"/>
  <c r="F213" i="9"/>
  <c r="C213" i="9"/>
  <c r="U213" i="9" s="1"/>
  <c r="BM212" i="9"/>
  <c r="AF212" i="9" s="1"/>
  <c r="AI212" i="9"/>
  <c r="F212" i="9"/>
  <c r="C212" i="9"/>
  <c r="BM211" i="9"/>
  <c r="AF211" i="9" s="1"/>
  <c r="AG212" i="9" s="1"/>
  <c r="AI211" i="9"/>
  <c r="F211" i="9"/>
  <c r="C211" i="9"/>
  <c r="BM210" i="9"/>
  <c r="AF210" i="9" s="1"/>
  <c r="AI210" i="9"/>
  <c r="F210" i="9"/>
  <c r="C210" i="9"/>
  <c r="U210" i="9" s="1"/>
  <c r="BM209" i="9"/>
  <c r="AF209" i="9" s="1"/>
  <c r="AG210" i="9" s="1"/>
  <c r="AI209" i="9"/>
  <c r="F209" i="9"/>
  <c r="C209" i="9"/>
  <c r="BM208" i="9"/>
  <c r="AF208" i="9" s="1"/>
  <c r="AI208" i="9"/>
  <c r="F208" i="9"/>
  <c r="C208" i="9"/>
  <c r="BM207" i="9"/>
  <c r="AF207" i="9" s="1"/>
  <c r="AG208" i="9" s="1"/>
  <c r="AI207" i="9"/>
  <c r="F207" i="9"/>
  <c r="C207" i="9"/>
  <c r="U207" i="9" s="1"/>
  <c r="BM206" i="9"/>
  <c r="AF206" i="9" s="1"/>
  <c r="AI206" i="9"/>
  <c r="F206" i="9"/>
  <c r="C206" i="9"/>
  <c r="BM205" i="9"/>
  <c r="AF205" i="9" s="1"/>
  <c r="AI205" i="9"/>
  <c r="F205" i="9"/>
  <c r="C205" i="9"/>
  <c r="U205" i="9" s="1"/>
  <c r="BM184" i="9"/>
  <c r="AF184" i="9" s="1"/>
  <c r="AI184" i="9"/>
  <c r="F184" i="9"/>
  <c r="C184" i="9"/>
  <c r="U184" i="9" s="1"/>
  <c r="BM183" i="9"/>
  <c r="AF183" i="9" s="1"/>
  <c r="AG184" i="9" s="1"/>
  <c r="AI183" i="9"/>
  <c r="F183" i="9"/>
  <c r="C183" i="9"/>
  <c r="U183" i="9" s="1"/>
  <c r="BM182" i="9"/>
  <c r="AF182" i="9" s="1"/>
  <c r="AI182" i="9"/>
  <c r="F182" i="9"/>
  <c r="C182" i="9"/>
  <c r="BM181" i="9"/>
  <c r="AF181" i="9" s="1"/>
  <c r="AG182" i="9" s="1"/>
  <c r="AI181" i="9"/>
  <c r="F181" i="9"/>
  <c r="C181" i="9"/>
  <c r="U181" i="9" s="1"/>
  <c r="BM180" i="9"/>
  <c r="AF180" i="9" s="1"/>
  <c r="AI180" i="9"/>
  <c r="F180" i="9"/>
  <c r="C180" i="9"/>
  <c r="U180" i="9" s="1"/>
  <c r="BM179" i="9"/>
  <c r="AF179" i="9" s="1"/>
  <c r="AG180" i="9" s="1"/>
  <c r="AI179" i="9"/>
  <c r="F179" i="9"/>
  <c r="C179" i="9"/>
  <c r="BM178" i="9"/>
  <c r="AF178" i="9" s="1"/>
  <c r="AI178" i="9"/>
  <c r="F178" i="9"/>
  <c r="C178" i="9"/>
  <c r="U178" i="9" s="1"/>
  <c r="BM177" i="9"/>
  <c r="AF177" i="9" s="1"/>
  <c r="AI177" i="9"/>
  <c r="F177" i="9"/>
  <c r="C177" i="9"/>
  <c r="U177" i="9" s="1"/>
  <c r="BM176" i="9"/>
  <c r="AF176" i="9" s="1"/>
  <c r="AI176" i="9"/>
  <c r="F176" i="9"/>
  <c r="C176" i="9"/>
  <c r="BM175" i="9"/>
  <c r="AF175" i="9" s="1"/>
  <c r="AI175" i="9"/>
  <c r="F175" i="9"/>
  <c r="C175" i="9"/>
  <c r="BM174" i="9"/>
  <c r="AF174" i="9" s="1"/>
  <c r="AI174" i="9"/>
  <c r="F174" i="9"/>
  <c r="C174" i="9"/>
  <c r="U174" i="9" s="1"/>
  <c r="BM173" i="9"/>
  <c r="AF173" i="9" s="1"/>
  <c r="AG174" i="9" s="1"/>
  <c r="AI173" i="9"/>
  <c r="F173" i="9"/>
  <c r="C173" i="9"/>
  <c r="U173" i="9" s="1"/>
  <c r="BM172" i="9"/>
  <c r="AF172" i="9" s="1"/>
  <c r="AI172" i="9"/>
  <c r="F172" i="9"/>
  <c r="C172" i="9"/>
  <c r="U172" i="9" s="1"/>
  <c r="BM171" i="9"/>
  <c r="AF171" i="9" s="1"/>
  <c r="AG172" i="9" s="1"/>
  <c r="AI171" i="9"/>
  <c r="F171" i="9"/>
  <c r="C171" i="9"/>
  <c r="BM170" i="9"/>
  <c r="AF170" i="9" s="1"/>
  <c r="AI170" i="9"/>
  <c r="F170" i="9"/>
  <c r="C170" i="9"/>
  <c r="U170" i="9" s="1"/>
  <c r="BM169" i="9"/>
  <c r="AF169" i="9" s="1"/>
  <c r="AG170" i="9" s="1"/>
  <c r="AI169" i="9"/>
  <c r="F169" i="9"/>
  <c r="C169" i="9"/>
  <c r="U169" i="9" s="1"/>
  <c r="BM168" i="9"/>
  <c r="AF168" i="9" s="1"/>
  <c r="AI168" i="9"/>
  <c r="F168" i="9"/>
  <c r="C168" i="9"/>
  <c r="BM167" i="9"/>
  <c r="AF167" i="9" s="1"/>
  <c r="AG168" i="9" s="1"/>
  <c r="AI167" i="9"/>
  <c r="F167" i="9"/>
  <c r="C167" i="9"/>
  <c r="BM166" i="9"/>
  <c r="AF166" i="9" s="1"/>
  <c r="AI166" i="9"/>
  <c r="F166" i="9"/>
  <c r="C166" i="9"/>
  <c r="BM165" i="9"/>
  <c r="AF165" i="9" s="1"/>
  <c r="AI165" i="9"/>
  <c r="F165" i="9"/>
  <c r="C165" i="9"/>
  <c r="BM164" i="9"/>
  <c r="AF164" i="9" s="1"/>
  <c r="AI164" i="9"/>
  <c r="F164" i="9"/>
  <c r="C164" i="9"/>
  <c r="U164" i="9" s="1"/>
  <c r="BM163" i="9"/>
  <c r="AF163" i="9" s="1"/>
  <c r="AG164" i="9" s="1"/>
  <c r="AI163" i="9"/>
  <c r="F163" i="9"/>
  <c r="C163" i="9"/>
  <c r="U163" i="9" s="1"/>
  <c r="BM162" i="9"/>
  <c r="AF162" i="9" s="1"/>
  <c r="AI162" i="9"/>
  <c r="F162" i="9"/>
  <c r="C162" i="9"/>
  <c r="U162" i="9" s="1"/>
  <c r="BM161" i="9"/>
  <c r="AF161" i="9" s="1"/>
  <c r="AG162" i="9" s="1"/>
  <c r="AI161" i="9"/>
  <c r="F161" i="9"/>
  <c r="C161" i="9"/>
  <c r="U161" i="9" s="1"/>
  <c r="BM160" i="9"/>
  <c r="AF160" i="9" s="1"/>
  <c r="AI160" i="9"/>
  <c r="F160" i="9"/>
  <c r="C160" i="9"/>
  <c r="U160" i="9" s="1"/>
  <c r="BM159" i="9"/>
  <c r="AF159" i="9" s="1"/>
  <c r="AG160" i="9" s="1"/>
  <c r="AI159" i="9"/>
  <c r="F159" i="9"/>
  <c r="C159" i="9"/>
  <c r="U159" i="9" s="1"/>
  <c r="BM158" i="9"/>
  <c r="AF158" i="9" s="1"/>
  <c r="AI158" i="9"/>
  <c r="F158" i="9"/>
  <c r="C158" i="9"/>
  <c r="BM157" i="9"/>
  <c r="AF157" i="9" s="1"/>
  <c r="AG158" i="9" s="1"/>
  <c r="AI157" i="9"/>
  <c r="F157" i="9"/>
  <c r="C157" i="9"/>
  <c r="BM156" i="9"/>
  <c r="AF156" i="9" s="1"/>
  <c r="AI156" i="9"/>
  <c r="F156" i="9"/>
  <c r="C156" i="9"/>
  <c r="U156" i="9" s="1"/>
  <c r="BM155" i="9"/>
  <c r="AF155" i="9" s="1"/>
  <c r="AG156" i="9" s="1"/>
  <c r="AI155" i="9"/>
  <c r="F155" i="9"/>
  <c r="C155" i="9"/>
  <c r="U155" i="9" s="1"/>
  <c r="BM154" i="9"/>
  <c r="AF154" i="9" s="1"/>
  <c r="AI154" i="9"/>
  <c r="F154" i="9"/>
  <c r="C154" i="9"/>
  <c r="U154" i="9" s="1"/>
  <c r="BM153" i="9"/>
  <c r="AF153" i="9" s="1"/>
  <c r="AG154" i="9" s="1"/>
  <c r="AI153" i="9"/>
  <c r="F153" i="9"/>
  <c r="C153" i="9"/>
  <c r="U153" i="9" s="1"/>
  <c r="BM152" i="9"/>
  <c r="AF152" i="9" s="1"/>
  <c r="AI152" i="9"/>
  <c r="F152" i="9"/>
  <c r="C152" i="9"/>
  <c r="U152" i="9" s="1"/>
  <c r="BM151" i="9"/>
  <c r="AF151" i="9" s="1"/>
  <c r="AG152" i="9" s="1"/>
  <c r="AI151" i="9"/>
  <c r="F151" i="9"/>
  <c r="C151" i="9"/>
  <c r="BM150" i="9"/>
  <c r="AF150" i="9" s="1"/>
  <c r="AI150" i="9"/>
  <c r="F150" i="9"/>
  <c r="C150" i="9"/>
  <c r="U150" i="9" s="1"/>
  <c r="BM149" i="9"/>
  <c r="AF149" i="9" s="1"/>
  <c r="AG150" i="9" s="1"/>
  <c r="AI149" i="9"/>
  <c r="F149" i="9"/>
  <c r="C149" i="9"/>
  <c r="U149" i="9" s="1"/>
  <c r="BM148" i="9"/>
  <c r="AF148" i="9" s="1"/>
  <c r="AI148" i="9"/>
  <c r="F148" i="9"/>
  <c r="C148" i="9"/>
  <c r="U148" i="9" s="1"/>
  <c r="BM147" i="9"/>
  <c r="AF147" i="9" s="1"/>
  <c r="AG148" i="9" s="1"/>
  <c r="AI147" i="9"/>
  <c r="F147" i="9"/>
  <c r="C147" i="9"/>
  <c r="U147" i="9" s="1"/>
  <c r="BM146" i="9"/>
  <c r="AF146" i="9" s="1"/>
  <c r="AI146" i="9"/>
  <c r="F146" i="9"/>
  <c r="C146" i="9"/>
  <c r="U146" i="9" s="1"/>
  <c r="BM145" i="9"/>
  <c r="AF145" i="9" s="1"/>
  <c r="AI145" i="9"/>
  <c r="F145" i="9"/>
  <c r="C145" i="9"/>
  <c r="U145" i="9" s="1"/>
  <c r="BM144" i="9"/>
  <c r="AF144" i="9" s="1"/>
  <c r="AI144" i="9"/>
  <c r="F144" i="9"/>
  <c r="C144" i="9"/>
  <c r="BM143" i="9"/>
  <c r="AF143" i="9" s="1"/>
  <c r="AG144" i="9" s="1"/>
  <c r="AI143" i="9"/>
  <c r="F143" i="9"/>
  <c r="C143" i="9"/>
  <c r="U143" i="9" s="1"/>
  <c r="BM142" i="9"/>
  <c r="AF142" i="9" s="1"/>
  <c r="AI142" i="9"/>
  <c r="F142" i="9"/>
  <c r="C142" i="9"/>
  <c r="BM141" i="9"/>
  <c r="AF141" i="9" s="1"/>
  <c r="AG142" i="9" s="1"/>
  <c r="AI141" i="9"/>
  <c r="F141" i="9"/>
  <c r="C141" i="9"/>
  <c r="U141" i="9" s="1"/>
  <c r="BM140" i="9"/>
  <c r="AF140" i="9" s="1"/>
  <c r="AI140" i="9"/>
  <c r="F140" i="9"/>
  <c r="C140" i="9"/>
  <c r="U140" i="9" s="1"/>
  <c r="BM139" i="9"/>
  <c r="AF139" i="9" s="1"/>
  <c r="AG140" i="9" s="1"/>
  <c r="AI139" i="9"/>
  <c r="F139" i="9"/>
  <c r="C139" i="9"/>
  <c r="BM138" i="9"/>
  <c r="AF138" i="9" s="1"/>
  <c r="AI138" i="9"/>
  <c r="F138" i="9"/>
  <c r="C138" i="9"/>
  <c r="BM137" i="9"/>
  <c r="AF137" i="9" s="1"/>
  <c r="AG137" i="9" s="1"/>
  <c r="AI137" i="9"/>
  <c r="F137" i="9"/>
  <c r="C137" i="9"/>
  <c r="U137" i="9" s="1"/>
  <c r="BM136" i="9"/>
  <c r="AF136" i="9" s="1"/>
  <c r="AI136" i="9"/>
  <c r="F136" i="9"/>
  <c r="C136" i="9"/>
  <c r="BM135" i="9"/>
  <c r="AF135" i="9" s="1"/>
  <c r="AG136" i="9" s="1"/>
  <c r="AI135" i="9"/>
  <c r="F135" i="9"/>
  <c r="C135" i="9"/>
  <c r="BM134" i="9"/>
  <c r="AF134" i="9" s="1"/>
  <c r="AI134" i="9"/>
  <c r="F134" i="9"/>
  <c r="C134" i="9"/>
  <c r="U134" i="9" s="1"/>
  <c r="BM133" i="9"/>
  <c r="AF133" i="9" s="1"/>
  <c r="AG134" i="9" s="1"/>
  <c r="AI133" i="9"/>
  <c r="F133" i="9"/>
  <c r="C133" i="9"/>
  <c r="U133" i="9" s="1"/>
  <c r="BM132" i="9"/>
  <c r="AF132" i="9" s="1"/>
  <c r="AI132" i="9"/>
  <c r="F132" i="9"/>
  <c r="C132" i="9"/>
  <c r="U132" i="9" s="1"/>
  <c r="BM131" i="9"/>
  <c r="AF131" i="9" s="1"/>
  <c r="AG132" i="9" s="1"/>
  <c r="AI131" i="9"/>
  <c r="F131" i="9"/>
  <c r="C131" i="9"/>
  <c r="U131" i="9" s="1"/>
  <c r="BM130" i="9"/>
  <c r="AF130" i="9" s="1"/>
  <c r="AI130" i="9"/>
  <c r="F130" i="9"/>
  <c r="C130" i="9"/>
  <c r="BM129" i="9"/>
  <c r="AF129" i="9" s="1"/>
  <c r="AG130" i="9" s="1"/>
  <c r="AI129" i="9"/>
  <c r="F129" i="9"/>
  <c r="C129" i="9"/>
  <c r="U129" i="9" s="1"/>
  <c r="BM128" i="9"/>
  <c r="AF128" i="9" s="1"/>
  <c r="AI128" i="9"/>
  <c r="F128" i="9"/>
  <c r="C128" i="9"/>
  <c r="BM127" i="9"/>
  <c r="AF127" i="9" s="1"/>
  <c r="AG128" i="9" s="1"/>
  <c r="AI127" i="9"/>
  <c r="F127" i="9"/>
  <c r="C127" i="9"/>
  <c r="U127" i="9" s="1"/>
  <c r="BM126" i="9"/>
  <c r="AF126" i="9" s="1"/>
  <c r="AI126" i="9"/>
  <c r="F126" i="9"/>
  <c r="C126" i="9"/>
  <c r="U126" i="9" s="1"/>
  <c r="BM125" i="9"/>
  <c r="AF125" i="9" s="1"/>
  <c r="AI125" i="9"/>
  <c r="F125" i="9"/>
  <c r="C125" i="9"/>
  <c r="U125" i="9" s="1"/>
  <c r="BM124" i="9"/>
  <c r="AF124" i="9" s="1"/>
  <c r="AI124" i="9"/>
  <c r="F124" i="9"/>
  <c r="C124" i="9"/>
  <c r="U124" i="9" s="1"/>
  <c r="BM123" i="9"/>
  <c r="AF123" i="9" s="1"/>
  <c r="AG124" i="9" s="1"/>
  <c r="AI123" i="9"/>
  <c r="F123" i="9"/>
  <c r="C123" i="9"/>
  <c r="BM122" i="9"/>
  <c r="AF122" i="9" s="1"/>
  <c r="AI122" i="9"/>
  <c r="F122" i="9"/>
  <c r="C122" i="9"/>
  <c r="U122" i="9" s="1"/>
  <c r="BM121" i="9"/>
  <c r="AF121" i="9" s="1"/>
  <c r="AG122" i="9" s="1"/>
  <c r="AI121" i="9"/>
  <c r="F121" i="9"/>
  <c r="C121" i="9"/>
  <c r="U121" i="9" s="1"/>
  <c r="BM120" i="9"/>
  <c r="AF120" i="9" s="1"/>
  <c r="AI120" i="9"/>
  <c r="F120" i="9"/>
  <c r="C120" i="9"/>
  <c r="U120" i="9" s="1"/>
  <c r="BM119" i="9"/>
  <c r="AF119" i="9" s="1"/>
  <c r="AI119" i="9"/>
  <c r="F119" i="9"/>
  <c r="C119" i="9"/>
  <c r="U119" i="9" s="1"/>
  <c r="BM118" i="9"/>
  <c r="AF118" i="9" s="1"/>
  <c r="AI118" i="9"/>
  <c r="F118" i="9"/>
  <c r="C118" i="9"/>
  <c r="U118" i="9" s="1"/>
  <c r="BM117" i="9"/>
  <c r="AF117" i="9" s="1"/>
  <c r="AI117" i="9"/>
  <c r="F117" i="9"/>
  <c r="C117" i="9"/>
  <c r="U117" i="9" s="1"/>
  <c r="BM116" i="9"/>
  <c r="AF116" i="9" s="1"/>
  <c r="AI116" i="9"/>
  <c r="F116" i="9"/>
  <c r="C116" i="9"/>
  <c r="U116" i="9" s="1"/>
  <c r="BM115" i="9"/>
  <c r="AF115" i="9" s="1"/>
  <c r="AG116" i="9" s="1"/>
  <c r="AI115" i="9"/>
  <c r="F115" i="9"/>
  <c r="C115" i="9"/>
  <c r="U115" i="9" s="1"/>
  <c r="BM114" i="9"/>
  <c r="AF114" i="9" s="1"/>
  <c r="AI114" i="9"/>
  <c r="F114" i="9"/>
  <c r="C114" i="9"/>
  <c r="U114" i="9" s="1"/>
  <c r="BM113" i="9"/>
  <c r="AF113" i="9" s="1"/>
  <c r="AG114" i="9" s="1"/>
  <c r="AI113" i="9"/>
  <c r="F113" i="9"/>
  <c r="C113" i="9"/>
  <c r="U113" i="9" s="1"/>
  <c r="BM112" i="9"/>
  <c r="AF112" i="9" s="1"/>
  <c r="AI112" i="9"/>
  <c r="F112" i="9"/>
  <c r="C112" i="9"/>
  <c r="U112" i="9" s="1"/>
  <c r="BM111" i="9"/>
  <c r="AF111" i="9" s="1"/>
  <c r="AI111" i="9"/>
  <c r="F111" i="9"/>
  <c r="C111" i="9"/>
  <c r="BM110" i="9"/>
  <c r="AF110" i="9" s="1"/>
  <c r="AI110" i="9"/>
  <c r="F110" i="9"/>
  <c r="C110" i="9"/>
  <c r="U110" i="9" s="1"/>
  <c r="BM109" i="9"/>
  <c r="AF109" i="9" s="1"/>
  <c r="AG110" i="9" s="1"/>
  <c r="AI109" i="9"/>
  <c r="F109" i="9"/>
  <c r="C109" i="9"/>
  <c r="U109" i="9" s="1"/>
  <c r="BM108" i="9"/>
  <c r="AF108" i="9" s="1"/>
  <c r="AI108" i="9"/>
  <c r="F108" i="9"/>
  <c r="C108" i="9"/>
  <c r="U108" i="9" s="1"/>
  <c r="BM107" i="9"/>
  <c r="AF107" i="9" s="1"/>
  <c r="AG108" i="9" s="1"/>
  <c r="AI107" i="9"/>
  <c r="F107" i="9"/>
  <c r="C107" i="9"/>
  <c r="U107" i="9" s="1"/>
  <c r="BM106" i="9"/>
  <c r="AF106" i="9" s="1"/>
  <c r="AI106" i="9"/>
  <c r="F106" i="9"/>
  <c r="C106" i="9"/>
  <c r="BM105" i="9"/>
  <c r="AF105" i="9" s="1"/>
  <c r="AG105" i="9" s="1"/>
  <c r="AI105" i="9"/>
  <c r="F105" i="9"/>
  <c r="C105" i="9"/>
  <c r="U105" i="9" s="1"/>
  <c r="BM104" i="9"/>
  <c r="AF104" i="9" s="1"/>
  <c r="AI104" i="9"/>
  <c r="F104" i="9"/>
  <c r="C104" i="9"/>
  <c r="BM103" i="9"/>
  <c r="AF103" i="9" s="1"/>
  <c r="AG104" i="9" s="1"/>
  <c r="AI103" i="9"/>
  <c r="F103" i="9"/>
  <c r="C103" i="9"/>
  <c r="BM102" i="9"/>
  <c r="AF102" i="9" s="1"/>
  <c r="AI102" i="9"/>
  <c r="F102" i="9"/>
  <c r="C102" i="9"/>
  <c r="U102" i="9" s="1"/>
  <c r="BM101" i="9"/>
  <c r="AF101" i="9" s="1"/>
  <c r="AG102" i="9" s="1"/>
  <c r="AI101" i="9"/>
  <c r="F101" i="9"/>
  <c r="C101" i="9"/>
  <c r="U101" i="9" s="1"/>
  <c r="BM100" i="9"/>
  <c r="AF100" i="9" s="1"/>
  <c r="AI100" i="9"/>
  <c r="F100" i="9"/>
  <c r="C100" i="9"/>
  <c r="U100" i="9" s="1"/>
  <c r="BM99" i="9"/>
  <c r="AF99" i="9" s="1"/>
  <c r="AG100" i="9" s="1"/>
  <c r="AI99" i="9"/>
  <c r="F99" i="9"/>
  <c r="C99" i="9"/>
  <c r="U99" i="9" s="1"/>
  <c r="BM98" i="9"/>
  <c r="AF98" i="9" s="1"/>
  <c r="AI98" i="9"/>
  <c r="F98" i="9"/>
  <c r="C98" i="9"/>
  <c r="U98" i="9" s="1"/>
  <c r="BM97" i="9"/>
  <c r="AF97" i="9" s="1"/>
  <c r="AI97" i="9"/>
  <c r="F97" i="9"/>
  <c r="C97" i="9"/>
  <c r="BM96" i="9"/>
  <c r="AF96" i="9" s="1"/>
  <c r="AI96" i="9"/>
  <c r="F96" i="9"/>
  <c r="C96" i="9"/>
  <c r="U96" i="9" s="1"/>
  <c r="BM95" i="9"/>
  <c r="AF95" i="9" s="1"/>
  <c r="AG96" i="9" s="1"/>
  <c r="AI95" i="9"/>
  <c r="F95" i="9"/>
  <c r="C95" i="9"/>
  <c r="BM94" i="9"/>
  <c r="AF94" i="9" s="1"/>
  <c r="AI94" i="9"/>
  <c r="F94" i="9"/>
  <c r="C94" i="9"/>
  <c r="U94" i="9" s="1"/>
  <c r="BM93" i="9"/>
  <c r="AF93" i="9" s="1"/>
  <c r="AG94" i="9" s="1"/>
  <c r="AI93" i="9"/>
  <c r="F93" i="9"/>
  <c r="C93" i="9"/>
  <c r="U93" i="9" s="1"/>
  <c r="BM92" i="9"/>
  <c r="AF92" i="9" s="1"/>
  <c r="AI92" i="9"/>
  <c r="F92" i="9"/>
  <c r="C92" i="9"/>
  <c r="U92" i="9" s="1"/>
  <c r="BM91" i="9"/>
  <c r="AF91" i="9" s="1"/>
  <c r="AG92" i="9" s="1"/>
  <c r="AI91" i="9"/>
  <c r="F91" i="9"/>
  <c r="C91" i="9"/>
  <c r="U91" i="9" s="1"/>
  <c r="BM90" i="9"/>
  <c r="AF90" i="9" s="1"/>
  <c r="AI90" i="9"/>
  <c r="F90" i="9"/>
  <c r="C90" i="9"/>
  <c r="U90" i="9" s="1"/>
  <c r="BM89" i="9"/>
  <c r="AF89" i="9" s="1"/>
  <c r="AG90" i="9" s="1"/>
  <c r="AI89" i="9"/>
  <c r="F89" i="9"/>
  <c r="C89" i="9"/>
  <c r="U89" i="9" s="1"/>
  <c r="BM88" i="9"/>
  <c r="AF88" i="9" s="1"/>
  <c r="AI88" i="9"/>
  <c r="F88" i="9"/>
  <c r="C88" i="9"/>
  <c r="U88" i="9" s="1"/>
  <c r="BM87" i="9"/>
  <c r="AF87" i="9" s="1"/>
  <c r="AI87" i="9"/>
  <c r="F87" i="9"/>
  <c r="C87" i="9"/>
  <c r="U87" i="9" s="1"/>
  <c r="BM86" i="9"/>
  <c r="AF86" i="9" s="1"/>
  <c r="AI86" i="9"/>
  <c r="F86" i="9"/>
  <c r="C86" i="9"/>
  <c r="U86" i="9" s="1"/>
  <c r="BM85" i="9"/>
  <c r="AF85" i="9" s="1"/>
  <c r="AI85" i="9"/>
  <c r="F85" i="9"/>
  <c r="C85" i="9"/>
  <c r="U85" i="9" s="1"/>
  <c r="BM64" i="9"/>
  <c r="AF64" i="9" s="1"/>
  <c r="AI64" i="9"/>
  <c r="F64" i="9"/>
  <c r="C64" i="9"/>
  <c r="BM63" i="9"/>
  <c r="AF63" i="9" s="1"/>
  <c r="AG64" i="9" s="1"/>
  <c r="AI63" i="9"/>
  <c r="F63" i="9"/>
  <c r="C63" i="9"/>
  <c r="BM62" i="9"/>
  <c r="AF62" i="9" s="1"/>
  <c r="AI62" i="9"/>
  <c r="F62" i="9"/>
  <c r="C62" i="9"/>
  <c r="U62" i="9" s="1"/>
  <c r="BM61" i="9"/>
  <c r="AF61" i="9" s="1"/>
  <c r="AG62" i="9" s="1"/>
  <c r="AI61" i="9"/>
  <c r="F61" i="9"/>
  <c r="C61" i="9"/>
  <c r="U61" i="9" s="1"/>
  <c r="BM60" i="9"/>
  <c r="AF60" i="9" s="1"/>
  <c r="AI60" i="9"/>
  <c r="F60" i="9"/>
  <c r="C60" i="9"/>
  <c r="U60" i="9" s="1"/>
  <c r="BM59" i="9"/>
  <c r="AF59" i="9" s="1"/>
  <c r="AG60" i="9" s="1"/>
  <c r="AI59" i="9"/>
  <c r="F59" i="9"/>
  <c r="C59" i="9"/>
  <c r="U59" i="9" s="1"/>
  <c r="BM58" i="9"/>
  <c r="AF58" i="9" s="1"/>
  <c r="AI58" i="9"/>
  <c r="F58" i="9"/>
  <c r="C58" i="9"/>
  <c r="U58" i="9" s="1"/>
  <c r="BM57" i="9"/>
  <c r="AF57" i="9" s="1"/>
  <c r="AG58" i="9" s="1"/>
  <c r="AI57" i="9"/>
  <c r="F57" i="9"/>
  <c r="C57" i="9"/>
  <c r="U57" i="9" s="1"/>
  <c r="BM56" i="9"/>
  <c r="AF56" i="9" s="1"/>
  <c r="AI56" i="9"/>
  <c r="F56" i="9"/>
  <c r="C56" i="9"/>
  <c r="U56" i="9" s="1"/>
  <c r="BM55" i="9"/>
  <c r="AF55" i="9" s="1"/>
  <c r="AG56" i="9" s="1"/>
  <c r="AI55" i="9"/>
  <c r="F55" i="9"/>
  <c r="C55" i="9"/>
  <c r="U55" i="9" s="1"/>
  <c r="BM54" i="9"/>
  <c r="AF54" i="9" s="1"/>
  <c r="AI54" i="9"/>
  <c r="F54" i="9"/>
  <c r="C54" i="9"/>
  <c r="BM53" i="9"/>
  <c r="AF53" i="9" s="1"/>
  <c r="AG54" i="9" s="1"/>
  <c r="AI53" i="9"/>
  <c r="F53" i="9"/>
  <c r="C53" i="9"/>
  <c r="BM52" i="9"/>
  <c r="AF52" i="9" s="1"/>
  <c r="AI52" i="9"/>
  <c r="F52" i="9"/>
  <c r="C52" i="9"/>
  <c r="U52" i="9" s="1"/>
  <c r="BM51" i="9"/>
  <c r="AF51" i="9" s="1"/>
  <c r="AG52" i="9" s="1"/>
  <c r="AI51" i="9"/>
  <c r="F51" i="9"/>
  <c r="C51" i="9"/>
  <c r="BM50" i="9"/>
  <c r="AF50" i="9" s="1"/>
  <c r="AI50" i="9"/>
  <c r="F50" i="9"/>
  <c r="C50" i="9"/>
  <c r="BM49" i="9"/>
  <c r="AF49" i="9" s="1"/>
  <c r="AG50" i="9" s="1"/>
  <c r="AI49" i="9"/>
  <c r="F49" i="9"/>
  <c r="C49" i="9"/>
  <c r="BM48" i="9"/>
  <c r="AF48" i="9" s="1"/>
  <c r="AI48" i="9"/>
  <c r="F48" i="9"/>
  <c r="C48" i="9"/>
  <c r="BM47" i="9"/>
  <c r="AF47" i="9" s="1"/>
  <c r="AG48" i="9" s="1"/>
  <c r="AI47" i="9"/>
  <c r="F47" i="9"/>
  <c r="C47" i="9"/>
  <c r="BM46" i="9"/>
  <c r="AF46" i="9" s="1"/>
  <c r="AI46" i="9"/>
  <c r="F46" i="9"/>
  <c r="C46" i="9"/>
  <c r="U46" i="9" s="1"/>
  <c r="BM45" i="9"/>
  <c r="AF45" i="9" s="1"/>
  <c r="AI45" i="9"/>
  <c r="F45" i="9"/>
  <c r="C45" i="9"/>
  <c r="U45" i="9" s="1"/>
  <c r="BM44" i="9"/>
  <c r="AF44" i="9" s="1"/>
  <c r="AI44" i="9"/>
  <c r="F44" i="9"/>
  <c r="C44" i="9"/>
  <c r="BM43" i="9"/>
  <c r="AF43" i="9" s="1"/>
  <c r="AG44" i="9" s="1"/>
  <c r="AI43" i="9"/>
  <c r="F43" i="9"/>
  <c r="C43" i="9"/>
  <c r="U43" i="9" s="1"/>
  <c r="BM42" i="9"/>
  <c r="AF42" i="9" s="1"/>
  <c r="AI42" i="9"/>
  <c r="F42" i="9"/>
  <c r="C42" i="9"/>
  <c r="U42" i="9" s="1"/>
  <c r="BM41" i="9"/>
  <c r="AF41" i="9" s="1"/>
  <c r="AG42" i="9" s="1"/>
  <c r="AI41" i="9"/>
  <c r="F41" i="9"/>
  <c r="C41" i="9"/>
  <c r="BM40" i="9"/>
  <c r="AF40" i="9" s="1"/>
  <c r="AI40" i="9"/>
  <c r="F40" i="9"/>
  <c r="C40" i="9"/>
  <c r="BM39" i="9"/>
  <c r="AF39" i="9" s="1"/>
  <c r="AI39" i="9"/>
  <c r="F39" i="9"/>
  <c r="C39" i="9"/>
  <c r="U39" i="9" s="1"/>
  <c r="BM38" i="9"/>
  <c r="AF38" i="9" s="1"/>
  <c r="AI38" i="9"/>
  <c r="F38" i="9"/>
  <c r="C38" i="9"/>
  <c r="U38" i="9" s="1"/>
  <c r="BM37" i="9"/>
  <c r="AF37" i="9" s="1"/>
  <c r="AG38" i="9" s="1"/>
  <c r="AI37" i="9"/>
  <c r="F37" i="9"/>
  <c r="C37" i="9"/>
  <c r="U37" i="9" s="1"/>
  <c r="BM36" i="9"/>
  <c r="AF36" i="9" s="1"/>
  <c r="AI36" i="9"/>
  <c r="F36" i="9"/>
  <c r="C36" i="9"/>
  <c r="U36" i="9" s="1"/>
  <c r="BM35" i="9"/>
  <c r="AF35" i="9" s="1"/>
  <c r="AG36" i="9" s="1"/>
  <c r="AI35" i="9"/>
  <c r="F35" i="9"/>
  <c r="C35" i="9"/>
  <c r="BM34" i="9"/>
  <c r="AF34" i="9" s="1"/>
  <c r="AI34" i="9"/>
  <c r="F34" i="9"/>
  <c r="C34" i="9"/>
  <c r="BM33" i="9"/>
  <c r="AF33" i="9" s="1"/>
  <c r="AG34" i="9" s="1"/>
  <c r="AI33" i="9"/>
  <c r="F33" i="9"/>
  <c r="C33" i="9"/>
  <c r="BM32" i="9"/>
  <c r="AF32" i="9" s="1"/>
  <c r="AI32" i="9"/>
  <c r="F32" i="9"/>
  <c r="C32" i="9"/>
  <c r="BM31" i="9"/>
  <c r="AF31" i="9" s="1"/>
  <c r="AG32" i="9" s="1"/>
  <c r="AI31" i="9"/>
  <c r="F31" i="9"/>
  <c r="C31" i="9"/>
  <c r="U31" i="9" s="1"/>
  <c r="BM30" i="9"/>
  <c r="AF30" i="9" s="1"/>
  <c r="AI30" i="9"/>
  <c r="F30" i="9"/>
  <c r="C30" i="9"/>
  <c r="U30" i="9" s="1"/>
  <c r="BM29" i="9"/>
  <c r="AF29" i="9" s="1"/>
  <c r="AG30" i="9" s="1"/>
  <c r="AI29" i="9"/>
  <c r="F29" i="9"/>
  <c r="C29" i="9"/>
  <c r="BM28" i="9"/>
  <c r="AF28" i="9" s="1"/>
  <c r="AI28" i="9"/>
  <c r="F28" i="9"/>
  <c r="C28" i="9"/>
  <c r="BM27" i="9"/>
  <c r="AF27" i="9" s="1"/>
  <c r="AG28" i="9" s="1"/>
  <c r="AI27" i="9"/>
  <c r="F27" i="9"/>
  <c r="C27" i="9"/>
  <c r="U27" i="9" s="1"/>
  <c r="BM26" i="9"/>
  <c r="AF26" i="9" s="1"/>
  <c r="AI26" i="9"/>
  <c r="F26" i="9"/>
  <c r="C26" i="9"/>
  <c r="U26" i="9" s="1"/>
  <c r="BM25" i="9"/>
  <c r="AF25" i="9" s="1"/>
  <c r="AG25" i="9" s="1"/>
  <c r="AI25" i="9"/>
  <c r="F25" i="9"/>
  <c r="C25" i="9"/>
  <c r="BM20" i="9"/>
  <c r="AF20" i="9" s="1"/>
  <c r="AG21" i="9" s="1"/>
  <c r="AI20" i="9"/>
  <c r="F20" i="9"/>
  <c r="C20" i="9"/>
  <c r="U20" i="9" s="1"/>
  <c r="BM19" i="9"/>
  <c r="AF19" i="9" s="1"/>
  <c r="AG20" i="9" s="1"/>
  <c r="AI19" i="9"/>
  <c r="F19" i="9"/>
  <c r="C19" i="9"/>
  <c r="U19" i="9" s="1"/>
  <c r="BM18" i="9"/>
  <c r="AF18" i="9" s="1"/>
  <c r="AI18" i="9"/>
  <c r="F18" i="9"/>
  <c r="C18" i="9"/>
  <c r="U18" i="9" s="1"/>
  <c r="BM17" i="9"/>
  <c r="AF17" i="9" s="1"/>
  <c r="AI17" i="9"/>
  <c r="F17" i="9"/>
  <c r="C17" i="9"/>
  <c r="U17" i="9" s="1"/>
  <c r="BM16" i="9"/>
  <c r="AF16" i="9" s="1"/>
  <c r="AI16" i="9"/>
  <c r="F16" i="9"/>
  <c r="C16" i="9"/>
  <c r="U16" i="9" s="1"/>
  <c r="BM15" i="9"/>
  <c r="AF15" i="9" s="1"/>
  <c r="AI15" i="9"/>
  <c r="F15" i="9"/>
  <c r="C15" i="9"/>
  <c r="BM14" i="9"/>
  <c r="AF14" i="9" s="1"/>
  <c r="AI14" i="9"/>
  <c r="F14" i="9"/>
  <c r="C14" i="9"/>
  <c r="U14" i="9" s="1"/>
  <c r="BM13" i="9"/>
  <c r="AF13" i="9" s="1"/>
  <c r="AI13" i="9"/>
  <c r="F13" i="9"/>
  <c r="C13" i="9"/>
  <c r="U13" i="9" s="1"/>
  <c r="BM12" i="9"/>
  <c r="AF12" i="9" s="1"/>
  <c r="AI12" i="9"/>
  <c r="F12" i="9"/>
  <c r="C12" i="9"/>
  <c r="U12" i="9" s="1"/>
  <c r="BM11" i="9"/>
  <c r="AF11" i="9" s="1"/>
  <c r="AI11" i="9"/>
  <c r="F11" i="9"/>
  <c r="C11" i="9"/>
  <c r="U11" i="9" s="1"/>
  <c r="BM10" i="9"/>
  <c r="AF10" i="9" s="1"/>
  <c r="AI10" i="9"/>
  <c r="F10" i="9"/>
  <c r="C10" i="9"/>
  <c r="U10" i="9" s="1"/>
  <c r="BM9" i="9"/>
  <c r="AF9" i="9" s="1"/>
  <c r="AI9" i="9"/>
  <c r="F9" i="9"/>
  <c r="C9" i="9"/>
  <c r="U9" i="9" s="1"/>
  <c r="BM8" i="9"/>
  <c r="AF8" i="9" s="1"/>
  <c r="AI8" i="9"/>
  <c r="F8" i="9"/>
  <c r="C8" i="9"/>
  <c r="U8" i="9" s="1"/>
  <c r="BM7" i="9"/>
  <c r="AF7" i="9" s="1"/>
  <c r="AI7" i="9"/>
  <c r="F7" i="9"/>
  <c r="C7" i="9"/>
  <c r="U7" i="9" s="1"/>
  <c r="BM6" i="9"/>
  <c r="AF6" i="9" s="1"/>
  <c r="AI6" i="9"/>
  <c r="F6" i="9"/>
  <c r="C6" i="9"/>
  <c r="U6" i="9" s="1"/>
  <c r="BM5" i="9"/>
  <c r="AF5" i="9" s="1"/>
  <c r="AI5" i="9"/>
  <c r="F5" i="9"/>
  <c r="C5" i="9"/>
  <c r="U5" i="9" s="1"/>
  <c r="AG249" i="9" l="1"/>
  <c r="AG250" i="9"/>
  <c r="AG7" i="9"/>
  <c r="AG11" i="9"/>
  <c r="AG15" i="9"/>
  <c r="AG19" i="9"/>
  <c r="AG245" i="9"/>
  <c r="AG246" i="9"/>
  <c r="AG9" i="9"/>
  <c r="AG13" i="9"/>
  <c r="AG17" i="9"/>
  <c r="AG247" i="9"/>
  <c r="AG251" i="9"/>
  <c r="AG253" i="9"/>
  <c r="AG255" i="9"/>
  <c r="AG257" i="9"/>
  <c r="AG259" i="9"/>
  <c r="AG261" i="9"/>
  <c r="AG262" i="9"/>
  <c r="AG263" i="9"/>
  <c r="AG6" i="9"/>
  <c r="AG5" i="9"/>
  <c r="AG10" i="9"/>
  <c r="AG14" i="9"/>
  <c r="AG18" i="9"/>
  <c r="AG45" i="9"/>
  <c r="AG46" i="9"/>
  <c r="AG86" i="9"/>
  <c r="AG85" i="9"/>
  <c r="AG97" i="9"/>
  <c r="AG98" i="9"/>
  <c r="AG206" i="9"/>
  <c r="AG205" i="9"/>
  <c r="AG8" i="9"/>
  <c r="AG12" i="9"/>
  <c r="AG16" i="9"/>
  <c r="AG117" i="9"/>
  <c r="AG118" i="9"/>
  <c r="AG126" i="9"/>
  <c r="AG125" i="9"/>
  <c r="AG145" i="9"/>
  <c r="AG146" i="9"/>
  <c r="AG166" i="9"/>
  <c r="AG165" i="9"/>
  <c r="AG26" i="9"/>
  <c r="AG27" i="9"/>
  <c r="AG29" i="9"/>
  <c r="AG31" i="9"/>
  <c r="AG33" i="9"/>
  <c r="AG35" i="9"/>
  <c r="AG37" i="9"/>
  <c r="AG39" i="9"/>
  <c r="AG40" i="9"/>
  <c r="AG41" i="9"/>
  <c r="AG43" i="9"/>
  <c r="AG47" i="9"/>
  <c r="AG49" i="9"/>
  <c r="AG51" i="9"/>
  <c r="AG53" i="9"/>
  <c r="AG55" i="9"/>
  <c r="AG57" i="9"/>
  <c r="AG59" i="9"/>
  <c r="AG61" i="9"/>
  <c r="AG63" i="9"/>
  <c r="AG87" i="9"/>
  <c r="AG88" i="9"/>
  <c r="AG89" i="9"/>
  <c r="AG91" i="9"/>
  <c r="AG93" i="9"/>
  <c r="AG95" i="9"/>
  <c r="AG99" i="9"/>
  <c r="AG101" i="9"/>
  <c r="AG103" i="9"/>
  <c r="AG106" i="9"/>
  <c r="AG107" i="9"/>
  <c r="AG109" i="9"/>
  <c r="AG111" i="9"/>
  <c r="AG112" i="9"/>
  <c r="AG113" i="9"/>
  <c r="AG115" i="9"/>
  <c r="AG119" i="9"/>
  <c r="AG120" i="9"/>
  <c r="AG121" i="9"/>
  <c r="AG123" i="9"/>
  <c r="AG127" i="9"/>
  <c r="AG129" i="9"/>
  <c r="AG131" i="9"/>
  <c r="AG133" i="9"/>
  <c r="AG135" i="9"/>
  <c r="AG138" i="9"/>
  <c r="AG139" i="9"/>
  <c r="AG141" i="9"/>
  <c r="AG143" i="9"/>
  <c r="AG147" i="9"/>
  <c r="AG149" i="9"/>
  <c r="AG151" i="9"/>
  <c r="AG153" i="9"/>
  <c r="AG155" i="9"/>
  <c r="AG157" i="9"/>
  <c r="AG159" i="9"/>
  <c r="AG161" i="9"/>
  <c r="AG163" i="9"/>
  <c r="AG167" i="9"/>
  <c r="AG169" i="9"/>
  <c r="AG171" i="9"/>
  <c r="AG173" i="9"/>
  <c r="AG175" i="9"/>
  <c r="AG176" i="9"/>
  <c r="AG177" i="9"/>
  <c r="AG178" i="9"/>
  <c r="AG179" i="9"/>
  <c r="AG181" i="9"/>
  <c r="AG183" i="9"/>
  <c r="AG207" i="9"/>
  <c r="AG209" i="9"/>
  <c r="AG211" i="9"/>
  <c r="AG213" i="9"/>
  <c r="AG215" i="9"/>
  <c r="AG217" i="9"/>
  <c r="AG219" i="9"/>
  <c r="AG221" i="9"/>
  <c r="AG223" i="9"/>
  <c r="AO8" i="9"/>
  <c r="AO16" i="9"/>
  <c r="AO28" i="9"/>
  <c r="AO36" i="9"/>
  <c r="AO44" i="9"/>
  <c r="AO52" i="9"/>
  <c r="AO60" i="9"/>
  <c r="AO92" i="9"/>
  <c r="AO102" i="9"/>
  <c r="AO110" i="9"/>
  <c r="AO120" i="9"/>
  <c r="AO130" i="9"/>
  <c r="AO140" i="9"/>
  <c r="AO148" i="9"/>
  <c r="AO156" i="9"/>
  <c r="AO164" i="9"/>
  <c r="AO172" i="9"/>
  <c r="AO180" i="9"/>
  <c r="AO210" i="9"/>
  <c r="AO220" i="9"/>
  <c r="AO250" i="9"/>
  <c r="AO260" i="9"/>
  <c r="AO10" i="9"/>
  <c r="AO18" i="9"/>
  <c r="AO30" i="9"/>
  <c r="AO38" i="9"/>
  <c r="AO46" i="9"/>
  <c r="AO56" i="9"/>
  <c r="AO86" i="9"/>
  <c r="AO94" i="9"/>
  <c r="AO100" i="9"/>
  <c r="AO108" i="9"/>
  <c r="AO116" i="9"/>
  <c r="AO124" i="9"/>
  <c r="AO132" i="9"/>
  <c r="AO138" i="9"/>
  <c r="AO146" i="9"/>
  <c r="AO154" i="9"/>
  <c r="AO162" i="9"/>
  <c r="AO170" i="9"/>
  <c r="AO178" i="9"/>
  <c r="AO206" i="9"/>
  <c r="AO214" i="9"/>
  <c r="AO222" i="9"/>
  <c r="AO246" i="9"/>
  <c r="AO252" i="9"/>
  <c r="AO258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07" i="9"/>
  <c r="AO213" i="9"/>
  <c r="AO219" i="9"/>
  <c r="AO245" i="9"/>
  <c r="AO251" i="9"/>
  <c r="AO255" i="9"/>
  <c r="AO261" i="9"/>
  <c r="AO12" i="9"/>
  <c r="AO26" i="9"/>
  <c r="AO34" i="9"/>
  <c r="AO42" i="9"/>
  <c r="AO50" i="9"/>
  <c r="AO58" i="9"/>
  <c r="AO64" i="9"/>
  <c r="AO90" i="9"/>
  <c r="AO96" i="9"/>
  <c r="AO104" i="9"/>
  <c r="AO112" i="9"/>
  <c r="AO118" i="9"/>
  <c r="AO126" i="9"/>
  <c r="AO134" i="9"/>
  <c r="AO142" i="9"/>
  <c r="AO150" i="9"/>
  <c r="AO158" i="9"/>
  <c r="AO166" i="9"/>
  <c r="AO174" i="9"/>
  <c r="AO182" i="9"/>
  <c r="AO208" i="9"/>
  <c r="AO216" i="9"/>
  <c r="AO224" i="9"/>
  <c r="AO254" i="9"/>
  <c r="AO26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09" i="9"/>
  <c r="AO215" i="9"/>
  <c r="AO221" i="9"/>
  <c r="AO247" i="9"/>
  <c r="AO253" i="9"/>
  <c r="AO257" i="9"/>
  <c r="AO263" i="9"/>
  <c r="AO6" i="9"/>
  <c r="AO14" i="9"/>
  <c r="AO20" i="9"/>
  <c r="AO32" i="9"/>
  <c r="AO40" i="9"/>
  <c r="AO48" i="9"/>
  <c r="AO54" i="9"/>
  <c r="AO62" i="9"/>
  <c r="AO88" i="9"/>
  <c r="AO98" i="9"/>
  <c r="AO106" i="9"/>
  <c r="AO114" i="9"/>
  <c r="AO122" i="9"/>
  <c r="AO128" i="9"/>
  <c r="AO136" i="9"/>
  <c r="AO144" i="9"/>
  <c r="AO152" i="9"/>
  <c r="AO160" i="9"/>
  <c r="AO168" i="9"/>
  <c r="AO176" i="9"/>
  <c r="AO184" i="9"/>
  <c r="AO212" i="9"/>
  <c r="AO218" i="9"/>
  <c r="AO248" i="9"/>
  <c r="AO256" i="9"/>
  <c r="AO26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05" i="9"/>
  <c r="AO211" i="9"/>
  <c r="AO217" i="9"/>
  <c r="AO223" i="9"/>
  <c r="AO249" i="9"/>
  <c r="AO259" i="9"/>
  <c r="AQ347" i="9"/>
  <c r="AQ355" i="9"/>
  <c r="AQ371" i="9"/>
  <c r="AQ348" i="9"/>
  <c r="AQ356" i="9"/>
  <c r="AQ349" i="9"/>
  <c r="AQ357" i="9"/>
  <c r="AQ365" i="9"/>
  <c r="AQ350" i="9"/>
  <c r="AQ358" i="9"/>
  <c r="AQ366" i="9"/>
  <c r="AQ351" i="9"/>
  <c r="AQ367" i="9"/>
  <c r="AQ352" i="9"/>
  <c r="AQ368" i="9"/>
  <c r="AQ345" i="9"/>
  <c r="AQ346" i="9"/>
  <c r="AQ353" i="9"/>
  <c r="AQ369" i="9"/>
  <c r="AQ354" i="9"/>
  <c r="AQ370" i="9"/>
  <c r="AQ79" i="9"/>
  <c r="AQ77" i="9"/>
  <c r="AQ67" i="9"/>
  <c r="AQ65" i="9"/>
  <c r="AQ51" i="9"/>
  <c r="AQ59" i="9"/>
  <c r="AQ27" i="9"/>
  <c r="AQ35" i="9"/>
  <c r="AQ43" i="9"/>
  <c r="AQ12" i="9"/>
  <c r="AQ20" i="9"/>
  <c r="AQ70" i="9"/>
  <c r="AQ75" i="9"/>
  <c r="AQ73" i="9"/>
  <c r="AQ52" i="9"/>
  <c r="AQ60" i="9"/>
  <c r="AQ28" i="9"/>
  <c r="AQ36" i="9"/>
  <c r="AQ44" i="9"/>
  <c r="AQ13" i="9"/>
  <c r="AQ21" i="9"/>
  <c r="AQ68" i="9"/>
  <c r="AQ83" i="9"/>
  <c r="AQ81" i="9"/>
  <c r="AQ45" i="9"/>
  <c r="AQ53" i="9"/>
  <c r="AQ61" i="9"/>
  <c r="AQ29" i="9"/>
  <c r="AQ37" i="9"/>
  <c r="AQ6" i="9"/>
  <c r="AQ14" i="9"/>
  <c r="AQ22" i="9"/>
  <c r="AQ78" i="9"/>
  <c r="AQ76" i="9"/>
  <c r="AQ72" i="9"/>
  <c r="AQ66" i="9"/>
  <c r="AQ47" i="9"/>
  <c r="AQ55" i="9"/>
  <c r="AQ63" i="9"/>
  <c r="AQ31" i="9"/>
  <c r="AQ39" i="9"/>
  <c r="AQ8" i="9"/>
  <c r="AQ16" i="9"/>
  <c r="AQ24" i="9"/>
  <c r="AQ50" i="9"/>
  <c r="AQ26" i="9"/>
  <c r="AQ42" i="9"/>
  <c r="AQ19" i="9"/>
  <c r="AQ7" i="9"/>
  <c r="AQ57" i="9"/>
  <c r="AQ41" i="9"/>
  <c r="AQ54" i="9"/>
  <c r="AQ30" i="9"/>
  <c r="AQ23" i="9"/>
  <c r="AQ80" i="9"/>
  <c r="AQ33" i="9"/>
  <c r="AQ34" i="9"/>
  <c r="AQ25" i="9"/>
  <c r="AQ56" i="9"/>
  <c r="AQ32" i="9"/>
  <c r="AQ9" i="9"/>
  <c r="AQ5" i="9"/>
  <c r="AQ58" i="9"/>
  <c r="AQ11" i="9"/>
  <c r="AQ49" i="9"/>
  <c r="AQ84" i="9"/>
  <c r="AQ82" i="9"/>
  <c r="AQ69" i="9"/>
  <c r="AQ46" i="9"/>
  <c r="AQ62" i="9"/>
  <c r="AQ38" i="9"/>
  <c r="AQ15" i="9"/>
  <c r="AQ74" i="9"/>
  <c r="AQ71" i="9"/>
  <c r="AQ48" i="9"/>
  <c r="AQ64" i="9"/>
  <c r="AQ40" i="9"/>
  <c r="AQ17" i="9"/>
  <c r="AQ18" i="9"/>
  <c r="A263" i="9"/>
  <c r="A32" i="9"/>
  <c r="A163" i="9"/>
  <c r="A102" i="9"/>
  <c r="A168" i="9"/>
  <c r="A167" i="9"/>
  <c r="A212" i="9"/>
  <c r="A100" i="9"/>
  <c r="A224" i="9"/>
  <c r="A254" i="9"/>
  <c r="A97" i="9"/>
  <c r="A104" i="9"/>
  <c r="A256" i="9"/>
  <c r="A182" i="9"/>
  <c r="A215" i="9"/>
  <c r="A220" i="9"/>
  <c r="A101" i="9"/>
  <c r="A137" i="9"/>
  <c r="A171" i="9"/>
  <c r="A219" i="9"/>
  <c r="A260" i="9"/>
  <c r="A25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06" i="9"/>
  <c r="A209" i="9"/>
  <c r="A257" i="9"/>
  <c r="A264" i="9"/>
  <c r="A118" i="9"/>
  <c r="A132" i="9"/>
  <c r="A148" i="9"/>
  <c r="A127" i="9"/>
  <c r="A36" i="9"/>
  <c r="A43" i="9"/>
  <c r="A51" i="9"/>
  <c r="A88" i="9"/>
  <c r="U97" i="9"/>
  <c r="A161" i="9"/>
  <c r="A170" i="9"/>
  <c r="U171" i="9"/>
  <c r="A174" i="9"/>
  <c r="A178" i="9"/>
  <c r="U28" i="9"/>
  <c r="A56" i="9"/>
  <c r="A59" i="9"/>
  <c r="A146" i="9"/>
  <c r="A169" i="9"/>
  <c r="A173" i="9"/>
  <c r="U182" i="9"/>
  <c r="A211" i="9"/>
  <c r="A214" i="9"/>
  <c r="A6" i="9"/>
  <c r="A29" i="9"/>
  <c r="A35" i="9"/>
  <c r="A98" i="9"/>
  <c r="A119" i="9"/>
  <c r="A164" i="9"/>
  <c r="A172" i="9"/>
  <c r="A208" i="9"/>
  <c r="A223" i="9"/>
  <c r="A249" i="9"/>
  <c r="A92" i="9"/>
  <c r="U206" i="9"/>
  <c r="U223" i="9"/>
  <c r="U263" i="9"/>
  <c r="A252" i="9"/>
  <c r="U32" i="9"/>
  <c r="A34" i="9"/>
  <c r="A44" i="9"/>
  <c r="U64" i="9"/>
  <c r="A95" i="9"/>
  <c r="A110" i="9"/>
  <c r="A121" i="9"/>
  <c r="A143" i="9"/>
  <c r="A154" i="9"/>
  <c r="A86" i="9"/>
  <c r="A221" i="9"/>
  <c r="A245" i="9"/>
  <c r="A52" i="9"/>
  <c r="A63" i="9"/>
  <c r="A139" i="9"/>
  <c r="U157" i="9"/>
  <c r="A166" i="9"/>
  <c r="A222" i="9"/>
  <c r="U256" i="9"/>
  <c r="A262" i="9"/>
  <c r="A19" i="9"/>
  <c r="A25" i="9"/>
  <c r="A33" i="9"/>
  <c r="A39" i="9"/>
  <c r="A41" i="9"/>
  <c r="A57" i="9"/>
  <c r="A87" i="9"/>
  <c r="A136" i="9"/>
  <c r="A147" i="9"/>
  <c r="A150" i="9"/>
  <c r="A160" i="9"/>
  <c r="A165" i="9"/>
  <c r="U214" i="9"/>
  <c r="A250" i="9"/>
  <c r="A255" i="9"/>
  <c r="A159" i="9"/>
  <c r="A181" i="9"/>
  <c r="A248" i="9"/>
  <c r="U35" i="9"/>
  <c r="A91" i="9"/>
  <c r="U136" i="9"/>
  <c r="U139" i="9"/>
  <c r="A156" i="9"/>
  <c r="U165" i="9"/>
  <c r="U166" i="9"/>
  <c r="U167" i="9"/>
  <c r="U168" i="9"/>
  <c r="U209" i="9"/>
  <c r="A247" i="9"/>
  <c r="U255" i="9"/>
  <c r="A10" i="9"/>
  <c r="A14" i="9"/>
  <c r="U34" i="9"/>
  <c r="A40" i="9"/>
  <c r="A42" i="9"/>
  <c r="A50" i="9"/>
  <c r="A55" i="9"/>
  <c r="U63" i="9"/>
  <c r="A90" i="9"/>
  <c r="A99" i="9"/>
  <c r="A105" i="9"/>
  <c r="A112" i="9"/>
  <c r="A115" i="9"/>
  <c r="A145" i="9"/>
  <c r="A152" i="9"/>
  <c r="A207" i="9"/>
  <c r="U212" i="9"/>
  <c r="A246" i="9"/>
  <c r="A61" i="9"/>
  <c r="A107" i="9"/>
  <c r="A251" i="9"/>
  <c r="U25" i="9"/>
  <c r="U44" i="9"/>
  <c r="U220" i="9"/>
  <c r="U222" i="9"/>
  <c r="U260" i="9"/>
  <c r="U262" i="9"/>
  <c r="A12" i="9"/>
  <c r="A27" i="9"/>
  <c r="U33" i="9"/>
  <c r="A89" i="9"/>
  <c r="A94" i="9"/>
  <c r="U104" i="9"/>
  <c r="A124" i="9"/>
  <c r="A126" i="9"/>
  <c r="A134" i="9"/>
  <c r="U138" i="9"/>
  <c r="A162" i="9"/>
  <c r="A177" i="9"/>
  <c r="A205" i="9"/>
  <c r="U208" i="9"/>
  <c r="A210" i="9"/>
  <c r="U211" i="9"/>
  <c r="A216" i="9"/>
  <c r="U254" i="9"/>
  <c r="A261" i="9"/>
  <c r="U41" i="9"/>
  <c r="U29" i="9"/>
  <c r="A11" i="9"/>
  <c r="A20" i="9"/>
  <c r="A31" i="9"/>
  <c r="A45" i="9"/>
  <c r="A58" i="9"/>
  <c r="A93" i="9"/>
  <c r="A114" i="9"/>
  <c r="A125" i="9"/>
  <c r="A133" i="9"/>
  <c r="A184" i="9"/>
  <c r="A213" i="9"/>
  <c r="A218" i="9"/>
  <c r="A258" i="9"/>
  <c r="A48" i="9"/>
  <c r="U48" i="9"/>
  <c r="A179" i="9"/>
  <c r="U179" i="9"/>
  <c r="U111" i="9"/>
  <c r="A111" i="9"/>
  <c r="A47" i="9"/>
  <c r="U47" i="9"/>
  <c r="U144" i="9"/>
  <c r="A144" i="9"/>
  <c r="A54" i="9"/>
  <c r="U54" i="9"/>
  <c r="U51" i="9"/>
  <c r="A103" i="9"/>
  <c r="U103" i="9"/>
  <c r="A158" i="9"/>
  <c r="U158" i="9"/>
  <c r="U128" i="9"/>
  <c r="A128" i="9"/>
  <c r="U175" i="9"/>
  <c r="A175" i="9"/>
  <c r="U130" i="9"/>
  <c r="A130" i="9"/>
  <c r="U95" i="9"/>
  <c r="U15" i="9"/>
  <c r="A15" i="9"/>
  <c r="U176" i="9"/>
  <c r="A176" i="9"/>
  <c r="A9" i="9"/>
  <c r="A13" i="9"/>
  <c r="A30" i="9"/>
  <c r="U40" i="9"/>
  <c r="A49" i="9"/>
  <c r="U49" i="9"/>
  <c r="U50" i="9"/>
  <c r="A53" i="9"/>
  <c r="U53" i="9"/>
  <c r="A85" i="9"/>
  <c r="U106" i="9"/>
  <c r="A106" i="9"/>
  <c r="A109" i="9"/>
  <c r="A116" i="9"/>
  <c r="A120" i="9"/>
  <c r="A122" i="9"/>
  <c r="U123" i="9"/>
  <c r="U135" i="9"/>
  <c r="A135" i="9"/>
  <c r="A141" i="9"/>
  <c r="A5" i="9"/>
  <c r="A16" i="9"/>
  <c r="A26" i="9"/>
  <c r="A37" i="9"/>
  <c r="A46" i="9"/>
  <c r="A62" i="9"/>
  <c r="A108" i="9"/>
  <c r="A113" i="9"/>
  <c r="A129" i="9"/>
  <c r="U142" i="9"/>
  <c r="A142" i="9"/>
  <c r="U151" i="9"/>
  <c r="A151" i="9"/>
  <c r="A96" i="9"/>
  <c r="A117" i="9"/>
  <c r="U217" i="9"/>
  <c r="A217" i="9"/>
  <c r="A131" i="9"/>
  <c r="A149" i="9"/>
  <c r="A153" i="9"/>
  <c r="A180" i="9"/>
  <c r="A253" i="9"/>
</calcChain>
</file>

<file path=xl/sharedStrings.xml><?xml version="1.0" encoding="utf-8"?>
<sst xmlns="http://schemas.openxmlformats.org/spreadsheetml/2006/main" count="3200" uniqueCount="615">
  <si>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</si>
  <si>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</si>
  <si>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</si>
  <si>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</si>
  <si>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</si>
  <si>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</si>
  <si>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</si>
  <si>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</si>
  <si>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</si>
  <si>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</si>
  <si>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</si>
  <si>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</si>
  <si>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</si>
  <si>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</si>
  <si>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</si>
  <si>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</si>
  <si>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</si>
  <si>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</si>
  <si>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</si>
  <si>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</si>
  <si>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</si>
  <si>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</si>
  <si>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</si>
  <si>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</si>
  <si>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</si>
  <si>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</si>
  <si>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</si>
  <si>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</si>
  <si>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</si>
  <si>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</si>
  <si>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</si>
  <si>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</si>
  <si>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</si>
  <si>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</si>
  <si>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</si>
  <si>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</si>
  <si>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</si>
  <si>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</si>
  <si>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</si>
  <si>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</si>
  <si>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</si>
  <si>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</si>
  <si>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</si>
  <si>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</si>
  <si>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</si>
  <si>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</si>
  <si>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</si>
  <si>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</si>
  <si>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</si>
  <si>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</si>
  <si>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</si>
  <si>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</si>
  <si>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</si>
  <si>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</si>
  <si>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</si>
  <si>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</si>
  <si>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</si>
  <si>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</si>
  <si>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</si>
  <si>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</si>
  <si>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</si>
  <si>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</si>
  <si>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</si>
  <si>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</si>
  <si>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</si>
  <si>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</si>
  <si>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</si>
  <si>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</si>
  <si>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</si>
  <si>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</si>
  <si>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</si>
  <si>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</si>
  <si>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</si>
  <si>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</si>
  <si>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</si>
  <si>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</si>
  <si>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</si>
  <si>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</si>
  <si>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</si>
  <si>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</si>
  <si>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</si>
  <si>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</si>
  <si>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</si>
  <si>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</si>
  <si>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</si>
  <si>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</si>
  <si>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</si>
  <si>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</si>
  <si>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</si>
  <si>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</si>
  <si>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</si>
  <si>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</si>
  <si>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</si>
  <si>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</si>
  <si>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</si>
  <si>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</si>
  <si>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</si>
  <si>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</si>
  <si>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</si>
  <si>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</si>
  <si>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</si>
  <si>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</si>
  <si>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</si>
  <si>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</si>
  <si>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</si>
  <si>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</si>
  <si>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</si>
  <si>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</si>
  <si>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</si>
  <si>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</si>
  <si>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</si>
  <si>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</si>
  <si>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</si>
  <si>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</si>
  <si>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</si>
  <si>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</si>
  <si>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</si>
  <si>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</si>
  <si>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</si>
  <si>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</si>
  <si>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</si>
  <si>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</si>
  <si>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</si>
  <si>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</si>
  <si>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</si>
  <si>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</si>
  <si>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</si>
  <si>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</si>
  <si>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</si>
  <si>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</si>
  <si>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</si>
  <si>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</si>
  <si>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</si>
  <si>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</si>
  <si>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</si>
  <si>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</si>
  <si>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</si>
  <si>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</si>
  <si>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</si>
  <si>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</si>
  <si>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</si>
  <si>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</si>
  <si>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</si>
  <si>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</si>
  <si>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</si>
  <si>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</si>
  <si>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</si>
  <si>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</si>
  <si>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</si>
  <si>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</si>
  <si>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</si>
  <si>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</si>
  <si>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</si>
  <si>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</si>
  <si>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</si>
  <si>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</si>
  <si>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</si>
  <si>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</si>
  <si>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</si>
  <si>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</si>
  <si>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</si>
  <si>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</si>
  <si>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</si>
  <si>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</si>
  <si>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</si>
  <si>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</si>
  <si>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</si>
  <si>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</si>
  <si>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</si>
  <si>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</si>
  <si>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</si>
  <si>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</si>
  <si>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</si>
  <si>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</si>
  <si>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</si>
  <si>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</si>
  <si>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</si>
  <si>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</si>
  <si>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</si>
  <si>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</si>
  <si>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</si>
  <si>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</si>
  <si>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</si>
  <si>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</si>
  <si>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</si>
  <si>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</si>
  <si>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</si>
  <si>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</si>
  <si>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</si>
  <si>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</si>
  <si>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</si>
  <si>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</si>
  <si>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</si>
  <si>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</si>
  <si>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</si>
  <si>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</si>
  <si>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</si>
  <si>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</si>
  <si>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</si>
  <si>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</si>
  <si>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</si>
  <si>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</si>
  <si>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</si>
  <si>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</si>
  <si>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</si>
  <si>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</si>
  <si>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</si>
  <si>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</si>
  <si>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</si>
  <si>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</si>
  <si>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</si>
  <si>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</si>
  <si>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</si>
  <si>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</si>
  <si>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</si>
  <si>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</si>
  <si>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</si>
  <si>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</si>
  <si>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</si>
  <si>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</si>
  <si>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</si>
  <si>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</si>
  <si>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</si>
  <si>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</si>
  <si>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</si>
  <si>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</si>
  <si>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</si>
  <si>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</si>
  <si>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</si>
  <si>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</si>
  <si>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</si>
  <si>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</si>
  <si>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</si>
  <si>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</si>
  <si>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</si>
  <si>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</si>
  <si>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</si>
  <si>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</si>
  <si>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</si>
  <si>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</si>
  <si>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</si>
  <si>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</si>
  <si>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</si>
  <si>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</si>
  <si>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</si>
  <si>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</si>
  <si>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</si>
  <si>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</si>
  <si>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</si>
  <si>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</si>
  <si>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</si>
  <si>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</si>
  <si>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</si>
  <si>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</si>
  <si>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</si>
  <si>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</si>
  <si>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</si>
  <si>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</si>
  <si>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</si>
  <si>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</si>
  <si>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</si>
  <si>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</si>
  <si>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</si>
  <si>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</si>
  <si>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</si>
  <si>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</si>
  <si>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</si>
  <si>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</si>
  <si>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</si>
  <si>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</si>
  <si>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</si>
  <si>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</si>
  <si>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</si>
  <si>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</si>
  <si>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</si>
  <si>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</si>
  <si>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</si>
  <si>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</si>
  <si>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</si>
  <si>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</si>
  <si>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</si>
  <si>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</si>
  <si>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</si>
  <si>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</si>
  <si>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bldg_func_type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</si>
  <si>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</si>
  <si>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</si>
  <si>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</si>
  <si>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</si>
  <si>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</si>
  <si>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</si>
  <si>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</si>
  <si>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</si>
  <si>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</si>
  <si>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</si>
  <si>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</si>
  <si>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</si>
  <si>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</si>
  <si>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</si>
  <si>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</si>
  <si>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</si>
  <si>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</si>
  <si>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</si>
  <si>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</si>
  <si>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</si>
  <si>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</si>
  <si>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</si>
  <si>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</si>
  <si>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</si>
  <si>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</si>
  <si>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</si>
  <si>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</si>
  <si>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</si>
  <si>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max_labor_uk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</si>
  <si>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</si>
  <si>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</si>
  <si>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</si>
  <si>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</si>
  <si>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</si>
  <si>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</si>
  <si>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</si>
  <si>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</si>
  <si>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</si>
  <si>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</si>
  <si>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</si>
  <si>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</si>
  <si>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</si>
  <si>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</si>
  <si>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</si>
  <si>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hr_slot_qty</t>
  </si>
  <si>
    <t>人力储存上限
(个)</t>
  </si>
  <si>
    <t>buff_pro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</si>
  <si>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</si>
  <si>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</si>
  <si>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</si>
  <si>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</si>
  <si>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</si>
  <si>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</si>
  <si>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</si>
  <si>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</si>
  <si>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</si>
  <si>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</si>
  <si>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</si>
  <si>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</si>
  <si>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</si>
  <si>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</si>
  <si>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</si>
  <si>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</si>
  <si>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</si>
  <si>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</si>
  <si>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</si>
  <si>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</si>
  <si>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</si>
  <si>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</si>
  <si>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</si>
  <si>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</si>
  <si>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</si>
  <si>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ui_order</t>
  </si>
  <si>
    <t>界面排序</t>
  </si>
  <si>
    <t>建筑功能类型
(func=functional)
太空基地(SpaceStation)=101
星港(Spaceport)=102
舰体厂(FuncHullFact)=103
组装厂(ModFact)=104
配件厂(CpntFact)=105
采集厂(SurfCol)=201
提炼厂(Refinery)=202
核电厂(PowerPlant)=203
仓库(ItemStg)=204
聚居地(Habitat)=301</t>
  </si>
  <si>
    <t>图标文件名称</t>
  </si>
  <si>
    <t>图标路径</t>
  </si>
  <si>
    <t>客户端表现</t>
  </si>
  <si>
    <t>索引字段</t>
  </si>
  <si>
    <t>建筑最大等级</t>
  </si>
  <si>
    <t>倍率</t>
  </si>
  <si>
    <t>multiplier</t>
  </si>
  <si>
    <t>大米种植场</t>
    <phoneticPr fontId="12" type="noConversion"/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</si>
  <si>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</si>
  <si>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</si>
  <si>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</si>
  <si>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</si>
  <si>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</si>
  <si>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</si>
  <si>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</si>
  <si>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</si>
  <si>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</si>
  <si>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</si>
  <si>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</si>
  <si>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</si>
  <si>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</si>
  <si>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</si>
  <si>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</si>
  <si>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</si>
  <si>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</si>
  <si>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</si>
  <si>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</si>
  <si>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</si>
  <si>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</si>
  <si>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</si>
  <si>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</si>
  <si>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</si>
  <si>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铁桦林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</si>
  <si>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</si>
  <si>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</si>
  <si>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</si>
  <si>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</si>
  <si>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</si>
  <si>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</si>
  <si>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</si>
  <si>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</si>
  <si>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</si>
  <si>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建筑类型
农业领取=1
工业领取=2
农业加工=3
工业加工=4
功能建筑=5
防御建筑=6
武器=7</t>
    <phoneticPr fontId="12" type="noConversion"/>
  </si>
  <si>
    <t>电池组</t>
    <phoneticPr fontId="12" type="noConversion"/>
  </si>
  <si>
    <t>种大米..</t>
    <phoneticPr fontId="12" type="noConversion"/>
  </si>
  <si>
    <t>加成职业
工程专家=1
科学专家=2
舰船专家=3
普通公民=4</t>
    <phoneticPr fontId="12" type="noConversion"/>
  </si>
  <si>
    <t>人力槽位数
(个)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</si>
  <si>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</si>
  <si>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</si>
  <si>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</si>
  <si>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</si>
  <si>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</si>
  <si>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</si>
  <si>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</si>
  <si>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</si>
  <si>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</si>
  <si>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</si>
  <si>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</si>
  <si>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</si>
  <si>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</si>
  <si>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</si>
  <si>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</si>
  <si>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</si>
  <si>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</si>
  <si>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</si>
  <si>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</si>
  <si>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</si>
  <si>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</si>
  <si>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</si>
  <si>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</si>
  <si>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</si>
  <si>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</si>
  <si>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</si>
  <si>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</si>
  <si>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</si>
  <si>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</si>
  <si>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</si>
  <si>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</si>
  <si>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</si>
  <si>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</si>
  <si>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</si>
  <si>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</si>
  <si>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</si>
  <si>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</si>
  <si>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</si>
  <si>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</si>
  <si>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</si>
  <si>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</si>
  <si>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</si>
  <si>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</si>
  <si>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</si>
  <si>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</si>
  <si>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</si>
  <si>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资源类型</t>
    <phoneticPr fontId="12" type="noConversion"/>
  </si>
  <si>
    <t>自定义1</t>
    <phoneticPr fontId="12" type="noConversion"/>
  </si>
  <si>
    <t>自定义2</t>
    <phoneticPr fontId="12" type="noConversion"/>
  </si>
  <si>
    <t>资源等级</t>
    <phoneticPr fontId="12" type="noConversion"/>
  </si>
  <si>
    <t>加工1</t>
    <phoneticPr fontId="12" type="noConversion"/>
  </si>
  <si>
    <t>结果ID2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</si>
  <si>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</si>
  <si>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</si>
  <si>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</si>
  <si>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</si>
  <si>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</si>
  <si>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</si>
  <si>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对黄金兑换比例</t>
    <phoneticPr fontId="12" type="noConversion"/>
  </si>
  <si>
    <t>gold_conv</t>
    <phoneticPr fontId="12" type="noConversion"/>
  </si>
  <si>
    <t>加工2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</si>
  <si>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</si>
  <si>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</si>
  <si>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</si>
  <si>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</si>
  <si>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</si>
  <si>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</si>
  <si>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</si>
  <si>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</si>
  <si>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</si>
  <si>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</si>
  <si>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</si>
  <si>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</si>
  <si>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</si>
  <si>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</si>
  <si>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</si>
  <si>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</si>
  <si>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</si>
  <si>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</si>
  <si>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</si>
  <si>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</si>
  <si>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</si>
  <si>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</si>
  <si>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</si>
  <si>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增加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</si>
  <si>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</si>
  <si>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</si>
  <si>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</si>
  <si>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</si>
  <si>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</si>
  <si>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</si>
  <si>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</si>
  <si>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</si>
  <si>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</si>
  <si>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</si>
  <si>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</si>
  <si>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</si>
  <si>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</si>
  <si>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</si>
  <si>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</si>
  <si>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</si>
  <si>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</si>
  <si>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</si>
  <si>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</si>
  <si>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</si>
  <si>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</si>
  <si>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</si>
  <si>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</si>
  <si>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</si>
  <si>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</si>
  <si>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</si>
  <si>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</si>
  <si>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</si>
  <si>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</si>
  <si>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</si>
  <si>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</si>
  <si>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</si>
  <si>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</si>
  <si>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</si>
  <si>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</si>
  <si>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</si>
  <si>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</si>
  <si>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</si>
  <si>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</si>
  <si>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</si>
  <si>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</si>
  <si>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</si>
  <si>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</si>
  <si>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</si>
  <si>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</si>
  <si>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</si>
  <si>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</si>
  <si>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</si>
  <si>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</si>
  <si>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</si>
  <si>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</si>
  <si>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</si>
  <si>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</si>
  <si>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</si>
  <si>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</si>
  <si>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</si>
  <si>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每级消耗资源价值</t>
    <phoneticPr fontId="12" type="noConversion"/>
  </si>
  <si>
    <t>增加公司实力</t>
    <phoneticPr fontId="12" type="noConversion"/>
  </si>
  <si>
    <t>x/黄金
未来读表</t>
    <phoneticPr fontId="12" type="noConversion"/>
  </si>
  <si>
    <t>time_cost1</t>
    <phoneticPr fontId="12" type="noConversion"/>
  </si>
  <si>
    <t>ele_cost1</t>
    <phoneticPr fontId="12" type="noConversion"/>
  </si>
  <si>
    <t>cost_qty1</t>
    <phoneticPr fontId="12" type="noConversion"/>
  </si>
  <si>
    <t>result_id1</t>
    <phoneticPr fontId="12" type="noConversion"/>
  </si>
  <si>
    <t>time_cost2</t>
    <phoneticPr fontId="12" type="noConversion"/>
  </si>
  <si>
    <t>ele_cost2</t>
    <phoneticPr fontId="12" type="noConversion"/>
  </si>
  <si>
    <t>cost_qty2</t>
    <phoneticPr fontId="12" type="noConversion"/>
  </si>
  <si>
    <t>result_id2</t>
    <phoneticPr fontId="12" type="noConversion"/>
  </si>
  <si>
    <t>消耗时间1
(秒)</t>
    <phoneticPr fontId="12" type="noConversion"/>
  </si>
  <si>
    <t>消耗电力1</t>
    <phoneticPr fontId="12" type="noConversion"/>
  </si>
  <si>
    <t>消耗数量1</t>
    <phoneticPr fontId="12" type="noConversion"/>
  </si>
  <si>
    <t>结果ID1</t>
    <phoneticPr fontId="12" type="noConversion"/>
  </si>
  <si>
    <t>消耗时间2
(秒)</t>
    <phoneticPr fontId="12" type="noConversion"/>
  </si>
  <si>
    <t>消耗电力2</t>
    <phoneticPr fontId="12" type="noConversion"/>
  </si>
  <si>
    <t>消耗数量2</t>
    <phoneticPr fontId="12" type="noConversion"/>
  </si>
  <si>
    <t>elec_cost</t>
    <phoneticPr fontId="12" type="noConversion"/>
  </si>
  <si>
    <t>事件</t>
    <phoneticPr fontId="12" type="noConversion"/>
  </si>
  <si>
    <t>庄园势力限制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</si>
  <si>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</si>
  <si>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</si>
  <si>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</si>
  <si>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</si>
  <si>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</si>
  <si>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</si>
  <si>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</si>
  <si>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</si>
  <si>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</si>
  <si>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</si>
  <si>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</si>
  <si>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</si>
  <si>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</si>
  <si>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</si>
  <si>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</si>
  <si>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</si>
  <si>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</si>
  <si>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</si>
  <si>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</si>
  <si>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</si>
  <si>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</si>
  <si>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</si>
  <si>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</si>
  <si>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</si>
  <si>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</si>
  <si>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</si>
  <si>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</si>
  <si>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</si>
  <si>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</si>
  <si>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</si>
  <si>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</si>
  <si>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</si>
  <si>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</si>
  <si>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</si>
  <si>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</si>
  <si>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</si>
  <si>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</si>
  <si>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</si>
  <si>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TIEHUA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</si>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</sst>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97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4" fillId="12" borderId="0" xfId="1" applyFont="1" applyFill="1" applyBorder="1" applyAlignment="1">
      <alignment horizontal="center" vertical="center"/>
    </xf>
    <xf numFmtId="0" fontId="4" fillId="12" borderId="0" xfId="1" applyFont="1" applyFill="1" applyBorder="1" applyAlignment="1">
      <alignment horizontal="center" vertical="center" wrapText="1"/>
    </xf>
    <xf numFmtId="0" fontId="4" fillId="12" borderId="1" xfId="1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3" borderId="2" xfId="2" applyFont="1" applyFill="1" applyBorder="1" applyAlignment="1">
      <alignment horizontal="center" vertical="center" wrapText="1"/>
    </xf>
    <xf numFmtId="0" fontId="4" fillId="13" borderId="0" xfId="2" applyFont="1" applyFill="1" applyBorder="1" applyAlignment="1">
      <alignment horizontal="center" vertical="center"/>
    </xf>
    <xf numFmtId="0" fontId="4" fillId="13" borderId="0" xfId="3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L86" sqref="L86:L88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topLeftCell="A4" zoomScale="90" zoomScaleNormal="90" workbookViewId="0">
      <selection activeCell="D45" sqref="D45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294</v>
      </c>
      <c r="E6" s="51" t="s">
        <v>295</v>
      </c>
      <c r="F6" s="51" t="s">
        <v>295</v>
      </c>
      <c r="G6" s="50" t="s">
        <v>295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296</v>
      </c>
    </row>
    <row r="10" spans="1:7" x14ac:dyDescent="0.15">
      <c r="B10" s="44" t="s">
        <v>297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</row>
    <row r="16" spans="1:7" x14ac:dyDescent="0.15">
      <c r="B16" s="44">
        <v>2</v>
      </c>
      <c r="D16" s="44" t="s">
        <v>258</v>
      </c>
    </row>
    <row r="17" spans="2:4" x14ac:dyDescent="0.15">
      <c r="B17" s="44">
        <v>3</v>
      </c>
      <c r="D17" s="44" t="s">
        <v>257</v>
      </c>
    </row>
    <row r="18" spans="2:4" x14ac:dyDescent="0.15">
      <c r="B18" s="44">
        <v>4</v>
      </c>
      <c r="D18" s="44" t="s">
        <v>256</v>
      </c>
    </row>
    <row r="19" spans="2:4" x14ac:dyDescent="0.15">
      <c r="B19" s="44">
        <v>5</v>
      </c>
    </row>
    <row r="20" spans="2:4" x14ac:dyDescent="0.15">
      <c r="B20" s="44">
        <v>6</v>
      </c>
      <c r="D20" s="44" t="s">
        <v>255</v>
      </c>
    </row>
    <row r="21" spans="2:4" x14ac:dyDescent="0.15">
      <c r="B21" s="44">
        <v>7</v>
      </c>
    </row>
    <row r="22" spans="2:4" x14ac:dyDescent="0.15">
      <c r="B22" s="44">
        <v>8</v>
      </c>
    </row>
    <row r="23" spans="2:4" x14ac:dyDescent="0.15">
      <c r="B23" s="44">
        <v>9</v>
      </c>
    </row>
    <row r="24" spans="2:4" x14ac:dyDescent="0.15">
      <c r="B24" s="44">
        <v>10</v>
      </c>
    </row>
    <row r="25" spans="2:4" x14ac:dyDescent="0.15">
      <c r="B25" s="44">
        <v>11</v>
      </c>
      <c r="D25" s="44" t="s">
        <v>1</v>
      </c>
    </row>
    <row r="26" spans="2:4" x14ac:dyDescent="0.15">
      <c r="B26" s="44">
        <v>12</v>
      </c>
      <c r="D26" s="44" t="s">
        <v>350</v>
      </c>
    </row>
    <row r="27" spans="2:4" x14ac:dyDescent="0.15">
      <c r="B27" s="44">
        <v>13</v>
      </c>
    </row>
    <row r="28" spans="2:4" x14ac:dyDescent="0.15">
      <c r="B28" s="44">
        <v>14</v>
      </c>
    </row>
    <row r="29" spans="2:4" x14ac:dyDescent="0.15">
      <c r="B29" s="44">
        <v>15</v>
      </c>
    </row>
    <row r="30" spans="2:4" x14ac:dyDescent="0.15">
      <c r="B30" s="44">
        <v>16</v>
      </c>
    </row>
    <row r="31" spans="2:4" x14ac:dyDescent="0.15">
      <c r="B31" s="44">
        <v>17</v>
      </c>
    </row>
    <row r="32" spans="2:4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355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354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567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308</v>
      </c>
      <c r="D10" s="4" t="s">
        <v>309</v>
      </c>
      <c r="G10" s="4" t="s">
        <v>310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336</v>
      </c>
      <c r="G30" s="4" t="s">
        <v>337</v>
      </c>
    </row>
    <row r="31" spans="2:7" s="4" customFormat="1" x14ac:dyDescent="0.15">
      <c r="B31" s="4" t="s">
        <v>140</v>
      </c>
      <c r="D31" s="4" t="s">
        <v>335</v>
      </c>
      <c r="G31" s="4" t="s">
        <v>338</v>
      </c>
    </row>
    <row r="32" spans="2:7" s="4" customFormat="1" x14ac:dyDescent="0.15">
      <c r="B32" s="4" t="s">
        <v>334</v>
      </c>
      <c r="D32" s="4" t="s">
        <v>332</v>
      </c>
      <c r="G32" s="4" t="s">
        <v>333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312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314</v>
      </c>
      <c r="D53" s="4" t="s">
        <v>316</v>
      </c>
      <c r="G53" s="4" t="s">
        <v>315</v>
      </c>
    </row>
    <row r="54" spans="2:7" s="4" customFormat="1" x14ac:dyDescent="0.15">
      <c r="B54" s="4" t="s">
        <v>321</v>
      </c>
      <c r="D54" s="4" t="s">
        <v>322</v>
      </c>
      <c r="G54" s="4" t="s">
        <v>322</v>
      </c>
    </row>
    <row r="55" spans="2:7" s="4" customFormat="1" x14ac:dyDescent="0.15">
      <c r="B55" s="4" t="s">
        <v>235</v>
      </c>
      <c r="D55" s="4" t="s">
        <v>298</v>
      </c>
      <c r="G55" s="4" t="s">
        <v>299</v>
      </c>
    </row>
    <row r="56" spans="2:7" s="4" customFormat="1" x14ac:dyDescent="0.15">
      <c r="B56" s="4" t="s">
        <v>290</v>
      </c>
      <c r="D56" s="4" t="s">
        <v>291</v>
      </c>
      <c r="G56" s="4" t="s">
        <v>292</v>
      </c>
    </row>
    <row r="57" spans="2:7" s="4" customFormat="1" x14ac:dyDescent="0.15">
      <c r="B57" s="4" t="s">
        <v>285</v>
      </c>
      <c r="D57" s="4" t="s">
        <v>286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317</v>
      </c>
      <c r="D59" s="41" t="s">
        <v>318</v>
      </c>
      <c r="G59" s="41" t="s">
        <v>319</v>
      </c>
    </row>
    <row r="60" spans="2:7" x14ac:dyDescent="0.15">
      <c r="B60" s="41" t="s">
        <v>287</v>
      </c>
      <c r="D60" s="41" t="s">
        <v>288</v>
      </c>
      <c r="G60" s="41" t="s">
        <v>289</v>
      </c>
    </row>
    <row r="61" spans="2:7" s="4" customFormat="1" x14ac:dyDescent="0.15">
      <c r="B61" s="4" t="s">
        <v>223</v>
      </c>
      <c r="D61" s="4" t="s">
        <v>224</v>
      </c>
      <c r="G61" s="4" t="s">
        <v>293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300</v>
      </c>
      <c r="G68" s="41" t="s">
        <v>301</v>
      </c>
    </row>
    <row r="69" spans="2:7" x14ac:dyDescent="0.15">
      <c r="B69" s="41" t="s">
        <v>302</v>
      </c>
      <c r="D69" s="41" t="s">
        <v>303</v>
      </c>
      <c r="G69" s="41" t="s">
        <v>304</v>
      </c>
    </row>
    <row r="70" spans="2:7" x14ac:dyDescent="0.15">
      <c r="B70" s="41" t="s">
        <v>305</v>
      </c>
      <c r="D70" s="41" t="s">
        <v>306</v>
      </c>
      <c r="G70" s="41" t="s">
        <v>307</v>
      </c>
    </row>
    <row r="72" spans="2:7" x14ac:dyDescent="0.15">
      <c r="B72" s="41" t="s">
        <v>327</v>
      </c>
      <c r="D72" s="41" t="s">
        <v>328</v>
      </c>
      <c r="G72" s="41" t="s">
        <v>326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605"/>
  <sheetViews>
    <sheetView tabSelected="1" topLeftCell="A391" zoomScale="85" zoomScaleNormal="85" workbookViewId="0">
      <selection activeCell="O398" sqref="O398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10" style="86" customWidth="1"/>
    <col min="20" max="20" width="5.625" style="78" bestFit="1" customWidth="1"/>
    <col min="21" max="21" width="31.125" style="86" bestFit="1" customWidth="1"/>
    <col min="22" max="22" width="10" style="86" bestFit="1" customWidth="1"/>
    <col min="23" max="23" width="12.75" style="86" bestFit="1" customWidth="1"/>
    <col min="24" max="24" width="12.75" style="86" customWidth="1"/>
    <col min="25" max="25" width="15.625" style="86" bestFit="1" customWidth="1"/>
    <col min="26" max="27" width="27.25" style="9" bestFit="1" customWidth="1"/>
    <col min="28" max="28" width="21.125" style="9" bestFit="1" customWidth="1"/>
    <col min="29" max="29" width="5.625" style="78" bestFit="1" customWidth="1"/>
    <col min="30" max="30" width="21.125" style="9" bestFit="1" customWidth="1"/>
    <col min="31" max="31" width="5.625" style="78" bestFit="1" customWidth="1"/>
    <col min="32" max="32" width="21.125" style="89" bestFit="1" customWidth="1"/>
    <col min="33" max="33" width="21.125" style="9" bestFit="1" customWidth="1"/>
    <col min="34" max="34" width="5.625" style="78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6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S1" s="86" t="s">
        <v>60</v>
      </c>
      <c r="U1" s="86" t="s">
        <v>60</v>
      </c>
      <c r="V1" s="86" t="s">
        <v>60</v>
      </c>
      <c r="W1" s="86" t="s">
        <v>60</v>
      </c>
      <c r="X1" s="86" t="s">
        <v>60</v>
      </c>
      <c r="Y1" s="86" t="s">
        <v>60</v>
      </c>
      <c r="Z1" s="9" t="s">
        <v>60</v>
      </c>
      <c r="AA1" s="9" t="s">
        <v>60</v>
      </c>
      <c r="AB1" s="9" t="s">
        <v>60</v>
      </c>
      <c r="AD1" s="9" t="s">
        <v>60</v>
      </c>
      <c r="AG1" s="9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9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545</v>
      </c>
      <c r="S2" s="86" t="s">
        <v>61</v>
      </c>
      <c r="U2" s="86" t="s">
        <v>61</v>
      </c>
      <c r="V2" s="86" t="s">
        <v>61</v>
      </c>
      <c r="W2" s="86" t="s">
        <v>61</v>
      </c>
      <c r="X2" s="86" t="s">
        <v>61</v>
      </c>
      <c r="Y2" s="86" t="s">
        <v>61</v>
      </c>
      <c r="Z2" s="9" t="s">
        <v>587</v>
      </c>
      <c r="AA2" s="9" t="s">
        <v>62</v>
      </c>
      <c r="AB2" s="9" t="s">
        <v>61</v>
      </c>
      <c r="AD2" s="9" t="s">
        <v>61</v>
      </c>
      <c r="AG2" s="9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60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346</v>
      </c>
      <c r="M3" s="9" t="s">
        <v>323</v>
      </c>
      <c r="N3" s="9" t="s">
        <v>247</v>
      </c>
      <c r="O3" s="7"/>
      <c r="P3" s="7"/>
      <c r="Q3" s="34" t="s">
        <v>324</v>
      </c>
      <c r="R3" s="9" t="s">
        <v>547</v>
      </c>
      <c r="S3" s="86" t="s">
        <v>357</v>
      </c>
      <c r="U3" s="86" t="s">
        <v>284</v>
      </c>
      <c r="V3" s="86" t="s">
        <v>315</v>
      </c>
      <c r="W3" s="86" t="s">
        <v>329</v>
      </c>
      <c r="X3" s="86" t="s">
        <v>331</v>
      </c>
      <c r="Y3" s="86" t="s">
        <v>313</v>
      </c>
      <c r="Z3" s="9" t="s">
        <v>588</v>
      </c>
      <c r="AA3" s="9" t="s">
        <v>340</v>
      </c>
      <c r="AB3" s="9" t="s">
        <v>345</v>
      </c>
      <c r="AD3" s="9" t="s">
        <v>461</v>
      </c>
      <c r="AG3" s="9" t="s">
        <v>490</v>
      </c>
      <c r="AI3" s="31" t="s">
        <v>246</v>
      </c>
      <c r="AJ3" s="30"/>
      <c r="AK3" s="31" t="s">
        <v>463</v>
      </c>
      <c r="AL3" s="30"/>
      <c r="AM3" s="31" t="s">
        <v>566</v>
      </c>
      <c r="AN3" s="30"/>
      <c r="AO3" s="60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198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363</v>
      </c>
      <c r="H4" s="27" t="s">
        <v>402</v>
      </c>
      <c r="I4" s="27" t="s">
        <v>239</v>
      </c>
      <c r="J4" s="79" t="s">
        <v>362</v>
      </c>
      <c r="K4" s="27" t="s">
        <v>240</v>
      </c>
      <c r="L4" s="27" t="s">
        <v>347</v>
      </c>
      <c r="M4" s="27" t="s">
        <v>364</v>
      </c>
      <c r="N4" s="27" t="s">
        <v>238</v>
      </c>
      <c r="O4" s="68" t="s">
        <v>361</v>
      </c>
      <c r="P4" s="68" t="s">
        <v>360</v>
      </c>
      <c r="Q4" s="40" t="s">
        <v>325</v>
      </c>
      <c r="R4" s="9" t="s">
        <v>546</v>
      </c>
      <c r="S4" s="87" t="s">
        <v>358</v>
      </c>
      <c r="T4" s="79" t="s">
        <v>87</v>
      </c>
      <c r="U4" s="87" t="s">
        <v>359</v>
      </c>
      <c r="V4" s="87"/>
      <c r="W4" s="87" t="s">
        <v>406</v>
      </c>
      <c r="X4" s="87" t="s">
        <v>405</v>
      </c>
      <c r="Y4" s="87" t="s">
        <v>330</v>
      </c>
      <c r="Z4" s="27" t="s">
        <v>339</v>
      </c>
      <c r="AA4" s="27" t="s">
        <v>339</v>
      </c>
      <c r="AB4" s="27" t="s">
        <v>344</v>
      </c>
      <c r="AC4" s="79" t="s">
        <v>459</v>
      </c>
      <c r="AD4" s="27" t="s">
        <v>568</v>
      </c>
      <c r="AE4" s="79" t="s">
        <v>491</v>
      </c>
      <c r="AF4" s="90" t="s">
        <v>548</v>
      </c>
      <c r="AG4" s="27" t="s">
        <v>549</v>
      </c>
      <c r="AH4" s="79" t="s">
        <v>171</v>
      </c>
      <c r="AI4" s="66" t="s">
        <v>320</v>
      </c>
      <c r="AJ4" s="65" t="s">
        <v>460</v>
      </c>
      <c r="AK4" s="66" t="s">
        <v>462</v>
      </c>
      <c r="AL4" s="65" t="s">
        <v>464</v>
      </c>
      <c r="AM4" s="66" t="s">
        <v>472</v>
      </c>
      <c r="AN4" s="65" t="s">
        <v>473</v>
      </c>
      <c r="AO4" s="61"/>
      <c r="AP4" s="24" t="s">
        <v>252</v>
      </c>
      <c r="AQ4" s="24" t="s">
        <v>237</v>
      </c>
      <c r="AR4" s="23" t="s">
        <v>236</v>
      </c>
      <c r="AS4" s="25" t="s">
        <v>311</v>
      </c>
      <c r="AT4" s="26" t="s">
        <v>356</v>
      </c>
      <c r="AU4" s="24" t="s">
        <v>252</v>
      </c>
      <c r="AV4" s="24" t="s">
        <v>237</v>
      </c>
      <c r="AW4" s="23" t="s">
        <v>236</v>
      </c>
      <c r="AX4" s="25" t="s">
        <v>311</v>
      </c>
      <c r="AY4" s="26" t="s">
        <v>356</v>
      </c>
      <c r="AZ4" s="24" t="s">
        <v>252</v>
      </c>
      <c r="BA4" s="24" t="s">
        <v>237</v>
      </c>
      <c r="BB4" s="23" t="s">
        <v>236</v>
      </c>
      <c r="BC4" s="25" t="s">
        <v>311</v>
      </c>
      <c r="BD4" s="26" t="s">
        <v>356</v>
      </c>
      <c r="BE4" s="24" t="s">
        <v>252</v>
      </c>
      <c r="BF4" s="24" t="s">
        <v>237</v>
      </c>
      <c r="BG4" s="23" t="s">
        <v>236</v>
      </c>
      <c r="BH4" s="25" t="s">
        <v>311</v>
      </c>
      <c r="BI4" s="26" t="s">
        <v>356</v>
      </c>
      <c r="BJ4" s="24" t="s">
        <v>252</v>
      </c>
      <c r="BK4" s="24" t="s">
        <v>237</v>
      </c>
      <c r="BL4" s="23" t="s">
        <v>236</v>
      </c>
      <c r="BM4" s="25" t="s">
        <v>311</v>
      </c>
      <c r="BN4" s="26" t="s">
        <v>356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367</v>
      </c>
      <c r="L5" s="16">
        <v>1</v>
      </c>
      <c r="M5" s="16">
        <v>15</v>
      </c>
      <c r="N5" s="16"/>
      <c r="O5" s="17"/>
      <c r="P5" s="17"/>
      <c r="Q5" s="18"/>
      <c r="R5" s="16" t="s">
        <v>404</v>
      </c>
      <c r="S5" s="88">
        <v>-1</v>
      </c>
      <c r="T5" s="80"/>
      <c r="U5" s="88">
        <f t="shared" ref="U5:U88" si="3">C5*100+D5</f>
        <v>101</v>
      </c>
      <c r="V5" s="88">
        <v>10</v>
      </c>
      <c r="W5" s="88">
        <v>3</v>
      </c>
      <c r="X5" s="88">
        <v>3</v>
      </c>
      <c r="Y5" s="88">
        <v>100</v>
      </c>
      <c r="Z5" s="16">
        <v>211010001</v>
      </c>
      <c r="AA5" s="16" t="s">
        <v>589</v>
      </c>
      <c r="AB5" s="16">
        <v>1</v>
      </c>
      <c r="AC5" s="80"/>
      <c r="AD5" s="16">
        <v>100</v>
      </c>
      <c r="AE5" s="80"/>
      <c r="AF5" s="91">
        <f>AL5*10+AN5+AS5+AX5+500*BC5+500*BH5+500*BM5</f>
        <v>605</v>
      </c>
      <c r="AG5" s="16">
        <f>AF5</f>
        <v>605</v>
      </c>
      <c r="AH5" s="80"/>
      <c r="AI5" s="18">
        <f t="shared" ref="AI5:AI68" si="4">ROUND(AJ5,0)</f>
        <v>5</v>
      </c>
      <c r="AJ5" s="17">
        <v>5</v>
      </c>
      <c r="AK5" s="18">
        <f>ROUND(AL5,0)</f>
        <v>5</v>
      </c>
      <c r="AL5" s="17">
        <v>5</v>
      </c>
      <c r="AM5" s="18">
        <f>ROUND(AN5,0)</f>
        <v>5</v>
      </c>
      <c r="AN5" s="17">
        <v>5</v>
      </c>
      <c r="AO5" s="57">
        <f>(AS5&gt;0)*1+(AX5&gt;0)*1+(BC5&gt;0)*1+(BH5&gt;0)*1+(BM5&gt;0)*1</f>
        <v>3</v>
      </c>
      <c r="AP5" s="18"/>
      <c r="AQ5" s="18">
        <f ca="1">IFERROR(OFFSET(ITEM_RES!$A$1,MATCH(AR5,ITEM_RES!$J:$J,0)-1,0),0)</f>
        <v>211050001</v>
      </c>
      <c r="AR5" s="17" t="s">
        <v>474</v>
      </c>
      <c r="AS5" s="18">
        <v>25</v>
      </c>
      <c r="AT5" s="17"/>
      <c r="AU5" s="18"/>
      <c r="AV5" s="18">
        <f ca="1">IFERROR(OFFSET(ITEM_RES!$A$1,MATCH(AW5,ITEM_RES!$J:$J,0)-1,0),0)</f>
        <v>211040001</v>
      </c>
      <c r="AW5" s="17" t="s">
        <v>502</v>
      </c>
      <c r="AX5" s="18">
        <v>25</v>
      </c>
      <c r="AY5" s="17"/>
      <c r="AZ5" s="18"/>
      <c r="BA5" s="18">
        <f ca="1">IFERROR(OFFSET(ITEM_RES!$A$1,MATCH(BB5,ITEM_RES!$J:$J,0)-1,0),0)</f>
        <v>213010001</v>
      </c>
      <c r="BB5" s="17" t="s">
        <v>509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367</v>
      </c>
      <c r="L6" s="9">
        <v>1</v>
      </c>
      <c r="M6" s="9">
        <v>15</v>
      </c>
      <c r="R6" s="9" t="s">
        <v>404</v>
      </c>
      <c r="S6" s="86">
        <v>-1</v>
      </c>
      <c r="U6" s="86">
        <f t="shared" si="3"/>
        <v>101</v>
      </c>
      <c r="V6" s="86">
        <v>20</v>
      </c>
      <c r="W6" s="86">
        <v>3</v>
      </c>
      <c r="X6" s="86">
        <v>3</v>
      </c>
      <c r="Y6" s="86">
        <v>200</v>
      </c>
      <c r="Z6" s="9">
        <v>211010001</v>
      </c>
      <c r="AA6" s="9" t="s">
        <v>589</v>
      </c>
      <c r="AB6" s="9">
        <v>2</v>
      </c>
      <c r="AD6" s="9">
        <v>200</v>
      </c>
      <c r="AF6" s="89">
        <f t="shared" ref="AF6:AF69" si="6">AL6*10+AN6+AS6+AX6+500*BC6+500*BH6+500*BM6</f>
        <v>210</v>
      </c>
      <c r="AG6" s="9">
        <f>AF5+AF6</f>
        <v>815</v>
      </c>
      <c r="AI6" s="11">
        <f t="shared" si="4"/>
        <v>10</v>
      </c>
      <c r="AJ6" s="10">
        <v>10</v>
      </c>
      <c r="AK6" s="11">
        <f t="shared" ref="AK6:AM89" si="7">ROUND(AL6,0)</f>
        <v>10</v>
      </c>
      <c r="AL6" s="10">
        <v>10</v>
      </c>
      <c r="AM6" s="11">
        <f t="shared" si="7"/>
        <v>10</v>
      </c>
      <c r="AN6" s="10">
        <v>10</v>
      </c>
      <c r="AO6" s="56">
        <f t="shared" ref="AO6:AO69" si="8">(AS6&gt;0)*1+(AX6&gt;0)*1+(BC6&gt;0)*1+(BH6&gt;0)*1+(BM6&gt;0)*1</f>
        <v>2</v>
      </c>
      <c r="AQ6" s="11">
        <f ca="1">IFERROR(OFFSET(ITEM_RES!$A$1,MATCH(AR6,ITEM_RES!$J:$J,0)-1,0),0)</f>
        <v>211050001</v>
      </c>
      <c r="AR6" s="10" t="s">
        <v>474</v>
      </c>
      <c r="AS6" s="11">
        <v>50</v>
      </c>
      <c r="AV6" s="11">
        <f ca="1">IFERROR(OFFSET(ITEM_RES!$A$1,MATCH(AW6,ITEM_RES!$J:$J,0)-1,0),0)</f>
        <v>211040001</v>
      </c>
      <c r="AW6" s="10" t="s">
        <v>502</v>
      </c>
      <c r="AX6" s="11">
        <v>50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367</v>
      </c>
      <c r="L7" s="9">
        <v>1</v>
      </c>
      <c r="M7" s="9">
        <v>15</v>
      </c>
      <c r="R7" s="9" t="s">
        <v>404</v>
      </c>
      <c r="S7" s="86">
        <v>-1</v>
      </c>
      <c r="U7" s="86">
        <f t="shared" si="3"/>
        <v>101</v>
      </c>
      <c r="V7" s="86">
        <v>30</v>
      </c>
      <c r="W7" s="86">
        <v>3</v>
      </c>
      <c r="X7" s="86">
        <v>3</v>
      </c>
      <c r="Y7" s="86">
        <v>300</v>
      </c>
      <c r="Z7" s="9">
        <v>211010001</v>
      </c>
      <c r="AA7" s="9" t="s">
        <v>589</v>
      </c>
      <c r="AB7" s="9">
        <v>3</v>
      </c>
      <c r="AD7" s="9">
        <v>600</v>
      </c>
      <c r="AF7" s="89">
        <f t="shared" si="6"/>
        <v>315</v>
      </c>
      <c r="AG7" s="9">
        <f t="shared" ref="AG7:AG24" si="9">AF6+AF7</f>
        <v>525</v>
      </c>
      <c r="AI7" s="11">
        <f t="shared" si="4"/>
        <v>15</v>
      </c>
      <c r="AJ7" s="10">
        <v>15</v>
      </c>
      <c r="AK7" s="11">
        <f t="shared" si="7"/>
        <v>15</v>
      </c>
      <c r="AL7" s="10">
        <v>15</v>
      </c>
      <c r="AM7" s="11">
        <f t="shared" si="7"/>
        <v>15</v>
      </c>
      <c r="AN7" s="10">
        <v>15</v>
      </c>
      <c r="AO7" s="56">
        <f t="shared" si="8"/>
        <v>2</v>
      </c>
      <c r="AQ7" s="11">
        <f ca="1">IFERROR(OFFSET(ITEM_RES!$A$1,MATCH(AR7,ITEM_RES!$J:$J,0)-1,0),0)</f>
        <v>211050001</v>
      </c>
      <c r="AR7" s="10" t="s">
        <v>474</v>
      </c>
      <c r="AS7" s="11">
        <v>75</v>
      </c>
      <c r="AV7" s="11">
        <f ca="1">IFERROR(OFFSET(ITEM_RES!$A$1,MATCH(AW7,ITEM_RES!$J:$J,0)-1,0),0)</f>
        <v>211040001</v>
      </c>
      <c r="AW7" s="10" t="s">
        <v>502</v>
      </c>
      <c r="AX7" s="11">
        <v>75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367</v>
      </c>
      <c r="L8" s="9">
        <v>1</v>
      </c>
      <c r="M8" s="9">
        <v>15</v>
      </c>
      <c r="R8" s="9" t="s">
        <v>404</v>
      </c>
      <c r="S8" s="86">
        <v>-1</v>
      </c>
      <c r="U8" s="86">
        <f t="shared" si="3"/>
        <v>101</v>
      </c>
      <c r="V8" s="86">
        <v>40</v>
      </c>
      <c r="W8" s="86">
        <v>3</v>
      </c>
      <c r="X8" s="86">
        <v>3</v>
      </c>
      <c r="Y8" s="86">
        <v>400</v>
      </c>
      <c r="Z8" s="9">
        <v>211010001</v>
      </c>
      <c r="AA8" s="9" t="s">
        <v>589</v>
      </c>
      <c r="AB8" s="9">
        <v>4</v>
      </c>
      <c r="AD8" s="9">
        <v>1000</v>
      </c>
      <c r="AF8" s="89">
        <f t="shared" si="6"/>
        <v>525</v>
      </c>
      <c r="AG8" s="9">
        <f t="shared" si="9"/>
        <v>840</v>
      </c>
      <c r="AI8" s="11">
        <f t="shared" si="4"/>
        <v>20</v>
      </c>
      <c r="AJ8" s="10">
        <v>20</v>
      </c>
      <c r="AK8" s="11">
        <f t="shared" si="7"/>
        <v>25</v>
      </c>
      <c r="AL8" s="10">
        <v>25</v>
      </c>
      <c r="AM8" s="11">
        <f t="shared" si="7"/>
        <v>25</v>
      </c>
      <c r="AN8" s="10">
        <v>25</v>
      </c>
      <c r="AO8" s="56">
        <f t="shared" si="8"/>
        <v>2</v>
      </c>
      <c r="AQ8" s="11">
        <f ca="1">IFERROR(OFFSET(ITEM_RES!$A$1,MATCH(AR8,ITEM_RES!$J:$J,0)-1,0),0)</f>
        <v>211050001</v>
      </c>
      <c r="AR8" s="10" t="s">
        <v>474</v>
      </c>
      <c r="AS8" s="11">
        <v>125</v>
      </c>
      <c r="AV8" s="11">
        <f ca="1">IFERROR(OFFSET(ITEM_RES!$A$1,MATCH(AW8,ITEM_RES!$J:$J,0)-1,0),0)</f>
        <v>211040001</v>
      </c>
      <c r="AW8" s="10" t="s">
        <v>502</v>
      </c>
      <c r="AX8" s="11">
        <v>125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367</v>
      </c>
      <c r="L9" s="9">
        <v>1</v>
      </c>
      <c r="M9" s="9">
        <v>15</v>
      </c>
      <c r="R9" s="9" t="s">
        <v>404</v>
      </c>
      <c r="S9" s="86">
        <v>-1</v>
      </c>
      <c r="U9" s="86">
        <f t="shared" si="3"/>
        <v>101</v>
      </c>
      <c r="V9" s="86">
        <v>50</v>
      </c>
      <c r="W9" s="86">
        <v>3</v>
      </c>
      <c r="X9" s="86">
        <v>3</v>
      </c>
      <c r="Y9" s="86">
        <v>500</v>
      </c>
      <c r="Z9" s="9">
        <v>211010001</v>
      </c>
      <c r="AA9" s="9" t="s">
        <v>589</v>
      </c>
      <c r="AB9" s="9">
        <v>5</v>
      </c>
      <c r="AD9" s="9">
        <v>1600</v>
      </c>
      <c r="AF9" s="89">
        <f t="shared" si="6"/>
        <v>840</v>
      </c>
      <c r="AG9" s="9">
        <f t="shared" si="9"/>
        <v>1365</v>
      </c>
      <c r="AI9" s="11">
        <f t="shared" si="4"/>
        <v>25</v>
      </c>
      <c r="AJ9" s="10">
        <v>25</v>
      </c>
      <c r="AK9" s="11">
        <f t="shared" si="7"/>
        <v>40</v>
      </c>
      <c r="AL9" s="10">
        <v>40</v>
      </c>
      <c r="AM9" s="11">
        <f t="shared" si="7"/>
        <v>40</v>
      </c>
      <c r="AN9" s="10">
        <v>40</v>
      </c>
      <c r="AO9" s="56">
        <f t="shared" si="8"/>
        <v>2</v>
      </c>
      <c r="AQ9" s="11">
        <f ca="1">IFERROR(OFFSET(ITEM_RES!$A$1,MATCH(AR9,ITEM_RES!$J:$J,0)-1,0),0)</f>
        <v>211050001</v>
      </c>
      <c r="AR9" s="10" t="s">
        <v>474</v>
      </c>
      <c r="AS9" s="11">
        <v>200</v>
      </c>
      <c r="AV9" s="11">
        <f ca="1">IFERROR(OFFSET(ITEM_RES!$A$1,MATCH(AW9,ITEM_RES!$J:$J,0)-1,0),0)</f>
        <v>211040001</v>
      </c>
      <c r="AW9" s="10" t="s">
        <v>502</v>
      </c>
      <c r="AX9" s="11">
        <v>200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367</v>
      </c>
      <c r="L10" s="9">
        <v>1</v>
      </c>
      <c r="M10" s="9">
        <v>15</v>
      </c>
      <c r="R10" s="9" t="s">
        <v>404</v>
      </c>
      <c r="S10" s="86">
        <v>-1</v>
      </c>
      <c r="U10" s="86">
        <f t="shared" si="3"/>
        <v>101</v>
      </c>
      <c r="V10" s="86">
        <v>60</v>
      </c>
      <c r="W10" s="86">
        <v>3</v>
      </c>
      <c r="X10" s="86">
        <v>3</v>
      </c>
      <c r="Y10" s="86">
        <v>600</v>
      </c>
      <c r="Z10" s="9">
        <v>211010001</v>
      </c>
      <c r="AA10" s="9" t="s">
        <v>589</v>
      </c>
      <c r="AB10" s="9">
        <v>6</v>
      </c>
      <c r="AD10" s="9">
        <v>2000</v>
      </c>
      <c r="AF10" s="89">
        <f t="shared" si="6"/>
        <v>1050</v>
      </c>
      <c r="AG10" s="9">
        <f t="shared" si="9"/>
        <v>1890</v>
      </c>
      <c r="AI10" s="11">
        <f t="shared" si="4"/>
        <v>30</v>
      </c>
      <c r="AJ10" s="10">
        <v>30</v>
      </c>
      <c r="AK10" s="11">
        <f t="shared" si="7"/>
        <v>50</v>
      </c>
      <c r="AL10" s="10">
        <v>50</v>
      </c>
      <c r="AM10" s="11">
        <f t="shared" si="7"/>
        <v>50</v>
      </c>
      <c r="AN10" s="10">
        <v>50</v>
      </c>
      <c r="AO10" s="56">
        <f t="shared" si="8"/>
        <v>2</v>
      </c>
      <c r="AQ10" s="11">
        <f ca="1">IFERROR(OFFSET(ITEM_RES!$A$1,MATCH(AR10,ITEM_RES!$J:$J,0)-1,0),0)</f>
        <v>211050001</v>
      </c>
      <c r="AR10" s="10" t="s">
        <v>474</v>
      </c>
      <c r="AS10" s="11">
        <v>250</v>
      </c>
      <c r="AV10" s="11">
        <f ca="1">IFERROR(OFFSET(ITEM_RES!$A$1,MATCH(AW10,ITEM_RES!$J:$J,0)-1,0),0)</f>
        <v>211040001</v>
      </c>
      <c r="AW10" s="10" t="s">
        <v>502</v>
      </c>
      <c r="AX10" s="11">
        <v>250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367</v>
      </c>
      <c r="L11" s="9">
        <v>1</v>
      </c>
      <c r="M11" s="9">
        <v>15</v>
      </c>
      <c r="R11" s="9" t="s">
        <v>404</v>
      </c>
      <c r="S11" s="86">
        <v>-1</v>
      </c>
      <c r="U11" s="86">
        <f t="shared" si="3"/>
        <v>101</v>
      </c>
      <c r="V11" s="86">
        <v>70</v>
      </c>
      <c r="W11" s="86">
        <v>3</v>
      </c>
      <c r="X11" s="86">
        <v>3</v>
      </c>
      <c r="Y11" s="86">
        <v>700</v>
      </c>
      <c r="Z11" s="9">
        <v>211010001</v>
      </c>
      <c r="AA11" s="9" t="s">
        <v>589</v>
      </c>
      <c r="AB11" s="9">
        <v>7</v>
      </c>
      <c r="AD11" s="9">
        <v>4000</v>
      </c>
      <c r="AF11" s="89">
        <f t="shared" si="6"/>
        <v>2100</v>
      </c>
      <c r="AG11" s="9">
        <f t="shared" si="9"/>
        <v>3150</v>
      </c>
      <c r="AI11" s="11">
        <f t="shared" si="4"/>
        <v>35</v>
      </c>
      <c r="AJ11" s="10">
        <v>35</v>
      </c>
      <c r="AK11" s="11">
        <f t="shared" si="7"/>
        <v>100</v>
      </c>
      <c r="AL11" s="10">
        <v>100</v>
      </c>
      <c r="AM11" s="11">
        <f t="shared" si="7"/>
        <v>100</v>
      </c>
      <c r="AN11" s="10">
        <v>100</v>
      </c>
      <c r="AO11" s="56">
        <f t="shared" si="8"/>
        <v>2</v>
      </c>
      <c r="AQ11" s="11">
        <f ca="1">IFERROR(OFFSET(ITEM_RES!$A$1,MATCH(AR11,ITEM_RES!$J:$J,0)-1,0),0)</f>
        <v>211050001</v>
      </c>
      <c r="AR11" s="10" t="s">
        <v>474</v>
      </c>
      <c r="AS11" s="11">
        <v>500</v>
      </c>
      <c r="AV11" s="11">
        <f ca="1">IFERROR(OFFSET(ITEM_RES!$A$1,MATCH(AW11,ITEM_RES!$J:$J,0)-1,0),0)</f>
        <v>211040001</v>
      </c>
      <c r="AW11" s="10" t="s">
        <v>502</v>
      </c>
      <c r="AX11" s="11">
        <v>500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367</v>
      </c>
      <c r="L12" s="9">
        <v>1</v>
      </c>
      <c r="M12" s="9">
        <v>15</v>
      </c>
      <c r="R12" s="9" t="s">
        <v>404</v>
      </c>
      <c r="S12" s="86">
        <v>-1</v>
      </c>
      <c r="U12" s="86">
        <f t="shared" si="3"/>
        <v>101</v>
      </c>
      <c r="V12" s="86">
        <v>80</v>
      </c>
      <c r="W12" s="86">
        <v>3</v>
      </c>
      <c r="X12" s="86">
        <v>3</v>
      </c>
      <c r="Y12" s="86">
        <v>800</v>
      </c>
      <c r="Z12" s="9">
        <v>211010001</v>
      </c>
      <c r="AA12" s="9" t="s">
        <v>589</v>
      </c>
      <c r="AB12" s="9">
        <v>8</v>
      </c>
      <c r="AD12" s="9">
        <v>4000</v>
      </c>
      <c r="AF12" s="89">
        <f t="shared" si="6"/>
        <v>2100</v>
      </c>
      <c r="AG12" s="9">
        <f t="shared" si="9"/>
        <v>4200</v>
      </c>
      <c r="AI12" s="11">
        <f t="shared" si="4"/>
        <v>40</v>
      </c>
      <c r="AJ12" s="10">
        <v>40</v>
      </c>
      <c r="AK12" s="11">
        <f t="shared" si="7"/>
        <v>100</v>
      </c>
      <c r="AL12" s="10">
        <v>100</v>
      </c>
      <c r="AM12" s="11">
        <f t="shared" si="7"/>
        <v>100</v>
      </c>
      <c r="AN12" s="10">
        <v>100</v>
      </c>
      <c r="AO12" s="56">
        <f t="shared" si="8"/>
        <v>2</v>
      </c>
      <c r="AQ12" s="11">
        <f ca="1">IFERROR(OFFSET(ITEM_RES!$A$1,MATCH(AR12,ITEM_RES!$J:$J,0)-1,0),0)</f>
        <v>211050001</v>
      </c>
      <c r="AR12" s="10" t="s">
        <v>474</v>
      </c>
      <c r="AS12" s="11">
        <v>500</v>
      </c>
      <c r="AV12" s="11">
        <f ca="1">IFERROR(OFFSET(ITEM_RES!$A$1,MATCH(AW12,ITEM_RES!$J:$J,0)-1,0),0)</f>
        <v>211040001</v>
      </c>
      <c r="AW12" s="10" t="s">
        <v>502</v>
      </c>
      <c r="AX12" s="11">
        <v>500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367</v>
      </c>
      <c r="L13" s="9">
        <v>1</v>
      </c>
      <c r="M13" s="9">
        <v>15</v>
      </c>
      <c r="R13" s="9" t="s">
        <v>404</v>
      </c>
      <c r="S13" s="86">
        <v>-1</v>
      </c>
      <c r="U13" s="86">
        <f t="shared" si="3"/>
        <v>101</v>
      </c>
      <c r="V13" s="86">
        <v>90</v>
      </c>
      <c r="W13" s="86">
        <v>3</v>
      </c>
      <c r="X13" s="86">
        <v>3</v>
      </c>
      <c r="Y13" s="86">
        <v>900</v>
      </c>
      <c r="Z13" s="9">
        <v>211010001</v>
      </c>
      <c r="AA13" s="9" t="s">
        <v>589</v>
      </c>
      <c r="AB13" s="9">
        <v>9</v>
      </c>
      <c r="AD13" s="9">
        <v>6000</v>
      </c>
      <c r="AF13" s="89">
        <f t="shared" si="6"/>
        <v>3150</v>
      </c>
      <c r="AG13" s="9">
        <f t="shared" si="9"/>
        <v>5250</v>
      </c>
      <c r="AI13" s="11">
        <f t="shared" si="4"/>
        <v>45</v>
      </c>
      <c r="AJ13" s="10">
        <v>45</v>
      </c>
      <c r="AK13" s="11">
        <f t="shared" si="7"/>
        <v>150</v>
      </c>
      <c r="AL13" s="10">
        <v>150</v>
      </c>
      <c r="AM13" s="11">
        <f t="shared" si="7"/>
        <v>150</v>
      </c>
      <c r="AN13" s="10">
        <v>150</v>
      </c>
      <c r="AO13" s="56">
        <f t="shared" si="8"/>
        <v>2</v>
      </c>
      <c r="AQ13" s="11">
        <f ca="1">IFERROR(OFFSET(ITEM_RES!$A$1,MATCH(AR13,ITEM_RES!$J:$J,0)-1,0),0)</f>
        <v>211050001</v>
      </c>
      <c r="AR13" s="10" t="s">
        <v>474</v>
      </c>
      <c r="AS13" s="11">
        <v>750</v>
      </c>
      <c r="AV13" s="11">
        <f ca="1">IFERROR(OFFSET(ITEM_RES!$A$1,MATCH(AW13,ITEM_RES!$J:$J,0)-1,0),0)</f>
        <v>211040001</v>
      </c>
      <c r="AW13" s="10" t="s">
        <v>502</v>
      </c>
      <c r="AX13" s="11">
        <v>750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367</v>
      </c>
      <c r="L14" s="9">
        <v>1</v>
      </c>
      <c r="M14" s="9">
        <v>15</v>
      </c>
      <c r="R14" s="9" t="s">
        <v>404</v>
      </c>
      <c r="S14" s="86">
        <v>-1</v>
      </c>
      <c r="U14" s="86">
        <f t="shared" si="3"/>
        <v>101</v>
      </c>
      <c r="V14" s="86">
        <v>100</v>
      </c>
      <c r="W14" s="86">
        <v>3</v>
      </c>
      <c r="X14" s="86">
        <v>3</v>
      </c>
      <c r="Y14" s="86">
        <v>1000</v>
      </c>
      <c r="Z14" s="9">
        <v>211010001</v>
      </c>
      <c r="AA14" s="9" t="s">
        <v>589</v>
      </c>
      <c r="AB14" s="9">
        <v>10</v>
      </c>
      <c r="AD14" s="9">
        <v>8000</v>
      </c>
      <c r="AF14" s="89">
        <f t="shared" si="6"/>
        <v>4700</v>
      </c>
      <c r="AG14" s="9">
        <f t="shared" si="9"/>
        <v>7850</v>
      </c>
      <c r="AI14" s="11">
        <f t="shared" si="4"/>
        <v>50</v>
      </c>
      <c r="AJ14" s="10">
        <v>50</v>
      </c>
      <c r="AK14" s="11">
        <f t="shared" si="7"/>
        <v>200</v>
      </c>
      <c r="AL14" s="10">
        <v>200</v>
      </c>
      <c r="AM14" s="11">
        <f t="shared" si="7"/>
        <v>200</v>
      </c>
      <c r="AN14" s="10">
        <v>200</v>
      </c>
      <c r="AO14" s="56">
        <f t="shared" si="8"/>
        <v>3</v>
      </c>
      <c r="AQ14" s="11">
        <f ca="1">IFERROR(OFFSET(ITEM_RES!$A$1,MATCH(AR14,ITEM_RES!$J:$J,0)-1,0),0)</f>
        <v>211050001</v>
      </c>
      <c r="AR14" s="10" t="s">
        <v>474</v>
      </c>
      <c r="AS14" s="11">
        <v>1000</v>
      </c>
      <c r="AV14" s="11">
        <f ca="1">IFERROR(OFFSET(ITEM_RES!$A$1,MATCH(AW14,ITEM_RES!$J:$J,0)-1,0),0)</f>
        <v>211040001</v>
      </c>
      <c r="AW14" s="10" t="s">
        <v>502</v>
      </c>
      <c r="AX14" s="11">
        <v>1000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213050001</v>
      </c>
      <c r="BG14" s="10" t="s">
        <v>516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367</v>
      </c>
      <c r="L15" s="9">
        <v>1</v>
      </c>
      <c r="M15" s="9">
        <v>15</v>
      </c>
      <c r="R15" s="9" t="s">
        <v>404</v>
      </c>
      <c r="S15" s="86">
        <v>-1</v>
      </c>
      <c r="U15" s="86">
        <f t="shared" si="3"/>
        <v>101</v>
      </c>
      <c r="V15" s="86">
        <v>110</v>
      </c>
      <c r="W15" s="86">
        <v>3</v>
      </c>
      <c r="X15" s="86">
        <v>3</v>
      </c>
      <c r="Y15" s="86">
        <v>1100</v>
      </c>
      <c r="Z15" s="9">
        <v>211010001</v>
      </c>
      <c r="AA15" s="9" t="s">
        <v>589</v>
      </c>
      <c r="AB15" s="9">
        <v>11</v>
      </c>
      <c r="AD15" s="9">
        <v>10000</v>
      </c>
      <c r="AF15" s="89">
        <f t="shared" si="6"/>
        <v>5250</v>
      </c>
      <c r="AG15" s="9">
        <f t="shared" si="9"/>
        <v>9950</v>
      </c>
      <c r="AI15" s="11">
        <f t="shared" si="4"/>
        <v>55</v>
      </c>
      <c r="AJ15" s="10">
        <v>55</v>
      </c>
      <c r="AK15" s="11">
        <f t="shared" si="7"/>
        <v>250</v>
      </c>
      <c r="AL15" s="10">
        <v>250</v>
      </c>
      <c r="AM15" s="11">
        <f t="shared" si="7"/>
        <v>250</v>
      </c>
      <c r="AN15" s="10">
        <v>250</v>
      </c>
      <c r="AO15" s="56">
        <f t="shared" si="8"/>
        <v>2</v>
      </c>
      <c r="AQ15" s="11">
        <f ca="1">IFERROR(OFFSET(ITEM_RES!$A$1,MATCH(AR15,ITEM_RES!$J:$J,0)-1,0),0)</f>
        <v>211050001</v>
      </c>
      <c r="AR15" s="10" t="s">
        <v>474</v>
      </c>
      <c r="AS15" s="11">
        <v>1250</v>
      </c>
      <c r="AV15" s="11">
        <f ca="1">IFERROR(OFFSET(ITEM_RES!$A$1,MATCH(AW15,ITEM_RES!$J:$J,0)-1,0),0)</f>
        <v>211040001</v>
      </c>
      <c r="AW15" s="10" t="s">
        <v>502</v>
      </c>
      <c r="AX15" s="11">
        <v>1250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367</v>
      </c>
      <c r="L16" s="9">
        <v>1</v>
      </c>
      <c r="M16" s="9">
        <v>15</v>
      </c>
      <c r="R16" s="9" t="s">
        <v>404</v>
      </c>
      <c r="S16" s="86">
        <v>-1</v>
      </c>
      <c r="U16" s="86">
        <f t="shared" si="3"/>
        <v>101</v>
      </c>
      <c r="V16" s="86">
        <v>120</v>
      </c>
      <c r="W16" s="86">
        <v>3</v>
      </c>
      <c r="X16" s="86">
        <v>3</v>
      </c>
      <c r="Y16" s="86">
        <v>1200</v>
      </c>
      <c r="Z16" s="9">
        <v>211010001</v>
      </c>
      <c r="AA16" s="9" t="s">
        <v>589</v>
      </c>
      <c r="AB16" s="9">
        <v>12</v>
      </c>
      <c r="AD16" s="9">
        <v>12000</v>
      </c>
      <c r="AF16" s="89">
        <f t="shared" si="6"/>
        <v>6300</v>
      </c>
      <c r="AG16" s="9">
        <f t="shared" si="9"/>
        <v>11550</v>
      </c>
      <c r="AI16" s="11">
        <f t="shared" si="4"/>
        <v>60</v>
      </c>
      <c r="AJ16" s="10">
        <v>60</v>
      </c>
      <c r="AK16" s="11">
        <f t="shared" si="7"/>
        <v>300</v>
      </c>
      <c r="AL16" s="10">
        <v>300</v>
      </c>
      <c r="AM16" s="11">
        <f t="shared" si="7"/>
        <v>300</v>
      </c>
      <c r="AN16" s="10">
        <v>300</v>
      </c>
      <c r="AO16" s="56">
        <f t="shared" si="8"/>
        <v>2</v>
      </c>
      <c r="AQ16" s="11">
        <f ca="1">IFERROR(OFFSET(ITEM_RES!$A$1,MATCH(AR16,ITEM_RES!$J:$J,0)-1,0),0)</f>
        <v>211050001</v>
      </c>
      <c r="AR16" s="10" t="s">
        <v>474</v>
      </c>
      <c r="AS16" s="11">
        <v>1500</v>
      </c>
      <c r="AV16" s="11">
        <f ca="1">IFERROR(OFFSET(ITEM_RES!$A$1,MATCH(AW16,ITEM_RES!$J:$J,0)-1,0),0)</f>
        <v>211040001</v>
      </c>
      <c r="AW16" s="10" t="s">
        <v>502</v>
      </c>
      <c r="AX16" s="11">
        <v>1500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367</v>
      </c>
      <c r="L17" s="9">
        <v>1</v>
      </c>
      <c r="M17" s="9">
        <v>15</v>
      </c>
      <c r="R17" s="9" t="s">
        <v>404</v>
      </c>
      <c r="S17" s="86">
        <v>-1</v>
      </c>
      <c r="U17" s="86">
        <f t="shared" si="3"/>
        <v>101</v>
      </c>
      <c r="V17" s="86">
        <v>130</v>
      </c>
      <c r="W17" s="86">
        <v>3</v>
      </c>
      <c r="X17" s="86">
        <v>3</v>
      </c>
      <c r="Y17" s="86">
        <v>1300</v>
      </c>
      <c r="Z17" s="9">
        <v>211010001</v>
      </c>
      <c r="AA17" s="9" t="s">
        <v>589</v>
      </c>
      <c r="AB17" s="9">
        <v>13</v>
      </c>
      <c r="AD17" s="9">
        <v>14000</v>
      </c>
      <c r="AF17" s="89">
        <f t="shared" si="6"/>
        <v>7350</v>
      </c>
      <c r="AG17" s="9">
        <f t="shared" si="9"/>
        <v>13650</v>
      </c>
      <c r="AI17" s="11">
        <f t="shared" si="4"/>
        <v>65</v>
      </c>
      <c r="AJ17" s="10">
        <v>65</v>
      </c>
      <c r="AK17" s="11">
        <f t="shared" si="7"/>
        <v>350</v>
      </c>
      <c r="AL17" s="10">
        <v>350</v>
      </c>
      <c r="AM17" s="11">
        <f t="shared" si="7"/>
        <v>350</v>
      </c>
      <c r="AN17" s="10">
        <v>350</v>
      </c>
      <c r="AO17" s="56">
        <f t="shared" si="8"/>
        <v>2</v>
      </c>
      <c r="AQ17" s="11">
        <f ca="1">IFERROR(OFFSET(ITEM_RES!$A$1,MATCH(AR17,ITEM_RES!$J:$J,0)-1,0),0)</f>
        <v>211050001</v>
      </c>
      <c r="AR17" s="10" t="s">
        <v>474</v>
      </c>
      <c r="AS17" s="11">
        <v>1750</v>
      </c>
      <c r="AV17" s="11">
        <f ca="1">IFERROR(OFFSET(ITEM_RES!$A$1,MATCH(AW17,ITEM_RES!$J:$J,0)-1,0),0)</f>
        <v>211040001</v>
      </c>
      <c r="AW17" s="10" t="s">
        <v>502</v>
      </c>
      <c r="AX17" s="11">
        <v>1750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367</v>
      </c>
      <c r="L18" s="9">
        <v>1</v>
      </c>
      <c r="M18" s="9">
        <v>15</v>
      </c>
      <c r="R18" s="9" t="s">
        <v>404</v>
      </c>
      <c r="S18" s="86">
        <v>-1</v>
      </c>
      <c r="U18" s="86">
        <f t="shared" si="3"/>
        <v>101</v>
      </c>
      <c r="V18" s="86">
        <v>140</v>
      </c>
      <c r="W18" s="86">
        <v>3</v>
      </c>
      <c r="X18" s="86">
        <v>3</v>
      </c>
      <c r="Y18" s="86">
        <v>1400</v>
      </c>
      <c r="Z18" s="9">
        <v>211010001</v>
      </c>
      <c r="AA18" s="9" t="s">
        <v>589</v>
      </c>
      <c r="AB18" s="9">
        <v>14</v>
      </c>
      <c r="AD18" s="9">
        <v>18000</v>
      </c>
      <c r="AF18" s="89">
        <f t="shared" si="6"/>
        <v>9450</v>
      </c>
      <c r="AG18" s="9">
        <f t="shared" si="9"/>
        <v>16800</v>
      </c>
      <c r="AI18" s="11">
        <f t="shared" si="4"/>
        <v>70</v>
      </c>
      <c r="AJ18" s="10">
        <v>70</v>
      </c>
      <c r="AK18" s="11">
        <f t="shared" si="7"/>
        <v>450</v>
      </c>
      <c r="AL18" s="10">
        <v>450</v>
      </c>
      <c r="AM18" s="11">
        <f t="shared" si="7"/>
        <v>450</v>
      </c>
      <c r="AN18" s="10">
        <v>450</v>
      </c>
      <c r="AO18" s="56">
        <f t="shared" si="8"/>
        <v>2</v>
      </c>
      <c r="AQ18" s="11">
        <f ca="1">IFERROR(OFFSET(ITEM_RES!$A$1,MATCH(AR18,ITEM_RES!$J:$J,0)-1,0),0)</f>
        <v>211050001</v>
      </c>
      <c r="AR18" s="10" t="s">
        <v>474</v>
      </c>
      <c r="AS18" s="11">
        <v>2250</v>
      </c>
      <c r="AV18" s="11">
        <f ca="1">IFERROR(OFFSET(ITEM_RES!$A$1,MATCH(AW18,ITEM_RES!$J:$J,0)-1,0),0)</f>
        <v>211040001</v>
      </c>
      <c r="AW18" s="10" t="s">
        <v>502</v>
      </c>
      <c r="AX18" s="11">
        <v>2250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367</v>
      </c>
      <c r="L19" s="9">
        <v>1</v>
      </c>
      <c r="M19" s="9">
        <v>15</v>
      </c>
      <c r="R19" s="9" t="s">
        <v>404</v>
      </c>
      <c r="S19" s="86">
        <v>-1</v>
      </c>
      <c r="U19" s="86">
        <f t="shared" si="3"/>
        <v>101</v>
      </c>
      <c r="V19" s="86">
        <v>150</v>
      </c>
      <c r="W19" s="86">
        <v>3</v>
      </c>
      <c r="X19" s="86">
        <v>3</v>
      </c>
      <c r="Y19" s="86">
        <v>1500</v>
      </c>
      <c r="Z19" s="9">
        <v>211010001</v>
      </c>
      <c r="AA19" s="9" t="s">
        <v>589</v>
      </c>
      <c r="AB19" s="9">
        <v>15</v>
      </c>
      <c r="AD19" s="9">
        <v>22000</v>
      </c>
      <c r="AF19" s="89">
        <f t="shared" si="6"/>
        <v>11550</v>
      </c>
      <c r="AG19" s="9">
        <f t="shared" si="9"/>
        <v>21000</v>
      </c>
      <c r="AI19" s="11">
        <f t="shared" si="4"/>
        <v>75</v>
      </c>
      <c r="AJ19" s="10">
        <v>75</v>
      </c>
      <c r="AK19" s="11">
        <f t="shared" si="7"/>
        <v>550</v>
      </c>
      <c r="AL19" s="10">
        <v>550</v>
      </c>
      <c r="AM19" s="11">
        <f t="shared" si="7"/>
        <v>550</v>
      </c>
      <c r="AN19" s="10">
        <v>550</v>
      </c>
      <c r="AO19" s="56">
        <f t="shared" si="8"/>
        <v>2</v>
      </c>
      <c r="AQ19" s="11">
        <f ca="1">IFERROR(OFFSET(ITEM_RES!$A$1,MATCH(AR19,ITEM_RES!$J:$J,0)-1,0),0)</f>
        <v>211050001</v>
      </c>
      <c r="AR19" s="10" t="s">
        <v>474</v>
      </c>
      <c r="AS19" s="11">
        <v>2750</v>
      </c>
      <c r="AV19" s="11">
        <f ca="1">IFERROR(OFFSET(ITEM_RES!$A$1,MATCH(AW19,ITEM_RES!$J:$J,0)-1,0),0)</f>
        <v>211040001</v>
      </c>
      <c r="AW19" s="10" t="s">
        <v>502</v>
      </c>
      <c r="AX19" s="11">
        <v>2750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367</v>
      </c>
      <c r="L20" s="9">
        <v>0</v>
      </c>
      <c r="M20" s="9">
        <v>15</v>
      </c>
      <c r="R20" s="9" t="s">
        <v>404</v>
      </c>
      <c r="S20" s="86">
        <v>-1</v>
      </c>
      <c r="U20" s="86">
        <f t="shared" si="3"/>
        <v>101</v>
      </c>
      <c r="V20" s="86">
        <v>160</v>
      </c>
      <c r="W20" s="86">
        <v>3</v>
      </c>
      <c r="X20" s="86">
        <v>3</v>
      </c>
      <c r="Y20" s="86">
        <v>1600</v>
      </c>
      <c r="Z20" s="9">
        <v>211010001</v>
      </c>
      <c r="AA20" s="9" t="s">
        <v>589</v>
      </c>
      <c r="AB20" s="9">
        <v>16</v>
      </c>
      <c r="AD20" s="9">
        <v>28000</v>
      </c>
      <c r="AF20" s="89">
        <f t="shared" si="6"/>
        <v>14700</v>
      </c>
      <c r="AG20" s="9">
        <f t="shared" si="9"/>
        <v>26250</v>
      </c>
      <c r="AI20" s="11">
        <f t="shared" si="4"/>
        <v>80</v>
      </c>
      <c r="AJ20" s="10">
        <v>80</v>
      </c>
      <c r="AK20" s="11">
        <f t="shared" si="7"/>
        <v>700</v>
      </c>
      <c r="AL20" s="10">
        <v>700</v>
      </c>
      <c r="AM20" s="11">
        <f t="shared" si="7"/>
        <v>700</v>
      </c>
      <c r="AN20" s="10">
        <v>700</v>
      </c>
      <c r="AO20" s="56">
        <f t="shared" si="8"/>
        <v>2</v>
      </c>
      <c r="AQ20" s="11">
        <f ca="1">IFERROR(OFFSET(ITEM_RES!$A$1,MATCH(AR20,ITEM_RES!$J:$J,0)-1,0),0)</f>
        <v>215070001</v>
      </c>
      <c r="AR20" s="10" t="s">
        <v>492</v>
      </c>
      <c r="AS20" s="11">
        <v>3500</v>
      </c>
      <c r="AV20" s="11">
        <f ca="1">IFERROR(OFFSET(ITEM_RES!$A$1,MATCH(AW20,ITEM_RES!$J:$J,0)-1,0),0)</f>
        <v>211040001</v>
      </c>
      <c r="AW20" s="10" t="s">
        <v>502</v>
      </c>
      <c r="AX20" s="11">
        <v>3500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367</v>
      </c>
      <c r="L21" s="9">
        <v>0</v>
      </c>
      <c r="M21" s="9">
        <v>15</v>
      </c>
      <c r="R21" s="9" t="s">
        <v>404</v>
      </c>
      <c r="S21" s="86">
        <v>-1</v>
      </c>
      <c r="U21" s="86">
        <f t="shared" si="3"/>
        <v>101</v>
      </c>
      <c r="V21" s="86">
        <v>170</v>
      </c>
      <c r="W21" s="86">
        <v>3</v>
      </c>
      <c r="X21" s="86">
        <v>3</v>
      </c>
      <c r="Y21" s="86">
        <v>1700</v>
      </c>
      <c r="Z21" s="9">
        <v>211010001</v>
      </c>
      <c r="AA21" s="9" t="s">
        <v>589</v>
      </c>
      <c r="AB21" s="9">
        <v>17</v>
      </c>
      <c r="AD21" s="9">
        <v>34000</v>
      </c>
      <c r="AF21" s="89">
        <f t="shared" si="6"/>
        <v>17850</v>
      </c>
      <c r="AG21" s="9">
        <f t="shared" si="9"/>
        <v>32550</v>
      </c>
      <c r="AI21" s="11">
        <f t="shared" si="4"/>
        <v>85</v>
      </c>
      <c r="AJ21" s="10">
        <v>85</v>
      </c>
      <c r="AK21" s="11">
        <f t="shared" si="7"/>
        <v>850</v>
      </c>
      <c r="AL21" s="10">
        <v>850</v>
      </c>
      <c r="AM21" s="11">
        <f t="shared" si="7"/>
        <v>850</v>
      </c>
      <c r="AN21" s="10">
        <v>850</v>
      </c>
      <c r="AO21" s="56">
        <f t="shared" si="8"/>
        <v>2</v>
      </c>
      <c r="AQ21" s="11">
        <f ca="1">IFERROR(OFFSET(ITEM_RES!$A$1,MATCH(AR21,ITEM_RES!$J:$J,0)-1,0),0)</f>
        <v>215070001</v>
      </c>
      <c r="AR21" s="10" t="s">
        <v>492</v>
      </c>
      <c r="AS21" s="11">
        <v>4250</v>
      </c>
      <c r="AV21" s="11">
        <f ca="1">IFERROR(OFFSET(ITEM_RES!$A$1,MATCH(AW21,ITEM_RES!$J:$J,0)-1,0),0)</f>
        <v>211040001</v>
      </c>
      <c r="AW21" s="10" t="s">
        <v>502</v>
      </c>
      <c r="AX21" s="11">
        <v>4250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367</v>
      </c>
      <c r="L22" s="9">
        <v>0</v>
      </c>
      <c r="M22" s="9">
        <v>15</v>
      </c>
      <c r="R22" s="9" t="s">
        <v>404</v>
      </c>
      <c r="S22" s="86">
        <v>-1</v>
      </c>
      <c r="U22" s="86">
        <f t="shared" si="3"/>
        <v>101</v>
      </c>
      <c r="V22" s="86">
        <v>180</v>
      </c>
      <c r="W22" s="86">
        <v>3</v>
      </c>
      <c r="X22" s="86">
        <v>3</v>
      </c>
      <c r="Y22" s="86">
        <v>1800</v>
      </c>
      <c r="Z22" s="9">
        <v>211010001</v>
      </c>
      <c r="AA22" s="9" t="s">
        <v>589</v>
      </c>
      <c r="AB22" s="9">
        <v>18</v>
      </c>
      <c r="AD22" s="9">
        <v>42000</v>
      </c>
      <c r="AF22" s="89">
        <f t="shared" si="6"/>
        <v>22050</v>
      </c>
      <c r="AG22" s="9">
        <f t="shared" si="9"/>
        <v>39900</v>
      </c>
      <c r="AI22" s="11">
        <f t="shared" si="4"/>
        <v>90</v>
      </c>
      <c r="AJ22" s="10">
        <v>90</v>
      </c>
      <c r="AK22" s="11">
        <f t="shared" si="7"/>
        <v>1050</v>
      </c>
      <c r="AL22" s="10">
        <v>1050</v>
      </c>
      <c r="AM22" s="11">
        <f t="shared" si="7"/>
        <v>1050</v>
      </c>
      <c r="AN22" s="10">
        <v>1050</v>
      </c>
      <c r="AO22" s="56">
        <f t="shared" si="8"/>
        <v>2</v>
      </c>
      <c r="AQ22" s="11">
        <f ca="1">IFERROR(OFFSET(ITEM_RES!$A$1,MATCH(AR22,ITEM_RES!$J:$J,0)-1,0),0)</f>
        <v>215070001</v>
      </c>
      <c r="AR22" s="10" t="s">
        <v>492</v>
      </c>
      <c r="AS22" s="11">
        <v>5250</v>
      </c>
      <c r="AV22" s="11">
        <f ca="1">IFERROR(OFFSET(ITEM_RES!$A$1,MATCH(AW22,ITEM_RES!$J:$J,0)-1,0),0)</f>
        <v>211040001</v>
      </c>
      <c r="AW22" s="10" t="s">
        <v>502</v>
      </c>
      <c r="AX22" s="11">
        <v>5250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367</v>
      </c>
      <c r="L23" s="9">
        <v>0</v>
      </c>
      <c r="M23" s="9">
        <v>15</v>
      </c>
      <c r="R23" s="9" t="s">
        <v>404</v>
      </c>
      <c r="S23" s="86">
        <v>-1</v>
      </c>
      <c r="U23" s="86">
        <f t="shared" si="3"/>
        <v>101</v>
      </c>
      <c r="V23" s="86">
        <v>190</v>
      </c>
      <c r="W23" s="86">
        <v>3</v>
      </c>
      <c r="X23" s="86">
        <v>3</v>
      </c>
      <c r="Y23" s="86">
        <v>1900</v>
      </c>
      <c r="Z23" s="9">
        <v>211010001</v>
      </c>
      <c r="AA23" s="9" t="s">
        <v>589</v>
      </c>
      <c r="AB23" s="9">
        <v>19</v>
      </c>
      <c r="AD23" s="9">
        <v>50000</v>
      </c>
      <c r="AF23" s="89">
        <f t="shared" si="6"/>
        <v>26250</v>
      </c>
      <c r="AG23" s="9">
        <f t="shared" si="9"/>
        <v>48300</v>
      </c>
      <c r="AI23" s="11">
        <f t="shared" si="4"/>
        <v>95</v>
      </c>
      <c r="AJ23" s="10">
        <v>95</v>
      </c>
      <c r="AK23" s="11">
        <f t="shared" si="7"/>
        <v>1250</v>
      </c>
      <c r="AL23" s="10">
        <v>1250</v>
      </c>
      <c r="AM23" s="11">
        <f t="shared" si="7"/>
        <v>1250</v>
      </c>
      <c r="AN23" s="10">
        <v>1250</v>
      </c>
      <c r="AO23" s="56">
        <f t="shared" si="8"/>
        <v>2</v>
      </c>
      <c r="AQ23" s="11">
        <f ca="1">IFERROR(OFFSET(ITEM_RES!$A$1,MATCH(AR23,ITEM_RES!$J:$J,0)-1,0),0)</f>
        <v>215070001</v>
      </c>
      <c r="AR23" s="10" t="s">
        <v>492</v>
      </c>
      <c r="AS23" s="11">
        <v>6250</v>
      </c>
      <c r="AV23" s="11">
        <f ca="1">IFERROR(OFFSET(ITEM_RES!$A$1,MATCH(AW23,ITEM_RES!$J:$J,0)-1,0),0)</f>
        <v>211040001</v>
      </c>
      <c r="AW23" s="10" t="s">
        <v>502</v>
      </c>
      <c r="AX23" s="11">
        <v>6250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367</v>
      </c>
      <c r="L24" s="9">
        <v>0</v>
      </c>
      <c r="M24" s="9">
        <v>15</v>
      </c>
      <c r="R24" s="9" t="s">
        <v>404</v>
      </c>
      <c r="S24" s="86">
        <v>-1</v>
      </c>
      <c r="U24" s="86">
        <f t="shared" si="3"/>
        <v>101</v>
      </c>
      <c r="V24" s="86">
        <v>200</v>
      </c>
      <c r="W24" s="86">
        <v>3</v>
      </c>
      <c r="X24" s="86">
        <v>3</v>
      </c>
      <c r="Y24" s="86">
        <v>2000</v>
      </c>
      <c r="Z24" s="9">
        <v>211010001</v>
      </c>
      <c r="AA24" s="9" t="s">
        <v>589</v>
      </c>
      <c r="AB24" s="9">
        <v>20</v>
      </c>
      <c r="AD24" s="9">
        <v>60000</v>
      </c>
      <c r="AF24" s="89">
        <f t="shared" si="6"/>
        <v>31500</v>
      </c>
      <c r="AG24" s="9">
        <f t="shared" si="9"/>
        <v>57750</v>
      </c>
      <c r="AI24" s="11">
        <f t="shared" si="4"/>
        <v>100</v>
      </c>
      <c r="AJ24" s="10">
        <v>100</v>
      </c>
      <c r="AK24" s="11">
        <f t="shared" si="7"/>
        <v>1500</v>
      </c>
      <c r="AL24" s="10">
        <v>1500</v>
      </c>
      <c r="AM24" s="11">
        <f t="shared" si="7"/>
        <v>1500</v>
      </c>
      <c r="AN24" s="10">
        <v>1500</v>
      </c>
      <c r="AO24" s="56">
        <f t="shared" si="8"/>
        <v>2</v>
      </c>
      <c r="AQ24" s="11">
        <f ca="1">IFERROR(OFFSET(ITEM_RES!$A$1,MATCH(AR24,ITEM_RES!$J:$J,0)-1,0),0)</f>
        <v>215070001</v>
      </c>
      <c r="AR24" s="10" t="s">
        <v>492</v>
      </c>
      <c r="AS24" s="11">
        <v>7500</v>
      </c>
      <c r="AV24" s="11">
        <f ca="1">IFERROR(OFFSET(ITEM_RES!$A$1,MATCH(AW24,ITEM_RES!$J:$J,0)-1,0),0)</f>
        <v>211040001</v>
      </c>
      <c r="AW24" s="10" t="s">
        <v>502</v>
      </c>
      <c r="AX24" s="11">
        <v>7500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368</v>
      </c>
      <c r="L25" s="16">
        <v>1</v>
      </c>
      <c r="M25" s="16">
        <v>15</v>
      </c>
      <c r="N25" s="16"/>
      <c r="O25" s="17"/>
      <c r="P25" s="17"/>
      <c r="Q25" s="18"/>
      <c r="R25" s="16" t="s">
        <v>390</v>
      </c>
      <c r="S25" s="88">
        <v>1</v>
      </c>
      <c r="T25" s="80"/>
      <c r="U25" s="88">
        <f t="shared" si="3"/>
        <v>102</v>
      </c>
      <c r="V25" s="88">
        <v>10</v>
      </c>
      <c r="W25" s="88">
        <v>1</v>
      </c>
      <c r="X25" s="88">
        <v>3</v>
      </c>
      <c r="Y25" s="88">
        <v>0</v>
      </c>
      <c r="Z25" s="16">
        <v>211020001</v>
      </c>
      <c r="AA25" s="16" t="s">
        <v>590</v>
      </c>
      <c r="AB25" s="16">
        <v>1</v>
      </c>
      <c r="AC25" s="80"/>
      <c r="AD25" s="16">
        <v>100</v>
      </c>
      <c r="AE25" s="80"/>
      <c r="AF25" s="91">
        <f t="shared" si="6"/>
        <v>605</v>
      </c>
      <c r="AG25" s="16">
        <f>AF25</f>
        <v>605</v>
      </c>
      <c r="AH25" s="80"/>
      <c r="AI25" s="18">
        <f t="shared" si="4"/>
        <v>5</v>
      </c>
      <c r="AJ25" s="17">
        <v>5</v>
      </c>
      <c r="AK25" s="18">
        <f t="shared" si="7"/>
        <v>5</v>
      </c>
      <c r="AL25" s="17">
        <v>5</v>
      </c>
      <c r="AM25" s="18">
        <f t="shared" si="7"/>
        <v>5</v>
      </c>
      <c r="AN25" s="17">
        <v>5</v>
      </c>
      <c r="AO25" s="57">
        <f t="shared" si="8"/>
        <v>3</v>
      </c>
      <c r="AP25" s="18"/>
      <c r="AQ25" s="18">
        <f ca="1">IFERROR(OFFSET(ITEM_RES!$A$1,MATCH(AR25,ITEM_RES!$J:$J,0)-1,0),0)</f>
        <v>211050001</v>
      </c>
      <c r="AR25" s="17" t="s">
        <v>475</v>
      </c>
      <c r="AS25" s="18">
        <v>25</v>
      </c>
      <c r="AT25" s="17"/>
      <c r="AU25" s="18"/>
      <c r="AV25" s="18">
        <f ca="1">IFERROR(OFFSET(ITEM_RES!$A$1,MATCH(AW25,ITEM_RES!$J:$J,0)-1,0),0)</f>
        <v>211040001</v>
      </c>
      <c r="AW25" s="17" t="s">
        <v>502</v>
      </c>
      <c r="AX25" s="18">
        <v>25</v>
      </c>
      <c r="AY25" s="17"/>
      <c r="AZ25" s="18"/>
      <c r="BA25" s="18">
        <f ca="1">IFERROR(OFFSET(ITEM_RES!$A$1,MATCH(BB25,ITEM_RES!$J:$J,0)-1,0),0)</f>
        <v>213010001</v>
      </c>
      <c r="BB25" s="17" t="s">
        <v>509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368</v>
      </c>
      <c r="L26" s="9">
        <v>1</v>
      </c>
      <c r="M26" s="9">
        <v>15</v>
      </c>
      <c r="R26" s="9" t="s">
        <v>390</v>
      </c>
      <c r="S26" s="86">
        <v>1</v>
      </c>
      <c r="U26" s="86">
        <f t="shared" si="3"/>
        <v>102</v>
      </c>
      <c r="V26" s="86">
        <v>20</v>
      </c>
      <c r="W26" s="86">
        <v>1</v>
      </c>
      <c r="X26" s="86">
        <v>3</v>
      </c>
      <c r="Y26" s="86">
        <v>0</v>
      </c>
      <c r="Z26" s="9">
        <v>211020001</v>
      </c>
      <c r="AA26" s="9" t="s">
        <v>590</v>
      </c>
      <c r="AB26" s="9">
        <v>2</v>
      </c>
      <c r="AD26" s="9">
        <v>200</v>
      </c>
      <c r="AF26" s="89">
        <f t="shared" si="6"/>
        <v>210</v>
      </c>
      <c r="AG26" s="9">
        <f>AF25+AF26</f>
        <v>815</v>
      </c>
      <c r="AI26" s="11">
        <f t="shared" si="4"/>
        <v>10</v>
      </c>
      <c r="AJ26" s="10">
        <v>10</v>
      </c>
      <c r="AK26" s="11">
        <f t="shared" si="7"/>
        <v>10</v>
      </c>
      <c r="AL26" s="10">
        <v>10</v>
      </c>
      <c r="AM26" s="11">
        <f t="shared" si="7"/>
        <v>10</v>
      </c>
      <c r="AN26" s="10">
        <v>10</v>
      </c>
      <c r="AO26" s="56">
        <f t="shared" si="8"/>
        <v>2</v>
      </c>
      <c r="AQ26" s="11">
        <f ca="1">IFERROR(OFFSET(ITEM_RES!$A$1,MATCH(AR26,ITEM_RES!$J:$J,0)-1,0),0)</f>
        <v>211050001</v>
      </c>
      <c r="AR26" s="10" t="s">
        <v>475</v>
      </c>
      <c r="AS26" s="11">
        <v>50</v>
      </c>
      <c r="AV26" s="11">
        <f ca="1">IFERROR(OFFSET(ITEM_RES!$A$1,MATCH(AW26,ITEM_RES!$J:$J,0)-1,0),0)</f>
        <v>211040001</v>
      </c>
      <c r="AW26" s="10" t="s">
        <v>502</v>
      </c>
      <c r="AX26" s="11">
        <v>50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368</v>
      </c>
      <c r="L27" s="9">
        <v>1</v>
      </c>
      <c r="M27" s="9">
        <v>15</v>
      </c>
      <c r="R27" s="9" t="s">
        <v>390</v>
      </c>
      <c r="S27" s="86">
        <v>1</v>
      </c>
      <c r="U27" s="86">
        <f t="shared" si="3"/>
        <v>102</v>
      </c>
      <c r="V27" s="86">
        <v>30</v>
      </c>
      <c r="W27" s="86">
        <v>1</v>
      </c>
      <c r="X27" s="86">
        <v>3</v>
      </c>
      <c r="Y27" s="86">
        <v>0</v>
      </c>
      <c r="Z27" s="9">
        <v>211020001</v>
      </c>
      <c r="AA27" s="9" t="s">
        <v>590</v>
      </c>
      <c r="AB27" s="9">
        <v>3</v>
      </c>
      <c r="AD27" s="9">
        <v>600</v>
      </c>
      <c r="AF27" s="89">
        <f t="shared" si="6"/>
        <v>315</v>
      </c>
      <c r="AG27" s="9">
        <f t="shared" ref="AG27:AG44" si="10">AF26+AF27</f>
        <v>525</v>
      </c>
      <c r="AI27" s="11">
        <f t="shared" si="4"/>
        <v>15</v>
      </c>
      <c r="AJ27" s="10">
        <v>15</v>
      </c>
      <c r="AK27" s="11">
        <f t="shared" si="7"/>
        <v>15</v>
      </c>
      <c r="AL27" s="10">
        <v>15</v>
      </c>
      <c r="AM27" s="11">
        <f t="shared" si="7"/>
        <v>15</v>
      </c>
      <c r="AN27" s="10">
        <v>15</v>
      </c>
      <c r="AO27" s="56">
        <f t="shared" si="8"/>
        <v>2</v>
      </c>
      <c r="AQ27" s="11">
        <f ca="1">IFERROR(OFFSET(ITEM_RES!$A$1,MATCH(AR27,ITEM_RES!$J:$J,0)-1,0),0)</f>
        <v>211050001</v>
      </c>
      <c r="AR27" s="10" t="s">
        <v>475</v>
      </c>
      <c r="AS27" s="11">
        <v>75</v>
      </c>
      <c r="AV27" s="11">
        <f ca="1">IFERROR(OFFSET(ITEM_RES!$A$1,MATCH(AW27,ITEM_RES!$J:$J,0)-1,0),0)</f>
        <v>211040001</v>
      </c>
      <c r="AW27" s="10" t="s">
        <v>502</v>
      </c>
      <c r="AX27" s="11">
        <v>75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368</v>
      </c>
      <c r="L28" s="9">
        <v>1</v>
      </c>
      <c r="M28" s="9">
        <v>15</v>
      </c>
      <c r="R28" s="9" t="s">
        <v>390</v>
      </c>
      <c r="S28" s="86">
        <v>1</v>
      </c>
      <c r="U28" s="86">
        <f t="shared" si="3"/>
        <v>102</v>
      </c>
      <c r="V28" s="86">
        <v>40</v>
      </c>
      <c r="W28" s="86">
        <v>1</v>
      </c>
      <c r="X28" s="86">
        <v>3</v>
      </c>
      <c r="Y28" s="86">
        <v>0</v>
      </c>
      <c r="Z28" s="9">
        <v>211020001</v>
      </c>
      <c r="AA28" s="9" t="s">
        <v>590</v>
      </c>
      <c r="AB28" s="9">
        <v>4</v>
      </c>
      <c r="AD28" s="9">
        <v>1000</v>
      </c>
      <c r="AF28" s="89">
        <f t="shared" si="6"/>
        <v>525</v>
      </c>
      <c r="AG28" s="9">
        <f t="shared" si="10"/>
        <v>840</v>
      </c>
      <c r="AI28" s="11">
        <f t="shared" si="4"/>
        <v>20</v>
      </c>
      <c r="AJ28" s="10">
        <v>20</v>
      </c>
      <c r="AK28" s="11">
        <f t="shared" si="7"/>
        <v>25</v>
      </c>
      <c r="AL28" s="10">
        <v>25</v>
      </c>
      <c r="AM28" s="11">
        <f t="shared" si="7"/>
        <v>25</v>
      </c>
      <c r="AN28" s="10">
        <v>25</v>
      </c>
      <c r="AO28" s="56">
        <f t="shared" si="8"/>
        <v>2</v>
      </c>
      <c r="AQ28" s="11">
        <f ca="1">IFERROR(OFFSET(ITEM_RES!$A$1,MATCH(AR28,ITEM_RES!$J:$J,0)-1,0),0)</f>
        <v>211050001</v>
      </c>
      <c r="AR28" s="10" t="s">
        <v>475</v>
      </c>
      <c r="AS28" s="11">
        <v>125</v>
      </c>
      <c r="AV28" s="11">
        <f ca="1">IFERROR(OFFSET(ITEM_RES!$A$1,MATCH(AW28,ITEM_RES!$J:$J,0)-1,0),0)</f>
        <v>211040001</v>
      </c>
      <c r="AW28" s="10" t="s">
        <v>502</v>
      </c>
      <c r="AX28" s="11">
        <v>125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368</v>
      </c>
      <c r="L29" s="9">
        <v>1</v>
      </c>
      <c r="M29" s="9">
        <v>15</v>
      </c>
      <c r="R29" s="9" t="s">
        <v>390</v>
      </c>
      <c r="S29" s="86">
        <v>1</v>
      </c>
      <c r="U29" s="86">
        <f t="shared" si="3"/>
        <v>102</v>
      </c>
      <c r="V29" s="86">
        <v>50</v>
      </c>
      <c r="W29" s="86">
        <v>1</v>
      </c>
      <c r="X29" s="86">
        <v>3</v>
      </c>
      <c r="Y29" s="86">
        <v>0</v>
      </c>
      <c r="Z29" s="9">
        <v>211020001</v>
      </c>
      <c r="AA29" s="9" t="s">
        <v>590</v>
      </c>
      <c r="AB29" s="9">
        <v>5</v>
      </c>
      <c r="AD29" s="9">
        <v>1600</v>
      </c>
      <c r="AF29" s="89">
        <f t="shared" si="6"/>
        <v>840</v>
      </c>
      <c r="AG29" s="9">
        <f t="shared" si="10"/>
        <v>1365</v>
      </c>
      <c r="AI29" s="11">
        <f t="shared" si="4"/>
        <v>25</v>
      </c>
      <c r="AJ29" s="10">
        <v>25</v>
      </c>
      <c r="AK29" s="11">
        <f t="shared" si="7"/>
        <v>40</v>
      </c>
      <c r="AL29" s="10">
        <v>40</v>
      </c>
      <c r="AM29" s="11">
        <f t="shared" si="7"/>
        <v>40</v>
      </c>
      <c r="AN29" s="10">
        <v>40</v>
      </c>
      <c r="AO29" s="56">
        <f t="shared" si="8"/>
        <v>2</v>
      </c>
      <c r="AQ29" s="11">
        <f ca="1">IFERROR(OFFSET(ITEM_RES!$A$1,MATCH(AR29,ITEM_RES!$J:$J,0)-1,0),0)</f>
        <v>211050001</v>
      </c>
      <c r="AR29" s="10" t="s">
        <v>475</v>
      </c>
      <c r="AS29" s="11">
        <v>200</v>
      </c>
      <c r="AV29" s="11">
        <f ca="1">IFERROR(OFFSET(ITEM_RES!$A$1,MATCH(AW29,ITEM_RES!$J:$J,0)-1,0),0)</f>
        <v>211040001</v>
      </c>
      <c r="AW29" s="10" t="s">
        <v>502</v>
      </c>
      <c r="AX29" s="11">
        <v>200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368</v>
      </c>
      <c r="L30" s="9">
        <v>1</v>
      </c>
      <c r="M30" s="9">
        <v>15</v>
      </c>
      <c r="R30" s="9" t="s">
        <v>390</v>
      </c>
      <c r="S30" s="86">
        <v>1</v>
      </c>
      <c r="U30" s="86">
        <f t="shared" si="3"/>
        <v>102</v>
      </c>
      <c r="V30" s="86">
        <v>60</v>
      </c>
      <c r="W30" s="86">
        <v>1</v>
      </c>
      <c r="X30" s="86">
        <v>3</v>
      </c>
      <c r="Y30" s="86">
        <v>0</v>
      </c>
      <c r="Z30" s="9">
        <v>211020001</v>
      </c>
      <c r="AA30" s="9" t="s">
        <v>590</v>
      </c>
      <c r="AB30" s="9">
        <v>6</v>
      </c>
      <c r="AD30" s="9">
        <v>2000</v>
      </c>
      <c r="AF30" s="89">
        <f t="shared" si="6"/>
        <v>1050</v>
      </c>
      <c r="AG30" s="9">
        <f t="shared" si="10"/>
        <v>1890</v>
      </c>
      <c r="AI30" s="11">
        <f t="shared" si="4"/>
        <v>30</v>
      </c>
      <c r="AJ30" s="10">
        <v>30</v>
      </c>
      <c r="AK30" s="11">
        <f t="shared" si="7"/>
        <v>50</v>
      </c>
      <c r="AL30" s="10">
        <v>50</v>
      </c>
      <c r="AM30" s="11">
        <f t="shared" si="7"/>
        <v>50</v>
      </c>
      <c r="AN30" s="10">
        <v>50</v>
      </c>
      <c r="AO30" s="56">
        <f t="shared" si="8"/>
        <v>2</v>
      </c>
      <c r="AQ30" s="11">
        <f ca="1">IFERROR(OFFSET(ITEM_RES!$A$1,MATCH(AR30,ITEM_RES!$J:$J,0)-1,0),0)</f>
        <v>211050001</v>
      </c>
      <c r="AR30" s="10" t="s">
        <v>475</v>
      </c>
      <c r="AS30" s="11">
        <v>250</v>
      </c>
      <c r="AV30" s="11">
        <f ca="1">IFERROR(OFFSET(ITEM_RES!$A$1,MATCH(AW30,ITEM_RES!$J:$J,0)-1,0),0)</f>
        <v>211040001</v>
      </c>
      <c r="AW30" s="10" t="s">
        <v>502</v>
      </c>
      <c r="AX30" s="11">
        <v>250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368</v>
      </c>
      <c r="L31" s="9">
        <v>1</v>
      </c>
      <c r="M31" s="9">
        <v>15</v>
      </c>
      <c r="R31" s="9" t="s">
        <v>390</v>
      </c>
      <c r="S31" s="86">
        <v>1</v>
      </c>
      <c r="U31" s="86">
        <f t="shared" si="3"/>
        <v>102</v>
      </c>
      <c r="V31" s="86">
        <v>70</v>
      </c>
      <c r="W31" s="86">
        <v>1</v>
      </c>
      <c r="X31" s="86">
        <v>3</v>
      </c>
      <c r="Y31" s="86">
        <v>0</v>
      </c>
      <c r="Z31" s="9">
        <v>211020001</v>
      </c>
      <c r="AA31" s="9" t="s">
        <v>590</v>
      </c>
      <c r="AB31" s="9">
        <v>7</v>
      </c>
      <c r="AD31" s="9">
        <v>4000</v>
      </c>
      <c r="AF31" s="89">
        <f t="shared" si="6"/>
        <v>2100</v>
      </c>
      <c r="AG31" s="9">
        <f t="shared" si="10"/>
        <v>3150</v>
      </c>
      <c r="AI31" s="11">
        <f t="shared" si="4"/>
        <v>35</v>
      </c>
      <c r="AJ31" s="10">
        <v>35</v>
      </c>
      <c r="AK31" s="11">
        <f t="shared" si="7"/>
        <v>100</v>
      </c>
      <c r="AL31" s="10">
        <v>100</v>
      </c>
      <c r="AM31" s="11">
        <f t="shared" si="7"/>
        <v>100</v>
      </c>
      <c r="AN31" s="10">
        <v>100</v>
      </c>
      <c r="AO31" s="56">
        <f t="shared" si="8"/>
        <v>2</v>
      </c>
      <c r="AQ31" s="11">
        <f ca="1">IFERROR(OFFSET(ITEM_RES!$A$1,MATCH(AR31,ITEM_RES!$J:$J,0)-1,0),0)</f>
        <v>211050001</v>
      </c>
      <c r="AR31" s="10" t="s">
        <v>475</v>
      </c>
      <c r="AS31" s="11">
        <v>500</v>
      </c>
      <c r="AV31" s="11">
        <f ca="1">IFERROR(OFFSET(ITEM_RES!$A$1,MATCH(AW31,ITEM_RES!$J:$J,0)-1,0),0)</f>
        <v>211040001</v>
      </c>
      <c r="AW31" s="10" t="s">
        <v>502</v>
      </c>
      <c r="AX31" s="11">
        <v>500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368</v>
      </c>
      <c r="L32" s="9">
        <v>1</v>
      </c>
      <c r="M32" s="9">
        <v>15</v>
      </c>
      <c r="R32" s="9" t="s">
        <v>390</v>
      </c>
      <c r="S32" s="86">
        <v>1</v>
      </c>
      <c r="U32" s="86">
        <f t="shared" si="3"/>
        <v>102</v>
      </c>
      <c r="V32" s="86">
        <v>80</v>
      </c>
      <c r="W32" s="86">
        <v>1</v>
      </c>
      <c r="X32" s="86">
        <v>3</v>
      </c>
      <c r="Y32" s="86">
        <v>0</v>
      </c>
      <c r="Z32" s="9">
        <v>211020001</v>
      </c>
      <c r="AA32" s="9" t="s">
        <v>590</v>
      </c>
      <c r="AB32" s="9">
        <v>8</v>
      </c>
      <c r="AD32" s="9">
        <v>4000</v>
      </c>
      <c r="AF32" s="89">
        <f t="shared" si="6"/>
        <v>2100</v>
      </c>
      <c r="AG32" s="9">
        <f t="shared" si="10"/>
        <v>4200</v>
      </c>
      <c r="AI32" s="11">
        <f t="shared" si="4"/>
        <v>40</v>
      </c>
      <c r="AJ32" s="10">
        <v>40</v>
      </c>
      <c r="AK32" s="11">
        <f t="shared" si="7"/>
        <v>100</v>
      </c>
      <c r="AL32" s="10">
        <v>100</v>
      </c>
      <c r="AM32" s="11">
        <f t="shared" si="7"/>
        <v>100</v>
      </c>
      <c r="AN32" s="10">
        <v>100</v>
      </c>
      <c r="AO32" s="56">
        <f t="shared" si="8"/>
        <v>2</v>
      </c>
      <c r="AQ32" s="11">
        <f ca="1">IFERROR(OFFSET(ITEM_RES!$A$1,MATCH(AR32,ITEM_RES!$J:$J,0)-1,0),0)</f>
        <v>211050001</v>
      </c>
      <c r="AR32" s="10" t="s">
        <v>475</v>
      </c>
      <c r="AS32" s="11">
        <v>500</v>
      </c>
      <c r="AV32" s="11">
        <f ca="1">IFERROR(OFFSET(ITEM_RES!$A$1,MATCH(AW32,ITEM_RES!$J:$J,0)-1,0),0)</f>
        <v>211040001</v>
      </c>
      <c r="AW32" s="10" t="s">
        <v>502</v>
      </c>
      <c r="AX32" s="11">
        <v>500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368</v>
      </c>
      <c r="L33" s="9">
        <v>1</v>
      </c>
      <c r="M33" s="9">
        <v>15</v>
      </c>
      <c r="R33" s="9" t="s">
        <v>390</v>
      </c>
      <c r="S33" s="86">
        <v>1</v>
      </c>
      <c r="U33" s="86">
        <f t="shared" si="3"/>
        <v>102</v>
      </c>
      <c r="V33" s="86">
        <v>90</v>
      </c>
      <c r="W33" s="86">
        <v>1</v>
      </c>
      <c r="X33" s="86">
        <v>3</v>
      </c>
      <c r="Y33" s="86">
        <v>0</v>
      </c>
      <c r="Z33" s="9">
        <v>211020001</v>
      </c>
      <c r="AA33" s="9" t="s">
        <v>590</v>
      </c>
      <c r="AB33" s="9">
        <v>9</v>
      </c>
      <c r="AD33" s="9">
        <v>6000</v>
      </c>
      <c r="AF33" s="89">
        <f t="shared" si="6"/>
        <v>3150</v>
      </c>
      <c r="AG33" s="9">
        <f t="shared" si="10"/>
        <v>5250</v>
      </c>
      <c r="AI33" s="11">
        <f t="shared" si="4"/>
        <v>45</v>
      </c>
      <c r="AJ33" s="10">
        <v>45</v>
      </c>
      <c r="AK33" s="11">
        <f t="shared" si="7"/>
        <v>150</v>
      </c>
      <c r="AL33" s="10">
        <v>150</v>
      </c>
      <c r="AM33" s="11">
        <f t="shared" si="7"/>
        <v>150</v>
      </c>
      <c r="AN33" s="10">
        <v>150</v>
      </c>
      <c r="AO33" s="56">
        <f t="shared" si="8"/>
        <v>2</v>
      </c>
      <c r="AQ33" s="11">
        <f ca="1">IFERROR(OFFSET(ITEM_RES!$A$1,MATCH(AR33,ITEM_RES!$J:$J,0)-1,0),0)</f>
        <v>211050001</v>
      </c>
      <c r="AR33" s="10" t="s">
        <v>475</v>
      </c>
      <c r="AS33" s="11">
        <v>750</v>
      </c>
      <c r="AV33" s="11">
        <f ca="1">IFERROR(OFFSET(ITEM_RES!$A$1,MATCH(AW33,ITEM_RES!$J:$J,0)-1,0),0)</f>
        <v>211040001</v>
      </c>
      <c r="AW33" s="10" t="s">
        <v>502</v>
      </c>
      <c r="AX33" s="11">
        <v>750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368</v>
      </c>
      <c r="L34" s="9">
        <v>1</v>
      </c>
      <c r="M34" s="9">
        <v>15</v>
      </c>
      <c r="R34" s="9" t="s">
        <v>390</v>
      </c>
      <c r="S34" s="86">
        <v>1</v>
      </c>
      <c r="U34" s="86">
        <f t="shared" si="3"/>
        <v>102</v>
      </c>
      <c r="V34" s="86">
        <v>100</v>
      </c>
      <c r="W34" s="86">
        <v>1</v>
      </c>
      <c r="X34" s="86">
        <v>3</v>
      </c>
      <c r="Y34" s="86">
        <v>0</v>
      </c>
      <c r="Z34" s="9">
        <v>211020001</v>
      </c>
      <c r="AA34" s="9" t="s">
        <v>590</v>
      </c>
      <c r="AB34" s="9">
        <v>10</v>
      </c>
      <c r="AD34" s="9">
        <v>8000</v>
      </c>
      <c r="AF34" s="89">
        <f t="shared" si="6"/>
        <v>4200</v>
      </c>
      <c r="AG34" s="9">
        <f t="shared" si="10"/>
        <v>7350</v>
      </c>
      <c r="AI34" s="11">
        <f t="shared" si="4"/>
        <v>50</v>
      </c>
      <c r="AJ34" s="10">
        <v>50</v>
      </c>
      <c r="AK34" s="11">
        <f t="shared" si="7"/>
        <v>200</v>
      </c>
      <c r="AL34" s="10">
        <v>200</v>
      </c>
      <c r="AM34" s="11">
        <f t="shared" si="7"/>
        <v>200</v>
      </c>
      <c r="AN34" s="10">
        <v>200</v>
      </c>
      <c r="AO34" s="56">
        <f t="shared" si="8"/>
        <v>2</v>
      </c>
      <c r="AQ34" s="11">
        <f ca="1">IFERROR(OFFSET(ITEM_RES!$A$1,MATCH(AR34,ITEM_RES!$J:$J,0)-1,0),0)</f>
        <v>211050001</v>
      </c>
      <c r="AR34" s="10" t="s">
        <v>475</v>
      </c>
      <c r="AS34" s="11">
        <v>1000</v>
      </c>
      <c r="AV34" s="11">
        <f ca="1">IFERROR(OFFSET(ITEM_RES!$A$1,MATCH(AW34,ITEM_RES!$J:$J,0)-1,0),0)</f>
        <v>211040001</v>
      </c>
      <c r="AW34" s="10" t="s">
        <v>502</v>
      </c>
      <c r="AX34" s="11">
        <v>1000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396</v>
      </c>
      <c r="L35" s="9">
        <v>1</v>
      </c>
      <c r="M35" s="9">
        <v>15</v>
      </c>
      <c r="R35" s="9" t="s">
        <v>390</v>
      </c>
      <c r="S35" s="86">
        <v>1</v>
      </c>
      <c r="U35" s="86">
        <f t="shared" si="3"/>
        <v>102</v>
      </c>
      <c r="V35" s="86">
        <v>110</v>
      </c>
      <c r="W35" s="86">
        <v>1</v>
      </c>
      <c r="X35" s="86">
        <v>3</v>
      </c>
      <c r="Y35" s="86">
        <v>0</v>
      </c>
      <c r="Z35" s="9">
        <v>211020001</v>
      </c>
      <c r="AA35" s="9" t="s">
        <v>590</v>
      </c>
      <c r="AB35" s="9">
        <v>11</v>
      </c>
      <c r="AD35" s="9">
        <v>10000</v>
      </c>
      <c r="AF35" s="89">
        <f t="shared" si="6"/>
        <v>5250</v>
      </c>
      <c r="AG35" s="9">
        <f t="shared" si="10"/>
        <v>9450</v>
      </c>
      <c r="AI35" s="11">
        <f t="shared" si="4"/>
        <v>55</v>
      </c>
      <c r="AJ35" s="10">
        <v>55</v>
      </c>
      <c r="AK35" s="11">
        <f t="shared" si="7"/>
        <v>250</v>
      </c>
      <c r="AL35" s="10">
        <v>250</v>
      </c>
      <c r="AM35" s="11">
        <f t="shared" si="7"/>
        <v>250</v>
      </c>
      <c r="AN35" s="10">
        <v>250</v>
      </c>
      <c r="AO35" s="56">
        <f t="shared" si="8"/>
        <v>2</v>
      </c>
      <c r="AQ35" s="11">
        <f ca="1">IFERROR(OFFSET(ITEM_RES!$A$1,MATCH(AR35,ITEM_RES!$J:$J,0)-1,0),0)</f>
        <v>211050001</v>
      </c>
      <c r="AR35" s="10" t="s">
        <v>475</v>
      </c>
      <c r="AS35" s="11">
        <v>1250</v>
      </c>
      <c r="AV35" s="11">
        <f ca="1">IFERROR(OFFSET(ITEM_RES!$A$1,MATCH(AW35,ITEM_RES!$J:$J,0)-1,0),0)</f>
        <v>211040001</v>
      </c>
      <c r="AW35" s="10" t="s">
        <v>502</v>
      </c>
      <c r="AX35" s="11">
        <v>1250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368</v>
      </c>
      <c r="L36" s="9">
        <v>1</v>
      </c>
      <c r="M36" s="9">
        <v>15</v>
      </c>
      <c r="R36" s="9" t="s">
        <v>390</v>
      </c>
      <c r="S36" s="86">
        <v>1</v>
      </c>
      <c r="U36" s="86">
        <f t="shared" si="3"/>
        <v>102</v>
      </c>
      <c r="V36" s="86">
        <v>120</v>
      </c>
      <c r="W36" s="86">
        <v>1</v>
      </c>
      <c r="X36" s="86">
        <v>3</v>
      </c>
      <c r="Y36" s="86">
        <v>0</v>
      </c>
      <c r="Z36" s="9">
        <v>211020001</v>
      </c>
      <c r="AA36" s="9" t="s">
        <v>590</v>
      </c>
      <c r="AB36" s="9">
        <v>12</v>
      </c>
      <c r="AD36" s="9">
        <v>12000</v>
      </c>
      <c r="AF36" s="89">
        <f t="shared" si="6"/>
        <v>6300</v>
      </c>
      <c r="AG36" s="9">
        <f t="shared" si="10"/>
        <v>11550</v>
      </c>
      <c r="AI36" s="11">
        <f t="shared" si="4"/>
        <v>60</v>
      </c>
      <c r="AJ36" s="10">
        <v>60</v>
      </c>
      <c r="AK36" s="11">
        <f t="shared" si="7"/>
        <v>300</v>
      </c>
      <c r="AL36" s="10">
        <v>300</v>
      </c>
      <c r="AM36" s="11">
        <f t="shared" si="7"/>
        <v>300</v>
      </c>
      <c r="AN36" s="10">
        <v>300</v>
      </c>
      <c r="AO36" s="56">
        <f t="shared" si="8"/>
        <v>2</v>
      </c>
      <c r="AQ36" s="11">
        <f ca="1">IFERROR(OFFSET(ITEM_RES!$A$1,MATCH(AR36,ITEM_RES!$J:$J,0)-1,0),0)</f>
        <v>211050001</v>
      </c>
      <c r="AR36" s="10" t="s">
        <v>475</v>
      </c>
      <c r="AS36" s="11">
        <v>1500</v>
      </c>
      <c r="AV36" s="11">
        <f ca="1">IFERROR(OFFSET(ITEM_RES!$A$1,MATCH(AW36,ITEM_RES!$J:$J,0)-1,0),0)</f>
        <v>211040001</v>
      </c>
      <c r="AW36" s="10" t="s">
        <v>502</v>
      </c>
      <c r="AX36" s="11">
        <v>1500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368</v>
      </c>
      <c r="L37" s="9">
        <v>1</v>
      </c>
      <c r="M37" s="9">
        <v>15</v>
      </c>
      <c r="R37" s="9" t="s">
        <v>390</v>
      </c>
      <c r="S37" s="86">
        <v>1</v>
      </c>
      <c r="U37" s="86">
        <f t="shared" si="3"/>
        <v>102</v>
      </c>
      <c r="V37" s="86">
        <v>130</v>
      </c>
      <c r="W37" s="86">
        <v>1</v>
      </c>
      <c r="X37" s="86">
        <v>3</v>
      </c>
      <c r="Y37" s="86">
        <v>0</v>
      </c>
      <c r="Z37" s="9">
        <v>211020001</v>
      </c>
      <c r="AA37" s="9" t="s">
        <v>590</v>
      </c>
      <c r="AB37" s="9">
        <v>13</v>
      </c>
      <c r="AD37" s="9">
        <v>14000</v>
      </c>
      <c r="AF37" s="89">
        <f t="shared" si="6"/>
        <v>7350</v>
      </c>
      <c r="AG37" s="9">
        <f t="shared" si="10"/>
        <v>13650</v>
      </c>
      <c r="AI37" s="11">
        <f t="shared" si="4"/>
        <v>65</v>
      </c>
      <c r="AJ37" s="10">
        <v>65</v>
      </c>
      <c r="AK37" s="11">
        <f t="shared" si="7"/>
        <v>350</v>
      </c>
      <c r="AL37" s="10">
        <v>350</v>
      </c>
      <c r="AM37" s="11">
        <f t="shared" si="7"/>
        <v>350</v>
      </c>
      <c r="AN37" s="10">
        <v>350</v>
      </c>
      <c r="AO37" s="56">
        <f t="shared" si="8"/>
        <v>2</v>
      </c>
      <c r="AQ37" s="11">
        <f ca="1">IFERROR(OFFSET(ITEM_RES!$A$1,MATCH(AR37,ITEM_RES!$J:$J,0)-1,0),0)</f>
        <v>211050001</v>
      </c>
      <c r="AR37" s="10" t="s">
        <v>475</v>
      </c>
      <c r="AS37" s="11">
        <v>1750</v>
      </c>
      <c r="AV37" s="11">
        <f ca="1">IFERROR(OFFSET(ITEM_RES!$A$1,MATCH(AW37,ITEM_RES!$J:$J,0)-1,0),0)</f>
        <v>211040001</v>
      </c>
      <c r="AW37" s="10" t="s">
        <v>502</v>
      </c>
      <c r="AX37" s="11">
        <v>1750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368</v>
      </c>
      <c r="L38" s="9">
        <v>1</v>
      </c>
      <c r="M38" s="9">
        <v>15</v>
      </c>
      <c r="R38" s="9" t="s">
        <v>390</v>
      </c>
      <c r="S38" s="86">
        <v>1</v>
      </c>
      <c r="U38" s="86">
        <f t="shared" si="3"/>
        <v>102</v>
      </c>
      <c r="V38" s="86">
        <v>140</v>
      </c>
      <c r="W38" s="86">
        <v>1</v>
      </c>
      <c r="X38" s="86">
        <v>3</v>
      </c>
      <c r="Y38" s="86">
        <v>0</v>
      </c>
      <c r="Z38" s="9">
        <v>211020001</v>
      </c>
      <c r="AA38" s="9" t="s">
        <v>590</v>
      </c>
      <c r="AB38" s="9">
        <v>14</v>
      </c>
      <c r="AD38" s="9">
        <v>18000</v>
      </c>
      <c r="AF38" s="89">
        <f t="shared" si="6"/>
        <v>9450</v>
      </c>
      <c r="AG38" s="9">
        <f t="shared" si="10"/>
        <v>16800</v>
      </c>
      <c r="AI38" s="11">
        <f t="shared" si="4"/>
        <v>70</v>
      </c>
      <c r="AJ38" s="10">
        <v>70</v>
      </c>
      <c r="AK38" s="11">
        <f t="shared" si="7"/>
        <v>450</v>
      </c>
      <c r="AL38" s="10">
        <v>450</v>
      </c>
      <c r="AM38" s="11">
        <f t="shared" si="7"/>
        <v>450</v>
      </c>
      <c r="AN38" s="10">
        <v>450</v>
      </c>
      <c r="AO38" s="56">
        <f t="shared" si="8"/>
        <v>2</v>
      </c>
      <c r="AQ38" s="11">
        <f ca="1">IFERROR(OFFSET(ITEM_RES!$A$1,MATCH(AR38,ITEM_RES!$J:$J,0)-1,0),0)</f>
        <v>211050001</v>
      </c>
      <c r="AR38" s="10" t="s">
        <v>475</v>
      </c>
      <c r="AS38" s="11">
        <v>2250</v>
      </c>
      <c r="AV38" s="11">
        <f ca="1">IFERROR(OFFSET(ITEM_RES!$A$1,MATCH(AW38,ITEM_RES!$J:$J,0)-1,0),0)</f>
        <v>211040001</v>
      </c>
      <c r="AW38" s="10" t="s">
        <v>502</v>
      </c>
      <c r="AX38" s="11">
        <v>2250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368</v>
      </c>
      <c r="L39" s="9">
        <v>1</v>
      </c>
      <c r="M39" s="9">
        <v>15</v>
      </c>
      <c r="R39" s="9" t="s">
        <v>390</v>
      </c>
      <c r="S39" s="86">
        <v>1</v>
      </c>
      <c r="U39" s="86">
        <f t="shared" si="3"/>
        <v>102</v>
      </c>
      <c r="V39" s="86">
        <v>150</v>
      </c>
      <c r="W39" s="86">
        <v>1</v>
      </c>
      <c r="X39" s="86">
        <v>3</v>
      </c>
      <c r="Y39" s="86">
        <v>0</v>
      </c>
      <c r="Z39" s="9">
        <v>211020001</v>
      </c>
      <c r="AA39" s="9" t="s">
        <v>590</v>
      </c>
      <c r="AB39" s="9">
        <v>15</v>
      </c>
      <c r="AD39" s="9">
        <v>22000</v>
      </c>
      <c r="AF39" s="89">
        <f t="shared" si="6"/>
        <v>11550</v>
      </c>
      <c r="AG39" s="9">
        <f t="shared" si="10"/>
        <v>21000</v>
      </c>
      <c r="AI39" s="11">
        <f t="shared" si="4"/>
        <v>75</v>
      </c>
      <c r="AJ39" s="10">
        <v>75</v>
      </c>
      <c r="AK39" s="11">
        <f t="shared" si="7"/>
        <v>550</v>
      </c>
      <c r="AL39" s="10">
        <v>550</v>
      </c>
      <c r="AM39" s="11">
        <f t="shared" si="7"/>
        <v>550</v>
      </c>
      <c r="AN39" s="10">
        <v>550</v>
      </c>
      <c r="AO39" s="56">
        <f t="shared" si="8"/>
        <v>2</v>
      </c>
      <c r="AQ39" s="11">
        <f ca="1">IFERROR(OFFSET(ITEM_RES!$A$1,MATCH(AR39,ITEM_RES!$J:$J,0)-1,0),0)</f>
        <v>215070001</v>
      </c>
      <c r="AR39" s="10" t="s">
        <v>492</v>
      </c>
      <c r="AS39" s="11">
        <v>2750</v>
      </c>
      <c r="AV39" s="11">
        <f ca="1">IFERROR(OFFSET(ITEM_RES!$A$1,MATCH(AW39,ITEM_RES!$J:$J,0)-1,0),0)</f>
        <v>211040001</v>
      </c>
      <c r="AW39" s="10" t="s">
        <v>502</v>
      </c>
      <c r="AX39" s="11">
        <v>2750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368</v>
      </c>
      <c r="L40" s="9">
        <v>0</v>
      </c>
      <c r="M40" s="9">
        <v>15</v>
      </c>
      <c r="R40" s="9" t="s">
        <v>390</v>
      </c>
      <c r="S40" s="86">
        <v>1</v>
      </c>
      <c r="U40" s="86">
        <f t="shared" si="3"/>
        <v>102</v>
      </c>
      <c r="V40" s="86">
        <v>160</v>
      </c>
      <c r="W40" s="86">
        <v>1</v>
      </c>
      <c r="X40" s="86">
        <v>3</v>
      </c>
      <c r="Y40" s="86">
        <v>0</v>
      </c>
      <c r="Z40" s="9">
        <v>211020001</v>
      </c>
      <c r="AA40" s="9" t="s">
        <v>590</v>
      </c>
      <c r="AB40" s="9">
        <v>16</v>
      </c>
      <c r="AD40" s="9">
        <v>28000</v>
      </c>
      <c r="AF40" s="89">
        <f t="shared" si="6"/>
        <v>14700</v>
      </c>
      <c r="AG40" s="9">
        <f t="shared" si="10"/>
        <v>26250</v>
      </c>
      <c r="AI40" s="11">
        <f t="shared" si="4"/>
        <v>80</v>
      </c>
      <c r="AJ40" s="10">
        <v>80</v>
      </c>
      <c r="AK40" s="11">
        <f t="shared" si="7"/>
        <v>700</v>
      </c>
      <c r="AL40" s="10">
        <v>700</v>
      </c>
      <c r="AM40" s="11">
        <f t="shared" si="7"/>
        <v>700</v>
      </c>
      <c r="AN40" s="10">
        <v>700</v>
      </c>
      <c r="AO40" s="56">
        <f t="shared" si="8"/>
        <v>2</v>
      </c>
      <c r="AQ40" s="11">
        <f ca="1">IFERROR(OFFSET(ITEM_RES!$A$1,MATCH(AR40,ITEM_RES!$J:$J,0)-1,0),0)</f>
        <v>215070001</v>
      </c>
      <c r="AR40" s="10" t="s">
        <v>492</v>
      </c>
      <c r="AS40" s="11">
        <v>3500</v>
      </c>
      <c r="AV40" s="11">
        <f ca="1">IFERROR(OFFSET(ITEM_RES!$A$1,MATCH(AW40,ITEM_RES!$J:$J,0)-1,0),0)</f>
        <v>211040001</v>
      </c>
      <c r="AW40" s="10" t="s">
        <v>502</v>
      </c>
      <c r="AX40" s="11">
        <v>3500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368</v>
      </c>
      <c r="L41" s="9">
        <v>0</v>
      </c>
      <c r="M41" s="9">
        <v>15</v>
      </c>
      <c r="R41" s="9" t="s">
        <v>390</v>
      </c>
      <c r="S41" s="86">
        <v>1</v>
      </c>
      <c r="U41" s="86">
        <f t="shared" si="3"/>
        <v>102</v>
      </c>
      <c r="V41" s="86">
        <v>170</v>
      </c>
      <c r="W41" s="86">
        <v>1</v>
      </c>
      <c r="X41" s="86">
        <v>3</v>
      </c>
      <c r="Y41" s="86">
        <v>0</v>
      </c>
      <c r="Z41" s="9">
        <v>211020001</v>
      </c>
      <c r="AA41" s="9" t="s">
        <v>590</v>
      </c>
      <c r="AB41" s="9">
        <v>17</v>
      </c>
      <c r="AD41" s="9">
        <v>34000</v>
      </c>
      <c r="AF41" s="89">
        <f t="shared" si="6"/>
        <v>17850</v>
      </c>
      <c r="AG41" s="9">
        <f t="shared" si="10"/>
        <v>32550</v>
      </c>
      <c r="AI41" s="11">
        <f t="shared" si="4"/>
        <v>85</v>
      </c>
      <c r="AJ41" s="10">
        <v>85</v>
      </c>
      <c r="AK41" s="11">
        <f t="shared" si="7"/>
        <v>850</v>
      </c>
      <c r="AL41" s="10">
        <v>850</v>
      </c>
      <c r="AM41" s="11">
        <f t="shared" si="7"/>
        <v>850</v>
      </c>
      <c r="AN41" s="10">
        <v>850</v>
      </c>
      <c r="AO41" s="56">
        <f t="shared" si="8"/>
        <v>2</v>
      </c>
      <c r="AQ41" s="11">
        <f ca="1">IFERROR(OFFSET(ITEM_RES!$A$1,MATCH(AR41,ITEM_RES!$J:$J,0)-1,0),0)</f>
        <v>215070001</v>
      </c>
      <c r="AR41" s="10" t="s">
        <v>492</v>
      </c>
      <c r="AS41" s="11">
        <v>4250</v>
      </c>
      <c r="AV41" s="11">
        <f ca="1">IFERROR(OFFSET(ITEM_RES!$A$1,MATCH(AW41,ITEM_RES!$J:$J,0)-1,0),0)</f>
        <v>211040001</v>
      </c>
      <c r="AW41" s="10" t="s">
        <v>502</v>
      </c>
      <c r="AX41" s="11">
        <v>4250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368</v>
      </c>
      <c r="L42" s="9">
        <v>0</v>
      </c>
      <c r="M42" s="9">
        <v>15</v>
      </c>
      <c r="R42" s="9" t="s">
        <v>390</v>
      </c>
      <c r="S42" s="86">
        <v>1</v>
      </c>
      <c r="U42" s="86">
        <f t="shared" si="3"/>
        <v>102</v>
      </c>
      <c r="V42" s="86">
        <v>180</v>
      </c>
      <c r="W42" s="86">
        <v>1</v>
      </c>
      <c r="X42" s="86">
        <v>3</v>
      </c>
      <c r="Y42" s="86">
        <v>0</v>
      </c>
      <c r="Z42" s="9">
        <v>211020001</v>
      </c>
      <c r="AA42" s="9" t="s">
        <v>590</v>
      </c>
      <c r="AB42" s="9">
        <v>18</v>
      </c>
      <c r="AD42" s="9">
        <v>42000</v>
      </c>
      <c r="AF42" s="89">
        <f t="shared" si="6"/>
        <v>22050</v>
      </c>
      <c r="AG42" s="9">
        <f t="shared" si="10"/>
        <v>39900</v>
      </c>
      <c r="AI42" s="11">
        <f t="shared" si="4"/>
        <v>90</v>
      </c>
      <c r="AJ42" s="10">
        <v>90</v>
      </c>
      <c r="AK42" s="11">
        <f t="shared" si="7"/>
        <v>1050</v>
      </c>
      <c r="AL42" s="10">
        <v>1050</v>
      </c>
      <c r="AM42" s="11">
        <f t="shared" si="7"/>
        <v>1050</v>
      </c>
      <c r="AN42" s="10">
        <v>1050</v>
      </c>
      <c r="AO42" s="56">
        <f t="shared" si="8"/>
        <v>2</v>
      </c>
      <c r="AQ42" s="11">
        <f ca="1">IFERROR(OFFSET(ITEM_RES!$A$1,MATCH(AR42,ITEM_RES!$J:$J,0)-1,0),0)</f>
        <v>215070001</v>
      </c>
      <c r="AR42" s="10" t="s">
        <v>492</v>
      </c>
      <c r="AS42" s="11">
        <v>5250</v>
      </c>
      <c r="AV42" s="11">
        <f ca="1">IFERROR(OFFSET(ITEM_RES!$A$1,MATCH(AW42,ITEM_RES!$J:$J,0)-1,0),0)</f>
        <v>211040001</v>
      </c>
      <c r="AW42" s="10" t="s">
        <v>502</v>
      </c>
      <c r="AX42" s="11">
        <v>5250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368</v>
      </c>
      <c r="L43" s="9">
        <v>0</v>
      </c>
      <c r="M43" s="9">
        <v>15</v>
      </c>
      <c r="R43" s="9" t="s">
        <v>390</v>
      </c>
      <c r="S43" s="86">
        <v>1</v>
      </c>
      <c r="U43" s="86">
        <f t="shared" si="3"/>
        <v>102</v>
      </c>
      <c r="V43" s="86">
        <v>190</v>
      </c>
      <c r="W43" s="86">
        <v>1</v>
      </c>
      <c r="X43" s="86">
        <v>3</v>
      </c>
      <c r="Y43" s="86">
        <v>0</v>
      </c>
      <c r="Z43" s="9">
        <v>211020001</v>
      </c>
      <c r="AA43" s="9" t="s">
        <v>590</v>
      </c>
      <c r="AB43" s="9">
        <v>19</v>
      </c>
      <c r="AD43" s="9">
        <v>50000</v>
      </c>
      <c r="AF43" s="89">
        <f t="shared" si="6"/>
        <v>26250</v>
      </c>
      <c r="AG43" s="9">
        <f t="shared" si="10"/>
        <v>48300</v>
      </c>
      <c r="AI43" s="11">
        <f t="shared" si="4"/>
        <v>95</v>
      </c>
      <c r="AJ43" s="10">
        <v>95</v>
      </c>
      <c r="AK43" s="11">
        <f t="shared" si="7"/>
        <v>1250</v>
      </c>
      <c r="AL43" s="10">
        <v>1250</v>
      </c>
      <c r="AM43" s="11">
        <f t="shared" si="7"/>
        <v>1250</v>
      </c>
      <c r="AN43" s="10">
        <v>1250</v>
      </c>
      <c r="AO43" s="56">
        <f t="shared" si="8"/>
        <v>2</v>
      </c>
      <c r="AQ43" s="11">
        <f ca="1">IFERROR(OFFSET(ITEM_RES!$A$1,MATCH(AR43,ITEM_RES!$J:$J,0)-1,0),0)</f>
        <v>215070001</v>
      </c>
      <c r="AR43" s="10" t="s">
        <v>492</v>
      </c>
      <c r="AS43" s="11">
        <v>6250</v>
      </c>
      <c r="AV43" s="11">
        <f ca="1">IFERROR(OFFSET(ITEM_RES!$A$1,MATCH(AW43,ITEM_RES!$J:$J,0)-1,0),0)</f>
        <v>211040001</v>
      </c>
      <c r="AW43" s="10" t="s">
        <v>502</v>
      </c>
      <c r="AX43" s="11">
        <v>6250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368</v>
      </c>
      <c r="L44" s="9">
        <v>0</v>
      </c>
      <c r="M44" s="9">
        <v>15</v>
      </c>
      <c r="R44" s="9" t="s">
        <v>390</v>
      </c>
      <c r="S44" s="86">
        <v>1</v>
      </c>
      <c r="U44" s="86">
        <f t="shared" si="3"/>
        <v>102</v>
      </c>
      <c r="V44" s="86">
        <v>200</v>
      </c>
      <c r="W44" s="86">
        <v>1</v>
      </c>
      <c r="X44" s="86">
        <v>3</v>
      </c>
      <c r="Y44" s="86">
        <v>0</v>
      </c>
      <c r="Z44" s="9">
        <v>211020001</v>
      </c>
      <c r="AA44" s="9" t="s">
        <v>590</v>
      </c>
      <c r="AB44" s="9">
        <v>20</v>
      </c>
      <c r="AD44" s="9">
        <v>60000</v>
      </c>
      <c r="AF44" s="89">
        <f t="shared" si="6"/>
        <v>31500</v>
      </c>
      <c r="AG44" s="9">
        <f t="shared" si="10"/>
        <v>57750</v>
      </c>
      <c r="AI44" s="11">
        <f t="shared" si="4"/>
        <v>100</v>
      </c>
      <c r="AJ44" s="10">
        <v>100</v>
      </c>
      <c r="AK44" s="11">
        <f t="shared" si="7"/>
        <v>1500</v>
      </c>
      <c r="AL44" s="10">
        <v>1500</v>
      </c>
      <c r="AM44" s="11">
        <f t="shared" si="7"/>
        <v>1500</v>
      </c>
      <c r="AN44" s="10">
        <v>1500</v>
      </c>
      <c r="AO44" s="56">
        <f t="shared" si="8"/>
        <v>2</v>
      </c>
      <c r="AQ44" s="11">
        <f ca="1">IFERROR(OFFSET(ITEM_RES!$A$1,MATCH(AR44,ITEM_RES!$J:$J,0)-1,0),0)</f>
        <v>215070001</v>
      </c>
      <c r="AR44" s="10" t="s">
        <v>492</v>
      </c>
      <c r="AS44" s="11">
        <v>7500</v>
      </c>
      <c r="AV44" s="11">
        <f ca="1">IFERROR(OFFSET(ITEM_RES!$A$1,MATCH(AW44,ITEM_RES!$J:$J,0)-1,0),0)</f>
        <v>211040001</v>
      </c>
      <c r="AW44" s="10" t="s">
        <v>502</v>
      </c>
      <c r="AX44" s="11">
        <v>7500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369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8">
        <v>3</v>
      </c>
      <c r="T45" s="80"/>
      <c r="U45" s="88">
        <f t="shared" si="3"/>
        <v>103</v>
      </c>
      <c r="V45" s="88">
        <v>10</v>
      </c>
      <c r="W45" s="88">
        <v>1</v>
      </c>
      <c r="X45" s="88">
        <v>1</v>
      </c>
      <c r="Y45" s="88">
        <v>0</v>
      </c>
      <c r="Z45" s="16">
        <v>211030001</v>
      </c>
      <c r="AA45" s="16" t="s">
        <v>591</v>
      </c>
      <c r="AB45" s="16">
        <v>1</v>
      </c>
      <c r="AC45" s="80"/>
      <c r="AD45" s="16">
        <v>400</v>
      </c>
      <c r="AE45" s="80"/>
      <c r="AF45" s="91">
        <f t="shared" si="6"/>
        <v>605</v>
      </c>
      <c r="AG45" s="16">
        <f>AF45</f>
        <v>605</v>
      </c>
      <c r="AH45" s="80"/>
      <c r="AI45" s="18">
        <f t="shared" si="4"/>
        <v>5</v>
      </c>
      <c r="AJ45" s="17">
        <v>5</v>
      </c>
      <c r="AK45" s="18">
        <f t="shared" si="7"/>
        <v>5</v>
      </c>
      <c r="AL45" s="17">
        <v>5</v>
      </c>
      <c r="AM45" s="18">
        <f t="shared" si="7"/>
        <v>5</v>
      </c>
      <c r="AN45" s="17">
        <v>5</v>
      </c>
      <c r="AO45" s="57">
        <f t="shared" si="8"/>
        <v>3</v>
      </c>
      <c r="AP45" s="18"/>
      <c r="AQ45" s="18">
        <f ca="1">IFERROR(OFFSET(ITEM_RES!$A$1,MATCH(AR45,ITEM_RES!$J:$J,0)-1,0),0)</f>
        <v>211050001</v>
      </c>
      <c r="AR45" s="17" t="s">
        <v>476</v>
      </c>
      <c r="AS45" s="18">
        <v>25</v>
      </c>
      <c r="AT45" s="17"/>
      <c r="AU45" s="18"/>
      <c r="AV45" s="18">
        <f ca="1">IFERROR(OFFSET(ITEM_RES!$A$1,MATCH(AW45,ITEM_RES!$J:$J,0)-1,0),0)</f>
        <v>211040001</v>
      </c>
      <c r="AW45" s="17" t="s">
        <v>502</v>
      </c>
      <c r="AX45" s="18">
        <v>25</v>
      </c>
      <c r="AY45" s="17"/>
      <c r="AZ45" s="18"/>
      <c r="BA45" s="18">
        <f ca="1">IFERROR(OFFSET(ITEM_RES!$A$1,MATCH(BB45,ITEM_RES!$J:$J,0)-1,0),0)</f>
        <v>213010001</v>
      </c>
      <c r="BB45" s="17" t="s">
        <v>509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369</v>
      </c>
      <c r="L46" s="9">
        <v>1</v>
      </c>
      <c r="M46" s="9">
        <v>15</v>
      </c>
      <c r="R46" s="9">
        <v>11</v>
      </c>
      <c r="S46" s="86">
        <v>3</v>
      </c>
      <c r="U46" s="86">
        <f t="shared" si="3"/>
        <v>103</v>
      </c>
      <c r="V46" s="86">
        <v>20</v>
      </c>
      <c r="W46" s="86">
        <v>1</v>
      </c>
      <c r="X46" s="86">
        <v>1</v>
      </c>
      <c r="Y46" s="86">
        <v>0</v>
      </c>
      <c r="Z46" s="9">
        <v>211030001</v>
      </c>
      <c r="AA46" s="9" t="s">
        <v>591</v>
      </c>
      <c r="AB46" s="9">
        <v>2</v>
      </c>
      <c r="AD46" s="9">
        <v>800</v>
      </c>
      <c r="AF46" s="89">
        <f t="shared" si="6"/>
        <v>210</v>
      </c>
      <c r="AG46" s="9">
        <f>AF45+AF46</f>
        <v>815</v>
      </c>
      <c r="AI46" s="11">
        <f t="shared" si="4"/>
        <v>10</v>
      </c>
      <c r="AJ46" s="10">
        <v>10</v>
      </c>
      <c r="AK46" s="11">
        <f t="shared" si="7"/>
        <v>10</v>
      </c>
      <c r="AL46" s="10">
        <v>10</v>
      </c>
      <c r="AM46" s="11">
        <f t="shared" si="7"/>
        <v>10</v>
      </c>
      <c r="AN46" s="10">
        <v>10</v>
      </c>
      <c r="AO46" s="56">
        <f t="shared" si="8"/>
        <v>2</v>
      </c>
      <c r="AQ46" s="11">
        <f ca="1">IFERROR(OFFSET(ITEM_RES!$A$1,MATCH(AR46,ITEM_RES!$J:$J,0)-1,0),0)</f>
        <v>211050001</v>
      </c>
      <c r="AR46" s="10" t="s">
        <v>476</v>
      </c>
      <c r="AS46" s="11">
        <v>50</v>
      </c>
      <c r="AV46" s="11">
        <f ca="1">IFERROR(OFFSET(ITEM_RES!$A$1,MATCH(AW46,ITEM_RES!$J:$J,0)-1,0),0)</f>
        <v>211040001</v>
      </c>
      <c r="AW46" s="10" t="s">
        <v>502</v>
      </c>
      <c r="AX46" s="11">
        <v>50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369</v>
      </c>
      <c r="L47" s="9">
        <v>1</v>
      </c>
      <c r="M47" s="9">
        <v>15</v>
      </c>
      <c r="R47" s="9">
        <v>11</v>
      </c>
      <c r="S47" s="86">
        <v>3</v>
      </c>
      <c r="U47" s="86">
        <f t="shared" si="3"/>
        <v>103</v>
      </c>
      <c r="V47" s="86">
        <v>30</v>
      </c>
      <c r="W47" s="86">
        <v>1</v>
      </c>
      <c r="X47" s="86">
        <v>1</v>
      </c>
      <c r="Y47" s="86">
        <v>0</v>
      </c>
      <c r="Z47" s="9">
        <v>211030001</v>
      </c>
      <c r="AA47" s="9" t="s">
        <v>591</v>
      </c>
      <c r="AB47" s="9">
        <v>3</v>
      </c>
      <c r="AD47" s="9">
        <v>1200</v>
      </c>
      <c r="AF47" s="89">
        <f t="shared" si="6"/>
        <v>315</v>
      </c>
      <c r="AG47" s="9">
        <f t="shared" ref="AG47:AG64" si="11">AF46+AF47</f>
        <v>525</v>
      </c>
      <c r="AI47" s="11">
        <f t="shared" si="4"/>
        <v>15</v>
      </c>
      <c r="AJ47" s="10">
        <v>15</v>
      </c>
      <c r="AK47" s="11">
        <f t="shared" si="7"/>
        <v>15</v>
      </c>
      <c r="AL47" s="10">
        <v>15</v>
      </c>
      <c r="AM47" s="11">
        <f t="shared" si="7"/>
        <v>15</v>
      </c>
      <c r="AN47" s="10">
        <v>15</v>
      </c>
      <c r="AO47" s="56">
        <f t="shared" si="8"/>
        <v>2</v>
      </c>
      <c r="AQ47" s="11">
        <f ca="1">IFERROR(OFFSET(ITEM_RES!$A$1,MATCH(AR47,ITEM_RES!$J:$J,0)-1,0),0)</f>
        <v>211050001</v>
      </c>
      <c r="AR47" s="10" t="s">
        <v>476</v>
      </c>
      <c r="AS47" s="11">
        <v>75</v>
      </c>
      <c r="AV47" s="11">
        <f ca="1">IFERROR(OFFSET(ITEM_RES!$A$1,MATCH(AW47,ITEM_RES!$J:$J,0)-1,0),0)</f>
        <v>211040001</v>
      </c>
      <c r="AW47" s="10" t="s">
        <v>502</v>
      </c>
      <c r="AX47" s="11">
        <v>75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369</v>
      </c>
      <c r="L48" s="9">
        <v>1</v>
      </c>
      <c r="M48" s="9">
        <v>15</v>
      </c>
      <c r="R48" s="9">
        <v>11</v>
      </c>
      <c r="S48" s="86">
        <v>3</v>
      </c>
      <c r="U48" s="86">
        <f t="shared" si="3"/>
        <v>103</v>
      </c>
      <c r="V48" s="86">
        <v>40</v>
      </c>
      <c r="W48" s="86">
        <v>1</v>
      </c>
      <c r="X48" s="86">
        <v>1</v>
      </c>
      <c r="Y48" s="86">
        <v>0</v>
      </c>
      <c r="Z48" s="9">
        <v>211030001</v>
      </c>
      <c r="AA48" s="9" t="s">
        <v>591</v>
      </c>
      <c r="AB48" s="9">
        <v>4</v>
      </c>
      <c r="AD48" s="9">
        <v>2000</v>
      </c>
      <c r="AF48" s="89">
        <f t="shared" si="6"/>
        <v>525</v>
      </c>
      <c r="AG48" s="9">
        <f t="shared" si="11"/>
        <v>840</v>
      </c>
      <c r="AI48" s="11">
        <f t="shared" si="4"/>
        <v>20</v>
      </c>
      <c r="AJ48" s="10">
        <v>20</v>
      </c>
      <c r="AK48" s="11">
        <f t="shared" si="7"/>
        <v>25</v>
      </c>
      <c r="AL48" s="10">
        <v>25</v>
      </c>
      <c r="AM48" s="11">
        <f t="shared" si="7"/>
        <v>25</v>
      </c>
      <c r="AN48" s="10">
        <v>25</v>
      </c>
      <c r="AO48" s="56">
        <f t="shared" si="8"/>
        <v>2</v>
      </c>
      <c r="AQ48" s="11">
        <f ca="1">IFERROR(OFFSET(ITEM_RES!$A$1,MATCH(AR48,ITEM_RES!$J:$J,0)-1,0),0)</f>
        <v>211050001</v>
      </c>
      <c r="AR48" s="10" t="s">
        <v>476</v>
      </c>
      <c r="AS48" s="11">
        <v>125</v>
      </c>
      <c r="AV48" s="11">
        <f ca="1">IFERROR(OFFSET(ITEM_RES!$A$1,MATCH(AW48,ITEM_RES!$J:$J,0)-1,0),0)</f>
        <v>211040001</v>
      </c>
      <c r="AW48" s="10" t="s">
        <v>502</v>
      </c>
      <c r="AX48" s="11">
        <v>125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369</v>
      </c>
      <c r="L49" s="9">
        <v>1</v>
      </c>
      <c r="M49" s="9">
        <v>15</v>
      </c>
      <c r="R49" s="9">
        <v>11</v>
      </c>
      <c r="S49" s="86">
        <v>3</v>
      </c>
      <c r="U49" s="86">
        <f t="shared" si="3"/>
        <v>103</v>
      </c>
      <c r="V49" s="86">
        <v>50</v>
      </c>
      <c r="W49" s="86">
        <v>1</v>
      </c>
      <c r="X49" s="86">
        <v>1</v>
      </c>
      <c r="Y49" s="86">
        <v>0</v>
      </c>
      <c r="Z49" s="9">
        <v>211030001</v>
      </c>
      <c r="AA49" s="9" t="s">
        <v>591</v>
      </c>
      <c r="AB49" s="9">
        <v>5</v>
      </c>
      <c r="AD49" s="9">
        <v>3200</v>
      </c>
      <c r="AF49" s="89">
        <f t="shared" si="6"/>
        <v>840</v>
      </c>
      <c r="AG49" s="9">
        <f t="shared" si="11"/>
        <v>1365</v>
      </c>
      <c r="AI49" s="11">
        <f t="shared" si="4"/>
        <v>25</v>
      </c>
      <c r="AJ49" s="10">
        <v>25</v>
      </c>
      <c r="AK49" s="11">
        <f t="shared" si="7"/>
        <v>40</v>
      </c>
      <c r="AL49" s="10">
        <v>40</v>
      </c>
      <c r="AM49" s="11">
        <f t="shared" si="7"/>
        <v>40</v>
      </c>
      <c r="AN49" s="10">
        <v>40</v>
      </c>
      <c r="AO49" s="56">
        <f t="shared" si="8"/>
        <v>2</v>
      </c>
      <c r="AQ49" s="11">
        <f ca="1">IFERROR(OFFSET(ITEM_RES!$A$1,MATCH(AR49,ITEM_RES!$J:$J,0)-1,0),0)</f>
        <v>211050001</v>
      </c>
      <c r="AR49" s="10" t="s">
        <v>476</v>
      </c>
      <c r="AS49" s="11">
        <v>200</v>
      </c>
      <c r="AV49" s="11">
        <f ca="1">IFERROR(OFFSET(ITEM_RES!$A$1,MATCH(AW49,ITEM_RES!$J:$J,0)-1,0),0)</f>
        <v>211040001</v>
      </c>
      <c r="AW49" s="10" t="s">
        <v>502</v>
      </c>
      <c r="AX49" s="11">
        <v>200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369</v>
      </c>
      <c r="L50" s="9">
        <v>1</v>
      </c>
      <c r="M50" s="9">
        <v>15</v>
      </c>
      <c r="R50" s="9">
        <v>11</v>
      </c>
      <c r="S50" s="86">
        <v>3</v>
      </c>
      <c r="U50" s="86">
        <f t="shared" si="3"/>
        <v>103</v>
      </c>
      <c r="V50" s="86">
        <v>60</v>
      </c>
      <c r="W50" s="86">
        <v>1</v>
      </c>
      <c r="X50" s="86">
        <v>1</v>
      </c>
      <c r="Y50" s="86">
        <v>0</v>
      </c>
      <c r="Z50" s="9">
        <v>211030001</v>
      </c>
      <c r="AA50" s="9" t="s">
        <v>591</v>
      </c>
      <c r="AB50" s="9">
        <v>6</v>
      </c>
      <c r="AD50" s="9">
        <v>4000</v>
      </c>
      <c r="AF50" s="89">
        <f t="shared" si="6"/>
        <v>1050</v>
      </c>
      <c r="AG50" s="9">
        <f t="shared" si="11"/>
        <v>1890</v>
      </c>
      <c r="AI50" s="11">
        <f t="shared" si="4"/>
        <v>30</v>
      </c>
      <c r="AJ50" s="10">
        <v>30</v>
      </c>
      <c r="AK50" s="11">
        <f t="shared" si="7"/>
        <v>50</v>
      </c>
      <c r="AL50" s="10">
        <v>50</v>
      </c>
      <c r="AM50" s="11">
        <f t="shared" si="7"/>
        <v>50</v>
      </c>
      <c r="AN50" s="10">
        <v>50</v>
      </c>
      <c r="AO50" s="56">
        <f t="shared" si="8"/>
        <v>2</v>
      </c>
      <c r="AQ50" s="11">
        <f ca="1">IFERROR(OFFSET(ITEM_RES!$A$1,MATCH(AR50,ITEM_RES!$J:$J,0)-1,0),0)</f>
        <v>211050001</v>
      </c>
      <c r="AR50" s="10" t="s">
        <v>476</v>
      </c>
      <c r="AS50" s="11">
        <v>250</v>
      </c>
      <c r="AV50" s="11">
        <f ca="1">IFERROR(OFFSET(ITEM_RES!$A$1,MATCH(AW50,ITEM_RES!$J:$J,0)-1,0),0)</f>
        <v>211040001</v>
      </c>
      <c r="AW50" s="10" t="s">
        <v>502</v>
      </c>
      <c r="AX50" s="11">
        <v>250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369</v>
      </c>
      <c r="L51" s="9">
        <v>1</v>
      </c>
      <c r="M51" s="9">
        <v>15</v>
      </c>
      <c r="R51" s="9">
        <v>11</v>
      </c>
      <c r="S51" s="86">
        <v>3</v>
      </c>
      <c r="U51" s="86">
        <f t="shared" si="3"/>
        <v>103</v>
      </c>
      <c r="V51" s="86">
        <v>70</v>
      </c>
      <c r="W51" s="86">
        <v>1</v>
      </c>
      <c r="X51" s="86">
        <v>1</v>
      </c>
      <c r="Y51" s="86">
        <v>0</v>
      </c>
      <c r="Z51" s="9">
        <v>211030001</v>
      </c>
      <c r="AA51" s="9" t="s">
        <v>591</v>
      </c>
      <c r="AB51" s="9">
        <v>7</v>
      </c>
      <c r="AD51" s="9">
        <v>8000</v>
      </c>
      <c r="AF51" s="89">
        <f t="shared" si="6"/>
        <v>2100</v>
      </c>
      <c r="AG51" s="9">
        <f t="shared" si="11"/>
        <v>3150</v>
      </c>
      <c r="AI51" s="11">
        <f t="shared" si="4"/>
        <v>35</v>
      </c>
      <c r="AJ51" s="10">
        <v>35</v>
      </c>
      <c r="AK51" s="11">
        <f t="shared" si="7"/>
        <v>100</v>
      </c>
      <c r="AL51" s="10">
        <v>100</v>
      </c>
      <c r="AM51" s="11">
        <f t="shared" si="7"/>
        <v>100</v>
      </c>
      <c r="AN51" s="10">
        <v>100</v>
      </c>
      <c r="AO51" s="56">
        <f t="shared" si="8"/>
        <v>2</v>
      </c>
      <c r="AQ51" s="11">
        <f ca="1">IFERROR(OFFSET(ITEM_RES!$A$1,MATCH(AR51,ITEM_RES!$J:$J,0)-1,0),0)</f>
        <v>211050001</v>
      </c>
      <c r="AR51" s="10" t="s">
        <v>476</v>
      </c>
      <c r="AS51" s="11">
        <v>500</v>
      </c>
      <c r="AV51" s="11">
        <f ca="1">IFERROR(OFFSET(ITEM_RES!$A$1,MATCH(AW51,ITEM_RES!$J:$J,0)-1,0),0)</f>
        <v>211040001</v>
      </c>
      <c r="AW51" s="10" t="s">
        <v>502</v>
      </c>
      <c r="AX51" s="11">
        <v>500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369</v>
      </c>
      <c r="L52" s="9">
        <v>1</v>
      </c>
      <c r="M52" s="9">
        <v>15</v>
      </c>
      <c r="R52" s="9">
        <v>11</v>
      </c>
      <c r="S52" s="86">
        <v>3</v>
      </c>
      <c r="U52" s="86">
        <f t="shared" si="3"/>
        <v>103</v>
      </c>
      <c r="V52" s="86">
        <v>80</v>
      </c>
      <c r="W52" s="86">
        <v>1</v>
      </c>
      <c r="X52" s="86">
        <v>1</v>
      </c>
      <c r="Y52" s="86">
        <v>0</v>
      </c>
      <c r="Z52" s="9">
        <v>211030001</v>
      </c>
      <c r="AA52" s="9" t="s">
        <v>591</v>
      </c>
      <c r="AB52" s="9">
        <v>8</v>
      </c>
      <c r="AD52" s="9">
        <v>8000</v>
      </c>
      <c r="AF52" s="89">
        <f t="shared" si="6"/>
        <v>2100</v>
      </c>
      <c r="AG52" s="9">
        <f t="shared" si="11"/>
        <v>4200</v>
      </c>
      <c r="AI52" s="11">
        <f t="shared" si="4"/>
        <v>40</v>
      </c>
      <c r="AJ52" s="10">
        <v>40</v>
      </c>
      <c r="AK52" s="11">
        <f t="shared" si="7"/>
        <v>100</v>
      </c>
      <c r="AL52" s="10">
        <v>100</v>
      </c>
      <c r="AM52" s="11">
        <f t="shared" si="7"/>
        <v>100</v>
      </c>
      <c r="AN52" s="10">
        <v>100</v>
      </c>
      <c r="AO52" s="56">
        <f t="shared" si="8"/>
        <v>2</v>
      </c>
      <c r="AQ52" s="11">
        <f ca="1">IFERROR(OFFSET(ITEM_RES!$A$1,MATCH(AR52,ITEM_RES!$J:$J,0)-1,0),0)</f>
        <v>211050001</v>
      </c>
      <c r="AR52" s="10" t="s">
        <v>476</v>
      </c>
      <c r="AS52" s="11">
        <v>500</v>
      </c>
      <c r="AV52" s="11">
        <f ca="1">IFERROR(OFFSET(ITEM_RES!$A$1,MATCH(AW52,ITEM_RES!$J:$J,0)-1,0),0)</f>
        <v>211040001</v>
      </c>
      <c r="AW52" s="10" t="s">
        <v>502</v>
      </c>
      <c r="AX52" s="11">
        <v>500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397</v>
      </c>
      <c r="L53" s="9">
        <v>1</v>
      </c>
      <c r="M53" s="9">
        <v>15</v>
      </c>
      <c r="R53" s="9">
        <v>11</v>
      </c>
      <c r="S53" s="86">
        <v>3</v>
      </c>
      <c r="U53" s="86">
        <f t="shared" si="3"/>
        <v>103</v>
      </c>
      <c r="V53" s="86">
        <v>90</v>
      </c>
      <c r="W53" s="86">
        <v>1</v>
      </c>
      <c r="X53" s="86">
        <v>1</v>
      </c>
      <c r="Y53" s="86">
        <v>0</v>
      </c>
      <c r="Z53" s="9">
        <v>211030001</v>
      </c>
      <c r="AA53" s="9" t="s">
        <v>591</v>
      </c>
      <c r="AB53" s="9">
        <v>9</v>
      </c>
      <c r="AD53" s="9">
        <v>12000</v>
      </c>
      <c r="AF53" s="89">
        <f t="shared" si="6"/>
        <v>3150</v>
      </c>
      <c r="AG53" s="9">
        <f t="shared" si="11"/>
        <v>5250</v>
      </c>
      <c r="AI53" s="11">
        <f t="shared" si="4"/>
        <v>45</v>
      </c>
      <c r="AJ53" s="10">
        <v>45</v>
      </c>
      <c r="AK53" s="11">
        <f t="shared" si="7"/>
        <v>150</v>
      </c>
      <c r="AL53" s="10">
        <v>150</v>
      </c>
      <c r="AM53" s="11">
        <f t="shared" si="7"/>
        <v>150</v>
      </c>
      <c r="AN53" s="10">
        <v>150</v>
      </c>
      <c r="AO53" s="56">
        <f t="shared" si="8"/>
        <v>2</v>
      </c>
      <c r="AQ53" s="11">
        <f ca="1">IFERROR(OFFSET(ITEM_RES!$A$1,MATCH(AR53,ITEM_RES!$J:$J,0)-1,0),0)</f>
        <v>211050001</v>
      </c>
      <c r="AR53" s="10" t="s">
        <v>476</v>
      </c>
      <c r="AS53" s="11">
        <v>750</v>
      </c>
      <c r="AV53" s="11">
        <f ca="1">IFERROR(OFFSET(ITEM_RES!$A$1,MATCH(AW53,ITEM_RES!$J:$J,0)-1,0),0)</f>
        <v>211040001</v>
      </c>
      <c r="AW53" s="10" t="s">
        <v>502</v>
      </c>
      <c r="AX53" s="11">
        <v>750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369</v>
      </c>
      <c r="L54" s="9">
        <v>1</v>
      </c>
      <c r="M54" s="9">
        <v>15</v>
      </c>
      <c r="R54" s="9">
        <v>11</v>
      </c>
      <c r="S54" s="86">
        <v>3</v>
      </c>
      <c r="U54" s="86">
        <f t="shared" si="3"/>
        <v>103</v>
      </c>
      <c r="V54" s="86">
        <v>100</v>
      </c>
      <c r="W54" s="86">
        <v>1</v>
      </c>
      <c r="X54" s="86">
        <v>1</v>
      </c>
      <c r="Y54" s="86">
        <v>0</v>
      </c>
      <c r="Z54" s="9">
        <v>211030001</v>
      </c>
      <c r="AA54" s="9" t="s">
        <v>591</v>
      </c>
      <c r="AB54" s="9">
        <v>10</v>
      </c>
      <c r="AD54" s="9">
        <v>16000</v>
      </c>
      <c r="AF54" s="89">
        <f t="shared" si="6"/>
        <v>4200</v>
      </c>
      <c r="AG54" s="9">
        <f t="shared" si="11"/>
        <v>7350</v>
      </c>
      <c r="AI54" s="11">
        <f t="shared" si="4"/>
        <v>50</v>
      </c>
      <c r="AJ54" s="10">
        <v>50</v>
      </c>
      <c r="AK54" s="11">
        <f t="shared" si="7"/>
        <v>200</v>
      </c>
      <c r="AL54" s="10">
        <v>200</v>
      </c>
      <c r="AM54" s="11">
        <f t="shared" si="7"/>
        <v>200</v>
      </c>
      <c r="AN54" s="10">
        <v>200</v>
      </c>
      <c r="AO54" s="56">
        <f t="shared" si="8"/>
        <v>2</v>
      </c>
      <c r="AQ54" s="11">
        <f ca="1">IFERROR(OFFSET(ITEM_RES!$A$1,MATCH(AR54,ITEM_RES!$J:$J,0)-1,0),0)</f>
        <v>211050001</v>
      </c>
      <c r="AR54" s="10" t="s">
        <v>476</v>
      </c>
      <c r="AS54" s="11">
        <v>1000</v>
      </c>
      <c r="AV54" s="11">
        <f ca="1">IFERROR(OFFSET(ITEM_RES!$A$1,MATCH(AW54,ITEM_RES!$J:$J,0)-1,0),0)</f>
        <v>211040001</v>
      </c>
      <c r="AW54" s="10" t="s">
        <v>502</v>
      </c>
      <c r="AX54" s="11">
        <v>1000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369</v>
      </c>
      <c r="L55" s="9">
        <v>1</v>
      </c>
      <c r="M55" s="9">
        <v>15</v>
      </c>
      <c r="R55" s="9">
        <v>11</v>
      </c>
      <c r="S55" s="86">
        <v>3</v>
      </c>
      <c r="U55" s="86">
        <f t="shared" si="3"/>
        <v>103</v>
      </c>
      <c r="V55" s="86">
        <v>110</v>
      </c>
      <c r="W55" s="86">
        <v>1</v>
      </c>
      <c r="X55" s="86">
        <v>1</v>
      </c>
      <c r="Y55" s="86">
        <v>0</v>
      </c>
      <c r="Z55" s="9">
        <v>211030001</v>
      </c>
      <c r="AA55" s="9" t="s">
        <v>591</v>
      </c>
      <c r="AB55" s="9">
        <v>11</v>
      </c>
      <c r="AD55" s="9">
        <v>20000</v>
      </c>
      <c r="AF55" s="89">
        <f t="shared" si="6"/>
        <v>5250</v>
      </c>
      <c r="AG55" s="9">
        <f t="shared" si="11"/>
        <v>9450</v>
      </c>
      <c r="AI55" s="11">
        <f t="shared" si="4"/>
        <v>55</v>
      </c>
      <c r="AJ55" s="10">
        <v>55</v>
      </c>
      <c r="AK55" s="11">
        <f t="shared" si="7"/>
        <v>250</v>
      </c>
      <c r="AL55" s="10">
        <v>250</v>
      </c>
      <c r="AM55" s="11">
        <f t="shared" si="7"/>
        <v>250</v>
      </c>
      <c r="AN55" s="10">
        <v>250</v>
      </c>
      <c r="AO55" s="56">
        <f t="shared" si="8"/>
        <v>2</v>
      </c>
      <c r="AQ55" s="11">
        <f ca="1">IFERROR(OFFSET(ITEM_RES!$A$1,MATCH(AR55,ITEM_RES!$J:$J,0)-1,0),0)</f>
        <v>211050001</v>
      </c>
      <c r="AR55" s="10" t="s">
        <v>476</v>
      </c>
      <c r="AS55" s="11">
        <v>1250</v>
      </c>
      <c r="AV55" s="11">
        <f ca="1">IFERROR(OFFSET(ITEM_RES!$A$1,MATCH(AW55,ITEM_RES!$J:$J,0)-1,0),0)</f>
        <v>211040001</v>
      </c>
      <c r="AW55" s="10" t="s">
        <v>502</v>
      </c>
      <c r="AX55" s="11">
        <v>1250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369</v>
      </c>
      <c r="L56" s="9">
        <v>1</v>
      </c>
      <c r="M56" s="9">
        <v>15</v>
      </c>
      <c r="R56" s="9">
        <v>11</v>
      </c>
      <c r="S56" s="86">
        <v>3</v>
      </c>
      <c r="U56" s="86">
        <f t="shared" si="3"/>
        <v>103</v>
      </c>
      <c r="V56" s="86">
        <v>120</v>
      </c>
      <c r="W56" s="86">
        <v>1</v>
      </c>
      <c r="X56" s="86">
        <v>1</v>
      </c>
      <c r="Y56" s="86">
        <v>0</v>
      </c>
      <c r="Z56" s="9">
        <v>211030001</v>
      </c>
      <c r="AA56" s="9" t="s">
        <v>591</v>
      </c>
      <c r="AB56" s="9">
        <v>12</v>
      </c>
      <c r="AD56" s="9">
        <v>24000</v>
      </c>
      <c r="AF56" s="89">
        <f t="shared" si="6"/>
        <v>6300</v>
      </c>
      <c r="AG56" s="9">
        <f t="shared" si="11"/>
        <v>11550</v>
      </c>
      <c r="AI56" s="11">
        <f t="shared" si="4"/>
        <v>60</v>
      </c>
      <c r="AJ56" s="10">
        <v>60</v>
      </c>
      <c r="AK56" s="11">
        <f t="shared" si="7"/>
        <v>300</v>
      </c>
      <c r="AL56" s="10">
        <v>300</v>
      </c>
      <c r="AM56" s="11">
        <f t="shared" si="7"/>
        <v>300</v>
      </c>
      <c r="AN56" s="10">
        <v>300</v>
      </c>
      <c r="AO56" s="56">
        <f t="shared" si="8"/>
        <v>2</v>
      </c>
      <c r="AQ56" s="11">
        <f ca="1">IFERROR(OFFSET(ITEM_RES!$A$1,MATCH(AR56,ITEM_RES!$J:$J,0)-1,0),0)</f>
        <v>211050001</v>
      </c>
      <c r="AR56" s="10" t="s">
        <v>476</v>
      </c>
      <c r="AS56" s="11">
        <v>1500</v>
      </c>
      <c r="AV56" s="11">
        <f ca="1">IFERROR(OFFSET(ITEM_RES!$A$1,MATCH(AW56,ITEM_RES!$J:$J,0)-1,0),0)</f>
        <v>211040001</v>
      </c>
      <c r="AW56" s="10" t="s">
        <v>502</v>
      </c>
      <c r="AX56" s="11">
        <v>1500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369</v>
      </c>
      <c r="L57" s="9">
        <v>1</v>
      </c>
      <c r="M57" s="9">
        <v>15</v>
      </c>
      <c r="R57" s="9">
        <v>11</v>
      </c>
      <c r="S57" s="86">
        <v>3</v>
      </c>
      <c r="U57" s="86">
        <f t="shared" si="3"/>
        <v>103</v>
      </c>
      <c r="V57" s="86">
        <v>130</v>
      </c>
      <c r="W57" s="86">
        <v>1</v>
      </c>
      <c r="X57" s="86">
        <v>1</v>
      </c>
      <c r="Y57" s="86">
        <v>0</v>
      </c>
      <c r="Z57" s="9">
        <v>211030001</v>
      </c>
      <c r="AA57" s="9" t="s">
        <v>591</v>
      </c>
      <c r="AB57" s="9">
        <v>13</v>
      </c>
      <c r="AD57" s="9">
        <v>28000</v>
      </c>
      <c r="AF57" s="89">
        <f t="shared" si="6"/>
        <v>7350</v>
      </c>
      <c r="AG57" s="9">
        <f t="shared" si="11"/>
        <v>13650</v>
      </c>
      <c r="AI57" s="11">
        <f t="shared" si="4"/>
        <v>65</v>
      </c>
      <c r="AJ57" s="10">
        <v>65</v>
      </c>
      <c r="AK57" s="11">
        <f t="shared" si="7"/>
        <v>350</v>
      </c>
      <c r="AL57" s="10">
        <v>350</v>
      </c>
      <c r="AM57" s="11">
        <f t="shared" si="7"/>
        <v>350</v>
      </c>
      <c r="AN57" s="10">
        <v>350</v>
      </c>
      <c r="AO57" s="56">
        <f t="shared" si="8"/>
        <v>2</v>
      </c>
      <c r="AQ57" s="11">
        <f ca="1">IFERROR(OFFSET(ITEM_RES!$A$1,MATCH(AR57,ITEM_RES!$J:$J,0)-1,0),0)</f>
        <v>211050001</v>
      </c>
      <c r="AR57" s="10" t="s">
        <v>476</v>
      </c>
      <c r="AS57" s="11">
        <v>1750</v>
      </c>
      <c r="AV57" s="11">
        <f ca="1">IFERROR(OFFSET(ITEM_RES!$A$1,MATCH(AW57,ITEM_RES!$J:$J,0)-1,0),0)</f>
        <v>211040001</v>
      </c>
      <c r="AW57" s="10" t="s">
        <v>502</v>
      </c>
      <c r="AX57" s="11">
        <v>1750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369</v>
      </c>
      <c r="L58" s="9">
        <v>1</v>
      </c>
      <c r="M58" s="9">
        <v>15</v>
      </c>
      <c r="R58" s="9">
        <v>11</v>
      </c>
      <c r="S58" s="86">
        <v>3</v>
      </c>
      <c r="U58" s="86">
        <f t="shared" si="3"/>
        <v>103</v>
      </c>
      <c r="V58" s="86">
        <v>140</v>
      </c>
      <c r="W58" s="86">
        <v>1</v>
      </c>
      <c r="X58" s="86">
        <v>1</v>
      </c>
      <c r="Y58" s="86">
        <v>0</v>
      </c>
      <c r="Z58" s="9">
        <v>211030001</v>
      </c>
      <c r="AA58" s="9" t="s">
        <v>591</v>
      </c>
      <c r="AB58" s="9">
        <v>14</v>
      </c>
      <c r="AD58" s="9">
        <v>36000</v>
      </c>
      <c r="AF58" s="89">
        <f t="shared" si="6"/>
        <v>9450</v>
      </c>
      <c r="AG58" s="9">
        <f t="shared" si="11"/>
        <v>16800</v>
      </c>
      <c r="AI58" s="11">
        <f t="shared" si="4"/>
        <v>70</v>
      </c>
      <c r="AJ58" s="10">
        <v>70</v>
      </c>
      <c r="AK58" s="11">
        <f t="shared" si="7"/>
        <v>450</v>
      </c>
      <c r="AL58" s="10">
        <v>450</v>
      </c>
      <c r="AM58" s="11">
        <f t="shared" si="7"/>
        <v>450</v>
      </c>
      <c r="AN58" s="10">
        <v>450</v>
      </c>
      <c r="AO58" s="56">
        <f t="shared" si="8"/>
        <v>2</v>
      </c>
      <c r="AQ58" s="11">
        <f ca="1">IFERROR(OFFSET(ITEM_RES!$A$1,MATCH(AR58,ITEM_RES!$J:$J,0)-1,0),0)</f>
        <v>215070001</v>
      </c>
      <c r="AR58" s="10" t="s">
        <v>492</v>
      </c>
      <c r="AS58" s="11">
        <v>2250</v>
      </c>
      <c r="AV58" s="11">
        <f ca="1">IFERROR(OFFSET(ITEM_RES!$A$1,MATCH(AW58,ITEM_RES!$J:$J,0)-1,0),0)</f>
        <v>211040001</v>
      </c>
      <c r="AW58" s="10" t="s">
        <v>502</v>
      </c>
      <c r="AX58" s="11">
        <v>2250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369</v>
      </c>
      <c r="L59" s="9">
        <v>1</v>
      </c>
      <c r="M59" s="9">
        <v>15</v>
      </c>
      <c r="R59" s="9">
        <v>11</v>
      </c>
      <c r="S59" s="86">
        <v>3</v>
      </c>
      <c r="U59" s="86">
        <f t="shared" si="3"/>
        <v>103</v>
      </c>
      <c r="V59" s="86">
        <v>150</v>
      </c>
      <c r="W59" s="86">
        <v>1</v>
      </c>
      <c r="X59" s="86">
        <v>1</v>
      </c>
      <c r="Y59" s="86">
        <v>0</v>
      </c>
      <c r="Z59" s="9">
        <v>211030001</v>
      </c>
      <c r="AA59" s="9" t="s">
        <v>591</v>
      </c>
      <c r="AB59" s="9">
        <v>15</v>
      </c>
      <c r="AD59" s="9">
        <v>44000</v>
      </c>
      <c r="AF59" s="89">
        <f t="shared" si="6"/>
        <v>11550</v>
      </c>
      <c r="AG59" s="9">
        <f t="shared" si="11"/>
        <v>21000</v>
      </c>
      <c r="AI59" s="11">
        <f t="shared" si="4"/>
        <v>75</v>
      </c>
      <c r="AJ59" s="10">
        <v>75</v>
      </c>
      <c r="AK59" s="11">
        <f t="shared" si="7"/>
        <v>550</v>
      </c>
      <c r="AL59" s="10">
        <v>550</v>
      </c>
      <c r="AM59" s="11">
        <f t="shared" si="7"/>
        <v>550</v>
      </c>
      <c r="AN59" s="10">
        <v>550</v>
      </c>
      <c r="AO59" s="56">
        <f t="shared" si="8"/>
        <v>2</v>
      </c>
      <c r="AQ59" s="11">
        <f ca="1">IFERROR(OFFSET(ITEM_RES!$A$1,MATCH(AR59,ITEM_RES!$J:$J,0)-1,0),0)</f>
        <v>215070001</v>
      </c>
      <c r="AR59" s="10" t="s">
        <v>492</v>
      </c>
      <c r="AS59" s="11">
        <v>2750</v>
      </c>
      <c r="AV59" s="11">
        <f ca="1">IFERROR(OFFSET(ITEM_RES!$A$1,MATCH(AW59,ITEM_RES!$J:$J,0)-1,0),0)</f>
        <v>211040001</v>
      </c>
      <c r="AW59" s="10" t="s">
        <v>502</v>
      </c>
      <c r="AX59" s="11">
        <v>2750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369</v>
      </c>
      <c r="L60" s="9">
        <v>0</v>
      </c>
      <c r="M60" s="9">
        <v>15</v>
      </c>
      <c r="R60" s="9">
        <v>11</v>
      </c>
      <c r="S60" s="86">
        <v>3</v>
      </c>
      <c r="U60" s="86">
        <f t="shared" si="3"/>
        <v>103</v>
      </c>
      <c r="V60" s="86">
        <v>160</v>
      </c>
      <c r="W60" s="86">
        <v>1</v>
      </c>
      <c r="X60" s="86">
        <v>1</v>
      </c>
      <c r="Y60" s="86">
        <v>0</v>
      </c>
      <c r="Z60" s="9">
        <v>211030001</v>
      </c>
      <c r="AA60" s="9" t="s">
        <v>591</v>
      </c>
      <c r="AB60" s="9">
        <v>16</v>
      </c>
      <c r="AD60" s="9">
        <v>56000</v>
      </c>
      <c r="AF60" s="89">
        <f t="shared" si="6"/>
        <v>14700</v>
      </c>
      <c r="AG60" s="9">
        <f t="shared" si="11"/>
        <v>26250</v>
      </c>
      <c r="AI60" s="11">
        <f t="shared" si="4"/>
        <v>80</v>
      </c>
      <c r="AJ60" s="10">
        <v>80</v>
      </c>
      <c r="AK60" s="11">
        <f t="shared" si="7"/>
        <v>700</v>
      </c>
      <c r="AL60" s="10">
        <v>700</v>
      </c>
      <c r="AM60" s="11">
        <f t="shared" si="7"/>
        <v>700</v>
      </c>
      <c r="AN60" s="10">
        <v>700</v>
      </c>
      <c r="AO60" s="56">
        <f t="shared" si="8"/>
        <v>2</v>
      </c>
      <c r="AQ60" s="11">
        <f ca="1">IFERROR(OFFSET(ITEM_RES!$A$1,MATCH(AR60,ITEM_RES!$J:$J,0)-1,0),0)</f>
        <v>215070001</v>
      </c>
      <c r="AR60" s="10" t="s">
        <v>492</v>
      </c>
      <c r="AS60" s="11">
        <v>3500</v>
      </c>
      <c r="AV60" s="11">
        <f ca="1">IFERROR(OFFSET(ITEM_RES!$A$1,MATCH(AW60,ITEM_RES!$J:$J,0)-1,0),0)</f>
        <v>211040001</v>
      </c>
      <c r="AW60" s="10" t="s">
        <v>502</v>
      </c>
      <c r="AX60" s="11">
        <v>3500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369</v>
      </c>
      <c r="L61" s="9">
        <v>0</v>
      </c>
      <c r="M61" s="9">
        <v>15</v>
      </c>
      <c r="R61" s="9">
        <v>11</v>
      </c>
      <c r="S61" s="86">
        <v>3</v>
      </c>
      <c r="U61" s="86">
        <f t="shared" si="3"/>
        <v>103</v>
      </c>
      <c r="V61" s="86">
        <v>170</v>
      </c>
      <c r="W61" s="86">
        <v>1</v>
      </c>
      <c r="X61" s="86">
        <v>1</v>
      </c>
      <c r="Y61" s="86">
        <v>0</v>
      </c>
      <c r="Z61" s="9">
        <v>211030001</v>
      </c>
      <c r="AA61" s="9" t="s">
        <v>591</v>
      </c>
      <c r="AB61" s="9">
        <v>17</v>
      </c>
      <c r="AD61" s="9">
        <v>68000</v>
      </c>
      <c r="AF61" s="89">
        <f t="shared" si="6"/>
        <v>17850</v>
      </c>
      <c r="AG61" s="9">
        <f t="shared" si="11"/>
        <v>32550</v>
      </c>
      <c r="AI61" s="11">
        <f t="shared" si="4"/>
        <v>85</v>
      </c>
      <c r="AJ61" s="10">
        <v>85</v>
      </c>
      <c r="AK61" s="11">
        <f t="shared" si="7"/>
        <v>850</v>
      </c>
      <c r="AL61" s="10">
        <v>850</v>
      </c>
      <c r="AM61" s="11">
        <f t="shared" si="7"/>
        <v>850</v>
      </c>
      <c r="AN61" s="10">
        <v>850</v>
      </c>
      <c r="AO61" s="56">
        <f t="shared" si="8"/>
        <v>2</v>
      </c>
      <c r="AQ61" s="11">
        <f ca="1">IFERROR(OFFSET(ITEM_RES!$A$1,MATCH(AR61,ITEM_RES!$J:$J,0)-1,0),0)</f>
        <v>215070001</v>
      </c>
      <c r="AR61" s="10" t="s">
        <v>492</v>
      </c>
      <c r="AS61" s="11">
        <v>4250</v>
      </c>
      <c r="AV61" s="11">
        <f ca="1">IFERROR(OFFSET(ITEM_RES!$A$1,MATCH(AW61,ITEM_RES!$J:$J,0)-1,0),0)</f>
        <v>211040001</v>
      </c>
      <c r="AW61" s="10" t="s">
        <v>502</v>
      </c>
      <c r="AX61" s="11">
        <v>4250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369</v>
      </c>
      <c r="L62" s="9">
        <v>0</v>
      </c>
      <c r="M62" s="9">
        <v>15</v>
      </c>
      <c r="R62" s="9">
        <v>11</v>
      </c>
      <c r="S62" s="86">
        <v>3</v>
      </c>
      <c r="U62" s="86">
        <f t="shared" si="3"/>
        <v>103</v>
      </c>
      <c r="V62" s="86">
        <v>180</v>
      </c>
      <c r="W62" s="86">
        <v>1</v>
      </c>
      <c r="X62" s="86">
        <v>1</v>
      </c>
      <c r="Y62" s="86">
        <v>0</v>
      </c>
      <c r="Z62" s="9">
        <v>211030001</v>
      </c>
      <c r="AA62" s="9" t="s">
        <v>591</v>
      </c>
      <c r="AB62" s="9">
        <v>18</v>
      </c>
      <c r="AD62" s="9">
        <v>84000</v>
      </c>
      <c r="AF62" s="89">
        <f t="shared" si="6"/>
        <v>22050</v>
      </c>
      <c r="AG62" s="9">
        <f t="shared" si="11"/>
        <v>39900</v>
      </c>
      <c r="AI62" s="11">
        <f t="shared" si="4"/>
        <v>90</v>
      </c>
      <c r="AJ62" s="10">
        <v>90</v>
      </c>
      <c r="AK62" s="11">
        <f t="shared" si="7"/>
        <v>1050</v>
      </c>
      <c r="AL62" s="10">
        <v>1050</v>
      </c>
      <c r="AM62" s="11">
        <f t="shared" si="7"/>
        <v>1050</v>
      </c>
      <c r="AN62" s="10">
        <v>1050</v>
      </c>
      <c r="AO62" s="56">
        <f t="shared" si="8"/>
        <v>2</v>
      </c>
      <c r="AQ62" s="11">
        <f ca="1">IFERROR(OFFSET(ITEM_RES!$A$1,MATCH(AR62,ITEM_RES!$J:$J,0)-1,0),0)</f>
        <v>215070001</v>
      </c>
      <c r="AR62" s="10" t="s">
        <v>492</v>
      </c>
      <c r="AS62" s="11">
        <v>5250</v>
      </c>
      <c r="AV62" s="11">
        <f ca="1">IFERROR(OFFSET(ITEM_RES!$A$1,MATCH(AW62,ITEM_RES!$J:$J,0)-1,0),0)</f>
        <v>211040001</v>
      </c>
      <c r="AW62" s="10" t="s">
        <v>502</v>
      </c>
      <c r="AX62" s="11">
        <v>5250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369</v>
      </c>
      <c r="L63" s="9">
        <v>0</v>
      </c>
      <c r="M63" s="9">
        <v>15</v>
      </c>
      <c r="R63" s="9">
        <v>11</v>
      </c>
      <c r="S63" s="86">
        <v>3</v>
      </c>
      <c r="U63" s="86">
        <f t="shared" si="3"/>
        <v>103</v>
      </c>
      <c r="V63" s="86">
        <v>190</v>
      </c>
      <c r="W63" s="86">
        <v>1</v>
      </c>
      <c r="X63" s="86">
        <v>1</v>
      </c>
      <c r="Y63" s="86">
        <v>0</v>
      </c>
      <c r="Z63" s="9">
        <v>211030001</v>
      </c>
      <c r="AA63" s="9" t="s">
        <v>591</v>
      </c>
      <c r="AB63" s="9">
        <v>19</v>
      </c>
      <c r="AD63" s="9">
        <v>100000</v>
      </c>
      <c r="AF63" s="89">
        <f t="shared" si="6"/>
        <v>26250</v>
      </c>
      <c r="AG63" s="9">
        <f t="shared" si="11"/>
        <v>48300</v>
      </c>
      <c r="AI63" s="11">
        <f t="shared" si="4"/>
        <v>95</v>
      </c>
      <c r="AJ63" s="10">
        <v>95</v>
      </c>
      <c r="AK63" s="11">
        <f t="shared" si="7"/>
        <v>1250</v>
      </c>
      <c r="AL63" s="10">
        <v>1250</v>
      </c>
      <c r="AM63" s="11">
        <f t="shared" si="7"/>
        <v>1250</v>
      </c>
      <c r="AN63" s="10">
        <v>1250</v>
      </c>
      <c r="AO63" s="56">
        <f t="shared" si="8"/>
        <v>2</v>
      </c>
      <c r="AQ63" s="11">
        <f ca="1">IFERROR(OFFSET(ITEM_RES!$A$1,MATCH(AR63,ITEM_RES!$J:$J,0)-1,0),0)</f>
        <v>215070001</v>
      </c>
      <c r="AR63" s="10" t="s">
        <v>492</v>
      </c>
      <c r="AS63" s="11">
        <v>6250</v>
      </c>
      <c r="AV63" s="11">
        <f ca="1">IFERROR(OFFSET(ITEM_RES!$A$1,MATCH(AW63,ITEM_RES!$J:$J,0)-1,0),0)</f>
        <v>211040001</v>
      </c>
      <c r="AW63" s="10" t="s">
        <v>502</v>
      </c>
      <c r="AX63" s="11">
        <v>6250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369</v>
      </c>
      <c r="L64" s="9">
        <v>0</v>
      </c>
      <c r="M64" s="9">
        <v>15</v>
      </c>
      <c r="R64" s="9">
        <v>11</v>
      </c>
      <c r="S64" s="86">
        <v>3</v>
      </c>
      <c r="U64" s="86">
        <f t="shared" si="3"/>
        <v>103</v>
      </c>
      <c r="V64" s="86">
        <v>200</v>
      </c>
      <c r="W64" s="86">
        <v>1</v>
      </c>
      <c r="X64" s="86">
        <v>1</v>
      </c>
      <c r="Y64" s="86">
        <v>0</v>
      </c>
      <c r="Z64" s="9">
        <v>211030001</v>
      </c>
      <c r="AA64" s="9" t="s">
        <v>591</v>
      </c>
      <c r="AB64" s="9">
        <v>20</v>
      </c>
      <c r="AD64" s="9">
        <v>120000</v>
      </c>
      <c r="AF64" s="89">
        <f t="shared" si="6"/>
        <v>31500</v>
      </c>
      <c r="AG64" s="9">
        <f t="shared" si="11"/>
        <v>57750</v>
      </c>
      <c r="AI64" s="11">
        <f t="shared" si="4"/>
        <v>100</v>
      </c>
      <c r="AJ64" s="10">
        <v>100</v>
      </c>
      <c r="AK64" s="11">
        <f t="shared" si="7"/>
        <v>1500</v>
      </c>
      <c r="AL64" s="10">
        <v>1500</v>
      </c>
      <c r="AM64" s="11">
        <f t="shared" si="7"/>
        <v>1500</v>
      </c>
      <c r="AN64" s="10">
        <v>1500</v>
      </c>
      <c r="AO64" s="56">
        <f t="shared" si="8"/>
        <v>2</v>
      </c>
      <c r="AQ64" s="11">
        <f ca="1">IFERROR(OFFSET(ITEM_RES!$A$1,MATCH(AR64,ITEM_RES!$J:$J,0)-1,0),0)</f>
        <v>215070001</v>
      </c>
      <c r="AR64" s="10" t="s">
        <v>492</v>
      </c>
      <c r="AS64" s="11">
        <v>7500</v>
      </c>
      <c r="AV64" s="11">
        <f ca="1">IFERROR(OFFSET(ITEM_RES!$A$1,MATCH(AW64,ITEM_RES!$J:$J,0)-1,0),0)</f>
        <v>211040001</v>
      </c>
      <c r="AW64" s="10" t="s">
        <v>502</v>
      </c>
      <c r="AX64" s="11">
        <v>7500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80"/>
      <c r="H65" s="16">
        <v>1</v>
      </c>
      <c r="I65" s="16">
        <v>1</v>
      </c>
      <c r="J65" s="80"/>
      <c r="K65" s="16" t="s">
        <v>488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8">
        <v>3</v>
      </c>
      <c r="T65" s="80"/>
      <c r="U65" s="88">
        <f t="shared" ref="U65:U84" si="15">C65*100+D65</f>
        <v>104</v>
      </c>
      <c r="V65" s="88">
        <v>10</v>
      </c>
      <c r="W65" s="88">
        <v>1</v>
      </c>
      <c r="X65" s="88">
        <v>1</v>
      </c>
      <c r="Y65" s="88">
        <v>0</v>
      </c>
      <c r="Z65" s="16">
        <v>211040001</v>
      </c>
      <c r="AA65" s="16" t="s">
        <v>592</v>
      </c>
      <c r="AB65" s="16">
        <v>1</v>
      </c>
      <c r="AC65" s="80"/>
      <c r="AD65" s="16">
        <v>400</v>
      </c>
      <c r="AE65" s="80"/>
      <c r="AF65" s="91">
        <f t="shared" si="6"/>
        <v>605</v>
      </c>
      <c r="AG65" s="16">
        <f>AF65</f>
        <v>605</v>
      </c>
      <c r="AH65" s="80"/>
      <c r="AI65" s="18">
        <f t="shared" si="4"/>
        <v>5</v>
      </c>
      <c r="AJ65" s="17">
        <v>5</v>
      </c>
      <c r="AK65" s="18">
        <f t="shared" ref="AK65" si="16">ROUND(AL65,0)</f>
        <v>5</v>
      </c>
      <c r="AL65" s="17">
        <v>5</v>
      </c>
      <c r="AM65" s="18">
        <f t="shared" ref="AM65" si="17">ROUND(AN65,0)</f>
        <v>5</v>
      </c>
      <c r="AN65" s="17">
        <v>5</v>
      </c>
      <c r="AO65" s="57">
        <f t="shared" si="8"/>
        <v>3</v>
      </c>
      <c r="AP65" s="18"/>
      <c r="AQ65" s="18">
        <f ca="1">IFERROR(OFFSET(ITEM_RES!$A$1,MATCH(AR65,ITEM_RES!$J:$J,0)-1,0),0)</f>
        <v>211050001</v>
      </c>
      <c r="AR65" s="17" t="s">
        <v>474</v>
      </c>
      <c r="AS65" s="18">
        <v>25</v>
      </c>
      <c r="AT65" s="17"/>
      <c r="AU65" s="18"/>
      <c r="AV65" s="18">
        <f ca="1">IFERROR(OFFSET(ITEM_RES!$A$1,MATCH(AW65,ITEM_RES!$J:$J,0)-1,0),0)</f>
        <v>212040001</v>
      </c>
      <c r="AW65" s="17" t="s">
        <v>485</v>
      </c>
      <c r="AX65" s="18">
        <v>25</v>
      </c>
      <c r="AY65" s="17"/>
      <c r="AZ65" s="18"/>
      <c r="BA65" s="18">
        <f ca="1">IFERROR(OFFSET(ITEM_RES!$A$1,MATCH(BB65,ITEM_RES!$J:$J,0)-1,0),0)</f>
        <v>213010001</v>
      </c>
      <c r="BB65" s="17" t="s">
        <v>509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488</v>
      </c>
      <c r="L66" s="9">
        <v>1</v>
      </c>
      <c r="M66" s="9">
        <v>15</v>
      </c>
      <c r="R66" s="9">
        <v>11</v>
      </c>
      <c r="S66" s="86">
        <v>3</v>
      </c>
      <c r="U66" s="86">
        <f t="shared" si="15"/>
        <v>104</v>
      </c>
      <c r="V66" s="86">
        <v>20</v>
      </c>
      <c r="W66" s="86">
        <v>1</v>
      </c>
      <c r="X66" s="86">
        <v>1</v>
      </c>
      <c r="Y66" s="86">
        <v>0</v>
      </c>
      <c r="Z66" s="9">
        <v>211040001</v>
      </c>
      <c r="AA66" s="9" t="s">
        <v>592</v>
      </c>
      <c r="AB66" s="9">
        <v>2</v>
      </c>
      <c r="AD66" s="9">
        <v>800</v>
      </c>
      <c r="AF66" s="89">
        <f t="shared" si="6"/>
        <v>210</v>
      </c>
      <c r="AG66" s="9">
        <f>AF65+AF66</f>
        <v>815</v>
      </c>
      <c r="AI66" s="11">
        <f t="shared" si="4"/>
        <v>10</v>
      </c>
      <c r="AJ66" s="10">
        <v>10</v>
      </c>
      <c r="AK66" s="11">
        <f t="shared" ref="AK66" si="18">ROUND(AL66,0)</f>
        <v>10</v>
      </c>
      <c r="AL66" s="10">
        <v>10</v>
      </c>
      <c r="AM66" s="11">
        <f t="shared" ref="AM66" si="19">ROUND(AN66,0)</f>
        <v>10</v>
      </c>
      <c r="AN66" s="10">
        <v>10</v>
      </c>
      <c r="AO66" s="56">
        <f t="shared" si="8"/>
        <v>2</v>
      </c>
      <c r="AQ66" s="11">
        <f ca="1">IFERROR(OFFSET(ITEM_RES!$A$1,MATCH(AR66,ITEM_RES!$J:$J,0)-1,0),0)</f>
        <v>211050001</v>
      </c>
      <c r="AR66" s="10" t="s">
        <v>476</v>
      </c>
      <c r="AS66" s="11">
        <v>50</v>
      </c>
      <c r="AV66" s="11">
        <f ca="1">IFERROR(OFFSET(ITEM_RES!$A$1,MATCH(AW66,ITEM_RES!$J:$J,0)-1,0),0)</f>
        <v>212040001</v>
      </c>
      <c r="AW66" s="10" t="s">
        <v>485</v>
      </c>
      <c r="AX66" s="11">
        <v>50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488</v>
      </c>
      <c r="L67" s="9">
        <v>1</v>
      </c>
      <c r="M67" s="9">
        <v>15</v>
      </c>
      <c r="R67" s="9">
        <v>11</v>
      </c>
      <c r="S67" s="86">
        <v>3</v>
      </c>
      <c r="U67" s="86">
        <f t="shared" si="15"/>
        <v>104</v>
      </c>
      <c r="V67" s="86">
        <v>30</v>
      </c>
      <c r="W67" s="86">
        <v>1</v>
      </c>
      <c r="X67" s="86">
        <v>1</v>
      </c>
      <c r="Y67" s="86">
        <v>0</v>
      </c>
      <c r="Z67" s="9">
        <v>211040001</v>
      </c>
      <c r="AA67" s="9" t="s">
        <v>592</v>
      </c>
      <c r="AB67" s="9">
        <v>3</v>
      </c>
      <c r="AD67" s="9">
        <v>1200</v>
      </c>
      <c r="AF67" s="89">
        <f t="shared" si="6"/>
        <v>315</v>
      </c>
      <c r="AG67" s="9">
        <f t="shared" ref="AG67:AG84" si="20">AF66+AF67</f>
        <v>525</v>
      </c>
      <c r="AI67" s="11">
        <f t="shared" si="4"/>
        <v>15</v>
      </c>
      <c r="AJ67" s="10">
        <v>15</v>
      </c>
      <c r="AK67" s="11">
        <f t="shared" ref="AK67" si="21">ROUND(AL67,0)</f>
        <v>15</v>
      </c>
      <c r="AL67" s="10">
        <v>15</v>
      </c>
      <c r="AM67" s="11">
        <f t="shared" ref="AM67" si="22">ROUND(AN67,0)</f>
        <v>15</v>
      </c>
      <c r="AN67" s="10">
        <v>15</v>
      </c>
      <c r="AO67" s="56">
        <f t="shared" si="8"/>
        <v>2</v>
      </c>
      <c r="AQ67" s="11">
        <f ca="1">IFERROR(OFFSET(ITEM_RES!$A$1,MATCH(AR67,ITEM_RES!$J:$J,0)-1,0),0)</f>
        <v>211050001</v>
      </c>
      <c r="AR67" s="10" t="s">
        <v>476</v>
      </c>
      <c r="AS67" s="11">
        <v>75</v>
      </c>
      <c r="AV67" s="11">
        <f ca="1">IFERROR(OFFSET(ITEM_RES!$A$1,MATCH(AW67,ITEM_RES!$J:$J,0)-1,0),0)</f>
        <v>212040001</v>
      </c>
      <c r="AW67" s="10" t="s">
        <v>485</v>
      </c>
      <c r="AX67" s="11">
        <v>75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488</v>
      </c>
      <c r="L68" s="9">
        <v>1</v>
      </c>
      <c r="M68" s="9">
        <v>15</v>
      </c>
      <c r="R68" s="9">
        <v>11</v>
      </c>
      <c r="S68" s="86">
        <v>3</v>
      </c>
      <c r="U68" s="86">
        <f t="shared" si="15"/>
        <v>104</v>
      </c>
      <c r="V68" s="86">
        <v>40</v>
      </c>
      <c r="W68" s="86">
        <v>1</v>
      </c>
      <c r="X68" s="86">
        <v>1</v>
      </c>
      <c r="Y68" s="86">
        <v>0</v>
      </c>
      <c r="Z68" s="9">
        <v>211040001</v>
      </c>
      <c r="AA68" s="9" t="s">
        <v>592</v>
      </c>
      <c r="AB68" s="9">
        <v>4</v>
      </c>
      <c r="AD68" s="9">
        <v>2000</v>
      </c>
      <c r="AF68" s="89">
        <f t="shared" si="6"/>
        <v>525</v>
      </c>
      <c r="AG68" s="9">
        <f t="shared" si="20"/>
        <v>840</v>
      </c>
      <c r="AI68" s="11">
        <f t="shared" si="4"/>
        <v>20</v>
      </c>
      <c r="AJ68" s="10">
        <v>20</v>
      </c>
      <c r="AK68" s="11">
        <f t="shared" ref="AK68" si="23">ROUND(AL68,0)</f>
        <v>25</v>
      </c>
      <c r="AL68" s="10">
        <v>25</v>
      </c>
      <c r="AM68" s="11">
        <f t="shared" ref="AM68" si="24">ROUND(AN68,0)</f>
        <v>25</v>
      </c>
      <c r="AN68" s="10">
        <v>25</v>
      </c>
      <c r="AO68" s="56">
        <f t="shared" si="8"/>
        <v>2</v>
      </c>
      <c r="AQ68" s="11">
        <f ca="1">IFERROR(OFFSET(ITEM_RES!$A$1,MATCH(AR68,ITEM_RES!$J:$J,0)-1,0),0)</f>
        <v>211050001</v>
      </c>
      <c r="AR68" s="10" t="s">
        <v>476</v>
      </c>
      <c r="AS68" s="11">
        <v>125</v>
      </c>
      <c r="AV68" s="11">
        <f ca="1">IFERROR(OFFSET(ITEM_RES!$A$1,MATCH(AW68,ITEM_RES!$J:$J,0)-1,0),0)</f>
        <v>212040001</v>
      </c>
      <c r="AW68" s="10" t="s">
        <v>485</v>
      </c>
      <c r="AX68" s="11">
        <v>125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488</v>
      </c>
      <c r="L69" s="9">
        <v>1</v>
      </c>
      <c r="M69" s="9">
        <v>15</v>
      </c>
      <c r="R69" s="9">
        <v>11</v>
      </c>
      <c r="S69" s="86">
        <v>3</v>
      </c>
      <c r="U69" s="86">
        <f t="shared" si="15"/>
        <v>104</v>
      </c>
      <c r="V69" s="86">
        <v>50</v>
      </c>
      <c r="W69" s="86">
        <v>1</v>
      </c>
      <c r="X69" s="86">
        <v>1</v>
      </c>
      <c r="Y69" s="86">
        <v>0</v>
      </c>
      <c r="Z69" s="9">
        <v>211040001</v>
      </c>
      <c r="AA69" s="9" t="s">
        <v>592</v>
      </c>
      <c r="AB69" s="9">
        <v>5</v>
      </c>
      <c r="AD69" s="9">
        <v>3200</v>
      </c>
      <c r="AF69" s="89">
        <f t="shared" si="6"/>
        <v>840</v>
      </c>
      <c r="AG69" s="9">
        <f t="shared" si="20"/>
        <v>1365</v>
      </c>
      <c r="AI69" s="11">
        <f t="shared" ref="AI69:AI132" si="25">ROUND(AJ69,0)</f>
        <v>25</v>
      </c>
      <c r="AJ69" s="10">
        <v>25</v>
      </c>
      <c r="AK69" s="11">
        <f t="shared" ref="AK69" si="26">ROUND(AL69,0)</f>
        <v>40</v>
      </c>
      <c r="AL69" s="10">
        <v>40</v>
      </c>
      <c r="AM69" s="11">
        <f t="shared" ref="AM69" si="27">ROUND(AN69,0)</f>
        <v>40</v>
      </c>
      <c r="AN69" s="10">
        <v>40</v>
      </c>
      <c r="AO69" s="56">
        <f t="shared" si="8"/>
        <v>2</v>
      </c>
      <c r="AQ69" s="11">
        <f ca="1">IFERROR(OFFSET(ITEM_RES!$A$1,MATCH(AR69,ITEM_RES!$J:$J,0)-1,0),0)</f>
        <v>211050001</v>
      </c>
      <c r="AR69" s="10" t="s">
        <v>476</v>
      </c>
      <c r="AS69" s="11">
        <v>200</v>
      </c>
      <c r="AV69" s="11">
        <f ca="1">IFERROR(OFFSET(ITEM_RES!$A$1,MATCH(AW69,ITEM_RES!$J:$J,0)-1,0),0)</f>
        <v>212040001</v>
      </c>
      <c r="AW69" s="10" t="s">
        <v>485</v>
      </c>
      <c r="AX69" s="11">
        <v>200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488</v>
      </c>
      <c r="L70" s="9">
        <v>1</v>
      </c>
      <c r="M70" s="9">
        <v>15</v>
      </c>
      <c r="R70" s="9">
        <v>11</v>
      </c>
      <c r="S70" s="86">
        <v>3</v>
      </c>
      <c r="U70" s="86">
        <f t="shared" si="15"/>
        <v>104</v>
      </c>
      <c r="V70" s="86">
        <v>60</v>
      </c>
      <c r="W70" s="86">
        <v>1</v>
      </c>
      <c r="X70" s="86">
        <v>1</v>
      </c>
      <c r="Y70" s="86">
        <v>0</v>
      </c>
      <c r="Z70" s="9">
        <v>211040001</v>
      </c>
      <c r="AA70" s="9" t="s">
        <v>592</v>
      </c>
      <c r="AB70" s="9">
        <v>6</v>
      </c>
      <c r="AD70" s="9">
        <v>4000</v>
      </c>
      <c r="AF70" s="89">
        <f t="shared" ref="AF70:AF133" si="28">AL70*10+AN70+AS70+AX70+500*BC70+500*BH70+500*BM70</f>
        <v>1050</v>
      </c>
      <c r="AG70" s="9">
        <f t="shared" si="20"/>
        <v>1890</v>
      </c>
      <c r="AI70" s="11">
        <f t="shared" si="25"/>
        <v>30</v>
      </c>
      <c r="AJ70" s="10">
        <v>30</v>
      </c>
      <c r="AK70" s="11">
        <f t="shared" ref="AK70" si="29">ROUND(AL70,0)</f>
        <v>50</v>
      </c>
      <c r="AL70" s="10">
        <v>50</v>
      </c>
      <c r="AM70" s="11">
        <f t="shared" ref="AM70" si="30">ROUND(AN70,0)</f>
        <v>50</v>
      </c>
      <c r="AN70" s="10">
        <v>50</v>
      </c>
      <c r="AO70" s="56">
        <f t="shared" ref="AO70:AO133" si="31">(AS70&gt;0)*1+(AX70&gt;0)*1+(BC70&gt;0)*1+(BH70&gt;0)*1+(BM70&gt;0)*1</f>
        <v>2</v>
      </c>
      <c r="AQ70" s="11">
        <f ca="1">IFERROR(OFFSET(ITEM_RES!$A$1,MATCH(AR70,ITEM_RES!$J:$J,0)-1,0),0)</f>
        <v>211050001</v>
      </c>
      <c r="AR70" s="10" t="s">
        <v>476</v>
      </c>
      <c r="AS70" s="11">
        <v>250</v>
      </c>
      <c r="AV70" s="11">
        <f ca="1">IFERROR(OFFSET(ITEM_RES!$A$1,MATCH(AW70,ITEM_RES!$J:$J,0)-1,0),0)</f>
        <v>212040001</v>
      </c>
      <c r="AW70" s="10" t="s">
        <v>485</v>
      </c>
      <c r="AX70" s="11">
        <v>250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488</v>
      </c>
      <c r="L71" s="9">
        <v>1</v>
      </c>
      <c r="M71" s="9">
        <v>15</v>
      </c>
      <c r="R71" s="9">
        <v>11</v>
      </c>
      <c r="S71" s="86">
        <v>3</v>
      </c>
      <c r="U71" s="86">
        <f t="shared" si="15"/>
        <v>104</v>
      </c>
      <c r="V71" s="86">
        <v>70</v>
      </c>
      <c r="W71" s="86">
        <v>1</v>
      </c>
      <c r="X71" s="86">
        <v>1</v>
      </c>
      <c r="Y71" s="86">
        <v>0</v>
      </c>
      <c r="Z71" s="9">
        <v>211040001</v>
      </c>
      <c r="AA71" s="9" t="s">
        <v>592</v>
      </c>
      <c r="AB71" s="9">
        <v>7</v>
      </c>
      <c r="AD71" s="9">
        <v>8000</v>
      </c>
      <c r="AF71" s="89">
        <f t="shared" si="28"/>
        <v>2100</v>
      </c>
      <c r="AG71" s="9">
        <f t="shared" si="20"/>
        <v>3150</v>
      </c>
      <c r="AI71" s="11">
        <f t="shared" si="25"/>
        <v>35</v>
      </c>
      <c r="AJ71" s="10">
        <v>35</v>
      </c>
      <c r="AK71" s="11">
        <f t="shared" ref="AK71" si="32">ROUND(AL71,0)</f>
        <v>100</v>
      </c>
      <c r="AL71" s="10">
        <v>100</v>
      </c>
      <c r="AM71" s="11">
        <f t="shared" ref="AM71" si="33">ROUND(AN71,0)</f>
        <v>100</v>
      </c>
      <c r="AN71" s="10">
        <v>100</v>
      </c>
      <c r="AO71" s="56">
        <f t="shared" si="31"/>
        <v>2</v>
      </c>
      <c r="AQ71" s="11">
        <f ca="1">IFERROR(OFFSET(ITEM_RES!$A$1,MATCH(AR71,ITEM_RES!$J:$J,0)-1,0),0)</f>
        <v>211050001</v>
      </c>
      <c r="AR71" s="10" t="s">
        <v>476</v>
      </c>
      <c r="AS71" s="11">
        <v>500</v>
      </c>
      <c r="AV71" s="11">
        <f ca="1">IFERROR(OFFSET(ITEM_RES!$A$1,MATCH(AW71,ITEM_RES!$J:$J,0)-1,0),0)</f>
        <v>212040001</v>
      </c>
      <c r="AW71" s="10" t="s">
        <v>485</v>
      </c>
      <c r="AX71" s="11">
        <v>500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488</v>
      </c>
      <c r="L72" s="9">
        <v>1</v>
      </c>
      <c r="M72" s="9">
        <v>15</v>
      </c>
      <c r="R72" s="9">
        <v>11</v>
      </c>
      <c r="S72" s="86">
        <v>3</v>
      </c>
      <c r="U72" s="86">
        <f t="shared" si="15"/>
        <v>104</v>
      </c>
      <c r="V72" s="86">
        <v>80</v>
      </c>
      <c r="W72" s="86">
        <v>1</v>
      </c>
      <c r="X72" s="86">
        <v>1</v>
      </c>
      <c r="Y72" s="86">
        <v>0</v>
      </c>
      <c r="Z72" s="9">
        <v>211040001</v>
      </c>
      <c r="AA72" s="9" t="s">
        <v>592</v>
      </c>
      <c r="AB72" s="9">
        <v>8</v>
      </c>
      <c r="AD72" s="9">
        <v>8000</v>
      </c>
      <c r="AF72" s="89">
        <f t="shared" si="28"/>
        <v>2100</v>
      </c>
      <c r="AG72" s="9">
        <f t="shared" si="20"/>
        <v>4200</v>
      </c>
      <c r="AI72" s="11">
        <f t="shared" si="25"/>
        <v>40</v>
      </c>
      <c r="AJ72" s="10">
        <v>40</v>
      </c>
      <c r="AK72" s="11">
        <f t="shared" ref="AK72" si="34">ROUND(AL72,0)</f>
        <v>100</v>
      </c>
      <c r="AL72" s="10">
        <v>100</v>
      </c>
      <c r="AM72" s="11">
        <f t="shared" ref="AM72" si="35">ROUND(AN72,0)</f>
        <v>100</v>
      </c>
      <c r="AN72" s="10">
        <v>100</v>
      </c>
      <c r="AO72" s="56">
        <f t="shared" si="31"/>
        <v>2</v>
      </c>
      <c r="AQ72" s="11">
        <f ca="1">IFERROR(OFFSET(ITEM_RES!$A$1,MATCH(AR72,ITEM_RES!$J:$J,0)-1,0),0)</f>
        <v>211050001</v>
      </c>
      <c r="AR72" s="10" t="s">
        <v>476</v>
      </c>
      <c r="AS72" s="11">
        <v>500</v>
      </c>
      <c r="AV72" s="11">
        <f ca="1">IFERROR(OFFSET(ITEM_RES!$A$1,MATCH(AW72,ITEM_RES!$J:$J,0)-1,0),0)</f>
        <v>212040001</v>
      </c>
      <c r="AW72" s="10" t="s">
        <v>485</v>
      </c>
      <c r="AX72" s="11">
        <v>500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488</v>
      </c>
      <c r="L73" s="9">
        <v>1</v>
      </c>
      <c r="M73" s="9">
        <v>15</v>
      </c>
      <c r="R73" s="9">
        <v>11</v>
      </c>
      <c r="S73" s="86">
        <v>3</v>
      </c>
      <c r="U73" s="86">
        <f t="shared" si="15"/>
        <v>104</v>
      </c>
      <c r="V73" s="86">
        <v>90</v>
      </c>
      <c r="W73" s="86">
        <v>1</v>
      </c>
      <c r="X73" s="86">
        <v>1</v>
      </c>
      <c r="Y73" s="86">
        <v>0</v>
      </c>
      <c r="Z73" s="9">
        <v>211040001</v>
      </c>
      <c r="AA73" s="9" t="s">
        <v>592</v>
      </c>
      <c r="AB73" s="9">
        <v>9</v>
      </c>
      <c r="AD73" s="9">
        <v>12000</v>
      </c>
      <c r="AF73" s="89">
        <f t="shared" si="28"/>
        <v>3150</v>
      </c>
      <c r="AG73" s="9">
        <f t="shared" si="20"/>
        <v>5250</v>
      </c>
      <c r="AI73" s="11">
        <f t="shared" si="25"/>
        <v>45</v>
      </c>
      <c r="AJ73" s="10">
        <v>45</v>
      </c>
      <c r="AK73" s="11">
        <f t="shared" ref="AK73" si="36">ROUND(AL73,0)</f>
        <v>150</v>
      </c>
      <c r="AL73" s="10">
        <v>150</v>
      </c>
      <c r="AM73" s="11">
        <f t="shared" ref="AM73" si="37">ROUND(AN73,0)</f>
        <v>150</v>
      </c>
      <c r="AN73" s="10">
        <v>150</v>
      </c>
      <c r="AO73" s="56">
        <f t="shared" si="31"/>
        <v>2</v>
      </c>
      <c r="AQ73" s="11">
        <f ca="1">IFERROR(OFFSET(ITEM_RES!$A$1,MATCH(AR73,ITEM_RES!$J:$J,0)-1,0),0)</f>
        <v>211050001</v>
      </c>
      <c r="AR73" s="10" t="s">
        <v>476</v>
      </c>
      <c r="AS73" s="11">
        <v>750</v>
      </c>
      <c r="AV73" s="11">
        <f ca="1">IFERROR(OFFSET(ITEM_RES!$A$1,MATCH(AW73,ITEM_RES!$J:$J,0)-1,0),0)</f>
        <v>212040001</v>
      </c>
      <c r="AW73" s="10" t="s">
        <v>485</v>
      </c>
      <c r="AX73" s="11">
        <v>750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488</v>
      </c>
      <c r="L74" s="9">
        <v>1</v>
      </c>
      <c r="M74" s="9">
        <v>15</v>
      </c>
      <c r="R74" s="9">
        <v>11</v>
      </c>
      <c r="S74" s="86">
        <v>3</v>
      </c>
      <c r="U74" s="86">
        <f t="shared" si="15"/>
        <v>104</v>
      </c>
      <c r="V74" s="86">
        <v>100</v>
      </c>
      <c r="W74" s="86">
        <v>1</v>
      </c>
      <c r="X74" s="86">
        <v>1</v>
      </c>
      <c r="Y74" s="86">
        <v>0</v>
      </c>
      <c r="Z74" s="9">
        <v>211040001</v>
      </c>
      <c r="AA74" s="9" t="s">
        <v>592</v>
      </c>
      <c r="AB74" s="9">
        <v>10</v>
      </c>
      <c r="AD74" s="9">
        <v>16000</v>
      </c>
      <c r="AF74" s="89">
        <f t="shared" si="28"/>
        <v>4200</v>
      </c>
      <c r="AG74" s="9">
        <f t="shared" si="20"/>
        <v>7350</v>
      </c>
      <c r="AI74" s="11">
        <f t="shared" si="25"/>
        <v>50</v>
      </c>
      <c r="AJ74" s="10">
        <v>50</v>
      </c>
      <c r="AK74" s="11">
        <f t="shared" ref="AK74" si="38">ROUND(AL74,0)</f>
        <v>200</v>
      </c>
      <c r="AL74" s="10">
        <v>200</v>
      </c>
      <c r="AM74" s="11">
        <f t="shared" ref="AM74" si="39">ROUND(AN74,0)</f>
        <v>200</v>
      </c>
      <c r="AN74" s="10">
        <v>200</v>
      </c>
      <c r="AO74" s="56">
        <f t="shared" si="31"/>
        <v>2</v>
      </c>
      <c r="AQ74" s="11">
        <f ca="1">IFERROR(OFFSET(ITEM_RES!$A$1,MATCH(AR74,ITEM_RES!$J:$J,0)-1,0),0)</f>
        <v>211050001</v>
      </c>
      <c r="AR74" s="10" t="s">
        <v>476</v>
      </c>
      <c r="AS74" s="11">
        <v>1000</v>
      </c>
      <c r="AV74" s="11">
        <f ca="1">IFERROR(OFFSET(ITEM_RES!$A$1,MATCH(AW74,ITEM_RES!$J:$J,0)-1,0),0)</f>
        <v>212040001</v>
      </c>
      <c r="AW74" s="10" t="s">
        <v>485</v>
      </c>
      <c r="AX74" s="11">
        <v>1000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488</v>
      </c>
      <c r="L75" s="9">
        <v>1</v>
      </c>
      <c r="M75" s="9">
        <v>15</v>
      </c>
      <c r="R75" s="9">
        <v>11</v>
      </c>
      <c r="S75" s="86">
        <v>3</v>
      </c>
      <c r="U75" s="86">
        <f t="shared" si="15"/>
        <v>104</v>
      </c>
      <c r="V75" s="86">
        <v>110</v>
      </c>
      <c r="W75" s="86">
        <v>1</v>
      </c>
      <c r="X75" s="86">
        <v>1</v>
      </c>
      <c r="Y75" s="86">
        <v>0</v>
      </c>
      <c r="Z75" s="9">
        <v>211040001</v>
      </c>
      <c r="AA75" s="9" t="s">
        <v>592</v>
      </c>
      <c r="AB75" s="9">
        <v>11</v>
      </c>
      <c r="AD75" s="9">
        <v>20000</v>
      </c>
      <c r="AF75" s="89">
        <f t="shared" si="28"/>
        <v>5750</v>
      </c>
      <c r="AG75" s="9">
        <f t="shared" si="20"/>
        <v>9950</v>
      </c>
      <c r="AI75" s="11">
        <f t="shared" si="25"/>
        <v>55</v>
      </c>
      <c r="AJ75" s="10">
        <v>55</v>
      </c>
      <c r="AK75" s="11">
        <f t="shared" ref="AK75" si="40">ROUND(AL75,0)</f>
        <v>250</v>
      </c>
      <c r="AL75" s="10">
        <v>250</v>
      </c>
      <c r="AM75" s="11">
        <f t="shared" ref="AM75" si="41">ROUND(AN75,0)</f>
        <v>250</v>
      </c>
      <c r="AN75" s="10">
        <v>250</v>
      </c>
      <c r="AO75" s="56">
        <f t="shared" si="31"/>
        <v>3</v>
      </c>
      <c r="AQ75" s="11">
        <f ca="1">IFERROR(OFFSET(ITEM_RES!$A$1,MATCH(AR75,ITEM_RES!$J:$J,0)-1,0),0)</f>
        <v>211050001</v>
      </c>
      <c r="AR75" s="10" t="s">
        <v>476</v>
      </c>
      <c r="AS75" s="11">
        <v>1250</v>
      </c>
      <c r="AV75" s="11">
        <f ca="1">IFERROR(OFFSET(ITEM_RES!$A$1,MATCH(AW75,ITEM_RES!$J:$J,0)-1,0),0)</f>
        <v>212040001</v>
      </c>
      <c r="AW75" s="10" t="s">
        <v>485</v>
      </c>
      <c r="AX75" s="11">
        <v>1250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213060001</v>
      </c>
      <c r="BG75" s="10" t="s">
        <v>517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488</v>
      </c>
      <c r="L76" s="9">
        <v>1</v>
      </c>
      <c r="M76" s="9">
        <v>15</v>
      </c>
      <c r="R76" s="9">
        <v>11</v>
      </c>
      <c r="S76" s="86">
        <v>3</v>
      </c>
      <c r="U76" s="86">
        <f t="shared" si="15"/>
        <v>104</v>
      </c>
      <c r="V76" s="86">
        <v>120</v>
      </c>
      <c r="W76" s="86">
        <v>1</v>
      </c>
      <c r="X76" s="86">
        <v>1</v>
      </c>
      <c r="Y76" s="86">
        <v>0</v>
      </c>
      <c r="Z76" s="9">
        <v>211040001</v>
      </c>
      <c r="AA76" s="9" t="s">
        <v>592</v>
      </c>
      <c r="AB76" s="9">
        <v>12</v>
      </c>
      <c r="AD76" s="9">
        <v>24000</v>
      </c>
      <c r="AF76" s="89">
        <f t="shared" si="28"/>
        <v>6300</v>
      </c>
      <c r="AG76" s="9">
        <f t="shared" si="20"/>
        <v>12050</v>
      </c>
      <c r="AI76" s="11">
        <f t="shared" si="25"/>
        <v>60</v>
      </c>
      <c r="AJ76" s="10">
        <v>60</v>
      </c>
      <c r="AK76" s="11">
        <f t="shared" ref="AK76" si="42">ROUND(AL76,0)</f>
        <v>300</v>
      </c>
      <c r="AL76" s="10">
        <v>300</v>
      </c>
      <c r="AM76" s="11">
        <f t="shared" ref="AM76" si="43">ROUND(AN76,0)</f>
        <v>300</v>
      </c>
      <c r="AN76" s="10">
        <v>300</v>
      </c>
      <c r="AO76" s="56">
        <f t="shared" si="31"/>
        <v>2</v>
      </c>
      <c r="AQ76" s="11">
        <f ca="1">IFERROR(OFFSET(ITEM_RES!$A$1,MATCH(AR76,ITEM_RES!$J:$J,0)-1,0),0)</f>
        <v>211050001</v>
      </c>
      <c r="AR76" s="10" t="s">
        <v>476</v>
      </c>
      <c r="AS76" s="11">
        <v>1500</v>
      </c>
      <c r="AV76" s="11">
        <f ca="1">IFERROR(OFFSET(ITEM_RES!$A$1,MATCH(AW76,ITEM_RES!$J:$J,0)-1,0),0)</f>
        <v>212040001</v>
      </c>
      <c r="AW76" s="10" t="s">
        <v>485</v>
      </c>
      <c r="AX76" s="11">
        <v>1500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488</v>
      </c>
      <c r="L77" s="9">
        <v>1</v>
      </c>
      <c r="M77" s="9">
        <v>15</v>
      </c>
      <c r="R77" s="9">
        <v>11</v>
      </c>
      <c r="S77" s="86">
        <v>3</v>
      </c>
      <c r="U77" s="86">
        <f t="shared" si="15"/>
        <v>104</v>
      </c>
      <c r="V77" s="86">
        <v>130</v>
      </c>
      <c r="W77" s="86">
        <v>1</v>
      </c>
      <c r="X77" s="86">
        <v>1</v>
      </c>
      <c r="Y77" s="86">
        <v>0</v>
      </c>
      <c r="Z77" s="9">
        <v>211040001</v>
      </c>
      <c r="AA77" s="9" t="s">
        <v>592</v>
      </c>
      <c r="AB77" s="9">
        <v>13</v>
      </c>
      <c r="AD77" s="9">
        <v>28000</v>
      </c>
      <c r="AF77" s="89">
        <f t="shared" si="28"/>
        <v>7350</v>
      </c>
      <c r="AG77" s="9">
        <f t="shared" si="20"/>
        <v>13650</v>
      </c>
      <c r="AI77" s="11">
        <f t="shared" si="25"/>
        <v>65</v>
      </c>
      <c r="AJ77" s="10">
        <v>65</v>
      </c>
      <c r="AK77" s="11">
        <f t="shared" ref="AK77" si="44">ROUND(AL77,0)</f>
        <v>350</v>
      </c>
      <c r="AL77" s="10">
        <v>350</v>
      </c>
      <c r="AM77" s="11">
        <f t="shared" ref="AM77" si="45">ROUND(AN77,0)</f>
        <v>350</v>
      </c>
      <c r="AN77" s="10">
        <v>350</v>
      </c>
      <c r="AO77" s="56">
        <f t="shared" si="31"/>
        <v>2</v>
      </c>
      <c r="AQ77" s="11">
        <f ca="1">IFERROR(OFFSET(ITEM_RES!$A$1,MATCH(AR77,ITEM_RES!$J:$J,0)-1,0),0)</f>
        <v>211050001</v>
      </c>
      <c r="AR77" s="10" t="s">
        <v>476</v>
      </c>
      <c r="AS77" s="11">
        <v>1750</v>
      </c>
      <c r="AV77" s="11">
        <f ca="1">IFERROR(OFFSET(ITEM_RES!$A$1,MATCH(AW77,ITEM_RES!$J:$J,0)-1,0),0)</f>
        <v>212040001</v>
      </c>
      <c r="AW77" s="10" t="s">
        <v>485</v>
      </c>
      <c r="AX77" s="11">
        <v>1750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488</v>
      </c>
      <c r="L78" s="9">
        <v>1</v>
      </c>
      <c r="M78" s="9">
        <v>15</v>
      </c>
      <c r="R78" s="9">
        <v>11</v>
      </c>
      <c r="S78" s="86">
        <v>3</v>
      </c>
      <c r="U78" s="86">
        <f t="shared" si="15"/>
        <v>104</v>
      </c>
      <c r="V78" s="86">
        <v>140</v>
      </c>
      <c r="W78" s="86">
        <v>1</v>
      </c>
      <c r="X78" s="86">
        <v>1</v>
      </c>
      <c r="Y78" s="86">
        <v>0</v>
      </c>
      <c r="Z78" s="9">
        <v>211040001</v>
      </c>
      <c r="AA78" s="9" t="s">
        <v>592</v>
      </c>
      <c r="AB78" s="9">
        <v>14</v>
      </c>
      <c r="AD78" s="9">
        <v>36000</v>
      </c>
      <c r="AF78" s="89">
        <f t="shared" si="28"/>
        <v>9450</v>
      </c>
      <c r="AG78" s="9">
        <f t="shared" si="20"/>
        <v>16800</v>
      </c>
      <c r="AI78" s="11">
        <f t="shared" si="25"/>
        <v>70</v>
      </c>
      <c r="AJ78" s="10">
        <v>70</v>
      </c>
      <c r="AK78" s="11">
        <f t="shared" ref="AK78" si="46">ROUND(AL78,0)</f>
        <v>450</v>
      </c>
      <c r="AL78" s="10">
        <v>450</v>
      </c>
      <c r="AM78" s="11">
        <f t="shared" ref="AM78" si="47">ROUND(AN78,0)</f>
        <v>450</v>
      </c>
      <c r="AN78" s="10">
        <v>450</v>
      </c>
      <c r="AO78" s="56">
        <f t="shared" si="31"/>
        <v>2</v>
      </c>
      <c r="AQ78" s="11">
        <f ca="1">IFERROR(OFFSET(ITEM_RES!$A$1,MATCH(AR78,ITEM_RES!$J:$J,0)-1,0),0)</f>
        <v>211050001</v>
      </c>
      <c r="AR78" s="10" t="s">
        <v>476</v>
      </c>
      <c r="AS78" s="11">
        <v>2250</v>
      </c>
      <c r="AV78" s="11">
        <f ca="1">IFERROR(OFFSET(ITEM_RES!$A$1,MATCH(AW78,ITEM_RES!$J:$J,0)-1,0),0)</f>
        <v>215050001</v>
      </c>
      <c r="AW78" s="10" t="s">
        <v>498</v>
      </c>
      <c r="AX78" s="11">
        <v>2250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488</v>
      </c>
      <c r="L79" s="9">
        <v>1</v>
      </c>
      <c r="M79" s="9">
        <v>15</v>
      </c>
      <c r="R79" s="9">
        <v>11</v>
      </c>
      <c r="S79" s="86">
        <v>3</v>
      </c>
      <c r="U79" s="86">
        <f t="shared" si="15"/>
        <v>104</v>
      </c>
      <c r="V79" s="86">
        <v>150</v>
      </c>
      <c r="W79" s="86">
        <v>1</v>
      </c>
      <c r="X79" s="86">
        <v>1</v>
      </c>
      <c r="Y79" s="86">
        <v>0</v>
      </c>
      <c r="Z79" s="9">
        <v>211040001</v>
      </c>
      <c r="AA79" s="9" t="s">
        <v>592</v>
      </c>
      <c r="AB79" s="9">
        <v>15</v>
      </c>
      <c r="AD79" s="9">
        <v>44000</v>
      </c>
      <c r="AF79" s="89">
        <f t="shared" si="28"/>
        <v>11550</v>
      </c>
      <c r="AG79" s="9">
        <f t="shared" si="20"/>
        <v>21000</v>
      </c>
      <c r="AI79" s="11">
        <f t="shared" si="25"/>
        <v>75</v>
      </c>
      <c r="AJ79" s="10">
        <v>75</v>
      </c>
      <c r="AK79" s="11">
        <f t="shared" ref="AK79" si="48">ROUND(AL79,0)</f>
        <v>550</v>
      </c>
      <c r="AL79" s="10">
        <v>550</v>
      </c>
      <c r="AM79" s="11">
        <f t="shared" ref="AM79" si="49">ROUND(AN79,0)</f>
        <v>550</v>
      </c>
      <c r="AN79" s="10">
        <v>550</v>
      </c>
      <c r="AO79" s="56">
        <f t="shared" si="31"/>
        <v>2</v>
      </c>
      <c r="AQ79" s="11">
        <f ca="1">IFERROR(OFFSET(ITEM_RES!$A$1,MATCH(AR79,ITEM_RES!$J:$J,0)-1,0),0)</f>
        <v>211050001</v>
      </c>
      <c r="AR79" s="10" t="s">
        <v>476</v>
      </c>
      <c r="AS79" s="11">
        <v>2750</v>
      </c>
      <c r="AV79" s="11">
        <f ca="1">IFERROR(OFFSET(ITEM_RES!$A$1,MATCH(AW79,ITEM_RES!$J:$J,0)-1,0),0)</f>
        <v>215050001</v>
      </c>
      <c r="AW79" s="10" t="s">
        <v>498</v>
      </c>
      <c r="AX79" s="11">
        <v>2750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488</v>
      </c>
      <c r="L80" s="9">
        <v>0</v>
      </c>
      <c r="M80" s="9">
        <v>15</v>
      </c>
      <c r="R80" s="9">
        <v>11</v>
      </c>
      <c r="S80" s="86">
        <v>3</v>
      </c>
      <c r="U80" s="86">
        <f t="shared" si="15"/>
        <v>104</v>
      </c>
      <c r="V80" s="86">
        <v>160</v>
      </c>
      <c r="W80" s="86">
        <v>1</v>
      </c>
      <c r="X80" s="86">
        <v>1</v>
      </c>
      <c r="Y80" s="86">
        <v>0</v>
      </c>
      <c r="Z80" s="9">
        <v>211040001</v>
      </c>
      <c r="AA80" s="9" t="s">
        <v>592</v>
      </c>
      <c r="AB80" s="9">
        <v>16</v>
      </c>
      <c r="AD80" s="9">
        <v>56000</v>
      </c>
      <c r="AF80" s="89">
        <f t="shared" si="28"/>
        <v>14700</v>
      </c>
      <c r="AG80" s="9">
        <f t="shared" si="20"/>
        <v>26250</v>
      </c>
      <c r="AI80" s="11">
        <f t="shared" si="25"/>
        <v>80</v>
      </c>
      <c r="AJ80" s="10">
        <v>80</v>
      </c>
      <c r="AK80" s="11">
        <f t="shared" ref="AK80" si="50">ROUND(AL80,0)</f>
        <v>700</v>
      </c>
      <c r="AL80" s="10">
        <v>700</v>
      </c>
      <c r="AM80" s="11">
        <f t="shared" ref="AM80" si="51">ROUND(AN80,0)</f>
        <v>700</v>
      </c>
      <c r="AN80" s="10">
        <v>700</v>
      </c>
      <c r="AO80" s="56">
        <f t="shared" si="31"/>
        <v>2</v>
      </c>
      <c r="AQ80" s="11">
        <f ca="1">IFERROR(OFFSET(ITEM_RES!$A$1,MATCH(AR80,ITEM_RES!$J:$J,0)-1,0),0)</f>
        <v>211050001</v>
      </c>
      <c r="AR80" s="10" t="s">
        <v>476</v>
      </c>
      <c r="AS80" s="11">
        <v>3500</v>
      </c>
      <c r="AV80" s="11">
        <f ca="1">IFERROR(OFFSET(ITEM_RES!$A$1,MATCH(AW80,ITEM_RES!$J:$J,0)-1,0),0)</f>
        <v>215050001</v>
      </c>
      <c r="AW80" s="10" t="s">
        <v>498</v>
      </c>
      <c r="AX80" s="11">
        <v>3500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488</v>
      </c>
      <c r="L81" s="9">
        <v>0</v>
      </c>
      <c r="M81" s="9">
        <v>15</v>
      </c>
      <c r="R81" s="9">
        <v>11</v>
      </c>
      <c r="S81" s="86">
        <v>3</v>
      </c>
      <c r="U81" s="86">
        <f t="shared" si="15"/>
        <v>104</v>
      </c>
      <c r="V81" s="86">
        <v>170</v>
      </c>
      <c r="W81" s="86">
        <v>1</v>
      </c>
      <c r="X81" s="86">
        <v>1</v>
      </c>
      <c r="Y81" s="86">
        <v>0</v>
      </c>
      <c r="Z81" s="9">
        <v>211040001</v>
      </c>
      <c r="AA81" s="9" t="s">
        <v>592</v>
      </c>
      <c r="AB81" s="9">
        <v>17</v>
      </c>
      <c r="AD81" s="9">
        <v>68000</v>
      </c>
      <c r="AF81" s="89">
        <f t="shared" si="28"/>
        <v>17850</v>
      </c>
      <c r="AG81" s="9">
        <f t="shared" si="20"/>
        <v>32550</v>
      </c>
      <c r="AI81" s="11">
        <f t="shared" si="25"/>
        <v>85</v>
      </c>
      <c r="AJ81" s="10">
        <v>85</v>
      </c>
      <c r="AK81" s="11">
        <f t="shared" ref="AK81" si="52">ROUND(AL81,0)</f>
        <v>850</v>
      </c>
      <c r="AL81" s="10">
        <v>850</v>
      </c>
      <c r="AM81" s="11">
        <f t="shared" ref="AM81" si="53">ROUND(AN81,0)</f>
        <v>850</v>
      </c>
      <c r="AN81" s="10">
        <v>850</v>
      </c>
      <c r="AO81" s="56">
        <f t="shared" si="31"/>
        <v>2</v>
      </c>
      <c r="AQ81" s="11">
        <f ca="1">IFERROR(OFFSET(ITEM_RES!$A$1,MATCH(AR81,ITEM_RES!$J:$J,0)-1,0),0)</f>
        <v>211050001</v>
      </c>
      <c r="AR81" s="10" t="s">
        <v>476</v>
      </c>
      <c r="AS81" s="11">
        <v>4250</v>
      </c>
      <c r="AV81" s="11">
        <f ca="1">IFERROR(OFFSET(ITEM_RES!$A$1,MATCH(AW81,ITEM_RES!$J:$J,0)-1,0),0)</f>
        <v>215050001</v>
      </c>
      <c r="AW81" s="10" t="s">
        <v>498</v>
      </c>
      <c r="AX81" s="11">
        <v>4250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488</v>
      </c>
      <c r="L82" s="9">
        <v>0</v>
      </c>
      <c r="M82" s="9">
        <v>15</v>
      </c>
      <c r="R82" s="9">
        <v>11</v>
      </c>
      <c r="S82" s="86">
        <v>3</v>
      </c>
      <c r="U82" s="86">
        <f t="shared" si="15"/>
        <v>104</v>
      </c>
      <c r="V82" s="86">
        <v>180</v>
      </c>
      <c r="W82" s="86">
        <v>1</v>
      </c>
      <c r="X82" s="86">
        <v>1</v>
      </c>
      <c r="Y82" s="86">
        <v>0</v>
      </c>
      <c r="Z82" s="9">
        <v>211040001</v>
      </c>
      <c r="AA82" s="9" t="s">
        <v>592</v>
      </c>
      <c r="AB82" s="9">
        <v>18</v>
      </c>
      <c r="AD82" s="9">
        <v>84000</v>
      </c>
      <c r="AF82" s="89">
        <f t="shared" si="28"/>
        <v>22050</v>
      </c>
      <c r="AG82" s="9">
        <f t="shared" si="20"/>
        <v>39900</v>
      </c>
      <c r="AI82" s="11">
        <f t="shared" si="25"/>
        <v>90</v>
      </c>
      <c r="AJ82" s="10">
        <v>90</v>
      </c>
      <c r="AK82" s="11">
        <f t="shared" ref="AK82" si="54">ROUND(AL82,0)</f>
        <v>1050</v>
      </c>
      <c r="AL82" s="10">
        <v>1050</v>
      </c>
      <c r="AM82" s="11">
        <f t="shared" ref="AM82" si="55">ROUND(AN82,0)</f>
        <v>1050</v>
      </c>
      <c r="AN82" s="10">
        <v>1050</v>
      </c>
      <c r="AO82" s="56">
        <f t="shared" si="31"/>
        <v>2</v>
      </c>
      <c r="AQ82" s="11">
        <f ca="1">IFERROR(OFFSET(ITEM_RES!$A$1,MATCH(AR82,ITEM_RES!$J:$J,0)-1,0),0)</f>
        <v>211050001</v>
      </c>
      <c r="AR82" s="10" t="s">
        <v>476</v>
      </c>
      <c r="AS82" s="11">
        <v>5250</v>
      </c>
      <c r="AV82" s="11">
        <f ca="1">IFERROR(OFFSET(ITEM_RES!$A$1,MATCH(AW82,ITEM_RES!$J:$J,0)-1,0),0)</f>
        <v>215050001</v>
      </c>
      <c r="AW82" s="10" t="s">
        <v>498</v>
      </c>
      <c r="AX82" s="11">
        <v>5250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488</v>
      </c>
      <c r="L83" s="9">
        <v>0</v>
      </c>
      <c r="M83" s="9">
        <v>15</v>
      </c>
      <c r="R83" s="9">
        <v>11</v>
      </c>
      <c r="S83" s="86">
        <v>3</v>
      </c>
      <c r="U83" s="86">
        <f t="shared" si="15"/>
        <v>104</v>
      </c>
      <c r="V83" s="86">
        <v>190</v>
      </c>
      <c r="W83" s="86">
        <v>1</v>
      </c>
      <c r="X83" s="86">
        <v>1</v>
      </c>
      <c r="Y83" s="86">
        <v>0</v>
      </c>
      <c r="Z83" s="9">
        <v>211040001</v>
      </c>
      <c r="AA83" s="9" t="s">
        <v>592</v>
      </c>
      <c r="AB83" s="9">
        <v>19</v>
      </c>
      <c r="AD83" s="9">
        <v>100000</v>
      </c>
      <c r="AF83" s="89">
        <f t="shared" si="28"/>
        <v>26250</v>
      </c>
      <c r="AG83" s="9">
        <f t="shared" si="20"/>
        <v>48300</v>
      </c>
      <c r="AI83" s="11">
        <f t="shared" si="25"/>
        <v>95</v>
      </c>
      <c r="AJ83" s="10">
        <v>95</v>
      </c>
      <c r="AK83" s="11">
        <f t="shared" ref="AK83" si="56">ROUND(AL83,0)</f>
        <v>1250</v>
      </c>
      <c r="AL83" s="10">
        <v>1250</v>
      </c>
      <c r="AM83" s="11">
        <f t="shared" ref="AM83" si="57">ROUND(AN83,0)</f>
        <v>1250</v>
      </c>
      <c r="AN83" s="10">
        <v>1250</v>
      </c>
      <c r="AO83" s="56">
        <f t="shared" si="31"/>
        <v>2</v>
      </c>
      <c r="AQ83" s="11">
        <f ca="1">IFERROR(OFFSET(ITEM_RES!$A$1,MATCH(AR83,ITEM_RES!$J:$J,0)-1,0),0)</f>
        <v>211050001</v>
      </c>
      <c r="AR83" s="10" t="s">
        <v>476</v>
      </c>
      <c r="AS83" s="11">
        <v>6250</v>
      </c>
      <c r="AV83" s="11">
        <f ca="1">IFERROR(OFFSET(ITEM_RES!$A$1,MATCH(AW83,ITEM_RES!$J:$J,0)-1,0),0)</f>
        <v>215050001</v>
      </c>
      <c r="AW83" s="10" t="s">
        <v>498</v>
      </c>
      <c r="AX83" s="11">
        <v>6250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488</v>
      </c>
      <c r="L84" s="9">
        <v>0</v>
      </c>
      <c r="M84" s="9">
        <v>15</v>
      </c>
      <c r="R84" s="9">
        <v>11</v>
      </c>
      <c r="S84" s="86">
        <v>3</v>
      </c>
      <c r="U84" s="86">
        <f t="shared" si="15"/>
        <v>104</v>
      </c>
      <c r="V84" s="86">
        <v>200</v>
      </c>
      <c r="W84" s="86">
        <v>1</v>
      </c>
      <c r="X84" s="86">
        <v>1</v>
      </c>
      <c r="Y84" s="86">
        <v>0</v>
      </c>
      <c r="Z84" s="9">
        <v>211040001</v>
      </c>
      <c r="AA84" s="9" t="s">
        <v>592</v>
      </c>
      <c r="AB84" s="9">
        <v>20</v>
      </c>
      <c r="AD84" s="9">
        <v>120000</v>
      </c>
      <c r="AF84" s="89">
        <f t="shared" si="28"/>
        <v>31500</v>
      </c>
      <c r="AG84" s="9">
        <f t="shared" si="20"/>
        <v>57750</v>
      </c>
      <c r="AI84" s="11">
        <f t="shared" si="25"/>
        <v>100</v>
      </c>
      <c r="AJ84" s="10">
        <v>100</v>
      </c>
      <c r="AK84" s="11">
        <f t="shared" ref="AK84" si="58">ROUND(AL84,0)</f>
        <v>1500</v>
      </c>
      <c r="AL84" s="10">
        <v>1500</v>
      </c>
      <c r="AM84" s="11">
        <f t="shared" ref="AM84" si="59">ROUND(AN84,0)</f>
        <v>1500</v>
      </c>
      <c r="AN84" s="10">
        <v>1500</v>
      </c>
      <c r="AO84" s="56">
        <f t="shared" si="31"/>
        <v>2</v>
      </c>
      <c r="AQ84" s="11">
        <f ca="1">IFERROR(OFFSET(ITEM_RES!$A$1,MATCH(AR84,ITEM_RES!$J:$J,0)-1,0),0)</f>
        <v>211050001</v>
      </c>
      <c r="AR84" s="10" t="s">
        <v>474</v>
      </c>
      <c r="AS84" s="11">
        <v>7500</v>
      </c>
      <c r="AV84" s="11">
        <f ca="1">IFERROR(OFFSET(ITEM_RES!$A$1,MATCH(AW84,ITEM_RES!$J:$J,0)-1,0),0)</f>
        <v>215050001</v>
      </c>
      <c r="AW84" s="10" t="s">
        <v>498</v>
      </c>
      <c r="AX84" s="11">
        <v>7500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113010001</v>
      </c>
      <c r="B85" s="20">
        <v>11</v>
      </c>
      <c r="C85" s="19">
        <f t="shared" si="1"/>
        <v>3</v>
      </c>
      <c r="D85" s="20">
        <v>1</v>
      </c>
      <c r="E85" s="20">
        <v>0</v>
      </c>
      <c r="F85" s="19">
        <f t="shared" si="2"/>
        <v>1</v>
      </c>
      <c r="G85" s="80"/>
      <c r="H85" s="16">
        <v>3</v>
      </c>
      <c r="I85" s="16">
        <v>1</v>
      </c>
      <c r="J85" s="80"/>
      <c r="K85" s="67" t="s">
        <v>391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8">
        <v>2</v>
      </c>
      <c r="T85" s="80"/>
      <c r="U85" s="88">
        <f t="shared" si="3"/>
        <v>301</v>
      </c>
      <c r="V85" s="88">
        <v>10</v>
      </c>
      <c r="W85" s="88">
        <v>1</v>
      </c>
      <c r="X85" s="88">
        <v>3</v>
      </c>
      <c r="Y85" s="88">
        <v>0</v>
      </c>
      <c r="Z85" s="16">
        <v>215030001</v>
      </c>
      <c r="AA85" s="16" t="s">
        <v>593</v>
      </c>
      <c r="AB85" s="16">
        <v>1</v>
      </c>
      <c r="AC85" s="80"/>
      <c r="AD85" s="16">
        <v>400</v>
      </c>
      <c r="AE85" s="80"/>
      <c r="AF85" s="91">
        <f t="shared" si="28"/>
        <v>605</v>
      </c>
      <c r="AG85" s="16">
        <f>AF85</f>
        <v>605</v>
      </c>
      <c r="AH85" s="80"/>
      <c r="AI85" s="18">
        <f t="shared" si="25"/>
        <v>5</v>
      </c>
      <c r="AJ85" s="17">
        <v>5</v>
      </c>
      <c r="AK85" s="18">
        <f t="shared" si="7"/>
        <v>5</v>
      </c>
      <c r="AL85" s="17">
        <v>5</v>
      </c>
      <c r="AM85" s="18">
        <f t="shared" si="7"/>
        <v>5</v>
      </c>
      <c r="AN85" s="17">
        <v>5</v>
      </c>
      <c r="AO85" s="57">
        <f t="shared" si="31"/>
        <v>3</v>
      </c>
      <c r="AP85" s="18"/>
      <c r="AQ85" s="18">
        <f ca="1">IFERROR(OFFSET(ITEM_RES!$A$1,MATCH(AR85,ITEM_RES!$J:$J,0)-1,0),0)</f>
        <v>211060001</v>
      </c>
      <c r="AR85" s="17" t="s">
        <v>478</v>
      </c>
      <c r="AS85" s="18">
        <v>25</v>
      </c>
      <c r="AT85" s="17"/>
      <c r="AU85" s="18"/>
      <c r="AV85" s="18">
        <f ca="1">IFERROR(OFFSET(ITEM_RES!$A$1,MATCH(AW85,ITEM_RES!$J:$J,0)-1,0),0)</f>
        <v>212010001</v>
      </c>
      <c r="AW85" s="17" t="s">
        <v>484</v>
      </c>
      <c r="AX85" s="18">
        <v>25</v>
      </c>
      <c r="AY85" s="17"/>
      <c r="AZ85" s="18"/>
      <c r="BA85" s="18">
        <f ca="1">IFERROR(OFFSET(ITEM_RES!$A$1,MATCH(BB85,ITEM_RES!$J:$J,0)-1,0),0)</f>
        <v>213010001</v>
      </c>
      <c r="BB85" s="17" t="s">
        <v>509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113010002</v>
      </c>
      <c r="B86" s="13">
        <v>11</v>
      </c>
      <c r="C86" s="12">
        <f t="shared" si="1"/>
        <v>3</v>
      </c>
      <c r="D86" s="13">
        <v>1</v>
      </c>
      <c r="E86" s="13">
        <v>0</v>
      </c>
      <c r="F86" s="12">
        <f t="shared" si="2"/>
        <v>2</v>
      </c>
      <c r="H86" s="9">
        <v>3</v>
      </c>
      <c r="I86" s="9">
        <v>2</v>
      </c>
      <c r="K86" s="9" t="s">
        <v>391</v>
      </c>
      <c r="L86" s="9">
        <v>1</v>
      </c>
      <c r="M86" s="9">
        <v>15</v>
      </c>
      <c r="R86" s="9">
        <v>22</v>
      </c>
      <c r="S86" s="86">
        <v>2</v>
      </c>
      <c r="U86" s="86">
        <f t="shared" si="3"/>
        <v>301</v>
      </c>
      <c r="V86" s="86">
        <v>20</v>
      </c>
      <c r="W86" s="86">
        <v>1</v>
      </c>
      <c r="X86" s="86">
        <v>3</v>
      </c>
      <c r="Y86" s="86">
        <v>0</v>
      </c>
      <c r="Z86" s="9">
        <v>215030001</v>
      </c>
      <c r="AA86" s="9" t="s">
        <v>593</v>
      </c>
      <c r="AB86" s="9">
        <v>2</v>
      </c>
      <c r="AD86" s="9">
        <v>800</v>
      </c>
      <c r="AF86" s="89">
        <f t="shared" si="28"/>
        <v>210</v>
      </c>
      <c r="AG86" s="9">
        <f>AF85+AF86</f>
        <v>815</v>
      </c>
      <c r="AI86" s="11">
        <f t="shared" si="25"/>
        <v>10</v>
      </c>
      <c r="AJ86" s="10">
        <v>10</v>
      </c>
      <c r="AK86" s="11">
        <f t="shared" si="7"/>
        <v>10</v>
      </c>
      <c r="AL86" s="10">
        <v>10</v>
      </c>
      <c r="AM86" s="11">
        <f t="shared" si="7"/>
        <v>10</v>
      </c>
      <c r="AN86" s="10">
        <v>10</v>
      </c>
      <c r="AO86" s="56">
        <f t="shared" si="31"/>
        <v>2</v>
      </c>
      <c r="AQ86" s="11">
        <f ca="1">IFERROR(OFFSET(ITEM_RES!$A$1,MATCH(AR86,ITEM_RES!$J:$J,0)-1,0),0)</f>
        <v>211060001</v>
      </c>
      <c r="AR86" s="10" t="s">
        <v>479</v>
      </c>
      <c r="AS86" s="11">
        <v>50</v>
      </c>
      <c r="AV86" s="11">
        <f ca="1">IFERROR(OFFSET(ITEM_RES!$A$1,MATCH(AW86,ITEM_RES!$J:$J,0)-1,0),0)</f>
        <v>212010001</v>
      </c>
      <c r="AW86" s="10" t="s">
        <v>484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113010003</v>
      </c>
      <c r="B87" s="13">
        <v>11</v>
      </c>
      <c r="C87" s="12">
        <f t="shared" si="1"/>
        <v>3</v>
      </c>
      <c r="D87" s="13">
        <v>1</v>
      </c>
      <c r="E87" s="13">
        <v>0</v>
      </c>
      <c r="F87" s="12">
        <f t="shared" si="2"/>
        <v>3</v>
      </c>
      <c r="H87" s="9">
        <v>3</v>
      </c>
      <c r="I87" s="9">
        <v>3</v>
      </c>
      <c r="K87" s="9" t="s">
        <v>391</v>
      </c>
      <c r="L87" s="9">
        <v>1</v>
      </c>
      <c r="M87" s="9">
        <v>15</v>
      </c>
      <c r="R87" s="9">
        <v>22</v>
      </c>
      <c r="S87" s="86">
        <v>2</v>
      </c>
      <c r="U87" s="86">
        <f t="shared" si="3"/>
        <v>301</v>
      </c>
      <c r="V87" s="86">
        <v>30</v>
      </c>
      <c r="W87" s="86">
        <v>1</v>
      </c>
      <c r="X87" s="86">
        <v>3</v>
      </c>
      <c r="Y87" s="86">
        <v>0</v>
      </c>
      <c r="Z87" s="9">
        <v>215030001</v>
      </c>
      <c r="AA87" s="9" t="s">
        <v>593</v>
      </c>
      <c r="AB87" s="9">
        <v>3</v>
      </c>
      <c r="AD87" s="9">
        <v>1200</v>
      </c>
      <c r="AF87" s="89">
        <f t="shared" si="28"/>
        <v>315</v>
      </c>
      <c r="AG87" s="9">
        <f t="shared" ref="AG87:AG104" si="60">AF86+AF87</f>
        <v>525</v>
      </c>
      <c r="AI87" s="11">
        <f t="shared" si="25"/>
        <v>15</v>
      </c>
      <c r="AJ87" s="10">
        <v>15</v>
      </c>
      <c r="AK87" s="11">
        <f t="shared" si="7"/>
        <v>15</v>
      </c>
      <c r="AL87" s="10">
        <v>15</v>
      </c>
      <c r="AM87" s="11">
        <f t="shared" si="7"/>
        <v>15</v>
      </c>
      <c r="AN87" s="10">
        <v>15</v>
      </c>
      <c r="AO87" s="56">
        <f t="shared" si="31"/>
        <v>2</v>
      </c>
      <c r="AQ87" s="11">
        <f ca="1">IFERROR(OFFSET(ITEM_RES!$A$1,MATCH(AR87,ITEM_RES!$J:$J,0)-1,0),0)</f>
        <v>211060001</v>
      </c>
      <c r="AR87" s="10" t="s">
        <v>478</v>
      </c>
      <c r="AS87" s="11">
        <v>75</v>
      </c>
      <c r="AV87" s="11">
        <f ca="1">IFERROR(OFFSET(ITEM_RES!$A$1,MATCH(AW87,ITEM_RES!$J:$J,0)-1,0),0)</f>
        <v>212010001</v>
      </c>
      <c r="AW87" s="10" t="s">
        <v>484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113010004</v>
      </c>
      <c r="B88" s="13">
        <v>11</v>
      </c>
      <c r="C88" s="12">
        <f t="shared" si="1"/>
        <v>3</v>
      </c>
      <c r="D88" s="13">
        <v>1</v>
      </c>
      <c r="E88" s="13">
        <v>0</v>
      </c>
      <c r="F88" s="12">
        <f t="shared" si="2"/>
        <v>4</v>
      </c>
      <c r="H88" s="9">
        <v>3</v>
      </c>
      <c r="I88" s="9">
        <v>4</v>
      </c>
      <c r="K88" s="9" t="s">
        <v>391</v>
      </c>
      <c r="L88" s="9">
        <v>1</v>
      </c>
      <c r="M88" s="9">
        <v>15</v>
      </c>
      <c r="R88" s="9">
        <v>22</v>
      </c>
      <c r="S88" s="86">
        <v>2</v>
      </c>
      <c r="U88" s="86">
        <f t="shared" si="3"/>
        <v>301</v>
      </c>
      <c r="V88" s="86">
        <v>40</v>
      </c>
      <c r="W88" s="86">
        <v>1</v>
      </c>
      <c r="X88" s="86">
        <v>3</v>
      </c>
      <c r="Y88" s="86">
        <v>0</v>
      </c>
      <c r="Z88" s="9">
        <v>215030001</v>
      </c>
      <c r="AA88" s="9" t="s">
        <v>593</v>
      </c>
      <c r="AB88" s="9">
        <v>4</v>
      </c>
      <c r="AD88" s="9">
        <v>2000</v>
      </c>
      <c r="AF88" s="89">
        <f t="shared" si="28"/>
        <v>525</v>
      </c>
      <c r="AG88" s="9">
        <f t="shared" si="60"/>
        <v>840</v>
      </c>
      <c r="AI88" s="11">
        <f t="shared" si="25"/>
        <v>20</v>
      </c>
      <c r="AJ88" s="10">
        <v>20</v>
      </c>
      <c r="AK88" s="11">
        <f t="shared" si="7"/>
        <v>25</v>
      </c>
      <c r="AL88" s="10">
        <v>25</v>
      </c>
      <c r="AM88" s="11">
        <f t="shared" si="7"/>
        <v>25</v>
      </c>
      <c r="AN88" s="10">
        <v>25</v>
      </c>
      <c r="AO88" s="56">
        <f t="shared" si="31"/>
        <v>2</v>
      </c>
      <c r="AQ88" s="11">
        <f ca="1">IFERROR(OFFSET(ITEM_RES!$A$1,MATCH(AR88,ITEM_RES!$J:$J,0)-1,0),0)</f>
        <v>211060001</v>
      </c>
      <c r="AR88" s="10" t="s">
        <v>479</v>
      </c>
      <c r="AS88" s="11">
        <v>125</v>
      </c>
      <c r="AV88" s="11">
        <f ca="1">IFERROR(OFFSET(ITEM_RES!$A$1,MATCH(AW88,ITEM_RES!$J:$J,0)-1,0),0)</f>
        <v>212010001</v>
      </c>
      <c r="AW88" s="10" t="s">
        <v>484</v>
      </c>
      <c r="AX88" s="11">
        <v>125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61">B89*10000000+C89*1000000+D89*10000+E89*100+F89</f>
        <v>113010005</v>
      </c>
      <c r="B89" s="13">
        <v>11</v>
      </c>
      <c r="C89" s="12">
        <f t="shared" ref="C89:C152" si="62">H89</f>
        <v>3</v>
      </c>
      <c r="D89" s="13">
        <v>1</v>
      </c>
      <c r="E89" s="13">
        <v>0</v>
      </c>
      <c r="F89" s="12">
        <f t="shared" ref="F89:F152" si="63">I89</f>
        <v>5</v>
      </c>
      <c r="H89" s="9">
        <v>3</v>
      </c>
      <c r="I89" s="9">
        <v>5</v>
      </c>
      <c r="K89" s="9" t="s">
        <v>391</v>
      </c>
      <c r="L89" s="9">
        <v>1</v>
      </c>
      <c r="M89" s="9">
        <v>15</v>
      </c>
      <c r="R89" s="9">
        <v>22</v>
      </c>
      <c r="S89" s="86">
        <v>2</v>
      </c>
      <c r="U89" s="86">
        <f t="shared" ref="U89:U152" si="64">C89*100+D89</f>
        <v>301</v>
      </c>
      <c r="V89" s="86">
        <v>50</v>
      </c>
      <c r="W89" s="86">
        <v>1</v>
      </c>
      <c r="X89" s="86">
        <v>3</v>
      </c>
      <c r="Y89" s="86">
        <v>0</v>
      </c>
      <c r="Z89" s="9">
        <v>215030001</v>
      </c>
      <c r="AA89" s="9" t="s">
        <v>593</v>
      </c>
      <c r="AB89" s="9">
        <v>5</v>
      </c>
      <c r="AD89" s="9">
        <v>3200</v>
      </c>
      <c r="AF89" s="89">
        <f t="shared" si="28"/>
        <v>840</v>
      </c>
      <c r="AG89" s="9">
        <f t="shared" si="60"/>
        <v>1365</v>
      </c>
      <c r="AI89" s="11">
        <f t="shared" si="25"/>
        <v>25</v>
      </c>
      <c r="AJ89" s="10">
        <v>25</v>
      </c>
      <c r="AK89" s="11">
        <f t="shared" si="7"/>
        <v>40</v>
      </c>
      <c r="AL89" s="10">
        <v>40</v>
      </c>
      <c r="AM89" s="11">
        <f t="shared" si="7"/>
        <v>40</v>
      </c>
      <c r="AN89" s="10">
        <v>40</v>
      </c>
      <c r="AO89" s="56">
        <f t="shared" si="31"/>
        <v>2</v>
      </c>
      <c r="AQ89" s="11">
        <f ca="1">IFERROR(OFFSET(ITEM_RES!$A$1,MATCH(AR89,ITEM_RES!$J:$J,0)-1,0),0)</f>
        <v>211060001</v>
      </c>
      <c r="AR89" s="10" t="s">
        <v>478</v>
      </c>
      <c r="AS89" s="11">
        <v>200</v>
      </c>
      <c r="AV89" s="11">
        <f ca="1">IFERROR(OFFSET(ITEM_RES!$A$1,MATCH(AW89,ITEM_RES!$J:$J,0)-1,0),0)</f>
        <v>212010001</v>
      </c>
      <c r="AW89" s="10" t="s">
        <v>484</v>
      </c>
      <c r="AX89" s="11">
        <v>200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65">IF(BN89&lt;100,ROUND(BN89,1-LEN(ROUND(BN89,0))),ROUND(BN89,2-LEN(ROUND(BN89,0))))</f>
        <v>0</v>
      </c>
    </row>
    <row r="90" spans="1:66" x14ac:dyDescent="0.3">
      <c r="A90" s="14">
        <f t="shared" si="61"/>
        <v>113010006</v>
      </c>
      <c r="B90" s="13">
        <v>11</v>
      </c>
      <c r="C90" s="12">
        <f t="shared" si="62"/>
        <v>3</v>
      </c>
      <c r="D90" s="13">
        <v>1</v>
      </c>
      <c r="E90" s="13">
        <v>0</v>
      </c>
      <c r="F90" s="12">
        <f t="shared" si="63"/>
        <v>6</v>
      </c>
      <c r="H90" s="9">
        <v>3</v>
      </c>
      <c r="I90" s="9">
        <v>6</v>
      </c>
      <c r="K90" s="9" t="s">
        <v>391</v>
      </c>
      <c r="L90" s="9">
        <v>1</v>
      </c>
      <c r="M90" s="9">
        <v>15</v>
      </c>
      <c r="R90" s="9">
        <v>22</v>
      </c>
      <c r="S90" s="86">
        <v>2</v>
      </c>
      <c r="U90" s="86">
        <f t="shared" si="64"/>
        <v>301</v>
      </c>
      <c r="V90" s="86">
        <v>60</v>
      </c>
      <c r="W90" s="86">
        <v>1</v>
      </c>
      <c r="X90" s="86">
        <v>3</v>
      </c>
      <c r="Y90" s="86">
        <v>0</v>
      </c>
      <c r="Z90" s="9">
        <v>215030001</v>
      </c>
      <c r="AA90" s="9" t="s">
        <v>593</v>
      </c>
      <c r="AB90" s="9">
        <v>6</v>
      </c>
      <c r="AD90" s="9">
        <v>4000</v>
      </c>
      <c r="AF90" s="89">
        <f t="shared" si="28"/>
        <v>1050</v>
      </c>
      <c r="AG90" s="9">
        <f t="shared" si="60"/>
        <v>1890</v>
      </c>
      <c r="AI90" s="11">
        <f t="shared" si="25"/>
        <v>30</v>
      </c>
      <c r="AJ90" s="10">
        <v>30</v>
      </c>
      <c r="AK90" s="11">
        <f t="shared" ref="AK90:AM153" si="66">ROUND(AL90,0)</f>
        <v>50</v>
      </c>
      <c r="AL90" s="10">
        <v>50</v>
      </c>
      <c r="AM90" s="11">
        <f t="shared" si="66"/>
        <v>50</v>
      </c>
      <c r="AN90" s="10">
        <v>50</v>
      </c>
      <c r="AO90" s="56">
        <f t="shared" si="31"/>
        <v>2</v>
      </c>
      <c r="AQ90" s="11">
        <f ca="1">IFERROR(OFFSET(ITEM_RES!$A$1,MATCH(AR90,ITEM_RES!$J:$J,0)-1,0),0)</f>
        <v>211060001</v>
      </c>
      <c r="AR90" s="10" t="s">
        <v>479</v>
      </c>
      <c r="AS90" s="11">
        <v>250</v>
      </c>
      <c r="AV90" s="11">
        <f ca="1">IFERROR(OFFSET(ITEM_RES!$A$1,MATCH(AW90,ITEM_RES!$J:$J,0)-1,0),0)</f>
        <v>212010001</v>
      </c>
      <c r="AW90" s="10" t="s">
        <v>484</v>
      </c>
      <c r="AX90" s="11">
        <v>250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65"/>
        <v>0</v>
      </c>
    </row>
    <row r="91" spans="1:66" x14ac:dyDescent="0.3">
      <c r="A91" s="14">
        <f t="shared" si="61"/>
        <v>113010007</v>
      </c>
      <c r="B91" s="13">
        <v>11</v>
      </c>
      <c r="C91" s="12">
        <f t="shared" si="62"/>
        <v>3</v>
      </c>
      <c r="D91" s="13">
        <v>1</v>
      </c>
      <c r="E91" s="13">
        <v>0</v>
      </c>
      <c r="F91" s="12">
        <f t="shared" si="63"/>
        <v>7</v>
      </c>
      <c r="H91" s="9">
        <v>3</v>
      </c>
      <c r="I91" s="9">
        <v>7</v>
      </c>
      <c r="K91" s="9" t="s">
        <v>391</v>
      </c>
      <c r="L91" s="9">
        <v>1</v>
      </c>
      <c r="M91" s="9">
        <v>15</v>
      </c>
      <c r="R91" s="9">
        <v>22</v>
      </c>
      <c r="S91" s="86">
        <v>2</v>
      </c>
      <c r="U91" s="86">
        <f t="shared" si="64"/>
        <v>301</v>
      </c>
      <c r="V91" s="86">
        <v>70</v>
      </c>
      <c r="W91" s="86">
        <v>1</v>
      </c>
      <c r="X91" s="86">
        <v>3</v>
      </c>
      <c r="Y91" s="86">
        <v>0</v>
      </c>
      <c r="Z91" s="9">
        <v>215030001</v>
      </c>
      <c r="AA91" s="9" t="s">
        <v>593</v>
      </c>
      <c r="AB91" s="9">
        <v>7</v>
      </c>
      <c r="AD91" s="9">
        <v>8000</v>
      </c>
      <c r="AF91" s="89">
        <f t="shared" si="28"/>
        <v>2100</v>
      </c>
      <c r="AG91" s="9">
        <f t="shared" si="60"/>
        <v>3150</v>
      </c>
      <c r="AI91" s="11">
        <f t="shared" si="25"/>
        <v>35</v>
      </c>
      <c r="AJ91" s="10">
        <v>35</v>
      </c>
      <c r="AK91" s="11">
        <f t="shared" si="66"/>
        <v>100</v>
      </c>
      <c r="AL91" s="10">
        <v>100</v>
      </c>
      <c r="AM91" s="11">
        <f t="shared" si="66"/>
        <v>100</v>
      </c>
      <c r="AN91" s="10">
        <v>100</v>
      </c>
      <c r="AO91" s="56">
        <f t="shared" si="31"/>
        <v>2</v>
      </c>
      <c r="AQ91" s="11">
        <f ca="1">IFERROR(OFFSET(ITEM_RES!$A$1,MATCH(AR91,ITEM_RES!$J:$J,0)-1,0),0)</f>
        <v>211060001</v>
      </c>
      <c r="AR91" s="10" t="s">
        <v>479</v>
      </c>
      <c r="AS91" s="11">
        <v>500</v>
      </c>
      <c r="AV91" s="11">
        <f ca="1">IFERROR(OFFSET(ITEM_RES!$A$1,MATCH(AW91,ITEM_RES!$J:$J,0)-1,0),0)</f>
        <v>212010001</v>
      </c>
      <c r="AW91" s="10" t="s">
        <v>484</v>
      </c>
      <c r="AX91" s="11">
        <v>500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65"/>
        <v>0</v>
      </c>
    </row>
    <row r="92" spans="1:66" x14ac:dyDescent="0.3">
      <c r="A92" s="14">
        <f t="shared" si="61"/>
        <v>113010008</v>
      </c>
      <c r="B92" s="13">
        <v>11</v>
      </c>
      <c r="C92" s="12">
        <f t="shared" si="62"/>
        <v>3</v>
      </c>
      <c r="D92" s="13">
        <v>1</v>
      </c>
      <c r="E92" s="13">
        <v>0</v>
      </c>
      <c r="F92" s="12">
        <f t="shared" si="63"/>
        <v>8</v>
      </c>
      <c r="H92" s="9">
        <v>3</v>
      </c>
      <c r="I92" s="9">
        <v>8</v>
      </c>
      <c r="K92" s="9" t="s">
        <v>391</v>
      </c>
      <c r="L92" s="9">
        <v>1</v>
      </c>
      <c r="M92" s="9">
        <v>15</v>
      </c>
      <c r="R92" s="9">
        <v>22</v>
      </c>
      <c r="S92" s="86">
        <v>2</v>
      </c>
      <c r="U92" s="86">
        <f t="shared" si="64"/>
        <v>301</v>
      </c>
      <c r="V92" s="86">
        <v>80</v>
      </c>
      <c r="W92" s="86">
        <v>1</v>
      </c>
      <c r="X92" s="86">
        <v>3</v>
      </c>
      <c r="Y92" s="86">
        <v>0</v>
      </c>
      <c r="Z92" s="9">
        <v>215030001</v>
      </c>
      <c r="AA92" s="9" t="s">
        <v>593</v>
      </c>
      <c r="AB92" s="9">
        <v>8</v>
      </c>
      <c r="AD92" s="9">
        <v>8000</v>
      </c>
      <c r="AF92" s="89">
        <f t="shared" si="28"/>
        <v>2100</v>
      </c>
      <c r="AG92" s="9">
        <f t="shared" si="60"/>
        <v>4200</v>
      </c>
      <c r="AI92" s="11">
        <f t="shared" si="25"/>
        <v>40</v>
      </c>
      <c r="AJ92" s="10">
        <v>40</v>
      </c>
      <c r="AK92" s="11">
        <f t="shared" si="66"/>
        <v>100</v>
      </c>
      <c r="AL92" s="10">
        <v>100</v>
      </c>
      <c r="AM92" s="11">
        <f t="shared" si="66"/>
        <v>100</v>
      </c>
      <c r="AN92" s="10">
        <v>100</v>
      </c>
      <c r="AO92" s="56">
        <f t="shared" si="31"/>
        <v>2</v>
      </c>
      <c r="AQ92" s="11">
        <f ca="1">IFERROR(OFFSET(ITEM_RES!$A$1,MATCH(AR92,ITEM_RES!$J:$J,0)-1,0),0)</f>
        <v>215060001</v>
      </c>
      <c r="AR92" s="10" t="s">
        <v>506</v>
      </c>
      <c r="AS92" s="11">
        <v>500</v>
      </c>
      <c r="AV92" s="11">
        <f ca="1">IFERROR(OFFSET(ITEM_RES!$A$1,MATCH(AW92,ITEM_RES!$J:$J,0)-1,0),0)</f>
        <v>212010001</v>
      </c>
      <c r="AW92" s="10" t="s">
        <v>484</v>
      </c>
      <c r="AX92" s="11">
        <v>500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65"/>
        <v>0</v>
      </c>
    </row>
    <row r="93" spans="1:66" x14ac:dyDescent="0.3">
      <c r="A93" s="14">
        <f t="shared" si="61"/>
        <v>113010009</v>
      </c>
      <c r="B93" s="13">
        <v>11</v>
      </c>
      <c r="C93" s="12">
        <f t="shared" si="62"/>
        <v>3</v>
      </c>
      <c r="D93" s="13">
        <v>1</v>
      </c>
      <c r="E93" s="13">
        <v>0</v>
      </c>
      <c r="F93" s="12">
        <f t="shared" si="63"/>
        <v>9</v>
      </c>
      <c r="H93" s="9">
        <v>3</v>
      </c>
      <c r="I93" s="9">
        <v>9</v>
      </c>
      <c r="K93" s="9" t="s">
        <v>391</v>
      </c>
      <c r="L93" s="9">
        <v>1</v>
      </c>
      <c r="M93" s="9">
        <v>15</v>
      </c>
      <c r="R93" s="9">
        <v>22</v>
      </c>
      <c r="S93" s="86">
        <v>2</v>
      </c>
      <c r="U93" s="86">
        <f t="shared" si="64"/>
        <v>301</v>
      </c>
      <c r="V93" s="86">
        <v>90</v>
      </c>
      <c r="W93" s="86">
        <v>1</v>
      </c>
      <c r="X93" s="86">
        <v>3</v>
      </c>
      <c r="Y93" s="86">
        <v>0</v>
      </c>
      <c r="Z93" s="9">
        <v>215030001</v>
      </c>
      <c r="AA93" s="9" t="s">
        <v>593</v>
      </c>
      <c r="AB93" s="9">
        <v>9</v>
      </c>
      <c r="AD93" s="9">
        <v>12000</v>
      </c>
      <c r="AF93" s="89">
        <f t="shared" si="28"/>
        <v>3150</v>
      </c>
      <c r="AG93" s="9">
        <f t="shared" si="60"/>
        <v>5250</v>
      </c>
      <c r="AI93" s="11">
        <f t="shared" si="25"/>
        <v>45</v>
      </c>
      <c r="AJ93" s="10">
        <v>45</v>
      </c>
      <c r="AK93" s="11">
        <f t="shared" si="66"/>
        <v>150</v>
      </c>
      <c r="AL93" s="10">
        <v>150</v>
      </c>
      <c r="AM93" s="11">
        <f t="shared" si="66"/>
        <v>150</v>
      </c>
      <c r="AN93" s="10">
        <v>150</v>
      </c>
      <c r="AO93" s="56">
        <f t="shared" si="31"/>
        <v>2</v>
      </c>
      <c r="AQ93" s="11">
        <f ca="1">IFERROR(OFFSET(ITEM_RES!$A$1,MATCH(AR93,ITEM_RES!$J:$J,0)-1,0),0)</f>
        <v>215060001</v>
      </c>
      <c r="AR93" s="10" t="s">
        <v>506</v>
      </c>
      <c r="AS93" s="11">
        <v>750</v>
      </c>
      <c r="AV93" s="11">
        <f ca="1">IFERROR(OFFSET(ITEM_RES!$A$1,MATCH(AW93,ITEM_RES!$J:$J,0)-1,0),0)</f>
        <v>212010001</v>
      </c>
      <c r="AW93" s="10" t="s">
        <v>484</v>
      </c>
      <c r="AX93" s="11">
        <v>750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65"/>
        <v>0</v>
      </c>
    </row>
    <row r="94" spans="1:66" x14ac:dyDescent="0.3">
      <c r="A94" s="14">
        <f t="shared" si="61"/>
        <v>113010010</v>
      </c>
      <c r="B94" s="13">
        <v>11</v>
      </c>
      <c r="C94" s="12">
        <f t="shared" si="62"/>
        <v>3</v>
      </c>
      <c r="D94" s="13">
        <v>1</v>
      </c>
      <c r="E94" s="13">
        <v>0</v>
      </c>
      <c r="F94" s="12">
        <f t="shared" si="63"/>
        <v>10</v>
      </c>
      <c r="H94" s="9">
        <v>3</v>
      </c>
      <c r="I94" s="9">
        <v>10</v>
      </c>
      <c r="K94" s="9" t="s">
        <v>391</v>
      </c>
      <c r="L94" s="9">
        <v>1</v>
      </c>
      <c r="M94" s="9">
        <v>15</v>
      </c>
      <c r="R94" s="9">
        <v>22</v>
      </c>
      <c r="S94" s="86">
        <v>2</v>
      </c>
      <c r="U94" s="86">
        <f t="shared" si="64"/>
        <v>301</v>
      </c>
      <c r="V94" s="86">
        <v>100</v>
      </c>
      <c r="W94" s="86">
        <v>1</v>
      </c>
      <c r="X94" s="86">
        <v>3</v>
      </c>
      <c r="Y94" s="86">
        <v>0</v>
      </c>
      <c r="Z94" s="9">
        <v>215030001</v>
      </c>
      <c r="AA94" s="9" t="s">
        <v>593</v>
      </c>
      <c r="AB94" s="9">
        <v>10</v>
      </c>
      <c r="AD94" s="9">
        <v>16000</v>
      </c>
      <c r="AF94" s="89">
        <f t="shared" si="28"/>
        <v>4200</v>
      </c>
      <c r="AG94" s="9">
        <f t="shared" si="60"/>
        <v>7350</v>
      </c>
      <c r="AI94" s="11">
        <f t="shared" si="25"/>
        <v>50</v>
      </c>
      <c r="AJ94" s="10">
        <v>50</v>
      </c>
      <c r="AK94" s="11">
        <f t="shared" si="66"/>
        <v>200</v>
      </c>
      <c r="AL94" s="10">
        <v>200</v>
      </c>
      <c r="AM94" s="11">
        <f t="shared" si="66"/>
        <v>200</v>
      </c>
      <c r="AN94" s="10">
        <v>200</v>
      </c>
      <c r="AO94" s="56">
        <f t="shared" si="31"/>
        <v>2</v>
      </c>
      <c r="AQ94" s="11">
        <f ca="1">IFERROR(OFFSET(ITEM_RES!$A$1,MATCH(AR94,ITEM_RES!$J:$J,0)-1,0),0)</f>
        <v>215060001</v>
      </c>
      <c r="AR94" s="10" t="s">
        <v>506</v>
      </c>
      <c r="AS94" s="11">
        <v>1000</v>
      </c>
      <c r="AV94" s="11">
        <f ca="1">IFERROR(OFFSET(ITEM_RES!$A$1,MATCH(AW94,ITEM_RES!$J:$J,0)-1,0),0)</f>
        <v>212010001</v>
      </c>
      <c r="AW94" s="10" t="s">
        <v>484</v>
      </c>
      <c r="AX94" s="11">
        <v>1000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65"/>
        <v>0</v>
      </c>
    </row>
    <row r="95" spans="1:66" x14ac:dyDescent="0.3">
      <c r="A95" s="14">
        <f t="shared" si="61"/>
        <v>113010011</v>
      </c>
      <c r="B95" s="13">
        <v>11</v>
      </c>
      <c r="C95" s="12">
        <f t="shared" si="62"/>
        <v>3</v>
      </c>
      <c r="D95" s="13">
        <v>1</v>
      </c>
      <c r="E95" s="13">
        <v>0</v>
      </c>
      <c r="F95" s="12">
        <f t="shared" si="63"/>
        <v>11</v>
      </c>
      <c r="H95" s="9">
        <v>3</v>
      </c>
      <c r="I95" s="9">
        <v>11</v>
      </c>
      <c r="K95" s="9" t="s">
        <v>391</v>
      </c>
      <c r="L95" s="9">
        <v>1</v>
      </c>
      <c r="M95" s="9">
        <v>15</v>
      </c>
      <c r="R95" s="9">
        <v>22</v>
      </c>
      <c r="S95" s="86">
        <v>2</v>
      </c>
      <c r="U95" s="86">
        <f t="shared" si="64"/>
        <v>301</v>
      </c>
      <c r="V95" s="86">
        <v>110</v>
      </c>
      <c r="W95" s="86">
        <v>1</v>
      </c>
      <c r="X95" s="86">
        <v>3</v>
      </c>
      <c r="Y95" s="86">
        <v>0</v>
      </c>
      <c r="Z95" s="9">
        <v>215030001</v>
      </c>
      <c r="AA95" s="9" t="s">
        <v>593</v>
      </c>
      <c r="AB95" s="9">
        <v>11</v>
      </c>
      <c r="AD95" s="9">
        <v>20000</v>
      </c>
      <c r="AF95" s="89">
        <f t="shared" si="28"/>
        <v>5250</v>
      </c>
      <c r="AG95" s="9">
        <f t="shared" si="60"/>
        <v>9450</v>
      </c>
      <c r="AI95" s="11">
        <f t="shared" si="25"/>
        <v>55</v>
      </c>
      <c r="AJ95" s="10">
        <v>55</v>
      </c>
      <c r="AK95" s="11">
        <f t="shared" si="66"/>
        <v>250</v>
      </c>
      <c r="AL95" s="10">
        <v>250</v>
      </c>
      <c r="AM95" s="11">
        <f t="shared" si="66"/>
        <v>250</v>
      </c>
      <c r="AN95" s="10">
        <v>250</v>
      </c>
      <c r="AO95" s="56">
        <f t="shared" si="31"/>
        <v>2</v>
      </c>
      <c r="AQ95" s="11">
        <f ca="1">IFERROR(OFFSET(ITEM_RES!$A$1,MATCH(AR95,ITEM_RES!$J:$J,0)-1,0),0)</f>
        <v>211070001</v>
      </c>
      <c r="AR95" s="10" t="s">
        <v>494</v>
      </c>
      <c r="AS95" s="11">
        <v>1250</v>
      </c>
      <c r="AV95" s="11">
        <f ca="1">IFERROR(OFFSET(ITEM_RES!$A$1,MATCH(AW95,ITEM_RES!$J:$J,0)-1,0),0)</f>
        <v>212010001</v>
      </c>
      <c r="AW95" s="10" t="s">
        <v>484</v>
      </c>
      <c r="AX95" s="11">
        <v>1250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65"/>
        <v>0</v>
      </c>
    </row>
    <row r="96" spans="1:66" x14ac:dyDescent="0.3">
      <c r="A96" s="14">
        <f t="shared" si="61"/>
        <v>113010012</v>
      </c>
      <c r="B96" s="13">
        <v>11</v>
      </c>
      <c r="C96" s="12">
        <f t="shared" si="62"/>
        <v>3</v>
      </c>
      <c r="D96" s="13">
        <v>1</v>
      </c>
      <c r="E96" s="13">
        <v>0</v>
      </c>
      <c r="F96" s="12">
        <f t="shared" si="63"/>
        <v>12</v>
      </c>
      <c r="H96" s="9">
        <v>3</v>
      </c>
      <c r="I96" s="9">
        <v>12</v>
      </c>
      <c r="K96" s="9" t="s">
        <v>391</v>
      </c>
      <c r="L96" s="9">
        <v>1</v>
      </c>
      <c r="M96" s="9">
        <v>15</v>
      </c>
      <c r="R96" s="9">
        <v>22</v>
      </c>
      <c r="S96" s="86">
        <v>2</v>
      </c>
      <c r="U96" s="86">
        <f t="shared" si="64"/>
        <v>301</v>
      </c>
      <c r="V96" s="86">
        <v>120</v>
      </c>
      <c r="W96" s="86">
        <v>1</v>
      </c>
      <c r="X96" s="86">
        <v>3</v>
      </c>
      <c r="Y96" s="86">
        <v>0</v>
      </c>
      <c r="Z96" s="9">
        <v>215030001</v>
      </c>
      <c r="AA96" s="9" t="s">
        <v>593</v>
      </c>
      <c r="AB96" s="9">
        <v>12</v>
      </c>
      <c r="AD96" s="9">
        <v>24000</v>
      </c>
      <c r="AF96" s="89">
        <f t="shared" si="28"/>
        <v>6800</v>
      </c>
      <c r="AG96" s="9">
        <f t="shared" si="60"/>
        <v>12050</v>
      </c>
      <c r="AI96" s="11">
        <f t="shared" si="25"/>
        <v>60</v>
      </c>
      <c r="AJ96" s="10">
        <v>60</v>
      </c>
      <c r="AK96" s="11">
        <f t="shared" si="66"/>
        <v>300</v>
      </c>
      <c r="AL96" s="10">
        <v>300</v>
      </c>
      <c r="AM96" s="11">
        <f t="shared" si="66"/>
        <v>300</v>
      </c>
      <c r="AN96" s="10">
        <v>300</v>
      </c>
      <c r="AO96" s="56">
        <f t="shared" si="31"/>
        <v>3</v>
      </c>
      <c r="AQ96" s="11">
        <f ca="1">IFERROR(OFFSET(ITEM_RES!$A$1,MATCH(AR96,ITEM_RES!$J:$J,0)-1,0),0)</f>
        <v>211070001</v>
      </c>
      <c r="AR96" s="10" t="s">
        <v>494</v>
      </c>
      <c r="AS96" s="11">
        <v>1500</v>
      </c>
      <c r="AV96" s="11">
        <f ca="1">IFERROR(OFFSET(ITEM_RES!$A$1,MATCH(AW96,ITEM_RES!$J:$J,0)-1,0),0)</f>
        <v>212010001</v>
      </c>
      <c r="AW96" s="10" t="s">
        <v>484</v>
      </c>
      <c r="AX96" s="11">
        <v>1500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213070001</v>
      </c>
      <c r="BG96" s="10" t="s">
        <v>518</v>
      </c>
      <c r="BH96" s="11">
        <v>1</v>
      </c>
      <c r="BK96" s="11">
        <f ca="1">IFERROR(OFFSET(ITEM_RES!$A$1,MATCH(BL96,ITEM_RES!$J:$J,0)-1,0),0)</f>
        <v>0</v>
      </c>
      <c r="BM96" s="11">
        <f t="shared" si="65"/>
        <v>0</v>
      </c>
    </row>
    <row r="97" spans="1:66" x14ac:dyDescent="0.3">
      <c r="A97" s="14">
        <f t="shared" si="61"/>
        <v>113010013</v>
      </c>
      <c r="B97" s="13">
        <v>11</v>
      </c>
      <c r="C97" s="12">
        <f t="shared" si="62"/>
        <v>3</v>
      </c>
      <c r="D97" s="13">
        <v>1</v>
      </c>
      <c r="E97" s="13">
        <v>0</v>
      </c>
      <c r="F97" s="12">
        <f t="shared" si="63"/>
        <v>13</v>
      </c>
      <c r="H97" s="9">
        <v>3</v>
      </c>
      <c r="I97" s="9">
        <v>13</v>
      </c>
      <c r="K97" s="9" t="s">
        <v>391</v>
      </c>
      <c r="L97" s="9">
        <v>1</v>
      </c>
      <c r="M97" s="9">
        <v>15</v>
      </c>
      <c r="R97" s="9">
        <v>22</v>
      </c>
      <c r="S97" s="86">
        <v>2</v>
      </c>
      <c r="U97" s="86">
        <f t="shared" si="64"/>
        <v>301</v>
      </c>
      <c r="V97" s="86">
        <v>130</v>
      </c>
      <c r="W97" s="86">
        <v>1</v>
      </c>
      <c r="X97" s="86">
        <v>3</v>
      </c>
      <c r="Y97" s="86">
        <v>0</v>
      </c>
      <c r="Z97" s="9">
        <v>215030001</v>
      </c>
      <c r="AA97" s="9" t="s">
        <v>593</v>
      </c>
      <c r="AB97" s="9">
        <v>13</v>
      </c>
      <c r="AD97" s="9">
        <v>28000</v>
      </c>
      <c r="AF97" s="89">
        <f t="shared" si="28"/>
        <v>7350</v>
      </c>
      <c r="AG97" s="9">
        <f t="shared" si="60"/>
        <v>14150</v>
      </c>
      <c r="AI97" s="11">
        <f t="shared" si="25"/>
        <v>65</v>
      </c>
      <c r="AJ97" s="10">
        <v>65</v>
      </c>
      <c r="AK97" s="11">
        <f t="shared" si="66"/>
        <v>350</v>
      </c>
      <c r="AL97" s="10">
        <v>350</v>
      </c>
      <c r="AM97" s="11">
        <f t="shared" si="66"/>
        <v>350</v>
      </c>
      <c r="AN97" s="10">
        <v>350</v>
      </c>
      <c r="AO97" s="56">
        <f t="shared" si="31"/>
        <v>2</v>
      </c>
      <c r="AQ97" s="11">
        <f ca="1">IFERROR(OFFSET(ITEM_RES!$A$1,MATCH(AR97,ITEM_RES!$J:$J,0)-1,0),0)</f>
        <v>211070001</v>
      </c>
      <c r="AR97" s="10" t="s">
        <v>494</v>
      </c>
      <c r="AS97" s="11">
        <v>1750</v>
      </c>
      <c r="AV97" s="11">
        <f ca="1">IFERROR(OFFSET(ITEM_RES!$A$1,MATCH(AW97,ITEM_RES!$J:$J,0)-1,0),0)</f>
        <v>212010001</v>
      </c>
      <c r="AW97" s="10" t="s">
        <v>484</v>
      </c>
      <c r="AX97" s="11">
        <v>1750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65"/>
        <v>0</v>
      </c>
    </row>
    <row r="98" spans="1:66" x14ac:dyDescent="0.3">
      <c r="A98" s="14">
        <f t="shared" si="61"/>
        <v>113010014</v>
      </c>
      <c r="B98" s="13">
        <v>11</v>
      </c>
      <c r="C98" s="12">
        <f t="shared" si="62"/>
        <v>3</v>
      </c>
      <c r="D98" s="13">
        <v>1</v>
      </c>
      <c r="E98" s="13">
        <v>0</v>
      </c>
      <c r="F98" s="12">
        <f t="shared" si="63"/>
        <v>14</v>
      </c>
      <c r="H98" s="9">
        <v>3</v>
      </c>
      <c r="I98" s="9">
        <v>14</v>
      </c>
      <c r="K98" s="9" t="s">
        <v>391</v>
      </c>
      <c r="L98" s="9">
        <v>1</v>
      </c>
      <c r="M98" s="9">
        <v>15</v>
      </c>
      <c r="R98" s="9">
        <v>22</v>
      </c>
      <c r="S98" s="86">
        <v>2</v>
      </c>
      <c r="U98" s="86">
        <f t="shared" si="64"/>
        <v>301</v>
      </c>
      <c r="V98" s="86">
        <v>140</v>
      </c>
      <c r="W98" s="86">
        <v>1</v>
      </c>
      <c r="X98" s="86">
        <v>3</v>
      </c>
      <c r="Y98" s="86">
        <v>0</v>
      </c>
      <c r="Z98" s="9">
        <v>215030001</v>
      </c>
      <c r="AA98" s="9" t="s">
        <v>593</v>
      </c>
      <c r="AB98" s="9">
        <v>14</v>
      </c>
      <c r="AD98" s="9">
        <v>36000</v>
      </c>
      <c r="AF98" s="89">
        <f t="shared" si="28"/>
        <v>9450</v>
      </c>
      <c r="AG98" s="9">
        <f t="shared" si="60"/>
        <v>16800</v>
      </c>
      <c r="AI98" s="11">
        <f t="shared" si="25"/>
        <v>70</v>
      </c>
      <c r="AJ98" s="10">
        <v>70</v>
      </c>
      <c r="AK98" s="11">
        <f t="shared" si="66"/>
        <v>450</v>
      </c>
      <c r="AL98" s="10">
        <v>450</v>
      </c>
      <c r="AM98" s="11">
        <f t="shared" si="66"/>
        <v>450</v>
      </c>
      <c r="AN98" s="10">
        <v>450</v>
      </c>
      <c r="AO98" s="56">
        <f t="shared" si="31"/>
        <v>2</v>
      </c>
      <c r="AQ98" s="11">
        <f ca="1">IFERROR(OFFSET(ITEM_RES!$A$1,MATCH(AR98,ITEM_RES!$J:$J,0)-1,0),0)</f>
        <v>211070001</v>
      </c>
      <c r="AR98" s="10" t="s">
        <v>494</v>
      </c>
      <c r="AS98" s="11">
        <v>2250</v>
      </c>
      <c r="AV98" s="11">
        <f ca="1">IFERROR(OFFSET(ITEM_RES!$A$1,MATCH(AW98,ITEM_RES!$J:$J,0)-1,0),0)</f>
        <v>212010001</v>
      </c>
      <c r="AW98" s="10" t="s">
        <v>484</v>
      </c>
      <c r="AX98" s="11">
        <v>2250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65"/>
        <v>0</v>
      </c>
    </row>
    <row r="99" spans="1:66" x14ac:dyDescent="0.3">
      <c r="A99" s="14">
        <f t="shared" si="61"/>
        <v>113010015</v>
      </c>
      <c r="B99" s="13">
        <v>11</v>
      </c>
      <c r="C99" s="12">
        <f t="shared" si="62"/>
        <v>3</v>
      </c>
      <c r="D99" s="13">
        <v>1</v>
      </c>
      <c r="E99" s="13">
        <v>0</v>
      </c>
      <c r="F99" s="12">
        <f t="shared" si="63"/>
        <v>15</v>
      </c>
      <c r="H99" s="9">
        <v>3</v>
      </c>
      <c r="I99" s="9">
        <v>15</v>
      </c>
      <c r="K99" s="9" t="s">
        <v>391</v>
      </c>
      <c r="L99" s="9">
        <v>1</v>
      </c>
      <c r="M99" s="9">
        <v>15</v>
      </c>
      <c r="R99" s="9">
        <v>22</v>
      </c>
      <c r="S99" s="86">
        <v>2</v>
      </c>
      <c r="U99" s="86">
        <f t="shared" si="64"/>
        <v>301</v>
      </c>
      <c r="V99" s="86">
        <v>150</v>
      </c>
      <c r="W99" s="86">
        <v>1</v>
      </c>
      <c r="X99" s="86">
        <v>3</v>
      </c>
      <c r="Y99" s="86">
        <v>0</v>
      </c>
      <c r="Z99" s="9">
        <v>215030001</v>
      </c>
      <c r="AA99" s="9" t="s">
        <v>593</v>
      </c>
      <c r="AB99" s="9">
        <v>15</v>
      </c>
      <c r="AD99" s="9">
        <v>44000</v>
      </c>
      <c r="AF99" s="89">
        <f t="shared" si="28"/>
        <v>11550</v>
      </c>
      <c r="AG99" s="9">
        <f t="shared" si="60"/>
        <v>21000</v>
      </c>
      <c r="AI99" s="11">
        <f t="shared" si="25"/>
        <v>75</v>
      </c>
      <c r="AJ99" s="10">
        <v>75</v>
      </c>
      <c r="AK99" s="11">
        <f t="shared" si="66"/>
        <v>550</v>
      </c>
      <c r="AL99" s="10">
        <v>550</v>
      </c>
      <c r="AM99" s="11">
        <f t="shared" si="66"/>
        <v>550</v>
      </c>
      <c r="AN99" s="10">
        <v>550</v>
      </c>
      <c r="AO99" s="56">
        <f t="shared" si="31"/>
        <v>2</v>
      </c>
      <c r="AQ99" s="11">
        <f ca="1">IFERROR(OFFSET(ITEM_RES!$A$1,MATCH(AR99,ITEM_RES!$J:$J,0)-1,0),0)</f>
        <v>211070001</v>
      </c>
      <c r="AR99" s="10" t="s">
        <v>494</v>
      </c>
      <c r="AS99" s="11">
        <v>2750</v>
      </c>
      <c r="AV99" s="11">
        <f ca="1">IFERROR(OFFSET(ITEM_RES!$A$1,MATCH(AW99,ITEM_RES!$J:$J,0)-1,0),0)</f>
        <v>215070001</v>
      </c>
      <c r="AW99" s="10" t="s">
        <v>480</v>
      </c>
      <c r="AX99" s="11">
        <v>2750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65"/>
        <v>0</v>
      </c>
    </row>
    <row r="100" spans="1:66" x14ac:dyDescent="0.3">
      <c r="A100" s="14">
        <f t="shared" si="61"/>
        <v>113010016</v>
      </c>
      <c r="B100" s="13">
        <v>11</v>
      </c>
      <c r="C100" s="12">
        <f t="shared" si="62"/>
        <v>3</v>
      </c>
      <c r="D100" s="13">
        <v>1</v>
      </c>
      <c r="E100" s="13">
        <v>0</v>
      </c>
      <c r="F100" s="12">
        <f t="shared" si="63"/>
        <v>16</v>
      </c>
      <c r="H100" s="9">
        <v>3</v>
      </c>
      <c r="I100" s="9">
        <v>16</v>
      </c>
      <c r="K100" s="9" t="s">
        <v>391</v>
      </c>
      <c r="L100" s="9">
        <v>0</v>
      </c>
      <c r="M100" s="9">
        <v>15</v>
      </c>
      <c r="R100" s="9">
        <v>22</v>
      </c>
      <c r="S100" s="86">
        <v>2</v>
      </c>
      <c r="U100" s="86">
        <f t="shared" si="64"/>
        <v>301</v>
      </c>
      <c r="V100" s="86">
        <v>160</v>
      </c>
      <c r="W100" s="86">
        <v>1</v>
      </c>
      <c r="X100" s="86">
        <v>3</v>
      </c>
      <c r="Y100" s="86">
        <v>0</v>
      </c>
      <c r="Z100" s="9">
        <v>215030001</v>
      </c>
      <c r="AA100" s="9" t="s">
        <v>593</v>
      </c>
      <c r="AB100" s="9">
        <v>16</v>
      </c>
      <c r="AD100" s="9">
        <v>56000</v>
      </c>
      <c r="AF100" s="89">
        <f t="shared" si="28"/>
        <v>14700</v>
      </c>
      <c r="AG100" s="9">
        <f t="shared" si="60"/>
        <v>26250</v>
      </c>
      <c r="AI100" s="11">
        <f t="shared" si="25"/>
        <v>80</v>
      </c>
      <c r="AJ100" s="10">
        <v>80</v>
      </c>
      <c r="AK100" s="11">
        <f t="shared" si="66"/>
        <v>700</v>
      </c>
      <c r="AL100" s="10">
        <v>700</v>
      </c>
      <c r="AM100" s="11">
        <f t="shared" si="66"/>
        <v>700</v>
      </c>
      <c r="AN100" s="10">
        <v>700</v>
      </c>
      <c r="AO100" s="56">
        <f t="shared" si="31"/>
        <v>2</v>
      </c>
      <c r="AQ100" s="11">
        <f ca="1">IFERROR(OFFSET(ITEM_RES!$A$1,MATCH(AR100,ITEM_RES!$J:$J,0)-1,0),0)</f>
        <v>211070001</v>
      </c>
      <c r="AR100" s="10" t="s">
        <v>494</v>
      </c>
      <c r="AS100" s="11">
        <v>3500</v>
      </c>
      <c r="AV100" s="11">
        <f ca="1">IFERROR(OFFSET(ITEM_RES!$A$1,MATCH(AW100,ITEM_RES!$J:$J,0)-1,0),0)</f>
        <v>215070001</v>
      </c>
      <c r="AW100" s="10" t="s">
        <v>480</v>
      </c>
      <c r="AX100" s="11">
        <v>3500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65"/>
        <v>0</v>
      </c>
    </row>
    <row r="101" spans="1:66" x14ac:dyDescent="0.3">
      <c r="A101" s="14">
        <f t="shared" si="61"/>
        <v>113010017</v>
      </c>
      <c r="B101" s="13">
        <v>11</v>
      </c>
      <c r="C101" s="12">
        <f t="shared" si="62"/>
        <v>3</v>
      </c>
      <c r="D101" s="13">
        <v>1</v>
      </c>
      <c r="E101" s="13">
        <v>0</v>
      </c>
      <c r="F101" s="12">
        <f t="shared" si="63"/>
        <v>17</v>
      </c>
      <c r="H101" s="9">
        <v>3</v>
      </c>
      <c r="I101" s="9">
        <v>17</v>
      </c>
      <c r="K101" s="9" t="s">
        <v>391</v>
      </c>
      <c r="L101" s="9">
        <v>0</v>
      </c>
      <c r="M101" s="9">
        <v>15</v>
      </c>
      <c r="R101" s="9">
        <v>22</v>
      </c>
      <c r="S101" s="86">
        <v>2</v>
      </c>
      <c r="U101" s="86">
        <f t="shared" si="64"/>
        <v>301</v>
      </c>
      <c r="V101" s="86">
        <v>170</v>
      </c>
      <c r="W101" s="86">
        <v>1</v>
      </c>
      <c r="X101" s="86">
        <v>3</v>
      </c>
      <c r="Y101" s="86">
        <v>0</v>
      </c>
      <c r="Z101" s="9">
        <v>215030001</v>
      </c>
      <c r="AA101" s="9" t="s">
        <v>593</v>
      </c>
      <c r="AB101" s="9">
        <v>17</v>
      </c>
      <c r="AD101" s="9">
        <v>68000</v>
      </c>
      <c r="AF101" s="89">
        <f t="shared" si="28"/>
        <v>17850</v>
      </c>
      <c r="AG101" s="9">
        <f t="shared" si="60"/>
        <v>32550</v>
      </c>
      <c r="AI101" s="11">
        <f t="shared" si="25"/>
        <v>85</v>
      </c>
      <c r="AJ101" s="10">
        <v>85</v>
      </c>
      <c r="AK101" s="11">
        <f t="shared" si="66"/>
        <v>850</v>
      </c>
      <c r="AL101" s="10">
        <v>850</v>
      </c>
      <c r="AM101" s="11">
        <f t="shared" si="66"/>
        <v>850</v>
      </c>
      <c r="AN101" s="10">
        <v>850</v>
      </c>
      <c r="AO101" s="56">
        <f t="shared" si="31"/>
        <v>2</v>
      </c>
      <c r="AQ101" s="11">
        <f ca="1">IFERROR(OFFSET(ITEM_RES!$A$1,MATCH(AR101,ITEM_RES!$J:$J,0)-1,0),0)</f>
        <v>211070001</v>
      </c>
      <c r="AR101" s="10" t="s">
        <v>494</v>
      </c>
      <c r="AS101" s="11">
        <v>4250</v>
      </c>
      <c r="AV101" s="11">
        <f ca="1">IFERROR(OFFSET(ITEM_RES!$A$1,MATCH(AW101,ITEM_RES!$J:$J,0)-1,0),0)</f>
        <v>215070001</v>
      </c>
      <c r="AW101" s="10" t="s">
        <v>480</v>
      </c>
      <c r="AX101" s="11">
        <v>4250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65"/>
        <v>0</v>
      </c>
    </row>
    <row r="102" spans="1:66" x14ac:dyDescent="0.3">
      <c r="A102" s="14">
        <f t="shared" si="61"/>
        <v>113010018</v>
      </c>
      <c r="B102" s="13">
        <v>11</v>
      </c>
      <c r="C102" s="12">
        <f t="shared" si="62"/>
        <v>3</v>
      </c>
      <c r="D102" s="13">
        <v>1</v>
      </c>
      <c r="E102" s="13">
        <v>0</v>
      </c>
      <c r="F102" s="12">
        <f t="shared" si="63"/>
        <v>18</v>
      </c>
      <c r="H102" s="9">
        <v>3</v>
      </c>
      <c r="I102" s="9">
        <v>18</v>
      </c>
      <c r="K102" s="9" t="s">
        <v>391</v>
      </c>
      <c r="L102" s="9">
        <v>0</v>
      </c>
      <c r="M102" s="9">
        <v>15</v>
      </c>
      <c r="R102" s="9">
        <v>22</v>
      </c>
      <c r="S102" s="86">
        <v>2</v>
      </c>
      <c r="U102" s="86">
        <f t="shared" si="64"/>
        <v>301</v>
      </c>
      <c r="V102" s="86">
        <v>180</v>
      </c>
      <c r="W102" s="86">
        <v>1</v>
      </c>
      <c r="X102" s="86">
        <v>3</v>
      </c>
      <c r="Y102" s="86">
        <v>0</v>
      </c>
      <c r="Z102" s="9">
        <v>215030001</v>
      </c>
      <c r="AA102" s="9" t="s">
        <v>593</v>
      </c>
      <c r="AB102" s="9">
        <v>18</v>
      </c>
      <c r="AD102" s="9">
        <v>84000</v>
      </c>
      <c r="AF102" s="89">
        <f t="shared" si="28"/>
        <v>22050</v>
      </c>
      <c r="AG102" s="9">
        <f t="shared" si="60"/>
        <v>39900</v>
      </c>
      <c r="AI102" s="11">
        <f t="shared" si="25"/>
        <v>90</v>
      </c>
      <c r="AJ102" s="10">
        <v>90</v>
      </c>
      <c r="AK102" s="11">
        <f t="shared" si="66"/>
        <v>1050</v>
      </c>
      <c r="AL102" s="10">
        <v>1050</v>
      </c>
      <c r="AM102" s="11">
        <f t="shared" si="66"/>
        <v>1050</v>
      </c>
      <c r="AN102" s="10">
        <v>1050</v>
      </c>
      <c r="AO102" s="56">
        <f t="shared" si="31"/>
        <v>2</v>
      </c>
      <c r="AQ102" s="11">
        <f ca="1">IFERROR(OFFSET(ITEM_RES!$A$1,MATCH(AR102,ITEM_RES!$J:$J,0)-1,0),0)</f>
        <v>215080001</v>
      </c>
      <c r="AR102" s="10" t="s">
        <v>507</v>
      </c>
      <c r="AS102" s="11">
        <v>5250</v>
      </c>
      <c r="AV102" s="11">
        <f ca="1">IFERROR(OFFSET(ITEM_RES!$A$1,MATCH(AW102,ITEM_RES!$J:$J,0)-1,0),0)</f>
        <v>215070001</v>
      </c>
      <c r="AW102" s="10" t="s">
        <v>480</v>
      </c>
      <c r="AX102" s="11">
        <v>5250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65"/>
        <v>0</v>
      </c>
    </row>
    <row r="103" spans="1:66" x14ac:dyDescent="0.3">
      <c r="A103" s="14">
        <f t="shared" si="61"/>
        <v>113010019</v>
      </c>
      <c r="B103" s="13">
        <v>11</v>
      </c>
      <c r="C103" s="12">
        <f t="shared" si="62"/>
        <v>3</v>
      </c>
      <c r="D103" s="13">
        <v>1</v>
      </c>
      <c r="E103" s="13">
        <v>0</v>
      </c>
      <c r="F103" s="12">
        <f t="shared" si="63"/>
        <v>19</v>
      </c>
      <c r="H103" s="9">
        <v>3</v>
      </c>
      <c r="I103" s="9">
        <v>19</v>
      </c>
      <c r="K103" s="9" t="s">
        <v>391</v>
      </c>
      <c r="L103" s="9">
        <v>0</v>
      </c>
      <c r="M103" s="9">
        <v>15</v>
      </c>
      <c r="R103" s="9">
        <v>22</v>
      </c>
      <c r="S103" s="86">
        <v>2</v>
      </c>
      <c r="U103" s="86">
        <f t="shared" si="64"/>
        <v>301</v>
      </c>
      <c r="V103" s="86">
        <v>190</v>
      </c>
      <c r="W103" s="86">
        <v>1</v>
      </c>
      <c r="X103" s="86">
        <v>3</v>
      </c>
      <c r="Y103" s="86">
        <v>0</v>
      </c>
      <c r="Z103" s="9">
        <v>215030001</v>
      </c>
      <c r="AA103" s="9" t="s">
        <v>593</v>
      </c>
      <c r="AB103" s="9">
        <v>19</v>
      </c>
      <c r="AD103" s="9">
        <v>100000</v>
      </c>
      <c r="AF103" s="89">
        <f t="shared" si="28"/>
        <v>26250</v>
      </c>
      <c r="AG103" s="9">
        <f t="shared" si="60"/>
        <v>48300</v>
      </c>
      <c r="AI103" s="11">
        <f t="shared" si="25"/>
        <v>95</v>
      </c>
      <c r="AJ103" s="10">
        <v>95</v>
      </c>
      <c r="AK103" s="11">
        <f t="shared" si="66"/>
        <v>1250</v>
      </c>
      <c r="AL103" s="10">
        <v>1250</v>
      </c>
      <c r="AM103" s="11">
        <f t="shared" si="66"/>
        <v>1250</v>
      </c>
      <c r="AN103" s="10">
        <v>1250</v>
      </c>
      <c r="AO103" s="56">
        <f t="shared" si="31"/>
        <v>2</v>
      </c>
      <c r="AQ103" s="11">
        <f ca="1">IFERROR(OFFSET(ITEM_RES!$A$1,MATCH(AR103,ITEM_RES!$J:$J,0)-1,0),0)</f>
        <v>215080001</v>
      </c>
      <c r="AR103" s="10" t="s">
        <v>507</v>
      </c>
      <c r="AS103" s="11">
        <v>6250</v>
      </c>
      <c r="AV103" s="11">
        <f ca="1">IFERROR(OFFSET(ITEM_RES!$A$1,MATCH(AW103,ITEM_RES!$J:$J,0)-1,0),0)</f>
        <v>215070001</v>
      </c>
      <c r="AW103" s="10" t="s">
        <v>480</v>
      </c>
      <c r="AX103" s="11">
        <v>6250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65"/>
        <v>0</v>
      </c>
    </row>
    <row r="104" spans="1:66" ht="17.25" thickBot="1" x14ac:dyDescent="0.35">
      <c r="A104" s="14">
        <f t="shared" si="61"/>
        <v>113010020</v>
      </c>
      <c r="B104" s="13">
        <v>11</v>
      </c>
      <c r="C104" s="12">
        <f t="shared" si="62"/>
        <v>3</v>
      </c>
      <c r="D104" s="13">
        <v>1</v>
      </c>
      <c r="E104" s="13">
        <v>0</v>
      </c>
      <c r="F104" s="12">
        <f t="shared" si="63"/>
        <v>20</v>
      </c>
      <c r="H104" s="9">
        <v>3</v>
      </c>
      <c r="I104" s="9">
        <v>20</v>
      </c>
      <c r="K104" s="9" t="s">
        <v>391</v>
      </c>
      <c r="L104" s="9">
        <v>0</v>
      </c>
      <c r="M104" s="9">
        <v>15</v>
      </c>
      <c r="R104" s="9">
        <v>22</v>
      </c>
      <c r="S104" s="86">
        <v>2</v>
      </c>
      <c r="U104" s="86">
        <f t="shared" si="64"/>
        <v>301</v>
      </c>
      <c r="V104" s="86">
        <v>200</v>
      </c>
      <c r="W104" s="86">
        <v>1</v>
      </c>
      <c r="X104" s="86">
        <v>3</v>
      </c>
      <c r="Y104" s="86">
        <v>0</v>
      </c>
      <c r="Z104" s="9">
        <v>215030001</v>
      </c>
      <c r="AA104" s="9" t="s">
        <v>593</v>
      </c>
      <c r="AB104" s="9">
        <v>20</v>
      </c>
      <c r="AD104" s="9">
        <v>120000</v>
      </c>
      <c r="AF104" s="89">
        <f t="shared" si="28"/>
        <v>31500</v>
      </c>
      <c r="AG104" s="9">
        <f t="shared" si="60"/>
        <v>57750</v>
      </c>
      <c r="AI104" s="11">
        <f t="shared" si="25"/>
        <v>100</v>
      </c>
      <c r="AJ104" s="10">
        <v>100</v>
      </c>
      <c r="AK104" s="11">
        <f t="shared" si="66"/>
        <v>1500</v>
      </c>
      <c r="AL104" s="10">
        <v>1500</v>
      </c>
      <c r="AM104" s="11">
        <f t="shared" si="66"/>
        <v>1500</v>
      </c>
      <c r="AN104" s="10">
        <v>1500</v>
      </c>
      <c r="AO104" s="56">
        <f t="shared" si="31"/>
        <v>2</v>
      </c>
      <c r="AQ104" s="11">
        <f ca="1">IFERROR(OFFSET(ITEM_RES!$A$1,MATCH(AR104,ITEM_RES!$J:$J,0)-1,0),0)</f>
        <v>215080001</v>
      </c>
      <c r="AR104" s="10" t="s">
        <v>507</v>
      </c>
      <c r="AS104" s="11">
        <v>7500</v>
      </c>
      <c r="AV104" s="11">
        <f ca="1">IFERROR(OFFSET(ITEM_RES!$A$1,MATCH(AW104,ITEM_RES!$J:$J,0)-1,0),0)</f>
        <v>215070001</v>
      </c>
      <c r="AW104" s="10" t="s">
        <v>480</v>
      </c>
      <c r="AX104" s="11">
        <v>7500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65"/>
        <v>0</v>
      </c>
    </row>
    <row r="105" spans="1:66" s="15" customFormat="1" x14ac:dyDescent="0.3">
      <c r="A105" s="21">
        <f t="shared" si="61"/>
        <v>113020001</v>
      </c>
      <c r="B105" s="20">
        <v>11</v>
      </c>
      <c r="C105" s="19">
        <f t="shared" si="62"/>
        <v>3</v>
      </c>
      <c r="D105" s="20">
        <v>2</v>
      </c>
      <c r="E105" s="20">
        <v>0</v>
      </c>
      <c r="F105" s="19">
        <f t="shared" si="63"/>
        <v>1</v>
      </c>
      <c r="G105" s="80"/>
      <c r="H105" s="16">
        <v>3</v>
      </c>
      <c r="I105" s="16">
        <v>1</v>
      </c>
      <c r="J105" s="80"/>
      <c r="K105" s="67" t="s">
        <v>389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8">
        <v>4</v>
      </c>
      <c r="T105" s="80"/>
      <c r="U105" s="88">
        <f t="shared" si="64"/>
        <v>302</v>
      </c>
      <c r="V105" s="88">
        <v>10</v>
      </c>
      <c r="W105" s="88">
        <v>1</v>
      </c>
      <c r="X105" s="88">
        <v>1</v>
      </c>
      <c r="Y105" s="88">
        <v>0</v>
      </c>
      <c r="Z105" s="16">
        <v>215020001</v>
      </c>
      <c r="AA105" s="16" t="s">
        <v>594</v>
      </c>
      <c r="AB105" s="16">
        <v>1</v>
      </c>
      <c r="AC105" s="80"/>
      <c r="AD105" s="16">
        <v>400</v>
      </c>
      <c r="AE105" s="80"/>
      <c r="AF105" s="91">
        <f t="shared" si="28"/>
        <v>605</v>
      </c>
      <c r="AG105" s="16">
        <f>AF105</f>
        <v>605</v>
      </c>
      <c r="AH105" s="80"/>
      <c r="AI105" s="18">
        <f t="shared" si="25"/>
        <v>5</v>
      </c>
      <c r="AJ105" s="17">
        <v>5</v>
      </c>
      <c r="AK105" s="18">
        <f t="shared" si="66"/>
        <v>5</v>
      </c>
      <c r="AL105" s="17">
        <v>5</v>
      </c>
      <c r="AM105" s="18">
        <f t="shared" si="66"/>
        <v>5</v>
      </c>
      <c r="AN105" s="17">
        <v>5</v>
      </c>
      <c r="AO105" s="57">
        <f t="shared" si="31"/>
        <v>3</v>
      </c>
      <c r="AP105" s="18"/>
      <c r="AQ105" s="18">
        <f ca="1">IFERROR(OFFSET(ITEM_RES!$A$1,MATCH(AR105,ITEM_RES!$J:$J,0)-1,0),0)</f>
        <v>211060001</v>
      </c>
      <c r="AR105" s="17" t="s">
        <v>478</v>
      </c>
      <c r="AS105" s="18">
        <v>25</v>
      </c>
      <c r="AT105" s="17"/>
      <c r="AU105" s="18"/>
      <c r="AV105" s="18">
        <f ca="1">IFERROR(OFFSET(ITEM_RES!$A$1,MATCH(AW105,ITEM_RES!$J:$J,0)-1,0),0)</f>
        <v>212010001</v>
      </c>
      <c r="AW105" s="17" t="s">
        <v>469</v>
      </c>
      <c r="AX105" s="18">
        <v>25</v>
      </c>
      <c r="AY105" s="17"/>
      <c r="AZ105" s="18"/>
      <c r="BA105" s="18">
        <f ca="1">IFERROR(OFFSET(ITEM_RES!$A$1,MATCH(BB105,ITEM_RES!$J:$J,0)-1,0),0)</f>
        <v>213010001</v>
      </c>
      <c r="BB105" s="17" t="s">
        <v>509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65"/>
        <v>0</v>
      </c>
      <c r="BN105" s="17"/>
    </row>
    <row r="106" spans="1:66" x14ac:dyDescent="0.3">
      <c r="A106" s="14">
        <f t="shared" si="61"/>
        <v>113020002</v>
      </c>
      <c r="B106" s="13">
        <v>11</v>
      </c>
      <c r="C106" s="12">
        <f t="shared" si="62"/>
        <v>3</v>
      </c>
      <c r="D106" s="13">
        <v>2</v>
      </c>
      <c r="E106" s="13">
        <v>0</v>
      </c>
      <c r="F106" s="12">
        <f t="shared" si="63"/>
        <v>2</v>
      </c>
      <c r="H106" s="9">
        <v>3</v>
      </c>
      <c r="I106" s="9">
        <v>2</v>
      </c>
      <c r="K106" s="9" t="s">
        <v>389</v>
      </c>
      <c r="L106" s="9">
        <v>1</v>
      </c>
      <c r="M106" s="9">
        <v>15</v>
      </c>
      <c r="R106" s="9">
        <v>33</v>
      </c>
      <c r="S106" s="86">
        <v>4</v>
      </c>
      <c r="U106" s="86">
        <f t="shared" si="64"/>
        <v>302</v>
      </c>
      <c r="V106" s="86">
        <v>20</v>
      </c>
      <c r="W106" s="86">
        <v>1</v>
      </c>
      <c r="X106" s="86">
        <v>1</v>
      </c>
      <c r="Y106" s="86">
        <v>0</v>
      </c>
      <c r="Z106" s="9">
        <v>215020001</v>
      </c>
      <c r="AA106" s="9" t="s">
        <v>594</v>
      </c>
      <c r="AB106" s="9">
        <v>2</v>
      </c>
      <c r="AD106" s="9">
        <v>800</v>
      </c>
      <c r="AF106" s="89">
        <f t="shared" si="28"/>
        <v>210</v>
      </c>
      <c r="AG106" s="9">
        <f>AF105+AF106</f>
        <v>815</v>
      </c>
      <c r="AI106" s="11">
        <f t="shared" si="25"/>
        <v>10</v>
      </c>
      <c r="AJ106" s="10">
        <v>10</v>
      </c>
      <c r="AK106" s="11">
        <f t="shared" si="66"/>
        <v>10</v>
      </c>
      <c r="AL106" s="10">
        <v>10</v>
      </c>
      <c r="AM106" s="11">
        <f t="shared" si="66"/>
        <v>10</v>
      </c>
      <c r="AN106" s="10">
        <v>10</v>
      </c>
      <c r="AO106" s="56">
        <f t="shared" si="31"/>
        <v>2</v>
      </c>
      <c r="AQ106" s="11">
        <f ca="1">IFERROR(OFFSET(ITEM_RES!$A$1,MATCH(AR106,ITEM_RES!$J:$J,0)-1,0),0)</f>
        <v>211060001</v>
      </c>
      <c r="AR106" s="10" t="s">
        <v>479</v>
      </c>
      <c r="AS106" s="11">
        <v>50</v>
      </c>
      <c r="AV106" s="11">
        <f ca="1">IFERROR(OFFSET(ITEM_RES!$A$1,MATCH(AW106,ITEM_RES!$J:$J,0)-1,0),0)</f>
        <v>212010001</v>
      </c>
      <c r="AW106" s="10" t="s">
        <v>469</v>
      </c>
      <c r="AX106" s="11">
        <v>50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65"/>
        <v>0</v>
      </c>
    </row>
    <row r="107" spans="1:66" x14ac:dyDescent="0.3">
      <c r="A107" s="14">
        <f t="shared" si="61"/>
        <v>113020003</v>
      </c>
      <c r="B107" s="13">
        <v>11</v>
      </c>
      <c r="C107" s="12">
        <f t="shared" si="62"/>
        <v>3</v>
      </c>
      <c r="D107" s="13">
        <v>2</v>
      </c>
      <c r="E107" s="13">
        <v>0</v>
      </c>
      <c r="F107" s="12">
        <f t="shared" si="63"/>
        <v>3</v>
      </c>
      <c r="H107" s="9">
        <v>3</v>
      </c>
      <c r="I107" s="9">
        <v>3</v>
      </c>
      <c r="K107" s="9" t="s">
        <v>389</v>
      </c>
      <c r="L107" s="9">
        <v>1</v>
      </c>
      <c r="M107" s="9">
        <v>15</v>
      </c>
      <c r="R107" s="9">
        <v>33</v>
      </c>
      <c r="S107" s="86">
        <v>4</v>
      </c>
      <c r="U107" s="86">
        <f t="shared" si="64"/>
        <v>302</v>
      </c>
      <c r="V107" s="86">
        <v>30</v>
      </c>
      <c r="W107" s="86">
        <v>1</v>
      </c>
      <c r="X107" s="86">
        <v>1</v>
      </c>
      <c r="Y107" s="86">
        <v>0</v>
      </c>
      <c r="Z107" s="9">
        <v>215020001</v>
      </c>
      <c r="AA107" s="9" t="s">
        <v>594</v>
      </c>
      <c r="AB107" s="9">
        <v>3</v>
      </c>
      <c r="AD107" s="9">
        <v>1200</v>
      </c>
      <c r="AF107" s="89">
        <f t="shared" si="28"/>
        <v>315</v>
      </c>
      <c r="AG107" s="9">
        <f t="shared" ref="AG107:AG124" si="67">AF106+AF107</f>
        <v>525</v>
      </c>
      <c r="AI107" s="11">
        <f t="shared" si="25"/>
        <v>15</v>
      </c>
      <c r="AJ107" s="10">
        <v>15</v>
      </c>
      <c r="AK107" s="11">
        <f t="shared" si="66"/>
        <v>15</v>
      </c>
      <c r="AL107" s="10">
        <v>15</v>
      </c>
      <c r="AM107" s="11">
        <f t="shared" si="66"/>
        <v>15</v>
      </c>
      <c r="AN107" s="10">
        <v>15</v>
      </c>
      <c r="AO107" s="56">
        <f t="shared" si="31"/>
        <v>2</v>
      </c>
      <c r="AQ107" s="11">
        <f ca="1">IFERROR(OFFSET(ITEM_RES!$A$1,MATCH(AR107,ITEM_RES!$J:$J,0)-1,0),0)</f>
        <v>211060001</v>
      </c>
      <c r="AR107" s="10" t="s">
        <v>478</v>
      </c>
      <c r="AS107" s="11">
        <v>75</v>
      </c>
      <c r="AV107" s="11">
        <f ca="1">IFERROR(OFFSET(ITEM_RES!$A$1,MATCH(AW107,ITEM_RES!$J:$J,0)-1,0),0)</f>
        <v>212010001</v>
      </c>
      <c r="AW107" s="10" t="s">
        <v>469</v>
      </c>
      <c r="AX107" s="11">
        <v>75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65"/>
        <v>0</v>
      </c>
    </row>
    <row r="108" spans="1:66" x14ac:dyDescent="0.3">
      <c r="A108" s="14">
        <f t="shared" si="61"/>
        <v>113020004</v>
      </c>
      <c r="B108" s="13">
        <v>11</v>
      </c>
      <c r="C108" s="12">
        <f t="shared" si="62"/>
        <v>3</v>
      </c>
      <c r="D108" s="13">
        <v>2</v>
      </c>
      <c r="E108" s="13">
        <v>0</v>
      </c>
      <c r="F108" s="12">
        <f t="shared" si="63"/>
        <v>4</v>
      </c>
      <c r="H108" s="9">
        <v>3</v>
      </c>
      <c r="I108" s="9">
        <v>4</v>
      </c>
      <c r="K108" s="9" t="s">
        <v>389</v>
      </c>
      <c r="L108" s="9">
        <v>1</v>
      </c>
      <c r="M108" s="9">
        <v>15</v>
      </c>
      <c r="R108" s="9">
        <v>33</v>
      </c>
      <c r="S108" s="86">
        <v>4</v>
      </c>
      <c r="U108" s="86">
        <f t="shared" si="64"/>
        <v>302</v>
      </c>
      <c r="V108" s="86">
        <v>40</v>
      </c>
      <c r="W108" s="86">
        <v>1</v>
      </c>
      <c r="X108" s="86">
        <v>1</v>
      </c>
      <c r="Y108" s="86">
        <v>0</v>
      </c>
      <c r="Z108" s="9">
        <v>215020001</v>
      </c>
      <c r="AA108" s="9" t="s">
        <v>594</v>
      </c>
      <c r="AB108" s="9">
        <v>4</v>
      </c>
      <c r="AD108" s="9">
        <v>2000</v>
      </c>
      <c r="AF108" s="89">
        <f t="shared" si="28"/>
        <v>525</v>
      </c>
      <c r="AG108" s="9">
        <f t="shared" si="67"/>
        <v>840</v>
      </c>
      <c r="AI108" s="11">
        <f t="shared" si="25"/>
        <v>20</v>
      </c>
      <c r="AJ108" s="10">
        <v>20</v>
      </c>
      <c r="AK108" s="11">
        <f t="shared" si="66"/>
        <v>25</v>
      </c>
      <c r="AL108" s="10">
        <v>25</v>
      </c>
      <c r="AM108" s="11">
        <f t="shared" si="66"/>
        <v>25</v>
      </c>
      <c r="AN108" s="10">
        <v>25</v>
      </c>
      <c r="AO108" s="56">
        <f t="shared" si="31"/>
        <v>2</v>
      </c>
      <c r="AQ108" s="11">
        <f ca="1">IFERROR(OFFSET(ITEM_RES!$A$1,MATCH(AR108,ITEM_RES!$J:$J,0)-1,0),0)</f>
        <v>211060001</v>
      </c>
      <c r="AR108" s="10" t="s">
        <v>479</v>
      </c>
      <c r="AS108" s="11">
        <v>125</v>
      </c>
      <c r="AV108" s="11">
        <f ca="1">IFERROR(OFFSET(ITEM_RES!$A$1,MATCH(AW108,ITEM_RES!$J:$J,0)-1,0),0)</f>
        <v>212010001</v>
      </c>
      <c r="AW108" s="10" t="s">
        <v>469</v>
      </c>
      <c r="AX108" s="11">
        <v>125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65"/>
        <v>0</v>
      </c>
    </row>
    <row r="109" spans="1:66" x14ac:dyDescent="0.3">
      <c r="A109" s="14">
        <f t="shared" si="61"/>
        <v>113020005</v>
      </c>
      <c r="B109" s="13">
        <v>11</v>
      </c>
      <c r="C109" s="12">
        <f t="shared" si="62"/>
        <v>3</v>
      </c>
      <c r="D109" s="13">
        <v>2</v>
      </c>
      <c r="E109" s="13">
        <v>0</v>
      </c>
      <c r="F109" s="12">
        <f t="shared" si="63"/>
        <v>5</v>
      </c>
      <c r="H109" s="9">
        <v>3</v>
      </c>
      <c r="I109" s="9">
        <v>5</v>
      </c>
      <c r="K109" s="9" t="s">
        <v>389</v>
      </c>
      <c r="L109" s="9">
        <v>1</v>
      </c>
      <c r="M109" s="9">
        <v>15</v>
      </c>
      <c r="R109" s="9">
        <v>33</v>
      </c>
      <c r="S109" s="86">
        <v>4</v>
      </c>
      <c r="U109" s="86">
        <f t="shared" si="64"/>
        <v>302</v>
      </c>
      <c r="V109" s="86">
        <v>50</v>
      </c>
      <c r="W109" s="86">
        <v>1</v>
      </c>
      <c r="X109" s="86">
        <v>1</v>
      </c>
      <c r="Y109" s="86">
        <v>0</v>
      </c>
      <c r="Z109" s="9">
        <v>215020001</v>
      </c>
      <c r="AA109" s="9" t="s">
        <v>594</v>
      </c>
      <c r="AB109" s="9">
        <v>5</v>
      </c>
      <c r="AD109" s="9">
        <v>3200</v>
      </c>
      <c r="AF109" s="89">
        <f t="shared" si="28"/>
        <v>840</v>
      </c>
      <c r="AG109" s="9">
        <f t="shared" si="67"/>
        <v>1365</v>
      </c>
      <c r="AI109" s="11">
        <f t="shared" si="25"/>
        <v>25</v>
      </c>
      <c r="AJ109" s="10">
        <v>25</v>
      </c>
      <c r="AK109" s="11">
        <f t="shared" si="66"/>
        <v>40</v>
      </c>
      <c r="AL109" s="10">
        <v>40</v>
      </c>
      <c r="AM109" s="11">
        <f t="shared" si="66"/>
        <v>40</v>
      </c>
      <c r="AN109" s="10">
        <v>40</v>
      </c>
      <c r="AO109" s="56">
        <f t="shared" si="31"/>
        <v>2</v>
      </c>
      <c r="AQ109" s="11">
        <f ca="1">IFERROR(OFFSET(ITEM_RES!$A$1,MATCH(AR109,ITEM_RES!$J:$J,0)-1,0),0)</f>
        <v>211060001</v>
      </c>
      <c r="AR109" s="10" t="s">
        <v>478</v>
      </c>
      <c r="AS109" s="11">
        <v>200</v>
      </c>
      <c r="AV109" s="11">
        <f ca="1">IFERROR(OFFSET(ITEM_RES!$A$1,MATCH(AW109,ITEM_RES!$J:$J,0)-1,0),0)</f>
        <v>212010001</v>
      </c>
      <c r="AW109" s="10" t="s">
        <v>469</v>
      </c>
      <c r="AX109" s="11">
        <v>200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65"/>
        <v>0</v>
      </c>
    </row>
    <row r="110" spans="1:66" x14ac:dyDescent="0.3">
      <c r="A110" s="14">
        <f t="shared" si="61"/>
        <v>113020006</v>
      </c>
      <c r="B110" s="13">
        <v>11</v>
      </c>
      <c r="C110" s="12">
        <f t="shared" si="62"/>
        <v>3</v>
      </c>
      <c r="D110" s="13">
        <v>2</v>
      </c>
      <c r="E110" s="13">
        <v>0</v>
      </c>
      <c r="F110" s="12">
        <f t="shared" si="63"/>
        <v>6</v>
      </c>
      <c r="H110" s="9">
        <v>3</v>
      </c>
      <c r="I110" s="9">
        <v>6</v>
      </c>
      <c r="K110" s="9" t="s">
        <v>389</v>
      </c>
      <c r="L110" s="9">
        <v>1</v>
      </c>
      <c r="M110" s="9">
        <v>15</v>
      </c>
      <c r="R110" s="9">
        <v>33</v>
      </c>
      <c r="S110" s="86">
        <v>4</v>
      </c>
      <c r="U110" s="86">
        <f t="shared" si="64"/>
        <v>302</v>
      </c>
      <c r="V110" s="86">
        <v>60</v>
      </c>
      <c r="W110" s="86">
        <v>1</v>
      </c>
      <c r="X110" s="86">
        <v>1</v>
      </c>
      <c r="Y110" s="86">
        <v>0</v>
      </c>
      <c r="Z110" s="9">
        <v>215020001</v>
      </c>
      <c r="AA110" s="9" t="s">
        <v>594</v>
      </c>
      <c r="AB110" s="9">
        <v>6</v>
      </c>
      <c r="AD110" s="9">
        <v>4000</v>
      </c>
      <c r="AF110" s="89">
        <f t="shared" si="28"/>
        <v>1050</v>
      </c>
      <c r="AG110" s="9">
        <f t="shared" si="67"/>
        <v>1890</v>
      </c>
      <c r="AI110" s="11">
        <f t="shared" si="25"/>
        <v>30</v>
      </c>
      <c r="AJ110" s="10">
        <v>30</v>
      </c>
      <c r="AK110" s="11">
        <f t="shared" si="66"/>
        <v>50</v>
      </c>
      <c r="AL110" s="10">
        <v>50</v>
      </c>
      <c r="AM110" s="11">
        <f t="shared" si="66"/>
        <v>50</v>
      </c>
      <c r="AN110" s="10">
        <v>50</v>
      </c>
      <c r="AO110" s="56">
        <f t="shared" si="31"/>
        <v>2</v>
      </c>
      <c r="AQ110" s="11">
        <f ca="1">IFERROR(OFFSET(ITEM_RES!$A$1,MATCH(AR110,ITEM_RES!$J:$J,0)-1,0),0)</f>
        <v>211060001</v>
      </c>
      <c r="AR110" s="10" t="s">
        <v>479</v>
      </c>
      <c r="AS110" s="11">
        <v>250</v>
      </c>
      <c r="AV110" s="11">
        <f ca="1">IFERROR(OFFSET(ITEM_RES!$A$1,MATCH(AW110,ITEM_RES!$J:$J,0)-1,0),0)</f>
        <v>212010001</v>
      </c>
      <c r="AW110" s="10" t="s">
        <v>469</v>
      </c>
      <c r="AX110" s="11">
        <v>250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65"/>
        <v>0</v>
      </c>
    </row>
    <row r="111" spans="1:66" x14ac:dyDescent="0.3">
      <c r="A111" s="14">
        <f t="shared" si="61"/>
        <v>113020007</v>
      </c>
      <c r="B111" s="13">
        <v>11</v>
      </c>
      <c r="C111" s="12">
        <f t="shared" si="62"/>
        <v>3</v>
      </c>
      <c r="D111" s="13">
        <v>2</v>
      </c>
      <c r="E111" s="13">
        <v>0</v>
      </c>
      <c r="F111" s="12">
        <f t="shared" si="63"/>
        <v>7</v>
      </c>
      <c r="H111" s="9">
        <v>3</v>
      </c>
      <c r="I111" s="9">
        <v>7</v>
      </c>
      <c r="K111" s="9" t="s">
        <v>389</v>
      </c>
      <c r="L111" s="9">
        <v>1</v>
      </c>
      <c r="M111" s="9">
        <v>15</v>
      </c>
      <c r="R111" s="9">
        <v>33</v>
      </c>
      <c r="S111" s="86">
        <v>4</v>
      </c>
      <c r="U111" s="86">
        <f t="shared" si="64"/>
        <v>302</v>
      </c>
      <c r="V111" s="86">
        <v>70</v>
      </c>
      <c r="W111" s="86">
        <v>1</v>
      </c>
      <c r="X111" s="86">
        <v>1</v>
      </c>
      <c r="Y111" s="86">
        <v>0</v>
      </c>
      <c r="Z111" s="9">
        <v>215020001</v>
      </c>
      <c r="AA111" s="9" t="s">
        <v>594</v>
      </c>
      <c r="AB111" s="9">
        <v>7</v>
      </c>
      <c r="AD111" s="9">
        <v>8000</v>
      </c>
      <c r="AF111" s="89">
        <f t="shared" si="28"/>
        <v>2100</v>
      </c>
      <c r="AG111" s="9">
        <f t="shared" si="67"/>
        <v>3150</v>
      </c>
      <c r="AI111" s="11">
        <f t="shared" si="25"/>
        <v>35</v>
      </c>
      <c r="AJ111" s="10">
        <v>35</v>
      </c>
      <c r="AK111" s="11">
        <f t="shared" si="66"/>
        <v>100</v>
      </c>
      <c r="AL111" s="10">
        <v>100</v>
      </c>
      <c r="AM111" s="11">
        <f t="shared" si="66"/>
        <v>100</v>
      </c>
      <c r="AN111" s="10">
        <v>100</v>
      </c>
      <c r="AO111" s="56">
        <f t="shared" si="31"/>
        <v>2</v>
      </c>
      <c r="AQ111" s="11">
        <f ca="1">IFERROR(OFFSET(ITEM_RES!$A$1,MATCH(AR111,ITEM_RES!$J:$J,0)-1,0),0)</f>
        <v>211060001</v>
      </c>
      <c r="AR111" s="10" t="s">
        <v>478</v>
      </c>
      <c r="AS111" s="11">
        <v>500</v>
      </c>
      <c r="AV111" s="11">
        <f ca="1">IFERROR(OFFSET(ITEM_RES!$A$1,MATCH(AW111,ITEM_RES!$J:$J,0)-1,0),0)</f>
        <v>212010001</v>
      </c>
      <c r="AW111" s="10" t="s">
        <v>469</v>
      </c>
      <c r="AX111" s="11">
        <v>500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65"/>
        <v>0</v>
      </c>
    </row>
    <row r="112" spans="1:66" x14ac:dyDescent="0.3">
      <c r="A112" s="14">
        <f t="shared" si="61"/>
        <v>113020008</v>
      </c>
      <c r="B112" s="13">
        <v>11</v>
      </c>
      <c r="C112" s="12">
        <f t="shared" si="62"/>
        <v>3</v>
      </c>
      <c r="D112" s="13">
        <v>2</v>
      </c>
      <c r="E112" s="13">
        <v>0</v>
      </c>
      <c r="F112" s="12">
        <f t="shared" si="63"/>
        <v>8</v>
      </c>
      <c r="H112" s="9">
        <v>3</v>
      </c>
      <c r="I112" s="9">
        <v>8</v>
      </c>
      <c r="K112" s="9" t="s">
        <v>389</v>
      </c>
      <c r="L112" s="9">
        <v>1</v>
      </c>
      <c r="M112" s="9">
        <v>15</v>
      </c>
      <c r="R112" s="9">
        <v>33</v>
      </c>
      <c r="S112" s="86">
        <v>4</v>
      </c>
      <c r="U112" s="86">
        <f t="shared" si="64"/>
        <v>302</v>
      </c>
      <c r="V112" s="86">
        <v>80</v>
      </c>
      <c r="W112" s="86">
        <v>1</v>
      </c>
      <c r="X112" s="86">
        <v>1</v>
      </c>
      <c r="Y112" s="86">
        <v>0</v>
      </c>
      <c r="Z112" s="9">
        <v>215020001</v>
      </c>
      <c r="AA112" s="9" t="s">
        <v>594</v>
      </c>
      <c r="AB112" s="9">
        <v>8</v>
      </c>
      <c r="AD112" s="9">
        <v>8000</v>
      </c>
      <c r="AF112" s="89">
        <f t="shared" si="28"/>
        <v>2100</v>
      </c>
      <c r="AG112" s="9">
        <f t="shared" si="67"/>
        <v>4200</v>
      </c>
      <c r="AI112" s="11">
        <f t="shared" si="25"/>
        <v>40</v>
      </c>
      <c r="AJ112" s="10">
        <v>40</v>
      </c>
      <c r="AK112" s="11">
        <f t="shared" si="66"/>
        <v>100</v>
      </c>
      <c r="AL112" s="10">
        <v>100</v>
      </c>
      <c r="AM112" s="11">
        <f t="shared" si="66"/>
        <v>100</v>
      </c>
      <c r="AN112" s="10">
        <v>100</v>
      </c>
      <c r="AO112" s="56">
        <f t="shared" si="31"/>
        <v>2</v>
      </c>
      <c r="AQ112" s="11">
        <f ca="1">IFERROR(OFFSET(ITEM_RES!$A$1,MATCH(AR112,ITEM_RES!$J:$J,0)-1,0),0)</f>
        <v>211060001</v>
      </c>
      <c r="AR112" s="10" t="s">
        <v>479</v>
      </c>
      <c r="AS112" s="11">
        <v>500</v>
      </c>
      <c r="AV112" s="11">
        <f ca="1">IFERROR(OFFSET(ITEM_RES!$A$1,MATCH(AW112,ITEM_RES!$J:$J,0)-1,0),0)</f>
        <v>212010001</v>
      </c>
      <c r="AW112" s="10" t="s">
        <v>469</v>
      </c>
      <c r="AX112" s="11">
        <v>500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65"/>
        <v>0</v>
      </c>
    </row>
    <row r="113" spans="1:66" x14ac:dyDescent="0.3">
      <c r="A113" s="14">
        <f t="shared" si="61"/>
        <v>113020009</v>
      </c>
      <c r="B113" s="13">
        <v>11</v>
      </c>
      <c r="C113" s="12">
        <f t="shared" si="62"/>
        <v>3</v>
      </c>
      <c r="D113" s="13">
        <v>2</v>
      </c>
      <c r="E113" s="13">
        <v>0</v>
      </c>
      <c r="F113" s="12">
        <f t="shared" si="63"/>
        <v>9</v>
      </c>
      <c r="H113" s="9">
        <v>3</v>
      </c>
      <c r="I113" s="9">
        <v>9</v>
      </c>
      <c r="K113" s="9" t="s">
        <v>389</v>
      </c>
      <c r="L113" s="9">
        <v>1</v>
      </c>
      <c r="M113" s="9">
        <v>15</v>
      </c>
      <c r="R113" s="9">
        <v>33</v>
      </c>
      <c r="S113" s="86">
        <v>4</v>
      </c>
      <c r="U113" s="86">
        <f t="shared" si="64"/>
        <v>302</v>
      </c>
      <c r="V113" s="86">
        <v>90</v>
      </c>
      <c r="W113" s="86">
        <v>1</v>
      </c>
      <c r="X113" s="86">
        <v>1</v>
      </c>
      <c r="Y113" s="86">
        <v>0</v>
      </c>
      <c r="Z113" s="9">
        <v>215020001</v>
      </c>
      <c r="AA113" s="9" t="s">
        <v>594</v>
      </c>
      <c r="AB113" s="9">
        <v>9</v>
      </c>
      <c r="AD113" s="9">
        <v>12000</v>
      </c>
      <c r="AF113" s="89">
        <f t="shared" si="28"/>
        <v>3150</v>
      </c>
      <c r="AG113" s="9">
        <f t="shared" si="67"/>
        <v>5250</v>
      </c>
      <c r="AI113" s="11">
        <f t="shared" si="25"/>
        <v>45</v>
      </c>
      <c r="AJ113" s="10">
        <v>45</v>
      </c>
      <c r="AK113" s="11">
        <f t="shared" si="66"/>
        <v>150</v>
      </c>
      <c r="AL113" s="10">
        <v>150</v>
      </c>
      <c r="AM113" s="11">
        <f t="shared" si="66"/>
        <v>150</v>
      </c>
      <c r="AN113" s="10">
        <v>150</v>
      </c>
      <c r="AO113" s="56">
        <f t="shared" si="31"/>
        <v>2</v>
      </c>
      <c r="AQ113" s="11">
        <f ca="1">IFERROR(OFFSET(ITEM_RES!$A$1,MATCH(AR113,ITEM_RES!$J:$J,0)-1,0),0)</f>
        <v>211060001</v>
      </c>
      <c r="AR113" s="10" t="s">
        <v>478</v>
      </c>
      <c r="AS113" s="11">
        <v>750</v>
      </c>
      <c r="AV113" s="11">
        <f ca="1">IFERROR(OFFSET(ITEM_RES!$A$1,MATCH(AW113,ITEM_RES!$J:$J,0)-1,0),0)</f>
        <v>212010001</v>
      </c>
      <c r="AW113" s="10" t="s">
        <v>469</v>
      </c>
      <c r="AX113" s="11">
        <v>750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65"/>
        <v>0</v>
      </c>
    </row>
    <row r="114" spans="1:66" x14ac:dyDescent="0.3">
      <c r="A114" s="14">
        <f t="shared" si="61"/>
        <v>113020010</v>
      </c>
      <c r="B114" s="13">
        <v>11</v>
      </c>
      <c r="C114" s="12">
        <f t="shared" si="62"/>
        <v>3</v>
      </c>
      <c r="D114" s="13">
        <v>2</v>
      </c>
      <c r="E114" s="13">
        <v>0</v>
      </c>
      <c r="F114" s="12">
        <f t="shared" si="63"/>
        <v>10</v>
      </c>
      <c r="H114" s="9">
        <v>3</v>
      </c>
      <c r="I114" s="9">
        <v>10</v>
      </c>
      <c r="K114" s="9" t="s">
        <v>389</v>
      </c>
      <c r="L114" s="9">
        <v>1</v>
      </c>
      <c r="M114" s="9">
        <v>15</v>
      </c>
      <c r="R114" s="9">
        <v>33</v>
      </c>
      <c r="S114" s="86">
        <v>4</v>
      </c>
      <c r="U114" s="86">
        <f t="shared" si="64"/>
        <v>302</v>
      </c>
      <c r="V114" s="86">
        <v>100</v>
      </c>
      <c r="W114" s="86">
        <v>1</v>
      </c>
      <c r="X114" s="86">
        <v>1</v>
      </c>
      <c r="Y114" s="86">
        <v>0</v>
      </c>
      <c r="Z114" s="9">
        <v>215020001</v>
      </c>
      <c r="AA114" s="9" t="s">
        <v>594</v>
      </c>
      <c r="AB114" s="9">
        <v>10</v>
      </c>
      <c r="AD114" s="9">
        <v>16000</v>
      </c>
      <c r="AF114" s="89">
        <f t="shared" si="28"/>
        <v>4200</v>
      </c>
      <c r="AG114" s="9">
        <f t="shared" si="67"/>
        <v>7350</v>
      </c>
      <c r="AI114" s="11">
        <f t="shared" si="25"/>
        <v>50</v>
      </c>
      <c r="AJ114" s="10">
        <v>50</v>
      </c>
      <c r="AK114" s="11">
        <f t="shared" si="66"/>
        <v>200</v>
      </c>
      <c r="AL114" s="10">
        <v>200</v>
      </c>
      <c r="AM114" s="11">
        <f t="shared" si="66"/>
        <v>200</v>
      </c>
      <c r="AN114" s="10">
        <v>200</v>
      </c>
      <c r="AO114" s="56">
        <f t="shared" si="31"/>
        <v>2</v>
      </c>
      <c r="AQ114" s="11">
        <f ca="1">IFERROR(OFFSET(ITEM_RES!$A$1,MATCH(AR114,ITEM_RES!$J:$J,0)-1,0),0)</f>
        <v>211060001</v>
      </c>
      <c r="AR114" s="10" t="s">
        <v>479</v>
      </c>
      <c r="AS114" s="11">
        <v>1000</v>
      </c>
      <c r="AV114" s="11">
        <f ca="1">IFERROR(OFFSET(ITEM_RES!$A$1,MATCH(AW114,ITEM_RES!$J:$J,0)-1,0),0)</f>
        <v>212010001</v>
      </c>
      <c r="AW114" s="10" t="s">
        <v>469</v>
      </c>
      <c r="AX114" s="11">
        <v>1000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65"/>
        <v>0</v>
      </c>
    </row>
    <row r="115" spans="1:66" x14ac:dyDescent="0.3">
      <c r="A115" s="14">
        <f t="shared" si="61"/>
        <v>113020011</v>
      </c>
      <c r="B115" s="13">
        <v>11</v>
      </c>
      <c r="C115" s="12">
        <f t="shared" si="62"/>
        <v>3</v>
      </c>
      <c r="D115" s="13">
        <v>2</v>
      </c>
      <c r="E115" s="13">
        <v>0</v>
      </c>
      <c r="F115" s="12">
        <f t="shared" si="63"/>
        <v>11</v>
      </c>
      <c r="H115" s="9">
        <v>3</v>
      </c>
      <c r="I115" s="9">
        <v>11</v>
      </c>
      <c r="K115" s="9" t="s">
        <v>389</v>
      </c>
      <c r="L115" s="9">
        <v>1</v>
      </c>
      <c r="M115" s="9">
        <v>15</v>
      </c>
      <c r="R115" s="9">
        <v>33</v>
      </c>
      <c r="S115" s="86">
        <v>4</v>
      </c>
      <c r="U115" s="86">
        <f t="shared" si="64"/>
        <v>302</v>
      </c>
      <c r="V115" s="86">
        <v>110</v>
      </c>
      <c r="W115" s="86">
        <v>1</v>
      </c>
      <c r="X115" s="86">
        <v>1</v>
      </c>
      <c r="Y115" s="86">
        <v>0</v>
      </c>
      <c r="Z115" s="9">
        <v>215020001</v>
      </c>
      <c r="AA115" s="9" t="s">
        <v>594</v>
      </c>
      <c r="AB115" s="9">
        <v>11</v>
      </c>
      <c r="AD115" s="9">
        <v>20000</v>
      </c>
      <c r="AF115" s="89">
        <f t="shared" si="28"/>
        <v>5250</v>
      </c>
      <c r="AG115" s="9">
        <f t="shared" si="67"/>
        <v>9450</v>
      </c>
      <c r="AI115" s="11">
        <f t="shared" si="25"/>
        <v>55</v>
      </c>
      <c r="AJ115" s="10">
        <v>55</v>
      </c>
      <c r="AK115" s="11">
        <f t="shared" si="66"/>
        <v>250</v>
      </c>
      <c r="AL115" s="10">
        <v>250</v>
      </c>
      <c r="AM115" s="11">
        <f t="shared" si="66"/>
        <v>250</v>
      </c>
      <c r="AN115" s="10">
        <v>250</v>
      </c>
      <c r="AO115" s="56">
        <f t="shared" si="31"/>
        <v>2</v>
      </c>
      <c r="AQ115" s="11">
        <f ca="1">IFERROR(OFFSET(ITEM_RES!$A$1,MATCH(AR115,ITEM_RES!$J:$J,0)-1,0),0)</f>
        <v>215060001</v>
      </c>
      <c r="AR115" s="10" t="s">
        <v>506</v>
      </c>
      <c r="AS115" s="11">
        <v>1250</v>
      </c>
      <c r="AV115" s="11">
        <f ca="1">IFERROR(OFFSET(ITEM_RES!$A$1,MATCH(AW115,ITEM_RES!$J:$J,0)-1,0),0)</f>
        <v>212010001</v>
      </c>
      <c r="AW115" s="10" t="s">
        <v>469</v>
      </c>
      <c r="AX115" s="11">
        <v>1250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65"/>
        <v>0</v>
      </c>
    </row>
    <row r="116" spans="1:66" x14ac:dyDescent="0.3">
      <c r="A116" s="14">
        <f t="shared" si="61"/>
        <v>113020012</v>
      </c>
      <c r="B116" s="13">
        <v>11</v>
      </c>
      <c r="C116" s="12">
        <f t="shared" si="62"/>
        <v>3</v>
      </c>
      <c r="D116" s="13">
        <v>2</v>
      </c>
      <c r="E116" s="13">
        <v>0</v>
      </c>
      <c r="F116" s="12">
        <f t="shared" si="63"/>
        <v>12</v>
      </c>
      <c r="H116" s="9">
        <v>3</v>
      </c>
      <c r="I116" s="9">
        <v>12</v>
      </c>
      <c r="K116" s="9" t="s">
        <v>389</v>
      </c>
      <c r="L116" s="9">
        <v>1</v>
      </c>
      <c r="M116" s="9">
        <v>15</v>
      </c>
      <c r="R116" s="9">
        <v>33</v>
      </c>
      <c r="S116" s="86">
        <v>4</v>
      </c>
      <c r="U116" s="86">
        <f t="shared" si="64"/>
        <v>302</v>
      </c>
      <c r="V116" s="86">
        <v>120</v>
      </c>
      <c r="W116" s="86">
        <v>1</v>
      </c>
      <c r="X116" s="86">
        <v>1</v>
      </c>
      <c r="Y116" s="86">
        <v>0</v>
      </c>
      <c r="Z116" s="9">
        <v>215020001</v>
      </c>
      <c r="AA116" s="9" t="s">
        <v>594</v>
      </c>
      <c r="AB116" s="9">
        <v>12</v>
      </c>
      <c r="AD116" s="9">
        <v>24000</v>
      </c>
      <c r="AF116" s="89">
        <f t="shared" si="28"/>
        <v>6300</v>
      </c>
      <c r="AG116" s="9">
        <f t="shared" si="67"/>
        <v>11550</v>
      </c>
      <c r="AI116" s="11">
        <f t="shared" si="25"/>
        <v>60</v>
      </c>
      <c r="AJ116" s="10">
        <v>60</v>
      </c>
      <c r="AK116" s="11">
        <f t="shared" si="66"/>
        <v>300</v>
      </c>
      <c r="AL116" s="10">
        <v>300</v>
      </c>
      <c r="AM116" s="11">
        <f t="shared" si="66"/>
        <v>300</v>
      </c>
      <c r="AN116" s="10">
        <v>300</v>
      </c>
      <c r="AO116" s="56">
        <f t="shared" si="31"/>
        <v>2</v>
      </c>
      <c r="AQ116" s="11">
        <f ca="1">IFERROR(OFFSET(ITEM_RES!$A$1,MATCH(AR116,ITEM_RES!$J:$J,0)-1,0),0)</f>
        <v>215060001</v>
      </c>
      <c r="AR116" s="10" t="s">
        <v>506</v>
      </c>
      <c r="AS116" s="11">
        <v>1500</v>
      </c>
      <c r="AV116" s="11">
        <f ca="1">IFERROR(OFFSET(ITEM_RES!$A$1,MATCH(AW116,ITEM_RES!$J:$J,0)-1,0),0)</f>
        <v>212010001</v>
      </c>
      <c r="AW116" s="10" t="s">
        <v>469</v>
      </c>
      <c r="AX116" s="11">
        <v>1500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65"/>
        <v>0</v>
      </c>
    </row>
    <row r="117" spans="1:66" x14ac:dyDescent="0.3">
      <c r="A117" s="14">
        <f t="shared" si="61"/>
        <v>113020013</v>
      </c>
      <c r="B117" s="13">
        <v>11</v>
      </c>
      <c r="C117" s="12">
        <f t="shared" si="62"/>
        <v>3</v>
      </c>
      <c r="D117" s="13">
        <v>2</v>
      </c>
      <c r="E117" s="13">
        <v>0</v>
      </c>
      <c r="F117" s="12">
        <f t="shared" si="63"/>
        <v>13</v>
      </c>
      <c r="H117" s="9">
        <v>3</v>
      </c>
      <c r="I117" s="9">
        <v>13</v>
      </c>
      <c r="K117" s="9" t="s">
        <v>389</v>
      </c>
      <c r="L117" s="9">
        <v>1</v>
      </c>
      <c r="M117" s="9">
        <v>15</v>
      </c>
      <c r="R117" s="9">
        <v>33</v>
      </c>
      <c r="S117" s="86">
        <v>4</v>
      </c>
      <c r="U117" s="86">
        <f t="shared" si="64"/>
        <v>302</v>
      </c>
      <c r="V117" s="86">
        <v>130</v>
      </c>
      <c r="W117" s="86">
        <v>1</v>
      </c>
      <c r="X117" s="86">
        <v>1</v>
      </c>
      <c r="Y117" s="86">
        <v>0</v>
      </c>
      <c r="Z117" s="9">
        <v>215020001</v>
      </c>
      <c r="AA117" s="9" t="s">
        <v>594</v>
      </c>
      <c r="AB117" s="9">
        <v>13</v>
      </c>
      <c r="AD117" s="9">
        <v>28000</v>
      </c>
      <c r="AF117" s="89">
        <f t="shared" si="28"/>
        <v>7350</v>
      </c>
      <c r="AG117" s="9">
        <f t="shared" si="67"/>
        <v>13650</v>
      </c>
      <c r="AI117" s="11">
        <f t="shared" si="25"/>
        <v>65</v>
      </c>
      <c r="AJ117" s="10">
        <v>65</v>
      </c>
      <c r="AK117" s="11">
        <f t="shared" si="66"/>
        <v>350</v>
      </c>
      <c r="AL117" s="10">
        <v>350</v>
      </c>
      <c r="AM117" s="11">
        <f t="shared" si="66"/>
        <v>350</v>
      </c>
      <c r="AN117" s="10">
        <v>350</v>
      </c>
      <c r="AO117" s="56">
        <f t="shared" si="31"/>
        <v>2</v>
      </c>
      <c r="AQ117" s="11">
        <f ca="1">IFERROR(OFFSET(ITEM_RES!$A$1,MATCH(AR117,ITEM_RES!$J:$J,0)-1,0),0)</f>
        <v>215060001</v>
      </c>
      <c r="AR117" s="10" t="s">
        <v>506</v>
      </c>
      <c r="AS117" s="11">
        <v>1750</v>
      </c>
      <c r="AV117" s="11">
        <f ca="1">IFERROR(OFFSET(ITEM_RES!$A$1,MATCH(AW117,ITEM_RES!$J:$J,0)-1,0),0)</f>
        <v>212010001</v>
      </c>
      <c r="AW117" s="10" t="s">
        <v>469</v>
      </c>
      <c r="AX117" s="11">
        <v>1750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65"/>
        <v>0</v>
      </c>
    </row>
    <row r="118" spans="1:66" x14ac:dyDescent="0.3">
      <c r="A118" s="14">
        <f t="shared" si="61"/>
        <v>113020014</v>
      </c>
      <c r="B118" s="13">
        <v>11</v>
      </c>
      <c r="C118" s="12">
        <f t="shared" si="62"/>
        <v>3</v>
      </c>
      <c r="D118" s="13">
        <v>2</v>
      </c>
      <c r="E118" s="13">
        <v>0</v>
      </c>
      <c r="F118" s="12">
        <f t="shared" si="63"/>
        <v>14</v>
      </c>
      <c r="H118" s="9">
        <v>3</v>
      </c>
      <c r="I118" s="9">
        <v>14</v>
      </c>
      <c r="K118" s="9" t="s">
        <v>389</v>
      </c>
      <c r="L118" s="9">
        <v>1</v>
      </c>
      <c r="M118" s="9">
        <v>15</v>
      </c>
      <c r="R118" s="9">
        <v>33</v>
      </c>
      <c r="S118" s="86">
        <v>4</v>
      </c>
      <c r="U118" s="86">
        <f t="shared" si="64"/>
        <v>302</v>
      </c>
      <c r="V118" s="86">
        <v>140</v>
      </c>
      <c r="W118" s="86">
        <v>1</v>
      </c>
      <c r="X118" s="86">
        <v>1</v>
      </c>
      <c r="Y118" s="86">
        <v>0</v>
      </c>
      <c r="Z118" s="9">
        <v>215020001</v>
      </c>
      <c r="AA118" s="9" t="s">
        <v>594</v>
      </c>
      <c r="AB118" s="9">
        <v>14</v>
      </c>
      <c r="AD118" s="9">
        <v>36000</v>
      </c>
      <c r="AF118" s="89">
        <f t="shared" si="28"/>
        <v>9450</v>
      </c>
      <c r="AG118" s="9">
        <f t="shared" si="67"/>
        <v>16800</v>
      </c>
      <c r="AI118" s="11">
        <f t="shared" si="25"/>
        <v>70</v>
      </c>
      <c r="AJ118" s="10">
        <v>70</v>
      </c>
      <c r="AK118" s="11">
        <f t="shared" si="66"/>
        <v>450</v>
      </c>
      <c r="AL118" s="10">
        <v>450</v>
      </c>
      <c r="AM118" s="11">
        <f t="shared" si="66"/>
        <v>450</v>
      </c>
      <c r="AN118" s="10">
        <v>450</v>
      </c>
      <c r="AO118" s="56">
        <f t="shared" si="31"/>
        <v>2</v>
      </c>
      <c r="AQ118" s="11">
        <f ca="1">IFERROR(OFFSET(ITEM_RES!$A$1,MATCH(AR118,ITEM_RES!$J:$J,0)-1,0),0)</f>
        <v>215060001</v>
      </c>
      <c r="AR118" s="10" t="s">
        <v>506</v>
      </c>
      <c r="AS118" s="11">
        <v>2250</v>
      </c>
      <c r="AV118" s="11">
        <f ca="1">IFERROR(OFFSET(ITEM_RES!$A$1,MATCH(AW118,ITEM_RES!$J:$J,0)-1,0),0)</f>
        <v>212010001</v>
      </c>
      <c r="AW118" s="10" t="s">
        <v>469</v>
      </c>
      <c r="AX118" s="11">
        <v>2250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65"/>
        <v>0</v>
      </c>
    </row>
    <row r="119" spans="1:66" x14ac:dyDescent="0.3">
      <c r="A119" s="14">
        <f t="shared" si="61"/>
        <v>113020015</v>
      </c>
      <c r="B119" s="13">
        <v>11</v>
      </c>
      <c r="C119" s="12">
        <f t="shared" si="62"/>
        <v>3</v>
      </c>
      <c r="D119" s="13">
        <v>2</v>
      </c>
      <c r="E119" s="13">
        <v>0</v>
      </c>
      <c r="F119" s="12">
        <f t="shared" si="63"/>
        <v>15</v>
      </c>
      <c r="H119" s="9">
        <v>3</v>
      </c>
      <c r="I119" s="9">
        <v>15</v>
      </c>
      <c r="K119" s="9" t="s">
        <v>389</v>
      </c>
      <c r="L119" s="9">
        <v>1</v>
      </c>
      <c r="M119" s="9">
        <v>15</v>
      </c>
      <c r="R119" s="9">
        <v>33</v>
      </c>
      <c r="S119" s="86">
        <v>4</v>
      </c>
      <c r="U119" s="86">
        <f t="shared" si="64"/>
        <v>302</v>
      </c>
      <c r="V119" s="86">
        <v>150</v>
      </c>
      <c r="W119" s="86">
        <v>1</v>
      </c>
      <c r="X119" s="86">
        <v>1</v>
      </c>
      <c r="Y119" s="86">
        <v>0</v>
      </c>
      <c r="Z119" s="9">
        <v>215020001</v>
      </c>
      <c r="AA119" s="9" t="s">
        <v>594</v>
      </c>
      <c r="AB119" s="9">
        <v>15</v>
      </c>
      <c r="AD119" s="9">
        <v>44000</v>
      </c>
      <c r="AF119" s="89">
        <f t="shared" si="28"/>
        <v>11550</v>
      </c>
      <c r="AG119" s="9">
        <f t="shared" si="67"/>
        <v>21000</v>
      </c>
      <c r="AI119" s="11">
        <f t="shared" si="25"/>
        <v>75</v>
      </c>
      <c r="AJ119" s="10">
        <v>75</v>
      </c>
      <c r="AK119" s="11">
        <f t="shared" si="66"/>
        <v>550</v>
      </c>
      <c r="AL119" s="10">
        <v>550</v>
      </c>
      <c r="AM119" s="11">
        <f t="shared" si="66"/>
        <v>550</v>
      </c>
      <c r="AN119" s="10">
        <v>550</v>
      </c>
      <c r="AO119" s="56">
        <f t="shared" si="31"/>
        <v>2</v>
      </c>
      <c r="AQ119" s="11">
        <f ca="1">IFERROR(OFFSET(ITEM_RES!$A$1,MATCH(AR119,ITEM_RES!$J:$J,0)-1,0),0)</f>
        <v>215060001</v>
      </c>
      <c r="AR119" s="10" t="s">
        <v>506</v>
      </c>
      <c r="AS119" s="11">
        <v>2750</v>
      </c>
      <c r="AV119" s="11">
        <f ca="1">IFERROR(OFFSET(ITEM_RES!$A$1,MATCH(AW119,ITEM_RES!$J:$J,0)-1,0),0)</f>
        <v>215070001</v>
      </c>
      <c r="AW119" s="10" t="s">
        <v>470</v>
      </c>
      <c r="AX119" s="11">
        <v>2750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65"/>
        <v>0</v>
      </c>
    </row>
    <row r="120" spans="1:66" x14ac:dyDescent="0.3">
      <c r="A120" s="14">
        <f t="shared" si="61"/>
        <v>113020016</v>
      </c>
      <c r="B120" s="13">
        <v>11</v>
      </c>
      <c r="C120" s="12">
        <f t="shared" si="62"/>
        <v>3</v>
      </c>
      <c r="D120" s="13">
        <v>2</v>
      </c>
      <c r="E120" s="13">
        <v>0</v>
      </c>
      <c r="F120" s="12">
        <f t="shared" si="63"/>
        <v>16</v>
      </c>
      <c r="H120" s="9">
        <v>3</v>
      </c>
      <c r="I120" s="9">
        <v>16</v>
      </c>
      <c r="K120" s="9" t="s">
        <v>389</v>
      </c>
      <c r="L120" s="9">
        <v>0</v>
      </c>
      <c r="M120" s="9">
        <v>15</v>
      </c>
      <c r="R120" s="9">
        <v>33</v>
      </c>
      <c r="S120" s="86">
        <v>4</v>
      </c>
      <c r="U120" s="86">
        <f t="shared" si="64"/>
        <v>302</v>
      </c>
      <c r="V120" s="86">
        <v>160</v>
      </c>
      <c r="W120" s="86">
        <v>1</v>
      </c>
      <c r="X120" s="86">
        <v>1</v>
      </c>
      <c r="Y120" s="86">
        <v>0</v>
      </c>
      <c r="Z120" s="9">
        <v>215020001</v>
      </c>
      <c r="AA120" s="9" t="s">
        <v>594</v>
      </c>
      <c r="AB120" s="9">
        <v>16</v>
      </c>
      <c r="AD120" s="9">
        <v>56000</v>
      </c>
      <c r="AF120" s="89">
        <f t="shared" si="28"/>
        <v>14700</v>
      </c>
      <c r="AG120" s="9">
        <f t="shared" si="67"/>
        <v>26250</v>
      </c>
      <c r="AI120" s="11">
        <f t="shared" si="25"/>
        <v>80</v>
      </c>
      <c r="AJ120" s="10">
        <v>80</v>
      </c>
      <c r="AK120" s="11">
        <f t="shared" si="66"/>
        <v>700</v>
      </c>
      <c r="AL120" s="10">
        <v>700</v>
      </c>
      <c r="AM120" s="11">
        <f t="shared" si="66"/>
        <v>700</v>
      </c>
      <c r="AN120" s="10">
        <v>700</v>
      </c>
      <c r="AO120" s="56">
        <f t="shared" si="31"/>
        <v>2</v>
      </c>
      <c r="AQ120" s="11">
        <f ca="1">IFERROR(OFFSET(ITEM_RES!$A$1,MATCH(AR120,ITEM_RES!$J:$J,0)-1,0),0)</f>
        <v>215060001</v>
      </c>
      <c r="AR120" s="10" t="s">
        <v>506</v>
      </c>
      <c r="AS120" s="11">
        <v>3500</v>
      </c>
      <c r="AV120" s="11">
        <f ca="1">IFERROR(OFFSET(ITEM_RES!$A$1,MATCH(AW120,ITEM_RES!$J:$J,0)-1,0),0)</f>
        <v>215070001</v>
      </c>
      <c r="AW120" s="10" t="s">
        <v>470</v>
      </c>
      <c r="AX120" s="11">
        <v>3500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65"/>
        <v>0</v>
      </c>
    </row>
    <row r="121" spans="1:66" x14ac:dyDescent="0.3">
      <c r="A121" s="14">
        <f t="shared" si="61"/>
        <v>113020017</v>
      </c>
      <c r="B121" s="13">
        <v>11</v>
      </c>
      <c r="C121" s="12">
        <f t="shared" si="62"/>
        <v>3</v>
      </c>
      <c r="D121" s="13">
        <v>2</v>
      </c>
      <c r="E121" s="13">
        <v>0</v>
      </c>
      <c r="F121" s="12">
        <f t="shared" si="63"/>
        <v>17</v>
      </c>
      <c r="H121" s="9">
        <v>3</v>
      </c>
      <c r="I121" s="9">
        <v>17</v>
      </c>
      <c r="K121" s="9" t="s">
        <v>389</v>
      </c>
      <c r="L121" s="9">
        <v>0</v>
      </c>
      <c r="M121" s="9">
        <v>15</v>
      </c>
      <c r="R121" s="9">
        <v>33</v>
      </c>
      <c r="S121" s="86">
        <v>4</v>
      </c>
      <c r="U121" s="86">
        <f t="shared" si="64"/>
        <v>302</v>
      </c>
      <c r="V121" s="86">
        <v>170</v>
      </c>
      <c r="W121" s="86">
        <v>1</v>
      </c>
      <c r="X121" s="86">
        <v>1</v>
      </c>
      <c r="Y121" s="86">
        <v>0</v>
      </c>
      <c r="Z121" s="9">
        <v>215020001</v>
      </c>
      <c r="AA121" s="9" t="s">
        <v>594</v>
      </c>
      <c r="AB121" s="9">
        <v>17</v>
      </c>
      <c r="AD121" s="9">
        <v>68000</v>
      </c>
      <c r="AF121" s="89">
        <f t="shared" si="28"/>
        <v>17850</v>
      </c>
      <c r="AG121" s="9">
        <f t="shared" si="67"/>
        <v>32550</v>
      </c>
      <c r="AI121" s="11">
        <f t="shared" si="25"/>
        <v>85</v>
      </c>
      <c r="AJ121" s="10">
        <v>85</v>
      </c>
      <c r="AK121" s="11">
        <f t="shared" si="66"/>
        <v>850</v>
      </c>
      <c r="AL121" s="10">
        <v>850</v>
      </c>
      <c r="AM121" s="11">
        <f t="shared" si="66"/>
        <v>850</v>
      </c>
      <c r="AN121" s="10">
        <v>850</v>
      </c>
      <c r="AO121" s="56">
        <f t="shared" si="31"/>
        <v>2</v>
      </c>
      <c r="AQ121" s="11">
        <f ca="1">IFERROR(OFFSET(ITEM_RES!$A$1,MATCH(AR121,ITEM_RES!$J:$J,0)-1,0),0)</f>
        <v>211070001</v>
      </c>
      <c r="AR121" s="10" t="s">
        <v>494</v>
      </c>
      <c r="AS121" s="11">
        <v>4250</v>
      </c>
      <c r="AV121" s="11">
        <f ca="1">IFERROR(OFFSET(ITEM_RES!$A$1,MATCH(AW121,ITEM_RES!$J:$J,0)-1,0),0)</f>
        <v>215070001</v>
      </c>
      <c r="AW121" s="10" t="s">
        <v>470</v>
      </c>
      <c r="AX121" s="11">
        <v>4250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65"/>
        <v>0</v>
      </c>
    </row>
    <row r="122" spans="1:66" x14ac:dyDescent="0.3">
      <c r="A122" s="14">
        <f t="shared" si="61"/>
        <v>113020018</v>
      </c>
      <c r="B122" s="13">
        <v>11</v>
      </c>
      <c r="C122" s="12">
        <f t="shared" si="62"/>
        <v>3</v>
      </c>
      <c r="D122" s="13">
        <v>2</v>
      </c>
      <c r="E122" s="13">
        <v>0</v>
      </c>
      <c r="F122" s="12">
        <f t="shared" si="63"/>
        <v>18</v>
      </c>
      <c r="H122" s="9">
        <v>3</v>
      </c>
      <c r="I122" s="9">
        <v>18</v>
      </c>
      <c r="K122" s="9" t="s">
        <v>389</v>
      </c>
      <c r="L122" s="9">
        <v>0</v>
      </c>
      <c r="M122" s="9">
        <v>15</v>
      </c>
      <c r="R122" s="9">
        <v>33</v>
      </c>
      <c r="S122" s="86">
        <v>4</v>
      </c>
      <c r="U122" s="86">
        <f t="shared" si="64"/>
        <v>302</v>
      </c>
      <c r="V122" s="86">
        <v>180</v>
      </c>
      <c r="W122" s="86">
        <v>1</v>
      </c>
      <c r="X122" s="86">
        <v>1</v>
      </c>
      <c r="Y122" s="86">
        <v>0</v>
      </c>
      <c r="Z122" s="9">
        <v>215020001</v>
      </c>
      <c r="AA122" s="9" t="s">
        <v>594</v>
      </c>
      <c r="AB122" s="9">
        <v>18</v>
      </c>
      <c r="AD122" s="9">
        <v>84000</v>
      </c>
      <c r="AF122" s="89">
        <f t="shared" si="28"/>
        <v>22050</v>
      </c>
      <c r="AG122" s="9">
        <f t="shared" si="67"/>
        <v>39900</v>
      </c>
      <c r="AI122" s="11">
        <f t="shared" si="25"/>
        <v>90</v>
      </c>
      <c r="AJ122" s="10">
        <v>90</v>
      </c>
      <c r="AK122" s="11">
        <f t="shared" si="66"/>
        <v>1050</v>
      </c>
      <c r="AL122" s="10">
        <v>1050</v>
      </c>
      <c r="AM122" s="11">
        <f t="shared" si="66"/>
        <v>1050</v>
      </c>
      <c r="AN122" s="10">
        <v>1050</v>
      </c>
      <c r="AO122" s="56">
        <f t="shared" si="31"/>
        <v>2</v>
      </c>
      <c r="AQ122" s="11">
        <f ca="1">IFERROR(OFFSET(ITEM_RES!$A$1,MATCH(AR122,ITEM_RES!$J:$J,0)-1,0),0)</f>
        <v>215080001</v>
      </c>
      <c r="AR122" s="10" t="s">
        <v>507</v>
      </c>
      <c r="AS122" s="11">
        <v>5250</v>
      </c>
      <c r="AV122" s="11">
        <f ca="1">IFERROR(OFFSET(ITEM_RES!$A$1,MATCH(AW122,ITEM_RES!$J:$J,0)-1,0),0)</f>
        <v>215070001</v>
      </c>
      <c r="AW122" s="10" t="s">
        <v>470</v>
      </c>
      <c r="AX122" s="11">
        <v>5250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65"/>
        <v>0</v>
      </c>
    </row>
    <row r="123" spans="1:66" x14ac:dyDescent="0.3">
      <c r="A123" s="14">
        <f t="shared" si="61"/>
        <v>113020019</v>
      </c>
      <c r="B123" s="13">
        <v>11</v>
      </c>
      <c r="C123" s="12">
        <f t="shared" si="62"/>
        <v>3</v>
      </c>
      <c r="D123" s="13">
        <v>2</v>
      </c>
      <c r="E123" s="13">
        <v>0</v>
      </c>
      <c r="F123" s="12">
        <f t="shared" si="63"/>
        <v>19</v>
      </c>
      <c r="H123" s="9">
        <v>3</v>
      </c>
      <c r="I123" s="9">
        <v>19</v>
      </c>
      <c r="K123" s="9" t="s">
        <v>389</v>
      </c>
      <c r="L123" s="9">
        <v>0</v>
      </c>
      <c r="M123" s="9">
        <v>15</v>
      </c>
      <c r="R123" s="9">
        <v>33</v>
      </c>
      <c r="S123" s="86">
        <v>4</v>
      </c>
      <c r="U123" s="86">
        <f t="shared" si="64"/>
        <v>302</v>
      </c>
      <c r="V123" s="86">
        <v>190</v>
      </c>
      <c r="W123" s="86">
        <v>1</v>
      </c>
      <c r="X123" s="86">
        <v>1</v>
      </c>
      <c r="Y123" s="86">
        <v>0</v>
      </c>
      <c r="Z123" s="9">
        <v>215020001</v>
      </c>
      <c r="AA123" s="9" t="s">
        <v>594</v>
      </c>
      <c r="AB123" s="9">
        <v>19</v>
      </c>
      <c r="AD123" s="9">
        <v>100000</v>
      </c>
      <c r="AF123" s="89">
        <f t="shared" si="28"/>
        <v>26250</v>
      </c>
      <c r="AG123" s="9">
        <f t="shared" si="67"/>
        <v>48300</v>
      </c>
      <c r="AI123" s="11">
        <f t="shared" si="25"/>
        <v>95</v>
      </c>
      <c r="AJ123" s="10">
        <v>95</v>
      </c>
      <c r="AK123" s="11">
        <f t="shared" si="66"/>
        <v>1250</v>
      </c>
      <c r="AL123" s="10">
        <v>1250</v>
      </c>
      <c r="AM123" s="11">
        <f t="shared" si="66"/>
        <v>1250</v>
      </c>
      <c r="AN123" s="10">
        <v>1250</v>
      </c>
      <c r="AO123" s="56">
        <f t="shared" si="31"/>
        <v>2</v>
      </c>
      <c r="AQ123" s="11">
        <f ca="1">IFERROR(OFFSET(ITEM_RES!$A$1,MATCH(AR123,ITEM_RES!$J:$J,0)-1,0),0)</f>
        <v>215080001</v>
      </c>
      <c r="AR123" s="10" t="s">
        <v>507</v>
      </c>
      <c r="AS123" s="11">
        <v>6250</v>
      </c>
      <c r="AV123" s="11">
        <f ca="1">IFERROR(OFFSET(ITEM_RES!$A$1,MATCH(AW123,ITEM_RES!$J:$J,0)-1,0),0)</f>
        <v>215070001</v>
      </c>
      <c r="AW123" s="10" t="s">
        <v>470</v>
      </c>
      <c r="AX123" s="11">
        <v>6250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65"/>
        <v>0</v>
      </c>
    </row>
    <row r="124" spans="1:66" ht="17.25" thickBot="1" x14ac:dyDescent="0.35">
      <c r="A124" s="14">
        <f t="shared" si="61"/>
        <v>113020020</v>
      </c>
      <c r="B124" s="13">
        <v>11</v>
      </c>
      <c r="C124" s="12">
        <f t="shared" si="62"/>
        <v>3</v>
      </c>
      <c r="D124" s="13">
        <v>2</v>
      </c>
      <c r="E124" s="13">
        <v>0</v>
      </c>
      <c r="F124" s="12">
        <f t="shared" si="63"/>
        <v>20</v>
      </c>
      <c r="H124" s="9">
        <v>3</v>
      </c>
      <c r="I124" s="9">
        <v>20</v>
      </c>
      <c r="K124" s="9" t="s">
        <v>389</v>
      </c>
      <c r="L124" s="9">
        <v>0</v>
      </c>
      <c r="M124" s="9">
        <v>15</v>
      </c>
      <c r="R124" s="9">
        <v>33</v>
      </c>
      <c r="S124" s="86">
        <v>4</v>
      </c>
      <c r="U124" s="86">
        <f t="shared" si="64"/>
        <v>302</v>
      </c>
      <c r="V124" s="86">
        <v>200</v>
      </c>
      <c r="W124" s="86">
        <v>1</v>
      </c>
      <c r="X124" s="86">
        <v>1</v>
      </c>
      <c r="Y124" s="86">
        <v>0</v>
      </c>
      <c r="Z124" s="9">
        <v>215020001</v>
      </c>
      <c r="AA124" s="9" t="s">
        <v>594</v>
      </c>
      <c r="AB124" s="9">
        <v>20</v>
      </c>
      <c r="AD124" s="9">
        <v>120000</v>
      </c>
      <c r="AF124" s="89">
        <f t="shared" si="28"/>
        <v>31500</v>
      </c>
      <c r="AG124" s="9">
        <f t="shared" si="67"/>
        <v>57750</v>
      </c>
      <c r="AI124" s="11">
        <f t="shared" si="25"/>
        <v>100</v>
      </c>
      <c r="AJ124" s="10">
        <v>100</v>
      </c>
      <c r="AK124" s="11">
        <f t="shared" si="66"/>
        <v>1500</v>
      </c>
      <c r="AL124" s="10">
        <v>1500</v>
      </c>
      <c r="AM124" s="11">
        <f t="shared" si="66"/>
        <v>1500</v>
      </c>
      <c r="AN124" s="10">
        <v>1500</v>
      </c>
      <c r="AO124" s="56">
        <f t="shared" si="31"/>
        <v>2</v>
      </c>
      <c r="AQ124" s="11">
        <f ca="1">IFERROR(OFFSET(ITEM_RES!$A$1,MATCH(AR124,ITEM_RES!$J:$J,0)-1,0),0)</f>
        <v>215080001</v>
      </c>
      <c r="AR124" s="10" t="s">
        <v>507</v>
      </c>
      <c r="AS124" s="11">
        <v>7500</v>
      </c>
      <c r="AV124" s="11">
        <f ca="1">IFERROR(OFFSET(ITEM_RES!$A$1,MATCH(AW124,ITEM_RES!$J:$J,0)-1,0),0)</f>
        <v>215070001</v>
      </c>
      <c r="AW124" s="10" t="s">
        <v>470</v>
      </c>
      <c r="AX124" s="11">
        <v>7500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65"/>
        <v>0</v>
      </c>
    </row>
    <row r="125" spans="1:66" s="15" customFormat="1" x14ac:dyDescent="0.3">
      <c r="A125" s="21">
        <f t="shared" si="61"/>
        <v>111050001</v>
      </c>
      <c r="B125" s="20">
        <v>11</v>
      </c>
      <c r="C125" s="19">
        <f t="shared" si="62"/>
        <v>1</v>
      </c>
      <c r="D125" s="20">
        <v>5</v>
      </c>
      <c r="E125" s="20">
        <v>0</v>
      </c>
      <c r="F125" s="19">
        <f t="shared" si="63"/>
        <v>1</v>
      </c>
      <c r="G125" s="80"/>
      <c r="H125" s="16">
        <v>1</v>
      </c>
      <c r="I125" s="16">
        <v>1</v>
      </c>
      <c r="J125" s="80"/>
      <c r="K125" s="16" t="s">
        <v>371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8">
        <v>1</v>
      </c>
      <c r="T125" s="80"/>
      <c r="U125" s="88">
        <f t="shared" si="64"/>
        <v>105</v>
      </c>
      <c r="V125" s="88">
        <v>10</v>
      </c>
      <c r="W125" s="88">
        <v>1</v>
      </c>
      <c r="X125" s="88">
        <v>1</v>
      </c>
      <c r="Y125" s="88">
        <v>0</v>
      </c>
      <c r="Z125" s="16">
        <v>211050001</v>
      </c>
      <c r="AA125" s="16" t="s">
        <v>595</v>
      </c>
      <c r="AB125" s="16">
        <v>1</v>
      </c>
      <c r="AC125" s="80"/>
      <c r="AD125" s="16">
        <v>100</v>
      </c>
      <c r="AE125" s="80"/>
      <c r="AF125" s="91">
        <f t="shared" si="28"/>
        <v>580</v>
      </c>
      <c r="AG125" s="16">
        <f>AF125</f>
        <v>580</v>
      </c>
      <c r="AH125" s="80"/>
      <c r="AI125" s="18">
        <f t="shared" si="25"/>
        <v>5</v>
      </c>
      <c r="AJ125" s="17">
        <v>5</v>
      </c>
      <c r="AK125" s="18">
        <f t="shared" si="66"/>
        <v>5</v>
      </c>
      <c r="AL125" s="17">
        <v>5</v>
      </c>
      <c r="AM125" s="18">
        <f t="shared" si="66"/>
        <v>5</v>
      </c>
      <c r="AN125" s="17">
        <v>5</v>
      </c>
      <c r="AO125" s="57">
        <f t="shared" si="31"/>
        <v>2</v>
      </c>
      <c r="AP125" s="18"/>
      <c r="AQ125" s="18">
        <f ca="1">IFERROR(OFFSET(ITEM_RES!$A$1,MATCH(AR125,ITEM_RES!$J:$J,0)-1,0),0)</f>
        <v>212010001</v>
      </c>
      <c r="AR125" s="17" t="s">
        <v>484</v>
      </c>
      <c r="AS125" s="18">
        <v>25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213010001</v>
      </c>
      <c r="BB125" s="17" t="s">
        <v>509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65"/>
        <v>0</v>
      </c>
      <c r="BN125" s="17"/>
    </row>
    <row r="126" spans="1:66" x14ac:dyDescent="0.3">
      <c r="A126" s="14">
        <f t="shared" si="61"/>
        <v>111050002</v>
      </c>
      <c r="B126" s="13">
        <v>11</v>
      </c>
      <c r="C126" s="12">
        <f t="shared" si="62"/>
        <v>1</v>
      </c>
      <c r="D126" s="13">
        <v>5</v>
      </c>
      <c r="E126" s="13">
        <v>0</v>
      </c>
      <c r="F126" s="12">
        <f t="shared" si="63"/>
        <v>2</v>
      </c>
      <c r="H126" s="9">
        <v>1</v>
      </c>
      <c r="I126" s="9">
        <v>2</v>
      </c>
      <c r="K126" s="9" t="s">
        <v>371</v>
      </c>
      <c r="L126" s="9">
        <v>1</v>
      </c>
      <c r="M126" s="9">
        <v>15</v>
      </c>
      <c r="R126" s="9">
        <v>44</v>
      </c>
      <c r="S126" s="86">
        <v>1</v>
      </c>
      <c r="U126" s="86">
        <f t="shared" si="64"/>
        <v>105</v>
      </c>
      <c r="V126" s="86">
        <v>20</v>
      </c>
      <c r="W126" s="86">
        <v>1</v>
      </c>
      <c r="X126" s="86">
        <v>1</v>
      </c>
      <c r="Y126" s="86">
        <v>0</v>
      </c>
      <c r="Z126" s="9">
        <v>211050001</v>
      </c>
      <c r="AA126" s="9" t="s">
        <v>595</v>
      </c>
      <c r="AB126" s="9">
        <v>2</v>
      </c>
      <c r="AD126" s="9">
        <v>200</v>
      </c>
      <c r="AF126" s="89">
        <f t="shared" si="28"/>
        <v>160</v>
      </c>
      <c r="AG126" s="9">
        <f>AF125+AF126</f>
        <v>740</v>
      </c>
      <c r="AI126" s="11">
        <f t="shared" si="25"/>
        <v>10</v>
      </c>
      <c r="AJ126" s="10">
        <v>10</v>
      </c>
      <c r="AK126" s="11">
        <f t="shared" si="66"/>
        <v>10</v>
      </c>
      <c r="AL126" s="10">
        <v>10</v>
      </c>
      <c r="AM126" s="11">
        <f t="shared" si="66"/>
        <v>10</v>
      </c>
      <c r="AN126" s="10">
        <v>10</v>
      </c>
      <c r="AO126" s="56">
        <f t="shared" si="31"/>
        <v>1</v>
      </c>
      <c r="AQ126" s="11">
        <f ca="1">IFERROR(OFFSET(ITEM_RES!$A$1,MATCH(AR126,ITEM_RES!$J:$J,0)-1,0),0)</f>
        <v>212010001</v>
      </c>
      <c r="AR126" s="10" t="s">
        <v>484</v>
      </c>
      <c r="AS126" s="11">
        <v>50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65"/>
        <v>0</v>
      </c>
    </row>
    <row r="127" spans="1:66" x14ac:dyDescent="0.3">
      <c r="A127" s="14">
        <f t="shared" si="61"/>
        <v>111050003</v>
      </c>
      <c r="B127" s="13">
        <v>11</v>
      </c>
      <c r="C127" s="12">
        <f t="shared" si="62"/>
        <v>1</v>
      </c>
      <c r="D127" s="13">
        <v>5</v>
      </c>
      <c r="E127" s="13">
        <v>0</v>
      </c>
      <c r="F127" s="12">
        <f t="shared" si="63"/>
        <v>3</v>
      </c>
      <c r="H127" s="9">
        <v>1</v>
      </c>
      <c r="I127" s="9">
        <v>3</v>
      </c>
      <c r="K127" s="9" t="s">
        <v>371</v>
      </c>
      <c r="L127" s="9">
        <v>1</v>
      </c>
      <c r="M127" s="9">
        <v>15</v>
      </c>
      <c r="R127" s="9">
        <v>44</v>
      </c>
      <c r="S127" s="86">
        <v>1</v>
      </c>
      <c r="U127" s="86">
        <f t="shared" si="64"/>
        <v>105</v>
      </c>
      <c r="V127" s="86">
        <v>30</v>
      </c>
      <c r="W127" s="86">
        <v>1</v>
      </c>
      <c r="X127" s="86">
        <v>1</v>
      </c>
      <c r="Y127" s="86">
        <v>0</v>
      </c>
      <c r="Z127" s="9">
        <v>211050001</v>
      </c>
      <c r="AA127" s="9" t="s">
        <v>595</v>
      </c>
      <c r="AB127" s="9">
        <v>3</v>
      </c>
      <c r="AD127" s="9">
        <v>600</v>
      </c>
      <c r="AF127" s="89">
        <f t="shared" si="28"/>
        <v>240</v>
      </c>
      <c r="AG127" s="9">
        <f t="shared" ref="AG127:AG144" si="68">AF126+AF127</f>
        <v>400</v>
      </c>
      <c r="AI127" s="11">
        <f t="shared" si="25"/>
        <v>15</v>
      </c>
      <c r="AJ127" s="10">
        <v>15</v>
      </c>
      <c r="AK127" s="11">
        <f t="shared" si="66"/>
        <v>15</v>
      </c>
      <c r="AL127" s="10">
        <v>15</v>
      </c>
      <c r="AM127" s="11">
        <f t="shared" si="66"/>
        <v>15</v>
      </c>
      <c r="AN127" s="10">
        <v>15</v>
      </c>
      <c r="AO127" s="56">
        <f t="shared" si="31"/>
        <v>1</v>
      </c>
      <c r="AQ127" s="11">
        <f ca="1">IFERROR(OFFSET(ITEM_RES!$A$1,MATCH(AR127,ITEM_RES!$J:$J,0)-1,0),0)</f>
        <v>212010001</v>
      </c>
      <c r="AR127" s="10" t="s">
        <v>484</v>
      </c>
      <c r="AS127" s="11">
        <v>75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65"/>
        <v>0</v>
      </c>
    </row>
    <row r="128" spans="1:66" x14ac:dyDescent="0.3">
      <c r="A128" s="14">
        <f t="shared" si="61"/>
        <v>111050004</v>
      </c>
      <c r="B128" s="13">
        <v>11</v>
      </c>
      <c r="C128" s="12">
        <f t="shared" si="62"/>
        <v>1</v>
      </c>
      <c r="D128" s="13">
        <v>5</v>
      </c>
      <c r="E128" s="13">
        <v>0</v>
      </c>
      <c r="F128" s="12">
        <f t="shared" si="63"/>
        <v>4</v>
      </c>
      <c r="H128" s="9">
        <v>1</v>
      </c>
      <c r="I128" s="9">
        <v>4</v>
      </c>
      <c r="K128" s="9" t="s">
        <v>371</v>
      </c>
      <c r="L128" s="9">
        <v>1</v>
      </c>
      <c r="M128" s="9">
        <v>15</v>
      </c>
      <c r="R128" s="9">
        <v>44</v>
      </c>
      <c r="S128" s="86">
        <v>1</v>
      </c>
      <c r="U128" s="86">
        <f t="shared" si="64"/>
        <v>105</v>
      </c>
      <c r="V128" s="86">
        <v>40</v>
      </c>
      <c r="W128" s="86">
        <v>1</v>
      </c>
      <c r="X128" s="86">
        <v>1</v>
      </c>
      <c r="Y128" s="86">
        <v>0</v>
      </c>
      <c r="Z128" s="9">
        <v>211050001</v>
      </c>
      <c r="AA128" s="9" t="s">
        <v>595</v>
      </c>
      <c r="AB128" s="9">
        <v>4</v>
      </c>
      <c r="AD128" s="9">
        <v>1000</v>
      </c>
      <c r="AF128" s="89">
        <f t="shared" si="28"/>
        <v>400</v>
      </c>
      <c r="AG128" s="9">
        <f t="shared" si="68"/>
        <v>640</v>
      </c>
      <c r="AI128" s="11">
        <f t="shared" si="25"/>
        <v>20</v>
      </c>
      <c r="AJ128" s="10">
        <v>20</v>
      </c>
      <c r="AK128" s="11">
        <f t="shared" si="66"/>
        <v>25</v>
      </c>
      <c r="AL128" s="10">
        <v>25</v>
      </c>
      <c r="AM128" s="11">
        <f t="shared" si="66"/>
        <v>25</v>
      </c>
      <c r="AN128" s="10">
        <v>25</v>
      </c>
      <c r="AO128" s="56">
        <f t="shared" si="31"/>
        <v>1</v>
      </c>
      <c r="AQ128" s="11">
        <f ca="1">IFERROR(OFFSET(ITEM_RES!$A$1,MATCH(AR128,ITEM_RES!$J:$J,0)-1,0),0)</f>
        <v>212010001</v>
      </c>
      <c r="AR128" s="10" t="s">
        <v>484</v>
      </c>
      <c r="AS128" s="11">
        <v>125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65"/>
        <v>0</v>
      </c>
    </row>
    <row r="129" spans="1:65" x14ac:dyDescent="0.3">
      <c r="A129" s="14">
        <f t="shared" si="61"/>
        <v>111050005</v>
      </c>
      <c r="B129" s="13">
        <v>11</v>
      </c>
      <c r="C129" s="12">
        <f t="shared" si="62"/>
        <v>1</v>
      </c>
      <c r="D129" s="13">
        <v>5</v>
      </c>
      <c r="E129" s="13">
        <v>0</v>
      </c>
      <c r="F129" s="12">
        <f t="shared" si="63"/>
        <v>5</v>
      </c>
      <c r="H129" s="9">
        <v>1</v>
      </c>
      <c r="I129" s="9">
        <v>5</v>
      </c>
      <c r="K129" s="9" t="s">
        <v>371</v>
      </c>
      <c r="L129" s="9">
        <v>1</v>
      </c>
      <c r="M129" s="9">
        <v>15</v>
      </c>
      <c r="R129" s="9">
        <v>44</v>
      </c>
      <c r="S129" s="86">
        <v>1</v>
      </c>
      <c r="U129" s="86">
        <f t="shared" si="64"/>
        <v>105</v>
      </c>
      <c r="V129" s="86">
        <v>50</v>
      </c>
      <c r="W129" s="86">
        <v>1</v>
      </c>
      <c r="X129" s="86">
        <v>1</v>
      </c>
      <c r="Y129" s="86">
        <v>0</v>
      </c>
      <c r="Z129" s="9">
        <v>211050001</v>
      </c>
      <c r="AA129" s="9" t="s">
        <v>595</v>
      </c>
      <c r="AB129" s="9">
        <v>5</v>
      </c>
      <c r="AD129" s="9">
        <v>1600</v>
      </c>
      <c r="AF129" s="89">
        <f t="shared" si="28"/>
        <v>640</v>
      </c>
      <c r="AG129" s="9">
        <f t="shared" si="68"/>
        <v>1040</v>
      </c>
      <c r="AI129" s="11">
        <f t="shared" si="25"/>
        <v>25</v>
      </c>
      <c r="AJ129" s="10">
        <v>25</v>
      </c>
      <c r="AK129" s="11">
        <f t="shared" si="66"/>
        <v>40</v>
      </c>
      <c r="AL129" s="10">
        <v>40</v>
      </c>
      <c r="AM129" s="11">
        <f t="shared" si="66"/>
        <v>40</v>
      </c>
      <c r="AN129" s="10">
        <v>40</v>
      </c>
      <c r="AO129" s="56">
        <f t="shared" si="31"/>
        <v>1</v>
      </c>
      <c r="AQ129" s="11">
        <f ca="1">IFERROR(OFFSET(ITEM_RES!$A$1,MATCH(AR129,ITEM_RES!$J:$J,0)-1,0),0)</f>
        <v>212010001</v>
      </c>
      <c r="AR129" s="10" t="s">
        <v>484</v>
      </c>
      <c r="AS129" s="11">
        <v>200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65"/>
        <v>0</v>
      </c>
    </row>
    <row r="130" spans="1:65" x14ac:dyDescent="0.3">
      <c r="A130" s="14">
        <f t="shared" si="61"/>
        <v>111050006</v>
      </c>
      <c r="B130" s="13">
        <v>11</v>
      </c>
      <c r="C130" s="12">
        <f t="shared" si="62"/>
        <v>1</v>
      </c>
      <c r="D130" s="13">
        <v>5</v>
      </c>
      <c r="E130" s="13">
        <v>0</v>
      </c>
      <c r="F130" s="12">
        <f t="shared" si="63"/>
        <v>6</v>
      </c>
      <c r="H130" s="9">
        <v>1</v>
      </c>
      <c r="I130" s="9">
        <v>6</v>
      </c>
      <c r="K130" s="9" t="s">
        <v>371</v>
      </c>
      <c r="L130" s="9">
        <v>1</v>
      </c>
      <c r="M130" s="9">
        <v>15</v>
      </c>
      <c r="R130" s="9">
        <v>44</v>
      </c>
      <c r="S130" s="86">
        <v>1</v>
      </c>
      <c r="U130" s="86">
        <f t="shared" si="64"/>
        <v>105</v>
      </c>
      <c r="V130" s="86">
        <v>60</v>
      </c>
      <c r="W130" s="86">
        <v>1</v>
      </c>
      <c r="X130" s="86">
        <v>1</v>
      </c>
      <c r="Y130" s="86">
        <v>0</v>
      </c>
      <c r="Z130" s="9">
        <v>211050001</v>
      </c>
      <c r="AA130" s="9" t="s">
        <v>595</v>
      </c>
      <c r="AB130" s="9">
        <v>6</v>
      </c>
      <c r="AD130" s="9">
        <v>2000</v>
      </c>
      <c r="AF130" s="89">
        <f t="shared" si="28"/>
        <v>800</v>
      </c>
      <c r="AG130" s="9">
        <f t="shared" si="68"/>
        <v>1440</v>
      </c>
      <c r="AI130" s="11">
        <f t="shared" si="25"/>
        <v>30</v>
      </c>
      <c r="AJ130" s="10">
        <v>30</v>
      </c>
      <c r="AK130" s="11">
        <f t="shared" si="66"/>
        <v>50</v>
      </c>
      <c r="AL130" s="10">
        <v>50</v>
      </c>
      <c r="AM130" s="11">
        <f t="shared" si="66"/>
        <v>50</v>
      </c>
      <c r="AN130" s="10">
        <v>50</v>
      </c>
      <c r="AO130" s="56">
        <f t="shared" si="31"/>
        <v>1</v>
      </c>
      <c r="AQ130" s="11">
        <f ca="1">IFERROR(OFFSET(ITEM_RES!$A$1,MATCH(AR130,ITEM_RES!$J:$J,0)-1,0),0)</f>
        <v>212010001</v>
      </c>
      <c r="AR130" s="10" t="s">
        <v>484</v>
      </c>
      <c r="AS130" s="11">
        <v>250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65"/>
        <v>0</v>
      </c>
    </row>
    <row r="131" spans="1:65" x14ac:dyDescent="0.3">
      <c r="A131" s="14">
        <f t="shared" si="61"/>
        <v>111050007</v>
      </c>
      <c r="B131" s="13">
        <v>11</v>
      </c>
      <c r="C131" s="12">
        <f t="shared" si="62"/>
        <v>1</v>
      </c>
      <c r="D131" s="13">
        <v>5</v>
      </c>
      <c r="E131" s="13">
        <v>0</v>
      </c>
      <c r="F131" s="12">
        <f t="shared" si="63"/>
        <v>7</v>
      </c>
      <c r="H131" s="9">
        <v>1</v>
      </c>
      <c r="I131" s="9">
        <v>7</v>
      </c>
      <c r="K131" s="9" t="s">
        <v>371</v>
      </c>
      <c r="L131" s="9">
        <v>1</v>
      </c>
      <c r="M131" s="9">
        <v>15</v>
      </c>
      <c r="R131" s="9">
        <v>44</v>
      </c>
      <c r="S131" s="86">
        <v>1</v>
      </c>
      <c r="U131" s="86">
        <f t="shared" si="64"/>
        <v>105</v>
      </c>
      <c r="V131" s="86">
        <v>70</v>
      </c>
      <c r="W131" s="86">
        <v>1</v>
      </c>
      <c r="X131" s="86">
        <v>1</v>
      </c>
      <c r="Y131" s="86">
        <v>0</v>
      </c>
      <c r="Z131" s="9">
        <v>211050001</v>
      </c>
      <c r="AA131" s="9" t="s">
        <v>595</v>
      </c>
      <c r="AB131" s="9">
        <v>7</v>
      </c>
      <c r="AD131" s="9">
        <v>4000</v>
      </c>
      <c r="AF131" s="89">
        <f t="shared" si="28"/>
        <v>1600</v>
      </c>
      <c r="AG131" s="9">
        <f t="shared" si="68"/>
        <v>2400</v>
      </c>
      <c r="AI131" s="11">
        <f t="shared" si="25"/>
        <v>35</v>
      </c>
      <c r="AJ131" s="10">
        <v>35</v>
      </c>
      <c r="AK131" s="11">
        <f t="shared" si="66"/>
        <v>100</v>
      </c>
      <c r="AL131" s="10">
        <v>100</v>
      </c>
      <c r="AM131" s="11">
        <f t="shared" si="66"/>
        <v>100</v>
      </c>
      <c r="AN131" s="10">
        <v>100</v>
      </c>
      <c r="AO131" s="56">
        <f t="shared" si="31"/>
        <v>1</v>
      </c>
      <c r="AQ131" s="11">
        <f ca="1">IFERROR(OFFSET(ITEM_RES!$A$1,MATCH(AR131,ITEM_RES!$J:$J,0)-1,0),0)</f>
        <v>212010001</v>
      </c>
      <c r="AR131" s="10" t="s">
        <v>484</v>
      </c>
      <c r="AS131" s="11">
        <v>500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65"/>
        <v>0</v>
      </c>
    </row>
    <row r="132" spans="1:65" x14ac:dyDescent="0.3">
      <c r="A132" s="14">
        <f t="shared" si="61"/>
        <v>111050008</v>
      </c>
      <c r="B132" s="13">
        <v>11</v>
      </c>
      <c r="C132" s="12">
        <f t="shared" si="62"/>
        <v>1</v>
      </c>
      <c r="D132" s="13">
        <v>5</v>
      </c>
      <c r="E132" s="13">
        <v>0</v>
      </c>
      <c r="F132" s="12">
        <f t="shared" si="63"/>
        <v>8</v>
      </c>
      <c r="H132" s="9">
        <v>1</v>
      </c>
      <c r="I132" s="9">
        <v>8</v>
      </c>
      <c r="K132" s="9" t="s">
        <v>371</v>
      </c>
      <c r="L132" s="9">
        <v>1</v>
      </c>
      <c r="M132" s="9">
        <v>15</v>
      </c>
      <c r="R132" s="9">
        <v>44</v>
      </c>
      <c r="S132" s="86">
        <v>1</v>
      </c>
      <c r="U132" s="86">
        <f t="shared" si="64"/>
        <v>105</v>
      </c>
      <c r="V132" s="86">
        <v>80</v>
      </c>
      <c r="W132" s="86">
        <v>1</v>
      </c>
      <c r="X132" s="86">
        <v>1</v>
      </c>
      <c r="Y132" s="86">
        <v>0</v>
      </c>
      <c r="Z132" s="9">
        <v>211050001</v>
      </c>
      <c r="AA132" s="9" t="s">
        <v>595</v>
      </c>
      <c r="AB132" s="9">
        <v>8</v>
      </c>
      <c r="AD132" s="9">
        <v>4000</v>
      </c>
      <c r="AF132" s="89">
        <f t="shared" si="28"/>
        <v>1600</v>
      </c>
      <c r="AG132" s="9">
        <f t="shared" si="68"/>
        <v>3200</v>
      </c>
      <c r="AI132" s="11">
        <f t="shared" si="25"/>
        <v>40</v>
      </c>
      <c r="AJ132" s="10">
        <v>40</v>
      </c>
      <c r="AK132" s="11">
        <f t="shared" si="66"/>
        <v>100</v>
      </c>
      <c r="AL132" s="10">
        <v>100</v>
      </c>
      <c r="AM132" s="11">
        <f t="shared" si="66"/>
        <v>100</v>
      </c>
      <c r="AN132" s="10">
        <v>100</v>
      </c>
      <c r="AO132" s="56">
        <f t="shared" si="31"/>
        <v>1</v>
      </c>
      <c r="AQ132" s="11">
        <f ca="1">IFERROR(OFFSET(ITEM_RES!$A$1,MATCH(AR132,ITEM_RES!$J:$J,0)-1,0),0)</f>
        <v>212010001</v>
      </c>
      <c r="AR132" s="10" t="s">
        <v>484</v>
      </c>
      <c r="AS132" s="11">
        <v>500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65"/>
        <v>0</v>
      </c>
    </row>
    <row r="133" spans="1:65" x14ac:dyDescent="0.3">
      <c r="A133" s="14">
        <f t="shared" si="61"/>
        <v>111050009</v>
      </c>
      <c r="B133" s="13">
        <v>11</v>
      </c>
      <c r="C133" s="12">
        <f t="shared" si="62"/>
        <v>1</v>
      </c>
      <c r="D133" s="13">
        <v>5</v>
      </c>
      <c r="E133" s="13">
        <v>0</v>
      </c>
      <c r="F133" s="12">
        <f t="shared" si="63"/>
        <v>9</v>
      </c>
      <c r="H133" s="9">
        <v>1</v>
      </c>
      <c r="I133" s="9">
        <v>9</v>
      </c>
      <c r="K133" s="9" t="s">
        <v>371</v>
      </c>
      <c r="L133" s="9">
        <v>1</v>
      </c>
      <c r="M133" s="9">
        <v>15</v>
      </c>
      <c r="R133" s="9">
        <v>44</v>
      </c>
      <c r="S133" s="86">
        <v>1</v>
      </c>
      <c r="U133" s="86">
        <f t="shared" si="64"/>
        <v>105</v>
      </c>
      <c r="V133" s="86">
        <v>90</v>
      </c>
      <c r="W133" s="86">
        <v>1</v>
      </c>
      <c r="X133" s="86">
        <v>1</v>
      </c>
      <c r="Y133" s="86">
        <v>0</v>
      </c>
      <c r="Z133" s="9">
        <v>211050001</v>
      </c>
      <c r="AA133" s="9" t="s">
        <v>595</v>
      </c>
      <c r="AB133" s="9">
        <v>9</v>
      </c>
      <c r="AD133" s="9">
        <v>6000</v>
      </c>
      <c r="AF133" s="89">
        <f t="shared" si="28"/>
        <v>2400</v>
      </c>
      <c r="AG133" s="9">
        <f t="shared" si="68"/>
        <v>4000</v>
      </c>
      <c r="AI133" s="11">
        <f t="shared" ref="AI133:AI216" si="69">ROUND(AJ133,0)</f>
        <v>45</v>
      </c>
      <c r="AJ133" s="10">
        <v>45</v>
      </c>
      <c r="AK133" s="11">
        <f t="shared" si="66"/>
        <v>150</v>
      </c>
      <c r="AL133" s="10">
        <v>150</v>
      </c>
      <c r="AM133" s="11">
        <f t="shared" si="66"/>
        <v>150</v>
      </c>
      <c r="AN133" s="10">
        <v>150</v>
      </c>
      <c r="AO133" s="56">
        <f t="shared" si="31"/>
        <v>1</v>
      </c>
      <c r="AQ133" s="11">
        <f ca="1">IFERROR(OFFSET(ITEM_RES!$A$1,MATCH(AR133,ITEM_RES!$J:$J,0)-1,0),0)</f>
        <v>212010001</v>
      </c>
      <c r="AR133" s="10" t="s">
        <v>484</v>
      </c>
      <c r="AS133" s="11">
        <v>750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65"/>
        <v>0</v>
      </c>
    </row>
    <row r="134" spans="1:65" x14ac:dyDescent="0.3">
      <c r="A134" s="14">
        <f t="shared" si="61"/>
        <v>111050010</v>
      </c>
      <c r="B134" s="13">
        <v>11</v>
      </c>
      <c r="C134" s="12">
        <f t="shared" si="62"/>
        <v>1</v>
      </c>
      <c r="D134" s="13">
        <v>5</v>
      </c>
      <c r="E134" s="13">
        <v>0</v>
      </c>
      <c r="F134" s="12">
        <f t="shared" si="63"/>
        <v>10</v>
      </c>
      <c r="H134" s="9">
        <v>1</v>
      </c>
      <c r="I134" s="9">
        <v>10</v>
      </c>
      <c r="K134" s="9" t="s">
        <v>371</v>
      </c>
      <c r="L134" s="9">
        <v>1</v>
      </c>
      <c r="M134" s="9">
        <v>15</v>
      </c>
      <c r="R134" s="9">
        <v>44</v>
      </c>
      <c r="S134" s="86">
        <v>1</v>
      </c>
      <c r="U134" s="86">
        <f t="shared" si="64"/>
        <v>105</v>
      </c>
      <c r="V134" s="86">
        <v>100</v>
      </c>
      <c r="W134" s="86">
        <v>1</v>
      </c>
      <c r="X134" s="86">
        <v>1</v>
      </c>
      <c r="Y134" s="86">
        <v>0</v>
      </c>
      <c r="Z134" s="9">
        <v>211050001</v>
      </c>
      <c r="AA134" s="9" t="s">
        <v>595</v>
      </c>
      <c r="AB134" s="9">
        <v>10</v>
      </c>
      <c r="AD134" s="9">
        <v>8000</v>
      </c>
      <c r="AF134" s="89">
        <f t="shared" ref="AF134:AF217" si="70">AL134*10+AN134+AS134+AX134+500*BC134+500*BH134+500*BM134</f>
        <v>3200</v>
      </c>
      <c r="AG134" s="9">
        <f t="shared" si="68"/>
        <v>5600</v>
      </c>
      <c r="AI134" s="11">
        <f t="shared" si="69"/>
        <v>50</v>
      </c>
      <c r="AJ134" s="10">
        <v>50</v>
      </c>
      <c r="AK134" s="11">
        <f t="shared" si="66"/>
        <v>200</v>
      </c>
      <c r="AL134" s="10">
        <v>200</v>
      </c>
      <c r="AM134" s="11">
        <f t="shared" si="66"/>
        <v>200</v>
      </c>
      <c r="AN134" s="10">
        <v>200</v>
      </c>
      <c r="AO134" s="56">
        <f t="shared" ref="AO134:AO217" si="71">(AS134&gt;0)*1+(AX134&gt;0)*1+(BC134&gt;0)*1+(BH134&gt;0)*1+(BM134&gt;0)*1</f>
        <v>1</v>
      </c>
      <c r="AQ134" s="11">
        <f ca="1">IFERROR(OFFSET(ITEM_RES!$A$1,MATCH(AR134,ITEM_RES!$J:$J,0)-1,0),0)</f>
        <v>212010001</v>
      </c>
      <c r="AR134" s="10" t="s">
        <v>484</v>
      </c>
      <c r="AS134" s="11">
        <v>1000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65"/>
        <v>0</v>
      </c>
    </row>
    <row r="135" spans="1:65" x14ac:dyDescent="0.3">
      <c r="A135" s="14">
        <f t="shared" si="61"/>
        <v>111050011</v>
      </c>
      <c r="B135" s="13">
        <v>11</v>
      </c>
      <c r="C135" s="12">
        <f t="shared" si="62"/>
        <v>1</v>
      </c>
      <c r="D135" s="13">
        <v>5</v>
      </c>
      <c r="E135" s="13">
        <v>0</v>
      </c>
      <c r="F135" s="12">
        <f t="shared" si="63"/>
        <v>11</v>
      </c>
      <c r="H135" s="9">
        <v>1</v>
      </c>
      <c r="I135" s="9">
        <v>11</v>
      </c>
      <c r="K135" s="9" t="s">
        <v>371</v>
      </c>
      <c r="L135" s="9">
        <v>1</v>
      </c>
      <c r="M135" s="9">
        <v>15</v>
      </c>
      <c r="R135" s="9">
        <v>44</v>
      </c>
      <c r="S135" s="86">
        <v>1</v>
      </c>
      <c r="U135" s="86">
        <f t="shared" si="64"/>
        <v>105</v>
      </c>
      <c r="V135" s="86">
        <v>110</v>
      </c>
      <c r="W135" s="86">
        <v>1</v>
      </c>
      <c r="X135" s="86">
        <v>1</v>
      </c>
      <c r="Y135" s="86">
        <v>0</v>
      </c>
      <c r="Z135" s="9">
        <v>211050001</v>
      </c>
      <c r="AA135" s="9" t="s">
        <v>595</v>
      </c>
      <c r="AB135" s="9">
        <v>11</v>
      </c>
      <c r="AD135" s="9">
        <v>10000</v>
      </c>
      <c r="AF135" s="89">
        <f t="shared" si="70"/>
        <v>4000</v>
      </c>
      <c r="AG135" s="9">
        <f t="shared" si="68"/>
        <v>7200</v>
      </c>
      <c r="AI135" s="11">
        <f t="shared" si="69"/>
        <v>55</v>
      </c>
      <c r="AJ135" s="10">
        <v>55</v>
      </c>
      <c r="AK135" s="11">
        <f t="shared" si="66"/>
        <v>250</v>
      </c>
      <c r="AL135" s="10">
        <v>250</v>
      </c>
      <c r="AM135" s="11">
        <f t="shared" si="66"/>
        <v>250</v>
      </c>
      <c r="AN135" s="10">
        <v>250</v>
      </c>
      <c r="AO135" s="56">
        <f t="shared" si="71"/>
        <v>1</v>
      </c>
      <c r="AQ135" s="11">
        <f ca="1">IFERROR(OFFSET(ITEM_RES!$A$1,MATCH(AR135,ITEM_RES!$J:$J,0)-1,0),0)</f>
        <v>215070001</v>
      </c>
      <c r="AR135" s="10" t="s">
        <v>480</v>
      </c>
      <c r="AS135" s="11">
        <v>1250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65"/>
        <v>0</v>
      </c>
    </row>
    <row r="136" spans="1:65" x14ac:dyDescent="0.3">
      <c r="A136" s="14">
        <f t="shared" si="61"/>
        <v>111050012</v>
      </c>
      <c r="B136" s="13">
        <v>11</v>
      </c>
      <c r="C136" s="12">
        <f t="shared" si="62"/>
        <v>1</v>
      </c>
      <c r="D136" s="13">
        <v>5</v>
      </c>
      <c r="E136" s="13">
        <v>0</v>
      </c>
      <c r="F136" s="12">
        <f t="shared" si="63"/>
        <v>12</v>
      </c>
      <c r="H136" s="9">
        <v>1</v>
      </c>
      <c r="I136" s="9">
        <v>12</v>
      </c>
      <c r="K136" s="9" t="s">
        <v>371</v>
      </c>
      <c r="L136" s="9">
        <v>1</v>
      </c>
      <c r="M136" s="9">
        <v>15</v>
      </c>
      <c r="R136" s="9">
        <v>44</v>
      </c>
      <c r="S136" s="86">
        <v>1</v>
      </c>
      <c r="U136" s="86">
        <f t="shared" si="64"/>
        <v>105</v>
      </c>
      <c r="V136" s="86">
        <v>120</v>
      </c>
      <c r="W136" s="86">
        <v>1</v>
      </c>
      <c r="X136" s="86">
        <v>1</v>
      </c>
      <c r="Y136" s="86">
        <v>0</v>
      </c>
      <c r="Z136" s="9">
        <v>211050001</v>
      </c>
      <c r="AA136" s="9" t="s">
        <v>595</v>
      </c>
      <c r="AB136" s="9">
        <v>12</v>
      </c>
      <c r="AD136" s="9">
        <v>12000</v>
      </c>
      <c r="AF136" s="89">
        <f t="shared" si="70"/>
        <v>4800</v>
      </c>
      <c r="AG136" s="9">
        <f t="shared" si="68"/>
        <v>8800</v>
      </c>
      <c r="AI136" s="11">
        <f t="shared" si="69"/>
        <v>60</v>
      </c>
      <c r="AJ136" s="10">
        <v>60</v>
      </c>
      <c r="AK136" s="11">
        <f t="shared" si="66"/>
        <v>300</v>
      </c>
      <c r="AL136" s="10">
        <v>300</v>
      </c>
      <c r="AM136" s="11">
        <f t="shared" si="66"/>
        <v>300</v>
      </c>
      <c r="AN136" s="10">
        <v>300</v>
      </c>
      <c r="AO136" s="56">
        <f t="shared" si="71"/>
        <v>1</v>
      </c>
      <c r="AQ136" s="11">
        <f ca="1">IFERROR(OFFSET(ITEM_RES!$A$1,MATCH(AR136,ITEM_RES!$J:$J,0)-1,0),0)</f>
        <v>215070001</v>
      </c>
      <c r="AR136" s="10" t="s">
        <v>480</v>
      </c>
      <c r="AS136" s="11">
        <v>1500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65"/>
        <v>0</v>
      </c>
    </row>
    <row r="137" spans="1:65" x14ac:dyDescent="0.3">
      <c r="A137" s="14">
        <f t="shared" si="61"/>
        <v>111050013</v>
      </c>
      <c r="B137" s="13">
        <v>11</v>
      </c>
      <c r="C137" s="12">
        <f t="shared" si="62"/>
        <v>1</v>
      </c>
      <c r="D137" s="13">
        <v>5</v>
      </c>
      <c r="E137" s="13">
        <v>0</v>
      </c>
      <c r="F137" s="12">
        <f t="shared" si="63"/>
        <v>13</v>
      </c>
      <c r="H137" s="9">
        <v>1</v>
      </c>
      <c r="I137" s="9">
        <v>13</v>
      </c>
      <c r="K137" s="9" t="s">
        <v>371</v>
      </c>
      <c r="L137" s="9">
        <v>1</v>
      </c>
      <c r="M137" s="9">
        <v>15</v>
      </c>
      <c r="R137" s="9">
        <v>44</v>
      </c>
      <c r="S137" s="86">
        <v>1</v>
      </c>
      <c r="U137" s="86">
        <f t="shared" si="64"/>
        <v>105</v>
      </c>
      <c r="V137" s="86">
        <v>130</v>
      </c>
      <c r="W137" s="86">
        <v>1</v>
      </c>
      <c r="X137" s="86">
        <v>1</v>
      </c>
      <c r="Y137" s="86">
        <v>0</v>
      </c>
      <c r="Z137" s="9">
        <v>211050001</v>
      </c>
      <c r="AA137" s="9" t="s">
        <v>595</v>
      </c>
      <c r="AB137" s="9">
        <v>13</v>
      </c>
      <c r="AD137" s="9">
        <v>14000</v>
      </c>
      <c r="AF137" s="89">
        <f t="shared" si="70"/>
        <v>5600</v>
      </c>
      <c r="AG137" s="9">
        <f t="shared" si="68"/>
        <v>10400</v>
      </c>
      <c r="AI137" s="11">
        <f t="shared" si="69"/>
        <v>65</v>
      </c>
      <c r="AJ137" s="10">
        <v>65</v>
      </c>
      <c r="AK137" s="11">
        <f t="shared" si="66"/>
        <v>350</v>
      </c>
      <c r="AL137" s="10">
        <v>350</v>
      </c>
      <c r="AM137" s="11">
        <f t="shared" si="66"/>
        <v>350</v>
      </c>
      <c r="AN137" s="10">
        <v>350</v>
      </c>
      <c r="AO137" s="56">
        <f t="shared" si="71"/>
        <v>1</v>
      </c>
      <c r="AQ137" s="11">
        <f ca="1">IFERROR(OFFSET(ITEM_RES!$A$1,MATCH(AR137,ITEM_RES!$J:$J,0)-1,0),0)</f>
        <v>215070001</v>
      </c>
      <c r="AR137" s="10" t="s">
        <v>480</v>
      </c>
      <c r="AS137" s="11">
        <v>1750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65"/>
        <v>0</v>
      </c>
    </row>
    <row r="138" spans="1:65" x14ac:dyDescent="0.3">
      <c r="A138" s="14">
        <f t="shared" si="61"/>
        <v>111050014</v>
      </c>
      <c r="B138" s="13">
        <v>11</v>
      </c>
      <c r="C138" s="12">
        <f t="shared" si="62"/>
        <v>1</v>
      </c>
      <c r="D138" s="13">
        <v>5</v>
      </c>
      <c r="E138" s="13">
        <v>0</v>
      </c>
      <c r="F138" s="12">
        <f t="shared" si="63"/>
        <v>14</v>
      </c>
      <c r="H138" s="9">
        <v>1</v>
      </c>
      <c r="I138" s="9">
        <v>14</v>
      </c>
      <c r="K138" s="9" t="s">
        <v>371</v>
      </c>
      <c r="L138" s="9">
        <v>1</v>
      </c>
      <c r="M138" s="9">
        <v>15</v>
      </c>
      <c r="R138" s="9">
        <v>44</v>
      </c>
      <c r="S138" s="86">
        <v>1</v>
      </c>
      <c r="U138" s="86">
        <f t="shared" si="64"/>
        <v>105</v>
      </c>
      <c r="V138" s="86">
        <v>140</v>
      </c>
      <c r="W138" s="86">
        <v>1</v>
      </c>
      <c r="X138" s="86">
        <v>1</v>
      </c>
      <c r="Y138" s="86">
        <v>0</v>
      </c>
      <c r="Z138" s="9">
        <v>211050001</v>
      </c>
      <c r="AA138" s="9" t="s">
        <v>595</v>
      </c>
      <c r="AB138" s="9">
        <v>14</v>
      </c>
      <c r="AD138" s="9">
        <v>18000</v>
      </c>
      <c r="AF138" s="89">
        <f t="shared" si="70"/>
        <v>7200</v>
      </c>
      <c r="AG138" s="9">
        <f t="shared" si="68"/>
        <v>12800</v>
      </c>
      <c r="AI138" s="11">
        <f t="shared" si="69"/>
        <v>70</v>
      </c>
      <c r="AJ138" s="10">
        <v>70</v>
      </c>
      <c r="AK138" s="11">
        <f t="shared" si="66"/>
        <v>450</v>
      </c>
      <c r="AL138" s="10">
        <v>450</v>
      </c>
      <c r="AM138" s="11">
        <f t="shared" si="66"/>
        <v>450</v>
      </c>
      <c r="AN138" s="10">
        <v>450</v>
      </c>
      <c r="AO138" s="56">
        <f t="shared" si="71"/>
        <v>1</v>
      </c>
      <c r="AQ138" s="11">
        <f ca="1">IFERROR(OFFSET(ITEM_RES!$A$1,MATCH(AR138,ITEM_RES!$J:$J,0)-1,0),0)</f>
        <v>215070001</v>
      </c>
      <c r="AR138" s="10" t="s">
        <v>480</v>
      </c>
      <c r="AS138" s="11">
        <v>2250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65"/>
        <v>0</v>
      </c>
    </row>
    <row r="139" spans="1:65" x14ac:dyDescent="0.3">
      <c r="A139" s="14">
        <f t="shared" si="61"/>
        <v>111050015</v>
      </c>
      <c r="B139" s="13">
        <v>11</v>
      </c>
      <c r="C139" s="12">
        <f t="shared" si="62"/>
        <v>1</v>
      </c>
      <c r="D139" s="13">
        <v>5</v>
      </c>
      <c r="E139" s="13">
        <v>0</v>
      </c>
      <c r="F139" s="12">
        <f t="shared" si="63"/>
        <v>15</v>
      </c>
      <c r="H139" s="9">
        <v>1</v>
      </c>
      <c r="I139" s="9">
        <v>15</v>
      </c>
      <c r="K139" s="9" t="s">
        <v>371</v>
      </c>
      <c r="L139" s="9">
        <v>1</v>
      </c>
      <c r="M139" s="9">
        <v>15</v>
      </c>
      <c r="R139" s="9">
        <v>44</v>
      </c>
      <c r="S139" s="86">
        <v>1</v>
      </c>
      <c r="U139" s="86">
        <f t="shared" si="64"/>
        <v>105</v>
      </c>
      <c r="V139" s="86">
        <v>150</v>
      </c>
      <c r="W139" s="86">
        <v>1</v>
      </c>
      <c r="X139" s="86">
        <v>1</v>
      </c>
      <c r="Y139" s="86">
        <v>0</v>
      </c>
      <c r="Z139" s="9">
        <v>211050001</v>
      </c>
      <c r="AA139" s="9" t="s">
        <v>595</v>
      </c>
      <c r="AB139" s="9">
        <v>15</v>
      </c>
      <c r="AD139" s="9">
        <v>22000</v>
      </c>
      <c r="AF139" s="89">
        <f t="shared" si="70"/>
        <v>8800</v>
      </c>
      <c r="AG139" s="9">
        <f t="shared" si="68"/>
        <v>16000</v>
      </c>
      <c r="AI139" s="11">
        <f t="shared" si="69"/>
        <v>75</v>
      </c>
      <c r="AJ139" s="10">
        <v>75</v>
      </c>
      <c r="AK139" s="11">
        <f t="shared" si="66"/>
        <v>550</v>
      </c>
      <c r="AL139" s="10">
        <v>550</v>
      </c>
      <c r="AM139" s="11">
        <f t="shared" si="66"/>
        <v>550</v>
      </c>
      <c r="AN139" s="10">
        <v>550</v>
      </c>
      <c r="AO139" s="56">
        <f t="shared" si="71"/>
        <v>1</v>
      </c>
      <c r="AQ139" s="11">
        <f ca="1">IFERROR(OFFSET(ITEM_RES!$A$1,MATCH(AR139,ITEM_RES!$J:$J,0)-1,0),0)</f>
        <v>215070001</v>
      </c>
      <c r="AR139" s="10" t="s">
        <v>480</v>
      </c>
      <c r="AS139" s="11">
        <v>2750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65"/>
        <v>0</v>
      </c>
    </row>
    <row r="140" spans="1:65" x14ac:dyDescent="0.3">
      <c r="A140" s="14">
        <f t="shared" si="61"/>
        <v>111050016</v>
      </c>
      <c r="B140" s="13">
        <v>11</v>
      </c>
      <c r="C140" s="12">
        <f t="shared" si="62"/>
        <v>1</v>
      </c>
      <c r="D140" s="13">
        <v>5</v>
      </c>
      <c r="E140" s="13">
        <v>0</v>
      </c>
      <c r="F140" s="12">
        <f t="shared" si="63"/>
        <v>16</v>
      </c>
      <c r="H140" s="9">
        <v>1</v>
      </c>
      <c r="I140" s="9">
        <v>16</v>
      </c>
      <c r="K140" s="9" t="s">
        <v>371</v>
      </c>
      <c r="L140" s="9">
        <v>0</v>
      </c>
      <c r="M140" s="9">
        <v>15</v>
      </c>
      <c r="R140" s="9">
        <v>44</v>
      </c>
      <c r="S140" s="86">
        <v>1</v>
      </c>
      <c r="U140" s="86">
        <f t="shared" si="64"/>
        <v>105</v>
      </c>
      <c r="V140" s="86">
        <v>160</v>
      </c>
      <c r="W140" s="86">
        <v>1</v>
      </c>
      <c r="X140" s="86">
        <v>1</v>
      </c>
      <c r="Y140" s="86">
        <v>0</v>
      </c>
      <c r="Z140" s="9">
        <v>211050001</v>
      </c>
      <c r="AA140" s="9" t="s">
        <v>595</v>
      </c>
      <c r="AB140" s="9">
        <v>16</v>
      </c>
      <c r="AD140" s="9">
        <v>28000</v>
      </c>
      <c r="AF140" s="89">
        <f t="shared" si="70"/>
        <v>11200</v>
      </c>
      <c r="AG140" s="9">
        <f t="shared" si="68"/>
        <v>20000</v>
      </c>
      <c r="AI140" s="11">
        <f t="shared" si="69"/>
        <v>80</v>
      </c>
      <c r="AJ140" s="10">
        <v>80</v>
      </c>
      <c r="AK140" s="11">
        <f t="shared" si="66"/>
        <v>700</v>
      </c>
      <c r="AL140" s="10">
        <v>700</v>
      </c>
      <c r="AM140" s="11">
        <f t="shared" si="66"/>
        <v>700</v>
      </c>
      <c r="AN140" s="10">
        <v>700</v>
      </c>
      <c r="AO140" s="56">
        <f t="shared" si="71"/>
        <v>1</v>
      </c>
      <c r="AQ140" s="11">
        <f ca="1">IFERROR(OFFSET(ITEM_RES!$A$1,MATCH(AR140,ITEM_RES!$J:$J,0)-1,0),0)</f>
        <v>215070001</v>
      </c>
      <c r="AR140" s="10" t="s">
        <v>480</v>
      </c>
      <c r="AS140" s="11">
        <v>3500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65"/>
        <v>0</v>
      </c>
    </row>
    <row r="141" spans="1:65" x14ac:dyDescent="0.3">
      <c r="A141" s="14">
        <f t="shared" si="61"/>
        <v>111050017</v>
      </c>
      <c r="B141" s="13">
        <v>11</v>
      </c>
      <c r="C141" s="12">
        <f t="shared" si="62"/>
        <v>1</v>
      </c>
      <c r="D141" s="13">
        <v>5</v>
      </c>
      <c r="E141" s="13">
        <v>0</v>
      </c>
      <c r="F141" s="12">
        <f t="shared" si="63"/>
        <v>17</v>
      </c>
      <c r="H141" s="9">
        <v>1</v>
      </c>
      <c r="I141" s="9">
        <v>17</v>
      </c>
      <c r="K141" s="9" t="s">
        <v>371</v>
      </c>
      <c r="L141" s="9">
        <v>0</v>
      </c>
      <c r="M141" s="9">
        <v>15</v>
      </c>
      <c r="R141" s="9">
        <v>44</v>
      </c>
      <c r="S141" s="86">
        <v>1</v>
      </c>
      <c r="U141" s="86">
        <f t="shared" si="64"/>
        <v>105</v>
      </c>
      <c r="V141" s="86">
        <v>170</v>
      </c>
      <c r="W141" s="86">
        <v>1</v>
      </c>
      <c r="X141" s="86">
        <v>1</v>
      </c>
      <c r="Y141" s="86">
        <v>0</v>
      </c>
      <c r="Z141" s="9">
        <v>211050001</v>
      </c>
      <c r="AA141" s="9" t="s">
        <v>595</v>
      </c>
      <c r="AB141" s="9">
        <v>17</v>
      </c>
      <c r="AD141" s="9">
        <v>34000</v>
      </c>
      <c r="AF141" s="89">
        <f t="shared" si="70"/>
        <v>13600</v>
      </c>
      <c r="AG141" s="9">
        <f t="shared" si="68"/>
        <v>24800</v>
      </c>
      <c r="AI141" s="11">
        <f t="shared" si="69"/>
        <v>85</v>
      </c>
      <c r="AJ141" s="10">
        <v>85</v>
      </c>
      <c r="AK141" s="11">
        <f t="shared" si="66"/>
        <v>850</v>
      </c>
      <c r="AL141" s="10">
        <v>850</v>
      </c>
      <c r="AM141" s="11">
        <f t="shared" si="66"/>
        <v>850</v>
      </c>
      <c r="AN141" s="10">
        <v>850</v>
      </c>
      <c r="AO141" s="56">
        <f t="shared" si="71"/>
        <v>1</v>
      </c>
      <c r="AQ141" s="11">
        <f ca="1">IFERROR(OFFSET(ITEM_RES!$A$1,MATCH(AR141,ITEM_RES!$J:$J,0)-1,0),0)</f>
        <v>215070001</v>
      </c>
      <c r="AR141" s="10" t="s">
        <v>480</v>
      </c>
      <c r="AS141" s="11">
        <v>4250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65"/>
        <v>0</v>
      </c>
    </row>
    <row r="142" spans="1:65" x14ac:dyDescent="0.3">
      <c r="A142" s="14">
        <f t="shared" si="61"/>
        <v>111050018</v>
      </c>
      <c r="B142" s="13">
        <v>11</v>
      </c>
      <c r="C142" s="12">
        <f t="shared" si="62"/>
        <v>1</v>
      </c>
      <c r="D142" s="13">
        <v>5</v>
      </c>
      <c r="E142" s="13">
        <v>0</v>
      </c>
      <c r="F142" s="12">
        <f t="shared" si="63"/>
        <v>18</v>
      </c>
      <c r="H142" s="9">
        <v>1</v>
      </c>
      <c r="I142" s="9">
        <v>18</v>
      </c>
      <c r="K142" s="9" t="s">
        <v>371</v>
      </c>
      <c r="L142" s="9">
        <v>0</v>
      </c>
      <c r="M142" s="9">
        <v>15</v>
      </c>
      <c r="R142" s="9">
        <v>44</v>
      </c>
      <c r="S142" s="86">
        <v>1</v>
      </c>
      <c r="U142" s="86">
        <f t="shared" si="64"/>
        <v>105</v>
      </c>
      <c r="V142" s="86">
        <v>180</v>
      </c>
      <c r="W142" s="86">
        <v>1</v>
      </c>
      <c r="X142" s="86">
        <v>1</v>
      </c>
      <c r="Y142" s="86">
        <v>0</v>
      </c>
      <c r="Z142" s="9">
        <v>211050001</v>
      </c>
      <c r="AA142" s="9" t="s">
        <v>595</v>
      </c>
      <c r="AB142" s="9">
        <v>18</v>
      </c>
      <c r="AD142" s="9">
        <v>42000</v>
      </c>
      <c r="AF142" s="89">
        <f t="shared" si="70"/>
        <v>16800</v>
      </c>
      <c r="AG142" s="9">
        <f t="shared" si="68"/>
        <v>30400</v>
      </c>
      <c r="AI142" s="11">
        <f t="shared" si="69"/>
        <v>90</v>
      </c>
      <c r="AJ142" s="10">
        <v>90</v>
      </c>
      <c r="AK142" s="11">
        <f t="shared" si="66"/>
        <v>1050</v>
      </c>
      <c r="AL142" s="10">
        <v>1050</v>
      </c>
      <c r="AM142" s="11">
        <f t="shared" si="66"/>
        <v>1050</v>
      </c>
      <c r="AN142" s="10">
        <v>1050</v>
      </c>
      <c r="AO142" s="56">
        <f t="shared" si="71"/>
        <v>1</v>
      </c>
      <c r="AQ142" s="11">
        <f ca="1">IFERROR(OFFSET(ITEM_RES!$A$1,MATCH(AR142,ITEM_RES!$J:$J,0)-1,0),0)</f>
        <v>215070001</v>
      </c>
      <c r="AR142" s="10" t="s">
        <v>480</v>
      </c>
      <c r="AS142" s="11">
        <v>5250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65"/>
        <v>0</v>
      </c>
    </row>
    <row r="143" spans="1:65" x14ac:dyDescent="0.3">
      <c r="A143" s="14">
        <f t="shared" si="61"/>
        <v>111050019</v>
      </c>
      <c r="B143" s="13">
        <v>11</v>
      </c>
      <c r="C143" s="12">
        <f t="shared" si="62"/>
        <v>1</v>
      </c>
      <c r="D143" s="13">
        <v>5</v>
      </c>
      <c r="E143" s="13">
        <v>0</v>
      </c>
      <c r="F143" s="12">
        <f t="shared" si="63"/>
        <v>19</v>
      </c>
      <c r="H143" s="9">
        <v>1</v>
      </c>
      <c r="I143" s="9">
        <v>19</v>
      </c>
      <c r="K143" s="9" t="s">
        <v>371</v>
      </c>
      <c r="L143" s="9">
        <v>0</v>
      </c>
      <c r="M143" s="9">
        <v>15</v>
      </c>
      <c r="R143" s="9">
        <v>44</v>
      </c>
      <c r="S143" s="86">
        <v>1</v>
      </c>
      <c r="U143" s="86">
        <f t="shared" si="64"/>
        <v>105</v>
      </c>
      <c r="V143" s="86">
        <v>190</v>
      </c>
      <c r="W143" s="86">
        <v>1</v>
      </c>
      <c r="X143" s="86">
        <v>1</v>
      </c>
      <c r="Y143" s="86">
        <v>0</v>
      </c>
      <c r="Z143" s="9">
        <v>211050001</v>
      </c>
      <c r="AA143" s="9" t="s">
        <v>595</v>
      </c>
      <c r="AB143" s="9">
        <v>19</v>
      </c>
      <c r="AD143" s="9">
        <v>50000</v>
      </c>
      <c r="AF143" s="89">
        <f t="shared" si="70"/>
        <v>20000</v>
      </c>
      <c r="AG143" s="9">
        <f t="shared" si="68"/>
        <v>36800</v>
      </c>
      <c r="AI143" s="11">
        <f t="shared" si="69"/>
        <v>95</v>
      </c>
      <c r="AJ143" s="10">
        <v>95</v>
      </c>
      <c r="AK143" s="11">
        <f t="shared" si="66"/>
        <v>1250</v>
      </c>
      <c r="AL143" s="10">
        <v>1250</v>
      </c>
      <c r="AM143" s="11">
        <f t="shared" si="66"/>
        <v>1250</v>
      </c>
      <c r="AN143" s="10">
        <v>1250</v>
      </c>
      <c r="AO143" s="56">
        <f t="shared" si="71"/>
        <v>1</v>
      </c>
      <c r="AQ143" s="11">
        <f ca="1">IFERROR(OFFSET(ITEM_RES!$A$1,MATCH(AR143,ITEM_RES!$J:$J,0)-1,0),0)</f>
        <v>215070001</v>
      </c>
      <c r="AR143" s="10" t="s">
        <v>480</v>
      </c>
      <c r="AS143" s="11">
        <v>6250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65"/>
        <v>0</v>
      </c>
    </row>
    <row r="144" spans="1:65" ht="17.25" thickBot="1" x14ac:dyDescent="0.35">
      <c r="A144" s="14">
        <f t="shared" si="61"/>
        <v>111050020</v>
      </c>
      <c r="B144" s="13">
        <v>11</v>
      </c>
      <c r="C144" s="12">
        <f t="shared" si="62"/>
        <v>1</v>
      </c>
      <c r="D144" s="13">
        <v>5</v>
      </c>
      <c r="E144" s="13">
        <v>0</v>
      </c>
      <c r="F144" s="12">
        <f t="shared" si="63"/>
        <v>20</v>
      </c>
      <c r="H144" s="9">
        <v>1</v>
      </c>
      <c r="I144" s="9">
        <v>20</v>
      </c>
      <c r="K144" s="9" t="s">
        <v>371</v>
      </c>
      <c r="L144" s="9">
        <v>0</v>
      </c>
      <c r="M144" s="9">
        <v>15</v>
      </c>
      <c r="R144" s="9">
        <v>44</v>
      </c>
      <c r="S144" s="86">
        <v>1</v>
      </c>
      <c r="U144" s="86">
        <f t="shared" si="64"/>
        <v>105</v>
      </c>
      <c r="V144" s="86">
        <v>200</v>
      </c>
      <c r="W144" s="86">
        <v>1</v>
      </c>
      <c r="X144" s="86">
        <v>1</v>
      </c>
      <c r="Y144" s="86">
        <v>0</v>
      </c>
      <c r="Z144" s="9">
        <v>211050001</v>
      </c>
      <c r="AA144" s="9" t="s">
        <v>595</v>
      </c>
      <c r="AB144" s="9">
        <v>20</v>
      </c>
      <c r="AD144" s="9">
        <v>60000</v>
      </c>
      <c r="AF144" s="89">
        <f t="shared" si="70"/>
        <v>24000</v>
      </c>
      <c r="AG144" s="9">
        <f t="shared" si="68"/>
        <v>44000</v>
      </c>
      <c r="AI144" s="11">
        <f t="shared" si="69"/>
        <v>100</v>
      </c>
      <c r="AJ144" s="10">
        <v>100</v>
      </c>
      <c r="AK144" s="11">
        <f t="shared" si="66"/>
        <v>1500</v>
      </c>
      <c r="AL144" s="10">
        <v>1500</v>
      </c>
      <c r="AM144" s="11">
        <f t="shared" si="66"/>
        <v>1500</v>
      </c>
      <c r="AN144" s="10">
        <v>1500</v>
      </c>
      <c r="AO144" s="56">
        <f t="shared" si="71"/>
        <v>1</v>
      </c>
      <c r="AQ144" s="11">
        <f ca="1">IFERROR(OFFSET(ITEM_RES!$A$1,MATCH(AR144,ITEM_RES!$J:$J,0)-1,0),0)</f>
        <v>215070001</v>
      </c>
      <c r="AR144" s="10" t="s">
        <v>480</v>
      </c>
      <c r="AS144" s="11">
        <v>7500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65"/>
        <v>0</v>
      </c>
    </row>
    <row r="145" spans="1:66" s="15" customFormat="1" x14ac:dyDescent="0.3">
      <c r="A145" s="21">
        <f t="shared" si="61"/>
        <v>111060001</v>
      </c>
      <c r="B145" s="20">
        <v>11</v>
      </c>
      <c r="C145" s="19">
        <f t="shared" si="62"/>
        <v>1</v>
      </c>
      <c r="D145" s="20">
        <v>6</v>
      </c>
      <c r="E145" s="20">
        <v>0</v>
      </c>
      <c r="F145" s="19">
        <f t="shared" si="63"/>
        <v>1</v>
      </c>
      <c r="G145" s="80"/>
      <c r="H145" s="16">
        <v>1</v>
      </c>
      <c r="I145" s="16">
        <v>1</v>
      </c>
      <c r="J145" s="80"/>
      <c r="K145" s="16" t="s">
        <v>370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8">
        <v>2</v>
      </c>
      <c r="T145" s="80"/>
      <c r="U145" s="88">
        <f t="shared" si="64"/>
        <v>106</v>
      </c>
      <c r="V145" s="88">
        <v>10</v>
      </c>
      <c r="W145" s="88">
        <v>1</v>
      </c>
      <c r="X145" s="88">
        <v>1</v>
      </c>
      <c r="Y145" s="88">
        <v>0</v>
      </c>
      <c r="Z145" s="16">
        <v>211050001</v>
      </c>
      <c r="AA145" s="16" t="s">
        <v>596</v>
      </c>
      <c r="AB145" s="16">
        <v>1</v>
      </c>
      <c r="AC145" s="80"/>
      <c r="AD145" s="16">
        <v>400</v>
      </c>
      <c r="AE145" s="80"/>
      <c r="AF145" s="91">
        <f t="shared" si="70"/>
        <v>580</v>
      </c>
      <c r="AG145" s="16">
        <f>AF145</f>
        <v>580</v>
      </c>
      <c r="AH145" s="80"/>
      <c r="AI145" s="18">
        <f t="shared" si="69"/>
        <v>5</v>
      </c>
      <c r="AJ145" s="17">
        <v>5</v>
      </c>
      <c r="AK145" s="18">
        <f t="shared" si="66"/>
        <v>5</v>
      </c>
      <c r="AL145" s="17">
        <v>5</v>
      </c>
      <c r="AM145" s="18">
        <f t="shared" si="66"/>
        <v>5</v>
      </c>
      <c r="AN145" s="17">
        <v>5</v>
      </c>
      <c r="AO145" s="57">
        <f t="shared" si="71"/>
        <v>2</v>
      </c>
      <c r="AP145" s="18"/>
      <c r="AQ145" s="18">
        <f ca="1">IFERROR(OFFSET(ITEM_RES!$A$1,MATCH(AR145,ITEM_RES!$J:$J,0)-1,0),0)</f>
        <v>212040001</v>
      </c>
      <c r="AR145" s="17" t="s">
        <v>482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213010001</v>
      </c>
      <c r="BB145" s="17" t="s">
        <v>509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65"/>
        <v>0</v>
      </c>
      <c r="BN145" s="17"/>
    </row>
    <row r="146" spans="1:66" x14ac:dyDescent="0.3">
      <c r="A146" s="14">
        <f t="shared" si="61"/>
        <v>111060002</v>
      </c>
      <c r="B146" s="13">
        <v>11</v>
      </c>
      <c r="C146" s="12">
        <f t="shared" si="62"/>
        <v>1</v>
      </c>
      <c r="D146" s="13">
        <v>6</v>
      </c>
      <c r="E146" s="13">
        <v>0</v>
      </c>
      <c r="F146" s="12">
        <f t="shared" si="63"/>
        <v>2</v>
      </c>
      <c r="H146" s="9">
        <v>1</v>
      </c>
      <c r="I146" s="9">
        <v>2</v>
      </c>
      <c r="K146" s="9" t="s">
        <v>370</v>
      </c>
      <c r="L146" s="9">
        <v>1</v>
      </c>
      <c r="M146" s="9">
        <v>15</v>
      </c>
      <c r="R146" s="9">
        <v>55</v>
      </c>
      <c r="S146" s="86">
        <v>2</v>
      </c>
      <c r="U146" s="86">
        <f t="shared" si="64"/>
        <v>106</v>
      </c>
      <c r="V146" s="86">
        <v>20</v>
      </c>
      <c r="W146" s="86">
        <v>1</v>
      </c>
      <c r="X146" s="86">
        <v>1</v>
      </c>
      <c r="Y146" s="86">
        <v>0</v>
      </c>
      <c r="Z146" s="9">
        <v>211050001</v>
      </c>
      <c r="AA146" s="9" t="s">
        <v>596</v>
      </c>
      <c r="AB146" s="9">
        <v>2</v>
      </c>
      <c r="AD146" s="9">
        <v>800</v>
      </c>
      <c r="AF146" s="89">
        <f t="shared" si="70"/>
        <v>160</v>
      </c>
      <c r="AG146" s="9">
        <f>AF145+AF146</f>
        <v>740</v>
      </c>
      <c r="AI146" s="11">
        <f t="shared" si="69"/>
        <v>10</v>
      </c>
      <c r="AJ146" s="10">
        <v>10</v>
      </c>
      <c r="AK146" s="11">
        <f t="shared" si="66"/>
        <v>10</v>
      </c>
      <c r="AL146" s="10">
        <v>10</v>
      </c>
      <c r="AM146" s="11">
        <f t="shared" si="66"/>
        <v>10</v>
      </c>
      <c r="AN146" s="10">
        <v>10</v>
      </c>
      <c r="AO146" s="56">
        <f t="shared" si="71"/>
        <v>1</v>
      </c>
      <c r="AQ146" s="11">
        <f ca="1">IFERROR(OFFSET(ITEM_RES!$A$1,MATCH(AR146,ITEM_RES!$J:$J,0)-1,0),0)</f>
        <v>212040001</v>
      </c>
      <c r="AR146" s="10" t="s">
        <v>482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65"/>
        <v>0</v>
      </c>
    </row>
    <row r="147" spans="1:66" x14ac:dyDescent="0.3">
      <c r="A147" s="14">
        <f t="shared" si="61"/>
        <v>111060003</v>
      </c>
      <c r="B147" s="13">
        <v>11</v>
      </c>
      <c r="C147" s="12">
        <f t="shared" si="62"/>
        <v>1</v>
      </c>
      <c r="D147" s="13">
        <v>6</v>
      </c>
      <c r="E147" s="13">
        <v>0</v>
      </c>
      <c r="F147" s="12">
        <f t="shared" si="63"/>
        <v>3</v>
      </c>
      <c r="H147" s="9">
        <v>1</v>
      </c>
      <c r="I147" s="9">
        <v>3</v>
      </c>
      <c r="K147" s="9" t="s">
        <v>370</v>
      </c>
      <c r="L147" s="9">
        <v>1</v>
      </c>
      <c r="M147" s="9">
        <v>15</v>
      </c>
      <c r="R147" s="9">
        <v>55</v>
      </c>
      <c r="S147" s="86">
        <v>2</v>
      </c>
      <c r="U147" s="86">
        <f t="shared" si="64"/>
        <v>106</v>
      </c>
      <c r="V147" s="86">
        <v>30</v>
      </c>
      <c r="W147" s="86">
        <v>1</v>
      </c>
      <c r="X147" s="86">
        <v>1</v>
      </c>
      <c r="Y147" s="86">
        <v>0</v>
      </c>
      <c r="Z147" s="9">
        <v>211050001</v>
      </c>
      <c r="AA147" s="9" t="s">
        <v>596</v>
      </c>
      <c r="AB147" s="9">
        <v>3</v>
      </c>
      <c r="AD147" s="9">
        <v>1200</v>
      </c>
      <c r="AF147" s="89">
        <f t="shared" si="70"/>
        <v>240</v>
      </c>
      <c r="AG147" s="9">
        <f t="shared" ref="AG147:AG164" si="72">AF146+AF147</f>
        <v>400</v>
      </c>
      <c r="AI147" s="11">
        <f t="shared" si="69"/>
        <v>15</v>
      </c>
      <c r="AJ147" s="10">
        <v>15</v>
      </c>
      <c r="AK147" s="11">
        <f t="shared" si="66"/>
        <v>15</v>
      </c>
      <c r="AL147" s="10">
        <v>15</v>
      </c>
      <c r="AM147" s="11">
        <f t="shared" si="66"/>
        <v>15</v>
      </c>
      <c r="AN147" s="10">
        <v>15</v>
      </c>
      <c r="AO147" s="56">
        <f t="shared" si="71"/>
        <v>1</v>
      </c>
      <c r="AQ147" s="11">
        <f ca="1">IFERROR(OFFSET(ITEM_RES!$A$1,MATCH(AR147,ITEM_RES!$J:$J,0)-1,0),0)</f>
        <v>212040001</v>
      </c>
      <c r="AR147" s="10" t="s">
        <v>482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65"/>
        <v>0</v>
      </c>
    </row>
    <row r="148" spans="1:66" x14ac:dyDescent="0.3">
      <c r="A148" s="14">
        <f t="shared" si="61"/>
        <v>111060004</v>
      </c>
      <c r="B148" s="13">
        <v>11</v>
      </c>
      <c r="C148" s="12">
        <f t="shared" si="62"/>
        <v>1</v>
      </c>
      <c r="D148" s="13">
        <v>6</v>
      </c>
      <c r="E148" s="13">
        <v>0</v>
      </c>
      <c r="F148" s="12">
        <f t="shared" si="63"/>
        <v>4</v>
      </c>
      <c r="H148" s="9">
        <v>1</v>
      </c>
      <c r="I148" s="9">
        <v>4</v>
      </c>
      <c r="K148" s="9" t="s">
        <v>370</v>
      </c>
      <c r="L148" s="9">
        <v>1</v>
      </c>
      <c r="M148" s="9">
        <v>15</v>
      </c>
      <c r="R148" s="9">
        <v>55</v>
      </c>
      <c r="S148" s="86">
        <v>2</v>
      </c>
      <c r="U148" s="86">
        <f t="shared" si="64"/>
        <v>106</v>
      </c>
      <c r="V148" s="86">
        <v>40</v>
      </c>
      <c r="W148" s="86">
        <v>1</v>
      </c>
      <c r="X148" s="86">
        <v>1</v>
      </c>
      <c r="Y148" s="86">
        <v>0</v>
      </c>
      <c r="Z148" s="9">
        <v>211050001</v>
      </c>
      <c r="AA148" s="9" t="s">
        <v>596</v>
      </c>
      <c r="AB148" s="9">
        <v>4</v>
      </c>
      <c r="AD148" s="9">
        <v>2000</v>
      </c>
      <c r="AF148" s="89">
        <f t="shared" si="70"/>
        <v>400</v>
      </c>
      <c r="AG148" s="9">
        <f t="shared" si="72"/>
        <v>640</v>
      </c>
      <c r="AI148" s="11">
        <f t="shared" si="69"/>
        <v>20</v>
      </c>
      <c r="AJ148" s="10">
        <v>20</v>
      </c>
      <c r="AK148" s="11">
        <f t="shared" si="66"/>
        <v>25</v>
      </c>
      <c r="AL148" s="10">
        <v>25</v>
      </c>
      <c r="AM148" s="11">
        <f t="shared" si="66"/>
        <v>25</v>
      </c>
      <c r="AN148" s="10">
        <v>25</v>
      </c>
      <c r="AO148" s="56">
        <f t="shared" si="71"/>
        <v>1</v>
      </c>
      <c r="AQ148" s="11">
        <f ca="1">IFERROR(OFFSET(ITEM_RES!$A$1,MATCH(AR148,ITEM_RES!$J:$J,0)-1,0),0)</f>
        <v>212040001</v>
      </c>
      <c r="AR148" s="10" t="s">
        <v>482</v>
      </c>
      <c r="AS148" s="11">
        <v>125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65"/>
        <v>0</v>
      </c>
    </row>
    <row r="149" spans="1:66" x14ac:dyDescent="0.3">
      <c r="A149" s="14">
        <f t="shared" si="61"/>
        <v>111060005</v>
      </c>
      <c r="B149" s="13">
        <v>11</v>
      </c>
      <c r="C149" s="12">
        <f t="shared" si="62"/>
        <v>1</v>
      </c>
      <c r="D149" s="13">
        <v>6</v>
      </c>
      <c r="E149" s="13">
        <v>0</v>
      </c>
      <c r="F149" s="12">
        <f t="shared" si="63"/>
        <v>5</v>
      </c>
      <c r="H149" s="9">
        <v>1</v>
      </c>
      <c r="I149" s="9">
        <v>5</v>
      </c>
      <c r="K149" s="9" t="s">
        <v>370</v>
      </c>
      <c r="L149" s="9">
        <v>1</v>
      </c>
      <c r="M149" s="9">
        <v>15</v>
      </c>
      <c r="R149" s="9">
        <v>55</v>
      </c>
      <c r="S149" s="86">
        <v>2</v>
      </c>
      <c r="U149" s="86">
        <f t="shared" si="64"/>
        <v>106</v>
      </c>
      <c r="V149" s="86">
        <v>50</v>
      </c>
      <c r="W149" s="86">
        <v>1</v>
      </c>
      <c r="X149" s="86">
        <v>1</v>
      </c>
      <c r="Y149" s="86">
        <v>0</v>
      </c>
      <c r="Z149" s="9">
        <v>211050001</v>
      </c>
      <c r="AA149" s="9" t="s">
        <v>596</v>
      </c>
      <c r="AB149" s="9">
        <v>5</v>
      </c>
      <c r="AD149" s="9">
        <v>3200</v>
      </c>
      <c r="AF149" s="89">
        <f t="shared" si="70"/>
        <v>640</v>
      </c>
      <c r="AG149" s="9">
        <f t="shared" si="72"/>
        <v>1040</v>
      </c>
      <c r="AI149" s="11">
        <f t="shared" si="69"/>
        <v>25</v>
      </c>
      <c r="AJ149" s="10">
        <v>25</v>
      </c>
      <c r="AK149" s="11">
        <f t="shared" si="66"/>
        <v>40</v>
      </c>
      <c r="AL149" s="10">
        <v>40</v>
      </c>
      <c r="AM149" s="11">
        <f t="shared" si="66"/>
        <v>40</v>
      </c>
      <c r="AN149" s="10">
        <v>40</v>
      </c>
      <c r="AO149" s="56">
        <f t="shared" si="71"/>
        <v>1</v>
      </c>
      <c r="AQ149" s="11">
        <f ca="1">IFERROR(OFFSET(ITEM_RES!$A$1,MATCH(AR149,ITEM_RES!$J:$J,0)-1,0),0)</f>
        <v>212040001</v>
      </c>
      <c r="AR149" s="10" t="s">
        <v>482</v>
      </c>
      <c r="AS149" s="11">
        <v>200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65"/>
        <v>0</v>
      </c>
    </row>
    <row r="150" spans="1:66" x14ac:dyDescent="0.3">
      <c r="A150" s="14">
        <f t="shared" si="61"/>
        <v>111060006</v>
      </c>
      <c r="B150" s="13">
        <v>11</v>
      </c>
      <c r="C150" s="12">
        <f t="shared" si="62"/>
        <v>1</v>
      </c>
      <c r="D150" s="13">
        <v>6</v>
      </c>
      <c r="E150" s="13">
        <v>0</v>
      </c>
      <c r="F150" s="12">
        <f t="shared" si="63"/>
        <v>6</v>
      </c>
      <c r="H150" s="9">
        <v>1</v>
      </c>
      <c r="I150" s="9">
        <v>6</v>
      </c>
      <c r="K150" s="9" t="s">
        <v>370</v>
      </c>
      <c r="L150" s="9">
        <v>1</v>
      </c>
      <c r="M150" s="9">
        <v>15</v>
      </c>
      <c r="R150" s="9">
        <v>55</v>
      </c>
      <c r="S150" s="86">
        <v>2</v>
      </c>
      <c r="U150" s="86">
        <f t="shared" si="64"/>
        <v>106</v>
      </c>
      <c r="V150" s="86">
        <v>60</v>
      </c>
      <c r="W150" s="86">
        <v>1</v>
      </c>
      <c r="X150" s="86">
        <v>1</v>
      </c>
      <c r="Y150" s="86">
        <v>0</v>
      </c>
      <c r="Z150" s="9">
        <v>211050001</v>
      </c>
      <c r="AA150" s="9" t="s">
        <v>596</v>
      </c>
      <c r="AB150" s="9">
        <v>6</v>
      </c>
      <c r="AD150" s="9">
        <v>4000</v>
      </c>
      <c r="AF150" s="89">
        <f t="shared" si="70"/>
        <v>800</v>
      </c>
      <c r="AG150" s="9">
        <f t="shared" si="72"/>
        <v>1440</v>
      </c>
      <c r="AI150" s="11">
        <f t="shared" si="69"/>
        <v>30</v>
      </c>
      <c r="AJ150" s="10">
        <v>30</v>
      </c>
      <c r="AK150" s="11">
        <f t="shared" si="66"/>
        <v>50</v>
      </c>
      <c r="AL150" s="10">
        <v>50</v>
      </c>
      <c r="AM150" s="11">
        <f t="shared" si="66"/>
        <v>50</v>
      </c>
      <c r="AN150" s="10">
        <v>50</v>
      </c>
      <c r="AO150" s="56">
        <f t="shared" si="71"/>
        <v>1</v>
      </c>
      <c r="AQ150" s="11">
        <f ca="1">IFERROR(OFFSET(ITEM_RES!$A$1,MATCH(AR150,ITEM_RES!$J:$J,0)-1,0),0)</f>
        <v>212040001</v>
      </c>
      <c r="AR150" s="10" t="s">
        <v>482</v>
      </c>
      <c r="AS150" s="11">
        <v>250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65"/>
        <v>0</v>
      </c>
    </row>
    <row r="151" spans="1:66" x14ac:dyDescent="0.3">
      <c r="A151" s="14">
        <f t="shared" si="61"/>
        <v>111060007</v>
      </c>
      <c r="B151" s="13">
        <v>11</v>
      </c>
      <c r="C151" s="12">
        <f t="shared" si="62"/>
        <v>1</v>
      </c>
      <c r="D151" s="13">
        <v>6</v>
      </c>
      <c r="E151" s="13">
        <v>0</v>
      </c>
      <c r="F151" s="12">
        <f t="shared" si="63"/>
        <v>7</v>
      </c>
      <c r="H151" s="9">
        <v>1</v>
      </c>
      <c r="I151" s="9">
        <v>7</v>
      </c>
      <c r="K151" s="9" t="s">
        <v>370</v>
      </c>
      <c r="L151" s="9">
        <v>1</v>
      </c>
      <c r="M151" s="9">
        <v>15</v>
      </c>
      <c r="R151" s="9">
        <v>55</v>
      </c>
      <c r="S151" s="86">
        <v>2</v>
      </c>
      <c r="U151" s="86">
        <f t="shared" si="64"/>
        <v>106</v>
      </c>
      <c r="V151" s="86">
        <v>70</v>
      </c>
      <c r="W151" s="86">
        <v>1</v>
      </c>
      <c r="X151" s="86">
        <v>1</v>
      </c>
      <c r="Y151" s="86">
        <v>0</v>
      </c>
      <c r="Z151" s="9">
        <v>211050001</v>
      </c>
      <c r="AA151" s="9" t="s">
        <v>596</v>
      </c>
      <c r="AB151" s="9">
        <v>7</v>
      </c>
      <c r="AD151" s="9">
        <v>8000</v>
      </c>
      <c r="AF151" s="89">
        <f t="shared" si="70"/>
        <v>1600</v>
      </c>
      <c r="AG151" s="9">
        <f t="shared" si="72"/>
        <v>2400</v>
      </c>
      <c r="AI151" s="11">
        <f t="shared" si="69"/>
        <v>35</v>
      </c>
      <c r="AJ151" s="10">
        <v>35</v>
      </c>
      <c r="AK151" s="11">
        <f t="shared" si="66"/>
        <v>100</v>
      </c>
      <c r="AL151" s="10">
        <v>100</v>
      </c>
      <c r="AM151" s="11">
        <f t="shared" si="66"/>
        <v>100</v>
      </c>
      <c r="AN151" s="10">
        <v>100</v>
      </c>
      <c r="AO151" s="56">
        <f t="shared" si="71"/>
        <v>1</v>
      </c>
      <c r="AQ151" s="11">
        <f ca="1">IFERROR(OFFSET(ITEM_RES!$A$1,MATCH(AR151,ITEM_RES!$J:$J,0)-1,0),0)</f>
        <v>212040001</v>
      </c>
      <c r="AR151" s="10" t="s">
        <v>482</v>
      </c>
      <c r="AS151" s="11">
        <v>500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65"/>
        <v>0</v>
      </c>
    </row>
    <row r="152" spans="1:66" x14ac:dyDescent="0.3">
      <c r="A152" s="14">
        <f t="shared" si="61"/>
        <v>111060008</v>
      </c>
      <c r="B152" s="13">
        <v>11</v>
      </c>
      <c r="C152" s="12">
        <f t="shared" si="62"/>
        <v>1</v>
      </c>
      <c r="D152" s="13">
        <v>6</v>
      </c>
      <c r="E152" s="13">
        <v>0</v>
      </c>
      <c r="F152" s="12">
        <f t="shared" si="63"/>
        <v>8</v>
      </c>
      <c r="H152" s="9">
        <v>1</v>
      </c>
      <c r="I152" s="9">
        <v>8</v>
      </c>
      <c r="K152" s="9" t="s">
        <v>370</v>
      </c>
      <c r="L152" s="9">
        <v>1</v>
      </c>
      <c r="M152" s="9">
        <v>15</v>
      </c>
      <c r="R152" s="9">
        <v>55</v>
      </c>
      <c r="S152" s="86">
        <v>2</v>
      </c>
      <c r="U152" s="86">
        <f t="shared" si="64"/>
        <v>106</v>
      </c>
      <c r="V152" s="86">
        <v>80</v>
      </c>
      <c r="W152" s="86">
        <v>1</v>
      </c>
      <c r="X152" s="86">
        <v>1</v>
      </c>
      <c r="Y152" s="86">
        <v>0</v>
      </c>
      <c r="Z152" s="9">
        <v>211050001</v>
      </c>
      <c r="AA152" s="9" t="s">
        <v>596</v>
      </c>
      <c r="AB152" s="9">
        <v>8</v>
      </c>
      <c r="AD152" s="9">
        <v>8000</v>
      </c>
      <c r="AF152" s="89">
        <f t="shared" si="70"/>
        <v>1600</v>
      </c>
      <c r="AG152" s="9">
        <f t="shared" si="72"/>
        <v>3200</v>
      </c>
      <c r="AI152" s="11">
        <f t="shared" si="69"/>
        <v>40</v>
      </c>
      <c r="AJ152" s="10">
        <v>40</v>
      </c>
      <c r="AK152" s="11">
        <f t="shared" si="66"/>
        <v>100</v>
      </c>
      <c r="AL152" s="10">
        <v>100</v>
      </c>
      <c r="AM152" s="11">
        <f t="shared" si="66"/>
        <v>100</v>
      </c>
      <c r="AN152" s="10">
        <v>100</v>
      </c>
      <c r="AO152" s="56">
        <f t="shared" si="71"/>
        <v>1</v>
      </c>
      <c r="AQ152" s="11">
        <f ca="1">IFERROR(OFFSET(ITEM_RES!$A$1,MATCH(AR152,ITEM_RES!$J:$J,0)-1,0),0)</f>
        <v>212040001</v>
      </c>
      <c r="AR152" s="10" t="s">
        <v>482</v>
      </c>
      <c r="AS152" s="11">
        <v>500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65"/>
        <v>0</v>
      </c>
    </row>
    <row r="153" spans="1:66" x14ac:dyDescent="0.3">
      <c r="A153" s="14">
        <f t="shared" ref="A153:A236" si="73">B153*10000000+C153*1000000+D153*10000+E153*100+F153</f>
        <v>111060009</v>
      </c>
      <c r="B153" s="13">
        <v>11</v>
      </c>
      <c r="C153" s="12">
        <f t="shared" ref="C153:C236" si="74">H153</f>
        <v>1</v>
      </c>
      <c r="D153" s="13">
        <v>6</v>
      </c>
      <c r="E153" s="13">
        <v>0</v>
      </c>
      <c r="F153" s="12">
        <f t="shared" ref="F153:F236" si="75">I153</f>
        <v>9</v>
      </c>
      <c r="H153" s="9">
        <v>1</v>
      </c>
      <c r="I153" s="9">
        <v>9</v>
      </c>
      <c r="K153" s="9" t="s">
        <v>370</v>
      </c>
      <c r="L153" s="9">
        <v>1</v>
      </c>
      <c r="M153" s="9">
        <v>15</v>
      </c>
      <c r="R153" s="9">
        <v>55</v>
      </c>
      <c r="S153" s="86">
        <v>2</v>
      </c>
      <c r="U153" s="86">
        <f t="shared" ref="U153:U236" si="76">C153*100+D153</f>
        <v>106</v>
      </c>
      <c r="V153" s="86">
        <v>90</v>
      </c>
      <c r="W153" s="86">
        <v>1</v>
      </c>
      <c r="X153" s="86">
        <v>1</v>
      </c>
      <c r="Y153" s="86">
        <v>0</v>
      </c>
      <c r="Z153" s="9">
        <v>211050001</v>
      </c>
      <c r="AA153" s="9" t="s">
        <v>596</v>
      </c>
      <c r="AB153" s="9">
        <v>9</v>
      </c>
      <c r="AD153" s="9">
        <v>12000</v>
      </c>
      <c r="AF153" s="89">
        <f t="shared" si="70"/>
        <v>2400</v>
      </c>
      <c r="AG153" s="9">
        <f t="shared" si="72"/>
        <v>4000</v>
      </c>
      <c r="AI153" s="11">
        <f t="shared" si="69"/>
        <v>45</v>
      </c>
      <c r="AJ153" s="10">
        <v>45</v>
      </c>
      <c r="AK153" s="11">
        <f t="shared" si="66"/>
        <v>150</v>
      </c>
      <c r="AL153" s="10">
        <v>150</v>
      </c>
      <c r="AM153" s="11">
        <f t="shared" si="66"/>
        <v>150</v>
      </c>
      <c r="AN153" s="10">
        <v>150</v>
      </c>
      <c r="AO153" s="56">
        <f t="shared" si="71"/>
        <v>1</v>
      </c>
      <c r="AQ153" s="11">
        <f ca="1">IFERROR(OFFSET(ITEM_RES!$A$1,MATCH(AR153,ITEM_RES!$J:$J,0)-1,0),0)</f>
        <v>212040001</v>
      </c>
      <c r="AR153" s="10" t="s">
        <v>482</v>
      </c>
      <c r="AS153" s="11">
        <v>750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36" si="77">IF(BN153&lt;100,ROUND(BN153,1-LEN(ROUND(BN153,0))),ROUND(BN153,2-LEN(ROUND(BN153,0))))</f>
        <v>0</v>
      </c>
    </row>
    <row r="154" spans="1:66" x14ac:dyDescent="0.3">
      <c r="A154" s="14">
        <f t="shared" si="73"/>
        <v>111060010</v>
      </c>
      <c r="B154" s="13">
        <v>11</v>
      </c>
      <c r="C154" s="12">
        <f t="shared" si="74"/>
        <v>1</v>
      </c>
      <c r="D154" s="13">
        <v>6</v>
      </c>
      <c r="E154" s="13">
        <v>0</v>
      </c>
      <c r="F154" s="12">
        <f t="shared" si="75"/>
        <v>10</v>
      </c>
      <c r="H154" s="9">
        <v>1</v>
      </c>
      <c r="I154" s="9">
        <v>10</v>
      </c>
      <c r="K154" s="9" t="s">
        <v>370</v>
      </c>
      <c r="L154" s="9">
        <v>1</v>
      </c>
      <c r="M154" s="9">
        <v>15</v>
      </c>
      <c r="R154" s="9">
        <v>55</v>
      </c>
      <c r="S154" s="86">
        <v>2</v>
      </c>
      <c r="U154" s="86">
        <f t="shared" si="76"/>
        <v>106</v>
      </c>
      <c r="V154" s="86">
        <v>100</v>
      </c>
      <c r="W154" s="86">
        <v>1</v>
      </c>
      <c r="X154" s="86">
        <v>1</v>
      </c>
      <c r="Y154" s="86">
        <v>0</v>
      </c>
      <c r="Z154" s="9">
        <v>211050001</v>
      </c>
      <c r="AA154" s="9" t="s">
        <v>596</v>
      </c>
      <c r="AB154" s="9">
        <v>10</v>
      </c>
      <c r="AD154" s="9">
        <v>16000</v>
      </c>
      <c r="AF154" s="89">
        <f t="shared" si="70"/>
        <v>3200</v>
      </c>
      <c r="AG154" s="9">
        <f t="shared" si="72"/>
        <v>5600</v>
      </c>
      <c r="AI154" s="11">
        <f t="shared" si="69"/>
        <v>50</v>
      </c>
      <c r="AJ154" s="10">
        <v>50</v>
      </c>
      <c r="AK154" s="11">
        <f t="shared" ref="AK154:AM237" si="78">ROUND(AL154,0)</f>
        <v>200</v>
      </c>
      <c r="AL154" s="10">
        <v>200</v>
      </c>
      <c r="AM154" s="11">
        <f t="shared" si="78"/>
        <v>200</v>
      </c>
      <c r="AN154" s="10">
        <v>200</v>
      </c>
      <c r="AO154" s="56">
        <f t="shared" si="71"/>
        <v>1</v>
      </c>
      <c r="AQ154" s="11">
        <f ca="1">IFERROR(OFFSET(ITEM_RES!$A$1,MATCH(AR154,ITEM_RES!$J:$J,0)-1,0),0)</f>
        <v>212040001</v>
      </c>
      <c r="AR154" s="10" t="s">
        <v>482</v>
      </c>
      <c r="AS154" s="11">
        <v>1000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77"/>
        <v>0</v>
      </c>
    </row>
    <row r="155" spans="1:66" x14ac:dyDescent="0.3">
      <c r="A155" s="14">
        <f t="shared" si="73"/>
        <v>111060011</v>
      </c>
      <c r="B155" s="13">
        <v>11</v>
      </c>
      <c r="C155" s="12">
        <f t="shared" si="74"/>
        <v>1</v>
      </c>
      <c r="D155" s="13">
        <v>6</v>
      </c>
      <c r="E155" s="13">
        <v>0</v>
      </c>
      <c r="F155" s="12">
        <f t="shared" si="75"/>
        <v>11</v>
      </c>
      <c r="H155" s="9">
        <v>1</v>
      </c>
      <c r="I155" s="9">
        <v>11</v>
      </c>
      <c r="K155" s="9" t="s">
        <v>370</v>
      </c>
      <c r="L155" s="9">
        <v>1</v>
      </c>
      <c r="M155" s="9">
        <v>15</v>
      </c>
      <c r="R155" s="9">
        <v>55</v>
      </c>
      <c r="S155" s="86">
        <v>2</v>
      </c>
      <c r="U155" s="86">
        <f t="shared" si="76"/>
        <v>106</v>
      </c>
      <c r="V155" s="86">
        <v>110</v>
      </c>
      <c r="W155" s="86">
        <v>1</v>
      </c>
      <c r="X155" s="86">
        <v>1</v>
      </c>
      <c r="Y155" s="86">
        <v>0</v>
      </c>
      <c r="Z155" s="9">
        <v>211050001</v>
      </c>
      <c r="AA155" s="9" t="s">
        <v>596</v>
      </c>
      <c r="AB155" s="9">
        <v>11</v>
      </c>
      <c r="AD155" s="9">
        <v>20000</v>
      </c>
      <c r="AF155" s="89">
        <f t="shared" si="70"/>
        <v>4000</v>
      </c>
      <c r="AG155" s="9">
        <f t="shared" si="72"/>
        <v>7200</v>
      </c>
      <c r="AI155" s="11">
        <f t="shared" si="69"/>
        <v>55</v>
      </c>
      <c r="AJ155" s="10">
        <v>55</v>
      </c>
      <c r="AK155" s="11">
        <f t="shared" si="78"/>
        <v>250</v>
      </c>
      <c r="AL155" s="10">
        <v>250</v>
      </c>
      <c r="AM155" s="11">
        <f t="shared" si="78"/>
        <v>250</v>
      </c>
      <c r="AN155" s="10">
        <v>250</v>
      </c>
      <c r="AO155" s="56">
        <f t="shared" si="71"/>
        <v>1</v>
      </c>
      <c r="AQ155" s="11">
        <f ca="1">IFERROR(OFFSET(ITEM_RES!$A$1,MATCH(AR155,ITEM_RES!$J:$J,0)-1,0),0)</f>
        <v>212040001</v>
      </c>
      <c r="AR155" s="10" t="s">
        <v>485</v>
      </c>
      <c r="AS155" s="11">
        <v>1250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77"/>
        <v>0</v>
      </c>
    </row>
    <row r="156" spans="1:66" x14ac:dyDescent="0.3">
      <c r="A156" s="14">
        <f t="shared" si="73"/>
        <v>111060012</v>
      </c>
      <c r="B156" s="13">
        <v>11</v>
      </c>
      <c r="C156" s="12">
        <f t="shared" si="74"/>
        <v>1</v>
      </c>
      <c r="D156" s="13">
        <v>6</v>
      </c>
      <c r="E156" s="13">
        <v>0</v>
      </c>
      <c r="F156" s="12">
        <f t="shared" si="75"/>
        <v>12</v>
      </c>
      <c r="H156" s="9">
        <v>1</v>
      </c>
      <c r="I156" s="9">
        <v>12</v>
      </c>
      <c r="K156" s="9" t="s">
        <v>370</v>
      </c>
      <c r="L156" s="9">
        <v>1</v>
      </c>
      <c r="M156" s="9">
        <v>15</v>
      </c>
      <c r="R156" s="9">
        <v>55</v>
      </c>
      <c r="S156" s="86">
        <v>2</v>
      </c>
      <c r="U156" s="86">
        <f t="shared" si="76"/>
        <v>106</v>
      </c>
      <c r="V156" s="86">
        <v>120</v>
      </c>
      <c r="W156" s="86">
        <v>1</v>
      </c>
      <c r="X156" s="86">
        <v>1</v>
      </c>
      <c r="Y156" s="86">
        <v>0</v>
      </c>
      <c r="Z156" s="9">
        <v>211050001</v>
      </c>
      <c r="AA156" s="9" t="s">
        <v>596</v>
      </c>
      <c r="AB156" s="9">
        <v>12</v>
      </c>
      <c r="AD156" s="9">
        <v>24000</v>
      </c>
      <c r="AF156" s="89">
        <f t="shared" si="70"/>
        <v>4800</v>
      </c>
      <c r="AG156" s="9">
        <f t="shared" si="72"/>
        <v>8800</v>
      </c>
      <c r="AI156" s="11">
        <f t="shared" si="69"/>
        <v>60</v>
      </c>
      <c r="AJ156" s="10">
        <v>60</v>
      </c>
      <c r="AK156" s="11">
        <f t="shared" si="78"/>
        <v>300</v>
      </c>
      <c r="AL156" s="10">
        <v>300</v>
      </c>
      <c r="AM156" s="11">
        <f t="shared" si="78"/>
        <v>300</v>
      </c>
      <c r="AN156" s="10">
        <v>300</v>
      </c>
      <c r="AO156" s="56">
        <f t="shared" si="71"/>
        <v>1</v>
      </c>
      <c r="AQ156" s="11">
        <f ca="1">IFERROR(OFFSET(ITEM_RES!$A$1,MATCH(AR156,ITEM_RES!$J:$J,0)-1,0),0)</f>
        <v>212040001</v>
      </c>
      <c r="AR156" s="10" t="s">
        <v>482</v>
      </c>
      <c r="AS156" s="11">
        <v>1500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77"/>
        <v>0</v>
      </c>
    </row>
    <row r="157" spans="1:66" x14ac:dyDescent="0.3">
      <c r="A157" s="14">
        <f t="shared" si="73"/>
        <v>111060013</v>
      </c>
      <c r="B157" s="13">
        <v>11</v>
      </c>
      <c r="C157" s="12">
        <f t="shared" si="74"/>
        <v>1</v>
      </c>
      <c r="D157" s="13">
        <v>6</v>
      </c>
      <c r="E157" s="13">
        <v>0</v>
      </c>
      <c r="F157" s="12">
        <f t="shared" si="75"/>
        <v>13</v>
      </c>
      <c r="H157" s="9">
        <v>1</v>
      </c>
      <c r="I157" s="9">
        <v>13</v>
      </c>
      <c r="K157" s="9" t="s">
        <v>370</v>
      </c>
      <c r="L157" s="9">
        <v>1</v>
      </c>
      <c r="M157" s="9">
        <v>15</v>
      </c>
      <c r="R157" s="9">
        <v>55</v>
      </c>
      <c r="S157" s="86">
        <v>2</v>
      </c>
      <c r="U157" s="86">
        <f t="shared" si="76"/>
        <v>106</v>
      </c>
      <c r="V157" s="86">
        <v>130</v>
      </c>
      <c r="W157" s="86">
        <v>1</v>
      </c>
      <c r="X157" s="86">
        <v>1</v>
      </c>
      <c r="Y157" s="86">
        <v>0</v>
      </c>
      <c r="Z157" s="9">
        <v>211050001</v>
      </c>
      <c r="AA157" s="9" t="s">
        <v>596</v>
      </c>
      <c r="AB157" s="9">
        <v>13</v>
      </c>
      <c r="AD157" s="9">
        <v>28000</v>
      </c>
      <c r="AF157" s="89">
        <f t="shared" si="70"/>
        <v>5600</v>
      </c>
      <c r="AG157" s="9">
        <f t="shared" si="72"/>
        <v>10400</v>
      </c>
      <c r="AI157" s="11">
        <f t="shared" si="69"/>
        <v>65</v>
      </c>
      <c r="AJ157" s="10">
        <v>65</v>
      </c>
      <c r="AK157" s="11">
        <f t="shared" si="78"/>
        <v>350</v>
      </c>
      <c r="AL157" s="10">
        <v>350</v>
      </c>
      <c r="AM157" s="11">
        <f t="shared" si="78"/>
        <v>350</v>
      </c>
      <c r="AN157" s="10">
        <v>350</v>
      </c>
      <c r="AO157" s="56">
        <f t="shared" si="71"/>
        <v>1</v>
      </c>
      <c r="AQ157" s="11">
        <f ca="1">IFERROR(OFFSET(ITEM_RES!$A$1,MATCH(AR157,ITEM_RES!$J:$J,0)-1,0),0)</f>
        <v>215050001</v>
      </c>
      <c r="AR157" s="10" t="s">
        <v>497</v>
      </c>
      <c r="AS157" s="11">
        <v>1750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77"/>
        <v>0</v>
      </c>
    </row>
    <row r="158" spans="1:66" x14ac:dyDescent="0.3">
      <c r="A158" s="14">
        <f t="shared" si="73"/>
        <v>111060014</v>
      </c>
      <c r="B158" s="13">
        <v>11</v>
      </c>
      <c r="C158" s="12">
        <f t="shared" si="74"/>
        <v>1</v>
      </c>
      <c r="D158" s="13">
        <v>6</v>
      </c>
      <c r="E158" s="13">
        <v>0</v>
      </c>
      <c r="F158" s="12">
        <f t="shared" si="75"/>
        <v>14</v>
      </c>
      <c r="H158" s="9">
        <v>1</v>
      </c>
      <c r="I158" s="9">
        <v>14</v>
      </c>
      <c r="K158" s="9" t="s">
        <v>370</v>
      </c>
      <c r="L158" s="9">
        <v>1</v>
      </c>
      <c r="M158" s="9">
        <v>15</v>
      </c>
      <c r="R158" s="9">
        <v>55</v>
      </c>
      <c r="S158" s="86">
        <v>2</v>
      </c>
      <c r="U158" s="86">
        <f t="shared" si="76"/>
        <v>106</v>
      </c>
      <c r="V158" s="86">
        <v>140</v>
      </c>
      <c r="W158" s="86">
        <v>1</v>
      </c>
      <c r="X158" s="86">
        <v>1</v>
      </c>
      <c r="Y158" s="86">
        <v>0</v>
      </c>
      <c r="Z158" s="9">
        <v>211050001</v>
      </c>
      <c r="AA158" s="9" t="s">
        <v>596</v>
      </c>
      <c r="AB158" s="9">
        <v>14</v>
      </c>
      <c r="AD158" s="9">
        <v>36000</v>
      </c>
      <c r="AF158" s="89">
        <f t="shared" si="70"/>
        <v>7200</v>
      </c>
      <c r="AG158" s="9">
        <f t="shared" si="72"/>
        <v>12800</v>
      </c>
      <c r="AI158" s="11">
        <f t="shared" si="69"/>
        <v>70</v>
      </c>
      <c r="AJ158" s="10">
        <v>70</v>
      </c>
      <c r="AK158" s="11">
        <f t="shared" si="78"/>
        <v>450</v>
      </c>
      <c r="AL158" s="10">
        <v>450</v>
      </c>
      <c r="AM158" s="11">
        <f t="shared" si="78"/>
        <v>450</v>
      </c>
      <c r="AN158" s="10">
        <v>450</v>
      </c>
      <c r="AO158" s="56">
        <f t="shared" si="71"/>
        <v>1</v>
      </c>
      <c r="AQ158" s="11">
        <f ca="1">IFERROR(OFFSET(ITEM_RES!$A$1,MATCH(AR158,ITEM_RES!$J:$J,0)-1,0),0)</f>
        <v>215050001</v>
      </c>
      <c r="AR158" s="10" t="s">
        <v>497</v>
      </c>
      <c r="AS158" s="11">
        <v>2250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77"/>
        <v>0</v>
      </c>
    </row>
    <row r="159" spans="1:66" x14ac:dyDescent="0.3">
      <c r="A159" s="14">
        <f t="shared" si="73"/>
        <v>111060015</v>
      </c>
      <c r="B159" s="13">
        <v>11</v>
      </c>
      <c r="C159" s="12">
        <f t="shared" si="74"/>
        <v>1</v>
      </c>
      <c r="D159" s="13">
        <v>6</v>
      </c>
      <c r="E159" s="13">
        <v>0</v>
      </c>
      <c r="F159" s="12">
        <f t="shared" si="75"/>
        <v>15</v>
      </c>
      <c r="H159" s="9">
        <v>1</v>
      </c>
      <c r="I159" s="9">
        <v>15</v>
      </c>
      <c r="K159" s="9" t="s">
        <v>370</v>
      </c>
      <c r="L159" s="9">
        <v>1</v>
      </c>
      <c r="M159" s="9">
        <v>15</v>
      </c>
      <c r="R159" s="9">
        <v>55</v>
      </c>
      <c r="S159" s="86">
        <v>2</v>
      </c>
      <c r="U159" s="86">
        <f t="shared" si="76"/>
        <v>106</v>
      </c>
      <c r="V159" s="86">
        <v>150</v>
      </c>
      <c r="W159" s="86">
        <v>1</v>
      </c>
      <c r="X159" s="86">
        <v>1</v>
      </c>
      <c r="Y159" s="86">
        <v>0</v>
      </c>
      <c r="Z159" s="9">
        <v>211050001</v>
      </c>
      <c r="AA159" s="9" t="s">
        <v>596</v>
      </c>
      <c r="AB159" s="9">
        <v>15</v>
      </c>
      <c r="AD159" s="9">
        <v>44000</v>
      </c>
      <c r="AF159" s="89">
        <f t="shared" si="70"/>
        <v>8800</v>
      </c>
      <c r="AG159" s="9">
        <f t="shared" si="72"/>
        <v>16000</v>
      </c>
      <c r="AI159" s="11">
        <f t="shared" si="69"/>
        <v>75</v>
      </c>
      <c r="AJ159" s="10">
        <v>75</v>
      </c>
      <c r="AK159" s="11">
        <f t="shared" si="78"/>
        <v>550</v>
      </c>
      <c r="AL159" s="10">
        <v>550</v>
      </c>
      <c r="AM159" s="11">
        <f t="shared" si="78"/>
        <v>550</v>
      </c>
      <c r="AN159" s="10">
        <v>550</v>
      </c>
      <c r="AO159" s="56">
        <f t="shared" si="71"/>
        <v>1</v>
      </c>
      <c r="AQ159" s="11">
        <f ca="1">IFERROR(OFFSET(ITEM_RES!$A$1,MATCH(AR159,ITEM_RES!$J:$J,0)-1,0),0)</f>
        <v>215050001</v>
      </c>
      <c r="AR159" s="10" t="s">
        <v>497</v>
      </c>
      <c r="AS159" s="11">
        <v>2750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77"/>
        <v>0</v>
      </c>
    </row>
    <row r="160" spans="1:66" x14ac:dyDescent="0.3">
      <c r="A160" s="14">
        <f t="shared" si="73"/>
        <v>111060016</v>
      </c>
      <c r="B160" s="13">
        <v>11</v>
      </c>
      <c r="C160" s="12">
        <f t="shared" si="74"/>
        <v>1</v>
      </c>
      <c r="D160" s="13">
        <v>6</v>
      </c>
      <c r="E160" s="13">
        <v>0</v>
      </c>
      <c r="F160" s="12">
        <f t="shared" si="75"/>
        <v>16</v>
      </c>
      <c r="H160" s="9">
        <v>1</v>
      </c>
      <c r="I160" s="9">
        <v>16</v>
      </c>
      <c r="K160" s="9" t="s">
        <v>370</v>
      </c>
      <c r="L160" s="9">
        <v>0</v>
      </c>
      <c r="M160" s="9">
        <v>15</v>
      </c>
      <c r="R160" s="9">
        <v>55</v>
      </c>
      <c r="S160" s="86">
        <v>2</v>
      </c>
      <c r="U160" s="86">
        <f t="shared" si="76"/>
        <v>106</v>
      </c>
      <c r="V160" s="86">
        <v>160</v>
      </c>
      <c r="W160" s="86">
        <v>1</v>
      </c>
      <c r="X160" s="86">
        <v>1</v>
      </c>
      <c r="Y160" s="86">
        <v>0</v>
      </c>
      <c r="Z160" s="9">
        <v>211050001</v>
      </c>
      <c r="AA160" s="9" t="s">
        <v>596</v>
      </c>
      <c r="AB160" s="9">
        <v>16</v>
      </c>
      <c r="AD160" s="9">
        <v>56000</v>
      </c>
      <c r="AF160" s="89">
        <f t="shared" si="70"/>
        <v>11200</v>
      </c>
      <c r="AG160" s="9">
        <f t="shared" si="72"/>
        <v>20000</v>
      </c>
      <c r="AI160" s="11">
        <f t="shared" si="69"/>
        <v>80</v>
      </c>
      <c r="AJ160" s="10">
        <v>80</v>
      </c>
      <c r="AK160" s="11">
        <f t="shared" si="78"/>
        <v>700</v>
      </c>
      <c r="AL160" s="10">
        <v>700</v>
      </c>
      <c r="AM160" s="11">
        <f t="shared" si="78"/>
        <v>700</v>
      </c>
      <c r="AN160" s="10">
        <v>700</v>
      </c>
      <c r="AO160" s="56">
        <f t="shared" si="71"/>
        <v>1</v>
      </c>
      <c r="AQ160" s="11">
        <f ca="1">IFERROR(OFFSET(ITEM_RES!$A$1,MATCH(AR160,ITEM_RES!$J:$J,0)-1,0),0)</f>
        <v>215050001</v>
      </c>
      <c r="AR160" s="10" t="s">
        <v>497</v>
      </c>
      <c r="AS160" s="11">
        <v>3500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77"/>
        <v>0</v>
      </c>
    </row>
    <row r="161" spans="1:66" x14ac:dyDescent="0.3">
      <c r="A161" s="14">
        <f t="shared" si="73"/>
        <v>111060017</v>
      </c>
      <c r="B161" s="13">
        <v>11</v>
      </c>
      <c r="C161" s="12">
        <f t="shared" si="74"/>
        <v>1</v>
      </c>
      <c r="D161" s="13">
        <v>6</v>
      </c>
      <c r="E161" s="13">
        <v>0</v>
      </c>
      <c r="F161" s="12">
        <f t="shared" si="75"/>
        <v>17</v>
      </c>
      <c r="H161" s="9">
        <v>1</v>
      </c>
      <c r="I161" s="9">
        <v>17</v>
      </c>
      <c r="K161" s="9" t="s">
        <v>370</v>
      </c>
      <c r="L161" s="9">
        <v>0</v>
      </c>
      <c r="M161" s="9">
        <v>15</v>
      </c>
      <c r="R161" s="9">
        <v>55</v>
      </c>
      <c r="S161" s="86">
        <v>2</v>
      </c>
      <c r="U161" s="86">
        <f t="shared" si="76"/>
        <v>106</v>
      </c>
      <c r="V161" s="86">
        <v>170</v>
      </c>
      <c r="W161" s="86">
        <v>1</v>
      </c>
      <c r="X161" s="86">
        <v>1</v>
      </c>
      <c r="Y161" s="86">
        <v>0</v>
      </c>
      <c r="Z161" s="9">
        <v>211050001</v>
      </c>
      <c r="AA161" s="9" t="s">
        <v>596</v>
      </c>
      <c r="AB161" s="9">
        <v>17</v>
      </c>
      <c r="AD161" s="9">
        <v>68000</v>
      </c>
      <c r="AF161" s="89">
        <f t="shared" si="70"/>
        <v>13600</v>
      </c>
      <c r="AG161" s="9">
        <f t="shared" si="72"/>
        <v>24800</v>
      </c>
      <c r="AI161" s="11">
        <f t="shared" si="69"/>
        <v>85</v>
      </c>
      <c r="AJ161" s="10">
        <v>85</v>
      </c>
      <c r="AK161" s="11">
        <f t="shared" si="78"/>
        <v>850</v>
      </c>
      <c r="AL161" s="10">
        <v>850</v>
      </c>
      <c r="AM161" s="11">
        <f t="shared" si="78"/>
        <v>850</v>
      </c>
      <c r="AN161" s="10">
        <v>850</v>
      </c>
      <c r="AO161" s="56">
        <f t="shared" si="71"/>
        <v>1</v>
      </c>
      <c r="AQ161" s="11">
        <f ca="1">IFERROR(OFFSET(ITEM_RES!$A$1,MATCH(AR161,ITEM_RES!$J:$J,0)-1,0),0)</f>
        <v>215050001</v>
      </c>
      <c r="AR161" s="10" t="s">
        <v>497</v>
      </c>
      <c r="AS161" s="11">
        <v>4250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77"/>
        <v>0</v>
      </c>
    </row>
    <row r="162" spans="1:66" x14ac:dyDescent="0.3">
      <c r="A162" s="14">
        <f t="shared" si="73"/>
        <v>111060018</v>
      </c>
      <c r="B162" s="13">
        <v>11</v>
      </c>
      <c r="C162" s="12">
        <f t="shared" si="74"/>
        <v>1</v>
      </c>
      <c r="D162" s="13">
        <v>6</v>
      </c>
      <c r="E162" s="13">
        <v>0</v>
      </c>
      <c r="F162" s="12">
        <f t="shared" si="75"/>
        <v>18</v>
      </c>
      <c r="H162" s="9">
        <v>1</v>
      </c>
      <c r="I162" s="9">
        <v>18</v>
      </c>
      <c r="K162" s="9" t="s">
        <v>370</v>
      </c>
      <c r="L162" s="9">
        <v>0</v>
      </c>
      <c r="M162" s="9">
        <v>15</v>
      </c>
      <c r="R162" s="9">
        <v>55</v>
      </c>
      <c r="S162" s="86">
        <v>2</v>
      </c>
      <c r="U162" s="86">
        <f t="shared" si="76"/>
        <v>106</v>
      </c>
      <c r="V162" s="86">
        <v>180</v>
      </c>
      <c r="W162" s="86">
        <v>1</v>
      </c>
      <c r="X162" s="86">
        <v>1</v>
      </c>
      <c r="Y162" s="86">
        <v>0</v>
      </c>
      <c r="Z162" s="9">
        <v>211050001</v>
      </c>
      <c r="AA162" s="9" t="s">
        <v>596</v>
      </c>
      <c r="AB162" s="9">
        <v>18</v>
      </c>
      <c r="AD162" s="9">
        <v>84000</v>
      </c>
      <c r="AF162" s="89">
        <f t="shared" si="70"/>
        <v>16800</v>
      </c>
      <c r="AG162" s="9">
        <f t="shared" si="72"/>
        <v>30400</v>
      </c>
      <c r="AI162" s="11">
        <f t="shared" si="69"/>
        <v>90</v>
      </c>
      <c r="AJ162" s="10">
        <v>90</v>
      </c>
      <c r="AK162" s="11">
        <f t="shared" si="78"/>
        <v>1050</v>
      </c>
      <c r="AL162" s="10">
        <v>1050</v>
      </c>
      <c r="AM162" s="11">
        <f t="shared" si="78"/>
        <v>1050</v>
      </c>
      <c r="AN162" s="10">
        <v>1050</v>
      </c>
      <c r="AO162" s="56">
        <f t="shared" si="71"/>
        <v>1</v>
      </c>
      <c r="AQ162" s="11">
        <f ca="1">IFERROR(OFFSET(ITEM_RES!$A$1,MATCH(AR162,ITEM_RES!$J:$J,0)-1,0),0)</f>
        <v>215050001</v>
      </c>
      <c r="AR162" s="10" t="s">
        <v>497</v>
      </c>
      <c r="AS162" s="11">
        <v>5250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77"/>
        <v>0</v>
      </c>
    </row>
    <row r="163" spans="1:66" x14ac:dyDescent="0.3">
      <c r="A163" s="14">
        <f t="shared" si="73"/>
        <v>111060019</v>
      </c>
      <c r="B163" s="13">
        <v>11</v>
      </c>
      <c r="C163" s="12">
        <f t="shared" si="74"/>
        <v>1</v>
      </c>
      <c r="D163" s="13">
        <v>6</v>
      </c>
      <c r="E163" s="13">
        <v>0</v>
      </c>
      <c r="F163" s="12">
        <f t="shared" si="75"/>
        <v>19</v>
      </c>
      <c r="H163" s="9">
        <v>1</v>
      </c>
      <c r="I163" s="9">
        <v>19</v>
      </c>
      <c r="K163" s="9" t="s">
        <v>370</v>
      </c>
      <c r="L163" s="9">
        <v>0</v>
      </c>
      <c r="M163" s="9">
        <v>15</v>
      </c>
      <c r="R163" s="9">
        <v>55</v>
      </c>
      <c r="S163" s="86">
        <v>2</v>
      </c>
      <c r="U163" s="86">
        <f t="shared" si="76"/>
        <v>106</v>
      </c>
      <c r="V163" s="86">
        <v>190</v>
      </c>
      <c r="W163" s="86">
        <v>1</v>
      </c>
      <c r="X163" s="86">
        <v>1</v>
      </c>
      <c r="Y163" s="86">
        <v>0</v>
      </c>
      <c r="Z163" s="9">
        <v>211050001</v>
      </c>
      <c r="AA163" s="9" t="s">
        <v>596</v>
      </c>
      <c r="AB163" s="9">
        <v>19</v>
      </c>
      <c r="AD163" s="9">
        <v>100000</v>
      </c>
      <c r="AF163" s="89">
        <f t="shared" si="70"/>
        <v>20000</v>
      </c>
      <c r="AG163" s="9">
        <f t="shared" si="72"/>
        <v>36800</v>
      </c>
      <c r="AI163" s="11">
        <f t="shared" si="69"/>
        <v>95</v>
      </c>
      <c r="AJ163" s="10">
        <v>95</v>
      </c>
      <c r="AK163" s="11">
        <f t="shared" si="78"/>
        <v>1250</v>
      </c>
      <c r="AL163" s="10">
        <v>1250</v>
      </c>
      <c r="AM163" s="11">
        <f t="shared" si="78"/>
        <v>1250</v>
      </c>
      <c r="AN163" s="10">
        <v>1250</v>
      </c>
      <c r="AO163" s="56">
        <f t="shared" si="71"/>
        <v>1</v>
      </c>
      <c r="AQ163" s="11">
        <f ca="1">IFERROR(OFFSET(ITEM_RES!$A$1,MATCH(AR163,ITEM_RES!$J:$J,0)-1,0),0)</f>
        <v>215050001</v>
      </c>
      <c r="AR163" s="10" t="s">
        <v>497</v>
      </c>
      <c r="AS163" s="11">
        <v>6250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77"/>
        <v>0</v>
      </c>
    </row>
    <row r="164" spans="1:66" ht="17.25" thickBot="1" x14ac:dyDescent="0.35">
      <c r="A164" s="14">
        <f t="shared" si="73"/>
        <v>111060020</v>
      </c>
      <c r="B164" s="13">
        <v>11</v>
      </c>
      <c r="C164" s="12">
        <f t="shared" si="74"/>
        <v>1</v>
      </c>
      <c r="D164" s="13">
        <v>6</v>
      </c>
      <c r="E164" s="13">
        <v>0</v>
      </c>
      <c r="F164" s="12">
        <f t="shared" si="75"/>
        <v>20</v>
      </c>
      <c r="H164" s="9">
        <v>1</v>
      </c>
      <c r="I164" s="9">
        <v>20</v>
      </c>
      <c r="K164" s="9" t="s">
        <v>370</v>
      </c>
      <c r="L164" s="9">
        <v>0</v>
      </c>
      <c r="M164" s="9">
        <v>15</v>
      </c>
      <c r="R164" s="9">
        <v>55</v>
      </c>
      <c r="S164" s="86">
        <v>2</v>
      </c>
      <c r="U164" s="86">
        <f t="shared" si="76"/>
        <v>106</v>
      </c>
      <c r="V164" s="86">
        <v>200</v>
      </c>
      <c r="W164" s="86">
        <v>1</v>
      </c>
      <c r="X164" s="86">
        <v>1</v>
      </c>
      <c r="Y164" s="86">
        <v>0</v>
      </c>
      <c r="Z164" s="9">
        <v>211050001</v>
      </c>
      <c r="AA164" s="9" t="s">
        <v>596</v>
      </c>
      <c r="AB164" s="9">
        <v>20</v>
      </c>
      <c r="AD164" s="9">
        <v>120000</v>
      </c>
      <c r="AF164" s="89">
        <f t="shared" si="70"/>
        <v>24000</v>
      </c>
      <c r="AG164" s="9">
        <f t="shared" si="72"/>
        <v>44000</v>
      </c>
      <c r="AI164" s="11">
        <f t="shared" si="69"/>
        <v>100</v>
      </c>
      <c r="AJ164" s="10">
        <v>100</v>
      </c>
      <c r="AK164" s="11">
        <f t="shared" si="78"/>
        <v>1500</v>
      </c>
      <c r="AL164" s="10">
        <v>1500</v>
      </c>
      <c r="AM164" s="11">
        <f t="shared" si="78"/>
        <v>1500</v>
      </c>
      <c r="AN164" s="10">
        <v>1500</v>
      </c>
      <c r="AO164" s="56">
        <f t="shared" si="71"/>
        <v>1</v>
      </c>
      <c r="AQ164" s="11">
        <f ca="1">IFERROR(OFFSET(ITEM_RES!$A$1,MATCH(AR164,ITEM_RES!$J:$J,0)-1,0),0)</f>
        <v>215050001</v>
      </c>
      <c r="AR164" s="10" t="s">
        <v>497</v>
      </c>
      <c r="AS164" s="11">
        <v>7500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77"/>
        <v>0</v>
      </c>
    </row>
    <row r="165" spans="1:66" s="15" customFormat="1" x14ac:dyDescent="0.3">
      <c r="A165" s="21">
        <f t="shared" si="73"/>
        <v>113030001</v>
      </c>
      <c r="B165" s="20">
        <v>11</v>
      </c>
      <c r="C165" s="19">
        <f t="shared" si="74"/>
        <v>3</v>
      </c>
      <c r="D165" s="20">
        <v>3</v>
      </c>
      <c r="E165" s="20">
        <v>0</v>
      </c>
      <c r="F165" s="19">
        <f t="shared" si="75"/>
        <v>1</v>
      </c>
      <c r="G165" s="80"/>
      <c r="H165" s="16">
        <v>3</v>
      </c>
      <c r="I165" s="16">
        <v>1</v>
      </c>
      <c r="J165" s="80"/>
      <c r="K165" s="16" t="s">
        <v>372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8">
        <v>3</v>
      </c>
      <c r="T165" s="80"/>
      <c r="U165" s="88">
        <f t="shared" si="76"/>
        <v>303</v>
      </c>
      <c r="V165" s="88">
        <v>10</v>
      </c>
      <c r="W165" s="88">
        <v>1</v>
      </c>
      <c r="X165" s="88">
        <v>1</v>
      </c>
      <c r="Y165" s="88">
        <v>0</v>
      </c>
      <c r="Z165" s="16">
        <v>215070001</v>
      </c>
      <c r="AA165" s="16" t="s">
        <v>597</v>
      </c>
      <c r="AB165" s="16">
        <v>1</v>
      </c>
      <c r="AC165" s="80"/>
      <c r="AD165" s="16">
        <v>400</v>
      </c>
      <c r="AE165" s="80"/>
      <c r="AF165" s="91">
        <f t="shared" si="70"/>
        <v>580</v>
      </c>
      <c r="AG165" s="16">
        <f>AF165</f>
        <v>580</v>
      </c>
      <c r="AH165" s="80"/>
      <c r="AI165" s="18">
        <f t="shared" si="69"/>
        <v>5</v>
      </c>
      <c r="AJ165" s="17">
        <v>5</v>
      </c>
      <c r="AK165" s="18">
        <f t="shared" si="78"/>
        <v>5</v>
      </c>
      <c r="AL165" s="17">
        <v>5</v>
      </c>
      <c r="AM165" s="18">
        <f t="shared" si="78"/>
        <v>5</v>
      </c>
      <c r="AN165" s="17">
        <v>5</v>
      </c>
      <c r="AO165" s="57">
        <f t="shared" si="71"/>
        <v>2</v>
      </c>
      <c r="AP165" s="18"/>
      <c r="AQ165" s="18">
        <f ca="1">IFERROR(OFFSET(ITEM_RES!$A$1,MATCH(AR165,ITEM_RES!$J:$J,0)-1,0),0)</f>
        <v>212040001</v>
      </c>
      <c r="AR165" s="17" t="s">
        <v>482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213010001</v>
      </c>
      <c r="BB165" s="17" t="s">
        <v>509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77"/>
        <v>0</v>
      </c>
      <c r="BN165" s="17"/>
    </row>
    <row r="166" spans="1:66" x14ac:dyDescent="0.3">
      <c r="A166" s="14">
        <f t="shared" si="73"/>
        <v>113030002</v>
      </c>
      <c r="B166" s="13">
        <v>11</v>
      </c>
      <c r="C166" s="12">
        <f t="shared" si="74"/>
        <v>3</v>
      </c>
      <c r="D166" s="13">
        <v>3</v>
      </c>
      <c r="E166" s="13">
        <v>0</v>
      </c>
      <c r="F166" s="12">
        <f t="shared" si="75"/>
        <v>2</v>
      </c>
      <c r="H166" s="9">
        <v>3</v>
      </c>
      <c r="I166" s="9">
        <v>2</v>
      </c>
      <c r="K166" s="9" t="s">
        <v>372</v>
      </c>
      <c r="L166" s="9">
        <v>1</v>
      </c>
      <c r="M166" s="9">
        <v>15</v>
      </c>
      <c r="R166" s="9">
        <v>66</v>
      </c>
      <c r="S166" s="86">
        <v>3</v>
      </c>
      <c r="U166" s="86">
        <f t="shared" si="76"/>
        <v>303</v>
      </c>
      <c r="V166" s="86">
        <v>20</v>
      </c>
      <c r="W166" s="86">
        <v>1</v>
      </c>
      <c r="X166" s="86">
        <v>1</v>
      </c>
      <c r="Y166" s="86">
        <v>0</v>
      </c>
      <c r="Z166" s="9">
        <v>215070001</v>
      </c>
      <c r="AA166" s="9" t="s">
        <v>597</v>
      </c>
      <c r="AB166" s="9">
        <v>2</v>
      </c>
      <c r="AD166" s="9">
        <v>800</v>
      </c>
      <c r="AF166" s="89">
        <f t="shared" si="70"/>
        <v>160</v>
      </c>
      <c r="AG166" s="9">
        <f>AF165+AF166</f>
        <v>740</v>
      </c>
      <c r="AI166" s="11">
        <f t="shared" si="69"/>
        <v>10</v>
      </c>
      <c r="AJ166" s="10">
        <v>10</v>
      </c>
      <c r="AK166" s="11">
        <f t="shared" si="78"/>
        <v>10</v>
      </c>
      <c r="AL166" s="10">
        <v>10</v>
      </c>
      <c r="AM166" s="11">
        <f t="shared" si="78"/>
        <v>10</v>
      </c>
      <c r="AN166" s="10">
        <v>10</v>
      </c>
      <c r="AO166" s="56">
        <f t="shared" si="71"/>
        <v>1</v>
      </c>
      <c r="AQ166" s="11">
        <f ca="1">IFERROR(OFFSET(ITEM_RES!$A$1,MATCH(AR166,ITEM_RES!$J:$J,0)-1,0),0)</f>
        <v>212040001</v>
      </c>
      <c r="AR166" s="10" t="s">
        <v>482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77"/>
        <v>0</v>
      </c>
    </row>
    <row r="167" spans="1:66" x14ac:dyDescent="0.3">
      <c r="A167" s="14">
        <f t="shared" si="73"/>
        <v>113030003</v>
      </c>
      <c r="B167" s="13">
        <v>11</v>
      </c>
      <c r="C167" s="12">
        <f t="shared" si="74"/>
        <v>3</v>
      </c>
      <c r="D167" s="13">
        <v>3</v>
      </c>
      <c r="E167" s="13">
        <v>0</v>
      </c>
      <c r="F167" s="12">
        <f t="shared" si="75"/>
        <v>3</v>
      </c>
      <c r="H167" s="9">
        <v>3</v>
      </c>
      <c r="I167" s="9">
        <v>3</v>
      </c>
      <c r="K167" s="9" t="s">
        <v>372</v>
      </c>
      <c r="L167" s="9">
        <v>1</v>
      </c>
      <c r="M167" s="9">
        <v>15</v>
      </c>
      <c r="R167" s="9">
        <v>66</v>
      </c>
      <c r="S167" s="86">
        <v>3</v>
      </c>
      <c r="U167" s="86">
        <f t="shared" si="76"/>
        <v>303</v>
      </c>
      <c r="V167" s="86">
        <v>30</v>
      </c>
      <c r="W167" s="86">
        <v>1</v>
      </c>
      <c r="X167" s="86">
        <v>1</v>
      </c>
      <c r="Y167" s="86">
        <v>0</v>
      </c>
      <c r="Z167" s="9">
        <v>215070001</v>
      </c>
      <c r="AA167" s="9" t="s">
        <v>597</v>
      </c>
      <c r="AB167" s="9">
        <v>3</v>
      </c>
      <c r="AD167" s="9">
        <v>1200</v>
      </c>
      <c r="AF167" s="89">
        <f t="shared" si="70"/>
        <v>240</v>
      </c>
      <c r="AG167" s="9">
        <f t="shared" ref="AG167:AG184" si="79">AF166+AF167</f>
        <v>400</v>
      </c>
      <c r="AI167" s="11">
        <f t="shared" si="69"/>
        <v>15</v>
      </c>
      <c r="AJ167" s="10">
        <v>15</v>
      </c>
      <c r="AK167" s="11">
        <f t="shared" si="78"/>
        <v>15</v>
      </c>
      <c r="AL167" s="10">
        <v>15</v>
      </c>
      <c r="AM167" s="11">
        <f t="shared" si="78"/>
        <v>15</v>
      </c>
      <c r="AN167" s="10">
        <v>15</v>
      </c>
      <c r="AO167" s="56">
        <f t="shared" si="71"/>
        <v>1</v>
      </c>
      <c r="AQ167" s="11">
        <f ca="1">IFERROR(OFFSET(ITEM_RES!$A$1,MATCH(AR167,ITEM_RES!$J:$J,0)-1,0),0)</f>
        <v>212040001</v>
      </c>
      <c r="AR167" s="10" t="s">
        <v>482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77"/>
        <v>0</v>
      </c>
    </row>
    <row r="168" spans="1:66" x14ac:dyDescent="0.3">
      <c r="A168" s="14">
        <f t="shared" si="73"/>
        <v>113030004</v>
      </c>
      <c r="B168" s="13">
        <v>11</v>
      </c>
      <c r="C168" s="12">
        <f t="shared" si="74"/>
        <v>3</v>
      </c>
      <c r="D168" s="13">
        <v>3</v>
      </c>
      <c r="E168" s="13">
        <v>0</v>
      </c>
      <c r="F168" s="12">
        <f t="shared" si="75"/>
        <v>4</v>
      </c>
      <c r="H168" s="9">
        <v>3</v>
      </c>
      <c r="I168" s="9">
        <v>4</v>
      </c>
      <c r="K168" s="9" t="s">
        <v>372</v>
      </c>
      <c r="L168" s="9">
        <v>1</v>
      </c>
      <c r="M168" s="9">
        <v>15</v>
      </c>
      <c r="R168" s="9">
        <v>66</v>
      </c>
      <c r="S168" s="86">
        <v>3</v>
      </c>
      <c r="U168" s="86">
        <f t="shared" si="76"/>
        <v>303</v>
      </c>
      <c r="V168" s="86">
        <v>40</v>
      </c>
      <c r="W168" s="86">
        <v>1</v>
      </c>
      <c r="X168" s="86">
        <v>1</v>
      </c>
      <c r="Y168" s="86">
        <v>0</v>
      </c>
      <c r="Z168" s="9">
        <v>215070001</v>
      </c>
      <c r="AA168" s="9" t="s">
        <v>597</v>
      </c>
      <c r="AB168" s="9">
        <v>4</v>
      </c>
      <c r="AD168" s="9">
        <v>2000</v>
      </c>
      <c r="AF168" s="89">
        <f t="shared" si="70"/>
        <v>400</v>
      </c>
      <c r="AG168" s="9">
        <f t="shared" si="79"/>
        <v>640</v>
      </c>
      <c r="AI168" s="11">
        <f t="shared" si="69"/>
        <v>20</v>
      </c>
      <c r="AJ168" s="10">
        <v>20</v>
      </c>
      <c r="AK168" s="11">
        <f t="shared" si="78"/>
        <v>25</v>
      </c>
      <c r="AL168" s="10">
        <v>25</v>
      </c>
      <c r="AM168" s="11">
        <f t="shared" si="78"/>
        <v>25</v>
      </c>
      <c r="AN168" s="10">
        <v>25</v>
      </c>
      <c r="AO168" s="56">
        <f t="shared" si="71"/>
        <v>1</v>
      </c>
      <c r="AQ168" s="11">
        <f ca="1">IFERROR(OFFSET(ITEM_RES!$A$1,MATCH(AR168,ITEM_RES!$J:$J,0)-1,0),0)</f>
        <v>212040001</v>
      </c>
      <c r="AR168" s="10" t="s">
        <v>482</v>
      </c>
      <c r="AS168" s="11">
        <v>125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77"/>
        <v>0</v>
      </c>
    </row>
    <row r="169" spans="1:66" x14ac:dyDescent="0.3">
      <c r="A169" s="14">
        <f t="shared" si="73"/>
        <v>113030005</v>
      </c>
      <c r="B169" s="13">
        <v>11</v>
      </c>
      <c r="C169" s="12">
        <f t="shared" si="74"/>
        <v>3</v>
      </c>
      <c r="D169" s="13">
        <v>3</v>
      </c>
      <c r="E169" s="13">
        <v>0</v>
      </c>
      <c r="F169" s="12">
        <f t="shared" si="75"/>
        <v>5</v>
      </c>
      <c r="H169" s="9">
        <v>3</v>
      </c>
      <c r="I169" s="9">
        <v>5</v>
      </c>
      <c r="K169" s="9" t="s">
        <v>372</v>
      </c>
      <c r="L169" s="9">
        <v>1</v>
      </c>
      <c r="M169" s="9">
        <v>15</v>
      </c>
      <c r="R169" s="9">
        <v>66</v>
      </c>
      <c r="S169" s="86">
        <v>3</v>
      </c>
      <c r="U169" s="86">
        <f t="shared" si="76"/>
        <v>303</v>
      </c>
      <c r="V169" s="86">
        <v>50</v>
      </c>
      <c r="W169" s="86">
        <v>1</v>
      </c>
      <c r="X169" s="86">
        <v>1</v>
      </c>
      <c r="Y169" s="86">
        <v>0</v>
      </c>
      <c r="Z169" s="9">
        <v>215070001</v>
      </c>
      <c r="AA169" s="9" t="s">
        <v>597</v>
      </c>
      <c r="AB169" s="9">
        <v>5</v>
      </c>
      <c r="AD169" s="9">
        <v>3200</v>
      </c>
      <c r="AF169" s="89">
        <f t="shared" si="70"/>
        <v>640</v>
      </c>
      <c r="AG169" s="9">
        <f t="shared" si="79"/>
        <v>1040</v>
      </c>
      <c r="AI169" s="11">
        <f t="shared" si="69"/>
        <v>25</v>
      </c>
      <c r="AJ169" s="10">
        <v>25</v>
      </c>
      <c r="AK169" s="11">
        <f t="shared" si="78"/>
        <v>40</v>
      </c>
      <c r="AL169" s="10">
        <v>40</v>
      </c>
      <c r="AM169" s="11">
        <f t="shared" si="78"/>
        <v>40</v>
      </c>
      <c r="AN169" s="10">
        <v>40</v>
      </c>
      <c r="AO169" s="56">
        <f t="shared" si="71"/>
        <v>1</v>
      </c>
      <c r="AQ169" s="11">
        <f ca="1">IFERROR(OFFSET(ITEM_RES!$A$1,MATCH(AR169,ITEM_RES!$J:$J,0)-1,0),0)</f>
        <v>212040001</v>
      </c>
      <c r="AR169" s="10" t="s">
        <v>482</v>
      </c>
      <c r="AS169" s="11">
        <v>200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77"/>
        <v>0</v>
      </c>
    </row>
    <row r="170" spans="1:66" x14ac:dyDescent="0.3">
      <c r="A170" s="14">
        <f t="shared" si="73"/>
        <v>113030006</v>
      </c>
      <c r="B170" s="13">
        <v>11</v>
      </c>
      <c r="C170" s="12">
        <f t="shared" si="74"/>
        <v>3</v>
      </c>
      <c r="D170" s="13">
        <v>3</v>
      </c>
      <c r="E170" s="13">
        <v>0</v>
      </c>
      <c r="F170" s="12">
        <f t="shared" si="75"/>
        <v>6</v>
      </c>
      <c r="H170" s="9">
        <v>3</v>
      </c>
      <c r="I170" s="9">
        <v>6</v>
      </c>
      <c r="K170" s="9" t="s">
        <v>372</v>
      </c>
      <c r="L170" s="9">
        <v>1</v>
      </c>
      <c r="M170" s="9">
        <v>15</v>
      </c>
      <c r="R170" s="9">
        <v>66</v>
      </c>
      <c r="S170" s="86">
        <v>3</v>
      </c>
      <c r="U170" s="86">
        <f t="shared" si="76"/>
        <v>303</v>
      </c>
      <c r="V170" s="86">
        <v>60</v>
      </c>
      <c r="W170" s="86">
        <v>1</v>
      </c>
      <c r="X170" s="86">
        <v>1</v>
      </c>
      <c r="Y170" s="86">
        <v>0</v>
      </c>
      <c r="Z170" s="9">
        <v>215070001</v>
      </c>
      <c r="AA170" s="9" t="s">
        <v>597</v>
      </c>
      <c r="AB170" s="9">
        <v>6</v>
      </c>
      <c r="AD170" s="9">
        <v>4000</v>
      </c>
      <c r="AF170" s="89">
        <f t="shared" si="70"/>
        <v>800</v>
      </c>
      <c r="AG170" s="9">
        <f t="shared" si="79"/>
        <v>1440</v>
      </c>
      <c r="AI170" s="11">
        <f t="shared" si="69"/>
        <v>30</v>
      </c>
      <c r="AJ170" s="10">
        <v>30</v>
      </c>
      <c r="AK170" s="11">
        <f t="shared" si="78"/>
        <v>50</v>
      </c>
      <c r="AL170" s="10">
        <v>50</v>
      </c>
      <c r="AM170" s="11">
        <f t="shared" si="78"/>
        <v>50</v>
      </c>
      <c r="AN170" s="10">
        <v>50</v>
      </c>
      <c r="AO170" s="56">
        <f t="shared" si="71"/>
        <v>1</v>
      </c>
      <c r="AQ170" s="11">
        <f ca="1">IFERROR(OFFSET(ITEM_RES!$A$1,MATCH(AR170,ITEM_RES!$J:$J,0)-1,0),0)</f>
        <v>212040001</v>
      </c>
      <c r="AR170" s="10" t="s">
        <v>482</v>
      </c>
      <c r="AS170" s="11">
        <v>250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77"/>
        <v>0</v>
      </c>
    </row>
    <row r="171" spans="1:66" x14ac:dyDescent="0.3">
      <c r="A171" s="14">
        <f t="shared" si="73"/>
        <v>113030007</v>
      </c>
      <c r="B171" s="13">
        <v>11</v>
      </c>
      <c r="C171" s="12">
        <f t="shared" si="74"/>
        <v>3</v>
      </c>
      <c r="D171" s="13">
        <v>3</v>
      </c>
      <c r="E171" s="13">
        <v>0</v>
      </c>
      <c r="F171" s="12">
        <f t="shared" si="75"/>
        <v>7</v>
      </c>
      <c r="H171" s="9">
        <v>3</v>
      </c>
      <c r="I171" s="9">
        <v>7</v>
      </c>
      <c r="K171" s="9" t="s">
        <v>372</v>
      </c>
      <c r="L171" s="9">
        <v>1</v>
      </c>
      <c r="M171" s="9">
        <v>15</v>
      </c>
      <c r="R171" s="9">
        <v>66</v>
      </c>
      <c r="S171" s="86">
        <v>3</v>
      </c>
      <c r="U171" s="86">
        <f t="shared" si="76"/>
        <v>303</v>
      </c>
      <c r="V171" s="86">
        <v>70</v>
      </c>
      <c r="W171" s="86">
        <v>1</v>
      </c>
      <c r="X171" s="86">
        <v>1</v>
      </c>
      <c r="Y171" s="86">
        <v>0</v>
      </c>
      <c r="Z171" s="9">
        <v>215070001</v>
      </c>
      <c r="AA171" s="9" t="s">
        <v>597</v>
      </c>
      <c r="AB171" s="9">
        <v>7</v>
      </c>
      <c r="AD171" s="9">
        <v>8000</v>
      </c>
      <c r="AF171" s="89">
        <f t="shared" si="70"/>
        <v>1600</v>
      </c>
      <c r="AG171" s="9">
        <f t="shared" si="79"/>
        <v>2400</v>
      </c>
      <c r="AI171" s="11">
        <f t="shared" si="69"/>
        <v>35</v>
      </c>
      <c r="AJ171" s="10">
        <v>35</v>
      </c>
      <c r="AK171" s="11">
        <f t="shared" si="78"/>
        <v>100</v>
      </c>
      <c r="AL171" s="10">
        <v>100</v>
      </c>
      <c r="AM171" s="11">
        <f t="shared" si="78"/>
        <v>100</v>
      </c>
      <c r="AN171" s="10">
        <v>100</v>
      </c>
      <c r="AO171" s="56">
        <f t="shared" si="71"/>
        <v>1</v>
      </c>
      <c r="AQ171" s="11">
        <f ca="1">IFERROR(OFFSET(ITEM_RES!$A$1,MATCH(AR171,ITEM_RES!$J:$J,0)-1,0),0)</f>
        <v>212040001</v>
      </c>
      <c r="AR171" s="10" t="s">
        <v>482</v>
      </c>
      <c r="AS171" s="11">
        <v>500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77"/>
        <v>0</v>
      </c>
    </row>
    <row r="172" spans="1:66" x14ac:dyDescent="0.3">
      <c r="A172" s="14">
        <f t="shared" si="73"/>
        <v>113030008</v>
      </c>
      <c r="B172" s="13">
        <v>11</v>
      </c>
      <c r="C172" s="12">
        <f t="shared" si="74"/>
        <v>3</v>
      </c>
      <c r="D172" s="13">
        <v>3</v>
      </c>
      <c r="E172" s="13">
        <v>0</v>
      </c>
      <c r="F172" s="12">
        <f t="shared" si="75"/>
        <v>8</v>
      </c>
      <c r="H172" s="9">
        <v>3</v>
      </c>
      <c r="I172" s="9">
        <v>8</v>
      </c>
      <c r="K172" s="9" t="s">
        <v>372</v>
      </c>
      <c r="L172" s="9">
        <v>1</v>
      </c>
      <c r="M172" s="9">
        <v>15</v>
      </c>
      <c r="R172" s="9">
        <v>66</v>
      </c>
      <c r="S172" s="86">
        <v>3</v>
      </c>
      <c r="U172" s="86">
        <f t="shared" si="76"/>
        <v>303</v>
      </c>
      <c r="V172" s="86">
        <v>80</v>
      </c>
      <c r="W172" s="86">
        <v>1</v>
      </c>
      <c r="X172" s="86">
        <v>1</v>
      </c>
      <c r="Y172" s="86">
        <v>0</v>
      </c>
      <c r="Z172" s="9">
        <v>215070001</v>
      </c>
      <c r="AA172" s="9" t="s">
        <v>597</v>
      </c>
      <c r="AB172" s="9">
        <v>8</v>
      </c>
      <c r="AD172" s="9">
        <v>8000</v>
      </c>
      <c r="AF172" s="89">
        <f t="shared" si="70"/>
        <v>1600</v>
      </c>
      <c r="AG172" s="9">
        <f t="shared" si="79"/>
        <v>3200</v>
      </c>
      <c r="AI172" s="11">
        <f t="shared" si="69"/>
        <v>40</v>
      </c>
      <c r="AJ172" s="10">
        <v>40</v>
      </c>
      <c r="AK172" s="11">
        <f t="shared" si="78"/>
        <v>100</v>
      </c>
      <c r="AL172" s="10">
        <v>100</v>
      </c>
      <c r="AM172" s="11">
        <f t="shared" si="78"/>
        <v>100</v>
      </c>
      <c r="AN172" s="10">
        <v>100</v>
      </c>
      <c r="AO172" s="56">
        <f t="shared" si="71"/>
        <v>1</v>
      </c>
      <c r="AQ172" s="11">
        <f ca="1">IFERROR(OFFSET(ITEM_RES!$A$1,MATCH(AR172,ITEM_RES!$J:$J,0)-1,0),0)</f>
        <v>212040001</v>
      </c>
      <c r="AR172" s="10" t="s">
        <v>482</v>
      </c>
      <c r="AS172" s="11">
        <v>500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77"/>
        <v>0</v>
      </c>
    </row>
    <row r="173" spans="1:66" x14ac:dyDescent="0.3">
      <c r="A173" s="14">
        <f t="shared" si="73"/>
        <v>113030009</v>
      </c>
      <c r="B173" s="13">
        <v>11</v>
      </c>
      <c r="C173" s="12">
        <f t="shared" si="74"/>
        <v>3</v>
      </c>
      <c r="D173" s="13">
        <v>3</v>
      </c>
      <c r="E173" s="13">
        <v>0</v>
      </c>
      <c r="F173" s="12">
        <f t="shared" si="75"/>
        <v>9</v>
      </c>
      <c r="H173" s="9">
        <v>3</v>
      </c>
      <c r="I173" s="9">
        <v>9</v>
      </c>
      <c r="K173" s="9" t="s">
        <v>372</v>
      </c>
      <c r="L173" s="9">
        <v>1</v>
      </c>
      <c r="M173" s="9">
        <v>15</v>
      </c>
      <c r="R173" s="9">
        <v>66</v>
      </c>
      <c r="S173" s="86">
        <v>3</v>
      </c>
      <c r="U173" s="86">
        <f t="shared" si="76"/>
        <v>303</v>
      </c>
      <c r="V173" s="86">
        <v>90</v>
      </c>
      <c r="W173" s="86">
        <v>1</v>
      </c>
      <c r="X173" s="86">
        <v>1</v>
      </c>
      <c r="Y173" s="86">
        <v>0</v>
      </c>
      <c r="Z173" s="9">
        <v>215070001</v>
      </c>
      <c r="AA173" s="9" t="s">
        <v>597</v>
      </c>
      <c r="AB173" s="9">
        <v>9</v>
      </c>
      <c r="AD173" s="9">
        <v>12000</v>
      </c>
      <c r="AF173" s="89">
        <f t="shared" si="70"/>
        <v>2400</v>
      </c>
      <c r="AG173" s="9">
        <f t="shared" si="79"/>
        <v>4000</v>
      </c>
      <c r="AI173" s="11">
        <f t="shared" si="69"/>
        <v>45</v>
      </c>
      <c r="AJ173" s="10">
        <v>45</v>
      </c>
      <c r="AK173" s="11">
        <f t="shared" si="78"/>
        <v>150</v>
      </c>
      <c r="AL173" s="10">
        <v>150</v>
      </c>
      <c r="AM173" s="11">
        <f t="shared" si="78"/>
        <v>150</v>
      </c>
      <c r="AN173" s="10">
        <v>150</v>
      </c>
      <c r="AO173" s="56">
        <f t="shared" si="71"/>
        <v>1</v>
      </c>
      <c r="AQ173" s="11">
        <f ca="1">IFERROR(OFFSET(ITEM_RES!$A$1,MATCH(AR173,ITEM_RES!$J:$J,0)-1,0),0)</f>
        <v>212040001</v>
      </c>
      <c r="AR173" s="10" t="s">
        <v>482</v>
      </c>
      <c r="AS173" s="11">
        <v>750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77"/>
        <v>0</v>
      </c>
    </row>
    <row r="174" spans="1:66" x14ac:dyDescent="0.3">
      <c r="A174" s="14">
        <f t="shared" si="73"/>
        <v>113030010</v>
      </c>
      <c r="B174" s="13">
        <v>11</v>
      </c>
      <c r="C174" s="12">
        <f t="shared" si="74"/>
        <v>3</v>
      </c>
      <c r="D174" s="13">
        <v>3</v>
      </c>
      <c r="E174" s="13">
        <v>0</v>
      </c>
      <c r="F174" s="12">
        <f t="shared" si="75"/>
        <v>10</v>
      </c>
      <c r="H174" s="9">
        <v>3</v>
      </c>
      <c r="I174" s="9">
        <v>10</v>
      </c>
      <c r="K174" s="9" t="s">
        <v>372</v>
      </c>
      <c r="L174" s="9">
        <v>1</v>
      </c>
      <c r="M174" s="9">
        <v>15</v>
      </c>
      <c r="R174" s="9">
        <v>66</v>
      </c>
      <c r="S174" s="86">
        <v>3</v>
      </c>
      <c r="U174" s="86">
        <f t="shared" si="76"/>
        <v>303</v>
      </c>
      <c r="V174" s="86">
        <v>100</v>
      </c>
      <c r="W174" s="86">
        <v>1</v>
      </c>
      <c r="X174" s="86">
        <v>1</v>
      </c>
      <c r="Y174" s="86">
        <v>0</v>
      </c>
      <c r="Z174" s="9">
        <v>215070001</v>
      </c>
      <c r="AA174" s="9" t="s">
        <v>597</v>
      </c>
      <c r="AB174" s="9">
        <v>10</v>
      </c>
      <c r="AD174" s="9">
        <v>16000</v>
      </c>
      <c r="AF174" s="89">
        <f t="shared" si="70"/>
        <v>3200</v>
      </c>
      <c r="AG174" s="9">
        <f t="shared" si="79"/>
        <v>5600</v>
      </c>
      <c r="AI174" s="11">
        <f t="shared" si="69"/>
        <v>50</v>
      </c>
      <c r="AJ174" s="10">
        <v>50</v>
      </c>
      <c r="AK174" s="11">
        <f t="shared" si="78"/>
        <v>200</v>
      </c>
      <c r="AL174" s="10">
        <v>200</v>
      </c>
      <c r="AM174" s="11">
        <f t="shared" si="78"/>
        <v>200</v>
      </c>
      <c r="AN174" s="10">
        <v>200</v>
      </c>
      <c r="AO174" s="56">
        <f t="shared" si="71"/>
        <v>1</v>
      </c>
      <c r="AQ174" s="11">
        <f ca="1">IFERROR(OFFSET(ITEM_RES!$A$1,MATCH(AR174,ITEM_RES!$J:$J,0)-1,0),0)</f>
        <v>212040001</v>
      </c>
      <c r="AR174" s="10" t="s">
        <v>482</v>
      </c>
      <c r="AS174" s="11">
        <v>1000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77"/>
        <v>0</v>
      </c>
    </row>
    <row r="175" spans="1:66" x14ac:dyDescent="0.3">
      <c r="A175" s="14">
        <f t="shared" si="73"/>
        <v>113030011</v>
      </c>
      <c r="B175" s="13">
        <v>11</v>
      </c>
      <c r="C175" s="12">
        <f t="shared" si="74"/>
        <v>3</v>
      </c>
      <c r="D175" s="13">
        <v>3</v>
      </c>
      <c r="E175" s="13">
        <v>0</v>
      </c>
      <c r="F175" s="12">
        <f t="shared" si="75"/>
        <v>11</v>
      </c>
      <c r="H175" s="9">
        <v>3</v>
      </c>
      <c r="I175" s="9">
        <v>11</v>
      </c>
      <c r="K175" s="9" t="s">
        <v>372</v>
      </c>
      <c r="L175" s="9">
        <v>1</v>
      </c>
      <c r="M175" s="9">
        <v>15</v>
      </c>
      <c r="R175" s="9">
        <v>66</v>
      </c>
      <c r="S175" s="86">
        <v>3</v>
      </c>
      <c r="U175" s="86">
        <f t="shared" si="76"/>
        <v>303</v>
      </c>
      <c r="V175" s="86">
        <v>110</v>
      </c>
      <c r="W175" s="86">
        <v>1</v>
      </c>
      <c r="X175" s="86">
        <v>1</v>
      </c>
      <c r="Y175" s="86">
        <v>0</v>
      </c>
      <c r="Z175" s="9">
        <v>215070001</v>
      </c>
      <c r="AA175" s="9" t="s">
        <v>597</v>
      </c>
      <c r="AB175" s="9">
        <v>11</v>
      </c>
      <c r="AD175" s="9">
        <v>20000</v>
      </c>
      <c r="AF175" s="89">
        <f t="shared" si="70"/>
        <v>4000</v>
      </c>
      <c r="AG175" s="9">
        <f t="shared" si="79"/>
        <v>7200</v>
      </c>
      <c r="AI175" s="11">
        <f t="shared" si="69"/>
        <v>55</v>
      </c>
      <c r="AJ175" s="10">
        <v>55</v>
      </c>
      <c r="AK175" s="11">
        <f t="shared" si="78"/>
        <v>250</v>
      </c>
      <c r="AL175" s="10">
        <v>250</v>
      </c>
      <c r="AM175" s="11">
        <f t="shared" si="78"/>
        <v>250</v>
      </c>
      <c r="AN175" s="10">
        <v>250</v>
      </c>
      <c r="AO175" s="56">
        <f t="shared" si="71"/>
        <v>1</v>
      </c>
      <c r="AQ175" s="11">
        <f ca="1">IFERROR(OFFSET(ITEM_RES!$A$1,MATCH(AR175,ITEM_RES!$J:$J,0)-1,0),0)</f>
        <v>212040001</v>
      </c>
      <c r="AR175" s="10" t="s">
        <v>482</v>
      </c>
      <c r="AS175" s="11">
        <v>1250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77"/>
        <v>0</v>
      </c>
    </row>
    <row r="176" spans="1:66" x14ac:dyDescent="0.3">
      <c r="A176" s="14">
        <f t="shared" si="73"/>
        <v>113030012</v>
      </c>
      <c r="B176" s="13">
        <v>11</v>
      </c>
      <c r="C176" s="12">
        <f t="shared" si="74"/>
        <v>3</v>
      </c>
      <c r="D176" s="13">
        <v>3</v>
      </c>
      <c r="E176" s="13">
        <v>0</v>
      </c>
      <c r="F176" s="12">
        <f t="shared" si="75"/>
        <v>12</v>
      </c>
      <c r="H176" s="9">
        <v>3</v>
      </c>
      <c r="I176" s="9">
        <v>12</v>
      </c>
      <c r="K176" s="9" t="s">
        <v>372</v>
      </c>
      <c r="L176" s="9">
        <v>1</v>
      </c>
      <c r="M176" s="9">
        <v>15</v>
      </c>
      <c r="R176" s="9">
        <v>66</v>
      </c>
      <c r="S176" s="86">
        <v>3</v>
      </c>
      <c r="U176" s="86">
        <f t="shared" si="76"/>
        <v>303</v>
      </c>
      <c r="V176" s="86">
        <v>120</v>
      </c>
      <c r="W176" s="86">
        <v>1</v>
      </c>
      <c r="X176" s="86">
        <v>1</v>
      </c>
      <c r="Y176" s="86">
        <v>0</v>
      </c>
      <c r="Z176" s="9">
        <v>215070001</v>
      </c>
      <c r="AA176" s="9" t="s">
        <v>597</v>
      </c>
      <c r="AB176" s="9">
        <v>12</v>
      </c>
      <c r="AD176" s="9">
        <v>24000</v>
      </c>
      <c r="AF176" s="89">
        <f t="shared" si="70"/>
        <v>4800</v>
      </c>
      <c r="AG176" s="9">
        <f t="shared" si="79"/>
        <v>8800</v>
      </c>
      <c r="AI176" s="11">
        <f t="shared" si="69"/>
        <v>60</v>
      </c>
      <c r="AJ176" s="10">
        <v>60</v>
      </c>
      <c r="AK176" s="11">
        <f t="shared" si="78"/>
        <v>300</v>
      </c>
      <c r="AL176" s="10">
        <v>300</v>
      </c>
      <c r="AM176" s="11">
        <f t="shared" si="78"/>
        <v>300</v>
      </c>
      <c r="AN176" s="10">
        <v>300</v>
      </c>
      <c r="AO176" s="56">
        <f t="shared" si="71"/>
        <v>1</v>
      </c>
      <c r="AQ176" s="11">
        <f ca="1">IFERROR(OFFSET(ITEM_RES!$A$1,MATCH(AR176,ITEM_RES!$J:$J,0)-1,0),0)</f>
        <v>212040001</v>
      </c>
      <c r="AR176" s="10" t="s">
        <v>482</v>
      </c>
      <c r="AS176" s="11">
        <v>1500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77"/>
        <v>0</v>
      </c>
    </row>
    <row r="177" spans="1:66" x14ac:dyDescent="0.3">
      <c r="A177" s="14">
        <f t="shared" si="73"/>
        <v>113030013</v>
      </c>
      <c r="B177" s="13">
        <v>11</v>
      </c>
      <c r="C177" s="12">
        <f t="shared" si="74"/>
        <v>3</v>
      </c>
      <c r="D177" s="13">
        <v>3</v>
      </c>
      <c r="E177" s="13">
        <v>0</v>
      </c>
      <c r="F177" s="12">
        <f t="shared" si="75"/>
        <v>13</v>
      </c>
      <c r="H177" s="9">
        <v>3</v>
      </c>
      <c r="I177" s="9">
        <v>13</v>
      </c>
      <c r="K177" s="9" t="s">
        <v>372</v>
      </c>
      <c r="L177" s="9">
        <v>1</v>
      </c>
      <c r="M177" s="9">
        <v>15</v>
      </c>
      <c r="R177" s="9">
        <v>66</v>
      </c>
      <c r="S177" s="86">
        <v>3</v>
      </c>
      <c r="U177" s="86">
        <f t="shared" si="76"/>
        <v>303</v>
      </c>
      <c r="V177" s="86">
        <v>130</v>
      </c>
      <c r="W177" s="86">
        <v>1</v>
      </c>
      <c r="X177" s="86">
        <v>1</v>
      </c>
      <c r="Y177" s="86">
        <v>0</v>
      </c>
      <c r="Z177" s="9">
        <v>215070001</v>
      </c>
      <c r="AA177" s="9" t="s">
        <v>597</v>
      </c>
      <c r="AB177" s="9">
        <v>13</v>
      </c>
      <c r="AD177" s="9">
        <v>28000</v>
      </c>
      <c r="AF177" s="89">
        <f t="shared" si="70"/>
        <v>5600</v>
      </c>
      <c r="AG177" s="9">
        <f t="shared" si="79"/>
        <v>10400</v>
      </c>
      <c r="AI177" s="11">
        <f t="shared" si="69"/>
        <v>65</v>
      </c>
      <c r="AJ177" s="10">
        <v>65</v>
      </c>
      <c r="AK177" s="11">
        <f t="shared" si="78"/>
        <v>350</v>
      </c>
      <c r="AL177" s="10">
        <v>350</v>
      </c>
      <c r="AM177" s="11">
        <f t="shared" si="78"/>
        <v>350</v>
      </c>
      <c r="AN177" s="10">
        <v>350</v>
      </c>
      <c r="AO177" s="56">
        <f t="shared" si="71"/>
        <v>1</v>
      </c>
      <c r="AQ177" s="11">
        <f ca="1">IFERROR(OFFSET(ITEM_RES!$A$1,MATCH(AR177,ITEM_RES!$J:$J,0)-1,0),0)</f>
        <v>212040001</v>
      </c>
      <c r="AR177" s="10" t="s">
        <v>482</v>
      </c>
      <c r="AS177" s="11">
        <v>1750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77"/>
        <v>0</v>
      </c>
    </row>
    <row r="178" spans="1:66" x14ac:dyDescent="0.3">
      <c r="A178" s="14">
        <f t="shared" si="73"/>
        <v>113030014</v>
      </c>
      <c r="B178" s="13">
        <v>11</v>
      </c>
      <c r="C178" s="12">
        <f t="shared" si="74"/>
        <v>3</v>
      </c>
      <c r="D178" s="13">
        <v>3</v>
      </c>
      <c r="E178" s="13">
        <v>0</v>
      </c>
      <c r="F178" s="12">
        <f t="shared" si="75"/>
        <v>14</v>
      </c>
      <c r="H178" s="9">
        <v>3</v>
      </c>
      <c r="I178" s="9">
        <v>14</v>
      </c>
      <c r="K178" s="9" t="s">
        <v>372</v>
      </c>
      <c r="L178" s="9">
        <v>1</v>
      </c>
      <c r="M178" s="9">
        <v>15</v>
      </c>
      <c r="R178" s="9">
        <v>66</v>
      </c>
      <c r="S178" s="86">
        <v>3</v>
      </c>
      <c r="U178" s="86">
        <f t="shared" si="76"/>
        <v>303</v>
      </c>
      <c r="V178" s="86">
        <v>140</v>
      </c>
      <c r="W178" s="86">
        <v>1</v>
      </c>
      <c r="X178" s="86">
        <v>1</v>
      </c>
      <c r="Y178" s="86">
        <v>0</v>
      </c>
      <c r="Z178" s="9">
        <v>215070001</v>
      </c>
      <c r="AA178" s="9" t="s">
        <v>597</v>
      </c>
      <c r="AB178" s="9">
        <v>14</v>
      </c>
      <c r="AD178" s="9">
        <v>36000</v>
      </c>
      <c r="AF178" s="89">
        <f t="shared" si="70"/>
        <v>7200</v>
      </c>
      <c r="AG178" s="9">
        <f t="shared" si="79"/>
        <v>12800</v>
      </c>
      <c r="AI178" s="11">
        <f t="shared" si="69"/>
        <v>70</v>
      </c>
      <c r="AJ178" s="10">
        <v>70</v>
      </c>
      <c r="AK178" s="11">
        <f t="shared" si="78"/>
        <v>450</v>
      </c>
      <c r="AL178" s="10">
        <v>450</v>
      </c>
      <c r="AM178" s="11">
        <f t="shared" si="78"/>
        <v>450</v>
      </c>
      <c r="AN178" s="10">
        <v>450</v>
      </c>
      <c r="AO178" s="56">
        <f t="shared" si="71"/>
        <v>1</v>
      </c>
      <c r="AQ178" s="11">
        <f ca="1">IFERROR(OFFSET(ITEM_RES!$A$1,MATCH(AR178,ITEM_RES!$J:$J,0)-1,0),0)</f>
        <v>212040001</v>
      </c>
      <c r="AR178" s="10" t="s">
        <v>482</v>
      </c>
      <c r="AS178" s="11">
        <v>2250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77"/>
        <v>0</v>
      </c>
    </row>
    <row r="179" spans="1:66" x14ac:dyDescent="0.3">
      <c r="A179" s="14">
        <f t="shared" si="73"/>
        <v>113030015</v>
      </c>
      <c r="B179" s="13">
        <v>11</v>
      </c>
      <c r="C179" s="12">
        <f t="shared" si="74"/>
        <v>3</v>
      </c>
      <c r="D179" s="13">
        <v>3</v>
      </c>
      <c r="E179" s="13">
        <v>0</v>
      </c>
      <c r="F179" s="12">
        <f t="shared" si="75"/>
        <v>15</v>
      </c>
      <c r="H179" s="9">
        <v>3</v>
      </c>
      <c r="I179" s="9">
        <v>15</v>
      </c>
      <c r="K179" s="9" t="s">
        <v>372</v>
      </c>
      <c r="L179" s="9">
        <v>1</v>
      </c>
      <c r="M179" s="9">
        <v>15</v>
      </c>
      <c r="R179" s="9">
        <v>66</v>
      </c>
      <c r="S179" s="86">
        <v>3</v>
      </c>
      <c r="U179" s="86">
        <f t="shared" si="76"/>
        <v>303</v>
      </c>
      <c r="V179" s="86">
        <v>150</v>
      </c>
      <c r="W179" s="86">
        <v>1</v>
      </c>
      <c r="X179" s="86">
        <v>1</v>
      </c>
      <c r="Y179" s="86">
        <v>0</v>
      </c>
      <c r="Z179" s="9">
        <v>215070001</v>
      </c>
      <c r="AA179" s="9" t="s">
        <v>597</v>
      </c>
      <c r="AB179" s="9">
        <v>15</v>
      </c>
      <c r="AD179" s="9">
        <v>44000</v>
      </c>
      <c r="AF179" s="89">
        <f t="shared" si="70"/>
        <v>8800</v>
      </c>
      <c r="AG179" s="9">
        <f t="shared" si="79"/>
        <v>16000</v>
      </c>
      <c r="AI179" s="11">
        <f t="shared" si="69"/>
        <v>75</v>
      </c>
      <c r="AJ179" s="10">
        <v>75</v>
      </c>
      <c r="AK179" s="11">
        <f t="shared" si="78"/>
        <v>550</v>
      </c>
      <c r="AL179" s="10">
        <v>550</v>
      </c>
      <c r="AM179" s="11">
        <f t="shared" si="78"/>
        <v>550</v>
      </c>
      <c r="AN179" s="10">
        <v>550</v>
      </c>
      <c r="AO179" s="56">
        <f t="shared" si="71"/>
        <v>1</v>
      </c>
      <c r="AQ179" s="11">
        <f ca="1">IFERROR(OFFSET(ITEM_RES!$A$1,MATCH(AR179,ITEM_RES!$J:$J,0)-1,0),0)</f>
        <v>212040001</v>
      </c>
      <c r="AR179" s="10" t="s">
        <v>482</v>
      </c>
      <c r="AS179" s="11">
        <v>2750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77"/>
        <v>0</v>
      </c>
    </row>
    <row r="180" spans="1:66" x14ac:dyDescent="0.3">
      <c r="A180" s="14">
        <f t="shared" si="73"/>
        <v>113030016</v>
      </c>
      <c r="B180" s="13">
        <v>11</v>
      </c>
      <c r="C180" s="12">
        <f t="shared" si="74"/>
        <v>3</v>
      </c>
      <c r="D180" s="13">
        <v>3</v>
      </c>
      <c r="E180" s="13">
        <v>0</v>
      </c>
      <c r="F180" s="12">
        <f t="shared" si="75"/>
        <v>16</v>
      </c>
      <c r="H180" s="9">
        <v>3</v>
      </c>
      <c r="I180" s="9">
        <v>16</v>
      </c>
      <c r="K180" s="9" t="s">
        <v>372</v>
      </c>
      <c r="L180" s="9">
        <v>0</v>
      </c>
      <c r="M180" s="9">
        <v>15</v>
      </c>
      <c r="R180" s="9">
        <v>66</v>
      </c>
      <c r="S180" s="86">
        <v>3</v>
      </c>
      <c r="U180" s="86">
        <f t="shared" si="76"/>
        <v>303</v>
      </c>
      <c r="V180" s="86">
        <v>160</v>
      </c>
      <c r="W180" s="86">
        <v>1</v>
      </c>
      <c r="X180" s="86">
        <v>1</v>
      </c>
      <c r="Y180" s="86">
        <v>0</v>
      </c>
      <c r="Z180" s="9">
        <v>215070001</v>
      </c>
      <c r="AA180" s="9" t="s">
        <v>597</v>
      </c>
      <c r="AB180" s="9">
        <v>16</v>
      </c>
      <c r="AD180" s="9">
        <v>56000</v>
      </c>
      <c r="AF180" s="89">
        <f t="shared" si="70"/>
        <v>11200</v>
      </c>
      <c r="AG180" s="9">
        <f t="shared" si="79"/>
        <v>20000</v>
      </c>
      <c r="AI180" s="11">
        <f t="shared" si="69"/>
        <v>80</v>
      </c>
      <c r="AJ180" s="10">
        <v>80</v>
      </c>
      <c r="AK180" s="11">
        <f t="shared" si="78"/>
        <v>700</v>
      </c>
      <c r="AL180" s="10">
        <v>700</v>
      </c>
      <c r="AM180" s="11">
        <f t="shared" si="78"/>
        <v>700</v>
      </c>
      <c r="AN180" s="10">
        <v>700</v>
      </c>
      <c r="AO180" s="56">
        <f t="shared" si="71"/>
        <v>1</v>
      </c>
      <c r="AQ180" s="11">
        <f ca="1">IFERROR(OFFSET(ITEM_RES!$A$1,MATCH(AR180,ITEM_RES!$J:$J,0)-1,0),0)</f>
        <v>212040001</v>
      </c>
      <c r="AR180" s="10" t="s">
        <v>482</v>
      </c>
      <c r="AS180" s="11">
        <v>3500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77"/>
        <v>0</v>
      </c>
    </row>
    <row r="181" spans="1:66" x14ac:dyDescent="0.3">
      <c r="A181" s="14">
        <f t="shared" si="73"/>
        <v>113030017</v>
      </c>
      <c r="B181" s="13">
        <v>11</v>
      </c>
      <c r="C181" s="12">
        <f t="shared" si="74"/>
        <v>3</v>
      </c>
      <c r="D181" s="13">
        <v>3</v>
      </c>
      <c r="E181" s="13">
        <v>0</v>
      </c>
      <c r="F181" s="12">
        <f t="shared" si="75"/>
        <v>17</v>
      </c>
      <c r="H181" s="9">
        <v>3</v>
      </c>
      <c r="I181" s="9">
        <v>17</v>
      </c>
      <c r="K181" s="9" t="s">
        <v>372</v>
      </c>
      <c r="L181" s="9">
        <v>0</v>
      </c>
      <c r="M181" s="9">
        <v>15</v>
      </c>
      <c r="R181" s="9">
        <v>66</v>
      </c>
      <c r="S181" s="86">
        <v>3</v>
      </c>
      <c r="U181" s="86">
        <f t="shared" si="76"/>
        <v>303</v>
      </c>
      <c r="V181" s="86">
        <v>170</v>
      </c>
      <c r="W181" s="86">
        <v>1</v>
      </c>
      <c r="X181" s="86">
        <v>1</v>
      </c>
      <c r="Y181" s="86">
        <v>0</v>
      </c>
      <c r="Z181" s="9">
        <v>215070001</v>
      </c>
      <c r="AA181" s="9" t="s">
        <v>597</v>
      </c>
      <c r="AB181" s="9">
        <v>17</v>
      </c>
      <c r="AD181" s="9">
        <v>68000</v>
      </c>
      <c r="AF181" s="89">
        <f t="shared" si="70"/>
        <v>13600</v>
      </c>
      <c r="AG181" s="9">
        <f t="shared" si="79"/>
        <v>24800</v>
      </c>
      <c r="AI181" s="11">
        <f t="shared" si="69"/>
        <v>85</v>
      </c>
      <c r="AJ181" s="10">
        <v>85</v>
      </c>
      <c r="AK181" s="11">
        <f t="shared" si="78"/>
        <v>850</v>
      </c>
      <c r="AL181" s="10">
        <v>850</v>
      </c>
      <c r="AM181" s="11">
        <f t="shared" si="78"/>
        <v>850</v>
      </c>
      <c r="AN181" s="10">
        <v>850</v>
      </c>
      <c r="AO181" s="56">
        <f t="shared" si="71"/>
        <v>1</v>
      </c>
      <c r="AQ181" s="11">
        <f ca="1">IFERROR(OFFSET(ITEM_RES!$A$1,MATCH(AR181,ITEM_RES!$J:$J,0)-1,0),0)</f>
        <v>215050001</v>
      </c>
      <c r="AR181" s="10" t="s">
        <v>497</v>
      </c>
      <c r="AS181" s="11">
        <v>4250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77"/>
        <v>0</v>
      </c>
    </row>
    <row r="182" spans="1:66" x14ac:dyDescent="0.3">
      <c r="A182" s="14">
        <f t="shared" si="73"/>
        <v>113030018</v>
      </c>
      <c r="B182" s="13">
        <v>11</v>
      </c>
      <c r="C182" s="12">
        <f t="shared" si="74"/>
        <v>3</v>
      </c>
      <c r="D182" s="13">
        <v>3</v>
      </c>
      <c r="E182" s="13">
        <v>0</v>
      </c>
      <c r="F182" s="12">
        <f t="shared" si="75"/>
        <v>18</v>
      </c>
      <c r="H182" s="9">
        <v>3</v>
      </c>
      <c r="I182" s="9">
        <v>18</v>
      </c>
      <c r="K182" s="9" t="s">
        <v>372</v>
      </c>
      <c r="L182" s="9">
        <v>0</v>
      </c>
      <c r="M182" s="9">
        <v>15</v>
      </c>
      <c r="R182" s="9">
        <v>66</v>
      </c>
      <c r="S182" s="86">
        <v>3</v>
      </c>
      <c r="U182" s="86">
        <f t="shared" si="76"/>
        <v>303</v>
      </c>
      <c r="V182" s="86">
        <v>180</v>
      </c>
      <c r="W182" s="86">
        <v>1</v>
      </c>
      <c r="X182" s="86">
        <v>1</v>
      </c>
      <c r="Y182" s="86">
        <v>0</v>
      </c>
      <c r="Z182" s="9">
        <v>215070001</v>
      </c>
      <c r="AA182" s="9" t="s">
        <v>597</v>
      </c>
      <c r="AB182" s="9">
        <v>18</v>
      </c>
      <c r="AD182" s="9">
        <v>84000</v>
      </c>
      <c r="AF182" s="89">
        <f t="shared" si="70"/>
        <v>16800</v>
      </c>
      <c r="AG182" s="9">
        <f t="shared" si="79"/>
        <v>30400</v>
      </c>
      <c r="AI182" s="11">
        <f t="shared" si="69"/>
        <v>90</v>
      </c>
      <c r="AJ182" s="10">
        <v>90</v>
      </c>
      <c r="AK182" s="11">
        <f t="shared" si="78"/>
        <v>1050</v>
      </c>
      <c r="AL182" s="10">
        <v>1050</v>
      </c>
      <c r="AM182" s="11">
        <f t="shared" si="78"/>
        <v>1050</v>
      </c>
      <c r="AN182" s="10">
        <v>1050</v>
      </c>
      <c r="AO182" s="56">
        <f t="shared" si="71"/>
        <v>1</v>
      </c>
      <c r="AQ182" s="11">
        <f ca="1">IFERROR(OFFSET(ITEM_RES!$A$1,MATCH(AR182,ITEM_RES!$J:$J,0)-1,0),0)</f>
        <v>215050001</v>
      </c>
      <c r="AR182" s="10" t="s">
        <v>497</v>
      </c>
      <c r="AS182" s="11">
        <v>5250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77"/>
        <v>0</v>
      </c>
    </row>
    <row r="183" spans="1:66" x14ac:dyDescent="0.3">
      <c r="A183" s="14">
        <f t="shared" si="73"/>
        <v>113030019</v>
      </c>
      <c r="B183" s="13">
        <v>11</v>
      </c>
      <c r="C183" s="12">
        <f t="shared" si="74"/>
        <v>3</v>
      </c>
      <c r="D183" s="13">
        <v>3</v>
      </c>
      <c r="E183" s="13">
        <v>0</v>
      </c>
      <c r="F183" s="12">
        <f t="shared" si="75"/>
        <v>19</v>
      </c>
      <c r="H183" s="9">
        <v>3</v>
      </c>
      <c r="I183" s="9">
        <v>19</v>
      </c>
      <c r="K183" s="9" t="s">
        <v>372</v>
      </c>
      <c r="L183" s="9">
        <v>0</v>
      </c>
      <c r="M183" s="9">
        <v>15</v>
      </c>
      <c r="R183" s="9">
        <v>66</v>
      </c>
      <c r="S183" s="86">
        <v>3</v>
      </c>
      <c r="U183" s="86">
        <f t="shared" si="76"/>
        <v>303</v>
      </c>
      <c r="V183" s="86">
        <v>190</v>
      </c>
      <c r="W183" s="86">
        <v>1</v>
      </c>
      <c r="X183" s="86">
        <v>1</v>
      </c>
      <c r="Y183" s="86">
        <v>0</v>
      </c>
      <c r="Z183" s="9">
        <v>215070001</v>
      </c>
      <c r="AA183" s="9" t="s">
        <v>597</v>
      </c>
      <c r="AB183" s="9">
        <v>19</v>
      </c>
      <c r="AD183" s="9">
        <v>100000</v>
      </c>
      <c r="AF183" s="89">
        <f t="shared" si="70"/>
        <v>20000</v>
      </c>
      <c r="AG183" s="9">
        <f t="shared" si="79"/>
        <v>36800</v>
      </c>
      <c r="AI183" s="11">
        <f t="shared" si="69"/>
        <v>95</v>
      </c>
      <c r="AJ183" s="10">
        <v>95</v>
      </c>
      <c r="AK183" s="11">
        <f t="shared" si="78"/>
        <v>1250</v>
      </c>
      <c r="AL183" s="10">
        <v>1250</v>
      </c>
      <c r="AM183" s="11">
        <f t="shared" si="78"/>
        <v>1250</v>
      </c>
      <c r="AN183" s="10">
        <v>1250</v>
      </c>
      <c r="AO183" s="56">
        <f t="shared" si="71"/>
        <v>1</v>
      </c>
      <c r="AQ183" s="11">
        <f ca="1">IFERROR(OFFSET(ITEM_RES!$A$1,MATCH(AR183,ITEM_RES!$J:$J,0)-1,0),0)</f>
        <v>215050001</v>
      </c>
      <c r="AR183" s="10" t="s">
        <v>497</v>
      </c>
      <c r="AS183" s="11">
        <v>6250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77"/>
        <v>0</v>
      </c>
    </row>
    <row r="184" spans="1:66" ht="17.25" thickBot="1" x14ac:dyDescent="0.35">
      <c r="A184" s="14">
        <f t="shared" si="73"/>
        <v>113030020</v>
      </c>
      <c r="B184" s="13">
        <v>11</v>
      </c>
      <c r="C184" s="12">
        <f t="shared" si="74"/>
        <v>3</v>
      </c>
      <c r="D184" s="13">
        <v>3</v>
      </c>
      <c r="E184" s="13">
        <v>0</v>
      </c>
      <c r="F184" s="12">
        <f t="shared" si="75"/>
        <v>20</v>
      </c>
      <c r="H184" s="9">
        <v>3</v>
      </c>
      <c r="I184" s="9">
        <v>20</v>
      </c>
      <c r="K184" s="9" t="s">
        <v>372</v>
      </c>
      <c r="L184" s="9">
        <v>0</v>
      </c>
      <c r="M184" s="9">
        <v>15</v>
      </c>
      <c r="R184" s="9">
        <v>66</v>
      </c>
      <c r="S184" s="86">
        <v>3</v>
      </c>
      <c r="U184" s="86">
        <f t="shared" si="76"/>
        <v>303</v>
      </c>
      <c r="V184" s="86">
        <v>200</v>
      </c>
      <c r="W184" s="86">
        <v>1</v>
      </c>
      <c r="X184" s="86">
        <v>1</v>
      </c>
      <c r="Y184" s="86">
        <v>0</v>
      </c>
      <c r="Z184" s="9">
        <v>215070001</v>
      </c>
      <c r="AA184" s="9" t="s">
        <v>597</v>
      </c>
      <c r="AB184" s="9">
        <v>20</v>
      </c>
      <c r="AD184" s="9">
        <v>120000</v>
      </c>
      <c r="AF184" s="89">
        <f t="shared" si="70"/>
        <v>24000</v>
      </c>
      <c r="AG184" s="9">
        <f t="shared" si="79"/>
        <v>44000</v>
      </c>
      <c r="AI184" s="11">
        <f t="shared" si="69"/>
        <v>100</v>
      </c>
      <c r="AJ184" s="10">
        <v>100</v>
      </c>
      <c r="AK184" s="11">
        <f t="shared" si="78"/>
        <v>1500</v>
      </c>
      <c r="AL184" s="10">
        <v>1500</v>
      </c>
      <c r="AM184" s="11">
        <f t="shared" si="78"/>
        <v>1500</v>
      </c>
      <c r="AN184" s="10">
        <v>1500</v>
      </c>
      <c r="AO184" s="56">
        <f t="shared" si="71"/>
        <v>1</v>
      </c>
      <c r="AQ184" s="11">
        <f ca="1">IFERROR(OFFSET(ITEM_RES!$A$1,MATCH(AR184,ITEM_RES!$J:$J,0)-1,0),0)</f>
        <v>215050001</v>
      </c>
      <c r="AR184" s="10" t="s">
        <v>497</v>
      </c>
      <c r="AS184" s="11">
        <v>7500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77"/>
        <v>0</v>
      </c>
    </row>
    <row r="185" spans="1:66" s="15" customFormat="1" x14ac:dyDescent="0.3">
      <c r="A185" s="21">
        <f t="shared" ref="A185:A204" si="80">B185*10000000+C185*1000000+D185*10000+E185*100+F185</f>
        <v>115010001</v>
      </c>
      <c r="B185" s="20">
        <v>11</v>
      </c>
      <c r="C185" s="19">
        <f t="shared" ref="C185:C204" si="81">H185</f>
        <v>5</v>
      </c>
      <c r="D185" s="20">
        <v>1</v>
      </c>
      <c r="E185" s="20">
        <v>0</v>
      </c>
      <c r="F185" s="19">
        <f t="shared" ref="F185:F204" si="82">I185</f>
        <v>1</v>
      </c>
      <c r="G185" s="80"/>
      <c r="H185" s="16">
        <v>5</v>
      </c>
      <c r="I185" s="16">
        <v>1</v>
      </c>
      <c r="J185" s="80"/>
      <c r="K185" s="64" t="s">
        <v>584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8">
        <v>4</v>
      </c>
      <c r="T185" s="80"/>
      <c r="U185" s="88">
        <f t="shared" ref="U185:U204" si="83">C185*100+D185</f>
        <v>501</v>
      </c>
      <c r="V185" s="88">
        <v>10</v>
      </c>
      <c r="W185" s="88">
        <v>1</v>
      </c>
      <c r="X185" s="88">
        <v>4</v>
      </c>
      <c r="Y185" s="88">
        <v>0</v>
      </c>
      <c r="Z185" s="16"/>
      <c r="AA185" s="16" t="s">
        <v>598</v>
      </c>
      <c r="AB185" s="16">
        <v>1</v>
      </c>
      <c r="AC185" s="80"/>
      <c r="AD185" s="16">
        <v>100</v>
      </c>
      <c r="AE185" s="80"/>
      <c r="AF185" s="91">
        <f t="shared" ref="AF185:AF204" si="84">AL185*10+AN185+AS185+AX185+500*BC185+500*BH185+500*BM185</f>
        <v>580</v>
      </c>
      <c r="AG185" s="16">
        <f>AF185</f>
        <v>580</v>
      </c>
      <c r="AH185" s="80"/>
      <c r="AI185" s="18">
        <f t="shared" ref="AI185:AI204" si="85">ROUND(AJ185,0)</f>
        <v>5</v>
      </c>
      <c r="AJ185" s="17">
        <v>5</v>
      </c>
      <c r="AK185" s="18">
        <f t="shared" ref="AK185:AK204" si="86">ROUND(AL185,0)</f>
        <v>5</v>
      </c>
      <c r="AL185" s="17">
        <v>5</v>
      </c>
      <c r="AM185" s="18">
        <f t="shared" ref="AM185:AM204" si="87">ROUND(AN185,0)</f>
        <v>5</v>
      </c>
      <c r="AN185" s="17">
        <v>5</v>
      </c>
      <c r="AO185" s="57">
        <f t="shared" ref="AO185:AO204" si="88">(AS185&gt;0)*1+(AX185&gt;0)*1+(BC185&gt;0)*1+(BH185&gt;0)*1+(BM185&gt;0)*1</f>
        <v>2</v>
      </c>
      <c r="AP185" s="18"/>
      <c r="AQ185" s="18">
        <f ca="1">IFERROR(OFFSET(ITEM_RES!$A$1,MATCH(AR185,ITEM_RES!$J:$J,0)-1,0),0)</f>
        <v>212040001</v>
      </c>
      <c r="AR185" s="17" t="s">
        <v>427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213010001</v>
      </c>
      <c r="BB185" s="17" t="s">
        <v>432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89">IF(BN185&lt;100,ROUND(BN185,1-LEN(ROUND(BN185,0))),ROUND(BN185,2-LEN(ROUND(BN185,0))))</f>
        <v>0</v>
      </c>
      <c r="BN185" s="17"/>
    </row>
    <row r="186" spans="1:66" x14ac:dyDescent="0.3">
      <c r="A186" s="14">
        <f t="shared" si="80"/>
        <v>115010002</v>
      </c>
      <c r="B186" s="13">
        <v>11</v>
      </c>
      <c r="C186" s="12">
        <f t="shared" si="81"/>
        <v>5</v>
      </c>
      <c r="D186" s="13">
        <v>1</v>
      </c>
      <c r="E186" s="13">
        <v>0</v>
      </c>
      <c r="F186" s="12">
        <f t="shared" si="82"/>
        <v>2</v>
      </c>
      <c r="H186" s="9">
        <v>5</v>
      </c>
      <c r="I186" s="9">
        <v>2</v>
      </c>
      <c r="K186" s="56" t="s">
        <v>584</v>
      </c>
      <c r="L186" s="9">
        <v>1</v>
      </c>
      <c r="M186" s="9">
        <v>15</v>
      </c>
      <c r="N186" s="85"/>
      <c r="R186" s="9">
        <v>77</v>
      </c>
      <c r="S186" s="86">
        <v>4</v>
      </c>
      <c r="U186" s="86">
        <f t="shared" si="83"/>
        <v>501</v>
      </c>
      <c r="V186" s="86">
        <v>20</v>
      </c>
      <c r="W186" s="86">
        <v>1</v>
      </c>
      <c r="X186" s="86">
        <v>4</v>
      </c>
      <c r="Y186" s="86">
        <v>0</v>
      </c>
      <c r="AA186" s="9" t="s">
        <v>598</v>
      </c>
      <c r="AB186" s="9">
        <v>2</v>
      </c>
      <c r="AD186" s="9">
        <v>200</v>
      </c>
      <c r="AF186" s="89">
        <f t="shared" si="84"/>
        <v>160</v>
      </c>
      <c r="AG186" s="9">
        <f>AF185+AF186</f>
        <v>740</v>
      </c>
      <c r="AI186" s="11">
        <f t="shared" si="85"/>
        <v>10</v>
      </c>
      <c r="AJ186" s="10">
        <v>10</v>
      </c>
      <c r="AK186" s="11">
        <f t="shared" si="86"/>
        <v>10</v>
      </c>
      <c r="AL186" s="10">
        <v>10</v>
      </c>
      <c r="AM186" s="11">
        <f t="shared" si="87"/>
        <v>10</v>
      </c>
      <c r="AN186" s="10">
        <v>10</v>
      </c>
      <c r="AO186" s="56">
        <f t="shared" si="88"/>
        <v>1</v>
      </c>
      <c r="AQ186" s="11">
        <f ca="1">IFERROR(OFFSET(ITEM_RES!$A$1,MATCH(AR186,ITEM_RES!$J:$J,0)-1,0),0)</f>
        <v>212040001</v>
      </c>
      <c r="AR186" s="10" t="s">
        <v>427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89"/>
        <v>0</v>
      </c>
    </row>
    <row r="187" spans="1:66" x14ac:dyDescent="0.3">
      <c r="A187" s="14">
        <f t="shared" si="80"/>
        <v>115010003</v>
      </c>
      <c r="B187" s="13">
        <v>11</v>
      </c>
      <c r="C187" s="12">
        <f t="shared" si="81"/>
        <v>5</v>
      </c>
      <c r="D187" s="13">
        <v>1</v>
      </c>
      <c r="E187" s="13">
        <v>0</v>
      </c>
      <c r="F187" s="12">
        <f t="shared" si="82"/>
        <v>3</v>
      </c>
      <c r="H187" s="9">
        <v>5</v>
      </c>
      <c r="I187" s="9">
        <v>3</v>
      </c>
      <c r="K187" s="56" t="s">
        <v>584</v>
      </c>
      <c r="L187" s="9">
        <v>1</v>
      </c>
      <c r="M187" s="9">
        <v>15</v>
      </c>
      <c r="R187" s="9">
        <v>77</v>
      </c>
      <c r="S187" s="86">
        <v>4</v>
      </c>
      <c r="U187" s="86">
        <f t="shared" si="83"/>
        <v>501</v>
      </c>
      <c r="V187" s="86">
        <v>30</v>
      </c>
      <c r="W187" s="86">
        <v>1</v>
      </c>
      <c r="X187" s="86">
        <v>4</v>
      </c>
      <c r="Y187" s="86">
        <v>0</v>
      </c>
      <c r="AA187" s="9" t="s">
        <v>598</v>
      </c>
      <c r="AB187" s="9">
        <v>3</v>
      </c>
      <c r="AD187" s="9">
        <v>600</v>
      </c>
      <c r="AF187" s="89">
        <f t="shared" si="84"/>
        <v>240</v>
      </c>
      <c r="AG187" s="9">
        <f t="shared" ref="AG187:AG204" si="90">AF186+AF187</f>
        <v>400</v>
      </c>
      <c r="AI187" s="11">
        <f t="shared" si="85"/>
        <v>15</v>
      </c>
      <c r="AJ187" s="10">
        <v>15</v>
      </c>
      <c r="AK187" s="11">
        <f t="shared" si="86"/>
        <v>15</v>
      </c>
      <c r="AL187" s="10">
        <v>15</v>
      </c>
      <c r="AM187" s="11">
        <f t="shared" si="87"/>
        <v>15</v>
      </c>
      <c r="AN187" s="10">
        <v>15</v>
      </c>
      <c r="AO187" s="56">
        <f t="shared" si="88"/>
        <v>1</v>
      </c>
      <c r="AQ187" s="11">
        <f ca="1">IFERROR(OFFSET(ITEM_RES!$A$1,MATCH(AR187,ITEM_RES!$J:$J,0)-1,0),0)</f>
        <v>212040001</v>
      </c>
      <c r="AR187" s="10" t="s">
        <v>427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89"/>
        <v>0</v>
      </c>
    </row>
    <row r="188" spans="1:66" x14ac:dyDescent="0.3">
      <c r="A188" s="14">
        <f t="shared" si="80"/>
        <v>115010004</v>
      </c>
      <c r="B188" s="13">
        <v>11</v>
      </c>
      <c r="C188" s="12">
        <f t="shared" si="81"/>
        <v>5</v>
      </c>
      <c r="D188" s="13">
        <v>1</v>
      </c>
      <c r="E188" s="13">
        <v>0</v>
      </c>
      <c r="F188" s="12">
        <f t="shared" si="82"/>
        <v>4</v>
      </c>
      <c r="H188" s="9">
        <v>5</v>
      </c>
      <c r="I188" s="9">
        <v>4</v>
      </c>
      <c r="K188" s="56" t="s">
        <v>584</v>
      </c>
      <c r="L188" s="9">
        <v>1</v>
      </c>
      <c r="M188" s="9">
        <v>15</v>
      </c>
      <c r="R188" s="9">
        <v>77</v>
      </c>
      <c r="S188" s="86">
        <v>4</v>
      </c>
      <c r="U188" s="86">
        <f t="shared" si="83"/>
        <v>501</v>
      </c>
      <c r="V188" s="86">
        <v>40</v>
      </c>
      <c r="W188" s="86">
        <v>1</v>
      </c>
      <c r="X188" s="86">
        <v>4</v>
      </c>
      <c r="Y188" s="86">
        <v>0</v>
      </c>
      <c r="AA188" s="9" t="s">
        <v>598</v>
      </c>
      <c r="AB188" s="9">
        <v>4</v>
      </c>
      <c r="AD188" s="9">
        <v>1000</v>
      </c>
      <c r="AF188" s="89">
        <f t="shared" si="84"/>
        <v>400</v>
      </c>
      <c r="AG188" s="9">
        <f t="shared" si="90"/>
        <v>640</v>
      </c>
      <c r="AI188" s="11">
        <f t="shared" si="85"/>
        <v>20</v>
      </c>
      <c r="AJ188" s="10">
        <v>20</v>
      </c>
      <c r="AK188" s="11">
        <f t="shared" si="86"/>
        <v>25</v>
      </c>
      <c r="AL188" s="10">
        <v>25</v>
      </c>
      <c r="AM188" s="11">
        <f t="shared" si="87"/>
        <v>25</v>
      </c>
      <c r="AN188" s="10">
        <v>25</v>
      </c>
      <c r="AO188" s="56">
        <f t="shared" si="88"/>
        <v>1</v>
      </c>
      <c r="AQ188" s="11">
        <f ca="1">IFERROR(OFFSET(ITEM_RES!$A$1,MATCH(AR188,ITEM_RES!$J:$J,0)-1,0),0)</f>
        <v>212040001</v>
      </c>
      <c r="AR188" s="10" t="s">
        <v>427</v>
      </c>
      <c r="AS188" s="11">
        <v>125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89"/>
        <v>0</v>
      </c>
    </row>
    <row r="189" spans="1:66" x14ac:dyDescent="0.3">
      <c r="A189" s="14">
        <f t="shared" si="80"/>
        <v>115010005</v>
      </c>
      <c r="B189" s="13">
        <v>11</v>
      </c>
      <c r="C189" s="12">
        <f t="shared" si="81"/>
        <v>5</v>
      </c>
      <c r="D189" s="13">
        <v>1</v>
      </c>
      <c r="E189" s="13">
        <v>0</v>
      </c>
      <c r="F189" s="12">
        <f t="shared" si="82"/>
        <v>5</v>
      </c>
      <c r="H189" s="9">
        <v>5</v>
      </c>
      <c r="I189" s="9">
        <v>5</v>
      </c>
      <c r="K189" s="56" t="s">
        <v>584</v>
      </c>
      <c r="L189" s="9">
        <v>1</v>
      </c>
      <c r="M189" s="9">
        <v>15</v>
      </c>
      <c r="R189" s="9">
        <v>77</v>
      </c>
      <c r="S189" s="86">
        <v>4</v>
      </c>
      <c r="U189" s="86">
        <f t="shared" si="83"/>
        <v>501</v>
      </c>
      <c r="V189" s="86">
        <v>50</v>
      </c>
      <c r="W189" s="86">
        <v>1</v>
      </c>
      <c r="X189" s="86">
        <v>4</v>
      </c>
      <c r="Y189" s="86">
        <v>0</v>
      </c>
      <c r="AA189" s="9" t="s">
        <v>598</v>
      </c>
      <c r="AB189" s="9">
        <v>5</v>
      </c>
      <c r="AD189" s="9">
        <v>1600</v>
      </c>
      <c r="AF189" s="89">
        <f t="shared" si="84"/>
        <v>640</v>
      </c>
      <c r="AG189" s="9">
        <f t="shared" si="90"/>
        <v>1040</v>
      </c>
      <c r="AI189" s="11">
        <f t="shared" si="85"/>
        <v>25</v>
      </c>
      <c r="AJ189" s="10">
        <v>25</v>
      </c>
      <c r="AK189" s="11">
        <f t="shared" si="86"/>
        <v>40</v>
      </c>
      <c r="AL189" s="10">
        <v>40</v>
      </c>
      <c r="AM189" s="11">
        <f t="shared" si="87"/>
        <v>40</v>
      </c>
      <c r="AN189" s="10">
        <v>40</v>
      </c>
      <c r="AO189" s="56">
        <f t="shared" si="88"/>
        <v>1</v>
      </c>
      <c r="AQ189" s="11">
        <f ca="1">IFERROR(OFFSET(ITEM_RES!$A$1,MATCH(AR189,ITEM_RES!$J:$J,0)-1,0),0)</f>
        <v>212040001</v>
      </c>
      <c r="AR189" s="10" t="s">
        <v>427</v>
      </c>
      <c r="AS189" s="11">
        <v>200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89"/>
        <v>0</v>
      </c>
    </row>
    <row r="190" spans="1:66" x14ac:dyDescent="0.3">
      <c r="A190" s="14">
        <f t="shared" si="80"/>
        <v>115010006</v>
      </c>
      <c r="B190" s="13">
        <v>11</v>
      </c>
      <c r="C190" s="12">
        <f t="shared" si="81"/>
        <v>5</v>
      </c>
      <c r="D190" s="13">
        <v>1</v>
      </c>
      <c r="E190" s="13">
        <v>0</v>
      </c>
      <c r="F190" s="12">
        <f t="shared" si="82"/>
        <v>6</v>
      </c>
      <c r="H190" s="9">
        <v>5</v>
      </c>
      <c r="I190" s="9">
        <v>6</v>
      </c>
      <c r="K190" s="56" t="s">
        <v>584</v>
      </c>
      <c r="L190" s="9">
        <v>1</v>
      </c>
      <c r="M190" s="9">
        <v>15</v>
      </c>
      <c r="R190" s="9">
        <v>77</v>
      </c>
      <c r="S190" s="86">
        <v>4</v>
      </c>
      <c r="U190" s="86">
        <f t="shared" si="83"/>
        <v>501</v>
      </c>
      <c r="V190" s="86">
        <v>60</v>
      </c>
      <c r="W190" s="86">
        <v>1</v>
      </c>
      <c r="X190" s="86">
        <v>4</v>
      </c>
      <c r="Y190" s="86">
        <v>0</v>
      </c>
      <c r="AA190" s="9" t="s">
        <v>598</v>
      </c>
      <c r="AB190" s="9">
        <v>6</v>
      </c>
      <c r="AD190" s="9">
        <v>2000</v>
      </c>
      <c r="AF190" s="89">
        <f t="shared" si="84"/>
        <v>800</v>
      </c>
      <c r="AG190" s="9">
        <f t="shared" si="90"/>
        <v>1440</v>
      </c>
      <c r="AI190" s="11">
        <f t="shared" si="85"/>
        <v>30</v>
      </c>
      <c r="AJ190" s="10">
        <v>30</v>
      </c>
      <c r="AK190" s="11">
        <f t="shared" si="86"/>
        <v>50</v>
      </c>
      <c r="AL190" s="10">
        <v>50</v>
      </c>
      <c r="AM190" s="11">
        <f t="shared" si="87"/>
        <v>50</v>
      </c>
      <c r="AN190" s="10">
        <v>50</v>
      </c>
      <c r="AO190" s="56">
        <f t="shared" si="88"/>
        <v>1</v>
      </c>
      <c r="AQ190" s="11">
        <f ca="1">IFERROR(OFFSET(ITEM_RES!$A$1,MATCH(AR190,ITEM_RES!$J:$J,0)-1,0),0)</f>
        <v>212040001</v>
      </c>
      <c r="AR190" s="10" t="s">
        <v>427</v>
      </c>
      <c r="AS190" s="11">
        <v>250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89"/>
        <v>0</v>
      </c>
    </row>
    <row r="191" spans="1:66" x14ac:dyDescent="0.3">
      <c r="A191" s="14">
        <f t="shared" si="80"/>
        <v>115010007</v>
      </c>
      <c r="B191" s="13">
        <v>11</v>
      </c>
      <c r="C191" s="12">
        <f t="shared" si="81"/>
        <v>5</v>
      </c>
      <c r="D191" s="13">
        <v>1</v>
      </c>
      <c r="E191" s="13">
        <v>0</v>
      </c>
      <c r="F191" s="12">
        <f t="shared" si="82"/>
        <v>7</v>
      </c>
      <c r="H191" s="9">
        <v>5</v>
      </c>
      <c r="I191" s="9">
        <v>7</v>
      </c>
      <c r="K191" s="56" t="s">
        <v>584</v>
      </c>
      <c r="L191" s="9">
        <v>1</v>
      </c>
      <c r="M191" s="9">
        <v>15</v>
      </c>
      <c r="R191" s="9">
        <v>77</v>
      </c>
      <c r="S191" s="86">
        <v>4</v>
      </c>
      <c r="U191" s="86">
        <f t="shared" si="83"/>
        <v>501</v>
      </c>
      <c r="V191" s="86">
        <v>70</v>
      </c>
      <c r="W191" s="86">
        <v>1</v>
      </c>
      <c r="X191" s="86">
        <v>4</v>
      </c>
      <c r="Y191" s="86">
        <v>0</v>
      </c>
      <c r="AA191" s="9" t="s">
        <v>598</v>
      </c>
      <c r="AB191" s="9">
        <v>7</v>
      </c>
      <c r="AD191" s="9">
        <v>4000</v>
      </c>
      <c r="AF191" s="89">
        <f t="shared" si="84"/>
        <v>1600</v>
      </c>
      <c r="AG191" s="9">
        <f t="shared" si="90"/>
        <v>2400</v>
      </c>
      <c r="AI191" s="11">
        <f t="shared" si="85"/>
        <v>35</v>
      </c>
      <c r="AJ191" s="10">
        <v>35</v>
      </c>
      <c r="AK191" s="11">
        <f t="shared" si="86"/>
        <v>100</v>
      </c>
      <c r="AL191" s="10">
        <v>100</v>
      </c>
      <c r="AM191" s="11">
        <f t="shared" si="87"/>
        <v>100</v>
      </c>
      <c r="AN191" s="10">
        <v>100</v>
      </c>
      <c r="AO191" s="56">
        <f t="shared" si="88"/>
        <v>1</v>
      </c>
      <c r="AQ191" s="11">
        <f ca="1">IFERROR(OFFSET(ITEM_RES!$A$1,MATCH(AR191,ITEM_RES!$J:$J,0)-1,0),0)</f>
        <v>212040001</v>
      </c>
      <c r="AR191" s="10" t="s">
        <v>427</v>
      </c>
      <c r="AS191" s="11">
        <v>500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89"/>
        <v>0</v>
      </c>
    </row>
    <row r="192" spans="1:66" x14ac:dyDescent="0.3">
      <c r="A192" s="14">
        <f t="shared" si="80"/>
        <v>115010008</v>
      </c>
      <c r="B192" s="13">
        <v>11</v>
      </c>
      <c r="C192" s="12">
        <f t="shared" si="81"/>
        <v>5</v>
      </c>
      <c r="D192" s="13">
        <v>1</v>
      </c>
      <c r="E192" s="13">
        <v>0</v>
      </c>
      <c r="F192" s="12">
        <f t="shared" si="82"/>
        <v>8</v>
      </c>
      <c r="H192" s="9">
        <v>5</v>
      </c>
      <c r="I192" s="9">
        <v>8</v>
      </c>
      <c r="K192" s="56" t="s">
        <v>584</v>
      </c>
      <c r="L192" s="9">
        <v>1</v>
      </c>
      <c r="M192" s="9">
        <v>15</v>
      </c>
      <c r="R192" s="9">
        <v>77</v>
      </c>
      <c r="S192" s="86">
        <v>4</v>
      </c>
      <c r="U192" s="86">
        <f t="shared" si="83"/>
        <v>501</v>
      </c>
      <c r="V192" s="86">
        <v>80</v>
      </c>
      <c r="W192" s="86">
        <v>1</v>
      </c>
      <c r="X192" s="86">
        <v>4</v>
      </c>
      <c r="Y192" s="86">
        <v>0</v>
      </c>
      <c r="AA192" s="9" t="s">
        <v>598</v>
      </c>
      <c r="AB192" s="9">
        <v>8</v>
      </c>
      <c r="AD192" s="9">
        <v>4000</v>
      </c>
      <c r="AF192" s="89">
        <f t="shared" si="84"/>
        <v>1600</v>
      </c>
      <c r="AG192" s="9">
        <f t="shared" si="90"/>
        <v>3200</v>
      </c>
      <c r="AI192" s="11">
        <f t="shared" si="85"/>
        <v>40</v>
      </c>
      <c r="AJ192" s="10">
        <v>40</v>
      </c>
      <c r="AK192" s="11">
        <f t="shared" si="86"/>
        <v>100</v>
      </c>
      <c r="AL192" s="10">
        <v>100</v>
      </c>
      <c r="AM192" s="11">
        <f t="shared" si="87"/>
        <v>100</v>
      </c>
      <c r="AN192" s="10">
        <v>100</v>
      </c>
      <c r="AO192" s="56">
        <f t="shared" si="88"/>
        <v>1</v>
      </c>
      <c r="AQ192" s="11">
        <f ca="1">IFERROR(OFFSET(ITEM_RES!$A$1,MATCH(AR192,ITEM_RES!$J:$J,0)-1,0),0)</f>
        <v>212040001</v>
      </c>
      <c r="AR192" s="10" t="s">
        <v>427</v>
      </c>
      <c r="AS192" s="11">
        <v>500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89"/>
        <v>0</v>
      </c>
    </row>
    <row r="193" spans="1:66" x14ac:dyDescent="0.3">
      <c r="A193" s="14">
        <f t="shared" si="80"/>
        <v>115010009</v>
      </c>
      <c r="B193" s="13">
        <v>11</v>
      </c>
      <c r="C193" s="12">
        <f t="shared" si="81"/>
        <v>5</v>
      </c>
      <c r="D193" s="13">
        <v>1</v>
      </c>
      <c r="E193" s="13">
        <v>0</v>
      </c>
      <c r="F193" s="12">
        <f t="shared" si="82"/>
        <v>9</v>
      </c>
      <c r="H193" s="9">
        <v>5</v>
      </c>
      <c r="I193" s="9">
        <v>9</v>
      </c>
      <c r="K193" s="56" t="s">
        <v>584</v>
      </c>
      <c r="L193" s="9">
        <v>1</v>
      </c>
      <c r="M193" s="9">
        <v>15</v>
      </c>
      <c r="R193" s="9">
        <v>77</v>
      </c>
      <c r="S193" s="86">
        <v>4</v>
      </c>
      <c r="U193" s="86">
        <f t="shared" si="83"/>
        <v>501</v>
      </c>
      <c r="V193" s="86">
        <v>90</v>
      </c>
      <c r="W193" s="86">
        <v>1</v>
      </c>
      <c r="X193" s="86">
        <v>4</v>
      </c>
      <c r="Y193" s="86">
        <v>0</v>
      </c>
      <c r="AA193" s="9" t="s">
        <v>598</v>
      </c>
      <c r="AB193" s="9">
        <v>9</v>
      </c>
      <c r="AD193" s="9">
        <v>6000</v>
      </c>
      <c r="AF193" s="89">
        <f t="shared" si="84"/>
        <v>2400</v>
      </c>
      <c r="AG193" s="9">
        <f t="shared" si="90"/>
        <v>4000</v>
      </c>
      <c r="AI193" s="11">
        <f t="shared" si="85"/>
        <v>45</v>
      </c>
      <c r="AJ193" s="10">
        <v>45</v>
      </c>
      <c r="AK193" s="11">
        <f t="shared" si="86"/>
        <v>150</v>
      </c>
      <c r="AL193" s="10">
        <v>150</v>
      </c>
      <c r="AM193" s="11">
        <f t="shared" si="87"/>
        <v>150</v>
      </c>
      <c r="AN193" s="10">
        <v>150</v>
      </c>
      <c r="AO193" s="56">
        <f t="shared" si="88"/>
        <v>1</v>
      </c>
      <c r="AQ193" s="11">
        <f ca="1">IFERROR(OFFSET(ITEM_RES!$A$1,MATCH(AR193,ITEM_RES!$J:$J,0)-1,0),0)</f>
        <v>212040001</v>
      </c>
      <c r="AR193" s="10" t="s">
        <v>427</v>
      </c>
      <c r="AS193" s="11">
        <v>750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89"/>
        <v>0</v>
      </c>
    </row>
    <row r="194" spans="1:66" x14ac:dyDescent="0.3">
      <c r="A194" s="14">
        <f t="shared" si="80"/>
        <v>115010010</v>
      </c>
      <c r="B194" s="13">
        <v>11</v>
      </c>
      <c r="C194" s="12">
        <f t="shared" si="81"/>
        <v>5</v>
      </c>
      <c r="D194" s="13">
        <v>1</v>
      </c>
      <c r="E194" s="13">
        <v>0</v>
      </c>
      <c r="F194" s="12">
        <f t="shared" si="82"/>
        <v>10</v>
      </c>
      <c r="H194" s="9">
        <v>5</v>
      </c>
      <c r="I194" s="9">
        <v>10</v>
      </c>
      <c r="K194" s="56" t="s">
        <v>584</v>
      </c>
      <c r="L194" s="9">
        <v>1</v>
      </c>
      <c r="M194" s="9">
        <v>15</v>
      </c>
      <c r="R194" s="9">
        <v>77</v>
      </c>
      <c r="S194" s="86">
        <v>4</v>
      </c>
      <c r="U194" s="86">
        <f t="shared" si="83"/>
        <v>501</v>
      </c>
      <c r="V194" s="86">
        <v>100</v>
      </c>
      <c r="W194" s="86">
        <v>1</v>
      </c>
      <c r="X194" s="86">
        <v>4</v>
      </c>
      <c r="Y194" s="86">
        <v>0</v>
      </c>
      <c r="AA194" s="9" t="s">
        <v>598</v>
      </c>
      <c r="AB194" s="9">
        <v>10</v>
      </c>
      <c r="AD194" s="9">
        <v>8000</v>
      </c>
      <c r="AF194" s="89">
        <f t="shared" si="84"/>
        <v>3700</v>
      </c>
      <c r="AG194" s="9">
        <f t="shared" si="90"/>
        <v>6100</v>
      </c>
      <c r="AI194" s="11">
        <f t="shared" si="85"/>
        <v>50</v>
      </c>
      <c r="AJ194" s="10">
        <v>50</v>
      </c>
      <c r="AK194" s="11">
        <f t="shared" si="86"/>
        <v>200</v>
      </c>
      <c r="AL194" s="10">
        <v>200</v>
      </c>
      <c r="AM194" s="11">
        <f t="shared" si="87"/>
        <v>200</v>
      </c>
      <c r="AN194" s="10">
        <v>200</v>
      </c>
      <c r="AO194" s="56">
        <f t="shared" si="88"/>
        <v>2</v>
      </c>
      <c r="AQ194" s="11">
        <f ca="1">IFERROR(OFFSET(ITEM_RES!$A$1,MATCH(AR194,ITEM_RES!$J:$J,0)-1,0),0)</f>
        <v>212040001</v>
      </c>
      <c r="AR194" s="10" t="s">
        <v>427</v>
      </c>
      <c r="AS194" s="11">
        <v>1000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213080001</v>
      </c>
      <c r="BG194" s="10" t="s">
        <v>520</v>
      </c>
      <c r="BH194" s="11">
        <v>1</v>
      </c>
      <c r="BK194" s="11">
        <f ca="1">IFERROR(OFFSET(ITEM_RES!$A$1,MATCH(BL194,ITEM_RES!$J:$J,0)-1,0),0)</f>
        <v>0</v>
      </c>
      <c r="BM194" s="11">
        <f t="shared" si="89"/>
        <v>0</v>
      </c>
    </row>
    <row r="195" spans="1:66" x14ac:dyDescent="0.3">
      <c r="A195" s="14">
        <f t="shared" si="80"/>
        <v>115010011</v>
      </c>
      <c r="B195" s="13">
        <v>11</v>
      </c>
      <c r="C195" s="12">
        <f t="shared" si="81"/>
        <v>5</v>
      </c>
      <c r="D195" s="13">
        <v>1</v>
      </c>
      <c r="E195" s="13">
        <v>0</v>
      </c>
      <c r="F195" s="12">
        <f t="shared" si="82"/>
        <v>11</v>
      </c>
      <c r="H195" s="9">
        <v>5</v>
      </c>
      <c r="I195" s="9">
        <v>11</v>
      </c>
      <c r="K195" s="56" t="s">
        <v>584</v>
      </c>
      <c r="L195" s="9">
        <v>1</v>
      </c>
      <c r="M195" s="9">
        <v>15</v>
      </c>
      <c r="R195" s="9">
        <v>77</v>
      </c>
      <c r="S195" s="86">
        <v>4</v>
      </c>
      <c r="U195" s="86">
        <f t="shared" si="83"/>
        <v>501</v>
      </c>
      <c r="V195" s="86">
        <v>110</v>
      </c>
      <c r="W195" s="86">
        <v>1</v>
      </c>
      <c r="X195" s="86">
        <v>4</v>
      </c>
      <c r="Y195" s="86">
        <v>0</v>
      </c>
      <c r="AA195" s="9" t="s">
        <v>598</v>
      </c>
      <c r="AB195" s="9">
        <v>11</v>
      </c>
      <c r="AD195" s="9">
        <v>10000</v>
      </c>
      <c r="AF195" s="89">
        <f t="shared" si="84"/>
        <v>4000</v>
      </c>
      <c r="AG195" s="9">
        <f t="shared" si="90"/>
        <v>7700</v>
      </c>
      <c r="AI195" s="11">
        <f t="shared" si="85"/>
        <v>55</v>
      </c>
      <c r="AJ195" s="10">
        <v>55</v>
      </c>
      <c r="AK195" s="11">
        <f t="shared" si="86"/>
        <v>250</v>
      </c>
      <c r="AL195" s="10">
        <v>250</v>
      </c>
      <c r="AM195" s="11">
        <f t="shared" si="87"/>
        <v>250</v>
      </c>
      <c r="AN195" s="10">
        <v>250</v>
      </c>
      <c r="AO195" s="56">
        <f t="shared" si="88"/>
        <v>1</v>
      </c>
      <c r="AQ195" s="11">
        <f ca="1">IFERROR(OFFSET(ITEM_RES!$A$1,MATCH(AR195,ITEM_RES!$J:$J,0)-1,0),0)</f>
        <v>212040001</v>
      </c>
      <c r="AR195" s="10" t="s">
        <v>427</v>
      </c>
      <c r="AS195" s="11">
        <v>1250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89"/>
        <v>0</v>
      </c>
    </row>
    <row r="196" spans="1:66" x14ac:dyDescent="0.3">
      <c r="A196" s="14">
        <f t="shared" si="80"/>
        <v>115010012</v>
      </c>
      <c r="B196" s="13">
        <v>11</v>
      </c>
      <c r="C196" s="12">
        <f t="shared" si="81"/>
        <v>5</v>
      </c>
      <c r="D196" s="13">
        <v>1</v>
      </c>
      <c r="E196" s="13">
        <v>0</v>
      </c>
      <c r="F196" s="12">
        <f t="shared" si="82"/>
        <v>12</v>
      </c>
      <c r="H196" s="9">
        <v>5</v>
      </c>
      <c r="I196" s="9">
        <v>12</v>
      </c>
      <c r="K196" s="56" t="s">
        <v>584</v>
      </c>
      <c r="L196" s="9">
        <v>1</v>
      </c>
      <c r="M196" s="9">
        <v>15</v>
      </c>
      <c r="R196" s="9">
        <v>77</v>
      </c>
      <c r="S196" s="86">
        <v>4</v>
      </c>
      <c r="U196" s="86">
        <f t="shared" si="83"/>
        <v>501</v>
      </c>
      <c r="V196" s="86">
        <v>120</v>
      </c>
      <c r="W196" s="86">
        <v>1</v>
      </c>
      <c r="X196" s="86">
        <v>4</v>
      </c>
      <c r="Y196" s="86">
        <v>0</v>
      </c>
      <c r="AA196" s="9" t="s">
        <v>598</v>
      </c>
      <c r="AB196" s="9">
        <v>12</v>
      </c>
      <c r="AD196" s="9">
        <v>12000</v>
      </c>
      <c r="AF196" s="89">
        <f t="shared" si="84"/>
        <v>6300</v>
      </c>
      <c r="AG196" s="9">
        <f t="shared" si="90"/>
        <v>10300</v>
      </c>
      <c r="AI196" s="11">
        <f t="shared" si="85"/>
        <v>60</v>
      </c>
      <c r="AJ196" s="10">
        <v>60</v>
      </c>
      <c r="AK196" s="11">
        <f t="shared" si="86"/>
        <v>300</v>
      </c>
      <c r="AL196" s="10">
        <v>300</v>
      </c>
      <c r="AM196" s="11">
        <f t="shared" si="87"/>
        <v>300</v>
      </c>
      <c r="AN196" s="10">
        <v>300</v>
      </c>
      <c r="AO196" s="56">
        <f t="shared" si="88"/>
        <v>2</v>
      </c>
      <c r="AQ196" s="11">
        <f ca="1">IFERROR(OFFSET(ITEM_RES!$A$1,MATCH(AR196,ITEM_RES!$J:$J,0)-1,0),0)</f>
        <v>212040001</v>
      </c>
      <c r="AR196" s="10" t="s">
        <v>427</v>
      </c>
      <c r="AS196" s="11">
        <v>1500</v>
      </c>
      <c r="AV196" s="11">
        <f ca="1">IFERROR(OFFSET(ITEM_RES!$A$1,MATCH(AW196,ITEM_RES!$J:$J,0)-1,0),0)</f>
        <v>215050001</v>
      </c>
      <c r="AW196" s="10" t="s">
        <v>428</v>
      </c>
      <c r="AX196" s="11">
        <v>1500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89"/>
        <v>0</v>
      </c>
    </row>
    <row r="197" spans="1:66" x14ac:dyDescent="0.3">
      <c r="A197" s="14">
        <f t="shared" si="80"/>
        <v>115010013</v>
      </c>
      <c r="B197" s="13">
        <v>11</v>
      </c>
      <c r="C197" s="12">
        <f t="shared" si="81"/>
        <v>5</v>
      </c>
      <c r="D197" s="13">
        <v>1</v>
      </c>
      <c r="E197" s="13">
        <v>0</v>
      </c>
      <c r="F197" s="12">
        <f t="shared" si="82"/>
        <v>13</v>
      </c>
      <c r="H197" s="9">
        <v>5</v>
      </c>
      <c r="I197" s="9">
        <v>13</v>
      </c>
      <c r="K197" s="56" t="s">
        <v>584</v>
      </c>
      <c r="L197" s="9">
        <v>1</v>
      </c>
      <c r="M197" s="9">
        <v>15</v>
      </c>
      <c r="R197" s="9">
        <v>77</v>
      </c>
      <c r="S197" s="86">
        <v>4</v>
      </c>
      <c r="U197" s="86">
        <f t="shared" si="83"/>
        <v>501</v>
      </c>
      <c r="V197" s="86">
        <v>130</v>
      </c>
      <c r="W197" s="86">
        <v>1</v>
      </c>
      <c r="X197" s="86">
        <v>4</v>
      </c>
      <c r="Y197" s="86">
        <v>0</v>
      </c>
      <c r="AA197" s="9" t="s">
        <v>598</v>
      </c>
      <c r="AB197" s="9">
        <v>13</v>
      </c>
      <c r="AD197" s="9">
        <v>14000</v>
      </c>
      <c r="AF197" s="89">
        <f t="shared" si="84"/>
        <v>7350</v>
      </c>
      <c r="AG197" s="9">
        <f t="shared" si="90"/>
        <v>13650</v>
      </c>
      <c r="AI197" s="11">
        <f t="shared" si="85"/>
        <v>65</v>
      </c>
      <c r="AJ197" s="10">
        <v>65</v>
      </c>
      <c r="AK197" s="11">
        <f t="shared" si="86"/>
        <v>350</v>
      </c>
      <c r="AL197" s="10">
        <v>350</v>
      </c>
      <c r="AM197" s="11">
        <f t="shared" si="87"/>
        <v>350</v>
      </c>
      <c r="AN197" s="10">
        <v>350</v>
      </c>
      <c r="AO197" s="56">
        <f t="shared" si="88"/>
        <v>2</v>
      </c>
      <c r="AQ197" s="11">
        <f ca="1">IFERROR(OFFSET(ITEM_RES!$A$1,MATCH(AR197,ITEM_RES!$J:$J,0)-1,0),0)</f>
        <v>212040001</v>
      </c>
      <c r="AR197" s="10" t="s">
        <v>427</v>
      </c>
      <c r="AS197" s="11">
        <v>1750</v>
      </c>
      <c r="AV197" s="11">
        <f ca="1">IFERROR(OFFSET(ITEM_RES!$A$1,MATCH(AW197,ITEM_RES!$J:$J,0)-1,0),0)</f>
        <v>215050001</v>
      </c>
      <c r="AW197" s="10" t="s">
        <v>428</v>
      </c>
      <c r="AX197" s="11">
        <v>1750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89"/>
        <v>0</v>
      </c>
    </row>
    <row r="198" spans="1:66" x14ac:dyDescent="0.3">
      <c r="A198" s="14">
        <f t="shared" si="80"/>
        <v>115010014</v>
      </c>
      <c r="B198" s="13">
        <v>11</v>
      </c>
      <c r="C198" s="12">
        <f t="shared" si="81"/>
        <v>5</v>
      </c>
      <c r="D198" s="13">
        <v>1</v>
      </c>
      <c r="E198" s="13">
        <v>0</v>
      </c>
      <c r="F198" s="12">
        <f t="shared" si="82"/>
        <v>14</v>
      </c>
      <c r="H198" s="9">
        <v>5</v>
      </c>
      <c r="I198" s="9">
        <v>14</v>
      </c>
      <c r="K198" s="56" t="s">
        <v>584</v>
      </c>
      <c r="L198" s="9">
        <v>1</v>
      </c>
      <c r="M198" s="9">
        <v>15</v>
      </c>
      <c r="R198" s="9">
        <v>77</v>
      </c>
      <c r="S198" s="86">
        <v>4</v>
      </c>
      <c r="U198" s="86">
        <f t="shared" si="83"/>
        <v>501</v>
      </c>
      <c r="V198" s="86">
        <v>140</v>
      </c>
      <c r="W198" s="86">
        <v>1</v>
      </c>
      <c r="X198" s="86">
        <v>4</v>
      </c>
      <c r="Y198" s="86">
        <v>0</v>
      </c>
      <c r="AA198" s="9" t="s">
        <v>598</v>
      </c>
      <c r="AB198" s="9">
        <v>14</v>
      </c>
      <c r="AD198" s="9">
        <v>18000</v>
      </c>
      <c r="AF198" s="89">
        <f t="shared" si="84"/>
        <v>9450</v>
      </c>
      <c r="AG198" s="9">
        <f t="shared" si="90"/>
        <v>16800</v>
      </c>
      <c r="AI198" s="11">
        <f t="shared" si="85"/>
        <v>70</v>
      </c>
      <c r="AJ198" s="10">
        <v>70</v>
      </c>
      <c r="AK198" s="11">
        <f t="shared" si="86"/>
        <v>450</v>
      </c>
      <c r="AL198" s="10">
        <v>450</v>
      </c>
      <c r="AM198" s="11">
        <f t="shared" si="87"/>
        <v>450</v>
      </c>
      <c r="AN198" s="10">
        <v>450</v>
      </c>
      <c r="AO198" s="56">
        <f t="shared" si="88"/>
        <v>2</v>
      </c>
      <c r="AQ198" s="11">
        <f ca="1">IFERROR(OFFSET(ITEM_RES!$A$1,MATCH(AR198,ITEM_RES!$J:$J,0)-1,0),0)</f>
        <v>212040001</v>
      </c>
      <c r="AR198" s="10" t="s">
        <v>427</v>
      </c>
      <c r="AS198" s="11">
        <v>2250</v>
      </c>
      <c r="AV198" s="11">
        <f ca="1">IFERROR(OFFSET(ITEM_RES!$A$1,MATCH(AW198,ITEM_RES!$J:$J,0)-1,0),0)</f>
        <v>215050001</v>
      </c>
      <c r="AW198" s="10" t="s">
        <v>428</v>
      </c>
      <c r="AX198" s="11">
        <v>2250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89"/>
        <v>0</v>
      </c>
    </row>
    <row r="199" spans="1:66" x14ac:dyDescent="0.3">
      <c r="A199" s="14">
        <f t="shared" si="80"/>
        <v>115010015</v>
      </c>
      <c r="B199" s="13">
        <v>11</v>
      </c>
      <c r="C199" s="12">
        <f t="shared" si="81"/>
        <v>5</v>
      </c>
      <c r="D199" s="13">
        <v>1</v>
      </c>
      <c r="E199" s="13">
        <v>0</v>
      </c>
      <c r="F199" s="12">
        <f t="shared" si="82"/>
        <v>15</v>
      </c>
      <c r="H199" s="9">
        <v>5</v>
      </c>
      <c r="I199" s="9">
        <v>15</v>
      </c>
      <c r="K199" s="56" t="s">
        <v>584</v>
      </c>
      <c r="L199" s="9">
        <v>1</v>
      </c>
      <c r="M199" s="9">
        <v>15</v>
      </c>
      <c r="R199" s="9">
        <v>77</v>
      </c>
      <c r="S199" s="86">
        <v>4</v>
      </c>
      <c r="U199" s="86">
        <f t="shared" si="83"/>
        <v>501</v>
      </c>
      <c r="V199" s="86">
        <v>150</v>
      </c>
      <c r="W199" s="86">
        <v>1</v>
      </c>
      <c r="X199" s="86">
        <v>4</v>
      </c>
      <c r="Y199" s="86">
        <v>0</v>
      </c>
      <c r="AA199" s="9" t="s">
        <v>598</v>
      </c>
      <c r="AB199" s="9">
        <v>15</v>
      </c>
      <c r="AD199" s="9">
        <v>22000</v>
      </c>
      <c r="AF199" s="89">
        <f t="shared" si="84"/>
        <v>11550</v>
      </c>
      <c r="AG199" s="9">
        <f t="shared" si="90"/>
        <v>21000</v>
      </c>
      <c r="AI199" s="11">
        <f t="shared" si="85"/>
        <v>75</v>
      </c>
      <c r="AJ199" s="10">
        <v>75</v>
      </c>
      <c r="AK199" s="11">
        <f t="shared" si="86"/>
        <v>550</v>
      </c>
      <c r="AL199" s="10">
        <v>550</v>
      </c>
      <c r="AM199" s="11">
        <f t="shared" si="87"/>
        <v>550</v>
      </c>
      <c r="AN199" s="10">
        <v>550</v>
      </c>
      <c r="AO199" s="56">
        <f t="shared" si="88"/>
        <v>2</v>
      </c>
      <c r="AQ199" s="11">
        <f ca="1">IFERROR(OFFSET(ITEM_RES!$A$1,MATCH(AR199,ITEM_RES!$J:$J,0)-1,0),0)</f>
        <v>212040001</v>
      </c>
      <c r="AR199" s="10" t="s">
        <v>427</v>
      </c>
      <c r="AS199" s="11">
        <v>2750</v>
      </c>
      <c r="AV199" s="11">
        <f ca="1">IFERROR(OFFSET(ITEM_RES!$A$1,MATCH(AW199,ITEM_RES!$J:$J,0)-1,0),0)</f>
        <v>215050001</v>
      </c>
      <c r="AW199" s="10" t="s">
        <v>428</v>
      </c>
      <c r="AX199" s="11">
        <v>2750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89"/>
        <v>0</v>
      </c>
    </row>
    <row r="200" spans="1:66" x14ac:dyDescent="0.3">
      <c r="A200" s="14">
        <f t="shared" si="80"/>
        <v>115010016</v>
      </c>
      <c r="B200" s="13">
        <v>11</v>
      </c>
      <c r="C200" s="12">
        <f t="shared" si="81"/>
        <v>5</v>
      </c>
      <c r="D200" s="13">
        <v>1</v>
      </c>
      <c r="E200" s="13">
        <v>0</v>
      </c>
      <c r="F200" s="12">
        <f t="shared" si="82"/>
        <v>16</v>
      </c>
      <c r="H200" s="9">
        <v>5</v>
      </c>
      <c r="I200" s="9">
        <v>16</v>
      </c>
      <c r="K200" s="56" t="s">
        <v>584</v>
      </c>
      <c r="L200" s="9">
        <v>0</v>
      </c>
      <c r="M200" s="9">
        <v>15</v>
      </c>
      <c r="R200" s="9">
        <v>77</v>
      </c>
      <c r="S200" s="86">
        <v>4</v>
      </c>
      <c r="U200" s="86">
        <f t="shared" si="83"/>
        <v>501</v>
      </c>
      <c r="V200" s="86">
        <v>160</v>
      </c>
      <c r="W200" s="86">
        <v>1</v>
      </c>
      <c r="X200" s="86">
        <v>4</v>
      </c>
      <c r="Y200" s="86">
        <v>0</v>
      </c>
      <c r="AA200" s="9" t="s">
        <v>598</v>
      </c>
      <c r="AB200" s="9">
        <v>16</v>
      </c>
      <c r="AD200" s="9">
        <v>28000</v>
      </c>
      <c r="AF200" s="89">
        <f t="shared" si="84"/>
        <v>14700</v>
      </c>
      <c r="AG200" s="9">
        <f t="shared" si="90"/>
        <v>26250</v>
      </c>
      <c r="AI200" s="11">
        <f t="shared" si="85"/>
        <v>80</v>
      </c>
      <c r="AJ200" s="10">
        <v>80</v>
      </c>
      <c r="AK200" s="11">
        <f t="shared" si="86"/>
        <v>700</v>
      </c>
      <c r="AL200" s="10">
        <v>700</v>
      </c>
      <c r="AM200" s="11">
        <f t="shared" si="87"/>
        <v>700</v>
      </c>
      <c r="AN200" s="10">
        <v>700</v>
      </c>
      <c r="AO200" s="56">
        <f t="shared" si="88"/>
        <v>2</v>
      </c>
      <c r="AQ200" s="11">
        <f ca="1">IFERROR(OFFSET(ITEM_RES!$A$1,MATCH(AR200,ITEM_RES!$J:$J,0)-1,0),0)</f>
        <v>212040001</v>
      </c>
      <c r="AR200" s="10" t="s">
        <v>427</v>
      </c>
      <c r="AS200" s="11">
        <v>3500</v>
      </c>
      <c r="AV200" s="11">
        <f ca="1">IFERROR(OFFSET(ITEM_RES!$A$1,MATCH(AW200,ITEM_RES!$J:$J,0)-1,0),0)</f>
        <v>215050001</v>
      </c>
      <c r="AW200" s="10" t="s">
        <v>428</v>
      </c>
      <c r="AX200" s="11">
        <v>3500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89"/>
        <v>0</v>
      </c>
    </row>
    <row r="201" spans="1:66" x14ac:dyDescent="0.3">
      <c r="A201" s="14">
        <f t="shared" si="80"/>
        <v>115010017</v>
      </c>
      <c r="B201" s="13">
        <v>11</v>
      </c>
      <c r="C201" s="12">
        <f t="shared" si="81"/>
        <v>5</v>
      </c>
      <c r="D201" s="13">
        <v>1</v>
      </c>
      <c r="E201" s="13">
        <v>0</v>
      </c>
      <c r="F201" s="12">
        <f t="shared" si="82"/>
        <v>17</v>
      </c>
      <c r="H201" s="9">
        <v>5</v>
      </c>
      <c r="I201" s="9">
        <v>17</v>
      </c>
      <c r="K201" s="56" t="s">
        <v>584</v>
      </c>
      <c r="L201" s="9">
        <v>0</v>
      </c>
      <c r="M201" s="9">
        <v>15</v>
      </c>
      <c r="R201" s="9">
        <v>77</v>
      </c>
      <c r="S201" s="86">
        <v>4</v>
      </c>
      <c r="U201" s="86">
        <f t="shared" si="83"/>
        <v>501</v>
      </c>
      <c r="V201" s="86">
        <v>170</v>
      </c>
      <c r="W201" s="86">
        <v>1</v>
      </c>
      <c r="X201" s="86">
        <v>4</v>
      </c>
      <c r="Y201" s="86">
        <v>0</v>
      </c>
      <c r="AA201" s="9" t="s">
        <v>598</v>
      </c>
      <c r="AB201" s="9">
        <v>17</v>
      </c>
      <c r="AD201" s="9">
        <v>34000</v>
      </c>
      <c r="AF201" s="89">
        <f t="shared" si="84"/>
        <v>17850</v>
      </c>
      <c r="AG201" s="9">
        <f t="shared" si="90"/>
        <v>32550</v>
      </c>
      <c r="AI201" s="11">
        <f t="shared" si="85"/>
        <v>85</v>
      </c>
      <c r="AJ201" s="10">
        <v>85</v>
      </c>
      <c r="AK201" s="11">
        <f t="shared" si="86"/>
        <v>850</v>
      </c>
      <c r="AL201" s="10">
        <v>850</v>
      </c>
      <c r="AM201" s="11">
        <f t="shared" si="87"/>
        <v>850</v>
      </c>
      <c r="AN201" s="10">
        <v>850</v>
      </c>
      <c r="AO201" s="56">
        <f t="shared" si="88"/>
        <v>2</v>
      </c>
      <c r="AQ201" s="11">
        <f ca="1">IFERROR(OFFSET(ITEM_RES!$A$1,MATCH(AR201,ITEM_RES!$J:$J,0)-1,0),0)</f>
        <v>212040001</v>
      </c>
      <c r="AR201" s="10" t="s">
        <v>427</v>
      </c>
      <c r="AS201" s="11">
        <v>4250</v>
      </c>
      <c r="AV201" s="11">
        <f ca="1">IFERROR(OFFSET(ITEM_RES!$A$1,MATCH(AW201,ITEM_RES!$J:$J,0)-1,0),0)</f>
        <v>215050001</v>
      </c>
      <c r="AW201" s="10" t="s">
        <v>428</v>
      </c>
      <c r="AX201" s="11">
        <v>4250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89"/>
        <v>0</v>
      </c>
    </row>
    <row r="202" spans="1:66" x14ac:dyDescent="0.3">
      <c r="A202" s="14">
        <f t="shared" si="80"/>
        <v>115010018</v>
      </c>
      <c r="B202" s="13">
        <v>11</v>
      </c>
      <c r="C202" s="12">
        <f t="shared" si="81"/>
        <v>5</v>
      </c>
      <c r="D202" s="13">
        <v>1</v>
      </c>
      <c r="E202" s="13">
        <v>0</v>
      </c>
      <c r="F202" s="12">
        <f t="shared" si="82"/>
        <v>18</v>
      </c>
      <c r="H202" s="9">
        <v>5</v>
      </c>
      <c r="I202" s="9">
        <v>18</v>
      </c>
      <c r="K202" s="56" t="s">
        <v>584</v>
      </c>
      <c r="L202" s="9">
        <v>0</v>
      </c>
      <c r="M202" s="9">
        <v>15</v>
      </c>
      <c r="R202" s="9">
        <v>77</v>
      </c>
      <c r="S202" s="86">
        <v>4</v>
      </c>
      <c r="U202" s="86">
        <f t="shared" si="83"/>
        <v>501</v>
      </c>
      <c r="V202" s="86">
        <v>180</v>
      </c>
      <c r="W202" s="86">
        <v>1</v>
      </c>
      <c r="X202" s="86">
        <v>4</v>
      </c>
      <c r="Y202" s="86">
        <v>0</v>
      </c>
      <c r="AA202" s="9" t="s">
        <v>598</v>
      </c>
      <c r="AB202" s="9">
        <v>18</v>
      </c>
      <c r="AD202" s="9">
        <v>42000</v>
      </c>
      <c r="AF202" s="89">
        <f t="shared" si="84"/>
        <v>22050</v>
      </c>
      <c r="AG202" s="9">
        <f t="shared" si="90"/>
        <v>39900</v>
      </c>
      <c r="AI202" s="11">
        <f t="shared" si="85"/>
        <v>90</v>
      </c>
      <c r="AJ202" s="10">
        <v>90</v>
      </c>
      <c r="AK202" s="11">
        <f t="shared" si="86"/>
        <v>1050</v>
      </c>
      <c r="AL202" s="10">
        <v>1050</v>
      </c>
      <c r="AM202" s="11">
        <f t="shared" si="87"/>
        <v>1050</v>
      </c>
      <c r="AN202" s="10">
        <v>1050</v>
      </c>
      <c r="AO202" s="56">
        <f t="shared" si="88"/>
        <v>2</v>
      </c>
      <c r="AQ202" s="11">
        <f ca="1">IFERROR(OFFSET(ITEM_RES!$A$1,MATCH(AR202,ITEM_RES!$J:$J,0)-1,0),0)</f>
        <v>212040001</v>
      </c>
      <c r="AR202" s="10" t="s">
        <v>427</v>
      </c>
      <c r="AS202" s="11">
        <v>5250</v>
      </c>
      <c r="AV202" s="11">
        <f ca="1">IFERROR(OFFSET(ITEM_RES!$A$1,MATCH(AW202,ITEM_RES!$J:$J,0)-1,0),0)</f>
        <v>215050001</v>
      </c>
      <c r="AW202" s="10" t="s">
        <v>428</v>
      </c>
      <c r="AX202" s="11">
        <v>5250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89"/>
        <v>0</v>
      </c>
    </row>
    <row r="203" spans="1:66" x14ac:dyDescent="0.3">
      <c r="A203" s="14">
        <f t="shared" si="80"/>
        <v>115010019</v>
      </c>
      <c r="B203" s="13">
        <v>11</v>
      </c>
      <c r="C203" s="12">
        <f t="shared" si="81"/>
        <v>5</v>
      </c>
      <c r="D203" s="13">
        <v>1</v>
      </c>
      <c r="E203" s="13">
        <v>0</v>
      </c>
      <c r="F203" s="12">
        <f t="shared" si="82"/>
        <v>19</v>
      </c>
      <c r="H203" s="9">
        <v>5</v>
      </c>
      <c r="I203" s="9">
        <v>19</v>
      </c>
      <c r="K203" s="56" t="s">
        <v>584</v>
      </c>
      <c r="L203" s="9">
        <v>0</v>
      </c>
      <c r="M203" s="9">
        <v>15</v>
      </c>
      <c r="R203" s="9">
        <v>77</v>
      </c>
      <c r="S203" s="86">
        <v>4</v>
      </c>
      <c r="U203" s="86">
        <f t="shared" si="83"/>
        <v>501</v>
      </c>
      <c r="V203" s="86">
        <v>190</v>
      </c>
      <c r="W203" s="86">
        <v>1</v>
      </c>
      <c r="X203" s="86">
        <v>4</v>
      </c>
      <c r="Y203" s="86">
        <v>0</v>
      </c>
      <c r="AA203" s="9" t="s">
        <v>598</v>
      </c>
      <c r="AB203" s="9">
        <v>19</v>
      </c>
      <c r="AD203" s="9">
        <v>50000</v>
      </c>
      <c r="AF203" s="89">
        <f t="shared" si="84"/>
        <v>26250</v>
      </c>
      <c r="AG203" s="9">
        <f t="shared" si="90"/>
        <v>48300</v>
      </c>
      <c r="AI203" s="11">
        <f t="shared" si="85"/>
        <v>95</v>
      </c>
      <c r="AJ203" s="10">
        <v>95</v>
      </c>
      <c r="AK203" s="11">
        <f t="shared" si="86"/>
        <v>1250</v>
      </c>
      <c r="AL203" s="10">
        <v>1250</v>
      </c>
      <c r="AM203" s="11">
        <f t="shared" si="87"/>
        <v>1250</v>
      </c>
      <c r="AN203" s="10">
        <v>1250</v>
      </c>
      <c r="AO203" s="56">
        <f t="shared" si="88"/>
        <v>2</v>
      </c>
      <c r="AQ203" s="11">
        <f ca="1">IFERROR(OFFSET(ITEM_RES!$A$1,MATCH(AR203,ITEM_RES!$J:$J,0)-1,0),0)</f>
        <v>215050001</v>
      </c>
      <c r="AR203" s="10" t="s">
        <v>428</v>
      </c>
      <c r="AS203" s="11">
        <v>6250</v>
      </c>
      <c r="AV203" s="11">
        <f ca="1">IFERROR(OFFSET(ITEM_RES!$A$1,MATCH(AW203,ITEM_RES!$J:$J,0)-1,0),0)</f>
        <v>215070001</v>
      </c>
      <c r="AW203" s="10" t="s">
        <v>470</v>
      </c>
      <c r="AX203" s="11">
        <v>6250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89"/>
        <v>0</v>
      </c>
    </row>
    <row r="204" spans="1:66" ht="17.25" thickBot="1" x14ac:dyDescent="0.35">
      <c r="A204" s="14">
        <f t="shared" si="80"/>
        <v>115010020</v>
      </c>
      <c r="B204" s="13">
        <v>11</v>
      </c>
      <c r="C204" s="12">
        <f t="shared" si="81"/>
        <v>5</v>
      </c>
      <c r="D204" s="13">
        <v>1</v>
      </c>
      <c r="E204" s="13">
        <v>0</v>
      </c>
      <c r="F204" s="12">
        <f t="shared" si="82"/>
        <v>20</v>
      </c>
      <c r="H204" s="9">
        <v>5</v>
      </c>
      <c r="I204" s="9">
        <v>20</v>
      </c>
      <c r="K204" s="56" t="s">
        <v>584</v>
      </c>
      <c r="L204" s="9">
        <v>0</v>
      </c>
      <c r="M204" s="9">
        <v>15</v>
      </c>
      <c r="R204" s="9">
        <v>77</v>
      </c>
      <c r="S204" s="86">
        <v>4</v>
      </c>
      <c r="U204" s="86">
        <f t="shared" si="83"/>
        <v>501</v>
      </c>
      <c r="V204" s="86">
        <v>200</v>
      </c>
      <c r="W204" s="86">
        <v>1</v>
      </c>
      <c r="X204" s="86">
        <v>4</v>
      </c>
      <c r="Y204" s="86">
        <v>0</v>
      </c>
      <c r="AA204" s="9" t="s">
        <v>598</v>
      </c>
      <c r="AB204" s="9">
        <v>20</v>
      </c>
      <c r="AD204" s="9">
        <v>60000</v>
      </c>
      <c r="AF204" s="89">
        <f t="shared" si="84"/>
        <v>31500</v>
      </c>
      <c r="AG204" s="9">
        <f t="shared" si="90"/>
        <v>57750</v>
      </c>
      <c r="AI204" s="11">
        <f t="shared" si="85"/>
        <v>100</v>
      </c>
      <c r="AJ204" s="10">
        <v>100</v>
      </c>
      <c r="AK204" s="11">
        <f t="shared" si="86"/>
        <v>1500</v>
      </c>
      <c r="AL204" s="10">
        <v>1500</v>
      </c>
      <c r="AM204" s="11">
        <f t="shared" si="87"/>
        <v>1500</v>
      </c>
      <c r="AN204" s="10">
        <v>1500</v>
      </c>
      <c r="AO204" s="56">
        <f t="shared" si="88"/>
        <v>2</v>
      </c>
      <c r="AQ204" s="11">
        <f ca="1">IFERROR(OFFSET(ITEM_RES!$A$1,MATCH(AR204,ITEM_RES!$J:$J,0)-1,0),0)</f>
        <v>215050001</v>
      </c>
      <c r="AR204" s="10" t="s">
        <v>585</v>
      </c>
      <c r="AS204" s="11">
        <v>7500</v>
      </c>
      <c r="AV204" s="11">
        <f ca="1">IFERROR(OFFSET(ITEM_RES!$A$1,MATCH(AW204,ITEM_RES!$J:$J,0)-1,0),0)</f>
        <v>215070001</v>
      </c>
      <c r="AW204" s="10" t="s">
        <v>470</v>
      </c>
      <c r="AX204" s="11">
        <v>7500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89"/>
        <v>0</v>
      </c>
    </row>
    <row r="205" spans="1:66" s="15" customFormat="1" x14ac:dyDescent="0.3">
      <c r="A205" s="21">
        <f t="shared" si="73"/>
        <v>115020001</v>
      </c>
      <c r="B205" s="20">
        <v>11</v>
      </c>
      <c r="C205" s="19">
        <f t="shared" si="74"/>
        <v>5</v>
      </c>
      <c r="D205" s="20">
        <v>2</v>
      </c>
      <c r="E205" s="20">
        <v>0</v>
      </c>
      <c r="F205" s="19">
        <f t="shared" si="75"/>
        <v>1</v>
      </c>
      <c r="G205" s="80"/>
      <c r="H205" s="16">
        <v>5</v>
      </c>
      <c r="I205" s="16">
        <v>1</v>
      </c>
      <c r="J205" s="80"/>
      <c r="K205" s="64" t="s">
        <v>394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8">
        <v>4</v>
      </c>
      <c r="T205" s="80"/>
      <c r="U205" s="88">
        <f t="shared" si="76"/>
        <v>502</v>
      </c>
      <c r="V205" s="88">
        <v>10</v>
      </c>
      <c r="W205" s="88">
        <v>1</v>
      </c>
      <c r="X205" s="88">
        <v>4</v>
      </c>
      <c r="Y205" s="88">
        <v>0</v>
      </c>
      <c r="Z205" s="16"/>
      <c r="AA205" s="16" t="s">
        <v>599</v>
      </c>
      <c r="AB205" s="16">
        <v>1</v>
      </c>
      <c r="AC205" s="80"/>
      <c r="AD205" s="16">
        <v>100</v>
      </c>
      <c r="AE205" s="80"/>
      <c r="AF205" s="91">
        <f t="shared" si="70"/>
        <v>605</v>
      </c>
      <c r="AG205" s="16">
        <f>AF205</f>
        <v>605</v>
      </c>
      <c r="AH205" s="80"/>
      <c r="AI205" s="18">
        <f t="shared" si="69"/>
        <v>5</v>
      </c>
      <c r="AJ205" s="17">
        <v>5</v>
      </c>
      <c r="AK205" s="18">
        <f t="shared" si="78"/>
        <v>5</v>
      </c>
      <c r="AL205" s="17">
        <v>5</v>
      </c>
      <c r="AM205" s="18">
        <f t="shared" si="78"/>
        <v>5</v>
      </c>
      <c r="AN205" s="17">
        <v>5</v>
      </c>
      <c r="AO205" s="57">
        <f t="shared" si="71"/>
        <v>3</v>
      </c>
      <c r="AP205" s="18"/>
      <c r="AQ205" s="18">
        <f ca="1">IFERROR(OFFSET(ITEM_RES!$A$1,MATCH(AR205,ITEM_RES!$J:$J,0)-1,0),0)</f>
        <v>212040001</v>
      </c>
      <c r="AR205" s="17" t="s">
        <v>483</v>
      </c>
      <c r="AS205" s="18">
        <v>25</v>
      </c>
      <c r="AT205" s="17"/>
      <c r="AU205" s="18"/>
      <c r="AV205" s="18">
        <f ca="1">IFERROR(OFFSET(ITEM_RES!$A$1,MATCH(AW205,ITEM_RES!$J:$J,0)-1,0),0)</f>
        <v>212010001</v>
      </c>
      <c r="AW205" s="17" t="s">
        <v>469</v>
      </c>
      <c r="AX205" s="18">
        <v>25</v>
      </c>
      <c r="AY205" s="17"/>
      <c r="AZ205" s="18"/>
      <c r="BA205" s="18">
        <f ca="1">IFERROR(OFFSET(ITEM_RES!$A$1,MATCH(BB205,ITEM_RES!$J:$J,0)-1,0),0)</f>
        <v>213010001</v>
      </c>
      <c r="BB205" s="17" t="s">
        <v>509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si="77"/>
        <v>0</v>
      </c>
      <c r="BN205" s="17"/>
    </row>
    <row r="206" spans="1:66" x14ac:dyDescent="0.3">
      <c r="A206" s="14">
        <f t="shared" si="73"/>
        <v>115020002</v>
      </c>
      <c r="B206" s="13">
        <v>11</v>
      </c>
      <c r="C206" s="12">
        <f t="shared" si="74"/>
        <v>5</v>
      </c>
      <c r="D206" s="13">
        <v>2</v>
      </c>
      <c r="E206" s="13">
        <v>0</v>
      </c>
      <c r="F206" s="12">
        <f t="shared" si="75"/>
        <v>2</v>
      </c>
      <c r="H206" s="9">
        <v>5</v>
      </c>
      <c r="I206" s="9">
        <v>2</v>
      </c>
      <c r="K206" s="56" t="s">
        <v>394</v>
      </c>
      <c r="L206" s="9">
        <v>1</v>
      </c>
      <c r="M206" s="9">
        <v>15</v>
      </c>
      <c r="N206" s="85"/>
      <c r="R206" s="9">
        <v>77</v>
      </c>
      <c r="S206" s="86">
        <v>4</v>
      </c>
      <c r="U206" s="86">
        <f t="shared" si="76"/>
        <v>502</v>
      </c>
      <c r="V206" s="86">
        <v>20</v>
      </c>
      <c r="W206" s="86">
        <v>1</v>
      </c>
      <c r="X206" s="86">
        <v>4</v>
      </c>
      <c r="Y206" s="86">
        <v>0</v>
      </c>
      <c r="AA206" s="9" t="s">
        <v>599</v>
      </c>
      <c r="AB206" s="9">
        <v>2</v>
      </c>
      <c r="AD206" s="9">
        <v>200</v>
      </c>
      <c r="AF206" s="89">
        <f t="shared" si="70"/>
        <v>210</v>
      </c>
      <c r="AG206" s="9">
        <f>AF205+AF206</f>
        <v>815</v>
      </c>
      <c r="AI206" s="11">
        <f t="shared" si="69"/>
        <v>10</v>
      </c>
      <c r="AJ206" s="10">
        <v>10</v>
      </c>
      <c r="AK206" s="11">
        <f t="shared" si="78"/>
        <v>10</v>
      </c>
      <c r="AL206" s="10">
        <v>10</v>
      </c>
      <c r="AM206" s="11">
        <f t="shared" si="78"/>
        <v>10</v>
      </c>
      <c r="AN206" s="10">
        <v>10</v>
      </c>
      <c r="AO206" s="56">
        <f t="shared" si="71"/>
        <v>2</v>
      </c>
      <c r="AQ206" s="11">
        <f ca="1">IFERROR(OFFSET(ITEM_RES!$A$1,MATCH(AR206,ITEM_RES!$J:$J,0)-1,0),0)</f>
        <v>212040001</v>
      </c>
      <c r="AR206" s="10" t="s">
        <v>483</v>
      </c>
      <c r="AS206" s="11">
        <v>50</v>
      </c>
      <c r="AV206" s="11">
        <f ca="1">IFERROR(OFFSET(ITEM_RES!$A$1,MATCH(AW206,ITEM_RES!$J:$J,0)-1,0),0)</f>
        <v>212010001</v>
      </c>
      <c r="AW206" s="10" t="s">
        <v>469</v>
      </c>
      <c r="AX206" s="11">
        <v>50</v>
      </c>
      <c r="BA206" s="11">
        <f ca="1">IFERROR(OFFSET(ITEM_RES!$A$1,MATCH(BB206,ITEM_RES!$J:$J,0)-1,0),0)</f>
        <v>0</v>
      </c>
      <c r="BF206" s="11">
        <f ca="1">IFERROR(OFFSET(ITEM_RES!$A$1,MATCH(BG206,ITEM_RES!$J:$J,0)-1,0),0)</f>
        <v>0</v>
      </c>
      <c r="BK206" s="11">
        <f ca="1">IFERROR(OFFSET(ITEM_RES!$A$1,MATCH(BL206,ITEM_RES!$J:$J,0)-1,0),0)</f>
        <v>0</v>
      </c>
      <c r="BM206" s="11">
        <f t="shared" si="77"/>
        <v>0</v>
      </c>
    </row>
    <row r="207" spans="1:66" x14ac:dyDescent="0.3">
      <c r="A207" s="14">
        <f t="shared" si="73"/>
        <v>115020003</v>
      </c>
      <c r="B207" s="13">
        <v>11</v>
      </c>
      <c r="C207" s="12">
        <f t="shared" si="74"/>
        <v>5</v>
      </c>
      <c r="D207" s="13">
        <v>2</v>
      </c>
      <c r="E207" s="13">
        <v>0</v>
      </c>
      <c r="F207" s="12">
        <f t="shared" si="75"/>
        <v>3</v>
      </c>
      <c r="H207" s="9">
        <v>5</v>
      </c>
      <c r="I207" s="9">
        <v>3</v>
      </c>
      <c r="K207" s="56" t="s">
        <v>394</v>
      </c>
      <c r="L207" s="9">
        <v>1</v>
      </c>
      <c r="M207" s="9">
        <v>15</v>
      </c>
      <c r="R207" s="9">
        <v>77</v>
      </c>
      <c r="S207" s="86">
        <v>4</v>
      </c>
      <c r="U207" s="86">
        <f t="shared" si="76"/>
        <v>502</v>
      </c>
      <c r="V207" s="86">
        <v>30</v>
      </c>
      <c r="W207" s="86">
        <v>1</v>
      </c>
      <c r="X207" s="86">
        <v>4</v>
      </c>
      <c r="Y207" s="86">
        <v>0</v>
      </c>
      <c r="AA207" s="9" t="s">
        <v>599</v>
      </c>
      <c r="AB207" s="9">
        <v>3</v>
      </c>
      <c r="AD207" s="9">
        <v>600</v>
      </c>
      <c r="AF207" s="89">
        <f t="shared" si="70"/>
        <v>315</v>
      </c>
      <c r="AG207" s="9">
        <f t="shared" ref="AG207:AG224" si="91">AF206+AF207</f>
        <v>525</v>
      </c>
      <c r="AI207" s="11">
        <f t="shared" si="69"/>
        <v>15</v>
      </c>
      <c r="AJ207" s="10">
        <v>15</v>
      </c>
      <c r="AK207" s="11">
        <f t="shared" si="78"/>
        <v>15</v>
      </c>
      <c r="AL207" s="10">
        <v>15</v>
      </c>
      <c r="AM207" s="11">
        <f t="shared" si="78"/>
        <v>15</v>
      </c>
      <c r="AN207" s="10">
        <v>15</v>
      </c>
      <c r="AO207" s="56">
        <f t="shared" si="71"/>
        <v>2</v>
      </c>
      <c r="AQ207" s="11">
        <f ca="1">IFERROR(OFFSET(ITEM_RES!$A$1,MATCH(AR207,ITEM_RES!$J:$J,0)-1,0),0)</f>
        <v>212040001</v>
      </c>
      <c r="AR207" s="10" t="s">
        <v>483</v>
      </c>
      <c r="AS207" s="11">
        <v>75</v>
      </c>
      <c r="AV207" s="11">
        <f ca="1">IFERROR(OFFSET(ITEM_RES!$A$1,MATCH(AW207,ITEM_RES!$J:$J,0)-1,0),0)</f>
        <v>212010001</v>
      </c>
      <c r="AW207" s="10" t="s">
        <v>469</v>
      </c>
      <c r="AX207" s="11">
        <v>75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7"/>
        <v>0</v>
      </c>
    </row>
    <row r="208" spans="1:66" x14ac:dyDescent="0.3">
      <c r="A208" s="14">
        <f t="shared" si="73"/>
        <v>115020004</v>
      </c>
      <c r="B208" s="13">
        <v>11</v>
      </c>
      <c r="C208" s="12">
        <f t="shared" si="74"/>
        <v>5</v>
      </c>
      <c r="D208" s="13">
        <v>2</v>
      </c>
      <c r="E208" s="13">
        <v>0</v>
      </c>
      <c r="F208" s="12">
        <f t="shared" si="75"/>
        <v>4</v>
      </c>
      <c r="H208" s="9">
        <v>5</v>
      </c>
      <c r="I208" s="9">
        <v>4</v>
      </c>
      <c r="K208" s="56" t="s">
        <v>394</v>
      </c>
      <c r="L208" s="9">
        <v>1</v>
      </c>
      <c r="M208" s="9">
        <v>15</v>
      </c>
      <c r="R208" s="9">
        <v>77</v>
      </c>
      <c r="S208" s="86">
        <v>4</v>
      </c>
      <c r="U208" s="86">
        <f t="shared" si="76"/>
        <v>502</v>
      </c>
      <c r="V208" s="86">
        <v>40</v>
      </c>
      <c r="W208" s="86">
        <v>1</v>
      </c>
      <c r="X208" s="86">
        <v>4</v>
      </c>
      <c r="Y208" s="86">
        <v>0</v>
      </c>
      <c r="AA208" s="9" t="s">
        <v>599</v>
      </c>
      <c r="AB208" s="9">
        <v>4</v>
      </c>
      <c r="AD208" s="9">
        <v>1000</v>
      </c>
      <c r="AF208" s="89">
        <f t="shared" si="70"/>
        <v>525</v>
      </c>
      <c r="AG208" s="9">
        <f t="shared" si="91"/>
        <v>840</v>
      </c>
      <c r="AI208" s="11">
        <f t="shared" si="69"/>
        <v>20</v>
      </c>
      <c r="AJ208" s="10">
        <v>20</v>
      </c>
      <c r="AK208" s="11">
        <f t="shared" si="78"/>
        <v>25</v>
      </c>
      <c r="AL208" s="10">
        <v>25</v>
      </c>
      <c r="AM208" s="11">
        <f t="shared" si="78"/>
        <v>25</v>
      </c>
      <c r="AN208" s="10">
        <v>25</v>
      </c>
      <c r="AO208" s="56">
        <f t="shared" si="71"/>
        <v>2</v>
      </c>
      <c r="AQ208" s="11">
        <f ca="1">IFERROR(OFFSET(ITEM_RES!$A$1,MATCH(AR208,ITEM_RES!$J:$J,0)-1,0),0)</f>
        <v>212040001</v>
      </c>
      <c r="AR208" s="10" t="s">
        <v>483</v>
      </c>
      <c r="AS208" s="11">
        <v>125</v>
      </c>
      <c r="AV208" s="11">
        <f ca="1">IFERROR(OFFSET(ITEM_RES!$A$1,MATCH(AW208,ITEM_RES!$J:$J,0)-1,0),0)</f>
        <v>212010001</v>
      </c>
      <c r="AW208" s="10" t="s">
        <v>469</v>
      </c>
      <c r="AX208" s="11">
        <v>125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7"/>
        <v>0</v>
      </c>
    </row>
    <row r="209" spans="1:65" x14ac:dyDescent="0.3">
      <c r="A209" s="14">
        <f t="shared" si="73"/>
        <v>115020005</v>
      </c>
      <c r="B209" s="13">
        <v>11</v>
      </c>
      <c r="C209" s="12">
        <f t="shared" si="74"/>
        <v>5</v>
      </c>
      <c r="D209" s="13">
        <v>2</v>
      </c>
      <c r="E209" s="13">
        <v>0</v>
      </c>
      <c r="F209" s="12">
        <f t="shared" si="75"/>
        <v>5</v>
      </c>
      <c r="H209" s="9">
        <v>5</v>
      </c>
      <c r="I209" s="9">
        <v>5</v>
      </c>
      <c r="K209" s="56" t="s">
        <v>394</v>
      </c>
      <c r="L209" s="9">
        <v>1</v>
      </c>
      <c r="M209" s="9">
        <v>15</v>
      </c>
      <c r="R209" s="9">
        <v>77</v>
      </c>
      <c r="S209" s="86">
        <v>4</v>
      </c>
      <c r="U209" s="86">
        <f t="shared" si="76"/>
        <v>502</v>
      </c>
      <c r="V209" s="86">
        <v>50</v>
      </c>
      <c r="W209" s="86">
        <v>1</v>
      </c>
      <c r="X209" s="86">
        <v>4</v>
      </c>
      <c r="Y209" s="86">
        <v>0</v>
      </c>
      <c r="AA209" s="9" t="s">
        <v>599</v>
      </c>
      <c r="AB209" s="9">
        <v>5</v>
      </c>
      <c r="AD209" s="9">
        <v>1600</v>
      </c>
      <c r="AF209" s="89">
        <f t="shared" si="70"/>
        <v>840</v>
      </c>
      <c r="AG209" s="9">
        <f t="shared" si="91"/>
        <v>1365</v>
      </c>
      <c r="AI209" s="11">
        <f t="shared" si="69"/>
        <v>25</v>
      </c>
      <c r="AJ209" s="10">
        <v>25</v>
      </c>
      <c r="AK209" s="11">
        <f t="shared" si="78"/>
        <v>40</v>
      </c>
      <c r="AL209" s="10">
        <v>40</v>
      </c>
      <c r="AM209" s="11">
        <f t="shared" si="78"/>
        <v>40</v>
      </c>
      <c r="AN209" s="10">
        <v>40</v>
      </c>
      <c r="AO209" s="56">
        <f t="shared" si="71"/>
        <v>2</v>
      </c>
      <c r="AQ209" s="11">
        <f ca="1">IFERROR(OFFSET(ITEM_RES!$A$1,MATCH(AR209,ITEM_RES!$J:$J,0)-1,0),0)</f>
        <v>212040001</v>
      </c>
      <c r="AR209" s="10" t="s">
        <v>483</v>
      </c>
      <c r="AS209" s="11">
        <v>200</v>
      </c>
      <c r="AV209" s="11">
        <f ca="1">IFERROR(OFFSET(ITEM_RES!$A$1,MATCH(AW209,ITEM_RES!$J:$J,0)-1,0),0)</f>
        <v>212010001</v>
      </c>
      <c r="AW209" s="10" t="s">
        <v>469</v>
      </c>
      <c r="AX209" s="11">
        <v>200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7"/>
        <v>0</v>
      </c>
    </row>
    <row r="210" spans="1:65" x14ac:dyDescent="0.3">
      <c r="A210" s="14">
        <f t="shared" si="73"/>
        <v>115020006</v>
      </c>
      <c r="B210" s="13">
        <v>11</v>
      </c>
      <c r="C210" s="12">
        <f t="shared" si="74"/>
        <v>5</v>
      </c>
      <c r="D210" s="13">
        <v>2</v>
      </c>
      <c r="E210" s="13">
        <v>0</v>
      </c>
      <c r="F210" s="12">
        <f t="shared" si="75"/>
        <v>6</v>
      </c>
      <c r="H210" s="9">
        <v>5</v>
      </c>
      <c r="I210" s="9">
        <v>6</v>
      </c>
      <c r="K210" s="56" t="s">
        <v>394</v>
      </c>
      <c r="L210" s="9">
        <v>1</v>
      </c>
      <c r="M210" s="9">
        <v>15</v>
      </c>
      <c r="R210" s="9">
        <v>77</v>
      </c>
      <c r="S210" s="86">
        <v>4</v>
      </c>
      <c r="U210" s="86">
        <f t="shared" si="76"/>
        <v>502</v>
      </c>
      <c r="V210" s="86">
        <v>60</v>
      </c>
      <c r="W210" s="86">
        <v>1</v>
      </c>
      <c r="X210" s="86">
        <v>4</v>
      </c>
      <c r="Y210" s="86">
        <v>0</v>
      </c>
      <c r="AA210" s="9" t="s">
        <v>599</v>
      </c>
      <c r="AB210" s="9">
        <v>6</v>
      </c>
      <c r="AD210" s="9">
        <v>2000</v>
      </c>
      <c r="AF210" s="89">
        <f t="shared" si="70"/>
        <v>1050</v>
      </c>
      <c r="AG210" s="9">
        <f t="shared" si="91"/>
        <v>1890</v>
      </c>
      <c r="AI210" s="11">
        <f t="shared" si="69"/>
        <v>30</v>
      </c>
      <c r="AJ210" s="10">
        <v>30</v>
      </c>
      <c r="AK210" s="11">
        <f t="shared" si="78"/>
        <v>50</v>
      </c>
      <c r="AL210" s="10">
        <v>50</v>
      </c>
      <c r="AM210" s="11">
        <f t="shared" si="78"/>
        <v>50</v>
      </c>
      <c r="AN210" s="10">
        <v>50</v>
      </c>
      <c r="AO210" s="56">
        <f t="shared" si="71"/>
        <v>2</v>
      </c>
      <c r="AQ210" s="11">
        <f ca="1">IFERROR(OFFSET(ITEM_RES!$A$1,MATCH(AR210,ITEM_RES!$J:$J,0)-1,0),0)</f>
        <v>212040001</v>
      </c>
      <c r="AR210" s="10" t="s">
        <v>483</v>
      </c>
      <c r="AS210" s="11">
        <v>250</v>
      </c>
      <c r="AV210" s="11">
        <f ca="1">IFERROR(OFFSET(ITEM_RES!$A$1,MATCH(AW210,ITEM_RES!$J:$J,0)-1,0),0)</f>
        <v>212010001</v>
      </c>
      <c r="AW210" s="10" t="s">
        <v>469</v>
      </c>
      <c r="AX210" s="11">
        <v>250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7"/>
        <v>0</v>
      </c>
    </row>
    <row r="211" spans="1:65" x14ac:dyDescent="0.3">
      <c r="A211" s="14">
        <f t="shared" si="73"/>
        <v>115020007</v>
      </c>
      <c r="B211" s="13">
        <v>11</v>
      </c>
      <c r="C211" s="12">
        <f t="shared" si="74"/>
        <v>5</v>
      </c>
      <c r="D211" s="13">
        <v>2</v>
      </c>
      <c r="E211" s="13">
        <v>0</v>
      </c>
      <c r="F211" s="12">
        <f t="shared" si="75"/>
        <v>7</v>
      </c>
      <c r="H211" s="9">
        <v>5</v>
      </c>
      <c r="I211" s="9">
        <v>7</v>
      </c>
      <c r="K211" s="56" t="s">
        <v>394</v>
      </c>
      <c r="L211" s="9">
        <v>1</v>
      </c>
      <c r="M211" s="9">
        <v>15</v>
      </c>
      <c r="R211" s="9">
        <v>77</v>
      </c>
      <c r="S211" s="86">
        <v>4</v>
      </c>
      <c r="U211" s="86">
        <f t="shared" si="76"/>
        <v>502</v>
      </c>
      <c r="V211" s="86">
        <v>70</v>
      </c>
      <c r="W211" s="86">
        <v>1</v>
      </c>
      <c r="X211" s="86">
        <v>4</v>
      </c>
      <c r="Y211" s="86">
        <v>0</v>
      </c>
      <c r="AA211" s="9" t="s">
        <v>599</v>
      </c>
      <c r="AB211" s="9">
        <v>7</v>
      </c>
      <c r="AD211" s="9">
        <v>4000</v>
      </c>
      <c r="AF211" s="89">
        <f t="shared" si="70"/>
        <v>2100</v>
      </c>
      <c r="AG211" s="9">
        <f t="shared" si="91"/>
        <v>3150</v>
      </c>
      <c r="AI211" s="11">
        <f t="shared" si="69"/>
        <v>35</v>
      </c>
      <c r="AJ211" s="10">
        <v>35</v>
      </c>
      <c r="AK211" s="11">
        <f t="shared" si="78"/>
        <v>100</v>
      </c>
      <c r="AL211" s="10">
        <v>100</v>
      </c>
      <c r="AM211" s="11">
        <f t="shared" si="78"/>
        <v>100</v>
      </c>
      <c r="AN211" s="10">
        <v>100</v>
      </c>
      <c r="AO211" s="56">
        <f t="shared" si="71"/>
        <v>2</v>
      </c>
      <c r="AQ211" s="11">
        <f ca="1">IFERROR(OFFSET(ITEM_RES!$A$1,MATCH(AR211,ITEM_RES!$J:$J,0)-1,0),0)</f>
        <v>212040001</v>
      </c>
      <c r="AR211" s="10" t="s">
        <v>483</v>
      </c>
      <c r="AS211" s="11">
        <v>500</v>
      </c>
      <c r="AV211" s="11">
        <f ca="1">IFERROR(OFFSET(ITEM_RES!$A$1,MATCH(AW211,ITEM_RES!$J:$J,0)-1,0),0)</f>
        <v>212010001</v>
      </c>
      <c r="AW211" s="10" t="s">
        <v>469</v>
      </c>
      <c r="AX211" s="11">
        <v>500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7"/>
        <v>0</v>
      </c>
    </row>
    <row r="212" spans="1:65" x14ac:dyDescent="0.3">
      <c r="A212" s="14">
        <f t="shared" si="73"/>
        <v>115020008</v>
      </c>
      <c r="B212" s="13">
        <v>11</v>
      </c>
      <c r="C212" s="12">
        <f t="shared" si="74"/>
        <v>5</v>
      </c>
      <c r="D212" s="13">
        <v>2</v>
      </c>
      <c r="E212" s="13">
        <v>0</v>
      </c>
      <c r="F212" s="12">
        <f t="shared" si="75"/>
        <v>8</v>
      </c>
      <c r="H212" s="9">
        <v>5</v>
      </c>
      <c r="I212" s="9">
        <v>8</v>
      </c>
      <c r="K212" s="56" t="s">
        <v>394</v>
      </c>
      <c r="L212" s="9">
        <v>1</v>
      </c>
      <c r="M212" s="9">
        <v>15</v>
      </c>
      <c r="R212" s="9">
        <v>77</v>
      </c>
      <c r="S212" s="86">
        <v>4</v>
      </c>
      <c r="U212" s="86">
        <f t="shared" si="76"/>
        <v>502</v>
      </c>
      <c r="V212" s="86">
        <v>80</v>
      </c>
      <c r="W212" s="86">
        <v>1</v>
      </c>
      <c r="X212" s="86">
        <v>4</v>
      </c>
      <c r="Y212" s="86">
        <v>0</v>
      </c>
      <c r="AA212" s="9" t="s">
        <v>599</v>
      </c>
      <c r="AB212" s="9">
        <v>8</v>
      </c>
      <c r="AD212" s="9">
        <v>4000</v>
      </c>
      <c r="AF212" s="89">
        <f t="shared" si="70"/>
        <v>2100</v>
      </c>
      <c r="AG212" s="9">
        <f t="shared" si="91"/>
        <v>4200</v>
      </c>
      <c r="AI212" s="11">
        <f t="shared" si="69"/>
        <v>40</v>
      </c>
      <c r="AJ212" s="10">
        <v>40</v>
      </c>
      <c r="AK212" s="11">
        <f t="shared" si="78"/>
        <v>100</v>
      </c>
      <c r="AL212" s="10">
        <v>100</v>
      </c>
      <c r="AM212" s="11">
        <f t="shared" si="78"/>
        <v>100</v>
      </c>
      <c r="AN212" s="10">
        <v>100</v>
      </c>
      <c r="AO212" s="56">
        <f t="shared" si="71"/>
        <v>2</v>
      </c>
      <c r="AQ212" s="11">
        <f ca="1">IFERROR(OFFSET(ITEM_RES!$A$1,MATCH(AR212,ITEM_RES!$J:$J,0)-1,0),0)</f>
        <v>212040001</v>
      </c>
      <c r="AR212" s="10" t="s">
        <v>483</v>
      </c>
      <c r="AS212" s="11">
        <v>500</v>
      </c>
      <c r="AV212" s="11">
        <f ca="1">IFERROR(OFFSET(ITEM_RES!$A$1,MATCH(AW212,ITEM_RES!$J:$J,0)-1,0),0)</f>
        <v>212010001</v>
      </c>
      <c r="AW212" s="10" t="s">
        <v>469</v>
      </c>
      <c r="AX212" s="11">
        <v>500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7"/>
        <v>0</v>
      </c>
    </row>
    <row r="213" spans="1:65" x14ac:dyDescent="0.3">
      <c r="A213" s="14">
        <f t="shared" si="73"/>
        <v>115020009</v>
      </c>
      <c r="B213" s="13">
        <v>11</v>
      </c>
      <c r="C213" s="12">
        <f t="shared" si="74"/>
        <v>5</v>
      </c>
      <c r="D213" s="13">
        <v>2</v>
      </c>
      <c r="E213" s="13">
        <v>0</v>
      </c>
      <c r="F213" s="12">
        <f t="shared" si="75"/>
        <v>9</v>
      </c>
      <c r="H213" s="9">
        <v>5</v>
      </c>
      <c r="I213" s="9">
        <v>9</v>
      </c>
      <c r="K213" s="56" t="s">
        <v>394</v>
      </c>
      <c r="L213" s="9">
        <v>1</v>
      </c>
      <c r="M213" s="9">
        <v>15</v>
      </c>
      <c r="R213" s="9">
        <v>77</v>
      </c>
      <c r="S213" s="86">
        <v>4</v>
      </c>
      <c r="U213" s="86">
        <f t="shared" si="76"/>
        <v>502</v>
      </c>
      <c r="V213" s="86">
        <v>90</v>
      </c>
      <c r="W213" s="86">
        <v>1</v>
      </c>
      <c r="X213" s="86">
        <v>4</v>
      </c>
      <c r="Y213" s="86">
        <v>0</v>
      </c>
      <c r="AA213" s="9" t="s">
        <v>599</v>
      </c>
      <c r="AB213" s="9">
        <v>9</v>
      </c>
      <c r="AD213" s="9">
        <v>6000</v>
      </c>
      <c r="AF213" s="89">
        <f t="shared" si="70"/>
        <v>3150</v>
      </c>
      <c r="AG213" s="9">
        <f t="shared" si="91"/>
        <v>5250</v>
      </c>
      <c r="AI213" s="11">
        <f t="shared" si="69"/>
        <v>45</v>
      </c>
      <c r="AJ213" s="10">
        <v>45</v>
      </c>
      <c r="AK213" s="11">
        <f t="shared" si="78"/>
        <v>150</v>
      </c>
      <c r="AL213" s="10">
        <v>150</v>
      </c>
      <c r="AM213" s="11">
        <f t="shared" si="78"/>
        <v>150</v>
      </c>
      <c r="AN213" s="10">
        <v>150</v>
      </c>
      <c r="AO213" s="56">
        <f t="shared" si="71"/>
        <v>2</v>
      </c>
      <c r="AQ213" s="11">
        <f ca="1">IFERROR(OFFSET(ITEM_RES!$A$1,MATCH(AR213,ITEM_RES!$J:$J,0)-1,0),0)</f>
        <v>212040001</v>
      </c>
      <c r="AR213" s="10" t="s">
        <v>483</v>
      </c>
      <c r="AS213" s="11">
        <v>750</v>
      </c>
      <c r="AV213" s="11">
        <f ca="1">IFERROR(OFFSET(ITEM_RES!$A$1,MATCH(AW213,ITEM_RES!$J:$J,0)-1,0),0)</f>
        <v>212010001</v>
      </c>
      <c r="AW213" s="10" t="s">
        <v>469</v>
      </c>
      <c r="AX213" s="11">
        <v>750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7"/>
        <v>0</v>
      </c>
    </row>
    <row r="214" spans="1:65" x14ac:dyDescent="0.3">
      <c r="A214" s="14">
        <f t="shared" si="73"/>
        <v>115020010</v>
      </c>
      <c r="B214" s="13">
        <v>11</v>
      </c>
      <c r="C214" s="12">
        <f t="shared" si="74"/>
        <v>5</v>
      </c>
      <c r="D214" s="13">
        <v>2</v>
      </c>
      <c r="E214" s="13">
        <v>0</v>
      </c>
      <c r="F214" s="12">
        <f t="shared" si="75"/>
        <v>10</v>
      </c>
      <c r="H214" s="9">
        <v>5</v>
      </c>
      <c r="I214" s="9">
        <v>10</v>
      </c>
      <c r="K214" s="56" t="s">
        <v>394</v>
      </c>
      <c r="L214" s="9">
        <v>1</v>
      </c>
      <c r="M214" s="9">
        <v>15</v>
      </c>
      <c r="R214" s="9">
        <v>77</v>
      </c>
      <c r="S214" s="86">
        <v>4</v>
      </c>
      <c r="U214" s="86">
        <f t="shared" si="76"/>
        <v>502</v>
      </c>
      <c r="V214" s="86">
        <v>100</v>
      </c>
      <c r="W214" s="86">
        <v>1</v>
      </c>
      <c r="X214" s="86">
        <v>4</v>
      </c>
      <c r="Y214" s="86">
        <v>0</v>
      </c>
      <c r="AA214" s="9" t="s">
        <v>599</v>
      </c>
      <c r="AB214" s="9">
        <v>10</v>
      </c>
      <c r="AD214" s="9">
        <v>8000</v>
      </c>
      <c r="AF214" s="89">
        <f t="shared" si="70"/>
        <v>4700</v>
      </c>
      <c r="AG214" s="9">
        <f t="shared" si="91"/>
        <v>7850</v>
      </c>
      <c r="AI214" s="11">
        <f t="shared" si="69"/>
        <v>50</v>
      </c>
      <c r="AJ214" s="10">
        <v>50</v>
      </c>
      <c r="AK214" s="11">
        <f t="shared" si="78"/>
        <v>200</v>
      </c>
      <c r="AL214" s="10">
        <v>200</v>
      </c>
      <c r="AM214" s="11">
        <f t="shared" si="78"/>
        <v>200</v>
      </c>
      <c r="AN214" s="10">
        <v>200</v>
      </c>
      <c r="AO214" s="56">
        <f t="shared" si="71"/>
        <v>3</v>
      </c>
      <c r="AQ214" s="11">
        <f ca="1">IFERROR(OFFSET(ITEM_RES!$A$1,MATCH(AR214,ITEM_RES!$J:$J,0)-1,0),0)</f>
        <v>212040001</v>
      </c>
      <c r="AR214" s="10" t="s">
        <v>483</v>
      </c>
      <c r="AS214" s="11">
        <v>1000</v>
      </c>
      <c r="AV214" s="11">
        <f ca="1">IFERROR(OFFSET(ITEM_RES!$A$1,MATCH(AW214,ITEM_RES!$J:$J,0)-1,0),0)</f>
        <v>212010001</v>
      </c>
      <c r="AW214" s="10" t="s">
        <v>469</v>
      </c>
      <c r="AX214" s="11">
        <v>1000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213090001</v>
      </c>
      <c r="BG214" s="10" t="s">
        <v>586</v>
      </c>
      <c r="BH214" s="11">
        <v>1</v>
      </c>
      <c r="BK214" s="11">
        <f ca="1">IFERROR(OFFSET(ITEM_RES!$A$1,MATCH(BL214,ITEM_RES!$J:$J,0)-1,0),0)</f>
        <v>0</v>
      </c>
      <c r="BM214" s="11">
        <f t="shared" si="77"/>
        <v>0</v>
      </c>
    </row>
    <row r="215" spans="1:65" x14ac:dyDescent="0.3">
      <c r="A215" s="14">
        <f t="shared" si="73"/>
        <v>115020011</v>
      </c>
      <c r="B215" s="13">
        <v>11</v>
      </c>
      <c r="C215" s="12">
        <f t="shared" si="74"/>
        <v>5</v>
      </c>
      <c r="D215" s="13">
        <v>2</v>
      </c>
      <c r="E215" s="13">
        <v>0</v>
      </c>
      <c r="F215" s="12">
        <f t="shared" si="75"/>
        <v>11</v>
      </c>
      <c r="H215" s="9">
        <v>5</v>
      </c>
      <c r="I215" s="9">
        <v>11</v>
      </c>
      <c r="K215" s="56" t="s">
        <v>394</v>
      </c>
      <c r="L215" s="9">
        <v>1</v>
      </c>
      <c r="M215" s="9">
        <v>15</v>
      </c>
      <c r="R215" s="9">
        <v>77</v>
      </c>
      <c r="S215" s="86">
        <v>4</v>
      </c>
      <c r="U215" s="86">
        <f t="shared" si="76"/>
        <v>502</v>
      </c>
      <c r="V215" s="86">
        <v>110</v>
      </c>
      <c r="W215" s="86">
        <v>1</v>
      </c>
      <c r="X215" s="86">
        <v>4</v>
      </c>
      <c r="Y215" s="86">
        <v>0</v>
      </c>
      <c r="AA215" s="9" t="s">
        <v>599</v>
      </c>
      <c r="AB215" s="9">
        <v>11</v>
      </c>
      <c r="AD215" s="9">
        <v>10000</v>
      </c>
      <c r="AF215" s="89">
        <f t="shared" si="70"/>
        <v>5250</v>
      </c>
      <c r="AG215" s="9">
        <f t="shared" si="91"/>
        <v>9950</v>
      </c>
      <c r="AI215" s="11">
        <f t="shared" si="69"/>
        <v>55</v>
      </c>
      <c r="AJ215" s="10">
        <v>55</v>
      </c>
      <c r="AK215" s="11">
        <f t="shared" si="78"/>
        <v>250</v>
      </c>
      <c r="AL215" s="10">
        <v>250</v>
      </c>
      <c r="AM215" s="11">
        <f t="shared" si="78"/>
        <v>250</v>
      </c>
      <c r="AN215" s="10">
        <v>250</v>
      </c>
      <c r="AO215" s="56">
        <f t="shared" si="71"/>
        <v>2</v>
      </c>
      <c r="AQ215" s="11">
        <f ca="1">IFERROR(OFFSET(ITEM_RES!$A$1,MATCH(AR215,ITEM_RES!$J:$J,0)-1,0),0)</f>
        <v>215050001</v>
      </c>
      <c r="AR215" s="10" t="s">
        <v>498</v>
      </c>
      <c r="AS215" s="11">
        <v>1250</v>
      </c>
      <c r="AV215" s="11">
        <f ca="1">IFERROR(OFFSET(ITEM_RES!$A$1,MATCH(AW215,ITEM_RES!$J:$J,0)-1,0),0)</f>
        <v>212010001</v>
      </c>
      <c r="AW215" s="10" t="s">
        <v>469</v>
      </c>
      <c r="AX215" s="11">
        <v>1250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7"/>
        <v>0</v>
      </c>
    </row>
    <row r="216" spans="1:65" x14ac:dyDescent="0.3">
      <c r="A216" s="14">
        <f t="shared" si="73"/>
        <v>115020012</v>
      </c>
      <c r="B216" s="13">
        <v>11</v>
      </c>
      <c r="C216" s="12">
        <f t="shared" si="74"/>
        <v>5</v>
      </c>
      <c r="D216" s="13">
        <v>2</v>
      </c>
      <c r="E216" s="13">
        <v>0</v>
      </c>
      <c r="F216" s="12">
        <f t="shared" si="75"/>
        <v>12</v>
      </c>
      <c r="H216" s="9">
        <v>5</v>
      </c>
      <c r="I216" s="9">
        <v>12</v>
      </c>
      <c r="K216" s="56" t="s">
        <v>394</v>
      </c>
      <c r="L216" s="9">
        <v>1</v>
      </c>
      <c r="M216" s="9">
        <v>15</v>
      </c>
      <c r="R216" s="9">
        <v>77</v>
      </c>
      <c r="S216" s="86">
        <v>4</v>
      </c>
      <c r="U216" s="86">
        <f t="shared" si="76"/>
        <v>502</v>
      </c>
      <c r="V216" s="86">
        <v>120</v>
      </c>
      <c r="W216" s="86">
        <v>1</v>
      </c>
      <c r="X216" s="86">
        <v>4</v>
      </c>
      <c r="Y216" s="86">
        <v>0</v>
      </c>
      <c r="AA216" s="9" t="s">
        <v>599</v>
      </c>
      <c r="AB216" s="9">
        <v>12</v>
      </c>
      <c r="AD216" s="9">
        <v>12000</v>
      </c>
      <c r="AF216" s="89">
        <f t="shared" si="70"/>
        <v>6300</v>
      </c>
      <c r="AG216" s="9">
        <f t="shared" si="91"/>
        <v>11550</v>
      </c>
      <c r="AI216" s="11">
        <f t="shared" si="69"/>
        <v>60</v>
      </c>
      <c r="AJ216" s="10">
        <v>60</v>
      </c>
      <c r="AK216" s="11">
        <f t="shared" si="78"/>
        <v>300</v>
      </c>
      <c r="AL216" s="10">
        <v>300</v>
      </c>
      <c r="AM216" s="11">
        <f t="shared" si="78"/>
        <v>300</v>
      </c>
      <c r="AN216" s="10">
        <v>300</v>
      </c>
      <c r="AO216" s="56">
        <f t="shared" si="71"/>
        <v>2</v>
      </c>
      <c r="AQ216" s="11">
        <f ca="1">IFERROR(OFFSET(ITEM_RES!$A$1,MATCH(AR216,ITEM_RES!$J:$J,0)-1,0),0)</f>
        <v>215050001</v>
      </c>
      <c r="AR216" s="10" t="s">
        <v>498</v>
      </c>
      <c r="AS216" s="11">
        <v>1500</v>
      </c>
      <c r="AV216" s="11">
        <f ca="1">IFERROR(OFFSET(ITEM_RES!$A$1,MATCH(AW216,ITEM_RES!$J:$J,0)-1,0),0)</f>
        <v>212010001</v>
      </c>
      <c r="AW216" s="10" t="s">
        <v>469</v>
      </c>
      <c r="AX216" s="11">
        <v>1500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7"/>
        <v>0</v>
      </c>
    </row>
    <row r="217" spans="1:65" x14ac:dyDescent="0.3">
      <c r="A217" s="14">
        <f t="shared" si="73"/>
        <v>115020013</v>
      </c>
      <c r="B217" s="13">
        <v>11</v>
      </c>
      <c r="C217" s="12">
        <f t="shared" si="74"/>
        <v>5</v>
      </c>
      <c r="D217" s="13">
        <v>2</v>
      </c>
      <c r="E217" s="13">
        <v>0</v>
      </c>
      <c r="F217" s="12">
        <f t="shared" si="75"/>
        <v>13</v>
      </c>
      <c r="H217" s="9">
        <v>5</v>
      </c>
      <c r="I217" s="9">
        <v>13</v>
      </c>
      <c r="K217" s="56" t="s">
        <v>394</v>
      </c>
      <c r="L217" s="9">
        <v>1</v>
      </c>
      <c r="M217" s="9">
        <v>15</v>
      </c>
      <c r="R217" s="9">
        <v>77</v>
      </c>
      <c r="S217" s="86">
        <v>4</v>
      </c>
      <c r="U217" s="86">
        <f t="shared" si="76"/>
        <v>502</v>
      </c>
      <c r="V217" s="86">
        <v>130</v>
      </c>
      <c r="W217" s="86">
        <v>1</v>
      </c>
      <c r="X217" s="86">
        <v>4</v>
      </c>
      <c r="Y217" s="86">
        <v>0</v>
      </c>
      <c r="AA217" s="9" t="s">
        <v>599</v>
      </c>
      <c r="AB217" s="9">
        <v>13</v>
      </c>
      <c r="AD217" s="9">
        <v>14000</v>
      </c>
      <c r="AF217" s="89">
        <f t="shared" si="70"/>
        <v>7350</v>
      </c>
      <c r="AG217" s="9">
        <f t="shared" si="91"/>
        <v>13650</v>
      </c>
      <c r="AI217" s="11">
        <f t="shared" ref="AI217:AI280" si="92">ROUND(AJ217,0)</f>
        <v>65</v>
      </c>
      <c r="AJ217" s="10">
        <v>65</v>
      </c>
      <c r="AK217" s="11">
        <f t="shared" si="78"/>
        <v>350</v>
      </c>
      <c r="AL217" s="10">
        <v>350</v>
      </c>
      <c r="AM217" s="11">
        <f t="shared" si="78"/>
        <v>350</v>
      </c>
      <c r="AN217" s="10">
        <v>350</v>
      </c>
      <c r="AO217" s="56">
        <f t="shared" si="71"/>
        <v>2</v>
      </c>
      <c r="AQ217" s="11">
        <f ca="1">IFERROR(OFFSET(ITEM_RES!$A$1,MATCH(AR217,ITEM_RES!$J:$J,0)-1,0),0)</f>
        <v>215050001</v>
      </c>
      <c r="AR217" s="10" t="s">
        <v>498</v>
      </c>
      <c r="AS217" s="11">
        <v>1750</v>
      </c>
      <c r="AV217" s="11">
        <f ca="1">IFERROR(OFFSET(ITEM_RES!$A$1,MATCH(AW217,ITEM_RES!$J:$J,0)-1,0),0)</f>
        <v>212010001</v>
      </c>
      <c r="AW217" s="10" t="s">
        <v>469</v>
      </c>
      <c r="AX217" s="11">
        <v>1750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7"/>
        <v>0</v>
      </c>
    </row>
    <row r="218" spans="1:65" x14ac:dyDescent="0.3">
      <c r="A218" s="14">
        <f t="shared" si="73"/>
        <v>115020014</v>
      </c>
      <c r="B218" s="13">
        <v>11</v>
      </c>
      <c r="C218" s="12">
        <f t="shared" si="74"/>
        <v>5</v>
      </c>
      <c r="D218" s="13">
        <v>2</v>
      </c>
      <c r="E218" s="13">
        <v>0</v>
      </c>
      <c r="F218" s="12">
        <f t="shared" si="75"/>
        <v>14</v>
      </c>
      <c r="H218" s="9">
        <v>5</v>
      </c>
      <c r="I218" s="9">
        <v>14</v>
      </c>
      <c r="K218" s="56" t="s">
        <v>394</v>
      </c>
      <c r="L218" s="9">
        <v>1</v>
      </c>
      <c r="M218" s="9">
        <v>15</v>
      </c>
      <c r="R218" s="9">
        <v>77</v>
      </c>
      <c r="S218" s="86">
        <v>4</v>
      </c>
      <c r="U218" s="86">
        <f t="shared" si="76"/>
        <v>502</v>
      </c>
      <c r="V218" s="86">
        <v>140</v>
      </c>
      <c r="W218" s="86">
        <v>1</v>
      </c>
      <c r="X218" s="86">
        <v>4</v>
      </c>
      <c r="Y218" s="86">
        <v>0</v>
      </c>
      <c r="AA218" s="9" t="s">
        <v>599</v>
      </c>
      <c r="AB218" s="9">
        <v>14</v>
      </c>
      <c r="AD218" s="9">
        <v>18000</v>
      </c>
      <c r="AF218" s="89">
        <f t="shared" ref="AF218:AF281" si="93">AL218*10+AN218+AS218+AX218+500*BC218+500*BH218+500*BM218</f>
        <v>9450</v>
      </c>
      <c r="AG218" s="9">
        <f t="shared" si="91"/>
        <v>16800</v>
      </c>
      <c r="AI218" s="11">
        <f t="shared" si="92"/>
        <v>70</v>
      </c>
      <c r="AJ218" s="10">
        <v>70</v>
      </c>
      <c r="AK218" s="11">
        <f t="shared" si="78"/>
        <v>450</v>
      </c>
      <c r="AL218" s="10">
        <v>450</v>
      </c>
      <c r="AM218" s="11">
        <f t="shared" si="78"/>
        <v>450</v>
      </c>
      <c r="AN218" s="10">
        <v>450</v>
      </c>
      <c r="AO218" s="56">
        <f t="shared" ref="AO218:AO281" si="94">(AS218&gt;0)*1+(AX218&gt;0)*1+(BC218&gt;0)*1+(BH218&gt;0)*1+(BM218&gt;0)*1</f>
        <v>2</v>
      </c>
      <c r="AQ218" s="11">
        <f ca="1">IFERROR(OFFSET(ITEM_RES!$A$1,MATCH(AR218,ITEM_RES!$J:$J,0)-1,0),0)</f>
        <v>215050001</v>
      </c>
      <c r="AR218" s="10" t="s">
        <v>498</v>
      </c>
      <c r="AS218" s="11">
        <v>2250</v>
      </c>
      <c r="AV218" s="11">
        <f ca="1">IFERROR(OFFSET(ITEM_RES!$A$1,MATCH(AW218,ITEM_RES!$J:$J,0)-1,0),0)</f>
        <v>212010001</v>
      </c>
      <c r="AW218" s="10" t="s">
        <v>469</v>
      </c>
      <c r="AX218" s="11">
        <v>2250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7"/>
        <v>0</v>
      </c>
    </row>
    <row r="219" spans="1:65" x14ac:dyDescent="0.3">
      <c r="A219" s="14">
        <f t="shared" si="73"/>
        <v>115020015</v>
      </c>
      <c r="B219" s="13">
        <v>11</v>
      </c>
      <c r="C219" s="12">
        <f t="shared" si="74"/>
        <v>5</v>
      </c>
      <c r="D219" s="13">
        <v>2</v>
      </c>
      <c r="E219" s="13">
        <v>0</v>
      </c>
      <c r="F219" s="12">
        <f t="shared" si="75"/>
        <v>15</v>
      </c>
      <c r="H219" s="9">
        <v>5</v>
      </c>
      <c r="I219" s="9">
        <v>15</v>
      </c>
      <c r="K219" s="56" t="s">
        <v>394</v>
      </c>
      <c r="L219" s="9">
        <v>1</v>
      </c>
      <c r="M219" s="9">
        <v>15</v>
      </c>
      <c r="R219" s="9">
        <v>77</v>
      </c>
      <c r="S219" s="86">
        <v>4</v>
      </c>
      <c r="U219" s="86">
        <f t="shared" si="76"/>
        <v>502</v>
      </c>
      <c r="V219" s="86">
        <v>150</v>
      </c>
      <c r="W219" s="86">
        <v>1</v>
      </c>
      <c r="X219" s="86">
        <v>4</v>
      </c>
      <c r="Y219" s="86">
        <v>0</v>
      </c>
      <c r="AA219" s="9" t="s">
        <v>599</v>
      </c>
      <c r="AB219" s="9">
        <v>15</v>
      </c>
      <c r="AD219" s="9">
        <v>22000</v>
      </c>
      <c r="AF219" s="89">
        <f t="shared" si="93"/>
        <v>11550</v>
      </c>
      <c r="AG219" s="9">
        <f t="shared" si="91"/>
        <v>21000</v>
      </c>
      <c r="AI219" s="11">
        <f t="shared" si="92"/>
        <v>75</v>
      </c>
      <c r="AJ219" s="10">
        <v>75</v>
      </c>
      <c r="AK219" s="11">
        <f t="shared" si="78"/>
        <v>550</v>
      </c>
      <c r="AL219" s="10">
        <v>550</v>
      </c>
      <c r="AM219" s="11">
        <f t="shared" si="78"/>
        <v>550</v>
      </c>
      <c r="AN219" s="10">
        <v>550</v>
      </c>
      <c r="AO219" s="56">
        <f t="shared" si="94"/>
        <v>2</v>
      </c>
      <c r="AQ219" s="11">
        <f ca="1">IFERROR(OFFSET(ITEM_RES!$A$1,MATCH(AR219,ITEM_RES!$J:$J,0)-1,0),0)</f>
        <v>215050001</v>
      </c>
      <c r="AR219" s="10" t="s">
        <v>498</v>
      </c>
      <c r="AS219" s="11">
        <v>2750</v>
      </c>
      <c r="AV219" s="11">
        <f ca="1">IFERROR(OFFSET(ITEM_RES!$A$1,MATCH(AW219,ITEM_RES!$J:$J,0)-1,0),0)</f>
        <v>212010001</v>
      </c>
      <c r="AW219" s="10" t="s">
        <v>484</v>
      </c>
      <c r="AX219" s="11">
        <v>2750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7"/>
        <v>0</v>
      </c>
    </row>
    <row r="220" spans="1:65" x14ac:dyDescent="0.3">
      <c r="A220" s="14">
        <f t="shared" si="73"/>
        <v>115020016</v>
      </c>
      <c r="B220" s="13">
        <v>11</v>
      </c>
      <c r="C220" s="12">
        <f t="shared" si="74"/>
        <v>5</v>
      </c>
      <c r="D220" s="13">
        <v>2</v>
      </c>
      <c r="E220" s="13">
        <v>0</v>
      </c>
      <c r="F220" s="12">
        <f t="shared" si="75"/>
        <v>16</v>
      </c>
      <c r="H220" s="9">
        <v>5</v>
      </c>
      <c r="I220" s="9">
        <v>16</v>
      </c>
      <c r="K220" s="56" t="s">
        <v>394</v>
      </c>
      <c r="L220" s="9">
        <v>0</v>
      </c>
      <c r="M220" s="9">
        <v>15</v>
      </c>
      <c r="R220" s="9">
        <v>77</v>
      </c>
      <c r="S220" s="86">
        <v>4</v>
      </c>
      <c r="U220" s="86">
        <f t="shared" si="76"/>
        <v>502</v>
      </c>
      <c r="V220" s="86">
        <v>160</v>
      </c>
      <c r="W220" s="86">
        <v>1</v>
      </c>
      <c r="X220" s="86">
        <v>4</v>
      </c>
      <c r="Y220" s="86">
        <v>0</v>
      </c>
      <c r="AA220" s="9" t="s">
        <v>599</v>
      </c>
      <c r="AB220" s="9">
        <v>16</v>
      </c>
      <c r="AD220" s="9">
        <v>28000</v>
      </c>
      <c r="AF220" s="89">
        <f t="shared" si="93"/>
        <v>14700</v>
      </c>
      <c r="AG220" s="9">
        <f t="shared" si="91"/>
        <v>26250</v>
      </c>
      <c r="AI220" s="11">
        <f t="shared" si="92"/>
        <v>80</v>
      </c>
      <c r="AJ220" s="10">
        <v>80</v>
      </c>
      <c r="AK220" s="11">
        <f t="shared" si="78"/>
        <v>700</v>
      </c>
      <c r="AL220" s="10">
        <v>700</v>
      </c>
      <c r="AM220" s="11">
        <f t="shared" si="78"/>
        <v>700</v>
      </c>
      <c r="AN220" s="10">
        <v>700</v>
      </c>
      <c r="AO220" s="56">
        <f t="shared" si="94"/>
        <v>2</v>
      </c>
      <c r="AQ220" s="11">
        <f ca="1">IFERROR(OFFSET(ITEM_RES!$A$1,MATCH(AR220,ITEM_RES!$J:$J,0)-1,0),0)</f>
        <v>215050001</v>
      </c>
      <c r="AR220" s="10" t="s">
        <v>498</v>
      </c>
      <c r="AS220" s="11">
        <v>3500</v>
      </c>
      <c r="AV220" s="11">
        <f ca="1">IFERROR(OFFSET(ITEM_RES!$A$1,MATCH(AW220,ITEM_RES!$J:$J,0)-1,0),0)</f>
        <v>215070001</v>
      </c>
      <c r="AW220" s="10" t="s">
        <v>480</v>
      </c>
      <c r="AX220" s="11">
        <v>3500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7"/>
        <v>0</v>
      </c>
    </row>
    <row r="221" spans="1:65" x14ac:dyDescent="0.3">
      <c r="A221" s="14">
        <f t="shared" si="73"/>
        <v>115020017</v>
      </c>
      <c r="B221" s="13">
        <v>11</v>
      </c>
      <c r="C221" s="12">
        <f t="shared" si="74"/>
        <v>5</v>
      </c>
      <c r="D221" s="13">
        <v>2</v>
      </c>
      <c r="E221" s="13">
        <v>0</v>
      </c>
      <c r="F221" s="12">
        <f t="shared" si="75"/>
        <v>17</v>
      </c>
      <c r="H221" s="9">
        <v>5</v>
      </c>
      <c r="I221" s="9">
        <v>17</v>
      </c>
      <c r="K221" s="56" t="s">
        <v>394</v>
      </c>
      <c r="L221" s="9">
        <v>0</v>
      </c>
      <c r="M221" s="9">
        <v>15</v>
      </c>
      <c r="R221" s="9">
        <v>77</v>
      </c>
      <c r="S221" s="86">
        <v>4</v>
      </c>
      <c r="U221" s="86">
        <f t="shared" si="76"/>
        <v>502</v>
      </c>
      <c r="V221" s="86">
        <v>170</v>
      </c>
      <c r="W221" s="86">
        <v>1</v>
      </c>
      <c r="X221" s="86">
        <v>4</v>
      </c>
      <c r="Y221" s="86">
        <v>0</v>
      </c>
      <c r="AA221" s="9" t="s">
        <v>599</v>
      </c>
      <c r="AB221" s="9">
        <v>17</v>
      </c>
      <c r="AD221" s="9">
        <v>34000</v>
      </c>
      <c r="AF221" s="89">
        <f t="shared" si="93"/>
        <v>17850</v>
      </c>
      <c r="AG221" s="9">
        <f t="shared" si="91"/>
        <v>32550</v>
      </c>
      <c r="AI221" s="11">
        <f t="shared" si="92"/>
        <v>85</v>
      </c>
      <c r="AJ221" s="10">
        <v>85</v>
      </c>
      <c r="AK221" s="11">
        <f t="shared" si="78"/>
        <v>850</v>
      </c>
      <c r="AL221" s="10">
        <v>850</v>
      </c>
      <c r="AM221" s="11">
        <f t="shared" si="78"/>
        <v>850</v>
      </c>
      <c r="AN221" s="10">
        <v>850</v>
      </c>
      <c r="AO221" s="56">
        <f t="shared" si="94"/>
        <v>2</v>
      </c>
      <c r="AQ221" s="11">
        <f ca="1">IFERROR(OFFSET(ITEM_RES!$A$1,MATCH(AR221,ITEM_RES!$J:$J,0)-1,0),0)</f>
        <v>215050001</v>
      </c>
      <c r="AR221" s="10" t="s">
        <v>498</v>
      </c>
      <c r="AS221" s="11">
        <v>4250</v>
      </c>
      <c r="AV221" s="11">
        <f ca="1">IFERROR(OFFSET(ITEM_RES!$A$1,MATCH(AW221,ITEM_RES!$J:$J,0)-1,0),0)</f>
        <v>215070001</v>
      </c>
      <c r="AW221" s="10" t="s">
        <v>470</v>
      </c>
      <c r="AX221" s="11">
        <v>4250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7"/>
        <v>0</v>
      </c>
    </row>
    <row r="222" spans="1:65" x14ac:dyDescent="0.3">
      <c r="A222" s="14">
        <f t="shared" si="73"/>
        <v>115020018</v>
      </c>
      <c r="B222" s="13">
        <v>11</v>
      </c>
      <c r="C222" s="12">
        <f t="shared" si="74"/>
        <v>5</v>
      </c>
      <c r="D222" s="13">
        <v>2</v>
      </c>
      <c r="E222" s="13">
        <v>0</v>
      </c>
      <c r="F222" s="12">
        <f t="shared" si="75"/>
        <v>18</v>
      </c>
      <c r="H222" s="9">
        <v>5</v>
      </c>
      <c r="I222" s="9">
        <v>18</v>
      </c>
      <c r="K222" s="56" t="s">
        <v>394</v>
      </c>
      <c r="L222" s="9">
        <v>0</v>
      </c>
      <c r="M222" s="9">
        <v>15</v>
      </c>
      <c r="R222" s="9">
        <v>77</v>
      </c>
      <c r="S222" s="86">
        <v>4</v>
      </c>
      <c r="U222" s="86">
        <f t="shared" si="76"/>
        <v>502</v>
      </c>
      <c r="V222" s="86">
        <v>180</v>
      </c>
      <c r="W222" s="86">
        <v>1</v>
      </c>
      <c r="X222" s="86">
        <v>4</v>
      </c>
      <c r="Y222" s="86">
        <v>0</v>
      </c>
      <c r="AA222" s="9" t="s">
        <v>599</v>
      </c>
      <c r="AB222" s="9">
        <v>18</v>
      </c>
      <c r="AD222" s="9">
        <v>42000</v>
      </c>
      <c r="AF222" s="89">
        <f t="shared" si="93"/>
        <v>22050</v>
      </c>
      <c r="AG222" s="9">
        <f t="shared" si="91"/>
        <v>39900</v>
      </c>
      <c r="AI222" s="11">
        <f t="shared" si="92"/>
        <v>90</v>
      </c>
      <c r="AJ222" s="10">
        <v>90</v>
      </c>
      <c r="AK222" s="11">
        <f t="shared" si="78"/>
        <v>1050</v>
      </c>
      <c r="AL222" s="10">
        <v>1050</v>
      </c>
      <c r="AM222" s="11">
        <f t="shared" si="78"/>
        <v>1050</v>
      </c>
      <c r="AN222" s="10">
        <v>1050</v>
      </c>
      <c r="AO222" s="56">
        <f t="shared" si="94"/>
        <v>2</v>
      </c>
      <c r="AQ222" s="11">
        <f ca="1">IFERROR(OFFSET(ITEM_RES!$A$1,MATCH(AR222,ITEM_RES!$J:$J,0)-1,0),0)</f>
        <v>215050001</v>
      </c>
      <c r="AR222" s="10" t="s">
        <v>498</v>
      </c>
      <c r="AS222" s="11">
        <v>5250</v>
      </c>
      <c r="AV222" s="11">
        <f ca="1">IFERROR(OFFSET(ITEM_RES!$A$1,MATCH(AW222,ITEM_RES!$J:$J,0)-1,0),0)</f>
        <v>215070001</v>
      </c>
      <c r="AW222" s="10" t="s">
        <v>470</v>
      </c>
      <c r="AX222" s="11">
        <v>5250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7"/>
        <v>0</v>
      </c>
    </row>
    <row r="223" spans="1:65" x14ac:dyDescent="0.3">
      <c r="A223" s="14">
        <f t="shared" si="73"/>
        <v>115020019</v>
      </c>
      <c r="B223" s="13">
        <v>11</v>
      </c>
      <c r="C223" s="12">
        <f t="shared" si="74"/>
        <v>5</v>
      </c>
      <c r="D223" s="13">
        <v>2</v>
      </c>
      <c r="E223" s="13">
        <v>0</v>
      </c>
      <c r="F223" s="12">
        <f t="shared" si="75"/>
        <v>19</v>
      </c>
      <c r="H223" s="9">
        <v>5</v>
      </c>
      <c r="I223" s="9">
        <v>19</v>
      </c>
      <c r="K223" s="56" t="s">
        <v>394</v>
      </c>
      <c r="L223" s="9">
        <v>0</v>
      </c>
      <c r="M223" s="9">
        <v>15</v>
      </c>
      <c r="R223" s="9">
        <v>77</v>
      </c>
      <c r="S223" s="86">
        <v>4</v>
      </c>
      <c r="U223" s="86">
        <f t="shared" si="76"/>
        <v>502</v>
      </c>
      <c r="V223" s="86">
        <v>190</v>
      </c>
      <c r="W223" s="86">
        <v>1</v>
      </c>
      <c r="X223" s="86">
        <v>4</v>
      </c>
      <c r="Y223" s="86">
        <v>0</v>
      </c>
      <c r="AA223" s="9" t="s">
        <v>599</v>
      </c>
      <c r="AB223" s="9">
        <v>19</v>
      </c>
      <c r="AD223" s="9">
        <v>50000</v>
      </c>
      <c r="AF223" s="89">
        <f t="shared" si="93"/>
        <v>26250</v>
      </c>
      <c r="AG223" s="9">
        <f t="shared" si="91"/>
        <v>48300</v>
      </c>
      <c r="AI223" s="11">
        <f t="shared" si="92"/>
        <v>95</v>
      </c>
      <c r="AJ223" s="10">
        <v>95</v>
      </c>
      <c r="AK223" s="11">
        <f t="shared" si="78"/>
        <v>1250</v>
      </c>
      <c r="AL223" s="10">
        <v>1250</v>
      </c>
      <c r="AM223" s="11">
        <f t="shared" si="78"/>
        <v>1250</v>
      </c>
      <c r="AN223" s="10">
        <v>1250</v>
      </c>
      <c r="AO223" s="56">
        <f t="shared" si="94"/>
        <v>2</v>
      </c>
      <c r="AQ223" s="11">
        <f ca="1">IFERROR(OFFSET(ITEM_RES!$A$1,MATCH(AR223,ITEM_RES!$J:$J,0)-1,0),0)</f>
        <v>215050001</v>
      </c>
      <c r="AR223" s="10" t="s">
        <v>498</v>
      </c>
      <c r="AS223" s="11">
        <v>6250</v>
      </c>
      <c r="AV223" s="11">
        <f ca="1">IFERROR(OFFSET(ITEM_RES!$A$1,MATCH(AW223,ITEM_RES!$J:$J,0)-1,0),0)</f>
        <v>215070001</v>
      </c>
      <c r="AW223" s="10" t="s">
        <v>470</v>
      </c>
      <c r="AX223" s="11">
        <v>6250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7"/>
        <v>0</v>
      </c>
    </row>
    <row r="224" spans="1:65" ht="17.25" thickBot="1" x14ac:dyDescent="0.35">
      <c r="A224" s="14">
        <f t="shared" si="73"/>
        <v>115020020</v>
      </c>
      <c r="B224" s="13">
        <v>11</v>
      </c>
      <c r="C224" s="12">
        <f t="shared" si="74"/>
        <v>5</v>
      </c>
      <c r="D224" s="13">
        <v>2</v>
      </c>
      <c r="E224" s="13">
        <v>0</v>
      </c>
      <c r="F224" s="12">
        <f t="shared" si="75"/>
        <v>20</v>
      </c>
      <c r="H224" s="9">
        <v>5</v>
      </c>
      <c r="I224" s="9">
        <v>20</v>
      </c>
      <c r="K224" s="56" t="s">
        <v>394</v>
      </c>
      <c r="L224" s="9">
        <v>0</v>
      </c>
      <c r="M224" s="9">
        <v>15</v>
      </c>
      <c r="R224" s="9">
        <v>77</v>
      </c>
      <c r="S224" s="86">
        <v>4</v>
      </c>
      <c r="U224" s="86">
        <f t="shared" si="76"/>
        <v>502</v>
      </c>
      <c r="V224" s="86">
        <v>200</v>
      </c>
      <c r="W224" s="86">
        <v>1</v>
      </c>
      <c r="X224" s="86">
        <v>4</v>
      </c>
      <c r="Y224" s="86">
        <v>0</v>
      </c>
      <c r="AA224" s="9" t="s">
        <v>599</v>
      </c>
      <c r="AB224" s="9">
        <v>20</v>
      </c>
      <c r="AD224" s="9">
        <v>60000</v>
      </c>
      <c r="AF224" s="89">
        <f t="shared" si="93"/>
        <v>31500</v>
      </c>
      <c r="AG224" s="9">
        <f t="shared" si="91"/>
        <v>57750</v>
      </c>
      <c r="AI224" s="11">
        <f t="shared" si="92"/>
        <v>100</v>
      </c>
      <c r="AJ224" s="10">
        <v>100</v>
      </c>
      <c r="AK224" s="11">
        <f t="shared" si="78"/>
        <v>1500</v>
      </c>
      <c r="AL224" s="10">
        <v>1500</v>
      </c>
      <c r="AM224" s="11">
        <f t="shared" si="78"/>
        <v>1500</v>
      </c>
      <c r="AN224" s="10">
        <v>1500</v>
      </c>
      <c r="AO224" s="56">
        <f t="shared" si="94"/>
        <v>2</v>
      </c>
      <c r="AQ224" s="11">
        <f ca="1">IFERROR(OFFSET(ITEM_RES!$A$1,MATCH(AR224,ITEM_RES!$J:$J,0)-1,0),0)</f>
        <v>215050001</v>
      </c>
      <c r="AR224" s="10" t="s">
        <v>498</v>
      </c>
      <c r="AS224" s="11">
        <v>7500</v>
      </c>
      <c r="AV224" s="11">
        <f ca="1">IFERROR(OFFSET(ITEM_RES!$A$1,MATCH(AW224,ITEM_RES!$J:$J,0)-1,0),0)</f>
        <v>215070001</v>
      </c>
      <c r="AW224" s="10" t="s">
        <v>470</v>
      </c>
      <c r="AX224" s="11">
        <v>7500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7"/>
        <v>0</v>
      </c>
    </row>
    <row r="225" spans="1:66" s="15" customFormat="1" x14ac:dyDescent="0.3">
      <c r="A225" s="21">
        <f t="shared" si="73"/>
        <v>115030001</v>
      </c>
      <c r="B225" s="20">
        <v>11</v>
      </c>
      <c r="C225" s="19">
        <f t="shared" si="74"/>
        <v>5</v>
      </c>
      <c r="D225" s="20">
        <v>3</v>
      </c>
      <c r="E225" s="20">
        <v>0</v>
      </c>
      <c r="F225" s="19">
        <f t="shared" si="75"/>
        <v>1</v>
      </c>
      <c r="G225" s="80"/>
      <c r="H225" s="16">
        <v>5</v>
      </c>
      <c r="I225" s="16">
        <v>1</v>
      </c>
      <c r="J225" s="80"/>
      <c r="K225" s="64" t="s">
        <v>403</v>
      </c>
      <c r="L225" s="16">
        <v>1</v>
      </c>
      <c r="M225" s="16">
        <v>15</v>
      </c>
      <c r="N225" s="16"/>
      <c r="O225" s="17"/>
      <c r="P225" s="17"/>
      <c r="Q225" s="18"/>
      <c r="R225" s="16">
        <v>88</v>
      </c>
      <c r="S225" s="88">
        <v>4</v>
      </c>
      <c r="T225" s="80"/>
      <c r="U225" s="88">
        <f t="shared" si="76"/>
        <v>503</v>
      </c>
      <c r="V225" s="88">
        <v>10</v>
      </c>
      <c r="W225" s="88">
        <v>1</v>
      </c>
      <c r="X225" s="88">
        <v>4</v>
      </c>
      <c r="Y225" s="88">
        <v>0</v>
      </c>
      <c r="Z225" s="16"/>
      <c r="AA225" s="16" t="s">
        <v>600</v>
      </c>
      <c r="AB225" s="16">
        <v>1</v>
      </c>
      <c r="AC225" s="80"/>
      <c r="AD225" s="16">
        <v>100</v>
      </c>
      <c r="AE225" s="80"/>
      <c r="AF225" s="91">
        <f t="shared" si="93"/>
        <v>580</v>
      </c>
      <c r="AG225" s="16">
        <f>AF225</f>
        <v>580</v>
      </c>
      <c r="AH225" s="80"/>
      <c r="AI225" s="18">
        <f t="shared" si="92"/>
        <v>5</v>
      </c>
      <c r="AJ225" s="17">
        <v>5</v>
      </c>
      <c r="AK225" s="18">
        <f t="shared" si="78"/>
        <v>5</v>
      </c>
      <c r="AL225" s="17">
        <v>5</v>
      </c>
      <c r="AM225" s="18">
        <f t="shared" si="78"/>
        <v>5</v>
      </c>
      <c r="AN225" s="17">
        <v>5</v>
      </c>
      <c r="AO225" s="57">
        <f t="shared" si="94"/>
        <v>2</v>
      </c>
      <c r="AP225" s="18"/>
      <c r="AQ225" s="18">
        <f ca="1">IFERROR(OFFSET(ITEM_RES!$A$1,MATCH(AR225,ITEM_RES!$J:$J,0)-1,0),0)</f>
        <v>212040001</v>
      </c>
      <c r="AR225" s="17" t="s">
        <v>483</v>
      </c>
      <c r="AS225" s="18">
        <v>25</v>
      </c>
      <c r="AT225" s="17"/>
      <c r="AU225" s="18"/>
      <c r="AV225" s="18">
        <f ca="1">IFERROR(OFFSET(ITEM_RES!$A$1,MATCH(AW225,ITEM_RES!$J:$J,0)-1,0),0)</f>
        <v>0</v>
      </c>
      <c r="AW225" s="17"/>
      <c r="AX225" s="18"/>
      <c r="AY225" s="17"/>
      <c r="AZ225" s="18"/>
      <c r="BA225" s="18">
        <f ca="1">IFERROR(OFFSET(ITEM_RES!$A$1,MATCH(BB225,ITEM_RES!$J:$J,0)-1,0),0)</f>
        <v>213010001</v>
      </c>
      <c r="BB225" s="17" t="s">
        <v>509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77"/>
        <v>0</v>
      </c>
      <c r="BN225" s="17"/>
    </row>
    <row r="226" spans="1:66" x14ac:dyDescent="0.3">
      <c r="A226" s="14">
        <f t="shared" si="73"/>
        <v>115030002</v>
      </c>
      <c r="B226" s="13">
        <v>11</v>
      </c>
      <c r="C226" s="12">
        <f t="shared" si="74"/>
        <v>5</v>
      </c>
      <c r="D226" s="13">
        <v>3</v>
      </c>
      <c r="E226" s="13">
        <v>0</v>
      </c>
      <c r="F226" s="12">
        <f t="shared" si="75"/>
        <v>2</v>
      </c>
      <c r="H226" s="9">
        <v>5</v>
      </c>
      <c r="I226" s="9">
        <v>2</v>
      </c>
      <c r="K226" s="56" t="s">
        <v>403</v>
      </c>
      <c r="L226" s="9">
        <v>1</v>
      </c>
      <c r="M226" s="9">
        <v>15</v>
      </c>
      <c r="N226" s="85"/>
      <c r="R226" s="9">
        <v>88</v>
      </c>
      <c r="S226" s="86">
        <v>4</v>
      </c>
      <c r="U226" s="86">
        <f t="shared" si="76"/>
        <v>503</v>
      </c>
      <c r="V226" s="86">
        <v>20</v>
      </c>
      <c r="W226" s="86">
        <v>1</v>
      </c>
      <c r="X226" s="86">
        <v>4</v>
      </c>
      <c r="Y226" s="86">
        <v>0</v>
      </c>
      <c r="AA226" s="9" t="s">
        <v>600</v>
      </c>
      <c r="AB226" s="9">
        <v>2</v>
      </c>
      <c r="AD226" s="9">
        <v>200</v>
      </c>
      <c r="AF226" s="89">
        <f t="shared" si="93"/>
        <v>160</v>
      </c>
      <c r="AG226" s="9">
        <f>AF225+AF226</f>
        <v>740</v>
      </c>
      <c r="AI226" s="11">
        <f t="shared" si="92"/>
        <v>10</v>
      </c>
      <c r="AJ226" s="10">
        <v>10</v>
      </c>
      <c r="AK226" s="11">
        <f t="shared" si="78"/>
        <v>10</v>
      </c>
      <c r="AL226" s="10">
        <v>10</v>
      </c>
      <c r="AM226" s="11">
        <f t="shared" si="78"/>
        <v>10</v>
      </c>
      <c r="AN226" s="10">
        <v>10</v>
      </c>
      <c r="AO226" s="56">
        <f t="shared" si="94"/>
        <v>1</v>
      </c>
      <c r="AQ226" s="11">
        <f ca="1">IFERROR(OFFSET(ITEM_RES!$A$1,MATCH(AR226,ITEM_RES!$J:$J,0)-1,0),0)</f>
        <v>212040001</v>
      </c>
      <c r="AR226" s="10" t="s">
        <v>483</v>
      </c>
      <c r="AS226" s="11">
        <v>50</v>
      </c>
      <c r="AV226" s="11">
        <f ca="1">IFERROR(OFFSET(ITEM_RES!$A$1,MATCH(AW226,ITEM_RES!$J:$J,0)-1,0),0)</f>
        <v>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77"/>
        <v>0</v>
      </c>
    </row>
    <row r="227" spans="1:66" x14ac:dyDescent="0.3">
      <c r="A227" s="14">
        <f t="shared" si="73"/>
        <v>115030003</v>
      </c>
      <c r="B227" s="13">
        <v>11</v>
      </c>
      <c r="C227" s="12">
        <f t="shared" si="74"/>
        <v>5</v>
      </c>
      <c r="D227" s="13">
        <v>3</v>
      </c>
      <c r="E227" s="13">
        <v>0</v>
      </c>
      <c r="F227" s="12">
        <f t="shared" si="75"/>
        <v>3</v>
      </c>
      <c r="H227" s="9">
        <v>5</v>
      </c>
      <c r="I227" s="9">
        <v>3</v>
      </c>
      <c r="K227" s="56" t="s">
        <v>403</v>
      </c>
      <c r="L227" s="9">
        <v>1</v>
      </c>
      <c r="M227" s="9">
        <v>15</v>
      </c>
      <c r="R227" s="9">
        <v>88</v>
      </c>
      <c r="S227" s="86">
        <v>4</v>
      </c>
      <c r="U227" s="86">
        <f t="shared" si="76"/>
        <v>503</v>
      </c>
      <c r="V227" s="86">
        <v>30</v>
      </c>
      <c r="W227" s="86">
        <v>1</v>
      </c>
      <c r="X227" s="86">
        <v>4</v>
      </c>
      <c r="Y227" s="86">
        <v>0</v>
      </c>
      <c r="AA227" s="9" t="s">
        <v>600</v>
      </c>
      <c r="AB227" s="9">
        <v>3</v>
      </c>
      <c r="AD227" s="9">
        <v>600</v>
      </c>
      <c r="AF227" s="89">
        <f t="shared" si="93"/>
        <v>240</v>
      </c>
      <c r="AG227" s="9">
        <f t="shared" ref="AG227:AG244" si="95">AF226+AF227</f>
        <v>400</v>
      </c>
      <c r="AI227" s="11">
        <f t="shared" si="92"/>
        <v>15</v>
      </c>
      <c r="AJ227" s="10">
        <v>15</v>
      </c>
      <c r="AK227" s="11">
        <f t="shared" si="78"/>
        <v>15</v>
      </c>
      <c r="AL227" s="10">
        <v>15</v>
      </c>
      <c r="AM227" s="11">
        <f t="shared" si="78"/>
        <v>15</v>
      </c>
      <c r="AN227" s="10">
        <v>15</v>
      </c>
      <c r="AO227" s="56">
        <f t="shared" si="94"/>
        <v>1</v>
      </c>
      <c r="AQ227" s="11">
        <f ca="1">IFERROR(OFFSET(ITEM_RES!$A$1,MATCH(AR227,ITEM_RES!$J:$J,0)-1,0),0)</f>
        <v>212040001</v>
      </c>
      <c r="AR227" s="10" t="s">
        <v>483</v>
      </c>
      <c r="AS227" s="11">
        <v>75</v>
      </c>
      <c r="AV227" s="11">
        <f ca="1">IFERROR(OFFSET(ITEM_RES!$A$1,MATCH(AW227,ITEM_RES!$J:$J,0)-1,0),0)</f>
        <v>0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77"/>
        <v>0</v>
      </c>
    </row>
    <row r="228" spans="1:66" x14ac:dyDescent="0.3">
      <c r="A228" s="14">
        <f t="shared" si="73"/>
        <v>115030004</v>
      </c>
      <c r="B228" s="13">
        <v>11</v>
      </c>
      <c r="C228" s="12">
        <f t="shared" si="74"/>
        <v>5</v>
      </c>
      <c r="D228" s="13">
        <v>3</v>
      </c>
      <c r="E228" s="13">
        <v>0</v>
      </c>
      <c r="F228" s="12">
        <f t="shared" si="75"/>
        <v>4</v>
      </c>
      <c r="H228" s="9">
        <v>5</v>
      </c>
      <c r="I228" s="9">
        <v>4</v>
      </c>
      <c r="K228" s="56" t="s">
        <v>403</v>
      </c>
      <c r="L228" s="9">
        <v>1</v>
      </c>
      <c r="M228" s="9">
        <v>15</v>
      </c>
      <c r="R228" s="9">
        <v>88</v>
      </c>
      <c r="S228" s="86">
        <v>4</v>
      </c>
      <c r="U228" s="86">
        <f t="shared" si="76"/>
        <v>503</v>
      </c>
      <c r="V228" s="86">
        <v>40</v>
      </c>
      <c r="W228" s="86">
        <v>1</v>
      </c>
      <c r="X228" s="86">
        <v>4</v>
      </c>
      <c r="Y228" s="86">
        <v>0</v>
      </c>
      <c r="AA228" s="9" t="s">
        <v>600</v>
      </c>
      <c r="AB228" s="9">
        <v>4</v>
      </c>
      <c r="AD228" s="9">
        <v>1000</v>
      </c>
      <c r="AF228" s="89">
        <f t="shared" si="93"/>
        <v>400</v>
      </c>
      <c r="AG228" s="9">
        <f t="shared" si="95"/>
        <v>640</v>
      </c>
      <c r="AI228" s="11">
        <f t="shared" si="92"/>
        <v>20</v>
      </c>
      <c r="AJ228" s="10">
        <v>20</v>
      </c>
      <c r="AK228" s="11">
        <f t="shared" si="78"/>
        <v>25</v>
      </c>
      <c r="AL228" s="10">
        <v>25</v>
      </c>
      <c r="AM228" s="11">
        <f t="shared" si="78"/>
        <v>25</v>
      </c>
      <c r="AN228" s="10">
        <v>25</v>
      </c>
      <c r="AO228" s="56">
        <f t="shared" si="94"/>
        <v>1</v>
      </c>
      <c r="AQ228" s="11">
        <f ca="1">IFERROR(OFFSET(ITEM_RES!$A$1,MATCH(AR228,ITEM_RES!$J:$J,0)-1,0),0)</f>
        <v>212040001</v>
      </c>
      <c r="AR228" s="10" t="s">
        <v>483</v>
      </c>
      <c r="AS228" s="11">
        <v>125</v>
      </c>
      <c r="AV228" s="11">
        <f ca="1">IFERROR(OFFSET(ITEM_RES!$A$1,MATCH(AW228,ITEM_RES!$J:$J,0)-1,0),0)</f>
        <v>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77"/>
        <v>0</v>
      </c>
    </row>
    <row r="229" spans="1:66" x14ac:dyDescent="0.3">
      <c r="A229" s="14">
        <f t="shared" si="73"/>
        <v>115030005</v>
      </c>
      <c r="B229" s="13">
        <v>11</v>
      </c>
      <c r="C229" s="12">
        <f t="shared" si="74"/>
        <v>5</v>
      </c>
      <c r="D229" s="13">
        <v>3</v>
      </c>
      <c r="E229" s="13">
        <v>0</v>
      </c>
      <c r="F229" s="12">
        <f t="shared" si="75"/>
        <v>5</v>
      </c>
      <c r="H229" s="9">
        <v>5</v>
      </c>
      <c r="I229" s="9">
        <v>5</v>
      </c>
      <c r="K229" s="56" t="s">
        <v>403</v>
      </c>
      <c r="L229" s="9">
        <v>1</v>
      </c>
      <c r="M229" s="9">
        <v>15</v>
      </c>
      <c r="R229" s="9">
        <v>88</v>
      </c>
      <c r="S229" s="86">
        <v>4</v>
      </c>
      <c r="U229" s="86">
        <f t="shared" si="76"/>
        <v>503</v>
      </c>
      <c r="V229" s="86">
        <v>50</v>
      </c>
      <c r="W229" s="86">
        <v>1</v>
      </c>
      <c r="X229" s="86">
        <v>4</v>
      </c>
      <c r="Y229" s="86">
        <v>0</v>
      </c>
      <c r="AA229" s="9" t="s">
        <v>600</v>
      </c>
      <c r="AB229" s="9">
        <v>5</v>
      </c>
      <c r="AD229" s="9">
        <v>1600</v>
      </c>
      <c r="AF229" s="89">
        <f t="shared" si="93"/>
        <v>640</v>
      </c>
      <c r="AG229" s="9">
        <f t="shared" si="95"/>
        <v>1040</v>
      </c>
      <c r="AI229" s="11">
        <f t="shared" si="92"/>
        <v>25</v>
      </c>
      <c r="AJ229" s="10">
        <v>25</v>
      </c>
      <c r="AK229" s="11">
        <f t="shared" si="78"/>
        <v>40</v>
      </c>
      <c r="AL229" s="10">
        <v>40</v>
      </c>
      <c r="AM229" s="11">
        <f t="shared" si="78"/>
        <v>40</v>
      </c>
      <c r="AN229" s="10">
        <v>40</v>
      </c>
      <c r="AO229" s="56">
        <f t="shared" si="94"/>
        <v>1</v>
      </c>
      <c r="AQ229" s="11">
        <f ca="1">IFERROR(OFFSET(ITEM_RES!$A$1,MATCH(AR229,ITEM_RES!$J:$J,0)-1,0),0)</f>
        <v>212040001</v>
      </c>
      <c r="AR229" s="10" t="s">
        <v>483</v>
      </c>
      <c r="AS229" s="11">
        <v>200</v>
      </c>
      <c r="AV229" s="11">
        <f ca="1">IFERROR(OFFSET(ITEM_RES!$A$1,MATCH(AW229,ITEM_RES!$J:$J,0)-1,0),0)</f>
        <v>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77"/>
        <v>0</v>
      </c>
    </row>
    <row r="230" spans="1:66" x14ac:dyDescent="0.3">
      <c r="A230" s="14">
        <f t="shared" si="73"/>
        <v>115030006</v>
      </c>
      <c r="B230" s="13">
        <v>11</v>
      </c>
      <c r="C230" s="12">
        <f t="shared" si="74"/>
        <v>5</v>
      </c>
      <c r="D230" s="13">
        <v>3</v>
      </c>
      <c r="E230" s="13">
        <v>0</v>
      </c>
      <c r="F230" s="12">
        <f t="shared" si="75"/>
        <v>6</v>
      </c>
      <c r="H230" s="9">
        <v>5</v>
      </c>
      <c r="I230" s="9">
        <v>6</v>
      </c>
      <c r="K230" s="56" t="s">
        <v>403</v>
      </c>
      <c r="L230" s="9">
        <v>1</v>
      </c>
      <c r="M230" s="9">
        <v>15</v>
      </c>
      <c r="R230" s="9">
        <v>88</v>
      </c>
      <c r="S230" s="86">
        <v>4</v>
      </c>
      <c r="U230" s="86">
        <f t="shared" si="76"/>
        <v>503</v>
      </c>
      <c r="V230" s="86">
        <v>60</v>
      </c>
      <c r="W230" s="86">
        <v>1</v>
      </c>
      <c r="X230" s="86">
        <v>4</v>
      </c>
      <c r="Y230" s="86">
        <v>0</v>
      </c>
      <c r="AA230" s="9" t="s">
        <v>600</v>
      </c>
      <c r="AB230" s="9">
        <v>6</v>
      </c>
      <c r="AD230" s="9">
        <v>2000</v>
      </c>
      <c r="AF230" s="89">
        <f t="shared" si="93"/>
        <v>800</v>
      </c>
      <c r="AG230" s="9">
        <f t="shared" si="95"/>
        <v>1440</v>
      </c>
      <c r="AI230" s="11">
        <f t="shared" si="92"/>
        <v>30</v>
      </c>
      <c r="AJ230" s="10">
        <v>30</v>
      </c>
      <c r="AK230" s="11">
        <f t="shared" si="78"/>
        <v>50</v>
      </c>
      <c r="AL230" s="10">
        <v>50</v>
      </c>
      <c r="AM230" s="11">
        <f t="shared" si="78"/>
        <v>50</v>
      </c>
      <c r="AN230" s="10">
        <v>50</v>
      </c>
      <c r="AO230" s="56">
        <f t="shared" si="94"/>
        <v>1</v>
      </c>
      <c r="AQ230" s="11">
        <f ca="1">IFERROR(OFFSET(ITEM_RES!$A$1,MATCH(AR230,ITEM_RES!$J:$J,0)-1,0),0)</f>
        <v>212040001</v>
      </c>
      <c r="AR230" s="10" t="s">
        <v>483</v>
      </c>
      <c r="AS230" s="11">
        <v>250</v>
      </c>
      <c r="AV230" s="11">
        <f ca="1">IFERROR(OFFSET(ITEM_RES!$A$1,MATCH(AW230,ITEM_RES!$J:$J,0)-1,0),0)</f>
        <v>0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77"/>
        <v>0</v>
      </c>
    </row>
    <row r="231" spans="1:66" x14ac:dyDescent="0.3">
      <c r="A231" s="14">
        <f t="shared" si="73"/>
        <v>115030007</v>
      </c>
      <c r="B231" s="13">
        <v>11</v>
      </c>
      <c r="C231" s="12">
        <f t="shared" si="74"/>
        <v>5</v>
      </c>
      <c r="D231" s="13">
        <v>3</v>
      </c>
      <c r="E231" s="13">
        <v>0</v>
      </c>
      <c r="F231" s="12">
        <f t="shared" si="75"/>
        <v>7</v>
      </c>
      <c r="H231" s="9">
        <v>5</v>
      </c>
      <c r="I231" s="9">
        <v>7</v>
      </c>
      <c r="K231" s="56" t="s">
        <v>403</v>
      </c>
      <c r="L231" s="9">
        <v>1</v>
      </c>
      <c r="M231" s="9">
        <v>15</v>
      </c>
      <c r="R231" s="9">
        <v>88</v>
      </c>
      <c r="S231" s="86">
        <v>4</v>
      </c>
      <c r="U231" s="86">
        <f t="shared" si="76"/>
        <v>503</v>
      </c>
      <c r="V231" s="86">
        <v>70</v>
      </c>
      <c r="W231" s="86">
        <v>1</v>
      </c>
      <c r="X231" s="86">
        <v>4</v>
      </c>
      <c r="Y231" s="86">
        <v>0</v>
      </c>
      <c r="AA231" s="9" t="s">
        <v>600</v>
      </c>
      <c r="AB231" s="9">
        <v>7</v>
      </c>
      <c r="AD231" s="9">
        <v>4000</v>
      </c>
      <c r="AF231" s="89">
        <f t="shared" si="93"/>
        <v>1600</v>
      </c>
      <c r="AG231" s="9">
        <f t="shared" si="95"/>
        <v>2400</v>
      </c>
      <c r="AI231" s="11">
        <f t="shared" si="92"/>
        <v>35</v>
      </c>
      <c r="AJ231" s="10">
        <v>35</v>
      </c>
      <c r="AK231" s="11">
        <f t="shared" si="78"/>
        <v>100</v>
      </c>
      <c r="AL231" s="10">
        <v>100</v>
      </c>
      <c r="AM231" s="11">
        <f t="shared" si="78"/>
        <v>100</v>
      </c>
      <c r="AN231" s="10">
        <v>100</v>
      </c>
      <c r="AO231" s="56">
        <f t="shared" si="94"/>
        <v>1</v>
      </c>
      <c r="AQ231" s="11">
        <f ca="1">IFERROR(OFFSET(ITEM_RES!$A$1,MATCH(AR231,ITEM_RES!$J:$J,0)-1,0),0)</f>
        <v>212040001</v>
      </c>
      <c r="AR231" s="10" t="s">
        <v>483</v>
      </c>
      <c r="AS231" s="11">
        <v>500</v>
      </c>
      <c r="AV231" s="11">
        <f ca="1">IFERROR(OFFSET(ITEM_RES!$A$1,MATCH(AW231,ITEM_RES!$J:$J,0)-1,0),0)</f>
        <v>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77"/>
        <v>0</v>
      </c>
    </row>
    <row r="232" spans="1:66" x14ac:dyDescent="0.3">
      <c r="A232" s="14">
        <f t="shared" si="73"/>
        <v>115030008</v>
      </c>
      <c r="B232" s="13">
        <v>11</v>
      </c>
      <c r="C232" s="12">
        <f t="shared" si="74"/>
        <v>5</v>
      </c>
      <c r="D232" s="13">
        <v>3</v>
      </c>
      <c r="E232" s="13">
        <v>0</v>
      </c>
      <c r="F232" s="12">
        <f t="shared" si="75"/>
        <v>8</v>
      </c>
      <c r="H232" s="9">
        <v>5</v>
      </c>
      <c r="I232" s="9">
        <v>8</v>
      </c>
      <c r="K232" s="56" t="s">
        <v>403</v>
      </c>
      <c r="L232" s="9">
        <v>1</v>
      </c>
      <c r="M232" s="9">
        <v>15</v>
      </c>
      <c r="R232" s="9">
        <v>88</v>
      </c>
      <c r="S232" s="86">
        <v>4</v>
      </c>
      <c r="U232" s="86">
        <f t="shared" si="76"/>
        <v>503</v>
      </c>
      <c r="V232" s="86">
        <v>80</v>
      </c>
      <c r="W232" s="86">
        <v>1</v>
      </c>
      <c r="X232" s="86">
        <v>4</v>
      </c>
      <c r="Y232" s="86">
        <v>0</v>
      </c>
      <c r="AA232" s="9" t="s">
        <v>600</v>
      </c>
      <c r="AB232" s="9">
        <v>8</v>
      </c>
      <c r="AD232" s="9">
        <v>4000</v>
      </c>
      <c r="AF232" s="89">
        <f t="shared" si="93"/>
        <v>1600</v>
      </c>
      <c r="AG232" s="9">
        <f t="shared" si="95"/>
        <v>3200</v>
      </c>
      <c r="AI232" s="11">
        <f t="shared" si="92"/>
        <v>40</v>
      </c>
      <c r="AJ232" s="10">
        <v>40</v>
      </c>
      <c r="AK232" s="11">
        <f t="shared" si="78"/>
        <v>100</v>
      </c>
      <c r="AL232" s="10">
        <v>100</v>
      </c>
      <c r="AM232" s="11">
        <f t="shared" si="78"/>
        <v>100</v>
      </c>
      <c r="AN232" s="10">
        <v>100</v>
      </c>
      <c r="AO232" s="56">
        <f t="shared" si="94"/>
        <v>1</v>
      </c>
      <c r="AQ232" s="11">
        <f ca="1">IFERROR(OFFSET(ITEM_RES!$A$1,MATCH(AR232,ITEM_RES!$J:$J,0)-1,0),0)</f>
        <v>212040001</v>
      </c>
      <c r="AR232" s="10" t="s">
        <v>483</v>
      </c>
      <c r="AS232" s="11">
        <v>500</v>
      </c>
      <c r="AV232" s="11">
        <f ca="1">IFERROR(OFFSET(ITEM_RES!$A$1,MATCH(AW232,ITEM_RES!$J:$J,0)-1,0),0)</f>
        <v>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77"/>
        <v>0</v>
      </c>
    </row>
    <row r="233" spans="1:66" x14ac:dyDescent="0.3">
      <c r="A233" s="14">
        <f t="shared" si="73"/>
        <v>115030009</v>
      </c>
      <c r="B233" s="13">
        <v>11</v>
      </c>
      <c r="C233" s="12">
        <f t="shared" si="74"/>
        <v>5</v>
      </c>
      <c r="D233" s="13">
        <v>3</v>
      </c>
      <c r="E233" s="13">
        <v>0</v>
      </c>
      <c r="F233" s="12">
        <f t="shared" si="75"/>
        <v>9</v>
      </c>
      <c r="H233" s="9">
        <v>5</v>
      </c>
      <c r="I233" s="9">
        <v>9</v>
      </c>
      <c r="K233" s="56" t="s">
        <v>403</v>
      </c>
      <c r="L233" s="9">
        <v>1</v>
      </c>
      <c r="M233" s="9">
        <v>15</v>
      </c>
      <c r="R233" s="9">
        <v>88</v>
      </c>
      <c r="S233" s="86">
        <v>4</v>
      </c>
      <c r="U233" s="86">
        <f t="shared" si="76"/>
        <v>503</v>
      </c>
      <c r="V233" s="86">
        <v>90</v>
      </c>
      <c r="W233" s="86">
        <v>1</v>
      </c>
      <c r="X233" s="86">
        <v>4</v>
      </c>
      <c r="Y233" s="86">
        <v>0</v>
      </c>
      <c r="AA233" s="9" t="s">
        <v>600</v>
      </c>
      <c r="AB233" s="9">
        <v>9</v>
      </c>
      <c r="AD233" s="9">
        <v>6000</v>
      </c>
      <c r="AF233" s="89">
        <f t="shared" si="93"/>
        <v>2400</v>
      </c>
      <c r="AG233" s="9">
        <f t="shared" si="95"/>
        <v>4000</v>
      </c>
      <c r="AI233" s="11">
        <f t="shared" si="92"/>
        <v>45</v>
      </c>
      <c r="AJ233" s="10">
        <v>45</v>
      </c>
      <c r="AK233" s="11">
        <f t="shared" si="78"/>
        <v>150</v>
      </c>
      <c r="AL233" s="10">
        <v>150</v>
      </c>
      <c r="AM233" s="11">
        <f t="shared" si="78"/>
        <v>150</v>
      </c>
      <c r="AN233" s="10">
        <v>150</v>
      </c>
      <c r="AO233" s="56">
        <f t="shared" si="94"/>
        <v>1</v>
      </c>
      <c r="AQ233" s="11">
        <f ca="1">IFERROR(OFFSET(ITEM_RES!$A$1,MATCH(AR233,ITEM_RES!$J:$J,0)-1,0),0)</f>
        <v>212040001</v>
      </c>
      <c r="AR233" s="10" t="s">
        <v>483</v>
      </c>
      <c r="AS233" s="11">
        <v>750</v>
      </c>
      <c r="AV233" s="11">
        <f ca="1">IFERROR(OFFSET(ITEM_RES!$A$1,MATCH(AW233,ITEM_RES!$J:$J,0)-1,0),0)</f>
        <v>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77"/>
        <v>0</v>
      </c>
    </row>
    <row r="234" spans="1:66" x14ac:dyDescent="0.3">
      <c r="A234" s="14">
        <f t="shared" si="73"/>
        <v>115030010</v>
      </c>
      <c r="B234" s="13">
        <v>11</v>
      </c>
      <c r="C234" s="12">
        <f t="shared" si="74"/>
        <v>5</v>
      </c>
      <c r="D234" s="13">
        <v>3</v>
      </c>
      <c r="E234" s="13">
        <v>0</v>
      </c>
      <c r="F234" s="12">
        <f t="shared" si="75"/>
        <v>10</v>
      </c>
      <c r="H234" s="9">
        <v>5</v>
      </c>
      <c r="I234" s="9">
        <v>10</v>
      </c>
      <c r="K234" s="56" t="s">
        <v>403</v>
      </c>
      <c r="L234" s="9">
        <v>1</v>
      </c>
      <c r="M234" s="9">
        <v>15</v>
      </c>
      <c r="R234" s="9">
        <v>88</v>
      </c>
      <c r="S234" s="86">
        <v>4</v>
      </c>
      <c r="U234" s="86">
        <f t="shared" si="76"/>
        <v>503</v>
      </c>
      <c r="V234" s="86">
        <v>100</v>
      </c>
      <c r="W234" s="86">
        <v>1</v>
      </c>
      <c r="X234" s="86">
        <v>4</v>
      </c>
      <c r="Y234" s="86">
        <v>0</v>
      </c>
      <c r="AA234" s="9" t="s">
        <v>600</v>
      </c>
      <c r="AB234" s="9">
        <v>10</v>
      </c>
      <c r="AD234" s="9">
        <v>8000</v>
      </c>
      <c r="AF234" s="89">
        <f t="shared" si="93"/>
        <v>3700</v>
      </c>
      <c r="AG234" s="9">
        <f t="shared" si="95"/>
        <v>6100</v>
      </c>
      <c r="AI234" s="11">
        <f t="shared" si="92"/>
        <v>50</v>
      </c>
      <c r="AJ234" s="10">
        <v>50</v>
      </c>
      <c r="AK234" s="11">
        <f t="shared" si="78"/>
        <v>200</v>
      </c>
      <c r="AL234" s="10">
        <v>200</v>
      </c>
      <c r="AM234" s="11">
        <f t="shared" si="78"/>
        <v>200</v>
      </c>
      <c r="AN234" s="10">
        <v>200</v>
      </c>
      <c r="AO234" s="56">
        <f t="shared" si="94"/>
        <v>2</v>
      </c>
      <c r="AQ234" s="11">
        <f ca="1">IFERROR(OFFSET(ITEM_RES!$A$1,MATCH(AR234,ITEM_RES!$J:$J,0)-1,0),0)</f>
        <v>212040001</v>
      </c>
      <c r="AR234" s="10" t="s">
        <v>483</v>
      </c>
      <c r="AS234" s="11">
        <v>1000</v>
      </c>
      <c r="AV234" s="11">
        <f ca="1">IFERROR(OFFSET(ITEM_RES!$A$1,MATCH(AW234,ITEM_RES!$J:$J,0)-1,0),0)</f>
        <v>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213090001</v>
      </c>
      <c r="BG234" s="10" t="s">
        <v>521</v>
      </c>
      <c r="BH234" s="11">
        <v>1</v>
      </c>
      <c r="BK234" s="11">
        <f ca="1">IFERROR(OFFSET(ITEM_RES!$A$1,MATCH(BL234,ITEM_RES!$J:$J,0)-1,0),0)</f>
        <v>0</v>
      </c>
      <c r="BM234" s="11">
        <f t="shared" si="77"/>
        <v>0</v>
      </c>
    </row>
    <row r="235" spans="1:66" x14ac:dyDescent="0.3">
      <c r="A235" s="14">
        <f t="shared" si="73"/>
        <v>115030011</v>
      </c>
      <c r="B235" s="13">
        <v>11</v>
      </c>
      <c r="C235" s="12">
        <f t="shared" si="74"/>
        <v>5</v>
      </c>
      <c r="D235" s="13">
        <v>3</v>
      </c>
      <c r="E235" s="13">
        <v>0</v>
      </c>
      <c r="F235" s="12">
        <f t="shared" si="75"/>
        <v>11</v>
      </c>
      <c r="H235" s="9">
        <v>5</v>
      </c>
      <c r="I235" s="9">
        <v>11</v>
      </c>
      <c r="K235" s="56" t="s">
        <v>403</v>
      </c>
      <c r="L235" s="9">
        <v>1</v>
      </c>
      <c r="M235" s="9">
        <v>15</v>
      </c>
      <c r="R235" s="9">
        <v>88</v>
      </c>
      <c r="S235" s="86">
        <v>4</v>
      </c>
      <c r="U235" s="86">
        <f t="shared" si="76"/>
        <v>503</v>
      </c>
      <c r="V235" s="86">
        <v>110</v>
      </c>
      <c r="W235" s="86">
        <v>1</v>
      </c>
      <c r="X235" s="86">
        <v>4</v>
      </c>
      <c r="Y235" s="86">
        <v>0</v>
      </c>
      <c r="AA235" s="9" t="s">
        <v>600</v>
      </c>
      <c r="AB235" s="9">
        <v>11</v>
      </c>
      <c r="AD235" s="9">
        <v>10000</v>
      </c>
      <c r="AF235" s="89">
        <f t="shared" si="93"/>
        <v>4000</v>
      </c>
      <c r="AG235" s="9">
        <f t="shared" si="95"/>
        <v>7700</v>
      </c>
      <c r="AI235" s="11">
        <f t="shared" si="92"/>
        <v>55</v>
      </c>
      <c r="AJ235" s="10">
        <v>55</v>
      </c>
      <c r="AK235" s="11">
        <f t="shared" si="78"/>
        <v>250</v>
      </c>
      <c r="AL235" s="10">
        <v>250</v>
      </c>
      <c r="AM235" s="11">
        <f t="shared" si="78"/>
        <v>250</v>
      </c>
      <c r="AN235" s="10">
        <v>250</v>
      </c>
      <c r="AO235" s="56">
        <f t="shared" si="94"/>
        <v>1</v>
      </c>
      <c r="AQ235" s="11">
        <f ca="1">IFERROR(OFFSET(ITEM_RES!$A$1,MATCH(AR235,ITEM_RES!$J:$J,0)-1,0),0)</f>
        <v>212040001</v>
      </c>
      <c r="AR235" s="10" t="s">
        <v>483</v>
      </c>
      <c r="AS235" s="11">
        <v>1250</v>
      </c>
      <c r="AV235" s="11">
        <f ca="1">IFERROR(OFFSET(ITEM_RES!$A$1,MATCH(AW235,ITEM_RES!$J:$J,0)-1,0),0)</f>
        <v>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77"/>
        <v>0</v>
      </c>
    </row>
    <row r="236" spans="1:66" x14ac:dyDescent="0.3">
      <c r="A236" s="14">
        <f t="shared" si="73"/>
        <v>115030012</v>
      </c>
      <c r="B236" s="13">
        <v>11</v>
      </c>
      <c r="C236" s="12">
        <f t="shared" si="74"/>
        <v>5</v>
      </c>
      <c r="D236" s="13">
        <v>3</v>
      </c>
      <c r="E236" s="13">
        <v>0</v>
      </c>
      <c r="F236" s="12">
        <f t="shared" si="75"/>
        <v>12</v>
      </c>
      <c r="H236" s="9">
        <v>5</v>
      </c>
      <c r="I236" s="9">
        <v>12</v>
      </c>
      <c r="K236" s="56" t="s">
        <v>403</v>
      </c>
      <c r="L236" s="9">
        <v>1</v>
      </c>
      <c r="M236" s="9">
        <v>15</v>
      </c>
      <c r="R236" s="9">
        <v>88</v>
      </c>
      <c r="S236" s="86">
        <v>4</v>
      </c>
      <c r="U236" s="86">
        <f t="shared" si="76"/>
        <v>503</v>
      </c>
      <c r="V236" s="86">
        <v>120</v>
      </c>
      <c r="W236" s="86">
        <v>1</v>
      </c>
      <c r="X236" s="86">
        <v>4</v>
      </c>
      <c r="Y236" s="86">
        <v>0</v>
      </c>
      <c r="AA236" s="9" t="s">
        <v>600</v>
      </c>
      <c r="AB236" s="9">
        <v>12</v>
      </c>
      <c r="AD236" s="9">
        <v>12000</v>
      </c>
      <c r="AF236" s="89">
        <f t="shared" si="93"/>
        <v>4800</v>
      </c>
      <c r="AG236" s="9">
        <f t="shared" si="95"/>
        <v>8800</v>
      </c>
      <c r="AI236" s="11">
        <f t="shared" si="92"/>
        <v>60</v>
      </c>
      <c r="AJ236" s="10">
        <v>60</v>
      </c>
      <c r="AK236" s="11">
        <f t="shared" si="78"/>
        <v>300</v>
      </c>
      <c r="AL236" s="10">
        <v>300</v>
      </c>
      <c r="AM236" s="11">
        <f t="shared" si="78"/>
        <v>300</v>
      </c>
      <c r="AN236" s="10">
        <v>300</v>
      </c>
      <c r="AO236" s="56">
        <f t="shared" si="94"/>
        <v>1</v>
      </c>
      <c r="AQ236" s="11">
        <f ca="1">IFERROR(OFFSET(ITEM_RES!$A$1,MATCH(AR236,ITEM_RES!$J:$J,0)-1,0),0)</f>
        <v>212040001</v>
      </c>
      <c r="AR236" s="10" t="s">
        <v>483</v>
      </c>
      <c r="AS236" s="11">
        <v>1500</v>
      </c>
      <c r="AV236" s="11">
        <f ca="1">IFERROR(OFFSET(ITEM_RES!$A$1,MATCH(AW236,ITEM_RES!$J:$J,0)-1,0),0)</f>
        <v>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77"/>
        <v>0</v>
      </c>
    </row>
    <row r="237" spans="1:66" x14ac:dyDescent="0.3">
      <c r="A237" s="14">
        <f t="shared" ref="A237:A300" si="96">B237*10000000+C237*1000000+D237*10000+E237*100+F237</f>
        <v>115030013</v>
      </c>
      <c r="B237" s="13">
        <v>11</v>
      </c>
      <c r="C237" s="12">
        <f t="shared" ref="C237:C300" si="97">H237</f>
        <v>5</v>
      </c>
      <c r="D237" s="13">
        <v>3</v>
      </c>
      <c r="E237" s="13">
        <v>0</v>
      </c>
      <c r="F237" s="12">
        <f t="shared" ref="F237:F300" si="98">I237</f>
        <v>13</v>
      </c>
      <c r="H237" s="9">
        <v>5</v>
      </c>
      <c r="I237" s="9">
        <v>13</v>
      </c>
      <c r="K237" s="56" t="s">
        <v>403</v>
      </c>
      <c r="L237" s="9">
        <v>1</v>
      </c>
      <c r="M237" s="9">
        <v>15</v>
      </c>
      <c r="R237" s="9">
        <v>88</v>
      </c>
      <c r="S237" s="86">
        <v>4</v>
      </c>
      <c r="U237" s="86">
        <f t="shared" ref="U237:U266" si="99">C237*100+D237</f>
        <v>503</v>
      </c>
      <c r="V237" s="86">
        <v>130</v>
      </c>
      <c r="W237" s="86">
        <v>1</v>
      </c>
      <c r="X237" s="86">
        <v>4</v>
      </c>
      <c r="Y237" s="86">
        <v>0</v>
      </c>
      <c r="AA237" s="9" t="s">
        <v>600</v>
      </c>
      <c r="AB237" s="9">
        <v>13</v>
      </c>
      <c r="AD237" s="9">
        <v>14000</v>
      </c>
      <c r="AF237" s="89">
        <f t="shared" si="93"/>
        <v>5600</v>
      </c>
      <c r="AG237" s="9">
        <f t="shared" si="95"/>
        <v>10400</v>
      </c>
      <c r="AI237" s="11">
        <f t="shared" si="92"/>
        <v>65</v>
      </c>
      <c r="AJ237" s="10">
        <v>65</v>
      </c>
      <c r="AK237" s="11">
        <f t="shared" si="78"/>
        <v>350</v>
      </c>
      <c r="AL237" s="10">
        <v>350</v>
      </c>
      <c r="AM237" s="11">
        <f t="shared" si="78"/>
        <v>350</v>
      </c>
      <c r="AN237" s="10">
        <v>350</v>
      </c>
      <c r="AO237" s="56">
        <f t="shared" si="94"/>
        <v>1</v>
      </c>
      <c r="AQ237" s="11">
        <f ca="1">IFERROR(OFFSET(ITEM_RES!$A$1,MATCH(AR237,ITEM_RES!$J:$J,0)-1,0),0)</f>
        <v>215050001</v>
      </c>
      <c r="AR237" s="10" t="s">
        <v>498</v>
      </c>
      <c r="AS237" s="11">
        <v>1750</v>
      </c>
      <c r="AV237" s="11">
        <f ca="1">IFERROR(OFFSET(ITEM_RES!$A$1,MATCH(AW237,ITEM_RES!$J:$J,0)-1,0),0)</f>
        <v>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ref="BM237:BM264" si="100">IF(BN237&lt;100,ROUND(BN237,1-LEN(ROUND(BN237,0))),ROUND(BN237,2-LEN(ROUND(BN237,0))))</f>
        <v>0</v>
      </c>
    </row>
    <row r="238" spans="1:66" x14ac:dyDescent="0.3">
      <c r="A238" s="14">
        <f t="shared" si="96"/>
        <v>115030014</v>
      </c>
      <c r="B238" s="13">
        <v>11</v>
      </c>
      <c r="C238" s="12">
        <f t="shared" si="97"/>
        <v>5</v>
      </c>
      <c r="D238" s="13">
        <v>3</v>
      </c>
      <c r="E238" s="13">
        <v>0</v>
      </c>
      <c r="F238" s="12">
        <f t="shared" si="98"/>
        <v>14</v>
      </c>
      <c r="H238" s="9">
        <v>5</v>
      </c>
      <c r="I238" s="9">
        <v>14</v>
      </c>
      <c r="K238" s="56" t="s">
        <v>403</v>
      </c>
      <c r="L238" s="9">
        <v>1</v>
      </c>
      <c r="M238" s="9">
        <v>15</v>
      </c>
      <c r="R238" s="9">
        <v>88</v>
      </c>
      <c r="S238" s="86">
        <v>4</v>
      </c>
      <c r="U238" s="86">
        <f t="shared" si="99"/>
        <v>503</v>
      </c>
      <c r="V238" s="86">
        <v>140</v>
      </c>
      <c r="W238" s="86">
        <v>1</v>
      </c>
      <c r="X238" s="86">
        <v>4</v>
      </c>
      <c r="Y238" s="86">
        <v>0</v>
      </c>
      <c r="AA238" s="9" t="s">
        <v>600</v>
      </c>
      <c r="AB238" s="9">
        <v>14</v>
      </c>
      <c r="AD238" s="9">
        <v>18000</v>
      </c>
      <c r="AF238" s="89">
        <f t="shared" si="93"/>
        <v>7200</v>
      </c>
      <c r="AG238" s="9">
        <f t="shared" si="95"/>
        <v>12800</v>
      </c>
      <c r="AI238" s="11">
        <f t="shared" si="92"/>
        <v>70</v>
      </c>
      <c r="AJ238" s="10">
        <v>70</v>
      </c>
      <c r="AK238" s="11">
        <f t="shared" ref="AK238:AM301" si="101">ROUND(AL238,0)</f>
        <v>450</v>
      </c>
      <c r="AL238" s="10">
        <v>450</v>
      </c>
      <c r="AM238" s="11">
        <f t="shared" si="101"/>
        <v>450</v>
      </c>
      <c r="AN238" s="10">
        <v>450</v>
      </c>
      <c r="AO238" s="56">
        <f t="shared" si="94"/>
        <v>1</v>
      </c>
      <c r="AQ238" s="11">
        <f ca="1">IFERROR(OFFSET(ITEM_RES!$A$1,MATCH(AR238,ITEM_RES!$J:$J,0)-1,0),0)</f>
        <v>215050001</v>
      </c>
      <c r="AR238" s="10" t="s">
        <v>498</v>
      </c>
      <c r="AS238" s="11">
        <v>2250</v>
      </c>
      <c r="AV238" s="11">
        <f ca="1">IFERROR(OFFSET(ITEM_RES!$A$1,MATCH(AW238,ITEM_RES!$J:$J,0)-1,0),0)</f>
        <v>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100"/>
        <v>0</v>
      </c>
    </row>
    <row r="239" spans="1:66" x14ac:dyDescent="0.3">
      <c r="A239" s="14">
        <f t="shared" si="96"/>
        <v>115030015</v>
      </c>
      <c r="B239" s="13">
        <v>11</v>
      </c>
      <c r="C239" s="12">
        <f t="shared" si="97"/>
        <v>5</v>
      </c>
      <c r="D239" s="13">
        <v>3</v>
      </c>
      <c r="E239" s="13">
        <v>0</v>
      </c>
      <c r="F239" s="12">
        <f t="shared" si="98"/>
        <v>15</v>
      </c>
      <c r="H239" s="9">
        <v>5</v>
      </c>
      <c r="I239" s="9">
        <v>15</v>
      </c>
      <c r="K239" s="56" t="s">
        <v>403</v>
      </c>
      <c r="L239" s="9">
        <v>1</v>
      </c>
      <c r="M239" s="9">
        <v>15</v>
      </c>
      <c r="R239" s="9">
        <v>88</v>
      </c>
      <c r="S239" s="86">
        <v>4</v>
      </c>
      <c r="U239" s="86">
        <f t="shared" si="99"/>
        <v>503</v>
      </c>
      <c r="V239" s="86">
        <v>150</v>
      </c>
      <c r="W239" s="86">
        <v>1</v>
      </c>
      <c r="X239" s="86">
        <v>4</v>
      </c>
      <c r="Y239" s="86">
        <v>0</v>
      </c>
      <c r="AA239" s="9" t="s">
        <v>600</v>
      </c>
      <c r="AB239" s="9">
        <v>15</v>
      </c>
      <c r="AD239" s="9">
        <v>22000</v>
      </c>
      <c r="AF239" s="89">
        <f t="shared" si="93"/>
        <v>8800</v>
      </c>
      <c r="AG239" s="9">
        <f t="shared" si="95"/>
        <v>16000</v>
      </c>
      <c r="AI239" s="11">
        <f t="shared" si="92"/>
        <v>75</v>
      </c>
      <c r="AJ239" s="10">
        <v>75</v>
      </c>
      <c r="AK239" s="11">
        <f t="shared" si="101"/>
        <v>550</v>
      </c>
      <c r="AL239" s="10">
        <v>550</v>
      </c>
      <c r="AM239" s="11">
        <f t="shared" si="101"/>
        <v>550</v>
      </c>
      <c r="AN239" s="10">
        <v>550</v>
      </c>
      <c r="AO239" s="56">
        <f t="shared" si="94"/>
        <v>1</v>
      </c>
      <c r="AQ239" s="11">
        <f ca="1">IFERROR(OFFSET(ITEM_RES!$A$1,MATCH(AR239,ITEM_RES!$J:$J,0)-1,0),0)</f>
        <v>215050001</v>
      </c>
      <c r="AR239" s="10" t="s">
        <v>498</v>
      </c>
      <c r="AS239" s="11">
        <v>2750</v>
      </c>
      <c r="AV239" s="11">
        <f ca="1">IFERROR(OFFSET(ITEM_RES!$A$1,MATCH(AW239,ITEM_RES!$J:$J,0)-1,0),0)</f>
        <v>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100"/>
        <v>0</v>
      </c>
    </row>
    <row r="240" spans="1:66" x14ac:dyDescent="0.3">
      <c r="A240" s="14">
        <f t="shared" si="96"/>
        <v>115030016</v>
      </c>
      <c r="B240" s="13">
        <v>11</v>
      </c>
      <c r="C240" s="12">
        <f t="shared" si="97"/>
        <v>5</v>
      </c>
      <c r="D240" s="13">
        <v>3</v>
      </c>
      <c r="E240" s="13">
        <v>0</v>
      </c>
      <c r="F240" s="12">
        <f t="shared" si="98"/>
        <v>16</v>
      </c>
      <c r="H240" s="9">
        <v>5</v>
      </c>
      <c r="I240" s="9">
        <v>16</v>
      </c>
      <c r="K240" s="56" t="s">
        <v>403</v>
      </c>
      <c r="L240" s="9">
        <v>0</v>
      </c>
      <c r="M240" s="9">
        <v>15</v>
      </c>
      <c r="R240" s="9">
        <v>88</v>
      </c>
      <c r="S240" s="86">
        <v>4</v>
      </c>
      <c r="U240" s="86">
        <f t="shared" si="99"/>
        <v>503</v>
      </c>
      <c r="V240" s="86">
        <v>160</v>
      </c>
      <c r="W240" s="86">
        <v>1</v>
      </c>
      <c r="X240" s="86">
        <v>4</v>
      </c>
      <c r="Y240" s="86">
        <v>0</v>
      </c>
      <c r="AA240" s="9" t="s">
        <v>600</v>
      </c>
      <c r="AB240" s="9">
        <v>16</v>
      </c>
      <c r="AD240" s="9">
        <v>28000</v>
      </c>
      <c r="AF240" s="89">
        <f t="shared" si="93"/>
        <v>11200</v>
      </c>
      <c r="AG240" s="9">
        <f t="shared" si="95"/>
        <v>20000</v>
      </c>
      <c r="AI240" s="11">
        <f t="shared" si="92"/>
        <v>80</v>
      </c>
      <c r="AJ240" s="10">
        <v>80</v>
      </c>
      <c r="AK240" s="11">
        <f t="shared" si="101"/>
        <v>700</v>
      </c>
      <c r="AL240" s="10">
        <v>700</v>
      </c>
      <c r="AM240" s="11">
        <f t="shared" si="101"/>
        <v>700</v>
      </c>
      <c r="AN240" s="10">
        <v>700</v>
      </c>
      <c r="AO240" s="56">
        <f t="shared" si="94"/>
        <v>1</v>
      </c>
      <c r="AQ240" s="11">
        <f ca="1">IFERROR(OFFSET(ITEM_RES!$A$1,MATCH(AR240,ITEM_RES!$J:$J,0)-1,0),0)</f>
        <v>215050001</v>
      </c>
      <c r="AR240" s="10" t="s">
        <v>498</v>
      </c>
      <c r="AS240" s="11">
        <v>3500</v>
      </c>
      <c r="AV240" s="11">
        <f ca="1">IFERROR(OFFSET(ITEM_RES!$A$1,MATCH(AW240,ITEM_RES!$J:$J,0)-1,0),0)</f>
        <v>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100"/>
        <v>0</v>
      </c>
    </row>
    <row r="241" spans="1:66" x14ac:dyDescent="0.3">
      <c r="A241" s="14">
        <f t="shared" si="96"/>
        <v>115030017</v>
      </c>
      <c r="B241" s="13">
        <v>11</v>
      </c>
      <c r="C241" s="12">
        <f t="shared" si="97"/>
        <v>5</v>
      </c>
      <c r="D241" s="13">
        <v>3</v>
      </c>
      <c r="E241" s="13">
        <v>0</v>
      </c>
      <c r="F241" s="12">
        <f t="shared" si="98"/>
        <v>17</v>
      </c>
      <c r="H241" s="9">
        <v>5</v>
      </c>
      <c r="I241" s="9">
        <v>17</v>
      </c>
      <c r="K241" s="56" t="s">
        <v>403</v>
      </c>
      <c r="L241" s="9">
        <v>0</v>
      </c>
      <c r="M241" s="9">
        <v>15</v>
      </c>
      <c r="R241" s="9">
        <v>88</v>
      </c>
      <c r="S241" s="86">
        <v>4</v>
      </c>
      <c r="U241" s="86">
        <f t="shared" si="99"/>
        <v>503</v>
      </c>
      <c r="V241" s="86">
        <v>170</v>
      </c>
      <c r="W241" s="86">
        <v>1</v>
      </c>
      <c r="X241" s="86">
        <v>4</v>
      </c>
      <c r="Y241" s="86">
        <v>0</v>
      </c>
      <c r="AA241" s="9" t="s">
        <v>600</v>
      </c>
      <c r="AB241" s="9">
        <v>17</v>
      </c>
      <c r="AD241" s="9">
        <v>34000</v>
      </c>
      <c r="AF241" s="89">
        <f t="shared" si="93"/>
        <v>13600</v>
      </c>
      <c r="AG241" s="9">
        <f t="shared" si="95"/>
        <v>24800</v>
      </c>
      <c r="AI241" s="11">
        <f t="shared" si="92"/>
        <v>85</v>
      </c>
      <c r="AJ241" s="10">
        <v>85</v>
      </c>
      <c r="AK241" s="11">
        <f t="shared" si="101"/>
        <v>850</v>
      </c>
      <c r="AL241" s="10">
        <v>850</v>
      </c>
      <c r="AM241" s="11">
        <f t="shared" si="101"/>
        <v>850</v>
      </c>
      <c r="AN241" s="10">
        <v>850</v>
      </c>
      <c r="AO241" s="56">
        <f t="shared" si="94"/>
        <v>1</v>
      </c>
      <c r="AQ241" s="11">
        <f ca="1">IFERROR(OFFSET(ITEM_RES!$A$1,MATCH(AR241,ITEM_RES!$J:$J,0)-1,0),0)</f>
        <v>215050001</v>
      </c>
      <c r="AR241" s="10" t="s">
        <v>498</v>
      </c>
      <c r="AS241" s="11">
        <v>4250</v>
      </c>
      <c r="AV241" s="11">
        <f ca="1">IFERROR(OFFSET(ITEM_RES!$A$1,MATCH(AW241,ITEM_RES!$J:$J,0)-1,0),0)</f>
        <v>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100"/>
        <v>0</v>
      </c>
    </row>
    <row r="242" spans="1:66" x14ac:dyDescent="0.3">
      <c r="A242" s="14">
        <f t="shared" si="96"/>
        <v>115030018</v>
      </c>
      <c r="B242" s="13">
        <v>11</v>
      </c>
      <c r="C242" s="12">
        <f t="shared" si="97"/>
        <v>5</v>
      </c>
      <c r="D242" s="13">
        <v>3</v>
      </c>
      <c r="E242" s="13">
        <v>0</v>
      </c>
      <c r="F242" s="12">
        <f t="shared" si="98"/>
        <v>18</v>
      </c>
      <c r="H242" s="9">
        <v>5</v>
      </c>
      <c r="I242" s="9">
        <v>18</v>
      </c>
      <c r="K242" s="56" t="s">
        <v>403</v>
      </c>
      <c r="L242" s="9">
        <v>0</v>
      </c>
      <c r="M242" s="9">
        <v>15</v>
      </c>
      <c r="R242" s="9">
        <v>88</v>
      </c>
      <c r="S242" s="86">
        <v>4</v>
      </c>
      <c r="U242" s="86">
        <f t="shared" si="99"/>
        <v>503</v>
      </c>
      <c r="V242" s="86">
        <v>180</v>
      </c>
      <c r="W242" s="86">
        <v>1</v>
      </c>
      <c r="X242" s="86">
        <v>4</v>
      </c>
      <c r="Y242" s="86">
        <v>0</v>
      </c>
      <c r="AA242" s="9" t="s">
        <v>600</v>
      </c>
      <c r="AB242" s="9">
        <v>18</v>
      </c>
      <c r="AD242" s="9">
        <v>42000</v>
      </c>
      <c r="AF242" s="89">
        <f t="shared" si="93"/>
        <v>16800</v>
      </c>
      <c r="AG242" s="9">
        <f t="shared" si="95"/>
        <v>30400</v>
      </c>
      <c r="AI242" s="11">
        <f t="shared" si="92"/>
        <v>90</v>
      </c>
      <c r="AJ242" s="10">
        <v>90</v>
      </c>
      <c r="AK242" s="11">
        <f t="shared" si="101"/>
        <v>1050</v>
      </c>
      <c r="AL242" s="10">
        <v>1050</v>
      </c>
      <c r="AM242" s="11">
        <f t="shared" si="101"/>
        <v>1050</v>
      </c>
      <c r="AN242" s="10">
        <v>1050</v>
      </c>
      <c r="AO242" s="56">
        <f t="shared" si="94"/>
        <v>1</v>
      </c>
      <c r="AQ242" s="11">
        <f ca="1">IFERROR(OFFSET(ITEM_RES!$A$1,MATCH(AR242,ITEM_RES!$J:$J,0)-1,0),0)</f>
        <v>215050001</v>
      </c>
      <c r="AR242" s="10" t="s">
        <v>498</v>
      </c>
      <c r="AS242" s="11">
        <v>5250</v>
      </c>
      <c r="AV242" s="11">
        <f ca="1">IFERROR(OFFSET(ITEM_RES!$A$1,MATCH(AW242,ITEM_RES!$J:$J,0)-1,0),0)</f>
        <v>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100"/>
        <v>0</v>
      </c>
    </row>
    <row r="243" spans="1:66" x14ac:dyDescent="0.3">
      <c r="A243" s="14">
        <f t="shared" si="96"/>
        <v>115030019</v>
      </c>
      <c r="B243" s="13">
        <v>11</v>
      </c>
      <c r="C243" s="12">
        <f t="shared" si="97"/>
        <v>5</v>
      </c>
      <c r="D243" s="13">
        <v>3</v>
      </c>
      <c r="E243" s="13">
        <v>0</v>
      </c>
      <c r="F243" s="12">
        <f t="shared" si="98"/>
        <v>19</v>
      </c>
      <c r="H243" s="9">
        <v>5</v>
      </c>
      <c r="I243" s="9">
        <v>19</v>
      </c>
      <c r="K243" s="56" t="s">
        <v>403</v>
      </c>
      <c r="L243" s="9">
        <v>0</v>
      </c>
      <c r="M243" s="9">
        <v>15</v>
      </c>
      <c r="R243" s="9">
        <v>88</v>
      </c>
      <c r="S243" s="86">
        <v>4</v>
      </c>
      <c r="U243" s="86">
        <f t="shared" si="99"/>
        <v>503</v>
      </c>
      <c r="V243" s="86">
        <v>190</v>
      </c>
      <c r="W243" s="86">
        <v>1</v>
      </c>
      <c r="X243" s="86">
        <v>4</v>
      </c>
      <c r="Y243" s="86">
        <v>0</v>
      </c>
      <c r="AA243" s="9" t="s">
        <v>600</v>
      </c>
      <c r="AB243" s="9">
        <v>19</v>
      </c>
      <c r="AD243" s="9">
        <v>50000</v>
      </c>
      <c r="AF243" s="89">
        <f t="shared" si="93"/>
        <v>20000</v>
      </c>
      <c r="AG243" s="9">
        <f t="shared" si="95"/>
        <v>36800</v>
      </c>
      <c r="AI243" s="11">
        <f t="shared" si="92"/>
        <v>95</v>
      </c>
      <c r="AJ243" s="10">
        <v>95</v>
      </c>
      <c r="AK243" s="11">
        <f t="shared" si="101"/>
        <v>1250</v>
      </c>
      <c r="AL243" s="10">
        <v>1250</v>
      </c>
      <c r="AM243" s="11">
        <f t="shared" si="101"/>
        <v>1250</v>
      </c>
      <c r="AN243" s="10">
        <v>1250</v>
      </c>
      <c r="AO243" s="56">
        <f t="shared" si="94"/>
        <v>1</v>
      </c>
      <c r="AQ243" s="11">
        <f ca="1">IFERROR(OFFSET(ITEM_RES!$A$1,MATCH(AR243,ITEM_RES!$J:$J,0)-1,0),0)</f>
        <v>215050001</v>
      </c>
      <c r="AR243" s="10" t="s">
        <v>498</v>
      </c>
      <c r="AS243" s="11">
        <v>6250</v>
      </c>
      <c r="AV243" s="11">
        <f ca="1">IFERROR(OFFSET(ITEM_RES!$A$1,MATCH(AW243,ITEM_RES!$J:$J,0)-1,0),0)</f>
        <v>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100"/>
        <v>0</v>
      </c>
    </row>
    <row r="244" spans="1:66" ht="17.25" thickBot="1" x14ac:dyDescent="0.35">
      <c r="A244" s="14">
        <f t="shared" si="96"/>
        <v>115030020</v>
      </c>
      <c r="B244" s="13">
        <v>11</v>
      </c>
      <c r="C244" s="12">
        <f t="shared" si="97"/>
        <v>5</v>
      </c>
      <c r="D244" s="13">
        <v>3</v>
      </c>
      <c r="E244" s="13">
        <v>0</v>
      </c>
      <c r="F244" s="12">
        <f t="shared" si="98"/>
        <v>20</v>
      </c>
      <c r="H244" s="9">
        <v>5</v>
      </c>
      <c r="I244" s="9">
        <v>20</v>
      </c>
      <c r="K244" s="56" t="s">
        <v>403</v>
      </c>
      <c r="L244" s="9">
        <v>0</v>
      </c>
      <c r="M244" s="9">
        <v>15</v>
      </c>
      <c r="R244" s="9">
        <v>88</v>
      </c>
      <c r="S244" s="86">
        <v>4</v>
      </c>
      <c r="U244" s="86">
        <f t="shared" si="99"/>
        <v>503</v>
      </c>
      <c r="V244" s="86">
        <v>200</v>
      </c>
      <c r="W244" s="86">
        <v>1</v>
      </c>
      <c r="X244" s="86">
        <v>4</v>
      </c>
      <c r="Y244" s="86">
        <v>0</v>
      </c>
      <c r="AA244" s="9" t="s">
        <v>600</v>
      </c>
      <c r="AB244" s="9">
        <v>20</v>
      </c>
      <c r="AD244" s="9">
        <v>60000</v>
      </c>
      <c r="AF244" s="89">
        <f t="shared" si="93"/>
        <v>24000</v>
      </c>
      <c r="AG244" s="9">
        <f t="shared" si="95"/>
        <v>44000</v>
      </c>
      <c r="AI244" s="11">
        <f t="shared" si="92"/>
        <v>100</v>
      </c>
      <c r="AJ244" s="10">
        <v>100</v>
      </c>
      <c r="AK244" s="11">
        <f t="shared" si="101"/>
        <v>1500</v>
      </c>
      <c r="AL244" s="10">
        <v>1500</v>
      </c>
      <c r="AM244" s="11">
        <f t="shared" si="101"/>
        <v>1500</v>
      </c>
      <c r="AN244" s="10">
        <v>1500</v>
      </c>
      <c r="AO244" s="56">
        <f t="shared" si="94"/>
        <v>1</v>
      </c>
      <c r="AQ244" s="11">
        <f ca="1">IFERROR(OFFSET(ITEM_RES!$A$1,MATCH(AR244,ITEM_RES!$J:$J,0)-1,0),0)</f>
        <v>215050001</v>
      </c>
      <c r="AR244" s="10" t="s">
        <v>498</v>
      </c>
      <c r="AS244" s="11">
        <v>7500</v>
      </c>
      <c r="AV244" s="11">
        <f ca="1">IFERROR(OFFSET(ITEM_RES!$A$1,MATCH(AW244,ITEM_RES!$J:$J,0)-1,0),0)</f>
        <v>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100"/>
        <v>0</v>
      </c>
    </row>
    <row r="245" spans="1:66" s="15" customFormat="1" x14ac:dyDescent="0.3">
      <c r="A245" s="21">
        <f t="shared" si="96"/>
        <v>115040001</v>
      </c>
      <c r="B245" s="20">
        <v>11</v>
      </c>
      <c r="C245" s="19">
        <f t="shared" si="97"/>
        <v>5</v>
      </c>
      <c r="D245" s="20">
        <v>4</v>
      </c>
      <c r="E245" s="20">
        <v>0</v>
      </c>
      <c r="F245" s="19">
        <f t="shared" si="98"/>
        <v>1</v>
      </c>
      <c r="G245" s="80"/>
      <c r="H245" s="16">
        <v>5</v>
      </c>
      <c r="I245" s="16">
        <v>1</v>
      </c>
      <c r="J245" s="80"/>
      <c r="K245" s="16" t="s">
        <v>379</v>
      </c>
      <c r="L245" s="16">
        <v>1</v>
      </c>
      <c r="M245" s="16">
        <v>15</v>
      </c>
      <c r="N245" s="16"/>
      <c r="O245" s="17"/>
      <c r="P245" s="17"/>
      <c r="Q245" s="18"/>
      <c r="R245" s="16">
        <v>99</v>
      </c>
      <c r="S245" s="88">
        <v>1</v>
      </c>
      <c r="T245" s="80"/>
      <c r="U245" s="88">
        <f t="shared" si="99"/>
        <v>504</v>
      </c>
      <c r="V245" s="88">
        <v>10</v>
      </c>
      <c r="W245" s="88">
        <v>1</v>
      </c>
      <c r="X245" s="88">
        <v>4</v>
      </c>
      <c r="Y245" s="88">
        <v>100</v>
      </c>
      <c r="Z245" s="16"/>
      <c r="AA245" s="16" t="s">
        <v>601</v>
      </c>
      <c r="AB245" s="16">
        <v>1</v>
      </c>
      <c r="AC245" s="80"/>
      <c r="AD245" s="16">
        <v>400</v>
      </c>
      <c r="AE245" s="80"/>
      <c r="AF245" s="91">
        <f t="shared" si="93"/>
        <v>605</v>
      </c>
      <c r="AG245" s="16">
        <f>AF245</f>
        <v>605</v>
      </c>
      <c r="AH245" s="80"/>
      <c r="AI245" s="18">
        <f t="shared" si="92"/>
        <v>5</v>
      </c>
      <c r="AJ245" s="17">
        <v>5</v>
      </c>
      <c r="AK245" s="18">
        <f t="shared" si="101"/>
        <v>5</v>
      </c>
      <c r="AL245" s="17">
        <v>5</v>
      </c>
      <c r="AM245" s="18">
        <f t="shared" si="101"/>
        <v>5</v>
      </c>
      <c r="AN245" s="17">
        <v>5</v>
      </c>
      <c r="AO245" s="57">
        <f t="shared" si="94"/>
        <v>3</v>
      </c>
      <c r="AP245" s="18"/>
      <c r="AQ245" s="18">
        <f ca="1">IFERROR(OFFSET(ITEM_RES!$A$1,MATCH(AR245,ITEM_RES!$J:$J,0)-1,0),0)</f>
        <v>212040001</v>
      </c>
      <c r="AR245" s="17" t="s">
        <v>483</v>
      </c>
      <c r="AS245" s="18">
        <v>25</v>
      </c>
      <c r="AT245" s="17"/>
      <c r="AU245" s="18"/>
      <c r="AV245" s="18">
        <f ca="1">IFERROR(OFFSET(ITEM_RES!$A$1,MATCH(AW245,ITEM_RES!$J:$J,0)-1,0),0)</f>
        <v>212010001</v>
      </c>
      <c r="AW245" s="17" t="s">
        <v>469</v>
      </c>
      <c r="AX245" s="18">
        <v>25</v>
      </c>
      <c r="AY245" s="17"/>
      <c r="AZ245" s="18"/>
      <c r="BA245" s="18">
        <f ca="1">IFERROR(OFFSET(ITEM_RES!$A$1,MATCH(BB245,ITEM_RES!$J:$J,0)-1,0),0)</f>
        <v>213010001</v>
      </c>
      <c r="BB245" s="17" t="s">
        <v>509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100"/>
        <v>0</v>
      </c>
      <c r="BN245" s="17"/>
    </row>
    <row r="246" spans="1:66" x14ac:dyDescent="0.3">
      <c r="A246" s="14">
        <f t="shared" si="96"/>
        <v>115040002</v>
      </c>
      <c r="B246" s="13">
        <v>11</v>
      </c>
      <c r="C246" s="12">
        <f t="shared" si="97"/>
        <v>5</v>
      </c>
      <c r="D246" s="13">
        <v>4</v>
      </c>
      <c r="E246" s="13">
        <v>0</v>
      </c>
      <c r="F246" s="12">
        <f t="shared" si="98"/>
        <v>2</v>
      </c>
      <c r="H246" s="9">
        <v>5</v>
      </c>
      <c r="I246" s="9">
        <v>2</v>
      </c>
      <c r="K246" s="9" t="s">
        <v>379</v>
      </c>
      <c r="L246" s="9">
        <v>1</v>
      </c>
      <c r="M246" s="9">
        <v>15</v>
      </c>
      <c r="R246" s="9">
        <v>99</v>
      </c>
      <c r="S246" s="86">
        <v>1</v>
      </c>
      <c r="U246" s="86">
        <f t="shared" si="99"/>
        <v>504</v>
      </c>
      <c r="V246" s="86">
        <v>20</v>
      </c>
      <c r="W246" s="86">
        <v>1</v>
      </c>
      <c r="X246" s="86">
        <v>4</v>
      </c>
      <c r="Y246" s="86">
        <v>200</v>
      </c>
      <c r="AA246" s="9" t="s">
        <v>601</v>
      </c>
      <c r="AB246" s="9">
        <v>2</v>
      </c>
      <c r="AD246" s="9">
        <v>800</v>
      </c>
      <c r="AF246" s="89">
        <f t="shared" si="93"/>
        <v>210</v>
      </c>
      <c r="AG246" s="9">
        <f>AF245+AF246</f>
        <v>815</v>
      </c>
      <c r="AI246" s="11">
        <f t="shared" si="92"/>
        <v>10</v>
      </c>
      <c r="AJ246" s="10">
        <v>10</v>
      </c>
      <c r="AK246" s="11">
        <f t="shared" si="101"/>
        <v>10</v>
      </c>
      <c r="AL246" s="10">
        <v>10</v>
      </c>
      <c r="AM246" s="11">
        <f t="shared" si="101"/>
        <v>10</v>
      </c>
      <c r="AN246" s="10">
        <v>10</v>
      </c>
      <c r="AO246" s="56">
        <f t="shared" si="94"/>
        <v>2</v>
      </c>
      <c r="AQ246" s="11">
        <f ca="1">IFERROR(OFFSET(ITEM_RES!$A$1,MATCH(AR246,ITEM_RES!$J:$J,0)-1,0),0)</f>
        <v>212040001</v>
      </c>
      <c r="AR246" s="10" t="s">
        <v>483</v>
      </c>
      <c r="AS246" s="11">
        <v>50</v>
      </c>
      <c r="AV246" s="11">
        <f ca="1">IFERROR(OFFSET(ITEM_RES!$A$1,MATCH(AW246,ITEM_RES!$J:$J,0)-1,0),0)</f>
        <v>212010001</v>
      </c>
      <c r="AW246" s="10" t="s">
        <v>469</v>
      </c>
      <c r="AX246" s="11">
        <v>50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100"/>
        <v>0</v>
      </c>
    </row>
    <row r="247" spans="1:66" x14ac:dyDescent="0.3">
      <c r="A247" s="14">
        <f t="shared" si="96"/>
        <v>115040003</v>
      </c>
      <c r="B247" s="13">
        <v>11</v>
      </c>
      <c r="C247" s="12">
        <f t="shared" si="97"/>
        <v>5</v>
      </c>
      <c r="D247" s="13">
        <v>4</v>
      </c>
      <c r="E247" s="13">
        <v>0</v>
      </c>
      <c r="F247" s="12">
        <f t="shared" si="98"/>
        <v>3</v>
      </c>
      <c r="H247" s="9">
        <v>5</v>
      </c>
      <c r="I247" s="9">
        <v>3</v>
      </c>
      <c r="K247" s="9" t="s">
        <v>379</v>
      </c>
      <c r="L247" s="9">
        <v>1</v>
      </c>
      <c r="M247" s="9">
        <v>15</v>
      </c>
      <c r="R247" s="9">
        <v>99</v>
      </c>
      <c r="S247" s="86">
        <v>1</v>
      </c>
      <c r="U247" s="86">
        <f t="shared" si="99"/>
        <v>504</v>
      </c>
      <c r="V247" s="86">
        <v>30</v>
      </c>
      <c r="W247" s="86">
        <v>1</v>
      </c>
      <c r="X247" s="86">
        <v>4</v>
      </c>
      <c r="Y247" s="86">
        <v>300</v>
      </c>
      <c r="AA247" s="9" t="s">
        <v>601</v>
      </c>
      <c r="AB247" s="9">
        <v>3</v>
      </c>
      <c r="AD247" s="9">
        <v>1200</v>
      </c>
      <c r="AF247" s="89">
        <f t="shared" si="93"/>
        <v>315</v>
      </c>
      <c r="AG247" s="9">
        <f t="shared" ref="AG247:AG264" si="102">AF246+AF247</f>
        <v>525</v>
      </c>
      <c r="AI247" s="11">
        <f t="shared" si="92"/>
        <v>15</v>
      </c>
      <c r="AJ247" s="10">
        <v>15</v>
      </c>
      <c r="AK247" s="11">
        <f t="shared" si="101"/>
        <v>15</v>
      </c>
      <c r="AL247" s="10">
        <v>15</v>
      </c>
      <c r="AM247" s="11">
        <f t="shared" si="101"/>
        <v>15</v>
      </c>
      <c r="AN247" s="10">
        <v>15</v>
      </c>
      <c r="AO247" s="56">
        <f t="shared" si="94"/>
        <v>2</v>
      </c>
      <c r="AQ247" s="11">
        <f ca="1">IFERROR(OFFSET(ITEM_RES!$A$1,MATCH(AR247,ITEM_RES!$J:$J,0)-1,0),0)</f>
        <v>212040001</v>
      </c>
      <c r="AR247" s="10" t="s">
        <v>483</v>
      </c>
      <c r="AS247" s="11">
        <v>75</v>
      </c>
      <c r="AV247" s="11">
        <f ca="1">IFERROR(OFFSET(ITEM_RES!$A$1,MATCH(AW247,ITEM_RES!$J:$J,0)-1,0),0)</f>
        <v>212010001</v>
      </c>
      <c r="AW247" s="10" t="s">
        <v>469</v>
      </c>
      <c r="AX247" s="11">
        <v>75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100"/>
        <v>0</v>
      </c>
    </row>
    <row r="248" spans="1:66" x14ac:dyDescent="0.3">
      <c r="A248" s="14">
        <f t="shared" si="96"/>
        <v>115040004</v>
      </c>
      <c r="B248" s="13">
        <v>11</v>
      </c>
      <c r="C248" s="12">
        <f t="shared" si="97"/>
        <v>5</v>
      </c>
      <c r="D248" s="13">
        <v>4</v>
      </c>
      <c r="E248" s="13">
        <v>0</v>
      </c>
      <c r="F248" s="12">
        <f t="shared" si="98"/>
        <v>4</v>
      </c>
      <c r="H248" s="9">
        <v>5</v>
      </c>
      <c r="I248" s="9">
        <v>4</v>
      </c>
      <c r="K248" s="9" t="s">
        <v>379</v>
      </c>
      <c r="L248" s="9">
        <v>1</v>
      </c>
      <c r="M248" s="9">
        <v>15</v>
      </c>
      <c r="R248" s="9">
        <v>99</v>
      </c>
      <c r="S248" s="86">
        <v>1</v>
      </c>
      <c r="U248" s="86">
        <f t="shared" si="99"/>
        <v>504</v>
      </c>
      <c r="V248" s="86">
        <v>40</v>
      </c>
      <c r="W248" s="86">
        <v>1</v>
      </c>
      <c r="X248" s="86">
        <v>4</v>
      </c>
      <c r="Y248" s="86">
        <v>400</v>
      </c>
      <c r="AA248" s="9" t="s">
        <v>601</v>
      </c>
      <c r="AB248" s="9">
        <v>4</v>
      </c>
      <c r="AD248" s="9">
        <v>2000</v>
      </c>
      <c r="AF248" s="89">
        <f t="shared" si="93"/>
        <v>525</v>
      </c>
      <c r="AG248" s="9">
        <f t="shared" si="102"/>
        <v>840</v>
      </c>
      <c r="AI248" s="11">
        <f t="shared" si="92"/>
        <v>20</v>
      </c>
      <c r="AJ248" s="10">
        <v>20</v>
      </c>
      <c r="AK248" s="11">
        <f t="shared" si="101"/>
        <v>25</v>
      </c>
      <c r="AL248" s="10">
        <v>25</v>
      </c>
      <c r="AM248" s="11">
        <f t="shared" si="101"/>
        <v>25</v>
      </c>
      <c r="AN248" s="10">
        <v>25</v>
      </c>
      <c r="AO248" s="56">
        <f t="shared" si="94"/>
        <v>2</v>
      </c>
      <c r="AQ248" s="11">
        <f ca="1">IFERROR(OFFSET(ITEM_RES!$A$1,MATCH(AR248,ITEM_RES!$J:$J,0)-1,0),0)</f>
        <v>212040001</v>
      </c>
      <c r="AR248" s="10" t="s">
        <v>483</v>
      </c>
      <c r="AS248" s="11">
        <v>125</v>
      </c>
      <c r="AV248" s="11">
        <f ca="1">IFERROR(OFFSET(ITEM_RES!$A$1,MATCH(AW248,ITEM_RES!$J:$J,0)-1,0),0)</f>
        <v>212010001</v>
      </c>
      <c r="AW248" s="10" t="s">
        <v>469</v>
      </c>
      <c r="AX248" s="11">
        <v>125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100"/>
        <v>0</v>
      </c>
    </row>
    <row r="249" spans="1:66" x14ac:dyDescent="0.3">
      <c r="A249" s="14">
        <f t="shared" si="96"/>
        <v>115040005</v>
      </c>
      <c r="B249" s="13">
        <v>11</v>
      </c>
      <c r="C249" s="12">
        <f t="shared" si="97"/>
        <v>5</v>
      </c>
      <c r="D249" s="13">
        <v>4</v>
      </c>
      <c r="E249" s="13">
        <v>0</v>
      </c>
      <c r="F249" s="12">
        <f t="shared" si="98"/>
        <v>5</v>
      </c>
      <c r="H249" s="9">
        <v>5</v>
      </c>
      <c r="I249" s="9">
        <v>5</v>
      </c>
      <c r="K249" s="9" t="s">
        <v>379</v>
      </c>
      <c r="L249" s="9">
        <v>1</v>
      </c>
      <c r="M249" s="9">
        <v>15</v>
      </c>
      <c r="R249" s="9">
        <v>99</v>
      </c>
      <c r="S249" s="86">
        <v>1</v>
      </c>
      <c r="U249" s="86">
        <f t="shared" si="99"/>
        <v>504</v>
      </c>
      <c r="V249" s="86">
        <v>50</v>
      </c>
      <c r="W249" s="86">
        <v>1</v>
      </c>
      <c r="X249" s="86">
        <v>4</v>
      </c>
      <c r="Y249" s="86">
        <v>500</v>
      </c>
      <c r="AA249" s="9" t="s">
        <v>601</v>
      </c>
      <c r="AB249" s="9">
        <v>5</v>
      </c>
      <c r="AD249" s="9">
        <v>3200</v>
      </c>
      <c r="AF249" s="89">
        <f t="shared" si="93"/>
        <v>840</v>
      </c>
      <c r="AG249" s="9">
        <f t="shared" si="102"/>
        <v>1365</v>
      </c>
      <c r="AI249" s="11">
        <f t="shared" si="92"/>
        <v>25</v>
      </c>
      <c r="AJ249" s="10">
        <v>25</v>
      </c>
      <c r="AK249" s="11">
        <f t="shared" si="101"/>
        <v>40</v>
      </c>
      <c r="AL249" s="10">
        <v>40</v>
      </c>
      <c r="AM249" s="11">
        <f t="shared" si="101"/>
        <v>40</v>
      </c>
      <c r="AN249" s="10">
        <v>40</v>
      </c>
      <c r="AO249" s="56">
        <f t="shared" si="94"/>
        <v>2</v>
      </c>
      <c r="AQ249" s="11">
        <f ca="1">IFERROR(OFFSET(ITEM_RES!$A$1,MATCH(AR249,ITEM_RES!$J:$J,0)-1,0),0)</f>
        <v>212040001</v>
      </c>
      <c r="AR249" s="10" t="s">
        <v>483</v>
      </c>
      <c r="AS249" s="11">
        <v>200</v>
      </c>
      <c r="AV249" s="11">
        <f ca="1">IFERROR(OFFSET(ITEM_RES!$A$1,MATCH(AW249,ITEM_RES!$J:$J,0)-1,0),0)</f>
        <v>212010001</v>
      </c>
      <c r="AW249" s="10" t="s">
        <v>469</v>
      </c>
      <c r="AX249" s="11">
        <v>200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100"/>
        <v>0</v>
      </c>
    </row>
    <row r="250" spans="1:66" x14ac:dyDescent="0.3">
      <c r="A250" s="14">
        <f t="shared" si="96"/>
        <v>115040006</v>
      </c>
      <c r="B250" s="13">
        <v>11</v>
      </c>
      <c r="C250" s="12">
        <f t="shared" si="97"/>
        <v>5</v>
      </c>
      <c r="D250" s="13">
        <v>4</v>
      </c>
      <c r="E250" s="13">
        <v>0</v>
      </c>
      <c r="F250" s="12">
        <f t="shared" si="98"/>
        <v>6</v>
      </c>
      <c r="H250" s="9">
        <v>5</v>
      </c>
      <c r="I250" s="9">
        <v>6</v>
      </c>
      <c r="K250" s="9" t="s">
        <v>379</v>
      </c>
      <c r="L250" s="9">
        <v>1</v>
      </c>
      <c r="M250" s="9">
        <v>15</v>
      </c>
      <c r="R250" s="9">
        <v>99</v>
      </c>
      <c r="S250" s="86">
        <v>1</v>
      </c>
      <c r="U250" s="86">
        <f t="shared" si="99"/>
        <v>504</v>
      </c>
      <c r="V250" s="86">
        <v>60</v>
      </c>
      <c r="W250" s="86">
        <v>1</v>
      </c>
      <c r="X250" s="86">
        <v>4</v>
      </c>
      <c r="Y250" s="86">
        <v>100</v>
      </c>
      <c r="AA250" s="9" t="s">
        <v>601</v>
      </c>
      <c r="AB250" s="9">
        <v>6</v>
      </c>
      <c r="AD250" s="9">
        <v>4000</v>
      </c>
      <c r="AF250" s="89">
        <f t="shared" si="93"/>
        <v>1050</v>
      </c>
      <c r="AG250" s="9">
        <f t="shared" si="102"/>
        <v>1890</v>
      </c>
      <c r="AI250" s="11">
        <f t="shared" si="92"/>
        <v>30</v>
      </c>
      <c r="AJ250" s="10">
        <v>30</v>
      </c>
      <c r="AK250" s="11">
        <f t="shared" si="101"/>
        <v>50</v>
      </c>
      <c r="AL250" s="10">
        <v>50</v>
      </c>
      <c r="AM250" s="11">
        <f t="shared" si="101"/>
        <v>50</v>
      </c>
      <c r="AN250" s="10">
        <v>50</v>
      </c>
      <c r="AO250" s="56">
        <f t="shared" si="94"/>
        <v>2</v>
      </c>
      <c r="AQ250" s="11">
        <f ca="1">IFERROR(OFFSET(ITEM_RES!$A$1,MATCH(AR250,ITEM_RES!$J:$J,0)-1,0),0)</f>
        <v>212040001</v>
      </c>
      <c r="AR250" s="10" t="s">
        <v>483</v>
      </c>
      <c r="AS250" s="11">
        <v>250</v>
      </c>
      <c r="AV250" s="11">
        <f ca="1">IFERROR(OFFSET(ITEM_RES!$A$1,MATCH(AW250,ITEM_RES!$J:$J,0)-1,0),0)</f>
        <v>212010001</v>
      </c>
      <c r="AW250" s="10" t="s">
        <v>469</v>
      </c>
      <c r="AX250" s="11">
        <v>250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100"/>
        <v>0</v>
      </c>
    </row>
    <row r="251" spans="1:66" x14ac:dyDescent="0.3">
      <c r="A251" s="14">
        <f t="shared" si="96"/>
        <v>115040007</v>
      </c>
      <c r="B251" s="13">
        <v>11</v>
      </c>
      <c r="C251" s="12">
        <f t="shared" si="97"/>
        <v>5</v>
      </c>
      <c r="D251" s="13">
        <v>4</v>
      </c>
      <c r="E251" s="13">
        <v>0</v>
      </c>
      <c r="F251" s="12">
        <f t="shared" si="98"/>
        <v>7</v>
      </c>
      <c r="H251" s="9">
        <v>5</v>
      </c>
      <c r="I251" s="9">
        <v>7</v>
      </c>
      <c r="K251" s="9" t="s">
        <v>379</v>
      </c>
      <c r="L251" s="9">
        <v>1</v>
      </c>
      <c r="M251" s="9">
        <v>15</v>
      </c>
      <c r="R251" s="9">
        <v>99</v>
      </c>
      <c r="S251" s="86">
        <v>1</v>
      </c>
      <c r="U251" s="86">
        <f t="shared" si="99"/>
        <v>504</v>
      </c>
      <c r="V251" s="86">
        <v>70</v>
      </c>
      <c r="W251" s="86">
        <v>1</v>
      </c>
      <c r="X251" s="86">
        <v>4</v>
      </c>
      <c r="Y251" s="86">
        <v>200</v>
      </c>
      <c r="AA251" s="9" t="s">
        <v>601</v>
      </c>
      <c r="AB251" s="9">
        <v>7</v>
      </c>
      <c r="AD251" s="9">
        <v>8000</v>
      </c>
      <c r="AF251" s="89">
        <f t="shared" si="93"/>
        <v>2100</v>
      </c>
      <c r="AG251" s="9">
        <f t="shared" si="102"/>
        <v>3150</v>
      </c>
      <c r="AI251" s="11">
        <f t="shared" si="92"/>
        <v>35</v>
      </c>
      <c r="AJ251" s="10">
        <v>35</v>
      </c>
      <c r="AK251" s="11">
        <f t="shared" si="101"/>
        <v>100</v>
      </c>
      <c r="AL251" s="10">
        <v>100</v>
      </c>
      <c r="AM251" s="11">
        <f t="shared" si="101"/>
        <v>100</v>
      </c>
      <c r="AN251" s="10">
        <v>100</v>
      </c>
      <c r="AO251" s="56">
        <f t="shared" si="94"/>
        <v>2</v>
      </c>
      <c r="AQ251" s="11">
        <f ca="1">IFERROR(OFFSET(ITEM_RES!$A$1,MATCH(AR251,ITEM_RES!$J:$J,0)-1,0),0)</f>
        <v>212040001</v>
      </c>
      <c r="AR251" s="10" t="s">
        <v>483</v>
      </c>
      <c r="AS251" s="11">
        <v>500</v>
      </c>
      <c r="AV251" s="11">
        <f ca="1">IFERROR(OFFSET(ITEM_RES!$A$1,MATCH(AW251,ITEM_RES!$J:$J,0)-1,0),0)</f>
        <v>212010001</v>
      </c>
      <c r="AW251" s="10" t="s">
        <v>469</v>
      </c>
      <c r="AX251" s="11">
        <v>500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100"/>
        <v>0</v>
      </c>
    </row>
    <row r="252" spans="1:66" x14ac:dyDescent="0.3">
      <c r="A252" s="14">
        <f t="shared" si="96"/>
        <v>115040008</v>
      </c>
      <c r="B252" s="13">
        <v>11</v>
      </c>
      <c r="C252" s="12">
        <f t="shared" si="97"/>
        <v>5</v>
      </c>
      <c r="D252" s="13">
        <v>4</v>
      </c>
      <c r="E252" s="13">
        <v>0</v>
      </c>
      <c r="F252" s="12">
        <f t="shared" si="98"/>
        <v>8</v>
      </c>
      <c r="H252" s="9">
        <v>5</v>
      </c>
      <c r="I252" s="9">
        <v>8</v>
      </c>
      <c r="K252" s="9" t="s">
        <v>379</v>
      </c>
      <c r="L252" s="9">
        <v>1</v>
      </c>
      <c r="M252" s="9">
        <v>15</v>
      </c>
      <c r="R252" s="9">
        <v>99</v>
      </c>
      <c r="S252" s="86">
        <v>1</v>
      </c>
      <c r="U252" s="86">
        <f t="shared" si="99"/>
        <v>504</v>
      </c>
      <c r="V252" s="86">
        <v>80</v>
      </c>
      <c r="W252" s="86">
        <v>1</v>
      </c>
      <c r="X252" s="86">
        <v>4</v>
      </c>
      <c r="Y252" s="86">
        <v>300</v>
      </c>
      <c r="AA252" s="9" t="s">
        <v>601</v>
      </c>
      <c r="AB252" s="9">
        <v>8</v>
      </c>
      <c r="AD252" s="9">
        <v>8000</v>
      </c>
      <c r="AF252" s="89">
        <f t="shared" si="93"/>
        <v>2600</v>
      </c>
      <c r="AG252" s="9">
        <f t="shared" si="102"/>
        <v>4700</v>
      </c>
      <c r="AI252" s="11">
        <f t="shared" si="92"/>
        <v>40</v>
      </c>
      <c r="AJ252" s="10">
        <v>40</v>
      </c>
      <c r="AK252" s="11">
        <f t="shared" si="101"/>
        <v>100</v>
      </c>
      <c r="AL252" s="10">
        <v>100</v>
      </c>
      <c r="AM252" s="11">
        <f t="shared" si="101"/>
        <v>100</v>
      </c>
      <c r="AN252" s="10">
        <v>100</v>
      </c>
      <c r="AO252" s="56">
        <f t="shared" si="94"/>
        <v>3</v>
      </c>
      <c r="AQ252" s="11">
        <f ca="1">IFERROR(OFFSET(ITEM_RES!$A$1,MATCH(AR252,ITEM_RES!$J:$J,0)-1,0),0)</f>
        <v>212040001</v>
      </c>
      <c r="AR252" s="10" t="s">
        <v>483</v>
      </c>
      <c r="AS252" s="11">
        <v>500</v>
      </c>
      <c r="AV252" s="11">
        <f ca="1">IFERROR(OFFSET(ITEM_RES!$A$1,MATCH(AW252,ITEM_RES!$J:$J,0)-1,0),0)</f>
        <v>212010001</v>
      </c>
      <c r="AW252" s="10" t="s">
        <v>469</v>
      </c>
      <c r="AX252" s="11">
        <v>500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213090001</v>
      </c>
      <c r="BG252" s="10" t="s">
        <v>521</v>
      </c>
      <c r="BH252" s="11">
        <v>1</v>
      </c>
      <c r="BK252" s="11">
        <f ca="1">IFERROR(OFFSET(ITEM_RES!$A$1,MATCH(BL252,ITEM_RES!$J:$J,0)-1,0),0)</f>
        <v>0</v>
      </c>
      <c r="BM252" s="11">
        <f t="shared" si="100"/>
        <v>0</v>
      </c>
    </row>
    <row r="253" spans="1:66" x14ac:dyDescent="0.3">
      <c r="A253" s="14">
        <f t="shared" si="96"/>
        <v>115040009</v>
      </c>
      <c r="B253" s="13">
        <v>11</v>
      </c>
      <c r="C253" s="12">
        <f t="shared" si="97"/>
        <v>5</v>
      </c>
      <c r="D253" s="13">
        <v>4</v>
      </c>
      <c r="E253" s="13">
        <v>0</v>
      </c>
      <c r="F253" s="12">
        <f t="shared" si="98"/>
        <v>9</v>
      </c>
      <c r="H253" s="9">
        <v>5</v>
      </c>
      <c r="I253" s="9">
        <v>9</v>
      </c>
      <c r="K253" s="9" t="s">
        <v>379</v>
      </c>
      <c r="L253" s="9">
        <v>1</v>
      </c>
      <c r="M253" s="9">
        <v>15</v>
      </c>
      <c r="R253" s="9">
        <v>99</v>
      </c>
      <c r="S253" s="86">
        <v>1</v>
      </c>
      <c r="U253" s="86">
        <f t="shared" si="99"/>
        <v>504</v>
      </c>
      <c r="V253" s="86">
        <v>90</v>
      </c>
      <c r="W253" s="86">
        <v>1</v>
      </c>
      <c r="X253" s="86">
        <v>4</v>
      </c>
      <c r="Y253" s="86">
        <v>400</v>
      </c>
      <c r="AA253" s="9" t="s">
        <v>601</v>
      </c>
      <c r="AB253" s="9">
        <v>9</v>
      </c>
      <c r="AD253" s="9">
        <v>12000</v>
      </c>
      <c r="AF253" s="89">
        <f t="shared" si="93"/>
        <v>3150</v>
      </c>
      <c r="AG253" s="9">
        <f t="shared" si="102"/>
        <v>5750</v>
      </c>
      <c r="AI253" s="11">
        <f t="shared" si="92"/>
        <v>45</v>
      </c>
      <c r="AJ253" s="10">
        <v>45</v>
      </c>
      <c r="AK253" s="11">
        <f t="shared" si="101"/>
        <v>150</v>
      </c>
      <c r="AL253" s="10">
        <v>150</v>
      </c>
      <c r="AM253" s="11">
        <f t="shared" si="101"/>
        <v>150</v>
      </c>
      <c r="AN253" s="10">
        <v>150</v>
      </c>
      <c r="AO253" s="56">
        <f t="shared" si="94"/>
        <v>2</v>
      </c>
      <c r="AQ253" s="11">
        <f ca="1">IFERROR(OFFSET(ITEM_RES!$A$1,MATCH(AR253,ITEM_RES!$J:$J,0)-1,0),0)</f>
        <v>212040001</v>
      </c>
      <c r="AR253" s="10" t="s">
        <v>483</v>
      </c>
      <c r="AS253" s="11">
        <v>750</v>
      </c>
      <c r="AV253" s="11">
        <f ca="1">IFERROR(OFFSET(ITEM_RES!$A$1,MATCH(AW253,ITEM_RES!$J:$J,0)-1,0),0)</f>
        <v>212010001</v>
      </c>
      <c r="AW253" s="10" t="s">
        <v>469</v>
      </c>
      <c r="AX253" s="11">
        <v>750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100"/>
        <v>0</v>
      </c>
    </row>
    <row r="254" spans="1:66" x14ac:dyDescent="0.3">
      <c r="A254" s="14">
        <f t="shared" si="96"/>
        <v>115040010</v>
      </c>
      <c r="B254" s="13">
        <v>11</v>
      </c>
      <c r="C254" s="12">
        <f t="shared" si="97"/>
        <v>5</v>
      </c>
      <c r="D254" s="13">
        <v>4</v>
      </c>
      <c r="E254" s="13">
        <v>0</v>
      </c>
      <c r="F254" s="12">
        <f t="shared" si="98"/>
        <v>10</v>
      </c>
      <c r="H254" s="9">
        <v>5</v>
      </c>
      <c r="I254" s="9">
        <v>10</v>
      </c>
      <c r="K254" s="9" t="s">
        <v>379</v>
      </c>
      <c r="L254" s="9">
        <v>1</v>
      </c>
      <c r="M254" s="9">
        <v>15</v>
      </c>
      <c r="R254" s="9">
        <v>99</v>
      </c>
      <c r="S254" s="86">
        <v>1</v>
      </c>
      <c r="U254" s="86">
        <f t="shared" si="99"/>
        <v>504</v>
      </c>
      <c r="V254" s="86">
        <v>100</v>
      </c>
      <c r="W254" s="86">
        <v>1</v>
      </c>
      <c r="X254" s="86">
        <v>4</v>
      </c>
      <c r="Y254" s="86">
        <v>500</v>
      </c>
      <c r="AA254" s="9" t="s">
        <v>601</v>
      </c>
      <c r="AB254" s="9">
        <v>10</v>
      </c>
      <c r="AD254" s="9">
        <v>16000</v>
      </c>
      <c r="AF254" s="89">
        <f t="shared" si="93"/>
        <v>4200</v>
      </c>
      <c r="AG254" s="9">
        <f t="shared" si="102"/>
        <v>7350</v>
      </c>
      <c r="AI254" s="11">
        <f t="shared" si="92"/>
        <v>50</v>
      </c>
      <c r="AJ254" s="10">
        <v>50</v>
      </c>
      <c r="AK254" s="11">
        <f t="shared" si="101"/>
        <v>200</v>
      </c>
      <c r="AL254" s="10">
        <v>200</v>
      </c>
      <c r="AM254" s="11">
        <f t="shared" si="101"/>
        <v>200</v>
      </c>
      <c r="AN254" s="10">
        <v>200</v>
      </c>
      <c r="AO254" s="56">
        <f t="shared" si="94"/>
        <v>2</v>
      </c>
      <c r="AQ254" s="11">
        <f ca="1">IFERROR(OFFSET(ITEM_RES!$A$1,MATCH(AR254,ITEM_RES!$J:$J,0)-1,0),0)</f>
        <v>212040001</v>
      </c>
      <c r="AR254" s="10" t="s">
        <v>483</v>
      </c>
      <c r="AS254" s="11">
        <v>1000</v>
      </c>
      <c r="AV254" s="11">
        <f ca="1">IFERROR(OFFSET(ITEM_RES!$A$1,MATCH(AW254,ITEM_RES!$J:$J,0)-1,0),0)</f>
        <v>212010001</v>
      </c>
      <c r="AW254" s="10" t="s">
        <v>469</v>
      </c>
      <c r="AX254" s="11">
        <v>1000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0</v>
      </c>
      <c r="BK254" s="11">
        <f ca="1">IFERROR(OFFSET(ITEM_RES!$A$1,MATCH(BL254,ITEM_RES!$J:$J,0)-1,0),0)</f>
        <v>0</v>
      </c>
      <c r="BM254" s="11">
        <f t="shared" si="100"/>
        <v>0</v>
      </c>
    </row>
    <row r="255" spans="1:66" x14ac:dyDescent="0.3">
      <c r="A255" s="14">
        <f t="shared" si="96"/>
        <v>115040011</v>
      </c>
      <c r="B255" s="13">
        <v>11</v>
      </c>
      <c r="C255" s="12">
        <f t="shared" si="97"/>
        <v>5</v>
      </c>
      <c r="D255" s="13">
        <v>4</v>
      </c>
      <c r="E255" s="13">
        <v>0</v>
      </c>
      <c r="F255" s="12">
        <f t="shared" si="98"/>
        <v>11</v>
      </c>
      <c r="H255" s="9">
        <v>5</v>
      </c>
      <c r="I255" s="9">
        <v>11</v>
      </c>
      <c r="K255" s="9" t="s">
        <v>379</v>
      </c>
      <c r="L255" s="9">
        <v>1</v>
      </c>
      <c r="M255" s="9">
        <v>15</v>
      </c>
      <c r="R255" s="9">
        <v>99</v>
      </c>
      <c r="S255" s="86">
        <v>1</v>
      </c>
      <c r="U255" s="86">
        <f t="shared" si="99"/>
        <v>504</v>
      </c>
      <c r="V255" s="86">
        <v>110</v>
      </c>
      <c r="W255" s="86">
        <v>1</v>
      </c>
      <c r="X255" s="86">
        <v>4</v>
      </c>
      <c r="Y255" s="86">
        <v>100</v>
      </c>
      <c r="AA255" s="9" t="s">
        <v>601</v>
      </c>
      <c r="AB255" s="9">
        <v>11</v>
      </c>
      <c r="AD255" s="9">
        <v>20000</v>
      </c>
      <c r="AF255" s="89">
        <f t="shared" si="93"/>
        <v>5250</v>
      </c>
      <c r="AG255" s="9">
        <f t="shared" si="102"/>
        <v>9450</v>
      </c>
      <c r="AI255" s="11">
        <f t="shared" si="92"/>
        <v>55</v>
      </c>
      <c r="AJ255" s="10">
        <v>55</v>
      </c>
      <c r="AK255" s="11">
        <f t="shared" si="101"/>
        <v>250</v>
      </c>
      <c r="AL255" s="10">
        <v>250</v>
      </c>
      <c r="AM255" s="11">
        <f t="shared" si="101"/>
        <v>250</v>
      </c>
      <c r="AN255" s="10">
        <v>250</v>
      </c>
      <c r="AO255" s="56">
        <f t="shared" si="94"/>
        <v>2</v>
      </c>
      <c r="AQ255" s="11">
        <f ca="1">IFERROR(OFFSET(ITEM_RES!$A$1,MATCH(AR255,ITEM_RES!$J:$J,0)-1,0),0)</f>
        <v>212040001</v>
      </c>
      <c r="AR255" s="10" t="s">
        <v>483</v>
      </c>
      <c r="AS255" s="11">
        <v>1250</v>
      </c>
      <c r="AV255" s="11">
        <f ca="1">IFERROR(OFFSET(ITEM_RES!$A$1,MATCH(AW255,ITEM_RES!$J:$J,0)-1,0),0)</f>
        <v>212010001</v>
      </c>
      <c r="AW255" s="10" t="s">
        <v>469</v>
      </c>
      <c r="AX255" s="11">
        <v>1250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100"/>
        <v>0</v>
      </c>
    </row>
    <row r="256" spans="1:66" x14ac:dyDescent="0.3">
      <c r="A256" s="14">
        <f t="shared" si="96"/>
        <v>115040012</v>
      </c>
      <c r="B256" s="13">
        <v>11</v>
      </c>
      <c r="C256" s="12">
        <f t="shared" si="97"/>
        <v>5</v>
      </c>
      <c r="D256" s="13">
        <v>4</v>
      </c>
      <c r="E256" s="13">
        <v>0</v>
      </c>
      <c r="F256" s="12">
        <f t="shared" si="98"/>
        <v>12</v>
      </c>
      <c r="H256" s="9">
        <v>5</v>
      </c>
      <c r="I256" s="9">
        <v>12</v>
      </c>
      <c r="K256" s="9" t="s">
        <v>379</v>
      </c>
      <c r="L256" s="9">
        <v>1</v>
      </c>
      <c r="M256" s="9">
        <v>15</v>
      </c>
      <c r="R256" s="9">
        <v>99</v>
      </c>
      <c r="S256" s="86">
        <v>1</v>
      </c>
      <c r="U256" s="86">
        <f t="shared" si="99"/>
        <v>504</v>
      </c>
      <c r="V256" s="86">
        <v>120</v>
      </c>
      <c r="W256" s="86">
        <v>1</v>
      </c>
      <c r="X256" s="86">
        <v>4</v>
      </c>
      <c r="Y256" s="86">
        <v>200</v>
      </c>
      <c r="AA256" s="9" t="s">
        <v>601</v>
      </c>
      <c r="AB256" s="9">
        <v>12</v>
      </c>
      <c r="AD256" s="9">
        <v>24000</v>
      </c>
      <c r="AF256" s="89">
        <f t="shared" si="93"/>
        <v>6300</v>
      </c>
      <c r="AG256" s="9">
        <f t="shared" si="102"/>
        <v>11550</v>
      </c>
      <c r="AI256" s="11">
        <f t="shared" si="92"/>
        <v>60</v>
      </c>
      <c r="AJ256" s="10">
        <v>60</v>
      </c>
      <c r="AK256" s="11">
        <f t="shared" si="101"/>
        <v>300</v>
      </c>
      <c r="AL256" s="10">
        <v>300</v>
      </c>
      <c r="AM256" s="11">
        <f t="shared" si="101"/>
        <v>300</v>
      </c>
      <c r="AN256" s="10">
        <v>300</v>
      </c>
      <c r="AO256" s="56">
        <f t="shared" si="94"/>
        <v>2</v>
      </c>
      <c r="AQ256" s="11">
        <f ca="1">IFERROR(OFFSET(ITEM_RES!$A$1,MATCH(AR256,ITEM_RES!$J:$J,0)-1,0),0)</f>
        <v>212040001</v>
      </c>
      <c r="AR256" s="10" t="s">
        <v>483</v>
      </c>
      <c r="AS256" s="11">
        <v>1500</v>
      </c>
      <c r="AV256" s="11">
        <f ca="1">IFERROR(OFFSET(ITEM_RES!$A$1,MATCH(AW256,ITEM_RES!$J:$J,0)-1,0),0)</f>
        <v>212010001</v>
      </c>
      <c r="AW256" s="10" t="s">
        <v>469</v>
      </c>
      <c r="AX256" s="11">
        <v>1500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100"/>
        <v>0</v>
      </c>
    </row>
    <row r="257" spans="1:66" x14ac:dyDescent="0.3">
      <c r="A257" s="14">
        <f t="shared" si="96"/>
        <v>115040013</v>
      </c>
      <c r="B257" s="13">
        <v>11</v>
      </c>
      <c r="C257" s="12">
        <f t="shared" si="97"/>
        <v>5</v>
      </c>
      <c r="D257" s="13">
        <v>4</v>
      </c>
      <c r="E257" s="13">
        <v>0</v>
      </c>
      <c r="F257" s="12">
        <f t="shared" si="98"/>
        <v>13</v>
      </c>
      <c r="H257" s="9">
        <v>5</v>
      </c>
      <c r="I257" s="9">
        <v>13</v>
      </c>
      <c r="K257" s="9" t="s">
        <v>379</v>
      </c>
      <c r="L257" s="9">
        <v>1</v>
      </c>
      <c r="M257" s="9">
        <v>15</v>
      </c>
      <c r="R257" s="9">
        <v>99</v>
      </c>
      <c r="S257" s="86">
        <v>1</v>
      </c>
      <c r="U257" s="86">
        <f t="shared" si="99"/>
        <v>504</v>
      </c>
      <c r="V257" s="86">
        <v>130</v>
      </c>
      <c r="W257" s="86">
        <v>1</v>
      </c>
      <c r="X257" s="86">
        <v>4</v>
      </c>
      <c r="Y257" s="86">
        <v>300</v>
      </c>
      <c r="AA257" s="9" t="s">
        <v>601</v>
      </c>
      <c r="AB257" s="9">
        <v>13</v>
      </c>
      <c r="AD257" s="9">
        <v>28000</v>
      </c>
      <c r="AF257" s="89">
        <f t="shared" si="93"/>
        <v>7350</v>
      </c>
      <c r="AG257" s="9">
        <f t="shared" si="102"/>
        <v>13650</v>
      </c>
      <c r="AI257" s="11">
        <f t="shared" si="92"/>
        <v>65</v>
      </c>
      <c r="AJ257" s="10">
        <v>65</v>
      </c>
      <c r="AK257" s="11">
        <f t="shared" si="101"/>
        <v>350</v>
      </c>
      <c r="AL257" s="10">
        <v>350</v>
      </c>
      <c r="AM257" s="11">
        <f t="shared" si="101"/>
        <v>350</v>
      </c>
      <c r="AN257" s="10">
        <v>350</v>
      </c>
      <c r="AO257" s="56">
        <f t="shared" si="94"/>
        <v>2</v>
      </c>
      <c r="AQ257" s="11">
        <f ca="1">IFERROR(OFFSET(ITEM_RES!$A$1,MATCH(AR257,ITEM_RES!$J:$J,0)-1,0),0)</f>
        <v>212040001</v>
      </c>
      <c r="AR257" s="10" t="s">
        <v>483</v>
      </c>
      <c r="AS257" s="11">
        <v>1750</v>
      </c>
      <c r="AV257" s="11">
        <f ca="1">IFERROR(OFFSET(ITEM_RES!$A$1,MATCH(AW257,ITEM_RES!$J:$J,0)-1,0),0)</f>
        <v>212010001</v>
      </c>
      <c r="AW257" s="10" t="s">
        <v>469</v>
      </c>
      <c r="AX257" s="11">
        <v>1750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si="100"/>
        <v>0</v>
      </c>
    </row>
    <row r="258" spans="1:66" x14ac:dyDescent="0.3">
      <c r="A258" s="14">
        <f t="shared" si="96"/>
        <v>115040014</v>
      </c>
      <c r="B258" s="13">
        <v>11</v>
      </c>
      <c r="C258" s="12">
        <f t="shared" si="97"/>
        <v>5</v>
      </c>
      <c r="D258" s="13">
        <v>4</v>
      </c>
      <c r="E258" s="13">
        <v>0</v>
      </c>
      <c r="F258" s="12">
        <f t="shared" si="98"/>
        <v>14</v>
      </c>
      <c r="H258" s="9">
        <v>5</v>
      </c>
      <c r="I258" s="9">
        <v>14</v>
      </c>
      <c r="K258" s="9" t="s">
        <v>379</v>
      </c>
      <c r="L258" s="9">
        <v>1</v>
      </c>
      <c r="M258" s="9">
        <v>15</v>
      </c>
      <c r="R258" s="9">
        <v>99</v>
      </c>
      <c r="S258" s="86">
        <v>1</v>
      </c>
      <c r="U258" s="86">
        <f t="shared" si="99"/>
        <v>504</v>
      </c>
      <c r="V258" s="86">
        <v>140</v>
      </c>
      <c r="W258" s="86">
        <v>1</v>
      </c>
      <c r="X258" s="86">
        <v>4</v>
      </c>
      <c r="Y258" s="86">
        <v>400</v>
      </c>
      <c r="AA258" s="9" t="s">
        <v>601</v>
      </c>
      <c r="AB258" s="9">
        <v>14</v>
      </c>
      <c r="AD258" s="9">
        <v>36000</v>
      </c>
      <c r="AF258" s="89">
        <f t="shared" si="93"/>
        <v>9450</v>
      </c>
      <c r="AG258" s="9">
        <f t="shared" si="102"/>
        <v>16800</v>
      </c>
      <c r="AI258" s="11">
        <f t="shared" si="92"/>
        <v>70</v>
      </c>
      <c r="AJ258" s="10">
        <v>70</v>
      </c>
      <c r="AK258" s="11">
        <f t="shared" si="101"/>
        <v>450</v>
      </c>
      <c r="AL258" s="10">
        <v>450</v>
      </c>
      <c r="AM258" s="11">
        <f t="shared" si="101"/>
        <v>450</v>
      </c>
      <c r="AN258" s="10">
        <v>450</v>
      </c>
      <c r="AO258" s="56">
        <f t="shared" si="94"/>
        <v>2</v>
      </c>
      <c r="AQ258" s="11">
        <f ca="1">IFERROR(OFFSET(ITEM_RES!$A$1,MATCH(AR258,ITEM_RES!$J:$J,0)-1,0),0)</f>
        <v>212040001</v>
      </c>
      <c r="AR258" s="10" t="s">
        <v>483</v>
      </c>
      <c r="AS258" s="11">
        <v>2250</v>
      </c>
      <c r="AV258" s="11">
        <f ca="1">IFERROR(OFFSET(ITEM_RES!$A$1,MATCH(AW258,ITEM_RES!$J:$J,0)-1,0),0)</f>
        <v>212010001</v>
      </c>
      <c r="AW258" s="10" t="s">
        <v>469</v>
      </c>
      <c r="AX258" s="11">
        <v>2250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100"/>
        <v>0</v>
      </c>
    </row>
    <row r="259" spans="1:66" x14ac:dyDescent="0.3">
      <c r="A259" s="14">
        <f t="shared" si="96"/>
        <v>115040015</v>
      </c>
      <c r="B259" s="13">
        <v>11</v>
      </c>
      <c r="C259" s="12">
        <f t="shared" si="97"/>
        <v>5</v>
      </c>
      <c r="D259" s="13">
        <v>4</v>
      </c>
      <c r="E259" s="13">
        <v>0</v>
      </c>
      <c r="F259" s="12">
        <f t="shared" si="98"/>
        <v>15</v>
      </c>
      <c r="H259" s="9">
        <v>5</v>
      </c>
      <c r="I259" s="9">
        <v>15</v>
      </c>
      <c r="K259" s="9" t="s">
        <v>379</v>
      </c>
      <c r="L259" s="9">
        <v>1</v>
      </c>
      <c r="M259" s="9">
        <v>15</v>
      </c>
      <c r="R259" s="9">
        <v>99</v>
      </c>
      <c r="S259" s="86">
        <v>1</v>
      </c>
      <c r="U259" s="86">
        <f t="shared" si="99"/>
        <v>504</v>
      </c>
      <c r="V259" s="86">
        <v>150</v>
      </c>
      <c r="W259" s="86">
        <v>1</v>
      </c>
      <c r="X259" s="86">
        <v>4</v>
      </c>
      <c r="Y259" s="86">
        <v>500</v>
      </c>
      <c r="AA259" s="9" t="s">
        <v>601</v>
      </c>
      <c r="AB259" s="9">
        <v>15</v>
      </c>
      <c r="AD259" s="9">
        <v>44000</v>
      </c>
      <c r="AF259" s="89">
        <f t="shared" si="93"/>
        <v>11550</v>
      </c>
      <c r="AG259" s="9">
        <f t="shared" si="102"/>
        <v>21000</v>
      </c>
      <c r="AI259" s="11">
        <f t="shared" si="92"/>
        <v>75</v>
      </c>
      <c r="AJ259" s="10">
        <v>75</v>
      </c>
      <c r="AK259" s="11">
        <f t="shared" si="101"/>
        <v>550</v>
      </c>
      <c r="AL259" s="10">
        <v>550</v>
      </c>
      <c r="AM259" s="11">
        <f t="shared" si="101"/>
        <v>550</v>
      </c>
      <c r="AN259" s="10">
        <v>550</v>
      </c>
      <c r="AO259" s="56">
        <f t="shared" si="94"/>
        <v>2</v>
      </c>
      <c r="AQ259" s="11">
        <f ca="1">IFERROR(OFFSET(ITEM_RES!$A$1,MATCH(AR259,ITEM_RES!$J:$J,0)-1,0),0)</f>
        <v>212040001</v>
      </c>
      <c r="AR259" s="10" t="s">
        <v>483</v>
      </c>
      <c r="AS259" s="11">
        <v>2750</v>
      </c>
      <c r="AV259" s="11">
        <f ca="1">IFERROR(OFFSET(ITEM_RES!$A$1,MATCH(AW259,ITEM_RES!$J:$J,0)-1,0),0)</f>
        <v>212010001</v>
      </c>
      <c r="AW259" s="10" t="s">
        <v>484</v>
      </c>
      <c r="AX259" s="11">
        <v>2750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100"/>
        <v>0</v>
      </c>
    </row>
    <row r="260" spans="1:66" x14ac:dyDescent="0.3">
      <c r="A260" s="14">
        <f t="shared" si="96"/>
        <v>115040016</v>
      </c>
      <c r="B260" s="13">
        <v>11</v>
      </c>
      <c r="C260" s="12">
        <f t="shared" si="97"/>
        <v>5</v>
      </c>
      <c r="D260" s="13">
        <v>4</v>
      </c>
      <c r="E260" s="13">
        <v>0</v>
      </c>
      <c r="F260" s="12">
        <f t="shared" si="98"/>
        <v>16</v>
      </c>
      <c r="H260" s="9">
        <v>5</v>
      </c>
      <c r="I260" s="9">
        <v>16</v>
      </c>
      <c r="K260" s="9" t="s">
        <v>379</v>
      </c>
      <c r="L260" s="9">
        <v>0</v>
      </c>
      <c r="M260" s="9">
        <v>15</v>
      </c>
      <c r="R260" s="9">
        <v>99</v>
      </c>
      <c r="S260" s="86">
        <v>1</v>
      </c>
      <c r="U260" s="86">
        <f t="shared" si="99"/>
        <v>504</v>
      </c>
      <c r="V260" s="86">
        <v>160</v>
      </c>
      <c r="W260" s="86">
        <v>1</v>
      </c>
      <c r="X260" s="86">
        <v>4</v>
      </c>
      <c r="Y260" s="86">
        <v>100</v>
      </c>
      <c r="AA260" s="9" t="s">
        <v>601</v>
      </c>
      <c r="AB260" s="9">
        <v>16</v>
      </c>
      <c r="AD260" s="9">
        <v>56000</v>
      </c>
      <c r="AF260" s="89">
        <f t="shared" si="93"/>
        <v>14700</v>
      </c>
      <c r="AG260" s="9">
        <f t="shared" si="102"/>
        <v>26250</v>
      </c>
      <c r="AI260" s="11">
        <f t="shared" si="92"/>
        <v>80</v>
      </c>
      <c r="AJ260" s="10">
        <v>80</v>
      </c>
      <c r="AK260" s="11">
        <f t="shared" si="101"/>
        <v>700</v>
      </c>
      <c r="AL260" s="10">
        <v>700</v>
      </c>
      <c r="AM260" s="11">
        <f t="shared" si="101"/>
        <v>700</v>
      </c>
      <c r="AN260" s="10">
        <v>700</v>
      </c>
      <c r="AO260" s="56">
        <f t="shared" si="94"/>
        <v>2</v>
      </c>
      <c r="AQ260" s="11">
        <f ca="1">IFERROR(OFFSET(ITEM_RES!$A$1,MATCH(AR260,ITEM_RES!$J:$J,0)-1,0),0)</f>
        <v>212040001</v>
      </c>
      <c r="AR260" s="10" t="s">
        <v>483</v>
      </c>
      <c r="AS260" s="11">
        <v>3500</v>
      </c>
      <c r="AV260" s="11">
        <f ca="1">IFERROR(OFFSET(ITEM_RES!$A$1,MATCH(AW260,ITEM_RES!$J:$J,0)-1,0),0)</f>
        <v>212010001</v>
      </c>
      <c r="AW260" s="10" t="s">
        <v>484</v>
      </c>
      <c r="AX260" s="11">
        <v>3500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100"/>
        <v>0</v>
      </c>
    </row>
    <row r="261" spans="1:66" x14ac:dyDescent="0.3">
      <c r="A261" s="14">
        <f t="shared" si="96"/>
        <v>115040017</v>
      </c>
      <c r="B261" s="13">
        <v>11</v>
      </c>
      <c r="C261" s="12">
        <f t="shared" si="97"/>
        <v>5</v>
      </c>
      <c r="D261" s="13">
        <v>4</v>
      </c>
      <c r="E261" s="13">
        <v>0</v>
      </c>
      <c r="F261" s="12">
        <f t="shared" si="98"/>
        <v>17</v>
      </c>
      <c r="H261" s="9">
        <v>5</v>
      </c>
      <c r="I261" s="9">
        <v>17</v>
      </c>
      <c r="K261" s="9" t="s">
        <v>379</v>
      </c>
      <c r="L261" s="9">
        <v>0</v>
      </c>
      <c r="M261" s="9">
        <v>15</v>
      </c>
      <c r="R261" s="9">
        <v>99</v>
      </c>
      <c r="S261" s="86">
        <v>1</v>
      </c>
      <c r="U261" s="86">
        <f t="shared" si="99"/>
        <v>504</v>
      </c>
      <c r="V261" s="86">
        <v>170</v>
      </c>
      <c r="W261" s="86">
        <v>1</v>
      </c>
      <c r="X261" s="86">
        <v>4</v>
      </c>
      <c r="Y261" s="86">
        <v>200</v>
      </c>
      <c r="AA261" s="9" t="s">
        <v>601</v>
      </c>
      <c r="AB261" s="9">
        <v>17</v>
      </c>
      <c r="AD261" s="9">
        <v>68000</v>
      </c>
      <c r="AF261" s="89">
        <f t="shared" si="93"/>
        <v>17850</v>
      </c>
      <c r="AG261" s="9">
        <f t="shared" si="102"/>
        <v>32550</v>
      </c>
      <c r="AI261" s="11">
        <f t="shared" si="92"/>
        <v>85</v>
      </c>
      <c r="AJ261" s="10">
        <v>85</v>
      </c>
      <c r="AK261" s="11">
        <f t="shared" si="101"/>
        <v>850</v>
      </c>
      <c r="AL261" s="10">
        <v>850</v>
      </c>
      <c r="AM261" s="11">
        <f t="shared" si="101"/>
        <v>850</v>
      </c>
      <c r="AN261" s="10">
        <v>850</v>
      </c>
      <c r="AO261" s="56">
        <f t="shared" si="94"/>
        <v>2</v>
      </c>
      <c r="AQ261" s="11">
        <f ca="1">IFERROR(OFFSET(ITEM_RES!$A$1,MATCH(AR261,ITEM_RES!$J:$J,0)-1,0),0)</f>
        <v>215050001</v>
      </c>
      <c r="AR261" s="10" t="s">
        <v>497</v>
      </c>
      <c r="AS261" s="11">
        <v>4250</v>
      </c>
      <c r="AV261" s="11">
        <f ca="1">IFERROR(OFFSET(ITEM_RES!$A$1,MATCH(AW261,ITEM_RES!$J:$J,0)-1,0),0)</f>
        <v>212010001</v>
      </c>
      <c r="AW261" s="10" t="s">
        <v>484</v>
      </c>
      <c r="AX261" s="11">
        <v>4250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100"/>
        <v>0</v>
      </c>
    </row>
    <row r="262" spans="1:66" x14ac:dyDescent="0.3">
      <c r="A262" s="14">
        <f t="shared" si="96"/>
        <v>115040018</v>
      </c>
      <c r="B262" s="13">
        <v>11</v>
      </c>
      <c r="C262" s="12">
        <f t="shared" si="97"/>
        <v>5</v>
      </c>
      <c r="D262" s="13">
        <v>4</v>
      </c>
      <c r="E262" s="13">
        <v>0</v>
      </c>
      <c r="F262" s="12">
        <f t="shared" si="98"/>
        <v>18</v>
      </c>
      <c r="H262" s="9">
        <v>5</v>
      </c>
      <c r="I262" s="9">
        <v>18</v>
      </c>
      <c r="K262" s="9" t="s">
        <v>379</v>
      </c>
      <c r="L262" s="9">
        <v>0</v>
      </c>
      <c r="M262" s="9">
        <v>15</v>
      </c>
      <c r="R262" s="9">
        <v>99</v>
      </c>
      <c r="S262" s="86">
        <v>1</v>
      </c>
      <c r="U262" s="86">
        <f t="shared" si="99"/>
        <v>504</v>
      </c>
      <c r="V262" s="86">
        <v>180</v>
      </c>
      <c r="W262" s="86">
        <v>1</v>
      </c>
      <c r="X262" s="86">
        <v>4</v>
      </c>
      <c r="Y262" s="86">
        <v>300</v>
      </c>
      <c r="AA262" s="9" t="s">
        <v>601</v>
      </c>
      <c r="AB262" s="9">
        <v>18</v>
      </c>
      <c r="AD262" s="9">
        <v>84000</v>
      </c>
      <c r="AF262" s="89">
        <f t="shared" si="93"/>
        <v>22050</v>
      </c>
      <c r="AG262" s="9">
        <f t="shared" si="102"/>
        <v>39900</v>
      </c>
      <c r="AI262" s="11">
        <f t="shared" si="92"/>
        <v>90</v>
      </c>
      <c r="AJ262" s="10">
        <v>90</v>
      </c>
      <c r="AK262" s="11">
        <f t="shared" si="101"/>
        <v>1050</v>
      </c>
      <c r="AL262" s="10">
        <v>1050</v>
      </c>
      <c r="AM262" s="11">
        <f t="shared" si="101"/>
        <v>1050</v>
      </c>
      <c r="AN262" s="10">
        <v>1050</v>
      </c>
      <c r="AO262" s="56">
        <f t="shared" si="94"/>
        <v>2</v>
      </c>
      <c r="AQ262" s="11">
        <f ca="1">IFERROR(OFFSET(ITEM_RES!$A$1,MATCH(AR262,ITEM_RES!$J:$J,0)-1,0),0)</f>
        <v>215050001</v>
      </c>
      <c r="AR262" s="10" t="s">
        <v>497</v>
      </c>
      <c r="AS262" s="11">
        <v>5250</v>
      </c>
      <c r="AV262" s="11">
        <f ca="1">IFERROR(OFFSET(ITEM_RES!$A$1,MATCH(AW262,ITEM_RES!$J:$J,0)-1,0),0)</f>
        <v>215070001</v>
      </c>
      <c r="AW262" s="10" t="s">
        <v>470</v>
      </c>
      <c r="AX262" s="11">
        <v>5250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100"/>
        <v>0</v>
      </c>
    </row>
    <row r="263" spans="1:66" x14ac:dyDescent="0.3">
      <c r="A263" s="14">
        <f t="shared" si="96"/>
        <v>115040019</v>
      </c>
      <c r="B263" s="13">
        <v>11</v>
      </c>
      <c r="C263" s="12">
        <f t="shared" si="97"/>
        <v>5</v>
      </c>
      <c r="D263" s="13">
        <v>4</v>
      </c>
      <c r="E263" s="13">
        <v>0</v>
      </c>
      <c r="F263" s="12">
        <f t="shared" si="98"/>
        <v>19</v>
      </c>
      <c r="H263" s="9">
        <v>5</v>
      </c>
      <c r="I263" s="9">
        <v>19</v>
      </c>
      <c r="K263" s="9" t="s">
        <v>379</v>
      </c>
      <c r="L263" s="9">
        <v>0</v>
      </c>
      <c r="M263" s="9">
        <v>15</v>
      </c>
      <c r="R263" s="9">
        <v>99</v>
      </c>
      <c r="S263" s="86">
        <v>1</v>
      </c>
      <c r="U263" s="86">
        <f t="shared" si="99"/>
        <v>504</v>
      </c>
      <c r="V263" s="86">
        <v>190</v>
      </c>
      <c r="W263" s="86">
        <v>1</v>
      </c>
      <c r="X263" s="86">
        <v>4</v>
      </c>
      <c r="Y263" s="86">
        <v>400</v>
      </c>
      <c r="AA263" s="9" t="s">
        <v>601</v>
      </c>
      <c r="AB263" s="9">
        <v>19</v>
      </c>
      <c r="AD263" s="9">
        <v>100000</v>
      </c>
      <c r="AF263" s="89">
        <f t="shared" si="93"/>
        <v>26250</v>
      </c>
      <c r="AG263" s="9">
        <f t="shared" si="102"/>
        <v>48300</v>
      </c>
      <c r="AI263" s="11">
        <f t="shared" si="92"/>
        <v>95</v>
      </c>
      <c r="AJ263" s="10">
        <v>95</v>
      </c>
      <c r="AK263" s="11">
        <f t="shared" si="101"/>
        <v>1250</v>
      </c>
      <c r="AL263" s="10">
        <v>1250</v>
      </c>
      <c r="AM263" s="11">
        <f t="shared" si="101"/>
        <v>1250</v>
      </c>
      <c r="AN263" s="10">
        <v>1250</v>
      </c>
      <c r="AO263" s="56">
        <f t="shared" si="94"/>
        <v>2</v>
      </c>
      <c r="AQ263" s="11">
        <f ca="1">IFERROR(OFFSET(ITEM_RES!$A$1,MATCH(AR263,ITEM_RES!$J:$J,0)-1,0),0)</f>
        <v>215050001</v>
      </c>
      <c r="AR263" s="10" t="s">
        <v>497</v>
      </c>
      <c r="AS263" s="11">
        <v>6250</v>
      </c>
      <c r="AV263" s="11">
        <f ca="1">IFERROR(OFFSET(ITEM_RES!$A$1,MATCH(AW263,ITEM_RES!$J:$J,0)-1,0),0)</f>
        <v>215070001</v>
      </c>
      <c r="AW263" s="10" t="s">
        <v>470</v>
      </c>
      <c r="AX263" s="11">
        <v>6250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100"/>
        <v>0</v>
      </c>
    </row>
    <row r="264" spans="1:66" ht="17.25" thickBot="1" x14ac:dyDescent="0.35">
      <c r="A264" s="14">
        <f t="shared" si="96"/>
        <v>115040020</v>
      </c>
      <c r="B264" s="13">
        <v>11</v>
      </c>
      <c r="C264" s="12">
        <f t="shared" si="97"/>
        <v>5</v>
      </c>
      <c r="D264" s="13">
        <v>4</v>
      </c>
      <c r="E264" s="13">
        <v>0</v>
      </c>
      <c r="F264" s="12">
        <f t="shared" si="98"/>
        <v>20</v>
      </c>
      <c r="H264" s="9">
        <v>5</v>
      </c>
      <c r="I264" s="9">
        <v>20</v>
      </c>
      <c r="K264" s="9" t="s">
        <v>379</v>
      </c>
      <c r="L264" s="9">
        <v>0</v>
      </c>
      <c r="M264" s="9">
        <v>15</v>
      </c>
      <c r="R264" s="9">
        <v>99</v>
      </c>
      <c r="S264" s="86">
        <v>1</v>
      </c>
      <c r="U264" s="86">
        <f t="shared" si="99"/>
        <v>504</v>
      </c>
      <c r="V264" s="86">
        <v>200</v>
      </c>
      <c r="W264" s="86">
        <v>1</v>
      </c>
      <c r="X264" s="86">
        <v>4</v>
      </c>
      <c r="Y264" s="86">
        <v>500</v>
      </c>
      <c r="AA264" s="9" t="s">
        <v>601</v>
      </c>
      <c r="AB264" s="9">
        <v>20</v>
      </c>
      <c r="AD264" s="9">
        <v>120000</v>
      </c>
      <c r="AF264" s="89">
        <f t="shared" si="93"/>
        <v>31500</v>
      </c>
      <c r="AG264" s="9">
        <f t="shared" si="102"/>
        <v>57750</v>
      </c>
      <c r="AI264" s="11">
        <f t="shared" si="92"/>
        <v>100</v>
      </c>
      <c r="AJ264" s="10">
        <v>100</v>
      </c>
      <c r="AK264" s="11">
        <f t="shared" si="101"/>
        <v>1500</v>
      </c>
      <c r="AL264" s="10">
        <v>1500</v>
      </c>
      <c r="AM264" s="11">
        <f t="shared" si="101"/>
        <v>1500</v>
      </c>
      <c r="AN264" s="10">
        <v>1500</v>
      </c>
      <c r="AO264" s="56">
        <f t="shared" si="94"/>
        <v>2</v>
      </c>
      <c r="AQ264" s="11">
        <f ca="1">IFERROR(OFFSET(ITEM_RES!$A$1,MATCH(AR264,ITEM_RES!$J:$J,0)-1,0),0)</f>
        <v>215050001</v>
      </c>
      <c r="AR264" s="10" t="s">
        <v>497</v>
      </c>
      <c r="AS264" s="11">
        <v>7500</v>
      </c>
      <c r="AV264" s="11">
        <f ca="1">IFERROR(OFFSET(ITEM_RES!$A$1,MATCH(AW264,ITEM_RES!$J:$J,0)-1,0),0)</f>
        <v>215070001</v>
      </c>
      <c r="AW264" s="10" t="s">
        <v>470</v>
      </c>
      <c r="AX264" s="11">
        <v>7500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100"/>
        <v>0</v>
      </c>
    </row>
    <row r="265" spans="1:66" s="15" customFormat="1" x14ac:dyDescent="0.3">
      <c r="A265" s="21">
        <f t="shared" si="96"/>
        <v>112010001</v>
      </c>
      <c r="B265" s="20">
        <v>11</v>
      </c>
      <c r="C265" s="19">
        <f t="shared" si="97"/>
        <v>2</v>
      </c>
      <c r="D265" s="20">
        <v>1</v>
      </c>
      <c r="E265" s="20">
        <v>0</v>
      </c>
      <c r="F265" s="19">
        <f t="shared" si="98"/>
        <v>1</v>
      </c>
      <c r="G265" s="80"/>
      <c r="H265" s="16">
        <v>2</v>
      </c>
      <c r="I265" s="16">
        <v>1</v>
      </c>
      <c r="J265" s="80"/>
      <c r="K265" s="16" t="s">
        <v>378</v>
      </c>
      <c r="L265" s="16">
        <v>1</v>
      </c>
      <c r="M265" s="16">
        <v>15</v>
      </c>
      <c r="N265" s="16"/>
      <c r="O265" s="17"/>
      <c r="P265" s="17"/>
      <c r="Q265" s="18"/>
      <c r="R265" s="16">
        <v>111</v>
      </c>
      <c r="S265" s="88"/>
      <c r="T265" s="80"/>
      <c r="U265" s="88">
        <f t="shared" si="99"/>
        <v>201</v>
      </c>
      <c r="V265" s="88"/>
      <c r="W265" s="88"/>
      <c r="X265" s="88"/>
      <c r="Y265" s="88"/>
      <c r="Z265" s="16"/>
      <c r="AA265" s="16" t="s">
        <v>602</v>
      </c>
      <c r="AB265" s="16">
        <v>1</v>
      </c>
      <c r="AC265" s="80"/>
      <c r="AD265" s="16">
        <v>100</v>
      </c>
      <c r="AE265" s="80"/>
      <c r="AF265" s="91">
        <f t="shared" si="93"/>
        <v>580</v>
      </c>
      <c r="AG265" s="16">
        <f>AF265</f>
        <v>580</v>
      </c>
      <c r="AH265" s="80"/>
      <c r="AI265" s="18">
        <f t="shared" si="92"/>
        <v>5</v>
      </c>
      <c r="AJ265" s="17">
        <v>5</v>
      </c>
      <c r="AK265" s="18">
        <f t="shared" si="101"/>
        <v>5</v>
      </c>
      <c r="AL265" s="17">
        <v>5</v>
      </c>
      <c r="AM265" s="18">
        <f t="shared" si="101"/>
        <v>5</v>
      </c>
      <c r="AN265" s="17">
        <v>5</v>
      </c>
      <c r="AO265" s="57">
        <f t="shared" si="94"/>
        <v>2</v>
      </c>
      <c r="AP265" s="18"/>
      <c r="AQ265" s="18">
        <f ca="1">IFERROR(OFFSET(ITEM_RES!$A$1,MATCH(AR265,ITEM_RES!$J:$J,0)-1,0),0)</f>
        <v>212040001</v>
      </c>
      <c r="AR265" s="17" t="s">
        <v>483</v>
      </c>
      <c r="AS265" s="18">
        <v>25</v>
      </c>
      <c r="AT265" s="17"/>
      <c r="AU265" s="18"/>
      <c r="AV265" s="18">
        <f ca="1">IFERROR(OFFSET(ITEM_RES!$A$1,MATCH(AW265,ITEM_RES!$J:$J,0)-1,0),0)</f>
        <v>0</v>
      </c>
      <c r="AW265" s="17"/>
      <c r="AX265" s="18"/>
      <c r="AY265" s="17"/>
      <c r="AZ265" s="18"/>
      <c r="BA265" s="18">
        <f ca="1">IFERROR(OFFSET(ITEM_RES!$A$1,MATCH(BB265,ITEM_RES!$J:$J,0)-1,0),0)</f>
        <v>213010001</v>
      </c>
      <c r="BB265" s="17" t="s">
        <v>509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/>
      <c r="BN265" s="17"/>
    </row>
    <row r="266" spans="1:66" x14ac:dyDescent="0.3">
      <c r="A266" s="14">
        <f t="shared" si="96"/>
        <v>112010002</v>
      </c>
      <c r="B266" s="13">
        <v>11</v>
      </c>
      <c r="C266" s="12">
        <f t="shared" si="97"/>
        <v>2</v>
      </c>
      <c r="D266" s="13">
        <v>1</v>
      </c>
      <c r="E266" s="13">
        <v>0</v>
      </c>
      <c r="F266" s="12">
        <f t="shared" si="98"/>
        <v>2</v>
      </c>
      <c r="H266" s="9">
        <v>2</v>
      </c>
      <c r="I266" s="9">
        <v>2</v>
      </c>
      <c r="K266" s="9" t="s">
        <v>378</v>
      </c>
      <c r="L266" s="9">
        <v>1</v>
      </c>
      <c r="M266" s="9">
        <v>15</v>
      </c>
      <c r="R266" s="9">
        <v>111</v>
      </c>
      <c r="U266" s="86">
        <f t="shared" si="99"/>
        <v>201</v>
      </c>
      <c r="AA266" s="9" t="s">
        <v>602</v>
      </c>
      <c r="AB266" s="9">
        <v>2</v>
      </c>
      <c r="AD266" s="9">
        <v>200</v>
      </c>
      <c r="AF266" s="89">
        <f t="shared" si="93"/>
        <v>160</v>
      </c>
      <c r="AG266" s="9">
        <f>AF265+AF266</f>
        <v>740</v>
      </c>
      <c r="AI266" s="11">
        <f t="shared" si="92"/>
        <v>10</v>
      </c>
      <c r="AJ266" s="10">
        <v>10</v>
      </c>
      <c r="AK266" s="11">
        <f t="shared" si="101"/>
        <v>10</v>
      </c>
      <c r="AL266" s="10">
        <v>10</v>
      </c>
      <c r="AM266" s="11">
        <f t="shared" si="101"/>
        <v>10</v>
      </c>
      <c r="AN266" s="10">
        <v>10</v>
      </c>
      <c r="AO266" s="56">
        <f t="shared" si="94"/>
        <v>1</v>
      </c>
      <c r="AQ266" s="11">
        <f ca="1">IFERROR(OFFSET(ITEM_RES!$A$1,MATCH(AR266,ITEM_RES!$J:$J,0)-1,0),0)</f>
        <v>212040001</v>
      </c>
      <c r="AR266" s="10" t="s">
        <v>483</v>
      </c>
      <c r="AS266" s="11">
        <v>50</v>
      </c>
      <c r="AV266" s="11">
        <f ca="1">IFERROR(OFFSET(ITEM_RES!$A$1,MATCH(AW266,ITEM_RES!$J:$J,0)-1,0),0)</f>
        <v>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</row>
    <row r="267" spans="1:66" x14ac:dyDescent="0.3">
      <c r="A267" s="14">
        <f t="shared" si="96"/>
        <v>112010003</v>
      </c>
      <c r="B267" s="13">
        <v>11</v>
      </c>
      <c r="C267" s="12">
        <f t="shared" si="97"/>
        <v>2</v>
      </c>
      <c r="D267" s="13">
        <v>1</v>
      </c>
      <c r="E267" s="13">
        <v>0</v>
      </c>
      <c r="F267" s="12">
        <f t="shared" si="98"/>
        <v>3</v>
      </c>
      <c r="H267" s="9">
        <v>2</v>
      </c>
      <c r="I267" s="9">
        <v>3</v>
      </c>
      <c r="K267" s="9" t="s">
        <v>378</v>
      </c>
      <c r="L267" s="9">
        <v>1</v>
      </c>
      <c r="M267" s="9">
        <v>15</v>
      </c>
      <c r="R267" s="9">
        <v>111</v>
      </c>
      <c r="AA267" s="9" t="s">
        <v>602</v>
      </c>
      <c r="AB267" s="9">
        <v>3</v>
      </c>
      <c r="AD267" s="9">
        <v>600</v>
      </c>
      <c r="AF267" s="89">
        <f t="shared" si="93"/>
        <v>240</v>
      </c>
      <c r="AG267" s="9">
        <f t="shared" ref="AG267:AG284" si="103">AF266+AF267</f>
        <v>400</v>
      </c>
      <c r="AI267" s="11">
        <f t="shared" si="92"/>
        <v>15</v>
      </c>
      <c r="AJ267" s="10">
        <v>15</v>
      </c>
      <c r="AK267" s="11">
        <f t="shared" si="101"/>
        <v>15</v>
      </c>
      <c r="AL267" s="10">
        <v>15</v>
      </c>
      <c r="AM267" s="11">
        <f t="shared" si="101"/>
        <v>15</v>
      </c>
      <c r="AN267" s="10">
        <v>15</v>
      </c>
      <c r="AO267" s="56">
        <f t="shared" si="94"/>
        <v>1</v>
      </c>
      <c r="AQ267" s="11">
        <f ca="1">IFERROR(OFFSET(ITEM_RES!$A$1,MATCH(AR267,ITEM_RES!$J:$J,0)-1,0),0)</f>
        <v>212040001</v>
      </c>
      <c r="AR267" s="10" t="s">
        <v>483</v>
      </c>
      <c r="AS267" s="11">
        <v>75</v>
      </c>
      <c r="AV267" s="11">
        <f ca="1">IFERROR(OFFSET(ITEM_RES!$A$1,MATCH(AW267,ITEM_RES!$J:$J,0)-1,0),0)</f>
        <v>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</row>
    <row r="268" spans="1:66" x14ac:dyDescent="0.3">
      <c r="A268" s="14">
        <f t="shared" si="96"/>
        <v>112010004</v>
      </c>
      <c r="B268" s="13">
        <v>11</v>
      </c>
      <c r="C268" s="12">
        <f t="shared" si="97"/>
        <v>2</v>
      </c>
      <c r="D268" s="13">
        <v>1</v>
      </c>
      <c r="E268" s="13">
        <v>0</v>
      </c>
      <c r="F268" s="12">
        <f t="shared" si="98"/>
        <v>4</v>
      </c>
      <c r="H268" s="9">
        <v>2</v>
      </c>
      <c r="I268" s="9">
        <v>4</v>
      </c>
      <c r="K268" s="9" t="s">
        <v>378</v>
      </c>
      <c r="L268" s="9">
        <v>1</v>
      </c>
      <c r="M268" s="9">
        <v>15</v>
      </c>
      <c r="R268" s="9">
        <v>111</v>
      </c>
      <c r="AA268" s="9" t="s">
        <v>602</v>
      </c>
      <c r="AB268" s="9">
        <v>4</v>
      </c>
      <c r="AD268" s="9">
        <v>1000</v>
      </c>
      <c r="AF268" s="89">
        <f t="shared" si="93"/>
        <v>400</v>
      </c>
      <c r="AG268" s="9">
        <f t="shared" si="103"/>
        <v>640</v>
      </c>
      <c r="AI268" s="11">
        <f t="shared" si="92"/>
        <v>20</v>
      </c>
      <c r="AJ268" s="10">
        <v>20</v>
      </c>
      <c r="AK268" s="11">
        <f t="shared" si="101"/>
        <v>25</v>
      </c>
      <c r="AL268" s="10">
        <v>25</v>
      </c>
      <c r="AM268" s="11">
        <f t="shared" si="101"/>
        <v>25</v>
      </c>
      <c r="AN268" s="10">
        <v>25</v>
      </c>
      <c r="AO268" s="56">
        <f t="shared" si="94"/>
        <v>1</v>
      </c>
      <c r="AQ268" s="11">
        <f ca="1">IFERROR(OFFSET(ITEM_RES!$A$1,MATCH(AR268,ITEM_RES!$J:$J,0)-1,0),0)</f>
        <v>212040001</v>
      </c>
      <c r="AR268" s="10" t="s">
        <v>483</v>
      </c>
      <c r="AS268" s="11">
        <v>125</v>
      </c>
      <c r="AV268" s="11">
        <f ca="1">IFERROR(OFFSET(ITEM_RES!$A$1,MATCH(AW268,ITEM_RES!$J:$J,0)-1,0),0)</f>
        <v>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</row>
    <row r="269" spans="1:66" x14ac:dyDescent="0.3">
      <c r="A269" s="14">
        <f t="shared" si="96"/>
        <v>112010005</v>
      </c>
      <c r="B269" s="13">
        <v>11</v>
      </c>
      <c r="C269" s="12">
        <f t="shared" si="97"/>
        <v>2</v>
      </c>
      <c r="D269" s="13">
        <v>1</v>
      </c>
      <c r="E269" s="13">
        <v>0</v>
      </c>
      <c r="F269" s="12">
        <f t="shared" si="98"/>
        <v>5</v>
      </c>
      <c r="H269" s="9">
        <v>2</v>
      </c>
      <c r="I269" s="9">
        <v>5</v>
      </c>
      <c r="K269" s="9" t="s">
        <v>378</v>
      </c>
      <c r="L269" s="9">
        <v>1</v>
      </c>
      <c r="M269" s="9">
        <v>15</v>
      </c>
      <c r="R269" s="9">
        <v>111</v>
      </c>
      <c r="AA269" s="9" t="s">
        <v>602</v>
      </c>
      <c r="AB269" s="9">
        <v>5</v>
      </c>
      <c r="AD269" s="9">
        <v>1600</v>
      </c>
      <c r="AF269" s="89">
        <f t="shared" si="93"/>
        <v>640</v>
      </c>
      <c r="AG269" s="9">
        <f t="shared" si="103"/>
        <v>1040</v>
      </c>
      <c r="AI269" s="11">
        <f t="shared" si="92"/>
        <v>25</v>
      </c>
      <c r="AJ269" s="10">
        <v>25</v>
      </c>
      <c r="AK269" s="11">
        <f t="shared" si="101"/>
        <v>40</v>
      </c>
      <c r="AL269" s="10">
        <v>40</v>
      </c>
      <c r="AM269" s="11">
        <f t="shared" si="101"/>
        <v>40</v>
      </c>
      <c r="AN269" s="10">
        <v>40</v>
      </c>
      <c r="AO269" s="56">
        <f t="shared" si="94"/>
        <v>1</v>
      </c>
      <c r="AQ269" s="11">
        <f ca="1">IFERROR(OFFSET(ITEM_RES!$A$1,MATCH(AR269,ITEM_RES!$J:$J,0)-1,0),0)</f>
        <v>212040001</v>
      </c>
      <c r="AR269" s="10" t="s">
        <v>483</v>
      </c>
      <c r="AS269" s="11">
        <v>200</v>
      </c>
      <c r="AV269" s="11">
        <f ca="1">IFERROR(OFFSET(ITEM_RES!$A$1,MATCH(AW269,ITEM_RES!$J:$J,0)-1,0),0)</f>
        <v>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</row>
    <row r="270" spans="1:66" x14ac:dyDescent="0.3">
      <c r="A270" s="14">
        <f t="shared" si="96"/>
        <v>112010006</v>
      </c>
      <c r="B270" s="13">
        <v>11</v>
      </c>
      <c r="C270" s="12">
        <f t="shared" si="97"/>
        <v>2</v>
      </c>
      <c r="D270" s="13">
        <v>1</v>
      </c>
      <c r="E270" s="13">
        <v>0</v>
      </c>
      <c r="F270" s="12">
        <f t="shared" si="98"/>
        <v>6</v>
      </c>
      <c r="H270" s="9">
        <v>2</v>
      </c>
      <c r="I270" s="9">
        <v>6</v>
      </c>
      <c r="K270" s="9" t="s">
        <v>378</v>
      </c>
      <c r="L270" s="9">
        <v>1</v>
      </c>
      <c r="M270" s="9">
        <v>15</v>
      </c>
      <c r="R270" s="9">
        <v>111</v>
      </c>
      <c r="AA270" s="9" t="s">
        <v>602</v>
      </c>
      <c r="AB270" s="9">
        <v>6</v>
      </c>
      <c r="AD270" s="9">
        <v>2000</v>
      </c>
      <c r="AF270" s="89">
        <f t="shared" si="93"/>
        <v>800</v>
      </c>
      <c r="AG270" s="9">
        <f t="shared" si="103"/>
        <v>1440</v>
      </c>
      <c r="AI270" s="11">
        <f t="shared" si="92"/>
        <v>30</v>
      </c>
      <c r="AJ270" s="10">
        <v>30</v>
      </c>
      <c r="AK270" s="11">
        <f t="shared" si="101"/>
        <v>50</v>
      </c>
      <c r="AL270" s="10">
        <v>50</v>
      </c>
      <c r="AM270" s="11">
        <f t="shared" si="101"/>
        <v>50</v>
      </c>
      <c r="AN270" s="10">
        <v>50</v>
      </c>
      <c r="AO270" s="56">
        <f t="shared" si="94"/>
        <v>1</v>
      </c>
      <c r="AQ270" s="11">
        <f ca="1">IFERROR(OFFSET(ITEM_RES!$A$1,MATCH(AR270,ITEM_RES!$J:$J,0)-1,0),0)</f>
        <v>212040001</v>
      </c>
      <c r="AR270" s="10" t="s">
        <v>483</v>
      </c>
      <c r="AS270" s="11">
        <v>250</v>
      </c>
      <c r="AV270" s="11">
        <f ca="1">IFERROR(OFFSET(ITEM_RES!$A$1,MATCH(AW270,ITEM_RES!$J:$J,0)-1,0),0)</f>
        <v>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</row>
    <row r="271" spans="1:66" x14ac:dyDescent="0.3">
      <c r="A271" s="14">
        <f t="shared" si="96"/>
        <v>112010007</v>
      </c>
      <c r="B271" s="13">
        <v>11</v>
      </c>
      <c r="C271" s="12">
        <f t="shared" si="97"/>
        <v>2</v>
      </c>
      <c r="D271" s="13">
        <v>1</v>
      </c>
      <c r="E271" s="13">
        <v>0</v>
      </c>
      <c r="F271" s="12">
        <f t="shared" si="98"/>
        <v>7</v>
      </c>
      <c r="H271" s="9">
        <v>2</v>
      </c>
      <c r="I271" s="9">
        <v>7</v>
      </c>
      <c r="K271" s="9" t="s">
        <v>378</v>
      </c>
      <c r="L271" s="9">
        <v>1</v>
      </c>
      <c r="M271" s="9">
        <v>15</v>
      </c>
      <c r="R271" s="9">
        <v>111</v>
      </c>
      <c r="AA271" s="9" t="s">
        <v>602</v>
      </c>
      <c r="AB271" s="9">
        <v>7</v>
      </c>
      <c r="AD271" s="9">
        <v>4000</v>
      </c>
      <c r="AF271" s="89">
        <f t="shared" si="93"/>
        <v>1600</v>
      </c>
      <c r="AG271" s="9">
        <f t="shared" si="103"/>
        <v>2400</v>
      </c>
      <c r="AI271" s="11">
        <f t="shared" si="92"/>
        <v>35</v>
      </c>
      <c r="AJ271" s="10">
        <v>35</v>
      </c>
      <c r="AK271" s="11">
        <f t="shared" si="101"/>
        <v>100</v>
      </c>
      <c r="AL271" s="10">
        <v>100</v>
      </c>
      <c r="AM271" s="11">
        <f t="shared" si="101"/>
        <v>100</v>
      </c>
      <c r="AN271" s="10">
        <v>100</v>
      </c>
      <c r="AO271" s="56">
        <f t="shared" si="94"/>
        <v>1</v>
      </c>
      <c r="AQ271" s="11">
        <f ca="1">IFERROR(OFFSET(ITEM_RES!$A$1,MATCH(AR271,ITEM_RES!$J:$J,0)-1,0),0)</f>
        <v>212040001</v>
      </c>
      <c r="AR271" s="10" t="s">
        <v>483</v>
      </c>
      <c r="AS271" s="11">
        <v>500</v>
      </c>
      <c r="AV271" s="11">
        <f ca="1">IFERROR(OFFSET(ITEM_RES!$A$1,MATCH(AW271,ITEM_RES!$J:$J,0)-1,0),0)</f>
        <v>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</row>
    <row r="272" spans="1:66" x14ac:dyDescent="0.3">
      <c r="A272" s="14">
        <f t="shared" si="96"/>
        <v>112010008</v>
      </c>
      <c r="B272" s="13">
        <v>11</v>
      </c>
      <c r="C272" s="12">
        <f t="shared" si="97"/>
        <v>2</v>
      </c>
      <c r="D272" s="13">
        <v>1</v>
      </c>
      <c r="E272" s="13">
        <v>0</v>
      </c>
      <c r="F272" s="12">
        <f t="shared" si="98"/>
        <v>8</v>
      </c>
      <c r="H272" s="9">
        <v>2</v>
      </c>
      <c r="I272" s="9">
        <v>8</v>
      </c>
      <c r="K272" s="9" t="s">
        <v>378</v>
      </c>
      <c r="L272" s="9">
        <v>1</v>
      </c>
      <c r="M272" s="9">
        <v>15</v>
      </c>
      <c r="R272" s="9">
        <v>111</v>
      </c>
      <c r="AA272" s="9" t="s">
        <v>602</v>
      </c>
      <c r="AB272" s="9">
        <v>8</v>
      </c>
      <c r="AD272" s="9">
        <v>4000</v>
      </c>
      <c r="AF272" s="89">
        <f t="shared" si="93"/>
        <v>1600</v>
      </c>
      <c r="AG272" s="9">
        <f t="shared" si="103"/>
        <v>3200</v>
      </c>
      <c r="AI272" s="11">
        <f t="shared" si="92"/>
        <v>40</v>
      </c>
      <c r="AJ272" s="10">
        <v>40</v>
      </c>
      <c r="AK272" s="11">
        <f t="shared" si="101"/>
        <v>100</v>
      </c>
      <c r="AL272" s="10">
        <v>100</v>
      </c>
      <c r="AM272" s="11">
        <f t="shared" si="101"/>
        <v>100</v>
      </c>
      <c r="AN272" s="10">
        <v>100</v>
      </c>
      <c r="AO272" s="56">
        <f t="shared" si="94"/>
        <v>1</v>
      </c>
      <c r="AQ272" s="11">
        <f ca="1">IFERROR(OFFSET(ITEM_RES!$A$1,MATCH(AR272,ITEM_RES!$J:$J,0)-1,0),0)</f>
        <v>212040001</v>
      </c>
      <c r="AR272" s="10" t="s">
        <v>483</v>
      </c>
      <c r="AS272" s="11">
        <v>500</v>
      </c>
      <c r="AV272" s="11">
        <f ca="1">IFERROR(OFFSET(ITEM_RES!$A$1,MATCH(AW272,ITEM_RES!$J:$J,0)-1,0),0)</f>
        <v>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0</v>
      </c>
      <c r="BK272" s="11">
        <f ca="1">IFERROR(OFFSET(ITEM_RES!$A$1,MATCH(BL272,ITEM_RES!$J:$J,0)-1,0),0)</f>
        <v>0</v>
      </c>
    </row>
    <row r="273" spans="1:66" x14ac:dyDescent="0.3">
      <c r="A273" s="14">
        <f t="shared" si="96"/>
        <v>112010009</v>
      </c>
      <c r="B273" s="13">
        <v>11</v>
      </c>
      <c r="C273" s="12">
        <f t="shared" si="97"/>
        <v>2</v>
      </c>
      <c r="D273" s="13">
        <v>1</v>
      </c>
      <c r="E273" s="13">
        <v>0</v>
      </c>
      <c r="F273" s="12">
        <f t="shared" si="98"/>
        <v>9</v>
      </c>
      <c r="H273" s="9">
        <v>2</v>
      </c>
      <c r="I273" s="9">
        <v>9</v>
      </c>
      <c r="K273" s="9" t="s">
        <v>378</v>
      </c>
      <c r="L273" s="9">
        <v>1</v>
      </c>
      <c r="M273" s="9">
        <v>15</v>
      </c>
      <c r="R273" s="9">
        <v>111</v>
      </c>
      <c r="AA273" s="9" t="s">
        <v>602</v>
      </c>
      <c r="AB273" s="9">
        <v>9</v>
      </c>
      <c r="AD273" s="9">
        <v>6000</v>
      </c>
      <c r="AF273" s="89">
        <f t="shared" si="93"/>
        <v>2400</v>
      </c>
      <c r="AG273" s="9">
        <f t="shared" si="103"/>
        <v>4000</v>
      </c>
      <c r="AI273" s="11">
        <f t="shared" si="92"/>
        <v>45</v>
      </c>
      <c r="AJ273" s="10">
        <v>45</v>
      </c>
      <c r="AK273" s="11">
        <f t="shared" si="101"/>
        <v>150</v>
      </c>
      <c r="AL273" s="10">
        <v>150</v>
      </c>
      <c r="AM273" s="11">
        <f t="shared" si="101"/>
        <v>150</v>
      </c>
      <c r="AN273" s="10">
        <v>150</v>
      </c>
      <c r="AO273" s="56">
        <f t="shared" si="94"/>
        <v>1</v>
      </c>
      <c r="AQ273" s="11">
        <f ca="1">IFERROR(OFFSET(ITEM_RES!$A$1,MATCH(AR273,ITEM_RES!$J:$J,0)-1,0),0)</f>
        <v>212040001</v>
      </c>
      <c r="AR273" s="10" t="s">
        <v>483</v>
      </c>
      <c r="AS273" s="11">
        <v>750</v>
      </c>
      <c r="AV273" s="11">
        <f ca="1">IFERROR(OFFSET(ITEM_RES!$A$1,MATCH(AW273,ITEM_RES!$J:$J,0)-1,0),0)</f>
        <v>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</row>
    <row r="274" spans="1:66" x14ac:dyDescent="0.3">
      <c r="A274" s="14">
        <f t="shared" si="96"/>
        <v>112010010</v>
      </c>
      <c r="B274" s="13">
        <v>11</v>
      </c>
      <c r="C274" s="12">
        <f t="shared" si="97"/>
        <v>2</v>
      </c>
      <c r="D274" s="13">
        <v>1</v>
      </c>
      <c r="E274" s="13">
        <v>0</v>
      </c>
      <c r="F274" s="12">
        <f t="shared" si="98"/>
        <v>10</v>
      </c>
      <c r="H274" s="9">
        <v>2</v>
      </c>
      <c r="I274" s="9">
        <v>10</v>
      </c>
      <c r="K274" s="9" t="s">
        <v>378</v>
      </c>
      <c r="L274" s="9">
        <v>1</v>
      </c>
      <c r="M274" s="9">
        <v>15</v>
      </c>
      <c r="R274" s="9">
        <v>111</v>
      </c>
      <c r="AA274" s="9" t="s">
        <v>602</v>
      </c>
      <c r="AB274" s="9">
        <v>10</v>
      </c>
      <c r="AD274" s="9">
        <v>8000</v>
      </c>
      <c r="AF274" s="89">
        <f t="shared" si="93"/>
        <v>3200</v>
      </c>
      <c r="AG274" s="9">
        <f t="shared" si="103"/>
        <v>5600</v>
      </c>
      <c r="AI274" s="11">
        <f t="shared" si="92"/>
        <v>50</v>
      </c>
      <c r="AJ274" s="10">
        <v>50</v>
      </c>
      <c r="AK274" s="11">
        <f t="shared" si="101"/>
        <v>200</v>
      </c>
      <c r="AL274" s="10">
        <v>200</v>
      </c>
      <c r="AM274" s="11">
        <f t="shared" si="101"/>
        <v>200</v>
      </c>
      <c r="AN274" s="10">
        <v>200</v>
      </c>
      <c r="AO274" s="56">
        <f t="shared" si="94"/>
        <v>1</v>
      </c>
      <c r="AQ274" s="11">
        <f ca="1">IFERROR(OFFSET(ITEM_RES!$A$1,MATCH(AR274,ITEM_RES!$J:$J,0)-1,0),0)</f>
        <v>212040001</v>
      </c>
      <c r="AR274" s="10" t="s">
        <v>483</v>
      </c>
      <c r="AS274" s="11">
        <v>1000</v>
      </c>
      <c r="AV274" s="11">
        <f ca="1">IFERROR(OFFSET(ITEM_RES!$A$1,MATCH(AW274,ITEM_RES!$J:$J,0)-1,0),0)</f>
        <v>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</row>
    <row r="275" spans="1:66" x14ac:dyDescent="0.3">
      <c r="A275" s="14">
        <f t="shared" si="96"/>
        <v>112010011</v>
      </c>
      <c r="B275" s="13">
        <v>11</v>
      </c>
      <c r="C275" s="12">
        <f t="shared" si="97"/>
        <v>2</v>
      </c>
      <c r="D275" s="13">
        <v>1</v>
      </c>
      <c r="E275" s="13">
        <v>0</v>
      </c>
      <c r="F275" s="12">
        <f t="shared" si="98"/>
        <v>11</v>
      </c>
      <c r="H275" s="9">
        <v>2</v>
      </c>
      <c r="I275" s="9">
        <v>11</v>
      </c>
      <c r="K275" s="9" t="s">
        <v>378</v>
      </c>
      <c r="L275" s="9">
        <v>1</v>
      </c>
      <c r="M275" s="9">
        <v>15</v>
      </c>
      <c r="R275" s="9">
        <v>111</v>
      </c>
      <c r="AA275" s="9" t="s">
        <v>602</v>
      </c>
      <c r="AB275" s="9">
        <v>11</v>
      </c>
      <c r="AD275" s="9">
        <v>10000</v>
      </c>
      <c r="AF275" s="89">
        <f t="shared" si="93"/>
        <v>4000</v>
      </c>
      <c r="AG275" s="9">
        <f t="shared" si="103"/>
        <v>7200</v>
      </c>
      <c r="AI275" s="11">
        <f t="shared" si="92"/>
        <v>55</v>
      </c>
      <c r="AJ275" s="10">
        <v>55</v>
      </c>
      <c r="AK275" s="11">
        <f t="shared" si="101"/>
        <v>250</v>
      </c>
      <c r="AL275" s="10">
        <v>250</v>
      </c>
      <c r="AM275" s="11">
        <f t="shared" si="101"/>
        <v>250</v>
      </c>
      <c r="AN275" s="10">
        <v>250</v>
      </c>
      <c r="AO275" s="56">
        <f t="shared" si="94"/>
        <v>1</v>
      </c>
      <c r="AQ275" s="11">
        <f ca="1">IFERROR(OFFSET(ITEM_RES!$A$1,MATCH(AR275,ITEM_RES!$J:$J,0)-1,0),0)</f>
        <v>212040001</v>
      </c>
      <c r="AR275" s="10" t="s">
        <v>483</v>
      </c>
      <c r="AS275" s="11">
        <v>1250</v>
      </c>
      <c r="AV275" s="11">
        <f ca="1">IFERROR(OFFSET(ITEM_RES!$A$1,MATCH(AW275,ITEM_RES!$J:$J,0)-1,0),0)</f>
        <v>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</row>
    <row r="276" spans="1:66" x14ac:dyDescent="0.3">
      <c r="A276" s="14">
        <f t="shared" si="96"/>
        <v>112010012</v>
      </c>
      <c r="B276" s="13">
        <v>11</v>
      </c>
      <c r="C276" s="12">
        <f t="shared" si="97"/>
        <v>2</v>
      </c>
      <c r="D276" s="13">
        <v>1</v>
      </c>
      <c r="E276" s="13">
        <v>0</v>
      </c>
      <c r="F276" s="12">
        <f t="shared" si="98"/>
        <v>12</v>
      </c>
      <c r="H276" s="9">
        <v>2</v>
      </c>
      <c r="I276" s="9">
        <v>12</v>
      </c>
      <c r="K276" s="9" t="s">
        <v>378</v>
      </c>
      <c r="L276" s="9">
        <v>1</v>
      </c>
      <c r="M276" s="9">
        <v>15</v>
      </c>
      <c r="R276" s="9">
        <v>111</v>
      </c>
      <c r="AA276" s="9" t="s">
        <v>602</v>
      </c>
      <c r="AB276" s="9">
        <v>12</v>
      </c>
      <c r="AD276" s="9">
        <v>12000</v>
      </c>
      <c r="AF276" s="89">
        <f t="shared" si="93"/>
        <v>4800</v>
      </c>
      <c r="AG276" s="9">
        <f t="shared" si="103"/>
        <v>8800</v>
      </c>
      <c r="AI276" s="11">
        <f t="shared" si="92"/>
        <v>60</v>
      </c>
      <c r="AJ276" s="10">
        <v>60</v>
      </c>
      <c r="AK276" s="11">
        <f t="shared" si="101"/>
        <v>300</v>
      </c>
      <c r="AL276" s="10">
        <v>300</v>
      </c>
      <c r="AM276" s="11">
        <f t="shared" si="101"/>
        <v>300</v>
      </c>
      <c r="AN276" s="10">
        <v>300</v>
      </c>
      <c r="AO276" s="56">
        <f t="shared" si="94"/>
        <v>1</v>
      </c>
      <c r="AQ276" s="11">
        <f ca="1">IFERROR(OFFSET(ITEM_RES!$A$1,MATCH(AR276,ITEM_RES!$J:$J,0)-1,0),0)</f>
        <v>212040001</v>
      </c>
      <c r="AR276" s="10" t="s">
        <v>483</v>
      </c>
      <c r="AS276" s="11">
        <v>1500</v>
      </c>
      <c r="AV276" s="11">
        <f ca="1">IFERROR(OFFSET(ITEM_RES!$A$1,MATCH(AW276,ITEM_RES!$J:$J,0)-1,0),0)</f>
        <v>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</row>
    <row r="277" spans="1:66" x14ac:dyDescent="0.3">
      <c r="A277" s="14">
        <f t="shared" si="96"/>
        <v>112010013</v>
      </c>
      <c r="B277" s="13">
        <v>11</v>
      </c>
      <c r="C277" s="12">
        <f t="shared" si="97"/>
        <v>2</v>
      </c>
      <c r="D277" s="13">
        <v>1</v>
      </c>
      <c r="E277" s="13">
        <v>0</v>
      </c>
      <c r="F277" s="12">
        <f t="shared" si="98"/>
        <v>13</v>
      </c>
      <c r="H277" s="9">
        <v>2</v>
      </c>
      <c r="I277" s="9">
        <v>13</v>
      </c>
      <c r="K277" s="9" t="s">
        <v>378</v>
      </c>
      <c r="L277" s="9">
        <v>1</v>
      </c>
      <c r="M277" s="9">
        <v>15</v>
      </c>
      <c r="R277" s="9">
        <v>111</v>
      </c>
      <c r="AA277" s="9" t="s">
        <v>602</v>
      </c>
      <c r="AB277" s="9">
        <v>13</v>
      </c>
      <c r="AD277" s="9">
        <v>14000</v>
      </c>
      <c r="AF277" s="89">
        <f t="shared" si="93"/>
        <v>5600</v>
      </c>
      <c r="AG277" s="9">
        <f t="shared" si="103"/>
        <v>10400</v>
      </c>
      <c r="AI277" s="11">
        <f t="shared" si="92"/>
        <v>65</v>
      </c>
      <c r="AJ277" s="10">
        <v>65</v>
      </c>
      <c r="AK277" s="11">
        <f t="shared" si="101"/>
        <v>350</v>
      </c>
      <c r="AL277" s="10">
        <v>350</v>
      </c>
      <c r="AM277" s="11">
        <f t="shared" si="101"/>
        <v>350</v>
      </c>
      <c r="AN277" s="10">
        <v>350</v>
      </c>
      <c r="AO277" s="56">
        <f t="shared" si="94"/>
        <v>1</v>
      </c>
      <c r="AQ277" s="11">
        <f ca="1">IFERROR(OFFSET(ITEM_RES!$A$1,MATCH(AR277,ITEM_RES!$J:$J,0)-1,0),0)</f>
        <v>212040001</v>
      </c>
      <c r="AR277" s="10" t="s">
        <v>483</v>
      </c>
      <c r="AS277" s="11">
        <v>1750</v>
      </c>
      <c r="AV277" s="11">
        <f ca="1">IFERROR(OFFSET(ITEM_RES!$A$1,MATCH(AW277,ITEM_RES!$J:$J,0)-1,0),0)</f>
        <v>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</row>
    <row r="278" spans="1:66" x14ac:dyDescent="0.3">
      <c r="A278" s="14">
        <f t="shared" si="96"/>
        <v>112010014</v>
      </c>
      <c r="B278" s="13">
        <v>11</v>
      </c>
      <c r="C278" s="12">
        <f t="shared" si="97"/>
        <v>2</v>
      </c>
      <c r="D278" s="13">
        <v>1</v>
      </c>
      <c r="E278" s="13">
        <v>0</v>
      </c>
      <c r="F278" s="12">
        <f t="shared" si="98"/>
        <v>14</v>
      </c>
      <c r="H278" s="9">
        <v>2</v>
      </c>
      <c r="I278" s="9">
        <v>14</v>
      </c>
      <c r="K278" s="9" t="s">
        <v>378</v>
      </c>
      <c r="L278" s="9">
        <v>1</v>
      </c>
      <c r="M278" s="9">
        <v>15</v>
      </c>
      <c r="R278" s="9">
        <v>111</v>
      </c>
      <c r="AA278" s="9" t="s">
        <v>602</v>
      </c>
      <c r="AB278" s="9">
        <v>14</v>
      </c>
      <c r="AD278" s="9">
        <v>18000</v>
      </c>
      <c r="AF278" s="89">
        <f t="shared" si="93"/>
        <v>7700</v>
      </c>
      <c r="AG278" s="9">
        <f t="shared" si="103"/>
        <v>13300</v>
      </c>
      <c r="AI278" s="11">
        <f t="shared" si="92"/>
        <v>70</v>
      </c>
      <c r="AJ278" s="10">
        <v>70</v>
      </c>
      <c r="AK278" s="11">
        <f t="shared" si="101"/>
        <v>450</v>
      </c>
      <c r="AL278" s="10">
        <v>450</v>
      </c>
      <c r="AM278" s="11">
        <f t="shared" si="101"/>
        <v>450</v>
      </c>
      <c r="AN278" s="10">
        <v>450</v>
      </c>
      <c r="AO278" s="56">
        <f t="shared" si="94"/>
        <v>2</v>
      </c>
      <c r="AQ278" s="11">
        <f ca="1">IFERROR(OFFSET(ITEM_RES!$A$1,MATCH(AR278,ITEM_RES!$J:$J,0)-1,0),0)</f>
        <v>212040001</v>
      </c>
      <c r="AR278" s="10" t="s">
        <v>483</v>
      </c>
      <c r="AS278" s="11">
        <v>2250</v>
      </c>
      <c r="AV278" s="11">
        <f ca="1">IFERROR(OFFSET(ITEM_RES!$A$1,MATCH(AW278,ITEM_RES!$J:$J,0)-1,0),0)</f>
        <v>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213090001</v>
      </c>
      <c r="BG278" s="10" t="s">
        <v>521</v>
      </c>
      <c r="BH278" s="11">
        <v>1</v>
      </c>
      <c r="BK278" s="11">
        <f ca="1">IFERROR(OFFSET(ITEM_RES!$A$1,MATCH(BL278,ITEM_RES!$J:$J,0)-1,0),0)</f>
        <v>0</v>
      </c>
    </row>
    <row r="279" spans="1:66" x14ac:dyDescent="0.3">
      <c r="A279" s="14">
        <f t="shared" si="96"/>
        <v>112010015</v>
      </c>
      <c r="B279" s="13">
        <v>11</v>
      </c>
      <c r="C279" s="12">
        <f t="shared" si="97"/>
        <v>2</v>
      </c>
      <c r="D279" s="13">
        <v>1</v>
      </c>
      <c r="E279" s="13">
        <v>0</v>
      </c>
      <c r="F279" s="12">
        <f t="shared" si="98"/>
        <v>15</v>
      </c>
      <c r="H279" s="9">
        <v>2</v>
      </c>
      <c r="I279" s="9">
        <v>15</v>
      </c>
      <c r="K279" s="9" t="s">
        <v>378</v>
      </c>
      <c r="L279" s="9">
        <v>1</v>
      </c>
      <c r="M279" s="9">
        <v>15</v>
      </c>
      <c r="R279" s="9">
        <v>111</v>
      </c>
      <c r="AA279" s="9" t="s">
        <v>602</v>
      </c>
      <c r="AB279" s="9">
        <v>15</v>
      </c>
      <c r="AD279" s="9">
        <v>22000</v>
      </c>
      <c r="AF279" s="89">
        <f t="shared" si="93"/>
        <v>8800</v>
      </c>
      <c r="AG279" s="9">
        <f t="shared" si="103"/>
        <v>16500</v>
      </c>
      <c r="AI279" s="11">
        <f t="shared" si="92"/>
        <v>75</v>
      </c>
      <c r="AJ279" s="10">
        <v>75</v>
      </c>
      <c r="AK279" s="11">
        <f t="shared" si="101"/>
        <v>550</v>
      </c>
      <c r="AL279" s="10">
        <v>550</v>
      </c>
      <c r="AM279" s="11">
        <f t="shared" si="101"/>
        <v>550</v>
      </c>
      <c r="AN279" s="10">
        <v>550</v>
      </c>
      <c r="AO279" s="56">
        <f t="shared" si="94"/>
        <v>1</v>
      </c>
      <c r="AQ279" s="11">
        <f ca="1">IFERROR(OFFSET(ITEM_RES!$A$1,MATCH(AR279,ITEM_RES!$J:$J,0)-1,0),0)</f>
        <v>212040001</v>
      </c>
      <c r="AR279" s="10" t="s">
        <v>483</v>
      </c>
      <c r="AS279" s="11">
        <v>2750</v>
      </c>
      <c r="AV279" s="11">
        <f ca="1">IFERROR(OFFSET(ITEM_RES!$A$1,MATCH(AW279,ITEM_RES!$J:$J,0)-1,0),0)</f>
        <v>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</row>
    <row r="280" spans="1:66" x14ac:dyDescent="0.3">
      <c r="A280" s="14">
        <f t="shared" si="96"/>
        <v>112010016</v>
      </c>
      <c r="B280" s="13">
        <v>11</v>
      </c>
      <c r="C280" s="12">
        <f t="shared" si="97"/>
        <v>2</v>
      </c>
      <c r="D280" s="13">
        <v>1</v>
      </c>
      <c r="E280" s="13">
        <v>0</v>
      </c>
      <c r="F280" s="12">
        <f t="shared" si="98"/>
        <v>16</v>
      </c>
      <c r="H280" s="9">
        <v>2</v>
      </c>
      <c r="I280" s="9">
        <v>16</v>
      </c>
      <c r="K280" s="9" t="s">
        <v>378</v>
      </c>
      <c r="L280" s="9">
        <v>0</v>
      </c>
      <c r="M280" s="9">
        <v>15</v>
      </c>
      <c r="R280" s="9">
        <v>111</v>
      </c>
      <c r="AA280" s="9" t="s">
        <v>602</v>
      </c>
      <c r="AB280" s="9">
        <v>16</v>
      </c>
      <c r="AD280" s="9">
        <v>28000</v>
      </c>
      <c r="AF280" s="89">
        <f t="shared" si="93"/>
        <v>11200</v>
      </c>
      <c r="AG280" s="9">
        <f t="shared" si="103"/>
        <v>20000</v>
      </c>
      <c r="AI280" s="11">
        <f t="shared" si="92"/>
        <v>80</v>
      </c>
      <c r="AJ280" s="10">
        <v>80</v>
      </c>
      <c r="AK280" s="11">
        <f t="shared" si="101"/>
        <v>700</v>
      </c>
      <c r="AL280" s="10">
        <v>700</v>
      </c>
      <c r="AM280" s="11">
        <f t="shared" si="101"/>
        <v>700</v>
      </c>
      <c r="AN280" s="10">
        <v>700</v>
      </c>
      <c r="AO280" s="56">
        <f t="shared" si="94"/>
        <v>1</v>
      </c>
      <c r="AQ280" s="11">
        <f ca="1">IFERROR(OFFSET(ITEM_RES!$A$1,MATCH(AR280,ITEM_RES!$J:$J,0)-1,0),0)</f>
        <v>212040001</v>
      </c>
      <c r="AR280" s="10" t="s">
        <v>483</v>
      </c>
      <c r="AS280" s="11">
        <v>3500</v>
      </c>
      <c r="AV280" s="11">
        <f ca="1">IFERROR(OFFSET(ITEM_RES!$A$1,MATCH(AW280,ITEM_RES!$J:$J,0)-1,0),0)</f>
        <v>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</row>
    <row r="281" spans="1:66" x14ac:dyDescent="0.3">
      <c r="A281" s="14">
        <f t="shared" si="96"/>
        <v>112010017</v>
      </c>
      <c r="B281" s="13">
        <v>11</v>
      </c>
      <c r="C281" s="12">
        <f t="shared" si="97"/>
        <v>2</v>
      </c>
      <c r="D281" s="13">
        <v>1</v>
      </c>
      <c r="E281" s="13">
        <v>0</v>
      </c>
      <c r="F281" s="12">
        <f t="shared" si="98"/>
        <v>17</v>
      </c>
      <c r="H281" s="9">
        <v>2</v>
      </c>
      <c r="I281" s="9">
        <v>17</v>
      </c>
      <c r="K281" s="9" t="s">
        <v>378</v>
      </c>
      <c r="L281" s="9">
        <v>0</v>
      </c>
      <c r="M281" s="9">
        <v>15</v>
      </c>
      <c r="R281" s="9">
        <v>111</v>
      </c>
      <c r="AA281" s="9" t="s">
        <v>602</v>
      </c>
      <c r="AB281" s="9">
        <v>17</v>
      </c>
      <c r="AD281" s="9">
        <v>34000</v>
      </c>
      <c r="AF281" s="89">
        <f t="shared" si="93"/>
        <v>13600</v>
      </c>
      <c r="AG281" s="9">
        <f t="shared" si="103"/>
        <v>24800</v>
      </c>
      <c r="AI281" s="11">
        <f t="shared" ref="AI281:AI344" si="104">ROUND(AJ281,0)</f>
        <v>85</v>
      </c>
      <c r="AJ281" s="10">
        <v>85</v>
      </c>
      <c r="AK281" s="11">
        <f t="shared" si="101"/>
        <v>850</v>
      </c>
      <c r="AL281" s="10">
        <v>850</v>
      </c>
      <c r="AM281" s="11">
        <f t="shared" si="101"/>
        <v>850</v>
      </c>
      <c r="AN281" s="10">
        <v>850</v>
      </c>
      <c r="AO281" s="56">
        <f t="shared" si="94"/>
        <v>1</v>
      </c>
      <c r="AQ281" s="11">
        <f ca="1">IFERROR(OFFSET(ITEM_RES!$A$1,MATCH(AR281,ITEM_RES!$J:$J,0)-1,0),0)</f>
        <v>212040001</v>
      </c>
      <c r="AR281" s="10" t="s">
        <v>483</v>
      </c>
      <c r="AS281" s="11">
        <v>4250</v>
      </c>
      <c r="AV281" s="11">
        <f ca="1">IFERROR(OFFSET(ITEM_RES!$A$1,MATCH(AW281,ITEM_RES!$J:$J,0)-1,0),0)</f>
        <v>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</row>
    <row r="282" spans="1:66" x14ac:dyDescent="0.3">
      <c r="A282" s="14">
        <f t="shared" si="96"/>
        <v>112010018</v>
      </c>
      <c r="B282" s="13">
        <v>11</v>
      </c>
      <c r="C282" s="12">
        <f t="shared" si="97"/>
        <v>2</v>
      </c>
      <c r="D282" s="13">
        <v>1</v>
      </c>
      <c r="E282" s="13">
        <v>0</v>
      </c>
      <c r="F282" s="12">
        <f t="shared" si="98"/>
        <v>18</v>
      </c>
      <c r="H282" s="9">
        <v>2</v>
      </c>
      <c r="I282" s="9">
        <v>18</v>
      </c>
      <c r="K282" s="9" t="s">
        <v>378</v>
      </c>
      <c r="L282" s="9">
        <v>0</v>
      </c>
      <c r="M282" s="9">
        <v>15</v>
      </c>
      <c r="R282" s="9">
        <v>111</v>
      </c>
      <c r="AA282" s="9" t="s">
        <v>602</v>
      </c>
      <c r="AB282" s="9">
        <v>18</v>
      </c>
      <c r="AD282" s="9">
        <v>42000</v>
      </c>
      <c r="AF282" s="89">
        <f t="shared" ref="AF282:AF345" si="105">AL282*10+AN282+AS282+AX282+500*BC282+500*BH282+500*BM282</f>
        <v>16800</v>
      </c>
      <c r="AG282" s="9">
        <f t="shared" si="103"/>
        <v>30400</v>
      </c>
      <c r="AI282" s="11">
        <f t="shared" si="104"/>
        <v>90</v>
      </c>
      <c r="AJ282" s="10">
        <v>90</v>
      </c>
      <c r="AK282" s="11">
        <f t="shared" si="101"/>
        <v>1050</v>
      </c>
      <c r="AL282" s="10">
        <v>1050</v>
      </c>
      <c r="AM282" s="11">
        <f t="shared" si="101"/>
        <v>1050</v>
      </c>
      <c r="AN282" s="10">
        <v>1050</v>
      </c>
      <c r="AO282" s="56">
        <f t="shared" ref="AO282:AO345" si="106">(AS282&gt;0)*1+(AX282&gt;0)*1+(BC282&gt;0)*1+(BH282&gt;0)*1+(BM282&gt;0)*1</f>
        <v>1</v>
      </c>
      <c r="AQ282" s="11">
        <f ca="1">IFERROR(OFFSET(ITEM_RES!$A$1,MATCH(AR282,ITEM_RES!$J:$J,0)-1,0),0)</f>
        <v>215050001</v>
      </c>
      <c r="AR282" s="10" t="s">
        <v>497</v>
      </c>
      <c r="AS282" s="11">
        <v>5250</v>
      </c>
      <c r="AV282" s="11">
        <f ca="1">IFERROR(OFFSET(ITEM_RES!$A$1,MATCH(AW282,ITEM_RES!$J:$J,0)-1,0),0)</f>
        <v>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</row>
    <row r="283" spans="1:66" x14ac:dyDescent="0.3">
      <c r="A283" s="14">
        <f t="shared" si="96"/>
        <v>112010019</v>
      </c>
      <c r="B283" s="13">
        <v>11</v>
      </c>
      <c r="C283" s="12">
        <f t="shared" si="97"/>
        <v>2</v>
      </c>
      <c r="D283" s="13">
        <v>1</v>
      </c>
      <c r="E283" s="13">
        <v>0</v>
      </c>
      <c r="F283" s="12">
        <f t="shared" si="98"/>
        <v>19</v>
      </c>
      <c r="H283" s="9">
        <v>2</v>
      </c>
      <c r="I283" s="9">
        <v>19</v>
      </c>
      <c r="K283" s="9" t="s">
        <v>378</v>
      </c>
      <c r="L283" s="9">
        <v>0</v>
      </c>
      <c r="M283" s="9">
        <v>15</v>
      </c>
      <c r="R283" s="9">
        <v>111</v>
      </c>
      <c r="AA283" s="9" t="s">
        <v>602</v>
      </c>
      <c r="AB283" s="9">
        <v>19</v>
      </c>
      <c r="AD283" s="9">
        <v>50000</v>
      </c>
      <c r="AF283" s="89">
        <f t="shared" si="105"/>
        <v>20000</v>
      </c>
      <c r="AG283" s="9">
        <f t="shared" si="103"/>
        <v>36800</v>
      </c>
      <c r="AI283" s="11">
        <f t="shared" si="104"/>
        <v>95</v>
      </c>
      <c r="AJ283" s="10">
        <v>95</v>
      </c>
      <c r="AK283" s="11">
        <f t="shared" si="101"/>
        <v>1250</v>
      </c>
      <c r="AL283" s="10">
        <v>1250</v>
      </c>
      <c r="AM283" s="11">
        <f t="shared" si="101"/>
        <v>1250</v>
      </c>
      <c r="AN283" s="10">
        <v>1250</v>
      </c>
      <c r="AO283" s="56">
        <f t="shared" si="106"/>
        <v>1</v>
      </c>
      <c r="AQ283" s="11">
        <f ca="1">IFERROR(OFFSET(ITEM_RES!$A$1,MATCH(AR283,ITEM_RES!$J:$J,0)-1,0),0)</f>
        <v>215050001</v>
      </c>
      <c r="AR283" s="10" t="s">
        <v>497</v>
      </c>
      <c r="AS283" s="11">
        <v>6250</v>
      </c>
      <c r="AV283" s="11">
        <f ca="1">IFERROR(OFFSET(ITEM_RES!$A$1,MATCH(AW283,ITEM_RES!$J:$J,0)-1,0),0)</f>
        <v>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</row>
    <row r="284" spans="1:66" ht="17.25" thickBot="1" x14ac:dyDescent="0.35">
      <c r="A284" s="14">
        <f t="shared" si="96"/>
        <v>112010020</v>
      </c>
      <c r="B284" s="13">
        <v>11</v>
      </c>
      <c r="C284" s="12">
        <f t="shared" si="97"/>
        <v>2</v>
      </c>
      <c r="D284" s="13">
        <v>1</v>
      </c>
      <c r="E284" s="13">
        <v>0</v>
      </c>
      <c r="F284" s="12">
        <f t="shared" si="98"/>
        <v>20</v>
      </c>
      <c r="H284" s="9">
        <v>2</v>
      </c>
      <c r="I284" s="9">
        <v>20</v>
      </c>
      <c r="K284" s="9" t="s">
        <v>378</v>
      </c>
      <c r="L284" s="9">
        <v>0</v>
      </c>
      <c r="M284" s="9">
        <v>15</v>
      </c>
      <c r="R284" s="9">
        <v>111</v>
      </c>
      <c r="AA284" s="9" t="s">
        <v>602</v>
      </c>
      <c r="AB284" s="9">
        <v>20</v>
      </c>
      <c r="AD284" s="9">
        <v>60000</v>
      </c>
      <c r="AF284" s="89">
        <f t="shared" si="105"/>
        <v>24000</v>
      </c>
      <c r="AG284" s="9">
        <f t="shared" si="103"/>
        <v>44000</v>
      </c>
      <c r="AI284" s="11">
        <f t="shared" si="104"/>
        <v>100</v>
      </c>
      <c r="AJ284" s="10">
        <v>100</v>
      </c>
      <c r="AK284" s="11">
        <f t="shared" si="101"/>
        <v>1500</v>
      </c>
      <c r="AL284" s="10">
        <v>1500</v>
      </c>
      <c r="AM284" s="11">
        <f t="shared" si="101"/>
        <v>1500</v>
      </c>
      <c r="AN284" s="10">
        <v>1500</v>
      </c>
      <c r="AO284" s="56">
        <f t="shared" si="106"/>
        <v>1</v>
      </c>
      <c r="AQ284" s="11">
        <f ca="1">IFERROR(OFFSET(ITEM_RES!$A$1,MATCH(AR284,ITEM_RES!$J:$J,0)-1,0),0)</f>
        <v>215050001</v>
      </c>
      <c r="AR284" s="10" t="s">
        <v>497</v>
      </c>
      <c r="AS284" s="11">
        <v>7500</v>
      </c>
      <c r="AV284" s="11">
        <f ca="1">IFERROR(OFFSET(ITEM_RES!$A$1,MATCH(AW284,ITEM_RES!$J:$J,0)-1,0),0)</f>
        <v>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</row>
    <row r="285" spans="1:66" s="15" customFormat="1" x14ac:dyDescent="0.3">
      <c r="A285" s="21">
        <f t="shared" si="96"/>
        <v>112020001</v>
      </c>
      <c r="B285" s="20">
        <v>11</v>
      </c>
      <c r="C285" s="19">
        <f t="shared" si="97"/>
        <v>2</v>
      </c>
      <c r="D285" s="20">
        <v>2</v>
      </c>
      <c r="E285" s="20">
        <v>0</v>
      </c>
      <c r="F285" s="19">
        <f t="shared" si="98"/>
        <v>1</v>
      </c>
      <c r="G285" s="80"/>
      <c r="H285" s="16">
        <v>2</v>
      </c>
      <c r="I285" s="16">
        <v>1</v>
      </c>
      <c r="J285" s="80"/>
      <c r="K285" s="16" t="s">
        <v>377</v>
      </c>
      <c r="L285" s="16">
        <v>1</v>
      </c>
      <c r="M285" s="16">
        <v>15</v>
      </c>
      <c r="N285" s="16"/>
      <c r="O285" s="17"/>
      <c r="P285" s="17"/>
      <c r="Q285" s="18"/>
      <c r="R285" s="16">
        <v>222</v>
      </c>
      <c r="S285" s="88"/>
      <c r="T285" s="80"/>
      <c r="U285" s="88"/>
      <c r="V285" s="88"/>
      <c r="W285" s="88"/>
      <c r="X285" s="88"/>
      <c r="Y285" s="88"/>
      <c r="Z285" s="16"/>
      <c r="AA285" s="16" t="s">
        <v>603</v>
      </c>
      <c r="AB285" s="16">
        <v>1</v>
      </c>
      <c r="AC285" s="80"/>
      <c r="AD285" s="16">
        <v>100</v>
      </c>
      <c r="AE285" s="80"/>
      <c r="AF285" s="91">
        <f t="shared" si="105"/>
        <v>580</v>
      </c>
      <c r="AG285" s="16">
        <f>AF285</f>
        <v>580</v>
      </c>
      <c r="AH285" s="80"/>
      <c r="AI285" s="18">
        <f t="shared" si="104"/>
        <v>5</v>
      </c>
      <c r="AJ285" s="17">
        <v>5</v>
      </c>
      <c r="AK285" s="18">
        <f t="shared" si="101"/>
        <v>5</v>
      </c>
      <c r="AL285" s="17">
        <v>5</v>
      </c>
      <c r="AM285" s="18">
        <f t="shared" si="101"/>
        <v>5</v>
      </c>
      <c r="AN285" s="17">
        <v>5</v>
      </c>
      <c r="AO285" s="57">
        <f t="shared" si="106"/>
        <v>2</v>
      </c>
      <c r="AP285" s="18"/>
      <c r="AQ285" s="18">
        <f ca="1">IFERROR(OFFSET(ITEM_RES!$A$1,MATCH(AR285,ITEM_RES!$J:$J,0)-1,0),0)</f>
        <v>212040001</v>
      </c>
      <c r="AR285" s="17" t="s">
        <v>483</v>
      </c>
      <c r="AS285" s="18">
        <v>25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213010001</v>
      </c>
      <c r="BB285" s="17" t="s">
        <v>509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/>
      <c r="BN285" s="17"/>
    </row>
    <row r="286" spans="1:66" x14ac:dyDescent="0.3">
      <c r="A286" s="14">
        <f t="shared" si="96"/>
        <v>112020002</v>
      </c>
      <c r="B286" s="13">
        <v>11</v>
      </c>
      <c r="C286" s="12">
        <f t="shared" si="97"/>
        <v>2</v>
      </c>
      <c r="D286" s="13">
        <v>2</v>
      </c>
      <c r="E286" s="13">
        <v>0</v>
      </c>
      <c r="F286" s="12">
        <f t="shared" si="98"/>
        <v>2</v>
      </c>
      <c r="H286" s="9">
        <v>2</v>
      </c>
      <c r="I286" s="9">
        <v>2</v>
      </c>
      <c r="K286" s="9" t="s">
        <v>377</v>
      </c>
      <c r="L286" s="9">
        <v>1</v>
      </c>
      <c r="M286" s="9">
        <v>15</v>
      </c>
      <c r="R286" s="9">
        <v>222</v>
      </c>
      <c r="AA286" s="9" t="s">
        <v>603</v>
      </c>
      <c r="AB286" s="9">
        <v>2</v>
      </c>
      <c r="AD286" s="9">
        <v>200</v>
      </c>
      <c r="AF286" s="89">
        <f t="shared" si="105"/>
        <v>160</v>
      </c>
      <c r="AG286" s="9">
        <f>AF285+AF286</f>
        <v>740</v>
      </c>
      <c r="AI286" s="11">
        <f t="shared" si="104"/>
        <v>10</v>
      </c>
      <c r="AJ286" s="10">
        <v>10</v>
      </c>
      <c r="AK286" s="11">
        <f t="shared" si="101"/>
        <v>10</v>
      </c>
      <c r="AL286" s="10">
        <v>10</v>
      </c>
      <c r="AM286" s="11">
        <f t="shared" si="101"/>
        <v>10</v>
      </c>
      <c r="AN286" s="10">
        <v>10</v>
      </c>
      <c r="AO286" s="56">
        <f t="shared" si="106"/>
        <v>1</v>
      </c>
      <c r="AQ286" s="11">
        <f ca="1">IFERROR(OFFSET(ITEM_RES!$A$1,MATCH(AR286,ITEM_RES!$J:$J,0)-1,0),0)</f>
        <v>212040001</v>
      </c>
      <c r="AR286" s="10" t="s">
        <v>483</v>
      </c>
      <c r="AS286" s="11">
        <v>50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</row>
    <row r="287" spans="1:66" x14ac:dyDescent="0.3">
      <c r="A287" s="14">
        <f t="shared" si="96"/>
        <v>112020003</v>
      </c>
      <c r="B287" s="13">
        <v>11</v>
      </c>
      <c r="C287" s="12">
        <f t="shared" si="97"/>
        <v>2</v>
      </c>
      <c r="D287" s="13">
        <v>2</v>
      </c>
      <c r="E287" s="13">
        <v>0</v>
      </c>
      <c r="F287" s="12">
        <f t="shared" si="98"/>
        <v>3</v>
      </c>
      <c r="H287" s="9">
        <v>2</v>
      </c>
      <c r="I287" s="9">
        <v>3</v>
      </c>
      <c r="K287" s="9" t="s">
        <v>377</v>
      </c>
      <c r="L287" s="9">
        <v>1</v>
      </c>
      <c r="M287" s="9">
        <v>15</v>
      </c>
      <c r="R287" s="9">
        <v>222</v>
      </c>
      <c r="AA287" s="9" t="s">
        <v>603</v>
      </c>
      <c r="AB287" s="9">
        <v>3</v>
      </c>
      <c r="AD287" s="9">
        <v>600</v>
      </c>
      <c r="AF287" s="89">
        <f t="shared" si="105"/>
        <v>240</v>
      </c>
      <c r="AG287" s="9">
        <f t="shared" ref="AG287:AG304" si="107">AF286+AF287</f>
        <v>400</v>
      </c>
      <c r="AI287" s="11">
        <f t="shared" si="104"/>
        <v>15</v>
      </c>
      <c r="AJ287" s="10">
        <v>15</v>
      </c>
      <c r="AK287" s="11">
        <f t="shared" si="101"/>
        <v>15</v>
      </c>
      <c r="AL287" s="10">
        <v>15</v>
      </c>
      <c r="AM287" s="11">
        <f t="shared" si="101"/>
        <v>15</v>
      </c>
      <c r="AN287" s="10">
        <v>15</v>
      </c>
      <c r="AO287" s="56">
        <f t="shared" si="106"/>
        <v>1</v>
      </c>
      <c r="AQ287" s="11">
        <f ca="1">IFERROR(OFFSET(ITEM_RES!$A$1,MATCH(AR287,ITEM_RES!$J:$J,0)-1,0),0)</f>
        <v>212040001</v>
      </c>
      <c r="AR287" s="10" t="s">
        <v>483</v>
      </c>
      <c r="AS287" s="11">
        <v>75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</row>
    <row r="288" spans="1:66" x14ac:dyDescent="0.3">
      <c r="A288" s="14">
        <f t="shared" si="96"/>
        <v>112020004</v>
      </c>
      <c r="B288" s="13">
        <v>11</v>
      </c>
      <c r="C288" s="12">
        <f t="shared" si="97"/>
        <v>2</v>
      </c>
      <c r="D288" s="13">
        <v>2</v>
      </c>
      <c r="E288" s="13">
        <v>0</v>
      </c>
      <c r="F288" s="12">
        <f t="shared" si="98"/>
        <v>4</v>
      </c>
      <c r="H288" s="9">
        <v>2</v>
      </c>
      <c r="I288" s="9">
        <v>4</v>
      </c>
      <c r="K288" s="9" t="s">
        <v>377</v>
      </c>
      <c r="L288" s="9">
        <v>1</v>
      </c>
      <c r="M288" s="9">
        <v>15</v>
      </c>
      <c r="R288" s="9">
        <v>222</v>
      </c>
      <c r="AA288" s="9" t="s">
        <v>603</v>
      </c>
      <c r="AB288" s="9">
        <v>4</v>
      </c>
      <c r="AD288" s="9">
        <v>1000</v>
      </c>
      <c r="AF288" s="89">
        <f t="shared" si="105"/>
        <v>400</v>
      </c>
      <c r="AG288" s="9">
        <f t="shared" si="107"/>
        <v>640</v>
      </c>
      <c r="AI288" s="11">
        <f t="shared" si="104"/>
        <v>20</v>
      </c>
      <c r="AJ288" s="10">
        <v>20</v>
      </c>
      <c r="AK288" s="11">
        <f t="shared" si="101"/>
        <v>25</v>
      </c>
      <c r="AL288" s="10">
        <v>25</v>
      </c>
      <c r="AM288" s="11">
        <f t="shared" si="101"/>
        <v>25</v>
      </c>
      <c r="AN288" s="10">
        <v>25</v>
      </c>
      <c r="AO288" s="56">
        <f t="shared" si="106"/>
        <v>1</v>
      </c>
      <c r="AQ288" s="11">
        <f ca="1">IFERROR(OFFSET(ITEM_RES!$A$1,MATCH(AR288,ITEM_RES!$J:$J,0)-1,0),0)</f>
        <v>212040001</v>
      </c>
      <c r="AR288" s="10" t="s">
        <v>483</v>
      </c>
      <c r="AS288" s="11">
        <v>125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</row>
    <row r="289" spans="1:63" x14ac:dyDescent="0.3">
      <c r="A289" s="14">
        <f t="shared" si="96"/>
        <v>112020005</v>
      </c>
      <c r="B289" s="13">
        <v>11</v>
      </c>
      <c r="C289" s="12">
        <f t="shared" si="97"/>
        <v>2</v>
      </c>
      <c r="D289" s="13">
        <v>2</v>
      </c>
      <c r="E289" s="13">
        <v>0</v>
      </c>
      <c r="F289" s="12">
        <f t="shared" si="98"/>
        <v>5</v>
      </c>
      <c r="H289" s="9">
        <v>2</v>
      </c>
      <c r="I289" s="9">
        <v>5</v>
      </c>
      <c r="K289" s="9" t="s">
        <v>377</v>
      </c>
      <c r="L289" s="9">
        <v>1</v>
      </c>
      <c r="M289" s="9">
        <v>15</v>
      </c>
      <c r="R289" s="9">
        <v>222</v>
      </c>
      <c r="AA289" s="9" t="s">
        <v>603</v>
      </c>
      <c r="AB289" s="9">
        <v>5</v>
      </c>
      <c r="AD289" s="9">
        <v>1600</v>
      </c>
      <c r="AF289" s="89">
        <f t="shared" si="105"/>
        <v>640</v>
      </c>
      <c r="AG289" s="9">
        <f t="shared" si="107"/>
        <v>1040</v>
      </c>
      <c r="AI289" s="11">
        <f t="shared" si="104"/>
        <v>25</v>
      </c>
      <c r="AJ289" s="10">
        <v>25</v>
      </c>
      <c r="AK289" s="11">
        <f t="shared" si="101"/>
        <v>40</v>
      </c>
      <c r="AL289" s="10">
        <v>40</v>
      </c>
      <c r="AM289" s="11">
        <f t="shared" si="101"/>
        <v>40</v>
      </c>
      <c r="AN289" s="10">
        <v>40</v>
      </c>
      <c r="AO289" s="56">
        <f t="shared" si="106"/>
        <v>1</v>
      </c>
      <c r="AQ289" s="11">
        <f ca="1">IFERROR(OFFSET(ITEM_RES!$A$1,MATCH(AR289,ITEM_RES!$J:$J,0)-1,0),0)</f>
        <v>212040001</v>
      </c>
      <c r="AR289" s="10" t="s">
        <v>483</v>
      </c>
      <c r="AS289" s="11">
        <v>200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</row>
    <row r="290" spans="1:63" x14ac:dyDescent="0.3">
      <c r="A290" s="14">
        <f t="shared" si="96"/>
        <v>112020006</v>
      </c>
      <c r="B290" s="13">
        <v>11</v>
      </c>
      <c r="C290" s="12">
        <f t="shared" si="97"/>
        <v>2</v>
      </c>
      <c r="D290" s="13">
        <v>2</v>
      </c>
      <c r="E290" s="13">
        <v>0</v>
      </c>
      <c r="F290" s="12">
        <f t="shared" si="98"/>
        <v>6</v>
      </c>
      <c r="H290" s="9">
        <v>2</v>
      </c>
      <c r="I290" s="9">
        <v>6</v>
      </c>
      <c r="K290" s="9" t="s">
        <v>377</v>
      </c>
      <c r="L290" s="9">
        <v>1</v>
      </c>
      <c r="M290" s="9">
        <v>15</v>
      </c>
      <c r="R290" s="9">
        <v>222</v>
      </c>
      <c r="AA290" s="9" t="s">
        <v>603</v>
      </c>
      <c r="AB290" s="9">
        <v>6</v>
      </c>
      <c r="AD290" s="9">
        <v>2000</v>
      </c>
      <c r="AF290" s="89">
        <f t="shared" si="105"/>
        <v>800</v>
      </c>
      <c r="AG290" s="9">
        <f t="shared" si="107"/>
        <v>1440</v>
      </c>
      <c r="AI290" s="11">
        <f t="shared" si="104"/>
        <v>30</v>
      </c>
      <c r="AJ290" s="10">
        <v>30</v>
      </c>
      <c r="AK290" s="11">
        <f t="shared" si="101"/>
        <v>50</v>
      </c>
      <c r="AL290" s="10">
        <v>50</v>
      </c>
      <c r="AM290" s="11">
        <f t="shared" si="101"/>
        <v>50</v>
      </c>
      <c r="AN290" s="10">
        <v>50</v>
      </c>
      <c r="AO290" s="56">
        <f t="shared" si="106"/>
        <v>1</v>
      </c>
      <c r="AQ290" s="11">
        <f ca="1">IFERROR(OFFSET(ITEM_RES!$A$1,MATCH(AR290,ITEM_RES!$J:$J,0)-1,0),0)</f>
        <v>212040001</v>
      </c>
      <c r="AR290" s="10" t="s">
        <v>483</v>
      </c>
      <c r="AS290" s="11">
        <v>250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</row>
    <row r="291" spans="1:63" x14ac:dyDescent="0.3">
      <c r="A291" s="14">
        <f t="shared" si="96"/>
        <v>112020007</v>
      </c>
      <c r="B291" s="13">
        <v>11</v>
      </c>
      <c r="C291" s="12">
        <f t="shared" si="97"/>
        <v>2</v>
      </c>
      <c r="D291" s="13">
        <v>2</v>
      </c>
      <c r="E291" s="13">
        <v>0</v>
      </c>
      <c r="F291" s="12">
        <f t="shared" si="98"/>
        <v>7</v>
      </c>
      <c r="H291" s="9">
        <v>2</v>
      </c>
      <c r="I291" s="9">
        <v>7</v>
      </c>
      <c r="K291" s="9" t="s">
        <v>377</v>
      </c>
      <c r="L291" s="9">
        <v>1</v>
      </c>
      <c r="M291" s="9">
        <v>15</v>
      </c>
      <c r="R291" s="9">
        <v>222</v>
      </c>
      <c r="AA291" s="9" t="s">
        <v>603</v>
      </c>
      <c r="AB291" s="9">
        <v>7</v>
      </c>
      <c r="AD291" s="9">
        <v>4000</v>
      </c>
      <c r="AF291" s="89">
        <f t="shared" si="105"/>
        <v>1600</v>
      </c>
      <c r="AG291" s="9">
        <f t="shared" si="107"/>
        <v>2400</v>
      </c>
      <c r="AI291" s="11">
        <f t="shared" si="104"/>
        <v>35</v>
      </c>
      <c r="AJ291" s="10">
        <v>35</v>
      </c>
      <c r="AK291" s="11">
        <f t="shared" si="101"/>
        <v>100</v>
      </c>
      <c r="AL291" s="10">
        <v>100</v>
      </c>
      <c r="AM291" s="11">
        <f t="shared" si="101"/>
        <v>100</v>
      </c>
      <c r="AN291" s="10">
        <v>100</v>
      </c>
      <c r="AO291" s="56">
        <f t="shared" si="106"/>
        <v>1</v>
      </c>
      <c r="AQ291" s="11">
        <f ca="1">IFERROR(OFFSET(ITEM_RES!$A$1,MATCH(AR291,ITEM_RES!$J:$J,0)-1,0),0)</f>
        <v>212040001</v>
      </c>
      <c r="AR291" s="10" t="s">
        <v>483</v>
      </c>
      <c r="AS291" s="11">
        <v>500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</row>
    <row r="292" spans="1:63" x14ac:dyDescent="0.3">
      <c r="A292" s="14">
        <f t="shared" si="96"/>
        <v>112020008</v>
      </c>
      <c r="B292" s="13">
        <v>11</v>
      </c>
      <c r="C292" s="12">
        <f t="shared" si="97"/>
        <v>2</v>
      </c>
      <c r="D292" s="13">
        <v>2</v>
      </c>
      <c r="E292" s="13">
        <v>0</v>
      </c>
      <c r="F292" s="12">
        <f t="shared" si="98"/>
        <v>8</v>
      </c>
      <c r="H292" s="9">
        <v>2</v>
      </c>
      <c r="I292" s="9">
        <v>8</v>
      </c>
      <c r="K292" s="9" t="s">
        <v>377</v>
      </c>
      <c r="L292" s="9">
        <v>1</v>
      </c>
      <c r="M292" s="9">
        <v>15</v>
      </c>
      <c r="R292" s="9">
        <v>222</v>
      </c>
      <c r="AA292" s="9" t="s">
        <v>603</v>
      </c>
      <c r="AB292" s="9">
        <v>8</v>
      </c>
      <c r="AD292" s="9">
        <v>4000</v>
      </c>
      <c r="AF292" s="89">
        <f t="shared" si="105"/>
        <v>1600</v>
      </c>
      <c r="AG292" s="9">
        <f t="shared" si="107"/>
        <v>3200</v>
      </c>
      <c r="AI292" s="11">
        <f t="shared" si="104"/>
        <v>40</v>
      </c>
      <c r="AJ292" s="10">
        <v>40</v>
      </c>
      <c r="AK292" s="11">
        <f t="shared" si="101"/>
        <v>100</v>
      </c>
      <c r="AL292" s="10">
        <v>100</v>
      </c>
      <c r="AM292" s="11">
        <f t="shared" si="101"/>
        <v>100</v>
      </c>
      <c r="AN292" s="10">
        <v>100</v>
      </c>
      <c r="AO292" s="56">
        <f t="shared" si="106"/>
        <v>1</v>
      </c>
      <c r="AQ292" s="11">
        <f ca="1">IFERROR(OFFSET(ITEM_RES!$A$1,MATCH(AR292,ITEM_RES!$J:$J,0)-1,0),0)</f>
        <v>212040001</v>
      </c>
      <c r="AR292" s="10" t="s">
        <v>483</v>
      </c>
      <c r="AS292" s="11">
        <v>500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0</v>
      </c>
      <c r="BK292" s="11">
        <f ca="1">IFERROR(OFFSET(ITEM_RES!$A$1,MATCH(BL292,ITEM_RES!$J:$J,0)-1,0),0)</f>
        <v>0</v>
      </c>
    </row>
    <row r="293" spans="1:63" x14ac:dyDescent="0.3">
      <c r="A293" s="14">
        <f t="shared" si="96"/>
        <v>112020009</v>
      </c>
      <c r="B293" s="13">
        <v>11</v>
      </c>
      <c r="C293" s="12">
        <f t="shared" si="97"/>
        <v>2</v>
      </c>
      <c r="D293" s="13">
        <v>2</v>
      </c>
      <c r="E293" s="13">
        <v>0</v>
      </c>
      <c r="F293" s="12">
        <f t="shared" si="98"/>
        <v>9</v>
      </c>
      <c r="H293" s="9">
        <v>2</v>
      </c>
      <c r="I293" s="9">
        <v>9</v>
      </c>
      <c r="K293" s="9" t="s">
        <v>377</v>
      </c>
      <c r="L293" s="9">
        <v>1</v>
      </c>
      <c r="M293" s="9">
        <v>15</v>
      </c>
      <c r="R293" s="9">
        <v>222</v>
      </c>
      <c r="AA293" s="9" t="s">
        <v>603</v>
      </c>
      <c r="AB293" s="9">
        <v>9</v>
      </c>
      <c r="AD293" s="9">
        <v>6000</v>
      </c>
      <c r="AF293" s="89">
        <f t="shared" si="105"/>
        <v>2400</v>
      </c>
      <c r="AG293" s="9">
        <f t="shared" si="107"/>
        <v>4000</v>
      </c>
      <c r="AI293" s="11">
        <f t="shared" si="104"/>
        <v>45</v>
      </c>
      <c r="AJ293" s="10">
        <v>45</v>
      </c>
      <c r="AK293" s="11">
        <f t="shared" si="101"/>
        <v>150</v>
      </c>
      <c r="AL293" s="10">
        <v>150</v>
      </c>
      <c r="AM293" s="11">
        <f t="shared" si="101"/>
        <v>150</v>
      </c>
      <c r="AN293" s="10">
        <v>150</v>
      </c>
      <c r="AO293" s="56">
        <f t="shared" si="106"/>
        <v>1</v>
      </c>
      <c r="AQ293" s="11">
        <f ca="1">IFERROR(OFFSET(ITEM_RES!$A$1,MATCH(AR293,ITEM_RES!$J:$J,0)-1,0),0)</f>
        <v>212040001</v>
      </c>
      <c r="AR293" s="10" t="s">
        <v>483</v>
      </c>
      <c r="AS293" s="11">
        <v>750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</row>
    <row r="294" spans="1:63" x14ac:dyDescent="0.3">
      <c r="A294" s="14">
        <f t="shared" si="96"/>
        <v>112020010</v>
      </c>
      <c r="B294" s="13">
        <v>11</v>
      </c>
      <c r="C294" s="12">
        <f t="shared" si="97"/>
        <v>2</v>
      </c>
      <c r="D294" s="13">
        <v>2</v>
      </c>
      <c r="E294" s="13">
        <v>0</v>
      </c>
      <c r="F294" s="12">
        <f t="shared" si="98"/>
        <v>10</v>
      </c>
      <c r="H294" s="9">
        <v>2</v>
      </c>
      <c r="I294" s="9">
        <v>10</v>
      </c>
      <c r="K294" s="9" t="s">
        <v>377</v>
      </c>
      <c r="L294" s="9">
        <v>1</v>
      </c>
      <c r="M294" s="9">
        <v>15</v>
      </c>
      <c r="R294" s="9">
        <v>222</v>
      </c>
      <c r="AA294" s="9" t="s">
        <v>603</v>
      </c>
      <c r="AB294" s="9">
        <v>10</v>
      </c>
      <c r="AD294" s="9">
        <v>8000</v>
      </c>
      <c r="AF294" s="89">
        <f t="shared" si="105"/>
        <v>3200</v>
      </c>
      <c r="AG294" s="9">
        <f t="shared" si="107"/>
        <v>5600</v>
      </c>
      <c r="AI294" s="11">
        <f t="shared" si="104"/>
        <v>50</v>
      </c>
      <c r="AJ294" s="10">
        <v>50</v>
      </c>
      <c r="AK294" s="11">
        <f t="shared" si="101"/>
        <v>200</v>
      </c>
      <c r="AL294" s="10">
        <v>200</v>
      </c>
      <c r="AM294" s="11">
        <f t="shared" si="101"/>
        <v>200</v>
      </c>
      <c r="AN294" s="10">
        <v>200</v>
      </c>
      <c r="AO294" s="56">
        <f t="shared" si="106"/>
        <v>1</v>
      </c>
      <c r="AQ294" s="11">
        <f ca="1">IFERROR(OFFSET(ITEM_RES!$A$1,MATCH(AR294,ITEM_RES!$J:$J,0)-1,0),0)</f>
        <v>212040001</v>
      </c>
      <c r="AR294" s="10" t="s">
        <v>483</v>
      </c>
      <c r="AS294" s="11">
        <v>1000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</row>
    <row r="295" spans="1:63" x14ac:dyDescent="0.3">
      <c r="A295" s="14">
        <f t="shared" si="96"/>
        <v>112020011</v>
      </c>
      <c r="B295" s="13">
        <v>11</v>
      </c>
      <c r="C295" s="12">
        <f t="shared" si="97"/>
        <v>2</v>
      </c>
      <c r="D295" s="13">
        <v>2</v>
      </c>
      <c r="E295" s="13">
        <v>0</v>
      </c>
      <c r="F295" s="12">
        <f t="shared" si="98"/>
        <v>11</v>
      </c>
      <c r="H295" s="9">
        <v>2</v>
      </c>
      <c r="I295" s="9">
        <v>11</v>
      </c>
      <c r="K295" s="9" t="s">
        <v>377</v>
      </c>
      <c r="L295" s="9">
        <v>1</v>
      </c>
      <c r="M295" s="9">
        <v>15</v>
      </c>
      <c r="R295" s="9">
        <v>222</v>
      </c>
      <c r="AA295" s="9" t="s">
        <v>603</v>
      </c>
      <c r="AB295" s="9">
        <v>11</v>
      </c>
      <c r="AD295" s="9">
        <v>10000</v>
      </c>
      <c r="AF295" s="89">
        <f t="shared" si="105"/>
        <v>4000</v>
      </c>
      <c r="AG295" s="9">
        <f t="shared" si="107"/>
        <v>7200</v>
      </c>
      <c r="AI295" s="11">
        <f t="shared" si="104"/>
        <v>55</v>
      </c>
      <c r="AJ295" s="10">
        <v>55</v>
      </c>
      <c r="AK295" s="11">
        <f t="shared" si="101"/>
        <v>250</v>
      </c>
      <c r="AL295" s="10">
        <v>250</v>
      </c>
      <c r="AM295" s="11">
        <f t="shared" si="101"/>
        <v>250</v>
      </c>
      <c r="AN295" s="10">
        <v>250</v>
      </c>
      <c r="AO295" s="56">
        <f t="shared" si="106"/>
        <v>1</v>
      </c>
      <c r="AQ295" s="11">
        <f ca="1">IFERROR(OFFSET(ITEM_RES!$A$1,MATCH(AR295,ITEM_RES!$J:$J,0)-1,0),0)</f>
        <v>212040001</v>
      </c>
      <c r="AR295" s="10" t="s">
        <v>483</v>
      </c>
      <c r="AS295" s="11">
        <v>1250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</row>
    <row r="296" spans="1:63" x14ac:dyDescent="0.3">
      <c r="A296" s="14">
        <f t="shared" si="96"/>
        <v>112020012</v>
      </c>
      <c r="B296" s="13">
        <v>11</v>
      </c>
      <c r="C296" s="12">
        <f t="shared" si="97"/>
        <v>2</v>
      </c>
      <c r="D296" s="13">
        <v>2</v>
      </c>
      <c r="E296" s="13">
        <v>0</v>
      </c>
      <c r="F296" s="12">
        <f t="shared" si="98"/>
        <v>12</v>
      </c>
      <c r="H296" s="9">
        <v>2</v>
      </c>
      <c r="I296" s="9">
        <v>12</v>
      </c>
      <c r="K296" s="9" t="s">
        <v>377</v>
      </c>
      <c r="L296" s="9">
        <v>1</v>
      </c>
      <c r="M296" s="9">
        <v>15</v>
      </c>
      <c r="R296" s="9">
        <v>222</v>
      </c>
      <c r="AA296" s="9" t="s">
        <v>603</v>
      </c>
      <c r="AB296" s="9">
        <v>12</v>
      </c>
      <c r="AD296" s="9">
        <v>12000</v>
      </c>
      <c r="AF296" s="89">
        <f t="shared" si="105"/>
        <v>4800</v>
      </c>
      <c r="AG296" s="9">
        <f t="shared" si="107"/>
        <v>8800</v>
      </c>
      <c r="AI296" s="11">
        <f t="shared" si="104"/>
        <v>60</v>
      </c>
      <c r="AJ296" s="10">
        <v>60</v>
      </c>
      <c r="AK296" s="11">
        <f t="shared" si="101"/>
        <v>300</v>
      </c>
      <c r="AL296" s="10">
        <v>300</v>
      </c>
      <c r="AM296" s="11">
        <f t="shared" si="101"/>
        <v>300</v>
      </c>
      <c r="AN296" s="10">
        <v>300</v>
      </c>
      <c r="AO296" s="56">
        <f t="shared" si="106"/>
        <v>1</v>
      </c>
      <c r="AQ296" s="11">
        <f ca="1">IFERROR(OFFSET(ITEM_RES!$A$1,MATCH(AR296,ITEM_RES!$J:$J,0)-1,0),0)</f>
        <v>212040001</v>
      </c>
      <c r="AR296" s="10" t="s">
        <v>483</v>
      </c>
      <c r="AS296" s="11">
        <v>1500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</row>
    <row r="297" spans="1:63" x14ac:dyDescent="0.3">
      <c r="A297" s="14">
        <f t="shared" si="96"/>
        <v>112020013</v>
      </c>
      <c r="B297" s="13">
        <v>11</v>
      </c>
      <c r="C297" s="12">
        <f t="shared" si="97"/>
        <v>2</v>
      </c>
      <c r="D297" s="13">
        <v>2</v>
      </c>
      <c r="E297" s="13">
        <v>0</v>
      </c>
      <c r="F297" s="12">
        <f t="shared" si="98"/>
        <v>13</v>
      </c>
      <c r="H297" s="9">
        <v>2</v>
      </c>
      <c r="I297" s="9">
        <v>13</v>
      </c>
      <c r="K297" s="9" t="s">
        <v>377</v>
      </c>
      <c r="L297" s="9">
        <v>1</v>
      </c>
      <c r="M297" s="9">
        <v>15</v>
      </c>
      <c r="R297" s="9">
        <v>222</v>
      </c>
      <c r="AA297" s="9" t="s">
        <v>603</v>
      </c>
      <c r="AB297" s="9">
        <v>13</v>
      </c>
      <c r="AD297" s="9">
        <v>14000</v>
      </c>
      <c r="AF297" s="89">
        <f t="shared" si="105"/>
        <v>5600</v>
      </c>
      <c r="AG297" s="9">
        <f t="shared" si="107"/>
        <v>10400</v>
      </c>
      <c r="AI297" s="11">
        <f t="shared" si="104"/>
        <v>65</v>
      </c>
      <c r="AJ297" s="10">
        <v>65</v>
      </c>
      <c r="AK297" s="11">
        <f t="shared" si="101"/>
        <v>350</v>
      </c>
      <c r="AL297" s="10">
        <v>350</v>
      </c>
      <c r="AM297" s="11">
        <f t="shared" si="101"/>
        <v>350</v>
      </c>
      <c r="AN297" s="10">
        <v>350</v>
      </c>
      <c r="AO297" s="56">
        <f t="shared" si="106"/>
        <v>1</v>
      </c>
      <c r="AQ297" s="11">
        <f ca="1">IFERROR(OFFSET(ITEM_RES!$A$1,MATCH(AR297,ITEM_RES!$J:$J,0)-1,0),0)</f>
        <v>212040001</v>
      </c>
      <c r="AR297" s="10" t="s">
        <v>483</v>
      </c>
      <c r="AS297" s="11">
        <v>1750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</row>
    <row r="298" spans="1:63" x14ac:dyDescent="0.3">
      <c r="A298" s="14">
        <f t="shared" si="96"/>
        <v>112020014</v>
      </c>
      <c r="B298" s="13">
        <v>11</v>
      </c>
      <c r="C298" s="12">
        <f t="shared" si="97"/>
        <v>2</v>
      </c>
      <c r="D298" s="13">
        <v>2</v>
      </c>
      <c r="E298" s="13">
        <v>0</v>
      </c>
      <c r="F298" s="12">
        <f t="shared" si="98"/>
        <v>14</v>
      </c>
      <c r="H298" s="9">
        <v>2</v>
      </c>
      <c r="I298" s="9">
        <v>14</v>
      </c>
      <c r="K298" s="9" t="s">
        <v>377</v>
      </c>
      <c r="L298" s="9">
        <v>1</v>
      </c>
      <c r="M298" s="9">
        <v>15</v>
      </c>
      <c r="R298" s="9">
        <v>222</v>
      </c>
      <c r="AA298" s="9" t="s">
        <v>603</v>
      </c>
      <c r="AB298" s="9">
        <v>14</v>
      </c>
      <c r="AD298" s="9">
        <v>18000</v>
      </c>
      <c r="AF298" s="89">
        <f t="shared" si="105"/>
        <v>7700</v>
      </c>
      <c r="AG298" s="9">
        <f t="shared" si="107"/>
        <v>13300</v>
      </c>
      <c r="AI298" s="11">
        <f t="shared" si="104"/>
        <v>70</v>
      </c>
      <c r="AJ298" s="10">
        <v>70</v>
      </c>
      <c r="AK298" s="11">
        <f t="shared" si="101"/>
        <v>450</v>
      </c>
      <c r="AL298" s="10">
        <v>450</v>
      </c>
      <c r="AM298" s="11">
        <f t="shared" si="101"/>
        <v>450</v>
      </c>
      <c r="AN298" s="10">
        <v>450</v>
      </c>
      <c r="AO298" s="56">
        <f t="shared" si="106"/>
        <v>2</v>
      </c>
      <c r="AQ298" s="11">
        <f ca="1">IFERROR(OFFSET(ITEM_RES!$A$1,MATCH(AR298,ITEM_RES!$J:$J,0)-1,0),0)</f>
        <v>212040001</v>
      </c>
      <c r="AR298" s="10" t="s">
        <v>483</v>
      </c>
      <c r="AS298" s="11">
        <v>2250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213090001</v>
      </c>
      <c r="BG298" s="10" t="s">
        <v>521</v>
      </c>
      <c r="BH298" s="11">
        <v>1</v>
      </c>
      <c r="BK298" s="11">
        <f ca="1">IFERROR(OFFSET(ITEM_RES!$A$1,MATCH(BL298,ITEM_RES!$J:$J,0)-1,0),0)</f>
        <v>0</v>
      </c>
    </row>
    <row r="299" spans="1:63" x14ac:dyDescent="0.3">
      <c r="A299" s="14">
        <f t="shared" si="96"/>
        <v>112020015</v>
      </c>
      <c r="B299" s="13">
        <v>11</v>
      </c>
      <c r="C299" s="12">
        <f t="shared" si="97"/>
        <v>2</v>
      </c>
      <c r="D299" s="13">
        <v>2</v>
      </c>
      <c r="E299" s="13">
        <v>0</v>
      </c>
      <c r="F299" s="12">
        <f t="shared" si="98"/>
        <v>15</v>
      </c>
      <c r="H299" s="9">
        <v>2</v>
      </c>
      <c r="I299" s="9">
        <v>15</v>
      </c>
      <c r="K299" s="9" t="s">
        <v>377</v>
      </c>
      <c r="L299" s="9">
        <v>1</v>
      </c>
      <c r="M299" s="9">
        <v>15</v>
      </c>
      <c r="R299" s="9">
        <v>222</v>
      </c>
      <c r="AA299" s="9" t="s">
        <v>603</v>
      </c>
      <c r="AB299" s="9">
        <v>15</v>
      </c>
      <c r="AD299" s="9">
        <v>22000</v>
      </c>
      <c r="AF299" s="89">
        <f t="shared" si="105"/>
        <v>8800</v>
      </c>
      <c r="AG299" s="9">
        <f t="shared" si="107"/>
        <v>16500</v>
      </c>
      <c r="AI299" s="11">
        <f t="shared" si="104"/>
        <v>75</v>
      </c>
      <c r="AJ299" s="10">
        <v>75</v>
      </c>
      <c r="AK299" s="11">
        <f t="shared" si="101"/>
        <v>550</v>
      </c>
      <c r="AL299" s="10">
        <v>550</v>
      </c>
      <c r="AM299" s="11">
        <f t="shared" si="101"/>
        <v>550</v>
      </c>
      <c r="AN299" s="10">
        <v>550</v>
      </c>
      <c r="AO299" s="56">
        <f t="shared" si="106"/>
        <v>1</v>
      </c>
      <c r="AQ299" s="11">
        <f ca="1">IFERROR(OFFSET(ITEM_RES!$A$1,MATCH(AR299,ITEM_RES!$J:$J,0)-1,0),0)</f>
        <v>212040001</v>
      </c>
      <c r="AR299" s="10" t="s">
        <v>483</v>
      </c>
      <c r="AS299" s="11">
        <v>2750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</row>
    <row r="300" spans="1:63" x14ac:dyDescent="0.3">
      <c r="A300" s="14">
        <f t="shared" si="96"/>
        <v>112020016</v>
      </c>
      <c r="B300" s="13">
        <v>11</v>
      </c>
      <c r="C300" s="12">
        <f t="shared" si="97"/>
        <v>2</v>
      </c>
      <c r="D300" s="13">
        <v>2</v>
      </c>
      <c r="E300" s="13">
        <v>0</v>
      </c>
      <c r="F300" s="12">
        <f t="shared" si="98"/>
        <v>16</v>
      </c>
      <c r="H300" s="9">
        <v>2</v>
      </c>
      <c r="I300" s="9">
        <v>16</v>
      </c>
      <c r="K300" s="9" t="s">
        <v>377</v>
      </c>
      <c r="L300" s="9">
        <v>0</v>
      </c>
      <c r="M300" s="9">
        <v>15</v>
      </c>
      <c r="R300" s="9">
        <v>222</v>
      </c>
      <c r="AA300" s="9" t="s">
        <v>603</v>
      </c>
      <c r="AB300" s="9">
        <v>16</v>
      </c>
      <c r="AD300" s="9">
        <v>28000</v>
      </c>
      <c r="AF300" s="89">
        <f t="shared" si="105"/>
        <v>11200</v>
      </c>
      <c r="AG300" s="9">
        <f t="shared" si="107"/>
        <v>20000</v>
      </c>
      <c r="AI300" s="11">
        <f t="shared" si="104"/>
        <v>80</v>
      </c>
      <c r="AJ300" s="10">
        <v>80</v>
      </c>
      <c r="AK300" s="11">
        <f t="shared" si="101"/>
        <v>700</v>
      </c>
      <c r="AL300" s="10">
        <v>700</v>
      </c>
      <c r="AM300" s="11">
        <f t="shared" si="101"/>
        <v>700</v>
      </c>
      <c r="AN300" s="10">
        <v>700</v>
      </c>
      <c r="AO300" s="56">
        <f t="shared" si="106"/>
        <v>1</v>
      </c>
      <c r="AQ300" s="11">
        <f ca="1">IFERROR(OFFSET(ITEM_RES!$A$1,MATCH(AR300,ITEM_RES!$J:$J,0)-1,0),0)</f>
        <v>212040001</v>
      </c>
      <c r="AR300" s="10" t="s">
        <v>483</v>
      </c>
      <c r="AS300" s="11">
        <v>3500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</row>
    <row r="301" spans="1:63" x14ac:dyDescent="0.3">
      <c r="A301" s="14">
        <f t="shared" ref="A301:A364" si="108">B301*10000000+C301*1000000+D301*10000+E301*100+F301</f>
        <v>112020017</v>
      </c>
      <c r="B301" s="13">
        <v>11</v>
      </c>
      <c r="C301" s="12">
        <f t="shared" ref="C301:C364" si="109">H301</f>
        <v>2</v>
      </c>
      <c r="D301" s="13">
        <v>2</v>
      </c>
      <c r="E301" s="13">
        <v>0</v>
      </c>
      <c r="F301" s="12">
        <f t="shared" ref="F301:F364" si="110">I301</f>
        <v>17</v>
      </c>
      <c r="H301" s="9">
        <v>2</v>
      </c>
      <c r="I301" s="9">
        <v>17</v>
      </c>
      <c r="K301" s="9" t="s">
        <v>377</v>
      </c>
      <c r="L301" s="9">
        <v>0</v>
      </c>
      <c r="M301" s="9">
        <v>15</v>
      </c>
      <c r="R301" s="9">
        <v>222</v>
      </c>
      <c r="AA301" s="9" t="s">
        <v>603</v>
      </c>
      <c r="AB301" s="9">
        <v>17</v>
      </c>
      <c r="AD301" s="9">
        <v>34000</v>
      </c>
      <c r="AF301" s="89">
        <f t="shared" si="105"/>
        <v>13600</v>
      </c>
      <c r="AG301" s="9">
        <f t="shared" si="107"/>
        <v>24800</v>
      </c>
      <c r="AI301" s="11">
        <f t="shared" si="104"/>
        <v>85</v>
      </c>
      <c r="AJ301" s="10">
        <v>85</v>
      </c>
      <c r="AK301" s="11">
        <f t="shared" si="101"/>
        <v>850</v>
      </c>
      <c r="AL301" s="10">
        <v>850</v>
      </c>
      <c r="AM301" s="11">
        <f t="shared" si="101"/>
        <v>850</v>
      </c>
      <c r="AN301" s="10">
        <v>850</v>
      </c>
      <c r="AO301" s="56">
        <f t="shared" si="106"/>
        <v>1</v>
      </c>
      <c r="AQ301" s="11">
        <f ca="1">IFERROR(OFFSET(ITEM_RES!$A$1,MATCH(AR301,ITEM_RES!$J:$J,0)-1,0),0)</f>
        <v>212040001</v>
      </c>
      <c r="AR301" s="10" t="s">
        <v>483</v>
      </c>
      <c r="AS301" s="11">
        <v>4250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</row>
    <row r="302" spans="1:63" x14ac:dyDescent="0.3">
      <c r="A302" s="14">
        <f t="shared" si="108"/>
        <v>112020018</v>
      </c>
      <c r="B302" s="13">
        <v>11</v>
      </c>
      <c r="C302" s="12">
        <f t="shared" si="109"/>
        <v>2</v>
      </c>
      <c r="D302" s="13">
        <v>2</v>
      </c>
      <c r="E302" s="13">
        <v>0</v>
      </c>
      <c r="F302" s="12">
        <f t="shared" si="110"/>
        <v>18</v>
      </c>
      <c r="H302" s="9">
        <v>2</v>
      </c>
      <c r="I302" s="9">
        <v>18</v>
      </c>
      <c r="K302" s="9" t="s">
        <v>377</v>
      </c>
      <c r="L302" s="9">
        <v>0</v>
      </c>
      <c r="M302" s="9">
        <v>15</v>
      </c>
      <c r="R302" s="9">
        <v>222</v>
      </c>
      <c r="AA302" s="9" t="s">
        <v>603</v>
      </c>
      <c r="AB302" s="9">
        <v>18</v>
      </c>
      <c r="AD302" s="9">
        <v>42000</v>
      </c>
      <c r="AF302" s="89">
        <f t="shared" si="105"/>
        <v>16800</v>
      </c>
      <c r="AG302" s="9">
        <f t="shared" si="107"/>
        <v>30400</v>
      </c>
      <c r="AI302" s="11">
        <f t="shared" si="104"/>
        <v>90</v>
      </c>
      <c r="AJ302" s="10">
        <v>90</v>
      </c>
      <c r="AK302" s="11">
        <f t="shared" ref="AK302:AM365" si="111">ROUND(AL302,0)</f>
        <v>1050</v>
      </c>
      <c r="AL302" s="10">
        <v>1050</v>
      </c>
      <c r="AM302" s="11">
        <f t="shared" si="111"/>
        <v>1050</v>
      </c>
      <c r="AN302" s="10">
        <v>1050</v>
      </c>
      <c r="AO302" s="56">
        <f t="shared" si="106"/>
        <v>1</v>
      </c>
      <c r="AQ302" s="11">
        <f ca="1">IFERROR(OFFSET(ITEM_RES!$A$1,MATCH(AR302,ITEM_RES!$J:$J,0)-1,0),0)</f>
        <v>212040001</v>
      </c>
      <c r="AR302" s="10" t="s">
        <v>483</v>
      </c>
      <c r="AS302" s="11">
        <v>5250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</row>
    <row r="303" spans="1:63" x14ac:dyDescent="0.3">
      <c r="A303" s="14">
        <f t="shared" si="108"/>
        <v>112020019</v>
      </c>
      <c r="B303" s="13">
        <v>11</v>
      </c>
      <c r="C303" s="12">
        <f t="shared" si="109"/>
        <v>2</v>
      </c>
      <c r="D303" s="13">
        <v>2</v>
      </c>
      <c r="E303" s="13">
        <v>0</v>
      </c>
      <c r="F303" s="12">
        <f t="shared" si="110"/>
        <v>19</v>
      </c>
      <c r="H303" s="9">
        <v>2</v>
      </c>
      <c r="I303" s="9">
        <v>19</v>
      </c>
      <c r="K303" s="9" t="s">
        <v>377</v>
      </c>
      <c r="L303" s="9">
        <v>0</v>
      </c>
      <c r="M303" s="9">
        <v>15</v>
      </c>
      <c r="R303" s="9">
        <v>222</v>
      </c>
      <c r="AA303" s="9" t="s">
        <v>603</v>
      </c>
      <c r="AB303" s="9">
        <v>19</v>
      </c>
      <c r="AD303" s="9">
        <v>50000</v>
      </c>
      <c r="AF303" s="89">
        <f t="shared" si="105"/>
        <v>20000</v>
      </c>
      <c r="AG303" s="9">
        <f t="shared" si="107"/>
        <v>36800</v>
      </c>
      <c r="AI303" s="11">
        <f t="shared" si="104"/>
        <v>95</v>
      </c>
      <c r="AJ303" s="10">
        <v>95</v>
      </c>
      <c r="AK303" s="11">
        <f t="shared" si="111"/>
        <v>1250</v>
      </c>
      <c r="AL303" s="10">
        <v>1250</v>
      </c>
      <c r="AM303" s="11">
        <f t="shared" si="111"/>
        <v>1250</v>
      </c>
      <c r="AN303" s="10">
        <v>1250</v>
      </c>
      <c r="AO303" s="56">
        <f t="shared" si="106"/>
        <v>1</v>
      </c>
      <c r="AQ303" s="11">
        <f ca="1">IFERROR(OFFSET(ITEM_RES!$A$1,MATCH(AR303,ITEM_RES!$J:$J,0)-1,0),0)</f>
        <v>215050001</v>
      </c>
      <c r="AR303" s="10" t="s">
        <v>497</v>
      </c>
      <c r="AS303" s="11">
        <v>6250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</row>
    <row r="304" spans="1:63" ht="17.25" thickBot="1" x14ac:dyDescent="0.35">
      <c r="A304" s="14">
        <f t="shared" si="108"/>
        <v>112020020</v>
      </c>
      <c r="B304" s="13">
        <v>11</v>
      </c>
      <c r="C304" s="12">
        <f t="shared" si="109"/>
        <v>2</v>
      </c>
      <c r="D304" s="13">
        <v>2</v>
      </c>
      <c r="E304" s="13">
        <v>0</v>
      </c>
      <c r="F304" s="12">
        <f t="shared" si="110"/>
        <v>20</v>
      </c>
      <c r="H304" s="9">
        <v>2</v>
      </c>
      <c r="I304" s="9">
        <v>20</v>
      </c>
      <c r="K304" s="9" t="s">
        <v>377</v>
      </c>
      <c r="L304" s="9">
        <v>0</v>
      </c>
      <c r="M304" s="9">
        <v>15</v>
      </c>
      <c r="R304" s="9">
        <v>222</v>
      </c>
      <c r="AA304" s="9" t="s">
        <v>603</v>
      </c>
      <c r="AB304" s="9">
        <v>20</v>
      </c>
      <c r="AD304" s="9">
        <v>60000</v>
      </c>
      <c r="AF304" s="89">
        <f t="shared" si="105"/>
        <v>24000</v>
      </c>
      <c r="AG304" s="9">
        <f t="shared" si="107"/>
        <v>44000</v>
      </c>
      <c r="AI304" s="11">
        <f t="shared" si="104"/>
        <v>100</v>
      </c>
      <c r="AJ304" s="10">
        <v>100</v>
      </c>
      <c r="AK304" s="11">
        <f t="shared" si="111"/>
        <v>1500</v>
      </c>
      <c r="AL304" s="10">
        <v>1500</v>
      </c>
      <c r="AM304" s="11">
        <f t="shared" si="111"/>
        <v>1500</v>
      </c>
      <c r="AN304" s="10">
        <v>1500</v>
      </c>
      <c r="AO304" s="56">
        <f t="shared" si="106"/>
        <v>1</v>
      </c>
      <c r="AQ304" s="11">
        <f ca="1">IFERROR(OFFSET(ITEM_RES!$A$1,MATCH(AR304,ITEM_RES!$J:$J,0)-1,0),0)</f>
        <v>215050001</v>
      </c>
      <c r="AR304" s="10" t="s">
        <v>497</v>
      </c>
      <c r="AS304" s="11">
        <v>7500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</row>
    <row r="305" spans="1:66" s="15" customFormat="1" x14ac:dyDescent="0.3">
      <c r="A305" s="21">
        <f t="shared" si="108"/>
        <v>114010001</v>
      </c>
      <c r="B305" s="20">
        <v>11</v>
      </c>
      <c r="C305" s="19">
        <f t="shared" si="109"/>
        <v>4</v>
      </c>
      <c r="D305" s="20">
        <v>1</v>
      </c>
      <c r="E305" s="20">
        <v>0</v>
      </c>
      <c r="F305" s="19">
        <f t="shared" si="110"/>
        <v>1</v>
      </c>
      <c r="G305" s="80"/>
      <c r="H305" s="16">
        <v>4</v>
      </c>
      <c r="I305" s="16">
        <v>1</v>
      </c>
      <c r="J305" s="80"/>
      <c r="K305" s="16" t="s">
        <v>385</v>
      </c>
      <c r="L305" s="16">
        <v>1</v>
      </c>
      <c r="M305" s="16">
        <v>15</v>
      </c>
      <c r="N305" s="16"/>
      <c r="O305" s="17"/>
      <c r="P305" s="17"/>
      <c r="Q305" s="18"/>
      <c r="R305" s="16">
        <v>333</v>
      </c>
      <c r="S305" s="88"/>
      <c r="T305" s="80"/>
      <c r="U305" s="88"/>
      <c r="V305" s="88"/>
      <c r="W305" s="88"/>
      <c r="X305" s="88"/>
      <c r="Y305" s="88"/>
      <c r="Z305" s="16">
        <v>215040001</v>
      </c>
      <c r="AA305" s="16" t="s">
        <v>604</v>
      </c>
      <c r="AB305" s="16">
        <v>1</v>
      </c>
      <c r="AC305" s="80"/>
      <c r="AD305" s="16">
        <v>400</v>
      </c>
      <c r="AE305" s="80"/>
      <c r="AF305" s="91">
        <f t="shared" si="105"/>
        <v>605</v>
      </c>
      <c r="AG305" s="16">
        <f>AF305</f>
        <v>605</v>
      </c>
      <c r="AH305" s="80"/>
      <c r="AI305" s="18">
        <f t="shared" si="104"/>
        <v>5</v>
      </c>
      <c r="AJ305" s="17">
        <v>5</v>
      </c>
      <c r="AK305" s="18">
        <f t="shared" si="111"/>
        <v>5</v>
      </c>
      <c r="AL305" s="17">
        <v>5</v>
      </c>
      <c r="AM305" s="18">
        <f t="shared" si="111"/>
        <v>5</v>
      </c>
      <c r="AN305" s="17">
        <v>5</v>
      </c>
      <c r="AO305" s="57">
        <f t="shared" si="106"/>
        <v>3</v>
      </c>
      <c r="AP305" s="18"/>
      <c r="AQ305" s="18">
        <f ca="1">IFERROR(OFFSET(ITEM_RES!$A$1,MATCH(AR305,ITEM_RES!$J:$J,0)-1,0),0)</f>
        <v>212010001</v>
      </c>
      <c r="AR305" s="17" t="s">
        <v>484</v>
      </c>
      <c r="AS305" s="18">
        <v>25</v>
      </c>
      <c r="AT305" s="17"/>
      <c r="AU305" s="18"/>
      <c r="AV305" s="18">
        <f ca="1">IFERROR(OFFSET(ITEM_RES!$A$1,MATCH(AW305,ITEM_RES!$J:$J,0)-1,0),0)</f>
        <v>212040001</v>
      </c>
      <c r="AW305" s="17" t="s">
        <v>483</v>
      </c>
      <c r="AX305" s="18">
        <v>25</v>
      </c>
      <c r="AY305" s="17"/>
      <c r="AZ305" s="18"/>
      <c r="BA305" s="18">
        <f ca="1">IFERROR(OFFSET(ITEM_RES!$A$1,MATCH(BB305,ITEM_RES!$J:$J,0)-1,0),0)</f>
        <v>213010001</v>
      </c>
      <c r="BB305" s="17" t="s">
        <v>509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108"/>
        <v>114010002</v>
      </c>
      <c r="B306" s="13">
        <v>11</v>
      </c>
      <c r="C306" s="12">
        <f t="shared" si="109"/>
        <v>4</v>
      </c>
      <c r="D306" s="13">
        <v>1</v>
      </c>
      <c r="E306" s="13">
        <v>0</v>
      </c>
      <c r="F306" s="12">
        <f t="shared" si="110"/>
        <v>2</v>
      </c>
      <c r="H306" s="9">
        <v>4</v>
      </c>
      <c r="I306" s="9">
        <v>2</v>
      </c>
      <c r="K306" s="9" t="s">
        <v>385</v>
      </c>
      <c r="L306" s="9">
        <v>1</v>
      </c>
      <c r="M306" s="9">
        <v>15</v>
      </c>
      <c r="R306" s="9">
        <v>333</v>
      </c>
      <c r="Z306" s="9">
        <v>215040001</v>
      </c>
      <c r="AA306" s="9" t="s">
        <v>604</v>
      </c>
      <c r="AB306" s="9">
        <v>2</v>
      </c>
      <c r="AD306" s="9">
        <v>800</v>
      </c>
      <c r="AF306" s="89">
        <f t="shared" si="105"/>
        <v>210</v>
      </c>
      <c r="AG306" s="9">
        <f>AF305+AF306</f>
        <v>815</v>
      </c>
      <c r="AI306" s="11">
        <f t="shared" si="104"/>
        <v>10</v>
      </c>
      <c r="AJ306" s="10">
        <v>10</v>
      </c>
      <c r="AK306" s="11">
        <f t="shared" si="111"/>
        <v>10</v>
      </c>
      <c r="AL306" s="10">
        <v>10</v>
      </c>
      <c r="AM306" s="11">
        <f t="shared" si="111"/>
        <v>10</v>
      </c>
      <c r="AN306" s="10">
        <v>10</v>
      </c>
      <c r="AO306" s="56">
        <f t="shared" si="106"/>
        <v>2</v>
      </c>
      <c r="AQ306" s="11">
        <f ca="1">IFERROR(OFFSET(ITEM_RES!$A$1,MATCH(AR306,ITEM_RES!$J:$J,0)-1,0),0)</f>
        <v>212010001</v>
      </c>
      <c r="AR306" s="10" t="s">
        <v>484</v>
      </c>
      <c r="AS306" s="11">
        <v>50</v>
      </c>
      <c r="AV306" s="11">
        <f ca="1">IFERROR(OFFSET(ITEM_RES!$A$1,MATCH(AW306,ITEM_RES!$J:$J,0)-1,0),0)</f>
        <v>212040001</v>
      </c>
      <c r="AW306" s="10" t="s">
        <v>483</v>
      </c>
      <c r="AX306" s="11">
        <v>50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108"/>
        <v>114010003</v>
      </c>
      <c r="B307" s="13">
        <v>11</v>
      </c>
      <c r="C307" s="12">
        <f t="shared" si="109"/>
        <v>4</v>
      </c>
      <c r="D307" s="13">
        <v>1</v>
      </c>
      <c r="E307" s="13">
        <v>0</v>
      </c>
      <c r="F307" s="12">
        <f t="shared" si="110"/>
        <v>3</v>
      </c>
      <c r="H307" s="9">
        <v>4</v>
      </c>
      <c r="I307" s="9">
        <v>3</v>
      </c>
      <c r="K307" s="9" t="s">
        <v>385</v>
      </c>
      <c r="L307" s="9">
        <v>1</v>
      </c>
      <c r="M307" s="9">
        <v>15</v>
      </c>
      <c r="R307" s="9">
        <v>333</v>
      </c>
      <c r="Z307" s="9">
        <v>215040001</v>
      </c>
      <c r="AA307" s="9" t="s">
        <v>604</v>
      </c>
      <c r="AB307" s="9">
        <v>3</v>
      </c>
      <c r="AD307" s="9">
        <v>1200</v>
      </c>
      <c r="AF307" s="89">
        <f t="shared" si="105"/>
        <v>315</v>
      </c>
      <c r="AG307" s="9">
        <f t="shared" ref="AG307:AG324" si="112">AF306+AF307</f>
        <v>525</v>
      </c>
      <c r="AI307" s="11">
        <f t="shared" si="104"/>
        <v>15</v>
      </c>
      <c r="AJ307" s="10">
        <v>15</v>
      </c>
      <c r="AK307" s="11">
        <f t="shared" si="111"/>
        <v>15</v>
      </c>
      <c r="AL307" s="10">
        <v>15</v>
      </c>
      <c r="AM307" s="11">
        <f t="shared" si="111"/>
        <v>15</v>
      </c>
      <c r="AN307" s="10">
        <v>15</v>
      </c>
      <c r="AO307" s="56">
        <f t="shared" si="106"/>
        <v>2</v>
      </c>
      <c r="AQ307" s="11">
        <f ca="1">IFERROR(OFFSET(ITEM_RES!$A$1,MATCH(AR307,ITEM_RES!$J:$J,0)-1,0),0)</f>
        <v>212010001</v>
      </c>
      <c r="AR307" s="10" t="s">
        <v>484</v>
      </c>
      <c r="AS307" s="11">
        <v>75</v>
      </c>
      <c r="AV307" s="11">
        <f ca="1">IFERROR(OFFSET(ITEM_RES!$A$1,MATCH(AW307,ITEM_RES!$J:$J,0)-1,0),0)</f>
        <v>212040001</v>
      </c>
      <c r="AW307" s="10" t="s">
        <v>483</v>
      </c>
      <c r="AX307" s="11">
        <v>75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108"/>
        <v>114010004</v>
      </c>
      <c r="B308" s="13">
        <v>11</v>
      </c>
      <c r="C308" s="12">
        <f t="shared" si="109"/>
        <v>4</v>
      </c>
      <c r="D308" s="13">
        <v>1</v>
      </c>
      <c r="E308" s="13">
        <v>0</v>
      </c>
      <c r="F308" s="12">
        <f t="shared" si="110"/>
        <v>4</v>
      </c>
      <c r="H308" s="9">
        <v>4</v>
      </c>
      <c r="I308" s="9">
        <v>4</v>
      </c>
      <c r="K308" s="9" t="s">
        <v>385</v>
      </c>
      <c r="L308" s="9">
        <v>1</v>
      </c>
      <c r="M308" s="9">
        <v>15</v>
      </c>
      <c r="R308" s="9">
        <v>333</v>
      </c>
      <c r="Z308" s="9">
        <v>215040001</v>
      </c>
      <c r="AA308" s="9" t="s">
        <v>604</v>
      </c>
      <c r="AB308" s="9">
        <v>4</v>
      </c>
      <c r="AD308" s="9">
        <v>2000</v>
      </c>
      <c r="AF308" s="89">
        <f t="shared" si="105"/>
        <v>525</v>
      </c>
      <c r="AG308" s="9">
        <f t="shared" si="112"/>
        <v>840</v>
      </c>
      <c r="AI308" s="11">
        <f t="shared" si="104"/>
        <v>20</v>
      </c>
      <c r="AJ308" s="10">
        <v>20</v>
      </c>
      <c r="AK308" s="11">
        <f t="shared" si="111"/>
        <v>25</v>
      </c>
      <c r="AL308" s="10">
        <v>25</v>
      </c>
      <c r="AM308" s="11">
        <f t="shared" si="111"/>
        <v>25</v>
      </c>
      <c r="AN308" s="10">
        <v>25</v>
      </c>
      <c r="AO308" s="56">
        <f t="shared" si="106"/>
        <v>2</v>
      </c>
      <c r="AQ308" s="11">
        <f ca="1">IFERROR(OFFSET(ITEM_RES!$A$1,MATCH(AR308,ITEM_RES!$J:$J,0)-1,0),0)</f>
        <v>212010001</v>
      </c>
      <c r="AR308" s="10" t="s">
        <v>484</v>
      </c>
      <c r="AS308" s="11">
        <v>125</v>
      </c>
      <c r="AV308" s="11">
        <f ca="1">IFERROR(OFFSET(ITEM_RES!$A$1,MATCH(AW308,ITEM_RES!$J:$J,0)-1,0),0)</f>
        <v>212040001</v>
      </c>
      <c r="AW308" s="10" t="s">
        <v>483</v>
      </c>
      <c r="AX308" s="11">
        <v>125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108"/>
        <v>114010005</v>
      </c>
      <c r="B309" s="13">
        <v>11</v>
      </c>
      <c r="C309" s="12">
        <f t="shared" si="109"/>
        <v>4</v>
      </c>
      <c r="D309" s="13">
        <v>1</v>
      </c>
      <c r="E309" s="13">
        <v>0</v>
      </c>
      <c r="F309" s="12">
        <f t="shared" si="110"/>
        <v>5</v>
      </c>
      <c r="H309" s="9">
        <v>4</v>
      </c>
      <c r="I309" s="9">
        <v>5</v>
      </c>
      <c r="K309" s="9" t="s">
        <v>385</v>
      </c>
      <c r="L309" s="9">
        <v>1</v>
      </c>
      <c r="M309" s="9">
        <v>15</v>
      </c>
      <c r="R309" s="9">
        <v>333</v>
      </c>
      <c r="Z309" s="9">
        <v>215040001</v>
      </c>
      <c r="AA309" s="9" t="s">
        <v>604</v>
      </c>
      <c r="AB309" s="9">
        <v>5</v>
      </c>
      <c r="AD309" s="9">
        <v>3200</v>
      </c>
      <c r="AF309" s="89">
        <f t="shared" si="105"/>
        <v>840</v>
      </c>
      <c r="AG309" s="9">
        <f t="shared" si="112"/>
        <v>1365</v>
      </c>
      <c r="AI309" s="11">
        <f t="shared" si="104"/>
        <v>25</v>
      </c>
      <c r="AJ309" s="10">
        <v>25</v>
      </c>
      <c r="AK309" s="11">
        <f t="shared" si="111"/>
        <v>40</v>
      </c>
      <c r="AL309" s="10">
        <v>40</v>
      </c>
      <c r="AM309" s="11">
        <f t="shared" si="111"/>
        <v>40</v>
      </c>
      <c r="AN309" s="10">
        <v>40</v>
      </c>
      <c r="AO309" s="56">
        <f t="shared" si="106"/>
        <v>2</v>
      </c>
      <c r="AQ309" s="11">
        <f ca="1">IFERROR(OFFSET(ITEM_RES!$A$1,MATCH(AR309,ITEM_RES!$J:$J,0)-1,0),0)</f>
        <v>212010001</v>
      </c>
      <c r="AR309" s="10" t="s">
        <v>484</v>
      </c>
      <c r="AS309" s="11">
        <v>200</v>
      </c>
      <c r="AV309" s="11">
        <f ca="1">IFERROR(OFFSET(ITEM_RES!$A$1,MATCH(AW309,ITEM_RES!$J:$J,0)-1,0),0)</f>
        <v>212040001</v>
      </c>
      <c r="AW309" s="10" t="s">
        <v>483</v>
      </c>
      <c r="AX309" s="11">
        <v>200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108"/>
        <v>114010006</v>
      </c>
      <c r="B310" s="13">
        <v>11</v>
      </c>
      <c r="C310" s="12">
        <f t="shared" si="109"/>
        <v>4</v>
      </c>
      <c r="D310" s="13">
        <v>1</v>
      </c>
      <c r="E310" s="13">
        <v>0</v>
      </c>
      <c r="F310" s="12">
        <f t="shared" si="110"/>
        <v>6</v>
      </c>
      <c r="H310" s="9">
        <v>4</v>
      </c>
      <c r="I310" s="9">
        <v>6</v>
      </c>
      <c r="K310" s="9" t="s">
        <v>385</v>
      </c>
      <c r="L310" s="9">
        <v>1</v>
      </c>
      <c r="M310" s="9">
        <v>15</v>
      </c>
      <c r="R310" s="9">
        <v>333</v>
      </c>
      <c r="Z310" s="9">
        <v>215040001</v>
      </c>
      <c r="AA310" s="9" t="s">
        <v>604</v>
      </c>
      <c r="AB310" s="9">
        <v>6</v>
      </c>
      <c r="AD310" s="9">
        <v>4000</v>
      </c>
      <c r="AF310" s="89">
        <f t="shared" si="105"/>
        <v>1050</v>
      </c>
      <c r="AG310" s="9">
        <f t="shared" si="112"/>
        <v>1890</v>
      </c>
      <c r="AI310" s="11">
        <f t="shared" si="104"/>
        <v>30</v>
      </c>
      <c r="AJ310" s="10">
        <v>30</v>
      </c>
      <c r="AK310" s="11">
        <f t="shared" si="111"/>
        <v>50</v>
      </c>
      <c r="AL310" s="10">
        <v>50</v>
      </c>
      <c r="AM310" s="11">
        <f t="shared" si="111"/>
        <v>50</v>
      </c>
      <c r="AN310" s="10">
        <v>50</v>
      </c>
      <c r="AO310" s="56">
        <f t="shared" si="106"/>
        <v>2</v>
      </c>
      <c r="AQ310" s="11">
        <f ca="1">IFERROR(OFFSET(ITEM_RES!$A$1,MATCH(AR310,ITEM_RES!$J:$J,0)-1,0),0)</f>
        <v>212010001</v>
      </c>
      <c r="AR310" s="10" t="s">
        <v>484</v>
      </c>
      <c r="AS310" s="11">
        <v>250</v>
      </c>
      <c r="AV310" s="11">
        <f ca="1">IFERROR(OFFSET(ITEM_RES!$A$1,MATCH(AW310,ITEM_RES!$J:$J,0)-1,0),0)</f>
        <v>212040001</v>
      </c>
      <c r="AW310" s="10" t="s">
        <v>483</v>
      </c>
      <c r="AX310" s="11">
        <v>250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108"/>
        <v>114010007</v>
      </c>
      <c r="B311" s="13">
        <v>11</v>
      </c>
      <c r="C311" s="12">
        <f t="shared" si="109"/>
        <v>4</v>
      </c>
      <c r="D311" s="13">
        <v>1</v>
      </c>
      <c r="E311" s="13">
        <v>0</v>
      </c>
      <c r="F311" s="12">
        <f t="shared" si="110"/>
        <v>7</v>
      </c>
      <c r="H311" s="9">
        <v>4</v>
      </c>
      <c r="I311" s="9">
        <v>7</v>
      </c>
      <c r="K311" s="9" t="s">
        <v>384</v>
      </c>
      <c r="L311" s="9">
        <v>1</v>
      </c>
      <c r="M311" s="9">
        <v>15</v>
      </c>
      <c r="R311" s="9">
        <v>333</v>
      </c>
      <c r="Z311" s="9">
        <v>215040001</v>
      </c>
      <c r="AA311" s="9" t="s">
        <v>604</v>
      </c>
      <c r="AB311" s="9">
        <v>7</v>
      </c>
      <c r="AD311" s="9">
        <v>8000</v>
      </c>
      <c r="AF311" s="89">
        <f t="shared" si="105"/>
        <v>2100</v>
      </c>
      <c r="AG311" s="9">
        <f t="shared" si="112"/>
        <v>3150</v>
      </c>
      <c r="AI311" s="11">
        <f t="shared" si="104"/>
        <v>35</v>
      </c>
      <c r="AJ311" s="10">
        <v>35</v>
      </c>
      <c r="AK311" s="11">
        <f t="shared" si="111"/>
        <v>100</v>
      </c>
      <c r="AL311" s="10">
        <v>100</v>
      </c>
      <c r="AM311" s="11">
        <f t="shared" si="111"/>
        <v>100</v>
      </c>
      <c r="AN311" s="10">
        <v>100</v>
      </c>
      <c r="AO311" s="56">
        <f t="shared" si="106"/>
        <v>2</v>
      </c>
      <c r="AQ311" s="11">
        <f ca="1">IFERROR(OFFSET(ITEM_RES!$A$1,MATCH(AR311,ITEM_RES!$J:$J,0)-1,0),0)</f>
        <v>212010001</v>
      </c>
      <c r="AR311" s="10" t="s">
        <v>484</v>
      </c>
      <c r="AS311" s="11">
        <v>500</v>
      </c>
      <c r="AV311" s="11">
        <f ca="1">IFERROR(OFFSET(ITEM_RES!$A$1,MATCH(AW311,ITEM_RES!$J:$J,0)-1,0),0)</f>
        <v>212040001</v>
      </c>
      <c r="AW311" s="10" t="s">
        <v>483</v>
      </c>
      <c r="AX311" s="11">
        <v>500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108"/>
        <v>114010008</v>
      </c>
      <c r="B312" s="13">
        <v>11</v>
      </c>
      <c r="C312" s="12">
        <f t="shared" si="109"/>
        <v>4</v>
      </c>
      <c r="D312" s="13">
        <v>1</v>
      </c>
      <c r="E312" s="13">
        <v>0</v>
      </c>
      <c r="F312" s="12">
        <f t="shared" si="110"/>
        <v>8</v>
      </c>
      <c r="H312" s="9">
        <v>4</v>
      </c>
      <c r="I312" s="9">
        <v>8</v>
      </c>
      <c r="K312" s="9" t="s">
        <v>384</v>
      </c>
      <c r="L312" s="9">
        <v>1</v>
      </c>
      <c r="M312" s="9">
        <v>15</v>
      </c>
      <c r="R312" s="9">
        <v>333</v>
      </c>
      <c r="Z312" s="9">
        <v>215040001</v>
      </c>
      <c r="AA312" s="9" t="s">
        <v>604</v>
      </c>
      <c r="AB312" s="9">
        <v>8</v>
      </c>
      <c r="AD312" s="9">
        <v>8000</v>
      </c>
      <c r="AF312" s="89">
        <f t="shared" si="105"/>
        <v>2600</v>
      </c>
      <c r="AG312" s="9">
        <f t="shared" si="112"/>
        <v>4700</v>
      </c>
      <c r="AI312" s="11">
        <f t="shared" si="104"/>
        <v>40</v>
      </c>
      <c r="AJ312" s="10">
        <v>40</v>
      </c>
      <c r="AK312" s="11">
        <f t="shared" si="111"/>
        <v>100</v>
      </c>
      <c r="AL312" s="10">
        <v>100</v>
      </c>
      <c r="AM312" s="11">
        <f t="shared" si="111"/>
        <v>100</v>
      </c>
      <c r="AN312" s="10">
        <v>100</v>
      </c>
      <c r="AO312" s="56">
        <f t="shared" si="106"/>
        <v>3</v>
      </c>
      <c r="AQ312" s="11">
        <f ca="1">IFERROR(OFFSET(ITEM_RES!$A$1,MATCH(AR312,ITEM_RES!$J:$J,0)-1,0),0)</f>
        <v>212010001</v>
      </c>
      <c r="AR312" s="10" t="s">
        <v>484</v>
      </c>
      <c r="AS312" s="11">
        <v>500</v>
      </c>
      <c r="AV312" s="11">
        <f ca="1">IFERROR(OFFSET(ITEM_RES!$A$1,MATCH(AW312,ITEM_RES!$J:$J,0)-1,0),0)</f>
        <v>212040001</v>
      </c>
      <c r="AW312" s="10" t="s">
        <v>483</v>
      </c>
      <c r="AX312" s="11">
        <v>500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213100001</v>
      </c>
      <c r="BG312" s="10" t="s">
        <v>522</v>
      </c>
      <c r="BH312" s="11">
        <v>1</v>
      </c>
      <c r="BK312" s="11">
        <f ca="1">IFERROR(OFFSET(ITEM_RES!$A$1,MATCH(BL312,ITEM_RES!$J:$J,0)-1,0),0)</f>
        <v>0</v>
      </c>
    </row>
    <row r="313" spans="1:66" x14ac:dyDescent="0.3">
      <c r="A313" s="14">
        <f t="shared" si="108"/>
        <v>114010009</v>
      </c>
      <c r="B313" s="13">
        <v>11</v>
      </c>
      <c r="C313" s="12">
        <f t="shared" si="109"/>
        <v>4</v>
      </c>
      <c r="D313" s="13">
        <v>1</v>
      </c>
      <c r="E313" s="13">
        <v>0</v>
      </c>
      <c r="F313" s="12">
        <f t="shared" si="110"/>
        <v>9</v>
      </c>
      <c r="H313" s="9">
        <v>4</v>
      </c>
      <c r="I313" s="9">
        <v>9</v>
      </c>
      <c r="K313" s="9" t="s">
        <v>384</v>
      </c>
      <c r="L313" s="9">
        <v>1</v>
      </c>
      <c r="M313" s="9">
        <v>15</v>
      </c>
      <c r="R313" s="9">
        <v>333</v>
      </c>
      <c r="Z313" s="9">
        <v>215040001</v>
      </c>
      <c r="AA313" s="9" t="s">
        <v>604</v>
      </c>
      <c r="AB313" s="9">
        <v>9</v>
      </c>
      <c r="AD313" s="9">
        <v>12000</v>
      </c>
      <c r="AF313" s="89">
        <f t="shared" si="105"/>
        <v>3150</v>
      </c>
      <c r="AG313" s="9">
        <f t="shared" si="112"/>
        <v>5750</v>
      </c>
      <c r="AI313" s="11">
        <f t="shared" si="104"/>
        <v>45</v>
      </c>
      <c r="AJ313" s="10">
        <v>45</v>
      </c>
      <c r="AK313" s="11">
        <f t="shared" si="111"/>
        <v>150</v>
      </c>
      <c r="AL313" s="10">
        <v>150</v>
      </c>
      <c r="AM313" s="11">
        <f t="shared" si="111"/>
        <v>150</v>
      </c>
      <c r="AN313" s="10">
        <v>150</v>
      </c>
      <c r="AO313" s="56">
        <f t="shared" si="106"/>
        <v>2</v>
      </c>
      <c r="AQ313" s="11">
        <f ca="1">IFERROR(OFFSET(ITEM_RES!$A$1,MATCH(AR313,ITEM_RES!$J:$J,0)-1,0),0)</f>
        <v>215070001</v>
      </c>
      <c r="AR313" s="10" t="s">
        <v>480</v>
      </c>
      <c r="AS313" s="11">
        <v>750</v>
      </c>
      <c r="AV313" s="11">
        <f ca="1">IFERROR(OFFSET(ITEM_RES!$A$1,MATCH(AW313,ITEM_RES!$J:$J,0)-1,0),0)</f>
        <v>212040001</v>
      </c>
      <c r="AW313" s="10" t="s">
        <v>483</v>
      </c>
      <c r="AX313" s="11">
        <v>750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108"/>
        <v>114010010</v>
      </c>
      <c r="B314" s="13">
        <v>11</v>
      </c>
      <c r="C314" s="12">
        <f t="shared" si="109"/>
        <v>4</v>
      </c>
      <c r="D314" s="13">
        <v>1</v>
      </c>
      <c r="E314" s="13">
        <v>0</v>
      </c>
      <c r="F314" s="12">
        <f t="shared" si="110"/>
        <v>10</v>
      </c>
      <c r="H314" s="9">
        <v>4</v>
      </c>
      <c r="I314" s="9">
        <v>10</v>
      </c>
      <c r="K314" s="9" t="s">
        <v>384</v>
      </c>
      <c r="L314" s="9">
        <v>1</v>
      </c>
      <c r="M314" s="9">
        <v>15</v>
      </c>
      <c r="R314" s="9">
        <v>333</v>
      </c>
      <c r="Z314" s="9">
        <v>215040001</v>
      </c>
      <c r="AA314" s="9" t="s">
        <v>604</v>
      </c>
      <c r="AB314" s="9">
        <v>10</v>
      </c>
      <c r="AD314" s="9">
        <v>16000</v>
      </c>
      <c r="AF314" s="89">
        <f t="shared" si="105"/>
        <v>4200</v>
      </c>
      <c r="AG314" s="9">
        <f t="shared" si="112"/>
        <v>7350</v>
      </c>
      <c r="AI314" s="11">
        <f t="shared" si="104"/>
        <v>50</v>
      </c>
      <c r="AJ314" s="10">
        <v>50</v>
      </c>
      <c r="AK314" s="11">
        <f t="shared" si="111"/>
        <v>200</v>
      </c>
      <c r="AL314" s="10">
        <v>200</v>
      </c>
      <c r="AM314" s="11">
        <f t="shared" si="111"/>
        <v>200</v>
      </c>
      <c r="AN314" s="10">
        <v>200</v>
      </c>
      <c r="AO314" s="56">
        <f t="shared" si="106"/>
        <v>2</v>
      </c>
      <c r="AQ314" s="11">
        <f ca="1">IFERROR(OFFSET(ITEM_RES!$A$1,MATCH(AR314,ITEM_RES!$J:$J,0)-1,0),0)</f>
        <v>215070001</v>
      </c>
      <c r="AR314" s="10" t="s">
        <v>480</v>
      </c>
      <c r="AS314" s="11">
        <v>1000</v>
      </c>
      <c r="AV314" s="11">
        <f ca="1">IFERROR(OFFSET(ITEM_RES!$A$1,MATCH(AW314,ITEM_RES!$J:$J,0)-1,0),0)</f>
        <v>212040001</v>
      </c>
      <c r="AW314" s="10" t="s">
        <v>483</v>
      </c>
      <c r="AX314" s="11">
        <v>1000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108"/>
        <v>114010011</v>
      </c>
      <c r="B315" s="13">
        <v>11</v>
      </c>
      <c r="C315" s="12">
        <f t="shared" si="109"/>
        <v>4</v>
      </c>
      <c r="D315" s="13">
        <v>1</v>
      </c>
      <c r="E315" s="13">
        <v>0</v>
      </c>
      <c r="F315" s="12">
        <f t="shared" si="110"/>
        <v>11</v>
      </c>
      <c r="H315" s="9">
        <v>4</v>
      </c>
      <c r="I315" s="9">
        <v>11</v>
      </c>
      <c r="K315" s="9" t="s">
        <v>384</v>
      </c>
      <c r="L315" s="9">
        <v>1</v>
      </c>
      <c r="M315" s="9">
        <v>15</v>
      </c>
      <c r="R315" s="9">
        <v>333</v>
      </c>
      <c r="Z315" s="9">
        <v>215040001</v>
      </c>
      <c r="AA315" s="9" t="s">
        <v>604</v>
      </c>
      <c r="AB315" s="9">
        <v>11</v>
      </c>
      <c r="AD315" s="9">
        <v>20000</v>
      </c>
      <c r="AF315" s="89">
        <f t="shared" si="105"/>
        <v>5250</v>
      </c>
      <c r="AG315" s="9">
        <f t="shared" si="112"/>
        <v>9450</v>
      </c>
      <c r="AI315" s="11">
        <f t="shared" si="104"/>
        <v>55</v>
      </c>
      <c r="AJ315" s="10">
        <v>55</v>
      </c>
      <c r="AK315" s="11">
        <f t="shared" si="111"/>
        <v>250</v>
      </c>
      <c r="AL315" s="10">
        <v>250</v>
      </c>
      <c r="AM315" s="11">
        <f t="shared" si="111"/>
        <v>250</v>
      </c>
      <c r="AN315" s="10">
        <v>250</v>
      </c>
      <c r="AO315" s="56">
        <f t="shared" si="106"/>
        <v>2</v>
      </c>
      <c r="AQ315" s="11">
        <f ca="1">IFERROR(OFFSET(ITEM_RES!$A$1,MATCH(AR315,ITEM_RES!$J:$J,0)-1,0),0)</f>
        <v>215070001</v>
      </c>
      <c r="AR315" s="10" t="s">
        <v>480</v>
      </c>
      <c r="AS315" s="11">
        <v>1250</v>
      </c>
      <c r="AV315" s="11">
        <f ca="1">IFERROR(OFFSET(ITEM_RES!$A$1,MATCH(AW315,ITEM_RES!$J:$J,0)-1,0),0)</f>
        <v>212040001</v>
      </c>
      <c r="AW315" s="10" t="s">
        <v>483</v>
      </c>
      <c r="AX315" s="11">
        <v>1250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108"/>
        <v>114010012</v>
      </c>
      <c r="B316" s="13">
        <v>11</v>
      </c>
      <c r="C316" s="12">
        <f t="shared" si="109"/>
        <v>4</v>
      </c>
      <c r="D316" s="13">
        <v>1</v>
      </c>
      <c r="E316" s="13">
        <v>0</v>
      </c>
      <c r="F316" s="12">
        <f t="shared" si="110"/>
        <v>12</v>
      </c>
      <c r="H316" s="9">
        <v>4</v>
      </c>
      <c r="I316" s="9">
        <v>12</v>
      </c>
      <c r="K316" s="9" t="s">
        <v>384</v>
      </c>
      <c r="L316" s="9">
        <v>1</v>
      </c>
      <c r="M316" s="9">
        <v>15</v>
      </c>
      <c r="R316" s="9">
        <v>333</v>
      </c>
      <c r="Z316" s="9">
        <v>215040001</v>
      </c>
      <c r="AA316" s="9" t="s">
        <v>604</v>
      </c>
      <c r="AB316" s="9">
        <v>12</v>
      </c>
      <c r="AD316" s="9">
        <v>24000</v>
      </c>
      <c r="AF316" s="89">
        <f t="shared" si="105"/>
        <v>6300</v>
      </c>
      <c r="AG316" s="9">
        <f t="shared" si="112"/>
        <v>11550</v>
      </c>
      <c r="AI316" s="11">
        <f t="shared" si="104"/>
        <v>60</v>
      </c>
      <c r="AJ316" s="10">
        <v>60</v>
      </c>
      <c r="AK316" s="11">
        <f t="shared" si="111"/>
        <v>300</v>
      </c>
      <c r="AL316" s="10">
        <v>300</v>
      </c>
      <c r="AM316" s="11">
        <f t="shared" si="111"/>
        <v>300</v>
      </c>
      <c r="AN316" s="10">
        <v>300</v>
      </c>
      <c r="AO316" s="56">
        <f t="shared" si="106"/>
        <v>2</v>
      </c>
      <c r="AQ316" s="11">
        <f ca="1">IFERROR(OFFSET(ITEM_RES!$A$1,MATCH(AR316,ITEM_RES!$J:$J,0)-1,0),0)</f>
        <v>215070001</v>
      </c>
      <c r="AR316" s="10" t="s">
        <v>480</v>
      </c>
      <c r="AS316" s="11">
        <v>1500</v>
      </c>
      <c r="AV316" s="11">
        <f ca="1">IFERROR(OFFSET(ITEM_RES!$A$1,MATCH(AW316,ITEM_RES!$J:$J,0)-1,0),0)</f>
        <v>212040001</v>
      </c>
      <c r="AW316" s="10" t="s">
        <v>483</v>
      </c>
      <c r="AX316" s="11">
        <v>1500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108"/>
        <v>114010013</v>
      </c>
      <c r="B317" s="13">
        <v>11</v>
      </c>
      <c r="C317" s="12">
        <f t="shared" si="109"/>
        <v>4</v>
      </c>
      <c r="D317" s="13">
        <v>1</v>
      </c>
      <c r="E317" s="13">
        <v>0</v>
      </c>
      <c r="F317" s="12">
        <f t="shared" si="110"/>
        <v>13</v>
      </c>
      <c r="H317" s="9">
        <v>4</v>
      </c>
      <c r="I317" s="9">
        <v>13</v>
      </c>
      <c r="K317" s="9" t="s">
        <v>384</v>
      </c>
      <c r="L317" s="9">
        <v>1</v>
      </c>
      <c r="M317" s="9">
        <v>15</v>
      </c>
      <c r="R317" s="9">
        <v>333</v>
      </c>
      <c r="Z317" s="9">
        <v>215040001</v>
      </c>
      <c r="AA317" s="9" t="s">
        <v>604</v>
      </c>
      <c r="AB317" s="9">
        <v>13</v>
      </c>
      <c r="AD317" s="9">
        <v>28000</v>
      </c>
      <c r="AF317" s="89">
        <f t="shared" si="105"/>
        <v>7350</v>
      </c>
      <c r="AG317" s="9">
        <f t="shared" si="112"/>
        <v>13650</v>
      </c>
      <c r="AI317" s="11">
        <f t="shared" si="104"/>
        <v>65</v>
      </c>
      <c r="AJ317" s="10">
        <v>65</v>
      </c>
      <c r="AK317" s="11">
        <f t="shared" si="111"/>
        <v>350</v>
      </c>
      <c r="AL317" s="10">
        <v>350</v>
      </c>
      <c r="AM317" s="11">
        <f t="shared" si="111"/>
        <v>350</v>
      </c>
      <c r="AN317" s="10">
        <v>350</v>
      </c>
      <c r="AO317" s="56">
        <f t="shared" si="106"/>
        <v>2</v>
      </c>
      <c r="AQ317" s="11">
        <f ca="1">IFERROR(OFFSET(ITEM_RES!$A$1,MATCH(AR317,ITEM_RES!$J:$J,0)-1,0),0)</f>
        <v>215070001</v>
      </c>
      <c r="AR317" s="10" t="s">
        <v>480</v>
      </c>
      <c r="AS317" s="11">
        <v>1750</v>
      </c>
      <c r="AV317" s="11">
        <f ca="1">IFERROR(OFFSET(ITEM_RES!$A$1,MATCH(AW317,ITEM_RES!$J:$J,0)-1,0),0)</f>
        <v>212040001</v>
      </c>
      <c r="AW317" s="10" t="s">
        <v>483</v>
      </c>
      <c r="AX317" s="11">
        <v>1750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108"/>
        <v>114010014</v>
      </c>
      <c r="B318" s="13">
        <v>11</v>
      </c>
      <c r="C318" s="12">
        <f t="shared" si="109"/>
        <v>4</v>
      </c>
      <c r="D318" s="13">
        <v>1</v>
      </c>
      <c r="E318" s="13">
        <v>0</v>
      </c>
      <c r="F318" s="12">
        <f t="shared" si="110"/>
        <v>14</v>
      </c>
      <c r="H318" s="9">
        <v>4</v>
      </c>
      <c r="I318" s="9">
        <v>14</v>
      </c>
      <c r="K318" s="9" t="s">
        <v>384</v>
      </c>
      <c r="L318" s="9">
        <v>1</v>
      </c>
      <c r="M318" s="9">
        <v>15</v>
      </c>
      <c r="R318" s="9">
        <v>333</v>
      </c>
      <c r="Z318" s="9">
        <v>215040001</v>
      </c>
      <c r="AA318" s="9" t="s">
        <v>604</v>
      </c>
      <c r="AB318" s="9">
        <v>14</v>
      </c>
      <c r="AD318" s="9">
        <v>36000</v>
      </c>
      <c r="AF318" s="89">
        <f t="shared" si="105"/>
        <v>9450</v>
      </c>
      <c r="AG318" s="9">
        <f t="shared" si="112"/>
        <v>16800</v>
      </c>
      <c r="AI318" s="11">
        <f t="shared" si="104"/>
        <v>70</v>
      </c>
      <c r="AJ318" s="10">
        <v>70</v>
      </c>
      <c r="AK318" s="11">
        <f t="shared" si="111"/>
        <v>450</v>
      </c>
      <c r="AL318" s="10">
        <v>450</v>
      </c>
      <c r="AM318" s="11">
        <f t="shared" si="111"/>
        <v>450</v>
      </c>
      <c r="AN318" s="10">
        <v>450</v>
      </c>
      <c r="AO318" s="56">
        <f t="shared" si="106"/>
        <v>2</v>
      </c>
      <c r="AQ318" s="11">
        <f ca="1">IFERROR(OFFSET(ITEM_RES!$A$1,MATCH(AR318,ITEM_RES!$J:$J,0)-1,0),0)</f>
        <v>215070001</v>
      </c>
      <c r="AR318" s="10" t="s">
        <v>480</v>
      </c>
      <c r="AS318" s="11">
        <v>2250</v>
      </c>
      <c r="AV318" s="11">
        <f ca="1">IFERROR(OFFSET(ITEM_RES!$A$1,MATCH(AW318,ITEM_RES!$J:$J,0)-1,0),0)</f>
        <v>212040001</v>
      </c>
      <c r="AW318" s="10" t="s">
        <v>483</v>
      </c>
      <c r="AX318" s="11">
        <v>2250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0</v>
      </c>
      <c r="BK318" s="11">
        <f ca="1">IFERROR(OFFSET(ITEM_RES!$A$1,MATCH(BL318,ITEM_RES!$J:$J,0)-1,0),0)</f>
        <v>0</v>
      </c>
    </row>
    <row r="319" spans="1:66" x14ac:dyDescent="0.3">
      <c r="A319" s="14">
        <f t="shared" si="108"/>
        <v>114010015</v>
      </c>
      <c r="B319" s="13">
        <v>11</v>
      </c>
      <c r="C319" s="12">
        <f t="shared" si="109"/>
        <v>4</v>
      </c>
      <c r="D319" s="13">
        <v>1</v>
      </c>
      <c r="E319" s="13">
        <v>0</v>
      </c>
      <c r="F319" s="12">
        <f t="shared" si="110"/>
        <v>15</v>
      </c>
      <c r="H319" s="9">
        <v>4</v>
      </c>
      <c r="I319" s="9">
        <v>15</v>
      </c>
      <c r="K319" s="9" t="s">
        <v>384</v>
      </c>
      <c r="L319" s="9">
        <v>1</v>
      </c>
      <c r="M319" s="9">
        <v>15</v>
      </c>
      <c r="R319" s="9">
        <v>333</v>
      </c>
      <c r="Z319" s="9">
        <v>215040001</v>
      </c>
      <c r="AA319" s="9" t="s">
        <v>604</v>
      </c>
      <c r="AB319" s="9">
        <v>15</v>
      </c>
      <c r="AD319" s="9">
        <v>44000</v>
      </c>
      <c r="AF319" s="89">
        <f t="shared" si="105"/>
        <v>11550</v>
      </c>
      <c r="AG319" s="9">
        <f t="shared" si="112"/>
        <v>21000</v>
      </c>
      <c r="AI319" s="11">
        <f t="shared" si="104"/>
        <v>75</v>
      </c>
      <c r="AJ319" s="10">
        <v>75</v>
      </c>
      <c r="AK319" s="11">
        <f t="shared" si="111"/>
        <v>550</v>
      </c>
      <c r="AL319" s="10">
        <v>550</v>
      </c>
      <c r="AM319" s="11">
        <f t="shared" si="111"/>
        <v>550</v>
      </c>
      <c r="AN319" s="10">
        <v>550</v>
      </c>
      <c r="AO319" s="56">
        <f t="shared" si="106"/>
        <v>2</v>
      </c>
      <c r="AQ319" s="11">
        <f ca="1">IFERROR(OFFSET(ITEM_RES!$A$1,MATCH(AR319,ITEM_RES!$J:$J,0)-1,0),0)</f>
        <v>215070001</v>
      </c>
      <c r="AR319" s="10" t="s">
        <v>480</v>
      </c>
      <c r="AS319" s="11">
        <v>2750</v>
      </c>
      <c r="AV319" s="11">
        <f ca="1">IFERROR(OFFSET(ITEM_RES!$A$1,MATCH(AW319,ITEM_RES!$J:$J,0)-1,0),0)</f>
        <v>212040001</v>
      </c>
      <c r="AW319" s="10" t="s">
        <v>483</v>
      </c>
      <c r="AX319" s="11">
        <v>2750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108"/>
        <v>114010016</v>
      </c>
      <c r="B320" s="13">
        <v>11</v>
      </c>
      <c r="C320" s="12">
        <f t="shared" si="109"/>
        <v>4</v>
      </c>
      <c r="D320" s="13">
        <v>1</v>
      </c>
      <c r="E320" s="13">
        <v>0</v>
      </c>
      <c r="F320" s="12">
        <f t="shared" si="110"/>
        <v>16</v>
      </c>
      <c r="H320" s="9">
        <v>4</v>
      </c>
      <c r="I320" s="9">
        <v>16</v>
      </c>
      <c r="K320" s="9" t="s">
        <v>384</v>
      </c>
      <c r="L320" s="9">
        <v>0</v>
      </c>
      <c r="M320" s="9">
        <v>15</v>
      </c>
      <c r="R320" s="9">
        <v>333</v>
      </c>
      <c r="Z320" s="9">
        <v>215040001</v>
      </c>
      <c r="AA320" s="9" t="s">
        <v>604</v>
      </c>
      <c r="AB320" s="9">
        <v>16</v>
      </c>
      <c r="AD320" s="9">
        <v>56000</v>
      </c>
      <c r="AF320" s="89">
        <f t="shared" si="105"/>
        <v>14700</v>
      </c>
      <c r="AG320" s="9">
        <f t="shared" si="112"/>
        <v>26250</v>
      </c>
      <c r="AI320" s="11">
        <f t="shared" si="104"/>
        <v>80</v>
      </c>
      <c r="AJ320" s="10">
        <v>80</v>
      </c>
      <c r="AK320" s="11">
        <f t="shared" si="111"/>
        <v>700</v>
      </c>
      <c r="AL320" s="10">
        <v>700</v>
      </c>
      <c r="AM320" s="11">
        <f t="shared" si="111"/>
        <v>700</v>
      </c>
      <c r="AN320" s="10">
        <v>700</v>
      </c>
      <c r="AO320" s="56">
        <f t="shared" si="106"/>
        <v>2</v>
      </c>
      <c r="AQ320" s="11">
        <f ca="1">IFERROR(OFFSET(ITEM_RES!$A$1,MATCH(AR320,ITEM_RES!$J:$J,0)-1,0),0)</f>
        <v>215070001</v>
      </c>
      <c r="AR320" s="10" t="s">
        <v>480</v>
      </c>
      <c r="AS320" s="11">
        <v>3500</v>
      </c>
      <c r="AV320" s="11">
        <f ca="1">IFERROR(OFFSET(ITEM_RES!$A$1,MATCH(AW320,ITEM_RES!$J:$J,0)-1,0),0)</f>
        <v>212040001</v>
      </c>
      <c r="AW320" s="10" t="s">
        <v>483</v>
      </c>
      <c r="AX320" s="11">
        <v>3500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si="108"/>
        <v>114010017</v>
      </c>
      <c r="B321" s="13">
        <v>11</v>
      </c>
      <c r="C321" s="12">
        <f t="shared" si="109"/>
        <v>4</v>
      </c>
      <c r="D321" s="13">
        <v>1</v>
      </c>
      <c r="E321" s="13">
        <v>0</v>
      </c>
      <c r="F321" s="12">
        <f t="shared" si="110"/>
        <v>17</v>
      </c>
      <c r="H321" s="9">
        <v>4</v>
      </c>
      <c r="I321" s="9">
        <v>17</v>
      </c>
      <c r="K321" s="9" t="s">
        <v>384</v>
      </c>
      <c r="L321" s="9">
        <v>0</v>
      </c>
      <c r="M321" s="9">
        <v>15</v>
      </c>
      <c r="R321" s="9">
        <v>333</v>
      </c>
      <c r="Z321" s="9">
        <v>215040001</v>
      </c>
      <c r="AA321" s="9" t="s">
        <v>604</v>
      </c>
      <c r="AB321" s="9">
        <v>17</v>
      </c>
      <c r="AD321" s="9">
        <v>68000</v>
      </c>
      <c r="AF321" s="89">
        <f t="shared" si="105"/>
        <v>17850</v>
      </c>
      <c r="AG321" s="9">
        <f t="shared" si="112"/>
        <v>32550</v>
      </c>
      <c r="AI321" s="11">
        <f t="shared" si="104"/>
        <v>85</v>
      </c>
      <c r="AJ321" s="10">
        <v>85</v>
      </c>
      <c r="AK321" s="11">
        <f t="shared" si="111"/>
        <v>850</v>
      </c>
      <c r="AL321" s="10">
        <v>850</v>
      </c>
      <c r="AM321" s="11">
        <f t="shared" si="111"/>
        <v>850</v>
      </c>
      <c r="AN321" s="10">
        <v>850</v>
      </c>
      <c r="AO321" s="56">
        <f t="shared" si="106"/>
        <v>2</v>
      </c>
      <c r="AQ321" s="11">
        <f ca="1">IFERROR(OFFSET(ITEM_RES!$A$1,MATCH(AR321,ITEM_RES!$J:$J,0)-1,0),0)</f>
        <v>215070001</v>
      </c>
      <c r="AR321" s="10" t="s">
        <v>480</v>
      </c>
      <c r="AS321" s="11">
        <v>4250</v>
      </c>
      <c r="AV321" s="11">
        <f ca="1">IFERROR(OFFSET(ITEM_RES!$A$1,MATCH(AW321,ITEM_RES!$J:$J,0)-1,0),0)</f>
        <v>212040001</v>
      </c>
      <c r="AW321" s="10" t="s">
        <v>483</v>
      </c>
      <c r="AX321" s="11">
        <v>4250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8"/>
        <v>114010018</v>
      </c>
      <c r="B322" s="13">
        <v>11</v>
      </c>
      <c r="C322" s="12">
        <f t="shared" si="109"/>
        <v>4</v>
      </c>
      <c r="D322" s="13">
        <v>1</v>
      </c>
      <c r="E322" s="13">
        <v>0</v>
      </c>
      <c r="F322" s="12">
        <f t="shared" si="110"/>
        <v>18</v>
      </c>
      <c r="H322" s="9">
        <v>4</v>
      </c>
      <c r="I322" s="9">
        <v>18</v>
      </c>
      <c r="K322" s="9" t="s">
        <v>384</v>
      </c>
      <c r="L322" s="9">
        <v>0</v>
      </c>
      <c r="M322" s="9">
        <v>15</v>
      </c>
      <c r="R322" s="9">
        <v>333</v>
      </c>
      <c r="Z322" s="9">
        <v>215040001</v>
      </c>
      <c r="AA322" s="9" t="s">
        <v>604</v>
      </c>
      <c r="AB322" s="9">
        <v>18</v>
      </c>
      <c r="AD322" s="9">
        <v>84000</v>
      </c>
      <c r="AF322" s="89">
        <f t="shared" si="105"/>
        <v>22050</v>
      </c>
      <c r="AG322" s="9">
        <f t="shared" si="112"/>
        <v>39900</v>
      </c>
      <c r="AI322" s="11">
        <f t="shared" si="104"/>
        <v>90</v>
      </c>
      <c r="AJ322" s="10">
        <v>90</v>
      </c>
      <c r="AK322" s="11">
        <f t="shared" si="111"/>
        <v>1050</v>
      </c>
      <c r="AL322" s="10">
        <v>1050</v>
      </c>
      <c r="AM322" s="11">
        <f t="shared" si="111"/>
        <v>1050</v>
      </c>
      <c r="AN322" s="10">
        <v>1050</v>
      </c>
      <c r="AO322" s="56">
        <f t="shared" si="106"/>
        <v>2</v>
      </c>
      <c r="AQ322" s="11">
        <f ca="1">IFERROR(OFFSET(ITEM_RES!$A$1,MATCH(AR322,ITEM_RES!$J:$J,0)-1,0),0)</f>
        <v>215070001</v>
      </c>
      <c r="AR322" s="10" t="s">
        <v>480</v>
      </c>
      <c r="AS322" s="11">
        <v>5250</v>
      </c>
      <c r="AV322" s="11">
        <f ca="1">IFERROR(OFFSET(ITEM_RES!$A$1,MATCH(AW322,ITEM_RES!$J:$J,0)-1,0),0)</f>
        <v>212040001</v>
      </c>
      <c r="AW322" s="10" t="s">
        <v>483</v>
      </c>
      <c r="AX322" s="11">
        <v>5250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8"/>
        <v>114010019</v>
      </c>
      <c r="B323" s="13">
        <v>11</v>
      </c>
      <c r="C323" s="12">
        <f t="shared" si="109"/>
        <v>4</v>
      </c>
      <c r="D323" s="13">
        <v>1</v>
      </c>
      <c r="E323" s="13">
        <v>0</v>
      </c>
      <c r="F323" s="12">
        <f t="shared" si="110"/>
        <v>19</v>
      </c>
      <c r="H323" s="9">
        <v>4</v>
      </c>
      <c r="I323" s="9">
        <v>19</v>
      </c>
      <c r="K323" s="9" t="s">
        <v>384</v>
      </c>
      <c r="L323" s="9">
        <v>0</v>
      </c>
      <c r="M323" s="9">
        <v>15</v>
      </c>
      <c r="R323" s="9">
        <v>333</v>
      </c>
      <c r="Z323" s="9">
        <v>215040001</v>
      </c>
      <c r="AA323" s="9" t="s">
        <v>604</v>
      </c>
      <c r="AB323" s="9">
        <v>19</v>
      </c>
      <c r="AD323" s="9">
        <v>100000</v>
      </c>
      <c r="AF323" s="89">
        <f t="shared" si="105"/>
        <v>26250</v>
      </c>
      <c r="AG323" s="9">
        <f t="shared" si="112"/>
        <v>48300</v>
      </c>
      <c r="AI323" s="11">
        <f t="shared" si="104"/>
        <v>95</v>
      </c>
      <c r="AJ323" s="10">
        <v>95</v>
      </c>
      <c r="AK323" s="11">
        <f t="shared" si="111"/>
        <v>1250</v>
      </c>
      <c r="AL323" s="10">
        <v>1250</v>
      </c>
      <c r="AM323" s="11">
        <f t="shared" si="111"/>
        <v>1250</v>
      </c>
      <c r="AN323" s="10">
        <v>1250</v>
      </c>
      <c r="AO323" s="56">
        <f t="shared" si="106"/>
        <v>2</v>
      </c>
      <c r="AQ323" s="11">
        <f ca="1">IFERROR(OFFSET(ITEM_RES!$A$1,MATCH(AR323,ITEM_RES!$J:$J,0)-1,0),0)</f>
        <v>215070001</v>
      </c>
      <c r="AR323" s="10" t="s">
        <v>480</v>
      </c>
      <c r="AS323" s="11">
        <v>6250</v>
      </c>
      <c r="AV323" s="11">
        <f ca="1">IFERROR(OFFSET(ITEM_RES!$A$1,MATCH(AW323,ITEM_RES!$J:$J,0)-1,0),0)</f>
        <v>212040001</v>
      </c>
      <c r="AW323" s="10" t="s">
        <v>483</v>
      </c>
      <c r="AX323" s="11">
        <v>6250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8"/>
        <v>114010020</v>
      </c>
      <c r="B324" s="13">
        <v>11</v>
      </c>
      <c r="C324" s="12">
        <f t="shared" si="109"/>
        <v>4</v>
      </c>
      <c r="D324" s="13">
        <v>1</v>
      </c>
      <c r="E324" s="13">
        <v>0</v>
      </c>
      <c r="F324" s="12">
        <f t="shared" si="110"/>
        <v>20</v>
      </c>
      <c r="H324" s="9">
        <v>4</v>
      </c>
      <c r="I324" s="9">
        <v>20</v>
      </c>
      <c r="K324" s="9" t="s">
        <v>384</v>
      </c>
      <c r="L324" s="9">
        <v>0</v>
      </c>
      <c r="M324" s="9">
        <v>15</v>
      </c>
      <c r="R324" s="9">
        <v>333</v>
      </c>
      <c r="Z324" s="9">
        <v>215040001</v>
      </c>
      <c r="AA324" s="9" t="s">
        <v>604</v>
      </c>
      <c r="AB324" s="9">
        <v>20</v>
      </c>
      <c r="AD324" s="9">
        <v>120000</v>
      </c>
      <c r="AF324" s="89">
        <f t="shared" si="105"/>
        <v>31500</v>
      </c>
      <c r="AG324" s="9">
        <f t="shared" si="112"/>
        <v>57750</v>
      </c>
      <c r="AI324" s="11">
        <f t="shared" si="104"/>
        <v>100</v>
      </c>
      <c r="AJ324" s="10">
        <v>100</v>
      </c>
      <c r="AK324" s="11">
        <f t="shared" si="111"/>
        <v>1500</v>
      </c>
      <c r="AL324" s="10">
        <v>1500</v>
      </c>
      <c r="AM324" s="11">
        <f t="shared" si="111"/>
        <v>1500</v>
      </c>
      <c r="AN324" s="10">
        <v>1500</v>
      </c>
      <c r="AO324" s="56">
        <f t="shared" si="106"/>
        <v>2</v>
      </c>
      <c r="AQ324" s="11">
        <f ca="1">IFERROR(OFFSET(ITEM_RES!$A$1,MATCH(AR324,ITEM_RES!$J:$J,0)-1,0),0)</f>
        <v>215070001</v>
      </c>
      <c r="AR324" s="10" t="s">
        <v>480</v>
      </c>
      <c r="AS324" s="11">
        <v>7500</v>
      </c>
      <c r="AV324" s="11">
        <f ca="1">IFERROR(OFFSET(ITEM_RES!$A$1,MATCH(AW324,ITEM_RES!$J:$J,0)-1,0),0)</f>
        <v>212040001</v>
      </c>
      <c r="AW324" s="10" t="s">
        <v>483</v>
      </c>
      <c r="AX324" s="11">
        <v>7500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8"/>
        <v>114020001</v>
      </c>
      <c r="B325" s="20">
        <v>11</v>
      </c>
      <c r="C325" s="19">
        <f t="shared" si="109"/>
        <v>4</v>
      </c>
      <c r="D325" s="20">
        <v>2</v>
      </c>
      <c r="E325" s="20">
        <v>0</v>
      </c>
      <c r="F325" s="19">
        <f t="shared" si="110"/>
        <v>1</v>
      </c>
      <c r="G325" s="80"/>
      <c r="H325" s="16">
        <v>4</v>
      </c>
      <c r="I325" s="16">
        <v>1</v>
      </c>
      <c r="J325" s="80"/>
      <c r="K325" s="16" t="s">
        <v>386</v>
      </c>
      <c r="L325" s="16">
        <v>1</v>
      </c>
      <c r="M325" s="16">
        <v>15</v>
      </c>
      <c r="N325" s="16"/>
      <c r="O325" s="17"/>
      <c r="P325" s="17"/>
      <c r="Q325" s="18"/>
      <c r="R325" s="16">
        <v>444</v>
      </c>
      <c r="S325" s="88"/>
      <c r="T325" s="80"/>
      <c r="U325" s="88"/>
      <c r="V325" s="88"/>
      <c r="W325" s="88"/>
      <c r="X325" s="88"/>
      <c r="Y325" s="88"/>
      <c r="Z325" s="16">
        <v>215050001</v>
      </c>
      <c r="AA325" s="16" t="s">
        <v>605</v>
      </c>
      <c r="AB325" s="16">
        <v>1</v>
      </c>
      <c r="AC325" s="80"/>
      <c r="AD325" s="16">
        <v>400</v>
      </c>
      <c r="AE325" s="80"/>
      <c r="AF325" s="91">
        <f t="shared" si="105"/>
        <v>605</v>
      </c>
      <c r="AG325" s="16">
        <f>AF325</f>
        <v>605</v>
      </c>
      <c r="AH325" s="80"/>
      <c r="AI325" s="18">
        <f t="shared" si="104"/>
        <v>5</v>
      </c>
      <c r="AJ325" s="17">
        <v>5</v>
      </c>
      <c r="AK325" s="18">
        <f t="shared" si="111"/>
        <v>5</v>
      </c>
      <c r="AL325" s="17">
        <v>5</v>
      </c>
      <c r="AM325" s="18">
        <f t="shared" si="111"/>
        <v>5</v>
      </c>
      <c r="AN325" s="17">
        <v>5</v>
      </c>
      <c r="AO325" s="57">
        <f t="shared" si="106"/>
        <v>3</v>
      </c>
      <c r="AP325" s="18"/>
      <c r="AQ325" s="18">
        <f ca="1">IFERROR(OFFSET(ITEM_RES!$A$1,MATCH(AR325,ITEM_RES!$J:$J,0)-1,0),0)</f>
        <v>212010001</v>
      </c>
      <c r="AR325" s="17" t="s">
        <v>484</v>
      </c>
      <c r="AS325" s="18">
        <v>25</v>
      </c>
      <c r="AT325" s="17"/>
      <c r="AU325" s="18"/>
      <c r="AV325" s="18">
        <f ca="1">IFERROR(OFFSET(ITEM_RES!$A$1,MATCH(AW325,ITEM_RES!$J:$J,0)-1,0),0)</f>
        <v>212040001</v>
      </c>
      <c r="AW325" s="17" t="s">
        <v>483</v>
      </c>
      <c r="AX325" s="18">
        <v>25</v>
      </c>
      <c r="AY325" s="17"/>
      <c r="AZ325" s="18"/>
      <c r="BA325" s="18">
        <f ca="1">IFERROR(OFFSET(ITEM_RES!$A$1,MATCH(BB325,ITEM_RES!$J:$J,0)-1,0),0)</f>
        <v>213010001</v>
      </c>
      <c r="BB325" s="17" t="s">
        <v>509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8"/>
        <v>114020002</v>
      </c>
      <c r="B326" s="13">
        <v>11</v>
      </c>
      <c r="C326" s="12">
        <f t="shared" si="109"/>
        <v>4</v>
      </c>
      <c r="D326" s="13">
        <v>2</v>
      </c>
      <c r="E326" s="13">
        <v>0</v>
      </c>
      <c r="F326" s="12">
        <f t="shared" si="110"/>
        <v>2</v>
      </c>
      <c r="H326" s="9">
        <v>4</v>
      </c>
      <c r="I326" s="9">
        <v>2</v>
      </c>
      <c r="K326" s="9" t="s">
        <v>380</v>
      </c>
      <c r="L326" s="9">
        <v>1</v>
      </c>
      <c r="M326" s="9">
        <v>15</v>
      </c>
      <c r="R326" s="9">
        <v>444</v>
      </c>
      <c r="Z326" s="9">
        <v>215050001</v>
      </c>
      <c r="AA326" s="9" t="s">
        <v>605</v>
      </c>
      <c r="AB326" s="9">
        <v>2</v>
      </c>
      <c r="AD326" s="9">
        <v>800</v>
      </c>
      <c r="AF326" s="89">
        <f t="shared" si="105"/>
        <v>210</v>
      </c>
      <c r="AG326" s="9">
        <f>AF325+AF326</f>
        <v>815</v>
      </c>
      <c r="AI326" s="11">
        <f t="shared" si="104"/>
        <v>10</v>
      </c>
      <c r="AJ326" s="10">
        <v>10</v>
      </c>
      <c r="AK326" s="11">
        <f t="shared" si="111"/>
        <v>10</v>
      </c>
      <c r="AL326" s="10">
        <v>10</v>
      </c>
      <c r="AM326" s="11">
        <f t="shared" si="111"/>
        <v>10</v>
      </c>
      <c r="AN326" s="10">
        <v>10</v>
      </c>
      <c r="AO326" s="56">
        <f t="shared" si="106"/>
        <v>2</v>
      </c>
      <c r="AQ326" s="11">
        <f ca="1">IFERROR(OFFSET(ITEM_RES!$A$1,MATCH(AR326,ITEM_RES!$J:$J,0)-1,0),0)</f>
        <v>212010001</v>
      </c>
      <c r="AR326" s="10" t="s">
        <v>484</v>
      </c>
      <c r="AS326" s="11">
        <v>50</v>
      </c>
      <c r="AV326" s="11">
        <f ca="1">IFERROR(OFFSET(ITEM_RES!$A$1,MATCH(AW326,ITEM_RES!$J:$J,0)-1,0),0)</f>
        <v>212040001</v>
      </c>
      <c r="AW326" s="10" t="s">
        <v>483</v>
      </c>
      <c r="AX326" s="11">
        <v>50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8"/>
        <v>114020003</v>
      </c>
      <c r="B327" s="13">
        <v>11</v>
      </c>
      <c r="C327" s="12">
        <f t="shared" si="109"/>
        <v>4</v>
      </c>
      <c r="D327" s="13">
        <v>2</v>
      </c>
      <c r="E327" s="13">
        <v>0</v>
      </c>
      <c r="F327" s="12">
        <f t="shared" si="110"/>
        <v>3</v>
      </c>
      <c r="H327" s="9">
        <v>4</v>
      </c>
      <c r="I327" s="9">
        <v>3</v>
      </c>
      <c r="K327" s="9" t="s">
        <v>380</v>
      </c>
      <c r="L327" s="9">
        <v>1</v>
      </c>
      <c r="M327" s="9">
        <v>15</v>
      </c>
      <c r="R327" s="9">
        <v>444</v>
      </c>
      <c r="Z327" s="9">
        <v>215050001</v>
      </c>
      <c r="AA327" s="9" t="s">
        <v>605</v>
      </c>
      <c r="AB327" s="9">
        <v>3</v>
      </c>
      <c r="AD327" s="9">
        <v>1200</v>
      </c>
      <c r="AF327" s="89">
        <f t="shared" si="105"/>
        <v>315</v>
      </c>
      <c r="AG327" s="9">
        <f t="shared" ref="AG327:AG344" si="113">AF326+AF327</f>
        <v>525</v>
      </c>
      <c r="AI327" s="11">
        <f t="shared" si="104"/>
        <v>15</v>
      </c>
      <c r="AJ327" s="10">
        <v>15</v>
      </c>
      <c r="AK327" s="11">
        <f t="shared" si="111"/>
        <v>15</v>
      </c>
      <c r="AL327" s="10">
        <v>15</v>
      </c>
      <c r="AM327" s="11">
        <f t="shared" si="111"/>
        <v>15</v>
      </c>
      <c r="AN327" s="10">
        <v>15</v>
      </c>
      <c r="AO327" s="56">
        <f t="shared" si="106"/>
        <v>2</v>
      </c>
      <c r="AQ327" s="11">
        <f ca="1">IFERROR(OFFSET(ITEM_RES!$A$1,MATCH(AR327,ITEM_RES!$J:$J,0)-1,0),0)</f>
        <v>212010001</v>
      </c>
      <c r="AR327" s="10" t="s">
        <v>484</v>
      </c>
      <c r="AS327" s="11">
        <v>75</v>
      </c>
      <c r="AV327" s="11">
        <f ca="1">IFERROR(OFFSET(ITEM_RES!$A$1,MATCH(AW327,ITEM_RES!$J:$J,0)-1,0),0)</f>
        <v>212040001</v>
      </c>
      <c r="AW327" s="10" t="s">
        <v>483</v>
      </c>
      <c r="AX327" s="11">
        <v>75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8"/>
        <v>114020004</v>
      </c>
      <c r="B328" s="13">
        <v>11</v>
      </c>
      <c r="C328" s="12">
        <f t="shared" si="109"/>
        <v>4</v>
      </c>
      <c r="D328" s="13">
        <v>2</v>
      </c>
      <c r="E328" s="13">
        <v>0</v>
      </c>
      <c r="F328" s="12">
        <f t="shared" si="110"/>
        <v>4</v>
      </c>
      <c r="H328" s="9">
        <v>4</v>
      </c>
      <c r="I328" s="9">
        <v>4</v>
      </c>
      <c r="K328" s="9" t="s">
        <v>380</v>
      </c>
      <c r="L328" s="9">
        <v>1</v>
      </c>
      <c r="M328" s="9">
        <v>15</v>
      </c>
      <c r="R328" s="9">
        <v>444</v>
      </c>
      <c r="Z328" s="9">
        <v>215050001</v>
      </c>
      <c r="AA328" s="9" t="s">
        <v>605</v>
      </c>
      <c r="AB328" s="9">
        <v>4</v>
      </c>
      <c r="AD328" s="9">
        <v>2000</v>
      </c>
      <c r="AF328" s="89">
        <f t="shared" si="105"/>
        <v>525</v>
      </c>
      <c r="AG328" s="9">
        <f t="shared" si="113"/>
        <v>840</v>
      </c>
      <c r="AI328" s="11">
        <f t="shared" si="104"/>
        <v>20</v>
      </c>
      <c r="AJ328" s="10">
        <v>20</v>
      </c>
      <c r="AK328" s="11">
        <f t="shared" si="111"/>
        <v>25</v>
      </c>
      <c r="AL328" s="10">
        <v>25</v>
      </c>
      <c r="AM328" s="11">
        <f t="shared" si="111"/>
        <v>25</v>
      </c>
      <c r="AN328" s="10">
        <v>25</v>
      </c>
      <c r="AO328" s="56">
        <f t="shared" si="106"/>
        <v>2</v>
      </c>
      <c r="AQ328" s="11">
        <f ca="1">IFERROR(OFFSET(ITEM_RES!$A$1,MATCH(AR328,ITEM_RES!$J:$J,0)-1,0),0)</f>
        <v>212010001</v>
      </c>
      <c r="AR328" s="10" t="s">
        <v>484</v>
      </c>
      <c r="AS328" s="11">
        <v>125</v>
      </c>
      <c r="AV328" s="11">
        <f ca="1">IFERROR(OFFSET(ITEM_RES!$A$1,MATCH(AW328,ITEM_RES!$J:$J,0)-1,0),0)</f>
        <v>212040001</v>
      </c>
      <c r="AW328" s="10" t="s">
        <v>483</v>
      </c>
      <c r="AX328" s="11">
        <v>125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8"/>
        <v>114020005</v>
      </c>
      <c r="B329" s="13">
        <v>11</v>
      </c>
      <c r="C329" s="12">
        <f t="shared" si="109"/>
        <v>4</v>
      </c>
      <c r="D329" s="13">
        <v>2</v>
      </c>
      <c r="E329" s="13">
        <v>0</v>
      </c>
      <c r="F329" s="12">
        <f t="shared" si="110"/>
        <v>5</v>
      </c>
      <c r="H329" s="9">
        <v>4</v>
      </c>
      <c r="I329" s="9">
        <v>5</v>
      </c>
      <c r="K329" s="9" t="s">
        <v>380</v>
      </c>
      <c r="L329" s="9">
        <v>1</v>
      </c>
      <c r="M329" s="9">
        <v>15</v>
      </c>
      <c r="R329" s="9">
        <v>444</v>
      </c>
      <c r="Z329" s="9">
        <v>215050001</v>
      </c>
      <c r="AA329" s="9" t="s">
        <v>605</v>
      </c>
      <c r="AB329" s="9">
        <v>5</v>
      </c>
      <c r="AD329" s="9">
        <v>3200</v>
      </c>
      <c r="AF329" s="89">
        <f t="shared" si="105"/>
        <v>840</v>
      </c>
      <c r="AG329" s="9">
        <f t="shared" si="113"/>
        <v>1365</v>
      </c>
      <c r="AI329" s="11">
        <f t="shared" si="104"/>
        <v>25</v>
      </c>
      <c r="AJ329" s="10">
        <v>25</v>
      </c>
      <c r="AK329" s="11">
        <f t="shared" si="111"/>
        <v>40</v>
      </c>
      <c r="AL329" s="10">
        <v>40</v>
      </c>
      <c r="AM329" s="11">
        <f t="shared" si="111"/>
        <v>40</v>
      </c>
      <c r="AN329" s="10">
        <v>40</v>
      </c>
      <c r="AO329" s="56">
        <f t="shared" si="106"/>
        <v>2</v>
      </c>
      <c r="AQ329" s="11">
        <f ca="1">IFERROR(OFFSET(ITEM_RES!$A$1,MATCH(AR329,ITEM_RES!$J:$J,0)-1,0),0)</f>
        <v>212010001</v>
      </c>
      <c r="AR329" s="10" t="s">
        <v>484</v>
      </c>
      <c r="AS329" s="11">
        <v>200</v>
      </c>
      <c r="AV329" s="11">
        <f ca="1">IFERROR(OFFSET(ITEM_RES!$A$1,MATCH(AW329,ITEM_RES!$J:$J,0)-1,0),0)</f>
        <v>212040001</v>
      </c>
      <c r="AW329" s="10" t="s">
        <v>483</v>
      </c>
      <c r="AX329" s="11">
        <v>200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8"/>
        <v>114020006</v>
      </c>
      <c r="B330" s="13">
        <v>11</v>
      </c>
      <c r="C330" s="12">
        <f t="shared" si="109"/>
        <v>4</v>
      </c>
      <c r="D330" s="13">
        <v>2</v>
      </c>
      <c r="E330" s="13">
        <v>0</v>
      </c>
      <c r="F330" s="12">
        <f t="shared" si="110"/>
        <v>6</v>
      </c>
      <c r="H330" s="9">
        <v>4</v>
      </c>
      <c r="I330" s="9">
        <v>6</v>
      </c>
      <c r="K330" s="9" t="s">
        <v>380</v>
      </c>
      <c r="L330" s="9">
        <v>1</v>
      </c>
      <c r="M330" s="9">
        <v>15</v>
      </c>
      <c r="R330" s="9">
        <v>444</v>
      </c>
      <c r="Z330" s="9">
        <v>215050001</v>
      </c>
      <c r="AA330" s="9" t="s">
        <v>605</v>
      </c>
      <c r="AB330" s="9">
        <v>6</v>
      </c>
      <c r="AD330" s="9">
        <v>4000</v>
      </c>
      <c r="AF330" s="89">
        <f t="shared" si="105"/>
        <v>1050</v>
      </c>
      <c r="AG330" s="9">
        <f t="shared" si="113"/>
        <v>1890</v>
      </c>
      <c r="AI330" s="11">
        <f t="shared" si="104"/>
        <v>30</v>
      </c>
      <c r="AJ330" s="10">
        <v>30</v>
      </c>
      <c r="AK330" s="11">
        <f t="shared" si="111"/>
        <v>50</v>
      </c>
      <c r="AL330" s="10">
        <v>50</v>
      </c>
      <c r="AM330" s="11">
        <f t="shared" si="111"/>
        <v>50</v>
      </c>
      <c r="AN330" s="10">
        <v>50</v>
      </c>
      <c r="AO330" s="56">
        <f t="shared" si="106"/>
        <v>2</v>
      </c>
      <c r="AQ330" s="11">
        <f ca="1">IFERROR(OFFSET(ITEM_RES!$A$1,MATCH(AR330,ITEM_RES!$J:$J,0)-1,0),0)</f>
        <v>212010001</v>
      </c>
      <c r="AR330" s="10" t="s">
        <v>484</v>
      </c>
      <c r="AS330" s="11">
        <v>250</v>
      </c>
      <c r="AV330" s="11">
        <f ca="1">IFERROR(OFFSET(ITEM_RES!$A$1,MATCH(AW330,ITEM_RES!$J:$J,0)-1,0),0)</f>
        <v>212040001</v>
      </c>
      <c r="AW330" s="10" t="s">
        <v>483</v>
      </c>
      <c r="AX330" s="11">
        <v>250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8"/>
        <v>114020007</v>
      </c>
      <c r="B331" s="13">
        <v>11</v>
      </c>
      <c r="C331" s="12">
        <f t="shared" si="109"/>
        <v>4</v>
      </c>
      <c r="D331" s="13">
        <v>2</v>
      </c>
      <c r="E331" s="13">
        <v>0</v>
      </c>
      <c r="F331" s="12">
        <f t="shared" si="110"/>
        <v>7</v>
      </c>
      <c r="H331" s="9">
        <v>4</v>
      </c>
      <c r="I331" s="9">
        <v>7</v>
      </c>
      <c r="K331" s="9" t="s">
        <v>380</v>
      </c>
      <c r="L331" s="9">
        <v>1</v>
      </c>
      <c r="M331" s="9">
        <v>15</v>
      </c>
      <c r="R331" s="9">
        <v>444</v>
      </c>
      <c r="Z331" s="9">
        <v>215050001</v>
      </c>
      <c r="AA331" s="9" t="s">
        <v>605</v>
      </c>
      <c r="AB331" s="9">
        <v>7</v>
      </c>
      <c r="AD331" s="9">
        <v>8000</v>
      </c>
      <c r="AF331" s="89">
        <f t="shared" si="105"/>
        <v>2600</v>
      </c>
      <c r="AG331" s="9">
        <f t="shared" si="113"/>
        <v>3650</v>
      </c>
      <c r="AI331" s="11">
        <f t="shared" si="104"/>
        <v>35</v>
      </c>
      <c r="AJ331" s="10">
        <v>35</v>
      </c>
      <c r="AK331" s="11">
        <f t="shared" si="111"/>
        <v>100</v>
      </c>
      <c r="AL331" s="10">
        <v>100</v>
      </c>
      <c r="AM331" s="11">
        <f t="shared" si="111"/>
        <v>100</v>
      </c>
      <c r="AN331" s="10">
        <v>100</v>
      </c>
      <c r="AO331" s="56">
        <f t="shared" si="106"/>
        <v>3</v>
      </c>
      <c r="AQ331" s="11">
        <f ca="1">IFERROR(OFFSET(ITEM_RES!$A$1,MATCH(AR331,ITEM_RES!$J:$J,0)-1,0),0)</f>
        <v>212010001</v>
      </c>
      <c r="AR331" s="10" t="s">
        <v>484</v>
      </c>
      <c r="AS331" s="11">
        <v>500</v>
      </c>
      <c r="AV331" s="11">
        <f ca="1">IFERROR(OFFSET(ITEM_RES!$A$1,MATCH(AW331,ITEM_RES!$J:$J,0)-1,0),0)</f>
        <v>212040001</v>
      </c>
      <c r="AW331" s="10" t="s">
        <v>483</v>
      </c>
      <c r="AX331" s="11">
        <v>500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213110001</v>
      </c>
      <c r="BG331" s="10" t="s">
        <v>523</v>
      </c>
      <c r="BH331" s="11">
        <v>1</v>
      </c>
      <c r="BK331" s="11">
        <f ca="1">IFERROR(OFFSET(ITEM_RES!$A$1,MATCH(BL331,ITEM_RES!$J:$J,0)-1,0),0)</f>
        <v>0</v>
      </c>
    </row>
    <row r="332" spans="1:66" x14ac:dyDescent="0.3">
      <c r="A332" s="14">
        <f t="shared" si="108"/>
        <v>114020008</v>
      </c>
      <c r="B332" s="13">
        <v>11</v>
      </c>
      <c r="C332" s="12">
        <f t="shared" si="109"/>
        <v>4</v>
      </c>
      <c r="D332" s="13">
        <v>2</v>
      </c>
      <c r="E332" s="13">
        <v>0</v>
      </c>
      <c r="F332" s="12">
        <f t="shared" si="110"/>
        <v>8</v>
      </c>
      <c r="H332" s="9">
        <v>4</v>
      </c>
      <c r="I332" s="9">
        <v>8</v>
      </c>
      <c r="K332" s="9" t="s">
        <v>380</v>
      </c>
      <c r="L332" s="9">
        <v>1</v>
      </c>
      <c r="M332" s="9">
        <v>15</v>
      </c>
      <c r="R332" s="9">
        <v>444</v>
      </c>
      <c r="Z332" s="9">
        <v>215050001</v>
      </c>
      <c r="AA332" s="9" t="s">
        <v>605</v>
      </c>
      <c r="AB332" s="9">
        <v>8</v>
      </c>
      <c r="AD332" s="9">
        <v>8000</v>
      </c>
      <c r="AF332" s="89">
        <f t="shared" si="105"/>
        <v>2100</v>
      </c>
      <c r="AG332" s="9">
        <f t="shared" si="113"/>
        <v>4700</v>
      </c>
      <c r="AI332" s="11">
        <f t="shared" si="104"/>
        <v>40</v>
      </c>
      <c r="AJ332" s="10">
        <v>40</v>
      </c>
      <c r="AK332" s="11">
        <f t="shared" si="111"/>
        <v>100</v>
      </c>
      <c r="AL332" s="10">
        <v>100</v>
      </c>
      <c r="AM332" s="11">
        <f t="shared" si="111"/>
        <v>100</v>
      </c>
      <c r="AN332" s="10">
        <v>100</v>
      </c>
      <c r="AO332" s="56">
        <f t="shared" si="106"/>
        <v>2</v>
      </c>
      <c r="AQ332" s="11">
        <f ca="1">IFERROR(OFFSET(ITEM_RES!$A$1,MATCH(AR332,ITEM_RES!$J:$J,0)-1,0),0)</f>
        <v>212010001</v>
      </c>
      <c r="AR332" s="10" t="s">
        <v>484</v>
      </c>
      <c r="AS332" s="11">
        <v>500</v>
      </c>
      <c r="AV332" s="11">
        <f ca="1">IFERROR(OFFSET(ITEM_RES!$A$1,MATCH(AW332,ITEM_RES!$J:$J,0)-1,0),0)</f>
        <v>212040001</v>
      </c>
      <c r="AW332" s="10" t="s">
        <v>483</v>
      </c>
      <c r="AX332" s="11">
        <v>500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0</v>
      </c>
      <c r="BK332" s="11">
        <f ca="1">IFERROR(OFFSET(ITEM_RES!$A$1,MATCH(BL332,ITEM_RES!$J:$J,0)-1,0),0)</f>
        <v>0</v>
      </c>
    </row>
    <row r="333" spans="1:66" x14ac:dyDescent="0.3">
      <c r="A333" s="14">
        <f t="shared" si="108"/>
        <v>114020009</v>
      </c>
      <c r="B333" s="13">
        <v>11</v>
      </c>
      <c r="C333" s="12">
        <f t="shared" si="109"/>
        <v>4</v>
      </c>
      <c r="D333" s="13">
        <v>2</v>
      </c>
      <c r="E333" s="13">
        <v>0</v>
      </c>
      <c r="F333" s="12">
        <f t="shared" si="110"/>
        <v>9</v>
      </c>
      <c r="H333" s="9">
        <v>4</v>
      </c>
      <c r="I333" s="9">
        <v>9</v>
      </c>
      <c r="K333" s="9" t="s">
        <v>380</v>
      </c>
      <c r="L333" s="9">
        <v>1</v>
      </c>
      <c r="M333" s="9">
        <v>15</v>
      </c>
      <c r="R333" s="9">
        <v>444</v>
      </c>
      <c r="Z333" s="9">
        <v>215050001</v>
      </c>
      <c r="AA333" s="9" t="s">
        <v>605</v>
      </c>
      <c r="AB333" s="9">
        <v>9</v>
      </c>
      <c r="AD333" s="9">
        <v>12000</v>
      </c>
      <c r="AF333" s="89">
        <f t="shared" si="105"/>
        <v>3150</v>
      </c>
      <c r="AG333" s="9">
        <f t="shared" si="113"/>
        <v>5250</v>
      </c>
      <c r="AI333" s="11">
        <f t="shared" si="104"/>
        <v>45</v>
      </c>
      <c r="AJ333" s="10">
        <v>45</v>
      </c>
      <c r="AK333" s="11">
        <f t="shared" si="111"/>
        <v>150</v>
      </c>
      <c r="AL333" s="10">
        <v>150</v>
      </c>
      <c r="AM333" s="11">
        <f t="shared" si="111"/>
        <v>150</v>
      </c>
      <c r="AN333" s="10">
        <v>150</v>
      </c>
      <c r="AO333" s="56">
        <f t="shared" si="106"/>
        <v>2</v>
      </c>
      <c r="AQ333" s="11">
        <f ca="1">IFERROR(OFFSET(ITEM_RES!$A$1,MATCH(AR333,ITEM_RES!$J:$J,0)-1,0),0)</f>
        <v>212010001</v>
      </c>
      <c r="AR333" s="10" t="s">
        <v>484</v>
      </c>
      <c r="AS333" s="11">
        <v>750</v>
      </c>
      <c r="AV333" s="11">
        <f ca="1">IFERROR(OFFSET(ITEM_RES!$A$1,MATCH(AW333,ITEM_RES!$J:$J,0)-1,0),0)</f>
        <v>212040001</v>
      </c>
      <c r="AW333" s="10" t="s">
        <v>483</v>
      </c>
      <c r="AX333" s="11">
        <v>750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8"/>
        <v>114020010</v>
      </c>
      <c r="B334" s="13">
        <v>11</v>
      </c>
      <c r="C334" s="12">
        <f t="shared" si="109"/>
        <v>4</v>
      </c>
      <c r="D334" s="13">
        <v>2</v>
      </c>
      <c r="E334" s="13">
        <v>0</v>
      </c>
      <c r="F334" s="12">
        <f t="shared" si="110"/>
        <v>10</v>
      </c>
      <c r="H334" s="9">
        <v>4</v>
      </c>
      <c r="I334" s="9">
        <v>10</v>
      </c>
      <c r="K334" s="9" t="s">
        <v>380</v>
      </c>
      <c r="L334" s="9">
        <v>1</v>
      </c>
      <c r="M334" s="9">
        <v>15</v>
      </c>
      <c r="R334" s="9">
        <v>444</v>
      </c>
      <c r="Z334" s="9">
        <v>215050001</v>
      </c>
      <c r="AA334" s="9" t="s">
        <v>605</v>
      </c>
      <c r="AB334" s="9">
        <v>10</v>
      </c>
      <c r="AD334" s="9">
        <v>16000</v>
      </c>
      <c r="AF334" s="89">
        <f t="shared" si="105"/>
        <v>4200</v>
      </c>
      <c r="AG334" s="9">
        <f t="shared" si="113"/>
        <v>7350</v>
      </c>
      <c r="AI334" s="11">
        <f t="shared" si="104"/>
        <v>50</v>
      </c>
      <c r="AJ334" s="10">
        <v>50</v>
      </c>
      <c r="AK334" s="11">
        <f t="shared" si="111"/>
        <v>200</v>
      </c>
      <c r="AL334" s="10">
        <v>200</v>
      </c>
      <c r="AM334" s="11">
        <f t="shared" si="111"/>
        <v>200</v>
      </c>
      <c r="AN334" s="10">
        <v>200</v>
      </c>
      <c r="AO334" s="56">
        <f t="shared" si="106"/>
        <v>2</v>
      </c>
      <c r="AQ334" s="11">
        <f ca="1">IFERROR(OFFSET(ITEM_RES!$A$1,MATCH(AR334,ITEM_RES!$J:$J,0)-1,0),0)</f>
        <v>212010001</v>
      </c>
      <c r="AR334" s="10" t="s">
        <v>484</v>
      </c>
      <c r="AS334" s="11">
        <v>1000</v>
      </c>
      <c r="AV334" s="11">
        <f ca="1">IFERROR(OFFSET(ITEM_RES!$A$1,MATCH(AW334,ITEM_RES!$J:$J,0)-1,0),0)</f>
        <v>212040001</v>
      </c>
      <c r="AW334" s="10" t="s">
        <v>483</v>
      </c>
      <c r="AX334" s="11">
        <v>1000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8"/>
        <v>114020011</v>
      </c>
      <c r="B335" s="13">
        <v>11</v>
      </c>
      <c r="C335" s="12">
        <f t="shared" si="109"/>
        <v>4</v>
      </c>
      <c r="D335" s="13">
        <v>2</v>
      </c>
      <c r="E335" s="13">
        <v>0</v>
      </c>
      <c r="F335" s="12">
        <f t="shared" si="110"/>
        <v>11</v>
      </c>
      <c r="H335" s="9">
        <v>4</v>
      </c>
      <c r="I335" s="9">
        <v>11</v>
      </c>
      <c r="K335" s="9" t="s">
        <v>380</v>
      </c>
      <c r="L335" s="9">
        <v>1</v>
      </c>
      <c r="M335" s="9">
        <v>15</v>
      </c>
      <c r="R335" s="9">
        <v>444</v>
      </c>
      <c r="Z335" s="9">
        <v>215050001</v>
      </c>
      <c r="AA335" s="9" t="s">
        <v>605</v>
      </c>
      <c r="AB335" s="9">
        <v>11</v>
      </c>
      <c r="AD335" s="9">
        <v>20000</v>
      </c>
      <c r="AF335" s="89">
        <f t="shared" si="105"/>
        <v>5250</v>
      </c>
      <c r="AG335" s="9">
        <f t="shared" si="113"/>
        <v>9450</v>
      </c>
      <c r="AI335" s="11">
        <f t="shared" si="104"/>
        <v>55</v>
      </c>
      <c r="AJ335" s="10">
        <v>55</v>
      </c>
      <c r="AK335" s="11">
        <f t="shared" si="111"/>
        <v>250</v>
      </c>
      <c r="AL335" s="10">
        <v>250</v>
      </c>
      <c r="AM335" s="11">
        <f t="shared" si="111"/>
        <v>250</v>
      </c>
      <c r="AN335" s="10">
        <v>250</v>
      </c>
      <c r="AO335" s="56">
        <f t="shared" si="106"/>
        <v>2</v>
      </c>
      <c r="AQ335" s="11">
        <f ca="1">IFERROR(OFFSET(ITEM_RES!$A$1,MATCH(AR335,ITEM_RES!$J:$J,0)-1,0),0)</f>
        <v>212010001</v>
      </c>
      <c r="AR335" s="10" t="s">
        <v>484</v>
      </c>
      <c r="AS335" s="11">
        <v>1250</v>
      </c>
      <c r="AV335" s="11">
        <f ca="1">IFERROR(OFFSET(ITEM_RES!$A$1,MATCH(AW335,ITEM_RES!$J:$J,0)-1,0),0)</f>
        <v>212040001</v>
      </c>
      <c r="AW335" s="10" t="s">
        <v>483</v>
      </c>
      <c r="AX335" s="11">
        <v>1250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8"/>
        <v>114020012</v>
      </c>
      <c r="B336" s="13">
        <v>11</v>
      </c>
      <c r="C336" s="12">
        <f t="shared" si="109"/>
        <v>4</v>
      </c>
      <c r="D336" s="13">
        <v>2</v>
      </c>
      <c r="E336" s="13">
        <v>0</v>
      </c>
      <c r="F336" s="12">
        <f t="shared" si="110"/>
        <v>12</v>
      </c>
      <c r="H336" s="9">
        <v>4</v>
      </c>
      <c r="I336" s="9">
        <v>12</v>
      </c>
      <c r="K336" s="9" t="s">
        <v>380</v>
      </c>
      <c r="L336" s="9">
        <v>1</v>
      </c>
      <c r="M336" s="9">
        <v>15</v>
      </c>
      <c r="R336" s="9">
        <v>444</v>
      </c>
      <c r="Z336" s="9">
        <v>215050001</v>
      </c>
      <c r="AA336" s="9" t="s">
        <v>605</v>
      </c>
      <c r="AB336" s="9">
        <v>12</v>
      </c>
      <c r="AD336" s="9">
        <v>24000</v>
      </c>
      <c r="AF336" s="89">
        <f t="shared" si="105"/>
        <v>6300</v>
      </c>
      <c r="AG336" s="9">
        <f t="shared" si="113"/>
        <v>11550</v>
      </c>
      <c r="AI336" s="11">
        <f t="shared" si="104"/>
        <v>60</v>
      </c>
      <c r="AJ336" s="10">
        <v>60</v>
      </c>
      <c r="AK336" s="11">
        <f t="shared" si="111"/>
        <v>300</v>
      </c>
      <c r="AL336" s="10">
        <v>300</v>
      </c>
      <c r="AM336" s="11">
        <f t="shared" si="111"/>
        <v>300</v>
      </c>
      <c r="AN336" s="10">
        <v>300</v>
      </c>
      <c r="AO336" s="56">
        <f t="shared" si="106"/>
        <v>2</v>
      </c>
      <c r="AQ336" s="11">
        <f ca="1">IFERROR(OFFSET(ITEM_RES!$A$1,MATCH(AR336,ITEM_RES!$J:$J,0)-1,0),0)</f>
        <v>215070001</v>
      </c>
      <c r="AR336" s="10" t="s">
        <v>480</v>
      </c>
      <c r="AS336" s="11">
        <v>1500</v>
      </c>
      <c r="AV336" s="11">
        <f ca="1">IFERROR(OFFSET(ITEM_RES!$A$1,MATCH(AW336,ITEM_RES!$J:$J,0)-1,0),0)</f>
        <v>212040001</v>
      </c>
      <c r="AW336" s="10" t="s">
        <v>483</v>
      </c>
      <c r="AX336" s="11">
        <v>1500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8"/>
        <v>114020013</v>
      </c>
      <c r="B337" s="13">
        <v>11</v>
      </c>
      <c r="C337" s="12">
        <f t="shared" si="109"/>
        <v>4</v>
      </c>
      <c r="D337" s="13">
        <v>2</v>
      </c>
      <c r="E337" s="13">
        <v>0</v>
      </c>
      <c r="F337" s="12">
        <f t="shared" si="110"/>
        <v>13</v>
      </c>
      <c r="H337" s="9">
        <v>4</v>
      </c>
      <c r="I337" s="9">
        <v>13</v>
      </c>
      <c r="K337" s="9" t="s">
        <v>380</v>
      </c>
      <c r="L337" s="9">
        <v>1</v>
      </c>
      <c r="M337" s="9">
        <v>15</v>
      </c>
      <c r="R337" s="9">
        <v>444</v>
      </c>
      <c r="Z337" s="9">
        <v>215050001</v>
      </c>
      <c r="AA337" s="9" t="s">
        <v>605</v>
      </c>
      <c r="AB337" s="9">
        <v>13</v>
      </c>
      <c r="AD337" s="9">
        <v>28000</v>
      </c>
      <c r="AF337" s="89">
        <f t="shared" si="105"/>
        <v>7350</v>
      </c>
      <c r="AG337" s="9">
        <f t="shared" si="113"/>
        <v>13650</v>
      </c>
      <c r="AI337" s="11">
        <f t="shared" si="104"/>
        <v>65</v>
      </c>
      <c r="AJ337" s="10">
        <v>65</v>
      </c>
      <c r="AK337" s="11">
        <f t="shared" si="111"/>
        <v>350</v>
      </c>
      <c r="AL337" s="10">
        <v>350</v>
      </c>
      <c r="AM337" s="11">
        <f t="shared" si="111"/>
        <v>350</v>
      </c>
      <c r="AN337" s="10">
        <v>350</v>
      </c>
      <c r="AO337" s="56">
        <f t="shared" si="106"/>
        <v>2</v>
      </c>
      <c r="AQ337" s="11">
        <f ca="1">IFERROR(OFFSET(ITEM_RES!$A$1,MATCH(AR337,ITEM_RES!$J:$J,0)-1,0),0)</f>
        <v>215070001</v>
      </c>
      <c r="AR337" s="10" t="s">
        <v>480</v>
      </c>
      <c r="AS337" s="11">
        <v>1750</v>
      </c>
      <c r="AV337" s="11">
        <f ca="1">IFERROR(OFFSET(ITEM_RES!$A$1,MATCH(AW337,ITEM_RES!$J:$J,0)-1,0),0)</f>
        <v>212040001</v>
      </c>
      <c r="AW337" s="10" t="s">
        <v>483</v>
      </c>
      <c r="AX337" s="11">
        <v>1750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8"/>
        <v>114020014</v>
      </c>
      <c r="B338" s="13">
        <v>11</v>
      </c>
      <c r="C338" s="12">
        <f t="shared" si="109"/>
        <v>4</v>
      </c>
      <c r="D338" s="13">
        <v>2</v>
      </c>
      <c r="E338" s="13">
        <v>0</v>
      </c>
      <c r="F338" s="12">
        <f t="shared" si="110"/>
        <v>14</v>
      </c>
      <c r="H338" s="9">
        <v>4</v>
      </c>
      <c r="I338" s="9">
        <v>14</v>
      </c>
      <c r="K338" s="9" t="s">
        <v>380</v>
      </c>
      <c r="L338" s="9">
        <v>1</v>
      </c>
      <c r="M338" s="9">
        <v>15</v>
      </c>
      <c r="R338" s="9">
        <v>444</v>
      </c>
      <c r="Z338" s="9">
        <v>215050001</v>
      </c>
      <c r="AA338" s="9" t="s">
        <v>605</v>
      </c>
      <c r="AB338" s="9">
        <v>14</v>
      </c>
      <c r="AD338" s="9">
        <v>36000</v>
      </c>
      <c r="AF338" s="89">
        <f t="shared" si="105"/>
        <v>9450</v>
      </c>
      <c r="AG338" s="9">
        <f t="shared" si="113"/>
        <v>16800</v>
      </c>
      <c r="AI338" s="11">
        <f t="shared" si="104"/>
        <v>70</v>
      </c>
      <c r="AJ338" s="10">
        <v>70</v>
      </c>
      <c r="AK338" s="11">
        <f t="shared" si="111"/>
        <v>450</v>
      </c>
      <c r="AL338" s="10">
        <v>450</v>
      </c>
      <c r="AM338" s="11">
        <f t="shared" si="111"/>
        <v>450</v>
      </c>
      <c r="AN338" s="10">
        <v>450</v>
      </c>
      <c r="AO338" s="56">
        <f t="shared" si="106"/>
        <v>2</v>
      </c>
      <c r="AQ338" s="11">
        <f ca="1">IFERROR(OFFSET(ITEM_RES!$A$1,MATCH(AR338,ITEM_RES!$J:$J,0)-1,0),0)</f>
        <v>215070001</v>
      </c>
      <c r="AR338" s="10" t="s">
        <v>480</v>
      </c>
      <c r="AS338" s="11">
        <v>2250</v>
      </c>
      <c r="AV338" s="11">
        <f ca="1">IFERROR(OFFSET(ITEM_RES!$A$1,MATCH(AW338,ITEM_RES!$J:$J,0)-1,0),0)</f>
        <v>212040001</v>
      </c>
      <c r="AW338" s="10" t="s">
        <v>483</v>
      </c>
      <c r="AX338" s="11">
        <v>2250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8"/>
        <v>114020015</v>
      </c>
      <c r="B339" s="13">
        <v>11</v>
      </c>
      <c r="C339" s="12">
        <f t="shared" si="109"/>
        <v>4</v>
      </c>
      <c r="D339" s="13">
        <v>2</v>
      </c>
      <c r="E339" s="13">
        <v>0</v>
      </c>
      <c r="F339" s="12">
        <f t="shared" si="110"/>
        <v>15</v>
      </c>
      <c r="H339" s="9">
        <v>4</v>
      </c>
      <c r="I339" s="9">
        <v>15</v>
      </c>
      <c r="K339" s="9" t="s">
        <v>380</v>
      </c>
      <c r="L339" s="9">
        <v>1</v>
      </c>
      <c r="M339" s="9">
        <v>15</v>
      </c>
      <c r="R339" s="9">
        <v>444</v>
      </c>
      <c r="Z339" s="9">
        <v>215050001</v>
      </c>
      <c r="AA339" s="9" t="s">
        <v>605</v>
      </c>
      <c r="AB339" s="9">
        <v>15</v>
      </c>
      <c r="AD339" s="9">
        <v>44000</v>
      </c>
      <c r="AF339" s="89">
        <f t="shared" si="105"/>
        <v>11550</v>
      </c>
      <c r="AG339" s="9">
        <f t="shared" si="113"/>
        <v>21000</v>
      </c>
      <c r="AI339" s="11">
        <f t="shared" si="104"/>
        <v>75</v>
      </c>
      <c r="AJ339" s="10">
        <v>75</v>
      </c>
      <c r="AK339" s="11">
        <f t="shared" si="111"/>
        <v>550</v>
      </c>
      <c r="AL339" s="10">
        <v>550</v>
      </c>
      <c r="AM339" s="11">
        <f t="shared" si="111"/>
        <v>550</v>
      </c>
      <c r="AN339" s="10">
        <v>550</v>
      </c>
      <c r="AO339" s="56">
        <f t="shared" si="106"/>
        <v>2</v>
      </c>
      <c r="AQ339" s="11">
        <f ca="1">IFERROR(OFFSET(ITEM_RES!$A$1,MATCH(AR339,ITEM_RES!$J:$J,0)-1,0),0)</f>
        <v>215070001</v>
      </c>
      <c r="AR339" s="10" t="s">
        <v>480</v>
      </c>
      <c r="AS339" s="11">
        <v>2750</v>
      </c>
      <c r="AV339" s="11">
        <f ca="1">IFERROR(OFFSET(ITEM_RES!$A$1,MATCH(AW339,ITEM_RES!$J:$J,0)-1,0),0)</f>
        <v>212040001</v>
      </c>
      <c r="AW339" s="10" t="s">
        <v>483</v>
      </c>
      <c r="AX339" s="11">
        <v>2750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8"/>
        <v>114020016</v>
      </c>
      <c r="B340" s="13">
        <v>11</v>
      </c>
      <c r="C340" s="12">
        <f t="shared" si="109"/>
        <v>4</v>
      </c>
      <c r="D340" s="13">
        <v>2</v>
      </c>
      <c r="E340" s="13">
        <v>0</v>
      </c>
      <c r="F340" s="12">
        <f t="shared" si="110"/>
        <v>16</v>
      </c>
      <c r="H340" s="9">
        <v>4</v>
      </c>
      <c r="I340" s="9">
        <v>16</v>
      </c>
      <c r="K340" s="9" t="s">
        <v>380</v>
      </c>
      <c r="L340" s="9">
        <v>0</v>
      </c>
      <c r="M340" s="9">
        <v>15</v>
      </c>
      <c r="R340" s="9">
        <v>444</v>
      </c>
      <c r="Z340" s="9">
        <v>215050001</v>
      </c>
      <c r="AA340" s="9" t="s">
        <v>605</v>
      </c>
      <c r="AB340" s="9">
        <v>16</v>
      </c>
      <c r="AD340" s="9">
        <v>56000</v>
      </c>
      <c r="AF340" s="89">
        <f t="shared" si="105"/>
        <v>14700</v>
      </c>
      <c r="AG340" s="9">
        <f t="shared" si="113"/>
        <v>26250</v>
      </c>
      <c r="AI340" s="11">
        <f t="shared" si="104"/>
        <v>80</v>
      </c>
      <c r="AJ340" s="10">
        <v>80</v>
      </c>
      <c r="AK340" s="11">
        <f t="shared" si="111"/>
        <v>700</v>
      </c>
      <c r="AL340" s="10">
        <v>700</v>
      </c>
      <c r="AM340" s="11">
        <f t="shared" si="111"/>
        <v>700</v>
      </c>
      <c r="AN340" s="10">
        <v>700</v>
      </c>
      <c r="AO340" s="56">
        <f t="shared" si="106"/>
        <v>2</v>
      </c>
      <c r="AQ340" s="11">
        <f ca="1">IFERROR(OFFSET(ITEM_RES!$A$1,MATCH(AR340,ITEM_RES!$J:$J,0)-1,0),0)</f>
        <v>215070001</v>
      </c>
      <c r="AR340" s="10" t="s">
        <v>480</v>
      </c>
      <c r="AS340" s="11">
        <v>3500</v>
      </c>
      <c r="AV340" s="11">
        <f ca="1">IFERROR(OFFSET(ITEM_RES!$A$1,MATCH(AW340,ITEM_RES!$J:$J,0)-1,0),0)</f>
        <v>212040001</v>
      </c>
      <c r="AW340" s="10" t="s">
        <v>483</v>
      </c>
      <c r="AX340" s="11">
        <v>3500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8"/>
        <v>114020017</v>
      </c>
      <c r="B341" s="13">
        <v>11</v>
      </c>
      <c r="C341" s="12">
        <f t="shared" si="109"/>
        <v>4</v>
      </c>
      <c r="D341" s="13">
        <v>2</v>
      </c>
      <c r="E341" s="13">
        <v>0</v>
      </c>
      <c r="F341" s="12">
        <f t="shared" si="110"/>
        <v>17</v>
      </c>
      <c r="H341" s="9">
        <v>4</v>
      </c>
      <c r="I341" s="9">
        <v>17</v>
      </c>
      <c r="K341" s="9" t="s">
        <v>380</v>
      </c>
      <c r="L341" s="9">
        <v>0</v>
      </c>
      <c r="M341" s="9">
        <v>15</v>
      </c>
      <c r="R341" s="9">
        <v>444</v>
      </c>
      <c r="Z341" s="9">
        <v>215050001</v>
      </c>
      <c r="AA341" s="9" t="s">
        <v>605</v>
      </c>
      <c r="AB341" s="9">
        <v>17</v>
      </c>
      <c r="AD341" s="9">
        <v>68000</v>
      </c>
      <c r="AF341" s="89">
        <f t="shared" si="105"/>
        <v>17850</v>
      </c>
      <c r="AG341" s="9">
        <f t="shared" si="113"/>
        <v>32550</v>
      </c>
      <c r="AI341" s="11">
        <f t="shared" si="104"/>
        <v>85</v>
      </c>
      <c r="AJ341" s="10">
        <v>85</v>
      </c>
      <c r="AK341" s="11">
        <f t="shared" si="111"/>
        <v>850</v>
      </c>
      <c r="AL341" s="10">
        <v>850</v>
      </c>
      <c r="AM341" s="11">
        <f t="shared" si="111"/>
        <v>850</v>
      </c>
      <c r="AN341" s="10">
        <v>850</v>
      </c>
      <c r="AO341" s="56">
        <f t="shared" si="106"/>
        <v>2</v>
      </c>
      <c r="AQ341" s="11">
        <f ca="1">IFERROR(OFFSET(ITEM_RES!$A$1,MATCH(AR341,ITEM_RES!$J:$J,0)-1,0),0)</f>
        <v>215070001</v>
      </c>
      <c r="AR341" s="10" t="s">
        <v>480</v>
      </c>
      <c r="AS341" s="11">
        <v>4250</v>
      </c>
      <c r="AV341" s="11">
        <f ca="1">IFERROR(OFFSET(ITEM_RES!$A$1,MATCH(AW341,ITEM_RES!$J:$J,0)-1,0),0)</f>
        <v>212040001</v>
      </c>
      <c r="AW341" s="10" t="s">
        <v>483</v>
      </c>
      <c r="AX341" s="11">
        <v>4250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8"/>
        <v>114020018</v>
      </c>
      <c r="B342" s="13">
        <v>11</v>
      </c>
      <c r="C342" s="12">
        <f t="shared" si="109"/>
        <v>4</v>
      </c>
      <c r="D342" s="13">
        <v>2</v>
      </c>
      <c r="E342" s="13">
        <v>0</v>
      </c>
      <c r="F342" s="12">
        <f t="shared" si="110"/>
        <v>18</v>
      </c>
      <c r="H342" s="9">
        <v>4</v>
      </c>
      <c r="I342" s="9">
        <v>18</v>
      </c>
      <c r="K342" s="9" t="s">
        <v>380</v>
      </c>
      <c r="L342" s="9">
        <v>0</v>
      </c>
      <c r="M342" s="9">
        <v>15</v>
      </c>
      <c r="R342" s="9">
        <v>444</v>
      </c>
      <c r="Z342" s="9">
        <v>215050001</v>
      </c>
      <c r="AA342" s="9" t="s">
        <v>605</v>
      </c>
      <c r="AB342" s="9">
        <v>18</v>
      </c>
      <c r="AD342" s="9">
        <v>84000</v>
      </c>
      <c r="AF342" s="89">
        <f t="shared" si="105"/>
        <v>22050</v>
      </c>
      <c r="AG342" s="9">
        <f t="shared" si="113"/>
        <v>39900</v>
      </c>
      <c r="AI342" s="11">
        <f t="shared" si="104"/>
        <v>90</v>
      </c>
      <c r="AJ342" s="10">
        <v>90</v>
      </c>
      <c r="AK342" s="11">
        <f t="shared" si="111"/>
        <v>1050</v>
      </c>
      <c r="AL342" s="10">
        <v>1050</v>
      </c>
      <c r="AM342" s="11">
        <f t="shared" si="111"/>
        <v>1050</v>
      </c>
      <c r="AN342" s="10">
        <v>1050</v>
      </c>
      <c r="AO342" s="56">
        <f t="shared" si="106"/>
        <v>2</v>
      </c>
      <c r="AQ342" s="11">
        <f ca="1">IFERROR(OFFSET(ITEM_RES!$A$1,MATCH(AR342,ITEM_RES!$J:$J,0)-1,0),0)</f>
        <v>215070001</v>
      </c>
      <c r="AR342" s="10" t="s">
        <v>480</v>
      </c>
      <c r="AS342" s="11">
        <v>5250</v>
      </c>
      <c r="AV342" s="11">
        <f ca="1">IFERROR(OFFSET(ITEM_RES!$A$1,MATCH(AW342,ITEM_RES!$J:$J,0)-1,0),0)</f>
        <v>212040001</v>
      </c>
      <c r="AW342" s="10" t="s">
        <v>483</v>
      </c>
      <c r="AX342" s="11">
        <v>5250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8"/>
        <v>114020019</v>
      </c>
      <c r="B343" s="13">
        <v>11</v>
      </c>
      <c r="C343" s="12">
        <f t="shared" si="109"/>
        <v>4</v>
      </c>
      <c r="D343" s="13">
        <v>2</v>
      </c>
      <c r="E343" s="13">
        <v>0</v>
      </c>
      <c r="F343" s="12">
        <f t="shared" si="110"/>
        <v>19</v>
      </c>
      <c r="H343" s="9">
        <v>4</v>
      </c>
      <c r="I343" s="9">
        <v>19</v>
      </c>
      <c r="K343" s="9" t="s">
        <v>380</v>
      </c>
      <c r="L343" s="9">
        <v>0</v>
      </c>
      <c r="M343" s="9">
        <v>15</v>
      </c>
      <c r="R343" s="9">
        <v>444</v>
      </c>
      <c r="Z343" s="9">
        <v>215050001</v>
      </c>
      <c r="AA343" s="9" t="s">
        <v>605</v>
      </c>
      <c r="AB343" s="9">
        <v>19</v>
      </c>
      <c r="AD343" s="9">
        <v>100000</v>
      </c>
      <c r="AF343" s="89">
        <f t="shared" si="105"/>
        <v>26250</v>
      </c>
      <c r="AG343" s="9">
        <f t="shared" si="113"/>
        <v>48300</v>
      </c>
      <c r="AI343" s="11">
        <f t="shared" si="104"/>
        <v>95</v>
      </c>
      <c r="AJ343" s="10">
        <v>95</v>
      </c>
      <c r="AK343" s="11">
        <f t="shared" si="111"/>
        <v>1250</v>
      </c>
      <c r="AL343" s="10">
        <v>1250</v>
      </c>
      <c r="AM343" s="11">
        <f t="shared" si="111"/>
        <v>1250</v>
      </c>
      <c r="AN343" s="10">
        <v>1250</v>
      </c>
      <c r="AO343" s="56">
        <f t="shared" si="106"/>
        <v>2</v>
      </c>
      <c r="AQ343" s="11">
        <f ca="1">IFERROR(OFFSET(ITEM_RES!$A$1,MATCH(AR343,ITEM_RES!$J:$J,0)-1,0),0)</f>
        <v>215070001</v>
      </c>
      <c r="AR343" s="10" t="s">
        <v>480</v>
      </c>
      <c r="AS343" s="11">
        <v>6250</v>
      </c>
      <c r="AV343" s="11">
        <f ca="1">IFERROR(OFFSET(ITEM_RES!$A$1,MATCH(AW343,ITEM_RES!$J:$J,0)-1,0),0)</f>
        <v>212040001</v>
      </c>
      <c r="AW343" s="10" t="s">
        <v>483</v>
      </c>
      <c r="AX343" s="11">
        <v>6250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8"/>
        <v>114020020</v>
      </c>
      <c r="B344" s="13">
        <v>11</v>
      </c>
      <c r="C344" s="12">
        <f t="shared" si="109"/>
        <v>4</v>
      </c>
      <c r="D344" s="13">
        <v>2</v>
      </c>
      <c r="E344" s="13">
        <v>0</v>
      </c>
      <c r="F344" s="12">
        <f t="shared" si="110"/>
        <v>20</v>
      </c>
      <c r="H344" s="9">
        <v>4</v>
      </c>
      <c r="I344" s="9">
        <v>20</v>
      </c>
      <c r="K344" s="9" t="s">
        <v>380</v>
      </c>
      <c r="L344" s="9">
        <v>0</v>
      </c>
      <c r="M344" s="9">
        <v>15</v>
      </c>
      <c r="R344" s="9">
        <v>444</v>
      </c>
      <c r="Z344" s="9">
        <v>215050001</v>
      </c>
      <c r="AA344" s="9" t="s">
        <v>605</v>
      </c>
      <c r="AB344" s="9">
        <v>20</v>
      </c>
      <c r="AD344" s="9">
        <v>120000</v>
      </c>
      <c r="AF344" s="89">
        <f t="shared" si="105"/>
        <v>31500</v>
      </c>
      <c r="AG344" s="9">
        <f t="shared" si="113"/>
        <v>57750</v>
      </c>
      <c r="AI344" s="11">
        <f t="shared" si="104"/>
        <v>100</v>
      </c>
      <c r="AJ344" s="10">
        <v>100</v>
      </c>
      <c r="AK344" s="11">
        <f t="shared" si="111"/>
        <v>1500</v>
      </c>
      <c r="AL344" s="10">
        <v>1500</v>
      </c>
      <c r="AM344" s="11">
        <f t="shared" si="111"/>
        <v>1500</v>
      </c>
      <c r="AN344" s="10">
        <v>1500</v>
      </c>
      <c r="AO344" s="56">
        <f t="shared" si="106"/>
        <v>2</v>
      </c>
      <c r="AQ344" s="11">
        <f ca="1">IFERROR(OFFSET(ITEM_RES!$A$1,MATCH(AR344,ITEM_RES!$J:$J,0)-1,0),0)</f>
        <v>215070001</v>
      </c>
      <c r="AR344" s="10" t="s">
        <v>480</v>
      </c>
      <c r="AS344" s="11">
        <v>7500</v>
      </c>
      <c r="AV344" s="11">
        <f ca="1">IFERROR(OFFSET(ITEM_RES!$A$1,MATCH(AW344,ITEM_RES!$J:$J,0)-1,0),0)</f>
        <v>212040001</v>
      </c>
      <c r="AW344" s="10" t="s">
        <v>483</v>
      </c>
      <c r="AX344" s="11">
        <v>7500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8"/>
        <v>112030001</v>
      </c>
      <c r="B345" s="20">
        <v>11</v>
      </c>
      <c r="C345" s="19">
        <f t="shared" si="109"/>
        <v>2</v>
      </c>
      <c r="D345" s="20">
        <v>3</v>
      </c>
      <c r="E345" s="20">
        <v>0</v>
      </c>
      <c r="F345" s="19">
        <f t="shared" si="110"/>
        <v>1</v>
      </c>
      <c r="G345" s="80"/>
      <c r="H345" s="16">
        <v>2</v>
      </c>
      <c r="I345" s="16">
        <v>1</v>
      </c>
      <c r="J345" s="80"/>
      <c r="K345" s="16" t="s">
        <v>393</v>
      </c>
      <c r="L345" s="16">
        <v>1</v>
      </c>
      <c r="M345" s="16">
        <v>15</v>
      </c>
      <c r="N345" s="16"/>
      <c r="O345" s="17"/>
      <c r="P345" s="17"/>
      <c r="Q345" s="18"/>
      <c r="R345" s="16">
        <v>555</v>
      </c>
      <c r="S345" s="88"/>
      <c r="T345" s="80"/>
      <c r="U345" s="88"/>
      <c r="V345" s="88"/>
      <c r="W345" s="88"/>
      <c r="X345" s="88"/>
      <c r="Y345" s="88"/>
      <c r="Z345" s="16">
        <v>211060001</v>
      </c>
      <c r="AA345" s="16" t="s">
        <v>606</v>
      </c>
      <c r="AB345" s="16">
        <v>1</v>
      </c>
      <c r="AC345" s="80"/>
      <c r="AD345" s="16">
        <v>100</v>
      </c>
      <c r="AE345" s="80"/>
      <c r="AF345" s="91">
        <f t="shared" si="105"/>
        <v>605</v>
      </c>
      <c r="AG345" s="16">
        <f>AF345</f>
        <v>605</v>
      </c>
      <c r="AH345" s="80"/>
      <c r="AI345" s="18">
        <f t="shared" ref="AI345:AI408" si="114">ROUND(AJ345,0)</f>
        <v>5</v>
      </c>
      <c r="AJ345" s="17">
        <v>5</v>
      </c>
      <c r="AK345" s="18">
        <f t="shared" si="111"/>
        <v>5</v>
      </c>
      <c r="AL345" s="17">
        <v>5</v>
      </c>
      <c r="AM345" s="18">
        <f t="shared" si="111"/>
        <v>5</v>
      </c>
      <c r="AN345" s="17">
        <v>5</v>
      </c>
      <c r="AO345" s="57">
        <f t="shared" si="106"/>
        <v>3</v>
      </c>
      <c r="AP345" s="18"/>
      <c r="AQ345" s="18">
        <f ca="1">IFERROR(OFFSET(ITEM_RES!$A$1,MATCH(AR345,ITEM_RES!$J:$J,0)-1,0),0)</f>
        <v>211050001</v>
      </c>
      <c r="AR345" s="17" t="s">
        <v>474</v>
      </c>
      <c r="AS345" s="18">
        <v>25</v>
      </c>
      <c r="AT345" s="17"/>
      <c r="AU345" s="18"/>
      <c r="AV345" s="18">
        <f ca="1">IFERROR(OFFSET(ITEM_RES!$A$1,MATCH(AW345,ITEM_RES!$J:$J,0)-1,0),0)</f>
        <v>211040001</v>
      </c>
      <c r="AW345" s="17" t="s">
        <v>502</v>
      </c>
      <c r="AX345" s="18">
        <v>25</v>
      </c>
      <c r="AY345" s="17"/>
      <c r="AZ345" s="18"/>
      <c r="BA345" s="18">
        <f ca="1">IFERROR(OFFSET(ITEM_RES!$A$1,MATCH(BB345,ITEM_RES!$J:$J,0)-1,0),0)</f>
        <v>213010001</v>
      </c>
      <c r="BB345" s="17" t="s">
        <v>509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8"/>
        <v>112030002</v>
      </c>
      <c r="B346" s="13">
        <v>11</v>
      </c>
      <c r="C346" s="12">
        <f t="shared" si="109"/>
        <v>2</v>
      </c>
      <c r="D346" s="13">
        <v>3</v>
      </c>
      <c r="E346" s="13">
        <v>0</v>
      </c>
      <c r="F346" s="12">
        <f t="shared" si="110"/>
        <v>2</v>
      </c>
      <c r="H346" s="9">
        <v>2</v>
      </c>
      <c r="I346" s="9">
        <v>2</v>
      </c>
      <c r="K346" s="9" t="s">
        <v>393</v>
      </c>
      <c r="L346" s="9">
        <v>1</v>
      </c>
      <c r="M346" s="9">
        <v>15</v>
      </c>
      <c r="R346" s="9">
        <v>555</v>
      </c>
      <c r="Z346" s="9">
        <v>211060001</v>
      </c>
      <c r="AA346" s="9" t="s">
        <v>606</v>
      </c>
      <c r="AB346" s="9">
        <v>2</v>
      </c>
      <c r="AD346" s="9">
        <v>200</v>
      </c>
      <c r="AF346" s="89">
        <f t="shared" ref="AF346:AF409" si="115">AL346*10+AN346+AS346+AX346+500*BC346+500*BH346+500*BM346</f>
        <v>210</v>
      </c>
      <c r="AG346" s="9">
        <f>AF345+AF346</f>
        <v>815</v>
      </c>
      <c r="AI346" s="11">
        <f t="shared" si="114"/>
        <v>10</v>
      </c>
      <c r="AJ346" s="10">
        <v>10</v>
      </c>
      <c r="AK346" s="11">
        <f t="shared" si="111"/>
        <v>10</v>
      </c>
      <c r="AL346" s="10">
        <v>10</v>
      </c>
      <c r="AM346" s="11">
        <f t="shared" si="111"/>
        <v>10</v>
      </c>
      <c r="AN346" s="10">
        <v>10</v>
      </c>
      <c r="AO346" s="56">
        <f t="shared" ref="AO346:AO409" si="116">(AS346&gt;0)*1+(AX346&gt;0)*1+(BC346&gt;0)*1+(BH346&gt;0)*1+(BM346&gt;0)*1</f>
        <v>2</v>
      </c>
      <c r="AQ346" s="11">
        <f ca="1">IFERROR(OFFSET(ITEM_RES!$A$1,MATCH(AR346,ITEM_RES!$J:$J,0)-1,0),0)</f>
        <v>211050001</v>
      </c>
      <c r="AR346" s="10" t="s">
        <v>474</v>
      </c>
      <c r="AS346" s="11">
        <v>50</v>
      </c>
      <c r="AV346" s="11">
        <f ca="1">IFERROR(OFFSET(ITEM_RES!$A$1,MATCH(AW346,ITEM_RES!$J:$J,0)-1,0),0)</f>
        <v>211040001</v>
      </c>
      <c r="AW346" s="10" t="s">
        <v>502</v>
      </c>
      <c r="AX346" s="11">
        <v>50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8"/>
        <v>112030003</v>
      </c>
      <c r="B347" s="13">
        <v>11</v>
      </c>
      <c r="C347" s="12">
        <f t="shared" si="109"/>
        <v>2</v>
      </c>
      <c r="D347" s="13">
        <v>3</v>
      </c>
      <c r="E347" s="13">
        <v>0</v>
      </c>
      <c r="F347" s="12">
        <f t="shared" si="110"/>
        <v>3</v>
      </c>
      <c r="H347" s="9">
        <v>2</v>
      </c>
      <c r="I347" s="9">
        <v>3</v>
      </c>
      <c r="K347" s="9" t="s">
        <v>393</v>
      </c>
      <c r="L347" s="9">
        <v>1</v>
      </c>
      <c r="M347" s="9">
        <v>15</v>
      </c>
      <c r="R347" s="9">
        <v>555</v>
      </c>
      <c r="Z347" s="9">
        <v>211060001</v>
      </c>
      <c r="AA347" s="9" t="s">
        <v>606</v>
      </c>
      <c r="AB347" s="9">
        <v>3</v>
      </c>
      <c r="AD347" s="9">
        <v>600</v>
      </c>
      <c r="AF347" s="89">
        <f t="shared" si="115"/>
        <v>315</v>
      </c>
      <c r="AG347" s="9">
        <f t="shared" ref="AG347:AG364" si="117">AF346+AF347</f>
        <v>525</v>
      </c>
      <c r="AI347" s="11">
        <f t="shared" si="114"/>
        <v>15</v>
      </c>
      <c r="AJ347" s="10">
        <v>15</v>
      </c>
      <c r="AK347" s="11">
        <f t="shared" si="111"/>
        <v>15</v>
      </c>
      <c r="AL347" s="10">
        <v>15</v>
      </c>
      <c r="AM347" s="11">
        <f t="shared" si="111"/>
        <v>15</v>
      </c>
      <c r="AN347" s="10">
        <v>15</v>
      </c>
      <c r="AO347" s="56">
        <f t="shared" si="116"/>
        <v>2</v>
      </c>
      <c r="AQ347" s="11">
        <f ca="1">IFERROR(OFFSET(ITEM_RES!$A$1,MATCH(AR347,ITEM_RES!$J:$J,0)-1,0),0)</f>
        <v>211050001</v>
      </c>
      <c r="AR347" s="10" t="s">
        <v>474</v>
      </c>
      <c r="AS347" s="11">
        <v>75</v>
      </c>
      <c r="AV347" s="11">
        <f ca="1">IFERROR(OFFSET(ITEM_RES!$A$1,MATCH(AW347,ITEM_RES!$J:$J,0)-1,0),0)</f>
        <v>211040001</v>
      </c>
      <c r="AW347" s="10" t="s">
        <v>502</v>
      </c>
      <c r="AX347" s="11">
        <v>75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8"/>
        <v>112030004</v>
      </c>
      <c r="B348" s="13">
        <v>11</v>
      </c>
      <c r="C348" s="12">
        <f t="shared" si="109"/>
        <v>2</v>
      </c>
      <c r="D348" s="13">
        <v>3</v>
      </c>
      <c r="E348" s="13">
        <v>0</v>
      </c>
      <c r="F348" s="12">
        <f t="shared" si="110"/>
        <v>4</v>
      </c>
      <c r="H348" s="9">
        <v>2</v>
      </c>
      <c r="I348" s="9">
        <v>4</v>
      </c>
      <c r="K348" s="9" t="s">
        <v>393</v>
      </c>
      <c r="L348" s="9">
        <v>1</v>
      </c>
      <c r="M348" s="9">
        <v>15</v>
      </c>
      <c r="R348" s="9">
        <v>555</v>
      </c>
      <c r="Z348" s="9">
        <v>211060001</v>
      </c>
      <c r="AA348" s="9" t="s">
        <v>606</v>
      </c>
      <c r="AB348" s="9">
        <v>4</v>
      </c>
      <c r="AD348" s="9">
        <v>1000</v>
      </c>
      <c r="AF348" s="89">
        <f t="shared" si="115"/>
        <v>525</v>
      </c>
      <c r="AG348" s="9">
        <f t="shared" si="117"/>
        <v>840</v>
      </c>
      <c r="AI348" s="11">
        <f t="shared" si="114"/>
        <v>20</v>
      </c>
      <c r="AJ348" s="10">
        <v>20</v>
      </c>
      <c r="AK348" s="11">
        <f t="shared" si="111"/>
        <v>25</v>
      </c>
      <c r="AL348" s="10">
        <v>25</v>
      </c>
      <c r="AM348" s="11">
        <f t="shared" si="111"/>
        <v>25</v>
      </c>
      <c r="AN348" s="10">
        <v>25</v>
      </c>
      <c r="AO348" s="56">
        <f t="shared" si="116"/>
        <v>2</v>
      </c>
      <c r="AQ348" s="11">
        <f ca="1">IFERROR(OFFSET(ITEM_RES!$A$1,MATCH(AR348,ITEM_RES!$J:$J,0)-1,0),0)</f>
        <v>211050001</v>
      </c>
      <c r="AR348" s="10" t="s">
        <v>474</v>
      </c>
      <c r="AS348" s="11">
        <v>125</v>
      </c>
      <c r="AV348" s="11">
        <f ca="1">IFERROR(OFFSET(ITEM_RES!$A$1,MATCH(AW348,ITEM_RES!$J:$J,0)-1,0),0)</f>
        <v>211040001</v>
      </c>
      <c r="AW348" s="10" t="s">
        <v>502</v>
      </c>
      <c r="AX348" s="11">
        <v>125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8"/>
        <v>112030005</v>
      </c>
      <c r="B349" s="13">
        <v>11</v>
      </c>
      <c r="C349" s="12">
        <f t="shared" si="109"/>
        <v>2</v>
      </c>
      <c r="D349" s="13">
        <v>3</v>
      </c>
      <c r="E349" s="13">
        <v>0</v>
      </c>
      <c r="F349" s="12">
        <f t="shared" si="110"/>
        <v>5</v>
      </c>
      <c r="H349" s="9">
        <v>2</v>
      </c>
      <c r="I349" s="9">
        <v>5</v>
      </c>
      <c r="K349" s="9" t="s">
        <v>393</v>
      </c>
      <c r="L349" s="9">
        <v>1</v>
      </c>
      <c r="M349" s="9">
        <v>15</v>
      </c>
      <c r="R349" s="9">
        <v>555</v>
      </c>
      <c r="Z349" s="9">
        <v>211060001</v>
      </c>
      <c r="AA349" s="9" t="s">
        <v>606</v>
      </c>
      <c r="AB349" s="9">
        <v>5</v>
      </c>
      <c r="AD349" s="9">
        <v>1600</v>
      </c>
      <c r="AF349" s="89">
        <f t="shared" si="115"/>
        <v>840</v>
      </c>
      <c r="AG349" s="9">
        <f t="shared" si="117"/>
        <v>1365</v>
      </c>
      <c r="AI349" s="11">
        <f t="shared" si="114"/>
        <v>25</v>
      </c>
      <c r="AJ349" s="10">
        <v>25</v>
      </c>
      <c r="AK349" s="11">
        <f t="shared" si="111"/>
        <v>40</v>
      </c>
      <c r="AL349" s="10">
        <v>40</v>
      </c>
      <c r="AM349" s="11">
        <f t="shared" si="111"/>
        <v>40</v>
      </c>
      <c r="AN349" s="10">
        <v>40</v>
      </c>
      <c r="AO349" s="56">
        <f t="shared" si="116"/>
        <v>2</v>
      </c>
      <c r="AQ349" s="11">
        <f ca="1">IFERROR(OFFSET(ITEM_RES!$A$1,MATCH(AR349,ITEM_RES!$J:$J,0)-1,0),0)</f>
        <v>211050001</v>
      </c>
      <c r="AR349" s="10" t="s">
        <v>474</v>
      </c>
      <c r="AS349" s="11">
        <v>200</v>
      </c>
      <c r="AV349" s="11">
        <f ca="1">IFERROR(OFFSET(ITEM_RES!$A$1,MATCH(AW349,ITEM_RES!$J:$J,0)-1,0),0)</f>
        <v>211040001</v>
      </c>
      <c r="AW349" s="10" t="s">
        <v>502</v>
      </c>
      <c r="AX349" s="11">
        <v>200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8"/>
        <v>112030006</v>
      </c>
      <c r="B350" s="13">
        <v>11</v>
      </c>
      <c r="C350" s="12">
        <f t="shared" si="109"/>
        <v>2</v>
      </c>
      <c r="D350" s="13">
        <v>3</v>
      </c>
      <c r="E350" s="13">
        <v>0</v>
      </c>
      <c r="F350" s="12">
        <f t="shared" si="110"/>
        <v>6</v>
      </c>
      <c r="H350" s="9">
        <v>2</v>
      </c>
      <c r="I350" s="9">
        <v>6</v>
      </c>
      <c r="K350" s="9" t="s">
        <v>393</v>
      </c>
      <c r="L350" s="9">
        <v>1</v>
      </c>
      <c r="M350" s="9">
        <v>15</v>
      </c>
      <c r="R350" s="9">
        <v>555</v>
      </c>
      <c r="Z350" s="9">
        <v>211060001</v>
      </c>
      <c r="AA350" s="9" t="s">
        <v>606</v>
      </c>
      <c r="AB350" s="9">
        <v>6</v>
      </c>
      <c r="AD350" s="9">
        <v>2000</v>
      </c>
      <c r="AF350" s="89">
        <f t="shared" si="115"/>
        <v>1050</v>
      </c>
      <c r="AG350" s="9">
        <f t="shared" si="117"/>
        <v>1890</v>
      </c>
      <c r="AI350" s="11">
        <f t="shared" si="114"/>
        <v>30</v>
      </c>
      <c r="AJ350" s="10">
        <v>30</v>
      </c>
      <c r="AK350" s="11">
        <f t="shared" si="111"/>
        <v>50</v>
      </c>
      <c r="AL350" s="10">
        <v>50</v>
      </c>
      <c r="AM350" s="11">
        <f t="shared" si="111"/>
        <v>50</v>
      </c>
      <c r="AN350" s="10">
        <v>50</v>
      </c>
      <c r="AO350" s="56">
        <f t="shared" si="116"/>
        <v>2</v>
      </c>
      <c r="AQ350" s="11">
        <f ca="1">IFERROR(OFFSET(ITEM_RES!$A$1,MATCH(AR350,ITEM_RES!$J:$J,0)-1,0),0)</f>
        <v>211050001</v>
      </c>
      <c r="AR350" s="10" t="s">
        <v>474</v>
      </c>
      <c r="AS350" s="11">
        <v>250</v>
      </c>
      <c r="AV350" s="11">
        <f ca="1">IFERROR(OFFSET(ITEM_RES!$A$1,MATCH(AW350,ITEM_RES!$J:$J,0)-1,0),0)</f>
        <v>211040001</v>
      </c>
      <c r="AW350" s="10" t="s">
        <v>502</v>
      </c>
      <c r="AX350" s="11">
        <v>250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8"/>
        <v>112030007</v>
      </c>
      <c r="B351" s="13">
        <v>11</v>
      </c>
      <c r="C351" s="12">
        <f t="shared" si="109"/>
        <v>2</v>
      </c>
      <c r="D351" s="13">
        <v>3</v>
      </c>
      <c r="E351" s="13">
        <v>0</v>
      </c>
      <c r="F351" s="12">
        <f t="shared" si="110"/>
        <v>7</v>
      </c>
      <c r="H351" s="9">
        <v>2</v>
      </c>
      <c r="I351" s="9">
        <v>7</v>
      </c>
      <c r="K351" s="9" t="s">
        <v>393</v>
      </c>
      <c r="L351" s="9">
        <v>1</v>
      </c>
      <c r="M351" s="9">
        <v>15</v>
      </c>
      <c r="R351" s="9">
        <v>555</v>
      </c>
      <c r="Z351" s="9">
        <v>211060001</v>
      </c>
      <c r="AA351" s="9" t="s">
        <v>606</v>
      </c>
      <c r="AB351" s="9">
        <v>7</v>
      </c>
      <c r="AD351" s="9">
        <v>4000</v>
      </c>
      <c r="AF351" s="89">
        <f t="shared" si="115"/>
        <v>2100</v>
      </c>
      <c r="AG351" s="9">
        <f t="shared" si="117"/>
        <v>3150</v>
      </c>
      <c r="AI351" s="11">
        <f t="shared" si="114"/>
        <v>35</v>
      </c>
      <c r="AJ351" s="10">
        <v>35</v>
      </c>
      <c r="AK351" s="11">
        <f t="shared" si="111"/>
        <v>100</v>
      </c>
      <c r="AL351" s="10">
        <v>100</v>
      </c>
      <c r="AM351" s="11">
        <f t="shared" si="111"/>
        <v>100</v>
      </c>
      <c r="AN351" s="10">
        <v>100</v>
      </c>
      <c r="AO351" s="56">
        <f t="shared" si="116"/>
        <v>2</v>
      </c>
      <c r="AQ351" s="11">
        <f ca="1">IFERROR(OFFSET(ITEM_RES!$A$1,MATCH(AR351,ITEM_RES!$J:$J,0)-1,0),0)</f>
        <v>211050001</v>
      </c>
      <c r="AR351" s="10" t="s">
        <v>474</v>
      </c>
      <c r="AS351" s="11">
        <v>500</v>
      </c>
      <c r="AV351" s="11">
        <f ca="1">IFERROR(OFFSET(ITEM_RES!$A$1,MATCH(AW351,ITEM_RES!$J:$J,0)-1,0),0)</f>
        <v>211040001</v>
      </c>
      <c r="AW351" s="10" t="s">
        <v>502</v>
      </c>
      <c r="AX351" s="11">
        <v>500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0</v>
      </c>
      <c r="BK351" s="11">
        <f ca="1">IFERROR(OFFSET(ITEM_RES!$A$1,MATCH(BL351,ITEM_RES!$J:$J,0)-1,0),0)</f>
        <v>0</v>
      </c>
    </row>
    <row r="352" spans="1:66" x14ac:dyDescent="0.3">
      <c r="A352" s="14">
        <f t="shared" si="108"/>
        <v>112030008</v>
      </c>
      <c r="B352" s="13">
        <v>11</v>
      </c>
      <c r="C352" s="12">
        <f t="shared" si="109"/>
        <v>2</v>
      </c>
      <c r="D352" s="13">
        <v>3</v>
      </c>
      <c r="E352" s="13">
        <v>0</v>
      </c>
      <c r="F352" s="12">
        <f t="shared" si="110"/>
        <v>8</v>
      </c>
      <c r="H352" s="9">
        <v>2</v>
      </c>
      <c r="I352" s="9">
        <v>8</v>
      </c>
      <c r="K352" s="9" t="s">
        <v>393</v>
      </c>
      <c r="L352" s="9">
        <v>1</v>
      </c>
      <c r="M352" s="9">
        <v>15</v>
      </c>
      <c r="R352" s="9">
        <v>555</v>
      </c>
      <c r="Z352" s="9">
        <v>211060001</v>
      </c>
      <c r="AA352" s="9" t="s">
        <v>606</v>
      </c>
      <c r="AB352" s="9">
        <v>8</v>
      </c>
      <c r="AD352" s="9">
        <v>4000</v>
      </c>
      <c r="AF352" s="89">
        <f t="shared" si="115"/>
        <v>2100</v>
      </c>
      <c r="AG352" s="9">
        <f t="shared" si="117"/>
        <v>4200</v>
      </c>
      <c r="AI352" s="11">
        <f t="shared" si="114"/>
        <v>40</v>
      </c>
      <c r="AJ352" s="10">
        <v>40</v>
      </c>
      <c r="AK352" s="11">
        <f t="shared" si="111"/>
        <v>100</v>
      </c>
      <c r="AL352" s="10">
        <v>100</v>
      </c>
      <c r="AM352" s="11">
        <f t="shared" si="111"/>
        <v>100</v>
      </c>
      <c r="AN352" s="10">
        <v>100</v>
      </c>
      <c r="AO352" s="56">
        <f t="shared" si="116"/>
        <v>2</v>
      </c>
      <c r="AQ352" s="11">
        <f ca="1">IFERROR(OFFSET(ITEM_RES!$A$1,MATCH(AR352,ITEM_RES!$J:$J,0)-1,0),0)</f>
        <v>211050001</v>
      </c>
      <c r="AR352" s="10" t="s">
        <v>474</v>
      </c>
      <c r="AS352" s="11">
        <v>500</v>
      </c>
      <c r="AV352" s="11">
        <f ca="1">IFERROR(OFFSET(ITEM_RES!$A$1,MATCH(AW352,ITEM_RES!$J:$J,0)-1,0),0)</f>
        <v>211040001</v>
      </c>
      <c r="AW352" s="10" t="s">
        <v>502</v>
      </c>
      <c r="AX352" s="11">
        <v>500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8"/>
        <v>112030009</v>
      </c>
      <c r="B353" s="13">
        <v>11</v>
      </c>
      <c r="C353" s="12">
        <f t="shared" si="109"/>
        <v>2</v>
      </c>
      <c r="D353" s="13">
        <v>3</v>
      </c>
      <c r="E353" s="13">
        <v>0</v>
      </c>
      <c r="F353" s="12">
        <f t="shared" si="110"/>
        <v>9</v>
      </c>
      <c r="H353" s="9">
        <v>2</v>
      </c>
      <c r="I353" s="9">
        <v>9</v>
      </c>
      <c r="K353" s="9" t="s">
        <v>393</v>
      </c>
      <c r="L353" s="9">
        <v>1</v>
      </c>
      <c r="M353" s="9">
        <v>15</v>
      </c>
      <c r="R353" s="9">
        <v>555</v>
      </c>
      <c r="Z353" s="9">
        <v>211060001</v>
      </c>
      <c r="AA353" s="9" t="s">
        <v>606</v>
      </c>
      <c r="AB353" s="9">
        <v>9</v>
      </c>
      <c r="AD353" s="9">
        <v>6000</v>
      </c>
      <c r="AF353" s="89">
        <f t="shared" si="115"/>
        <v>3150</v>
      </c>
      <c r="AG353" s="9">
        <f t="shared" si="117"/>
        <v>5250</v>
      </c>
      <c r="AI353" s="11">
        <f t="shared" si="114"/>
        <v>45</v>
      </c>
      <c r="AJ353" s="10">
        <v>45</v>
      </c>
      <c r="AK353" s="11">
        <f t="shared" si="111"/>
        <v>150</v>
      </c>
      <c r="AL353" s="10">
        <v>150</v>
      </c>
      <c r="AM353" s="11">
        <f t="shared" si="111"/>
        <v>150</v>
      </c>
      <c r="AN353" s="10">
        <v>150</v>
      </c>
      <c r="AO353" s="56">
        <f t="shared" si="116"/>
        <v>2</v>
      </c>
      <c r="AQ353" s="11">
        <f ca="1">IFERROR(OFFSET(ITEM_RES!$A$1,MATCH(AR353,ITEM_RES!$J:$J,0)-1,0),0)</f>
        <v>211050001</v>
      </c>
      <c r="AR353" s="10" t="s">
        <v>474</v>
      </c>
      <c r="AS353" s="11">
        <v>750</v>
      </c>
      <c r="AV353" s="11">
        <f ca="1">IFERROR(OFFSET(ITEM_RES!$A$1,MATCH(AW353,ITEM_RES!$J:$J,0)-1,0),0)</f>
        <v>211040001</v>
      </c>
      <c r="AW353" s="10" t="s">
        <v>502</v>
      </c>
      <c r="AX353" s="11">
        <v>750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8"/>
        <v>112030010</v>
      </c>
      <c r="B354" s="13">
        <v>11</v>
      </c>
      <c r="C354" s="12">
        <f t="shared" si="109"/>
        <v>2</v>
      </c>
      <c r="D354" s="13">
        <v>3</v>
      </c>
      <c r="E354" s="13">
        <v>0</v>
      </c>
      <c r="F354" s="12">
        <f t="shared" si="110"/>
        <v>10</v>
      </c>
      <c r="H354" s="9">
        <v>2</v>
      </c>
      <c r="I354" s="9">
        <v>10</v>
      </c>
      <c r="K354" s="9" t="s">
        <v>393</v>
      </c>
      <c r="L354" s="9">
        <v>1</v>
      </c>
      <c r="M354" s="9">
        <v>15</v>
      </c>
      <c r="R354" s="9">
        <v>555</v>
      </c>
      <c r="Z354" s="9">
        <v>211060001</v>
      </c>
      <c r="AA354" s="9" t="s">
        <v>606</v>
      </c>
      <c r="AB354" s="9">
        <v>10</v>
      </c>
      <c r="AD354" s="9">
        <v>8000</v>
      </c>
      <c r="AF354" s="89">
        <f t="shared" si="115"/>
        <v>4200</v>
      </c>
      <c r="AG354" s="9">
        <f t="shared" si="117"/>
        <v>7350</v>
      </c>
      <c r="AI354" s="11">
        <f t="shared" si="114"/>
        <v>50</v>
      </c>
      <c r="AJ354" s="10">
        <v>50</v>
      </c>
      <c r="AK354" s="11">
        <f t="shared" si="111"/>
        <v>200</v>
      </c>
      <c r="AL354" s="10">
        <v>200</v>
      </c>
      <c r="AM354" s="11">
        <f t="shared" si="111"/>
        <v>200</v>
      </c>
      <c r="AN354" s="10">
        <v>200</v>
      </c>
      <c r="AO354" s="56">
        <f t="shared" si="116"/>
        <v>2</v>
      </c>
      <c r="AQ354" s="11">
        <f ca="1">IFERROR(OFFSET(ITEM_RES!$A$1,MATCH(AR354,ITEM_RES!$J:$J,0)-1,0),0)</f>
        <v>211050001</v>
      </c>
      <c r="AR354" s="10" t="s">
        <v>474</v>
      </c>
      <c r="AS354" s="11">
        <v>1000</v>
      </c>
      <c r="AV354" s="11">
        <f ca="1">IFERROR(OFFSET(ITEM_RES!$A$1,MATCH(AW354,ITEM_RES!$J:$J,0)-1,0),0)</f>
        <v>211040001</v>
      </c>
      <c r="AW354" s="10" t="s">
        <v>502</v>
      </c>
      <c r="AX354" s="11">
        <v>1000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8"/>
        <v>112030011</v>
      </c>
      <c r="B355" s="13">
        <v>11</v>
      </c>
      <c r="C355" s="12">
        <f t="shared" si="109"/>
        <v>2</v>
      </c>
      <c r="D355" s="13">
        <v>3</v>
      </c>
      <c r="E355" s="13">
        <v>0</v>
      </c>
      <c r="F355" s="12">
        <f t="shared" si="110"/>
        <v>11</v>
      </c>
      <c r="H355" s="9">
        <v>2</v>
      </c>
      <c r="I355" s="9">
        <v>11</v>
      </c>
      <c r="K355" s="9" t="s">
        <v>393</v>
      </c>
      <c r="L355" s="9">
        <v>1</v>
      </c>
      <c r="M355" s="9">
        <v>15</v>
      </c>
      <c r="R355" s="9">
        <v>555</v>
      </c>
      <c r="Z355" s="9">
        <v>211060001</v>
      </c>
      <c r="AA355" s="9" t="s">
        <v>606</v>
      </c>
      <c r="AB355" s="9">
        <v>11</v>
      </c>
      <c r="AD355" s="9">
        <v>10000</v>
      </c>
      <c r="AF355" s="89">
        <f t="shared" si="115"/>
        <v>5250</v>
      </c>
      <c r="AG355" s="9">
        <f t="shared" si="117"/>
        <v>9450</v>
      </c>
      <c r="AI355" s="11">
        <f t="shared" si="114"/>
        <v>55</v>
      </c>
      <c r="AJ355" s="10">
        <v>55</v>
      </c>
      <c r="AK355" s="11">
        <f t="shared" si="111"/>
        <v>250</v>
      </c>
      <c r="AL355" s="10">
        <v>250</v>
      </c>
      <c r="AM355" s="11">
        <f t="shared" si="111"/>
        <v>250</v>
      </c>
      <c r="AN355" s="10">
        <v>250</v>
      </c>
      <c r="AO355" s="56">
        <f t="shared" si="116"/>
        <v>2</v>
      </c>
      <c r="AQ355" s="11">
        <f ca="1">IFERROR(OFFSET(ITEM_RES!$A$1,MATCH(AR355,ITEM_RES!$J:$J,0)-1,0),0)</f>
        <v>211050001</v>
      </c>
      <c r="AR355" s="10" t="s">
        <v>474</v>
      </c>
      <c r="AS355" s="11">
        <v>1250</v>
      </c>
      <c r="AV355" s="11">
        <f ca="1">IFERROR(OFFSET(ITEM_RES!$A$1,MATCH(AW355,ITEM_RES!$J:$J,0)-1,0),0)</f>
        <v>211040001</v>
      </c>
      <c r="AW355" s="10" t="s">
        <v>502</v>
      </c>
      <c r="AX355" s="11">
        <v>1250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8"/>
        <v>112030012</v>
      </c>
      <c r="B356" s="13">
        <v>11</v>
      </c>
      <c r="C356" s="12">
        <f t="shared" si="109"/>
        <v>2</v>
      </c>
      <c r="D356" s="13">
        <v>3</v>
      </c>
      <c r="E356" s="13">
        <v>0</v>
      </c>
      <c r="F356" s="12">
        <f t="shared" si="110"/>
        <v>12</v>
      </c>
      <c r="H356" s="9">
        <v>2</v>
      </c>
      <c r="I356" s="9">
        <v>12</v>
      </c>
      <c r="K356" s="9" t="s">
        <v>393</v>
      </c>
      <c r="L356" s="9">
        <v>1</v>
      </c>
      <c r="M356" s="9">
        <v>15</v>
      </c>
      <c r="R356" s="9">
        <v>555</v>
      </c>
      <c r="Z356" s="9">
        <v>211060001</v>
      </c>
      <c r="AA356" s="9" t="s">
        <v>606</v>
      </c>
      <c r="AB356" s="9">
        <v>12</v>
      </c>
      <c r="AD356" s="9">
        <v>12000</v>
      </c>
      <c r="AF356" s="89">
        <f t="shared" si="115"/>
        <v>6300</v>
      </c>
      <c r="AG356" s="9">
        <f t="shared" si="117"/>
        <v>11550</v>
      </c>
      <c r="AI356" s="11">
        <f t="shared" si="114"/>
        <v>60</v>
      </c>
      <c r="AJ356" s="10">
        <v>60</v>
      </c>
      <c r="AK356" s="11">
        <f t="shared" si="111"/>
        <v>300</v>
      </c>
      <c r="AL356" s="10">
        <v>300</v>
      </c>
      <c r="AM356" s="11">
        <f t="shared" si="111"/>
        <v>300</v>
      </c>
      <c r="AN356" s="10">
        <v>300</v>
      </c>
      <c r="AO356" s="56">
        <f t="shared" si="116"/>
        <v>2</v>
      </c>
      <c r="AQ356" s="11">
        <f ca="1">IFERROR(OFFSET(ITEM_RES!$A$1,MATCH(AR356,ITEM_RES!$J:$J,0)-1,0),0)</f>
        <v>211050001</v>
      </c>
      <c r="AR356" s="10" t="s">
        <v>474</v>
      </c>
      <c r="AS356" s="11">
        <v>1500</v>
      </c>
      <c r="AV356" s="11">
        <f ca="1">IFERROR(OFFSET(ITEM_RES!$A$1,MATCH(AW356,ITEM_RES!$J:$J,0)-1,0),0)</f>
        <v>211040001</v>
      </c>
      <c r="AW356" s="10" t="s">
        <v>502</v>
      </c>
      <c r="AX356" s="11">
        <v>1500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8"/>
        <v>112030013</v>
      </c>
      <c r="B357" s="13">
        <v>11</v>
      </c>
      <c r="C357" s="12">
        <f t="shared" si="109"/>
        <v>2</v>
      </c>
      <c r="D357" s="13">
        <v>3</v>
      </c>
      <c r="E357" s="13">
        <v>0</v>
      </c>
      <c r="F357" s="12">
        <f t="shared" si="110"/>
        <v>13</v>
      </c>
      <c r="H357" s="9">
        <v>2</v>
      </c>
      <c r="I357" s="9">
        <v>13</v>
      </c>
      <c r="K357" s="9" t="s">
        <v>393</v>
      </c>
      <c r="L357" s="9">
        <v>1</v>
      </c>
      <c r="M357" s="9">
        <v>15</v>
      </c>
      <c r="R357" s="9">
        <v>555</v>
      </c>
      <c r="Z357" s="9">
        <v>211060001</v>
      </c>
      <c r="AA357" s="9" t="s">
        <v>606</v>
      </c>
      <c r="AB357" s="9">
        <v>13</v>
      </c>
      <c r="AD357" s="9">
        <v>14000</v>
      </c>
      <c r="AF357" s="89">
        <f t="shared" si="115"/>
        <v>7350</v>
      </c>
      <c r="AG357" s="9">
        <f t="shared" si="117"/>
        <v>13650</v>
      </c>
      <c r="AI357" s="11">
        <f t="shared" si="114"/>
        <v>65</v>
      </c>
      <c r="AJ357" s="10">
        <v>65</v>
      </c>
      <c r="AK357" s="11">
        <f t="shared" si="111"/>
        <v>350</v>
      </c>
      <c r="AL357" s="10">
        <v>350</v>
      </c>
      <c r="AM357" s="11">
        <f t="shared" si="111"/>
        <v>350</v>
      </c>
      <c r="AN357" s="10">
        <v>350</v>
      </c>
      <c r="AO357" s="56">
        <f t="shared" si="116"/>
        <v>2</v>
      </c>
      <c r="AQ357" s="11">
        <f ca="1">IFERROR(OFFSET(ITEM_RES!$A$1,MATCH(AR357,ITEM_RES!$J:$J,0)-1,0),0)</f>
        <v>211050001</v>
      </c>
      <c r="AR357" s="10" t="s">
        <v>474</v>
      </c>
      <c r="AS357" s="11">
        <v>1750</v>
      </c>
      <c r="AV357" s="11">
        <f ca="1">IFERROR(OFFSET(ITEM_RES!$A$1,MATCH(AW357,ITEM_RES!$J:$J,0)-1,0),0)</f>
        <v>211040001</v>
      </c>
      <c r="AW357" s="10" t="s">
        <v>502</v>
      </c>
      <c r="AX357" s="11">
        <v>1750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8"/>
        <v>112030014</v>
      </c>
      <c r="B358" s="13">
        <v>11</v>
      </c>
      <c r="C358" s="12">
        <f t="shared" si="109"/>
        <v>2</v>
      </c>
      <c r="D358" s="13">
        <v>3</v>
      </c>
      <c r="E358" s="13">
        <v>0</v>
      </c>
      <c r="F358" s="12">
        <f t="shared" si="110"/>
        <v>14</v>
      </c>
      <c r="H358" s="9">
        <v>2</v>
      </c>
      <c r="I358" s="9">
        <v>14</v>
      </c>
      <c r="K358" s="9" t="s">
        <v>393</v>
      </c>
      <c r="L358" s="9">
        <v>1</v>
      </c>
      <c r="M358" s="9">
        <v>15</v>
      </c>
      <c r="R358" s="9">
        <v>555</v>
      </c>
      <c r="Z358" s="9">
        <v>211060001</v>
      </c>
      <c r="AA358" s="9" t="s">
        <v>606</v>
      </c>
      <c r="AB358" s="9">
        <v>14</v>
      </c>
      <c r="AD358" s="9">
        <v>18000</v>
      </c>
      <c r="AF358" s="89">
        <f t="shared" si="115"/>
        <v>9450</v>
      </c>
      <c r="AG358" s="9">
        <f t="shared" si="117"/>
        <v>16800</v>
      </c>
      <c r="AI358" s="11">
        <f t="shared" si="114"/>
        <v>70</v>
      </c>
      <c r="AJ358" s="10">
        <v>70</v>
      </c>
      <c r="AK358" s="11">
        <f t="shared" si="111"/>
        <v>450</v>
      </c>
      <c r="AL358" s="10">
        <v>450</v>
      </c>
      <c r="AM358" s="11">
        <f t="shared" si="111"/>
        <v>450</v>
      </c>
      <c r="AN358" s="10">
        <v>450</v>
      </c>
      <c r="AO358" s="56">
        <f t="shared" si="116"/>
        <v>2</v>
      </c>
      <c r="AQ358" s="11">
        <f ca="1">IFERROR(OFFSET(ITEM_RES!$A$1,MATCH(AR358,ITEM_RES!$J:$J,0)-1,0),0)</f>
        <v>211050001</v>
      </c>
      <c r="AR358" s="10" t="s">
        <v>474</v>
      </c>
      <c r="AS358" s="11">
        <v>2250</v>
      </c>
      <c r="AV358" s="11">
        <f ca="1">IFERROR(OFFSET(ITEM_RES!$A$1,MATCH(AW358,ITEM_RES!$J:$J,0)-1,0),0)</f>
        <v>211040001</v>
      </c>
      <c r="AW358" s="10" t="s">
        <v>502</v>
      </c>
      <c r="AX358" s="11">
        <v>2250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8"/>
        <v>112030015</v>
      </c>
      <c r="B359" s="13">
        <v>11</v>
      </c>
      <c r="C359" s="12">
        <f t="shared" si="109"/>
        <v>2</v>
      </c>
      <c r="D359" s="13">
        <v>3</v>
      </c>
      <c r="E359" s="13">
        <v>0</v>
      </c>
      <c r="F359" s="12">
        <f t="shared" si="110"/>
        <v>15</v>
      </c>
      <c r="H359" s="9">
        <v>2</v>
      </c>
      <c r="I359" s="9">
        <v>15</v>
      </c>
      <c r="K359" s="9" t="s">
        <v>393</v>
      </c>
      <c r="L359" s="9">
        <v>1</v>
      </c>
      <c r="M359" s="9">
        <v>15</v>
      </c>
      <c r="R359" s="9">
        <v>555</v>
      </c>
      <c r="Z359" s="9">
        <v>211060001</v>
      </c>
      <c r="AA359" s="9" t="s">
        <v>606</v>
      </c>
      <c r="AB359" s="9">
        <v>15</v>
      </c>
      <c r="AD359" s="9">
        <v>22000</v>
      </c>
      <c r="AF359" s="89">
        <f t="shared" si="115"/>
        <v>11550</v>
      </c>
      <c r="AG359" s="9">
        <f t="shared" si="117"/>
        <v>21000</v>
      </c>
      <c r="AI359" s="11">
        <f t="shared" si="114"/>
        <v>75</v>
      </c>
      <c r="AJ359" s="10">
        <v>75</v>
      </c>
      <c r="AK359" s="11">
        <f t="shared" si="111"/>
        <v>550</v>
      </c>
      <c r="AL359" s="10">
        <v>550</v>
      </c>
      <c r="AM359" s="11">
        <f t="shared" si="111"/>
        <v>550</v>
      </c>
      <c r="AN359" s="10">
        <v>550</v>
      </c>
      <c r="AO359" s="56">
        <f t="shared" si="116"/>
        <v>2</v>
      </c>
      <c r="AQ359" s="11">
        <f ca="1">IFERROR(OFFSET(ITEM_RES!$A$1,MATCH(AR359,ITEM_RES!$J:$J,0)-1,0),0)</f>
        <v>215070001</v>
      </c>
      <c r="AR359" s="10" t="s">
        <v>492</v>
      </c>
      <c r="AS359" s="11">
        <v>2750</v>
      </c>
      <c r="AV359" s="11">
        <f ca="1">IFERROR(OFFSET(ITEM_RES!$A$1,MATCH(AW359,ITEM_RES!$J:$J,0)-1,0),0)</f>
        <v>211040001</v>
      </c>
      <c r="AW359" s="10" t="s">
        <v>502</v>
      </c>
      <c r="AX359" s="11">
        <v>2750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8"/>
        <v>112030016</v>
      </c>
      <c r="B360" s="13">
        <v>11</v>
      </c>
      <c r="C360" s="12">
        <f t="shared" si="109"/>
        <v>2</v>
      </c>
      <c r="D360" s="13">
        <v>3</v>
      </c>
      <c r="E360" s="13">
        <v>0</v>
      </c>
      <c r="F360" s="12">
        <f t="shared" si="110"/>
        <v>16</v>
      </c>
      <c r="H360" s="9">
        <v>2</v>
      </c>
      <c r="I360" s="9">
        <v>16</v>
      </c>
      <c r="K360" s="9" t="s">
        <v>393</v>
      </c>
      <c r="L360" s="9">
        <v>0</v>
      </c>
      <c r="M360" s="9">
        <v>15</v>
      </c>
      <c r="R360" s="9">
        <v>555</v>
      </c>
      <c r="Z360" s="9">
        <v>211060001</v>
      </c>
      <c r="AA360" s="9" t="s">
        <v>606</v>
      </c>
      <c r="AB360" s="9">
        <v>16</v>
      </c>
      <c r="AD360" s="9">
        <v>28000</v>
      </c>
      <c r="AF360" s="89">
        <f t="shared" si="115"/>
        <v>14700</v>
      </c>
      <c r="AG360" s="9">
        <f t="shared" si="117"/>
        <v>26250</v>
      </c>
      <c r="AI360" s="11">
        <f t="shared" si="114"/>
        <v>80</v>
      </c>
      <c r="AJ360" s="10">
        <v>80</v>
      </c>
      <c r="AK360" s="11">
        <f t="shared" si="111"/>
        <v>700</v>
      </c>
      <c r="AL360" s="10">
        <v>700</v>
      </c>
      <c r="AM360" s="11">
        <f t="shared" si="111"/>
        <v>700</v>
      </c>
      <c r="AN360" s="10">
        <v>700</v>
      </c>
      <c r="AO360" s="56">
        <f t="shared" si="116"/>
        <v>2</v>
      </c>
      <c r="AQ360" s="11">
        <f ca="1">IFERROR(OFFSET(ITEM_RES!$A$1,MATCH(AR360,ITEM_RES!$J:$J,0)-1,0),0)</f>
        <v>215070001</v>
      </c>
      <c r="AR360" s="10" t="s">
        <v>492</v>
      </c>
      <c r="AS360" s="11">
        <v>3500</v>
      </c>
      <c r="AV360" s="11">
        <f ca="1">IFERROR(OFFSET(ITEM_RES!$A$1,MATCH(AW360,ITEM_RES!$J:$J,0)-1,0),0)</f>
        <v>211040001</v>
      </c>
      <c r="AW360" s="10" t="s">
        <v>502</v>
      </c>
      <c r="AX360" s="11">
        <v>3500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8"/>
        <v>112030017</v>
      </c>
      <c r="B361" s="13">
        <v>11</v>
      </c>
      <c r="C361" s="12">
        <f t="shared" si="109"/>
        <v>2</v>
      </c>
      <c r="D361" s="13">
        <v>3</v>
      </c>
      <c r="E361" s="13">
        <v>0</v>
      </c>
      <c r="F361" s="12">
        <f t="shared" si="110"/>
        <v>17</v>
      </c>
      <c r="H361" s="9">
        <v>2</v>
      </c>
      <c r="I361" s="9">
        <v>17</v>
      </c>
      <c r="K361" s="9" t="s">
        <v>393</v>
      </c>
      <c r="L361" s="9">
        <v>0</v>
      </c>
      <c r="M361" s="9">
        <v>15</v>
      </c>
      <c r="R361" s="9">
        <v>555</v>
      </c>
      <c r="Z361" s="9">
        <v>211060001</v>
      </c>
      <c r="AA361" s="9" t="s">
        <v>606</v>
      </c>
      <c r="AB361" s="9">
        <v>17</v>
      </c>
      <c r="AD361" s="9">
        <v>34000</v>
      </c>
      <c r="AF361" s="89">
        <f t="shared" si="115"/>
        <v>17850</v>
      </c>
      <c r="AG361" s="9">
        <f t="shared" si="117"/>
        <v>32550</v>
      </c>
      <c r="AI361" s="11">
        <f t="shared" si="114"/>
        <v>85</v>
      </c>
      <c r="AJ361" s="10">
        <v>85</v>
      </c>
      <c r="AK361" s="11">
        <f t="shared" si="111"/>
        <v>850</v>
      </c>
      <c r="AL361" s="10">
        <v>850</v>
      </c>
      <c r="AM361" s="11">
        <f t="shared" si="111"/>
        <v>850</v>
      </c>
      <c r="AN361" s="10">
        <v>850</v>
      </c>
      <c r="AO361" s="56">
        <f t="shared" si="116"/>
        <v>2</v>
      </c>
      <c r="AQ361" s="11">
        <f ca="1">IFERROR(OFFSET(ITEM_RES!$A$1,MATCH(AR361,ITEM_RES!$J:$J,0)-1,0),0)</f>
        <v>215070001</v>
      </c>
      <c r="AR361" s="10" t="s">
        <v>492</v>
      </c>
      <c r="AS361" s="11">
        <v>4250</v>
      </c>
      <c r="AV361" s="11">
        <f ca="1">IFERROR(OFFSET(ITEM_RES!$A$1,MATCH(AW361,ITEM_RES!$J:$J,0)-1,0),0)</f>
        <v>211040001</v>
      </c>
      <c r="AW361" s="10" t="s">
        <v>502</v>
      </c>
      <c r="AX361" s="11">
        <v>4250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8"/>
        <v>112030018</v>
      </c>
      <c r="B362" s="13">
        <v>11</v>
      </c>
      <c r="C362" s="12">
        <f t="shared" si="109"/>
        <v>2</v>
      </c>
      <c r="D362" s="13">
        <v>3</v>
      </c>
      <c r="E362" s="13">
        <v>0</v>
      </c>
      <c r="F362" s="12">
        <f t="shared" si="110"/>
        <v>18</v>
      </c>
      <c r="H362" s="9">
        <v>2</v>
      </c>
      <c r="I362" s="9">
        <v>18</v>
      </c>
      <c r="K362" s="9" t="s">
        <v>393</v>
      </c>
      <c r="L362" s="9">
        <v>0</v>
      </c>
      <c r="M362" s="9">
        <v>15</v>
      </c>
      <c r="R362" s="9">
        <v>555</v>
      </c>
      <c r="Z362" s="9">
        <v>211060001</v>
      </c>
      <c r="AA362" s="9" t="s">
        <v>606</v>
      </c>
      <c r="AB362" s="9">
        <v>18</v>
      </c>
      <c r="AD362" s="9">
        <v>42000</v>
      </c>
      <c r="AF362" s="89">
        <f t="shared" si="115"/>
        <v>22050</v>
      </c>
      <c r="AG362" s="9">
        <f t="shared" si="117"/>
        <v>39900</v>
      </c>
      <c r="AI362" s="11">
        <f t="shared" si="114"/>
        <v>90</v>
      </c>
      <c r="AJ362" s="10">
        <v>90</v>
      </c>
      <c r="AK362" s="11">
        <f t="shared" si="111"/>
        <v>1050</v>
      </c>
      <c r="AL362" s="10">
        <v>1050</v>
      </c>
      <c r="AM362" s="11">
        <f t="shared" si="111"/>
        <v>1050</v>
      </c>
      <c r="AN362" s="10">
        <v>1050</v>
      </c>
      <c r="AO362" s="56">
        <f t="shared" si="116"/>
        <v>2</v>
      </c>
      <c r="AQ362" s="11">
        <f ca="1">IFERROR(OFFSET(ITEM_RES!$A$1,MATCH(AR362,ITEM_RES!$J:$J,0)-1,0),0)</f>
        <v>215070001</v>
      </c>
      <c r="AR362" s="10" t="s">
        <v>492</v>
      </c>
      <c r="AS362" s="11">
        <v>5250</v>
      </c>
      <c r="AV362" s="11">
        <f ca="1">IFERROR(OFFSET(ITEM_RES!$A$1,MATCH(AW362,ITEM_RES!$J:$J,0)-1,0),0)</f>
        <v>211040001</v>
      </c>
      <c r="AW362" s="10" t="s">
        <v>502</v>
      </c>
      <c r="AX362" s="11">
        <v>5250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8"/>
        <v>112030019</v>
      </c>
      <c r="B363" s="13">
        <v>11</v>
      </c>
      <c r="C363" s="12">
        <f t="shared" si="109"/>
        <v>2</v>
      </c>
      <c r="D363" s="13">
        <v>3</v>
      </c>
      <c r="E363" s="13">
        <v>0</v>
      </c>
      <c r="F363" s="12">
        <f t="shared" si="110"/>
        <v>19</v>
      </c>
      <c r="H363" s="9">
        <v>2</v>
      </c>
      <c r="I363" s="9">
        <v>19</v>
      </c>
      <c r="K363" s="9" t="s">
        <v>393</v>
      </c>
      <c r="L363" s="9">
        <v>0</v>
      </c>
      <c r="M363" s="9">
        <v>15</v>
      </c>
      <c r="R363" s="9">
        <v>555</v>
      </c>
      <c r="Z363" s="9">
        <v>211060001</v>
      </c>
      <c r="AA363" s="9" t="s">
        <v>606</v>
      </c>
      <c r="AB363" s="9">
        <v>19</v>
      </c>
      <c r="AD363" s="9">
        <v>50000</v>
      </c>
      <c r="AF363" s="89">
        <f t="shared" si="115"/>
        <v>26250</v>
      </c>
      <c r="AG363" s="9">
        <f t="shared" si="117"/>
        <v>48300</v>
      </c>
      <c r="AI363" s="11">
        <f t="shared" si="114"/>
        <v>95</v>
      </c>
      <c r="AJ363" s="10">
        <v>95</v>
      </c>
      <c r="AK363" s="11">
        <f t="shared" si="111"/>
        <v>1250</v>
      </c>
      <c r="AL363" s="10">
        <v>1250</v>
      </c>
      <c r="AM363" s="11">
        <f t="shared" si="111"/>
        <v>1250</v>
      </c>
      <c r="AN363" s="10">
        <v>1250</v>
      </c>
      <c r="AO363" s="56">
        <f t="shared" si="116"/>
        <v>2</v>
      </c>
      <c r="AQ363" s="11">
        <f ca="1">IFERROR(OFFSET(ITEM_RES!$A$1,MATCH(AR363,ITEM_RES!$J:$J,0)-1,0),0)</f>
        <v>215070001</v>
      </c>
      <c r="AR363" s="10" t="s">
        <v>492</v>
      </c>
      <c r="AS363" s="11">
        <v>6250</v>
      </c>
      <c r="AV363" s="11">
        <f ca="1">IFERROR(OFFSET(ITEM_RES!$A$1,MATCH(AW363,ITEM_RES!$J:$J,0)-1,0),0)</f>
        <v>211040001</v>
      </c>
      <c r="AW363" s="10" t="s">
        <v>502</v>
      </c>
      <c r="AX363" s="11">
        <v>6250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8"/>
        <v>112030020</v>
      </c>
      <c r="B364" s="13">
        <v>11</v>
      </c>
      <c r="C364" s="12">
        <f t="shared" si="109"/>
        <v>2</v>
      </c>
      <c r="D364" s="13">
        <v>3</v>
      </c>
      <c r="E364" s="13">
        <v>0</v>
      </c>
      <c r="F364" s="12">
        <f t="shared" si="110"/>
        <v>20</v>
      </c>
      <c r="H364" s="9">
        <v>2</v>
      </c>
      <c r="I364" s="9">
        <v>20</v>
      </c>
      <c r="K364" s="9" t="s">
        <v>393</v>
      </c>
      <c r="L364" s="9">
        <v>0</v>
      </c>
      <c r="M364" s="9">
        <v>15</v>
      </c>
      <c r="R364" s="9">
        <v>555</v>
      </c>
      <c r="Z364" s="9">
        <v>211060001</v>
      </c>
      <c r="AA364" s="9" t="s">
        <v>606</v>
      </c>
      <c r="AB364" s="9">
        <v>20</v>
      </c>
      <c r="AD364" s="9">
        <v>60000</v>
      </c>
      <c r="AF364" s="89">
        <f t="shared" si="115"/>
        <v>31500</v>
      </c>
      <c r="AG364" s="9">
        <f t="shared" si="117"/>
        <v>57750</v>
      </c>
      <c r="AI364" s="11">
        <f t="shared" si="114"/>
        <v>100</v>
      </c>
      <c r="AJ364" s="10">
        <v>100</v>
      </c>
      <c r="AK364" s="11">
        <f t="shared" si="111"/>
        <v>1500</v>
      </c>
      <c r="AL364" s="10">
        <v>1500</v>
      </c>
      <c r="AM364" s="11">
        <f t="shared" si="111"/>
        <v>1500</v>
      </c>
      <c r="AN364" s="10">
        <v>1500</v>
      </c>
      <c r="AO364" s="56">
        <f t="shared" si="116"/>
        <v>2</v>
      </c>
      <c r="AQ364" s="11">
        <f ca="1">IFERROR(OFFSET(ITEM_RES!$A$1,MATCH(AR364,ITEM_RES!$J:$J,0)-1,0),0)</f>
        <v>215070001</v>
      </c>
      <c r="AR364" s="10" t="s">
        <v>492</v>
      </c>
      <c r="AS364" s="11">
        <v>7500</v>
      </c>
      <c r="AV364" s="11">
        <f ca="1">IFERROR(OFFSET(ITEM_RES!$A$1,MATCH(AW364,ITEM_RES!$J:$J,0)-1,0),0)</f>
        <v>211040001</v>
      </c>
      <c r="AW364" s="10" t="s">
        <v>502</v>
      </c>
      <c r="AX364" s="11">
        <v>7500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ref="A365:A428" si="118">B365*10000000+C365*1000000+D365*10000+E365*100+F365</f>
        <v>112040001</v>
      </c>
      <c r="B365" s="20">
        <v>11</v>
      </c>
      <c r="C365" s="19">
        <f t="shared" ref="C365:C428" si="119">H365</f>
        <v>2</v>
      </c>
      <c r="D365" s="20">
        <v>4</v>
      </c>
      <c r="E365" s="20">
        <v>0</v>
      </c>
      <c r="F365" s="19">
        <f t="shared" ref="F365:F428" si="120">I365</f>
        <v>1</v>
      </c>
      <c r="G365" s="80"/>
      <c r="H365" s="16">
        <v>2</v>
      </c>
      <c r="I365" s="16">
        <v>1</v>
      </c>
      <c r="J365" s="80"/>
      <c r="K365" s="16" t="s">
        <v>392</v>
      </c>
      <c r="L365" s="16">
        <v>1</v>
      </c>
      <c r="M365" s="16">
        <v>15</v>
      </c>
      <c r="N365" s="16"/>
      <c r="O365" s="17"/>
      <c r="P365" s="17"/>
      <c r="Q365" s="18"/>
      <c r="R365" s="16">
        <v>666</v>
      </c>
      <c r="S365" s="88"/>
      <c r="T365" s="80"/>
      <c r="U365" s="88"/>
      <c r="V365" s="88"/>
      <c r="W365" s="88"/>
      <c r="X365" s="88"/>
      <c r="Y365" s="88"/>
      <c r="Z365" s="16">
        <v>211070001</v>
      </c>
      <c r="AA365" s="16" t="s">
        <v>607</v>
      </c>
      <c r="AB365" s="16">
        <v>1</v>
      </c>
      <c r="AC365" s="80"/>
      <c r="AD365" s="16">
        <v>100</v>
      </c>
      <c r="AE365" s="80"/>
      <c r="AF365" s="91">
        <f t="shared" si="115"/>
        <v>605</v>
      </c>
      <c r="AG365" s="16">
        <f>AF365</f>
        <v>605</v>
      </c>
      <c r="AH365" s="80"/>
      <c r="AI365" s="18">
        <f t="shared" si="114"/>
        <v>5</v>
      </c>
      <c r="AJ365" s="17">
        <v>5</v>
      </c>
      <c r="AK365" s="18">
        <f t="shared" si="111"/>
        <v>5</v>
      </c>
      <c r="AL365" s="17">
        <v>5</v>
      </c>
      <c r="AM365" s="18">
        <f t="shared" si="111"/>
        <v>5</v>
      </c>
      <c r="AN365" s="17">
        <v>5</v>
      </c>
      <c r="AO365" s="57">
        <f t="shared" si="116"/>
        <v>3</v>
      </c>
      <c r="AP365" s="18"/>
      <c r="AQ365" s="18">
        <f ca="1">IFERROR(OFFSET(ITEM_RES!$A$1,MATCH(AR365,ITEM_RES!$J:$J,0)-1,0),0)</f>
        <v>211050001</v>
      </c>
      <c r="AR365" s="17" t="s">
        <v>474</v>
      </c>
      <c r="AS365" s="18">
        <v>25</v>
      </c>
      <c r="AT365" s="17"/>
      <c r="AU365" s="18"/>
      <c r="AV365" s="18">
        <f ca="1">IFERROR(OFFSET(ITEM_RES!$A$1,MATCH(AW365,ITEM_RES!$J:$J,0)-1,0),0)</f>
        <v>211040001</v>
      </c>
      <c r="AW365" s="17" t="s">
        <v>502</v>
      </c>
      <c r="AX365" s="18">
        <v>25</v>
      </c>
      <c r="AY365" s="17"/>
      <c r="AZ365" s="18"/>
      <c r="BA365" s="18">
        <f ca="1">IFERROR(OFFSET(ITEM_RES!$A$1,MATCH(BB365,ITEM_RES!$J:$J,0)-1,0),0)</f>
        <v>213010001</v>
      </c>
      <c r="BB365" s="17" t="s">
        <v>509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18"/>
        <v>112040002</v>
      </c>
      <c r="B366" s="13">
        <v>11</v>
      </c>
      <c r="C366" s="12">
        <f t="shared" si="119"/>
        <v>2</v>
      </c>
      <c r="D366" s="13">
        <v>4</v>
      </c>
      <c r="E366" s="13">
        <v>0</v>
      </c>
      <c r="F366" s="12">
        <f t="shared" si="120"/>
        <v>2</v>
      </c>
      <c r="H366" s="9">
        <v>2</v>
      </c>
      <c r="I366" s="9">
        <v>2</v>
      </c>
      <c r="K366" s="9" t="s">
        <v>392</v>
      </c>
      <c r="L366" s="9">
        <v>1</v>
      </c>
      <c r="M366" s="9">
        <v>15</v>
      </c>
      <c r="R366" s="9">
        <v>666</v>
      </c>
      <c r="Z366" s="9">
        <v>211070001</v>
      </c>
      <c r="AA366" s="9" t="s">
        <v>607</v>
      </c>
      <c r="AB366" s="9">
        <v>2</v>
      </c>
      <c r="AD366" s="9">
        <v>200</v>
      </c>
      <c r="AF366" s="89">
        <f t="shared" si="115"/>
        <v>210</v>
      </c>
      <c r="AG366" s="9">
        <f>AF365+AF366</f>
        <v>815</v>
      </c>
      <c r="AI366" s="11">
        <f t="shared" si="114"/>
        <v>10</v>
      </c>
      <c r="AJ366" s="10">
        <v>10</v>
      </c>
      <c r="AK366" s="11">
        <f t="shared" ref="AK366:AM429" si="121">ROUND(AL366,0)</f>
        <v>10</v>
      </c>
      <c r="AL366" s="10">
        <v>10</v>
      </c>
      <c r="AM366" s="11">
        <f t="shared" si="121"/>
        <v>10</v>
      </c>
      <c r="AN366" s="10">
        <v>10</v>
      </c>
      <c r="AO366" s="56">
        <f t="shared" si="116"/>
        <v>2</v>
      </c>
      <c r="AQ366" s="11">
        <f ca="1">IFERROR(OFFSET(ITEM_RES!$A$1,MATCH(AR366,ITEM_RES!$J:$J,0)-1,0),0)</f>
        <v>211050001</v>
      </c>
      <c r="AR366" s="10" t="s">
        <v>474</v>
      </c>
      <c r="AS366" s="11">
        <v>50</v>
      </c>
      <c r="AV366" s="11">
        <f ca="1">IFERROR(OFFSET(ITEM_RES!$A$1,MATCH(AW366,ITEM_RES!$J:$J,0)-1,0),0)</f>
        <v>211040001</v>
      </c>
      <c r="AW366" s="10" t="s">
        <v>502</v>
      </c>
      <c r="AX366" s="11">
        <v>50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18"/>
        <v>112040003</v>
      </c>
      <c r="B367" s="13">
        <v>11</v>
      </c>
      <c r="C367" s="12">
        <f t="shared" si="119"/>
        <v>2</v>
      </c>
      <c r="D367" s="13">
        <v>4</v>
      </c>
      <c r="E367" s="13">
        <v>0</v>
      </c>
      <c r="F367" s="12">
        <f t="shared" si="120"/>
        <v>3</v>
      </c>
      <c r="H367" s="9">
        <v>2</v>
      </c>
      <c r="I367" s="9">
        <v>3</v>
      </c>
      <c r="K367" s="9" t="s">
        <v>392</v>
      </c>
      <c r="L367" s="9">
        <v>1</v>
      </c>
      <c r="M367" s="9">
        <v>15</v>
      </c>
      <c r="R367" s="9">
        <v>666</v>
      </c>
      <c r="Z367" s="9">
        <v>211070001</v>
      </c>
      <c r="AA367" s="9" t="s">
        <v>607</v>
      </c>
      <c r="AB367" s="9">
        <v>3</v>
      </c>
      <c r="AD367" s="9">
        <v>600</v>
      </c>
      <c r="AF367" s="89">
        <f t="shared" si="115"/>
        <v>315</v>
      </c>
      <c r="AG367" s="9">
        <f t="shared" ref="AG367:AG384" si="122">AF366+AF367</f>
        <v>525</v>
      </c>
      <c r="AI367" s="11">
        <f t="shared" si="114"/>
        <v>15</v>
      </c>
      <c r="AJ367" s="10">
        <v>15</v>
      </c>
      <c r="AK367" s="11">
        <f t="shared" si="121"/>
        <v>15</v>
      </c>
      <c r="AL367" s="10">
        <v>15</v>
      </c>
      <c r="AM367" s="11">
        <f t="shared" si="121"/>
        <v>15</v>
      </c>
      <c r="AN367" s="10">
        <v>15</v>
      </c>
      <c r="AO367" s="56">
        <f t="shared" si="116"/>
        <v>2</v>
      </c>
      <c r="AQ367" s="11">
        <f ca="1">IFERROR(OFFSET(ITEM_RES!$A$1,MATCH(AR367,ITEM_RES!$J:$J,0)-1,0),0)</f>
        <v>211050001</v>
      </c>
      <c r="AR367" s="10" t="s">
        <v>474</v>
      </c>
      <c r="AS367" s="11">
        <v>75</v>
      </c>
      <c r="AV367" s="11">
        <f ca="1">IFERROR(OFFSET(ITEM_RES!$A$1,MATCH(AW367,ITEM_RES!$J:$J,0)-1,0),0)</f>
        <v>211040001</v>
      </c>
      <c r="AW367" s="10" t="s">
        <v>502</v>
      </c>
      <c r="AX367" s="11">
        <v>75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18"/>
        <v>112040004</v>
      </c>
      <c r="B368" s="13">
        <v>11</v>
      </c>
      <c r="C368" s="12">
        <f t="shared" si="119"/>
        <v>2</v>
      </c>
      <c r="D368" s="13">
        <v>4</v>
      </c>
      <c r="E368" s="13">
        <v>0</v>
      </c>
      <c r="F368" s="12">
        <f t="shared" si="120"/>
        <v>4</v>
      </c>
      <c r="H368" s="9">
        <v>2</v>
      </c>
      <c r="I368" s="9">
        <v>4</v>
      </c>
      <c r="K368" s="9" t="s">
        <v>392</v>
      </c>
      <c r="L368" s="9">
        <v>1</v>
      </c>
      <c r="M368" s="9">
        <v>15</v>
      </c>
      <c r="R368" s="9">
        <v>666</v>
      </c>
      <c r="Z368" s="9">
        <v>211070001</v>
      </c>
      <c r="AA368" s="9" t="s">
        <v>607</v>
      </c>
      <c r="AB368" s="9">
        <v>4</v>
      </c>
      <c r="AD368" s="9">
        <v>1000</v>
      </c>
      <c r="AF368" s="89">
        <f t="shared" si="115"/>
        <v>525</v>
      </c>
      <c r="AG368" s="9">
        <f t="shared" si="122"/>
        <v>840</v>
      </c>
      <c r="AI368" s="11">
        <f t="shared" si="114"/>
        <v>20</v>
      </c>
      <c r="AJ368" s="10">
        <v>20</v>
      </c>
      <c r="AK368" s="11">
        <f t="shared" si="121"/>
        <v>25</v>
      </c>
      <c r="AL368" s="10">
        <v>25</v>
      </c>
      <c r="AM368" s="11">
        <f t="shared" si="121"/>
        <v>25</v>
      </c>
      <c r="AN368" s="10">
        <v>25</v>
      </c>
      <c r="AO368" s="56">
        <f t="shared" si="116"/>
        <v>2</v>
      </c>
      <c r="AQ368" s="11">
        <f ca="1">IFERROR(OFFSET(ITEM_RES!$A$1,MATCH(AR368,ITEM_RES!$J:$J,0)-1,0),0)</f>
        <v>211050001</v>
      </c>
      <c r="AR368" s="10" t="s">
        <v>474</v>
      </c>
      <c r="AS368" s="11">
        <v>125</v>
      </c>
      <c r="AV368" s="11">
        <f ca="1">IFERROR(OFFSET(ITEM_RES!$A$1,MATCH(AW368,ITEM_RES!$J:$J,0)-1,0),0)</f>
        <v>211040001</v>
      </c>
      <c r="AW368" s="10" t="s">
        <v>502</v>
      </c>
      <c r="AX368" s="11">
        <v>125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18"/>
        <v>112040005</v>
      </c>
      <c r="B369" s="13">
        <v>11</v>
      </c>
      <c r="C369" s="12">
        <f t="shared" si="119"/>
        <v>2</v>
      </c>
      <c r="D369" s="13">
        <v>4</v>
      </c>
      <c r="E369" s="13">
        <v>0</v>
      </c>
      <c r="F369" s="12">
        <f t="shared" si="120"/>
        <v>5</v>
      </c>
      <c r="H369" s="9">
        <v>2</v>
      </c>
      <c r="I369" s="9">
        <v>5</v>
      </c>
      <c r="K369" s="9" t="s">
        <v>392</v>
      </c>
      <c r="L369" s="9">
        <v>1</v>
      </c>
      <c r="M369" s="9">
        <v>15</v>
      </c>
      <c r="R369" s="9">
        <v>666</v>
      </c>
      <c r="Z369" s="9">
        <v>211070001</v>
      </c>
      <c r="AA369" s="9" t="s">
        <v>607</v>
      </c>
      <c r="AB369" s="9">
        <v>5</v>
      </c>
      <c r="AD369" s="9">
        <v>1600</v>
      </c>
      <c r="AF369" s="89">
        <f t="shared" si="115"/>
        <v>840</v>
      </c>
      <c r="AG369" s="9">
        <f t="shared" si="122"/>
        <v>1365</v>
      </c>
      <c r="AI369" s="11">
        <f t="shared" si="114"/>
        <v>25</v>
      </c>
      <c r="AJ369" s="10">
        <v>25</v>
      </c>
      <c r="AK369" s="11">
        <f t="shared" si="121"/>
        <v>40</v>
      </c>
      <c r="AL369" s="10">
        <v>40</v>
      </c>
      <c r="AM369" s="11">
        <f t="shared" si="121"/>
        <v>40</v>
      </c>
      <c r="AN369" s="10">
        <v>40</v>
      </c>
      <c r="AO369" s="56">
        <f t="shared" si="116"/>
        <v>2</v>
      </c>
      <c r="AQ369" s="11">
        <f ca="1">IFERROR(OFFSET(ITEM_RES!$A$1,MATCH(AR369,ITEM_RES!$J:$J,0)-1,0),0)</f>
        <v>211050001</v>
      </c>
      <c r="AR369" s="10" t="s">
        <v>474</v>
      </c>
      <c r="AS369" s="11">
        <v>200</v>
      </c>
      <c r="AV369" s="11">
        <f ca="1">IFERROR(OFFSET(ITEM_RES!$A$1,MATCH(AW369,ITEM_RES!$J:$J,0)-1,0),0)</f>
        <v>211040001</v>
      </c>
      <c r="AW369" s="10" t="s">
        <v>502</v>
      </c>
      <c r="AX369" s="11">
        <v>200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18"/>
        <v>112040006</v>
      </c>
      <c r="B370" s="13">
        <v>11</v>
      </c>
      <c r="C370" s="12">
        <f t="shared" si="119"/>
        <v>2</v>
      </c>
      <c r="D370" s="13">
        <v>4</v>
      </c>
      <c r="E370" s="13">
        <v>0</v>
      </c>
      <c r="F370" s="12">
        <f t="shared" si="120"/>
        <v>6</v>
      </c>
      <c r="H370" s="9">
        <v>2</v>
      </c>
      <c r="I370" s="9">
        <v>6</v>
      </c>
      <c r="K370" s="9" t="s">
        <v>392</v>
      </c>
      <c r="L370" s="9">
        <v>1</v>
      </c>
      <c r="M370" s="9">
        <v>15</v>
      </c>
      <c r="R370" s="9">
        <v>666</v>
      </c>
      <c r="Z370" s="9">
        <v>211070001</v>
      </c>
      <c r="AA370" s="9" t="s">
        <v>607</v>
      </c>
      <c r="AB370" s="9">
        <v>6</v>
      </c>
      <c r="AD370" s="9">
        <v>2000</v>
      </c>
      <c r="AF370" s="89">
        <f t="shared" si="115"/>
        <v>1050</v>
      </c>
      <c r="AG370" s="9">
        <f t="shared" si="122"/>
        <v>1890</v>
      </c>
      <c r="AI370" s="11">
        <f t="shared" si="114"/>
        <v>30</v>
      </c>
      <c r="AJ370" s="10">
        <v>30</v>
      </c>
      <c r="AK370" s="11">
        <f t="shared" si="121"/>
        <v>50</v>
      </c>
      <c r="AL370" s="10">
        <v>50</v>
      </c>
      <c r="AM370" s="11">
        <f t="shared" si="121"/>
        <v>50</v>
      </c>
      <c r="AN370" s="10">
        <v>50</v>
      </c>
      <c r="AO370" s="56">
        <f t="shared" si="116"/>
        <v>2</v>
      </c>
      <c r="AQ370" s="11">
        <f ca="1">IFERROR(OFFSET(ITEM_RES!$A$1,MATCH(AR370,ITEM_RES!$J:$J,0)-1,0),0)</f>
        <v>211050001</v>
      </c>
      <c r="AR370" s="10" t="s">
        <v>474</v>
      </c>
      <c r="AS370" s="11">
        <v>250</v>
      </c>
      <c r="AV370" s="11">
        <f ca="1">IFERROR(OFFSET(ITEM_RES!$A$1,MATCH(AW370,ITEM_RES!$J:$J,0)-1,0),0)</f>
        <v>211040001</v>
      </c>
      <c r="AW370" s="10" t="s">
        <v>502</v>
      </c>
      <c r="AX370" s="11">
        <v>250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18"/>
        <v>112040007</v>
      </c>
      <c r="B371" s="13">
        <v>11</v>
      </c>
      <c r="C371" s="12">
        <f t="shared" si="119"/>
        <v>2</v>
      </c>
      <c r="D371" s="13">
        <v>4</v>
      </c>
      <c r="E371" s="13">
        <v>0</v>
      </c>
      <c r="F371" s="12">
        <f t="shared" si="120"/>
        <v>7</v>
      </c>
      <c r="H371" s="9">
        <v>2</v>
      </c>
      <c r="I371" s="9">
        <v>7</v>
      </c>
      <c r="K371" s="9" t="s">
        <v>392</v>
      </c>
      <c r="L371" s="9">
        <v>1</v>
      </c>
      <c r="M371" s="9">
        <v>15</v>
      </c>
      <c r="R371" s="9">
        <v>666</v>
      </c>
      <c r="Z371" s="9">
        <v>211070001</v>
      </c>
      <c r="AA371" s="9" t="s">
        <v>607</v>
      </c>
      <c r="AB371" s="9">
        <v>7</v>
      </c>
      <c r="AD371" s="9">
        <v>4000</v>
      </c>
      <c r="AF371" s="89">
        <f t="shared" si="115"/>
        <v>2100</v>
      </c>
      <c r="AG371" s="9">
        <f t="shared" si="122"/>
        <v>3150</v>
      </c>
      <c r="AI371" s="11">
        <f t="shared" si="114"/>
        <v>35</v>
      </c>
      <c r="AJ371" s="10">
        <v>35</v>
      </c>
      <c r="AK371" s="11">
        <f t="shared" si="121"/>
        <v>100</v>
      </c>
      <c r="AL371" s="10">
        <v>100</v>
      </c>
      <c r="AM371" s="11">
        <f t="shared" si="121"/>
        <v>100</v>
      </c>
      <c r="AN371" s="10">
        <v>100</v>
      </c>
      <c r="AO371" s="56">
        <f t="shared" si="116"/>
        <v>2</v>
      </c>
      <c r="AQ371" s="11">
        <f ca="1">IFERROR(OFFSET(ITEM_RES!$A$1,MATCH(AR371,ITEM_RES!$J:$J,0)-1,0),0)</f>
        <v>211050001</v>
      </c>
      <c r="AR371" s="10" t="s">
        <v>474</v>
      </c>
      <c r="AS371" s="11">
        <v>500</v>
      </c>
      <c r="AV371" s="11">
        <f ca="1">IFERROR(OFFSET(ITEM_RES!$A$1,MATCH(AW371,ITEM_RES!$J:$J,0)-1,0),0)</f>
        <v>211040001</v>
      </c>
      <c r="AW371" s="10" t="s">
        <v>502</v>
      </c>
      <c r="AX371" s="11">
        <v>500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18"/>
        <v>112040008</v>
      </c>
      <c r="B372" s="13">
        <v>11</v>
      </c>
      <c r="C372" s="12">
        <f t="shared" si="119"/>
        <v>2</v>
      </c>
      <c r="D372" s="13">
        <v>4</v>
      </c>
      <c r="E372" s="13">
        <v>0</v>
      </c>
      <c r="F372" s="12">
        <f t="shared" si="120"/>
        <v>8</v>
      </c>
      <c r="H372" s="9">
        <v>2</v>
      </c>
      <c r="I372" s="9">
        <v>8</v>
      </c>
      <c r="K372" s="9" t="s">
        <v>392</v>
      </c>
      <c r="L372" s="9">
        <v>1</v>
      </c>
      <c r="M372" s="9">
        <v>15</v>
      </c>
      <c r="R372" s="9">
        <v>666</v>
      </c>
      <c r="Z372" s="9">
        <v>211070001</v>
      </c>
      <c r="AA372" s="9" t="s">
        <v>607</v>
      </c>
      <c r="AB372" s="9">
        <v>8</v>
      </c>
      <c r="AD372" s="9">
        <v>4000</v>
      </c>
      <c r="AF372" s="89">
        <f t="shared" si="115"/>
        <v>2100</v>
      </c>
      <c r="AG372" s="9">
        <f t="shared" si="122"/>
        <v>4200</v>
      </c>
      <c r="AI372" s="11">
        <f t="shared" si="114"/>
        <v>40</v>
      </c>
      <c r="AJ372" s="10">
        <v>40</v>
      </c>
      <c r="AK372" s="11">
        <f t="shared" si="121"/>
        <v>100</v>
      </c>
      <c r="AL372" s="10">
        <v>100</v>
      </c>
      <c r="AM372" s="11">
        <f t="shared" si="121"/>
        <v>100</v>
      </c>
      <c r="AN372" s="10">
        <v>100</v>
      </c>
      <c r="AO372" s="56">
        <f t="shared" si="116"/>
        <v>2</v>
      </c>
      <c r="AQ372" s="11">
        <f ca="1">IFERROR(OFFSET(ITEM_RES!$A$1,MATCH(AR372,ITEM_RES!$J:$J,0)-1,0),0)</f>
        <v>215070001</v>
      </c>
      <c r="AR372" s="10" t="s">
        <v>492</v>
      </c>
      <c r="AS372" s="11">
        <v>500</v>
      </c>
      <c r="AV372" s="11">
        <f ca="1">IFERROR(OFFSET(ITEM_RES!$A$1,MATCH(AW372,ITEM_RES!$J:$J,0)-1,0),0)</f>
        <v>211040001</v>
      </c>
      <c r="AW372" s="10" t="s">
        <v>502</v>
      </c>
      <c r="AX372" s="11">
        <v>500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18"/>
        <v>112040009</v>
      </c>
      <c r="B373" s="13">
        <v>11</v>
      </c>
      <c r="C373" s="12">
        <f t="shared" si="119"/>
        <v>2</v>
      </c>
      <c r="D373" s="13">
        <v>4</v>
      </c>
      <c r="E373" s="13">
        <v>0</v>
      </c>
      <c r="F373" s="12">
        <f t="shared" si="120"/>
        <v>9</v>
      </c>
      <c r="H373" s="9">
        <v>2</v>
      </c>
      <c r="I373" s="9">
        <v>9</v>
      </c>
      <c r="K373" s="9" t="s">
        <v>392</v>
      </c>
      <c r="L373" s="9">
        <v>1</v>
      </c>
      <c r="M373" s="9">
        <v>15</v>
      </c>
      <c r="R373" s="9">
        <v>666</v>
      </c>
      <c r="Z373" s="9">
        <v>211070001</v>
      </c>
      <c r="AA373" s="9" t="s">
        <v>607</v>
      </c>
      <c r="AB373" s="9">
        <v>9</v>
      </c>
      <c r="AD373" s="9">
        <v>6000</v>
      </c>
      <c r="AF373" s="89">
        <f t="shared" si="115"/>
        <v>3150</v>
      </c>
      <c r="AG373" s="9">
        <f t="shared" si="122"/>
        <v>5250</v>
      </c>
      <c r="AI373" s="11">
        <f t="shared" si="114"/>
        <v>45</v>
      </c>
      <c r="AJ373" s="10">
        <v>45</v>
      </c>
      <c r="AK373" s="11">
        <f t="shared" si="121"/>
        <v>150</v>
      </c>
      <c r="AL373" s="10">
        <v>150</v>
      </c>
      <c r="AM373" s="11">
        <f t="shared" si="121"/>
        <v>150</v>
      </c>
      <c r="AN373" s="10">
        <v>150</v>
      </c>
      <c r="AO373" s="56">
        <f t="shared" si="116"/>
        <v>2</v>
      </c>
      <c r="AQ373" s="11">
        <f ca="1">IFERROR(OFFSET(ITEM_RES!$A$1,MATCH(AR373,ITEM_RES!$J:$J,0)-1,0),0)</f>
        <v>215070001</v>
      </c>
      <c r="AR373" s="10" t="s">
        <v>492</v>
      </c>
      <c r="AS373" s="11">
        <v>750</v>
      </c>
      <c r="AV373" s="11">
        <f ca="1">IFERROR(OFFSET(ITEM_RES!$A$1,MATCH(AW373,ITEM_RES!$J:$J,0)-1,0),0)</f>
        <v>211040001</v>
      </c>
      <c r="AW373" s="10" t="s">
        <v>502</v>
      </c>
      <c r="AX373" s="11">
        <v>750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18"/>
        <v>112040010</v>
      </c>
      <c r="B374" s="13">
        <v>11</v>
      </c>
      <c r="C374" s="12">
        <f t="shared" si="119"/>
        <v>2</v>
      </c>
      <c r="D374" s="13">
        <v>4</v>
      </c>
      <c r="E374" s="13">
        <v>0</v>
      </c>
      <c r="F374" s="12">
        <f t="shared" si="120"/>
        <v>10</v>
      </c>
      <c r="H374" s="9">
        <v>2</v>
      </c>
      <c r="I374" s="9">
        <v>10</v>
      </c>
      <c r="K374" s="9" t="s">
        <v>392</v>
      </c>
      <c r="L374" s="9">
        <v>1</v>
      </c>
      <c r="M374" s="9">
        <v>15</v>
      </c>
      <c r="R374" s="9">
        <v>666</v>
      </c>
      <c r="Z374" s="9">
        <v>211070001</v>
      </c>
      <c r="AA374" s="9" t="s">
        <v>607</v>
      </c>
      <c r="AB374" s="9">
        <v>10</v>
      </c>
      <c r="AD374" s="9">
        <v>8000</v>
      </c>
      <c r="AF374" s="89">
        <f t="shared" si="115"/>
        <v>4200</v>
      </c>
      <c r="AG374" s="9">
        <f t="shared" si="122"/>
        <v>7350</v>
      </c>
      <c r="AI374" s="11">
        <f t="shared" si="114"/>
        <v>50</v>
      </c>
      <c r="AJ374" s="10">
        <v>50</v>
      </c>
      <c r="AK374" s="11">
        <f t="shared" si="121"/>
        <v>200</v>
      </c>
      <c r="AL374" s="10">
        <v>200</v>
      </c>
      <c r="AM374" s="11">
        <f t="shared" si="121"/>
        <v>200</v>
      </c>
      <c r="AN374" s="10">
        <v>200</v>
      </c>
      <c r="AO374" s="56">
        <f t="shared" si="116"/>
        <v>2</v>
      </c>
      <c r="AQ374" s="11">
        <f ca="1">IFERROR(OFFSET(ITEM_RES!$A$1,MATCH(AR374,ITEM_RES!$J:$J,0)-1,0),0)</f>
        <v>215070001</v>
      </c>
      <c r="AR374" s="10" t="s">
        <v>492</v>
      </c>
      <c r="AS374" s="11">
        <v>1000</v>
      </c>
      <c r="AV374" s="11">
        <f ca="1">IFERROR(OFFSET(ITEM_RES!$A$1,MATCH(AW374,ITEM_RES!$J:$J,0)-1,0),0)</f>
        <v>211040001</v>
      </c>
      <c r="AW374" s="10" t="s">
        <v>502</v>
      </c>
      <c r="AX374" s="11">
        <v>1000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18"/>
        <v>112040011</v>
      </c>
      <c r="B375" s="13">
        <v>11</v>
      </c>
      <c r="C375" s="12">
        <f t="shared" si="119"/>
        <v>2</v>
      </c>
      <c r="D375" s="13">
        <v>4</v>
      </c>
      <c r="E375" s="13">
        <v>0</v>
      </c>
      <c r="F375" s="12">
        <f t="shared" si="120"/>
        <v>11</v>
      </c>
      <c r="H375" s="9">
        <v>2</v>
      </c>
      <c r="I375" s="9">
        <v>11</v>
      </c>
      <c r="K375" s="9" t="s">
        <v>392</v>
      </c>
      <c r="L375" s="9">
        <v>1</v>
      </c>
      <c r="M375" s="9">
        <v>15</v>
      </c>
      <c r="R375" s="9">
        <v>666</v>
      </c>
      <c r="Z375" s="9">
        <v>211070001</v>
      </c>
      <c r="AA375" s="9" t="s">
        <v>607</v>
      </c>
      <c r="AB375" s="9">
        <v>11</v>
      </c>
      <c r="AD375" s="9">
        <v>10000</v>
      </c>
      <c r="AF375" s="89">
        <f t="shared" si="115"/>
        <v>5250</v>
      </c>
      <c r="AG375" s="9">
        <f t="shared" si="122"/>
        <v>9450</v>
      </c>
      <c r="AI375" s="11">
        <f t="shared" si="114"/>
        <v>55</v>
      </c>
      <c r="AJ375" s="10">
        <v>55</v>
      </c>
      <c r="AK375" s="11">
        <f t="shared" si="121"/>
        <v>250</v>
      </c>
      <c r="AL375" s="10">
        <v>250</v>
      </c>
      <c r="AM375" s="11">
        <f t="shared" si="121"/>
        <v>250</v>
      </c>
      <c r="AN375" s="10">
        <v>250</v>
      </c>
      <c r="AO375" s="56">
        <f t="shared" si="116"/>
        <v>2</v>
      </c>
      <c r="AQ375" s="11">
        <f ca="1">IFERROR(OFFSET(ITEM_RES!$A$1,MATCH(AR375,ITEM_RES!$J:$J,0)-1,0),0)</f>
        <v>215070001</v>
      </c>
      <c r="AR375" s="10" t="s">
        <v>492</v>
      </c>
      <c r="AS375" s="11">
        <v>1250</v>
      </c>
      <c r="AV375" s="11">
        <f ca="1">IFERROR(OFFSET(ITEM_RES!$A$1,MATCH(AW375,ITEM_RES!$J:$J,0)-1,0),0)</f>
        <v>211040001</v>
      </c>
      <c r="AW375" s="10" t="s">
        <v>502</v>
      </c>
      <c r="AX375" s="11">
        <v>1250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18"/>
        <v>112040012</v>
      </c>
      <c r="B376" s="13">
        <v>11</v>
      </c>
      <c r="C376" s="12">
        <f t="shared" si="119"/>
        <v>2</v>
      </c>
      <c r="D376" s="13">
        <v>4</v>
      </c>
      <c r="E376" s="13">
        <v>0</v>
      </c>
      <c r="F376" s="12">
        <f t="shared" si="120"/>
        <v>12</v>
      </c>
      <c r="H376" s="9">
        <v>2</v>
      </c>
      <c r="I376" s="9">
        <v>12</v>
      </c>
      <c r="K376" s="9" t="s">
        <v>392</v>
      </c>
      <c r="L376" s="9">
        <v>1</v>
      </c>
      <c r="M376" s="9">
        <v>15</v>
      </c>
      <c r="R376" s="9">
        <v>666</v>
      </c>
      <c r="Z376" s="9">
        <v>211070001</v>
      </c>
      <c r="AA376" s="9" t="s">
        <v>607</v>
      </c>
      <c r="AB376" s="9">
        <v>12</v>
      </c>
      <c r="AD376" s="9">
        <v>12000</v>
      </c>
      <c r="AF376" s="89">
        <f t="shared" si="115"/>
        <v>6300</v>
      </c>
      <c r="AG376" s="9">
        <f t="shared" si="122"/>
        <v>11550</v>
      </c>
      <c r="AI376" s="11">
        <f t="shared" si="114"/>
        <v>60</v>
      </c>
      <c r="AJ376" s="10">
        <v>60</v>
      </c>
      <c r="AK376" s="11">
        <f t="shared" si="121"/>
        <v>300</v>
      </c>
      <c r="AL376" s="10">
        <v>300</v>
      </c>
      <c r="AM376" s="11">
        <f t="shared" si="121"/>
        <v>300</v>
      </c>
      <c r="AN376" s="10">
        <v>300</v>
      </c>
      <c r="AO376" s="56">
        <f t="shared" si="116"/>
        <v>2</v>
      </c>
      <c r="AQ376" s="11">
        <f ca="1">IFERROR(OFFSET(ITEM_RES!$A$1,MATCH(AR376,ITEM_RES!$J:$J,0)-1,0),0)</f>
        <v>215070001</v>
      </c>
      <c r="AR376" s="10" t="s">
        <v>492</v>
      </c>
      <c r="AS376" s="11">
        <v>1500</v>
      </c>
      <c r="AV376" s="11">
        <f ca="1">IFERROR(OFFSET(ITEM_RES!$A$1,MATCH(AW376,ITEM_RES!$J:$J,0)-1,0),0)</f>
        <v>211040001</v>
      </c>
      <c r="AW376" s="10" t="s">
        <v>502</v>
      </c>
      <c r="AX376" s="11">
        <v>1500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18"/>
        <v>112040013</v>
      </c>
      <c r="B377" s="13">
        <v>11</v>
      </c>
      <c r="C377" s="12">
        <f t="shared" si="119"/>
        <v>2</v>
      </c>
      <c r="D377" s="13">
        <v>4</v>
      </c>
      <c r="E377" s="13">
        <v>0</v>
      </c>
      <c r="F377" s="12">
        <f t="shared" si="120"/>
        <v>13</v>
      </c>
      <c r="H377" s="9">
        <v>2</v>
      </c>
      <c r="I377" s="9">
        <v>13</v>
      </c>
      <c r="K377" s="9" t="s">
        <v>392</v>
      </c>
      <c r="L377" s="9">
        <v>1</v>
      </c>
      <c r="M377" s="9">
        <v>15</v>
      </c>
      <c r="R377" s="9">
        <v>666</v>
      </c>
      <c r="Z377" s="9">
        <v>211070001</v>
      </c>
      <c r="AA377" s="9" t="s">
        <v>607</v>
      </c>
      <c r="AB377" s="9">
        <v>13</v>
      </c>
      <c r="AD377" s="9">
        <v>14000</v>
      </c>
      <c r="AF377" s="89">
        <f t="shared" si="115"/>
        <v>7350</v>
      </c>
      <c r="AG377" s="9">
        <f t="shared" si="122"/>
        <v>13650</v>
      </c>
      <c r="AI377" s="11">
        <f t="shared" si="114"/>
        <v>65</v>
      </c>
      <c r="AJ377" s="10">
        <v>65</v>
      </c>
      <c r="AK377" s="11">
        <f t="shared" si="121"/>
        <v>350</v>
      </c>
      <c r="AL377" s="10">
        <v>350</v>
      </c>
      <c r="AM377" s="11">
        <f t="shared" si="121"/>
        <v>350</v>
      </c>
      <c r="AN377" s="10">
        <v>350</v>
      </c>
      <c r="AO377" s="56">
        <f t="shared" si="116"/>
        <v>2</v>
      </c>
      <c r="AQ377" s="11">
        <f ca="1">IFERROR(OFFSET(ITEM_RES!$A$1,MATCH(AR377,ITEM_RES!$J:$J,0)-1,0),0)</f>
        <v>215070001</v>
      </c>
      <c r="AR377" s="10" t="s">
        <v>492</v>
      </c>
      <c r="AS377" s="11">
        <v>1750</v>
      </c>
      <c r="AV377" s="11">
        <f ca="1">IFERROR(OFFSET(ITEM_RES!$A$1,MATCH(AW377,ITEM_RES!$J:$J,0)-1,0),0)</f>
        <v>211040001</v>
      </c>
      <c r="AW377" s="10" t="s">
        <v>502</v>
      </c>
      <c r="AX377" s="11">
        <v>1750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18"/>
        <v>112040014</v>
      </c>
      <c r="B378" s="13">
        <v>11</v>
      </c>
      <c r="C378" s="12">
        <f t="shared" si="119"/>
        <v>2</v>
      </c>
      <c r="D378" s="13">
        <v>4</v>
      </c>
      <c r="E378" s="13">
        <v>0</v>
      </c>
      <c r="F378" s="12">
        <f t="shared" si="120"/>
        <v>14</v>
      </c>
      <c r="H378" s="9">
        <v>2</v>
      </c>
      <c r="I378" s="9">
        <v>14</v>
      </c>
      <c r="K378" s="9" t="s">
        <v>392</v>
      </c>
      <c r="L378" s="9">
        <v>1</v>
      </c>
      <c r="M378" s="9">
        <v>15</v>
      </c>
      <c r="R378" s="9">
        <v>666</v>
      </c>
      <c r="Z378" s="9">
        <v>211070001</v>
      </c>
      <c r="AA378" s="9" t="s">
        <v>607</v>
      </c>
      <c r="AB378" s="9">
        <v>14</v>
      </c>
      <c r="AD378" s="9">
        <v>18000</v>
      </c>
      <c r="AF378" s="89">
        <f t="shared" si="115"/>
        <v>9450</v>
      </c>
      <c r="AG378" s="9">
        <f t="shared" si="122"/>
        <v>16800</v>
      </c>
      <c r="AI378" s="11">
        <f t="shared" si="114"/>
        <v>70</v>
      </c>
      <c r="AJ378" s="10">
        <v>70</v>
      </c>
      <c r="AK378" s="11">
        <f t="shared" si="121"/>
        <v>450</v>
      </c>
      <c r="AL378" s="10">
        <v>450</v>
      </c>
      <c r="AM378" s="11">
        <f t="shared" si="121"/>
        <v>450</v>
      </c>
      <c r="AN378" s="10">
        <v>450</v>
      </c>
      <c r="AO378" s="56">
        <f t="shared" si="116"/>
        <v>2</v>
      </c>
      <c r="AQ378" s="11">
        <f ca="1">IFERROR(OFFSET(ITEM_RES!$A$1,MATCH(AR378,ITEM_RES!$J:$J,0)-1,0),0)</f>
        <v>215070001</v>
      </c>
      <c r="AR378" s="10" t="s">
        <v>492</v>
      </c>
      <c r="AS378" s="11">
        <v>2250</v>
      </c>
      <c r="AV378" s="11">
        <f ca="1">IFERROR(OFFSET(ITEM_RES!$A$1,MATCH(AW378,ITEM_RES!$J:$J,0)-1,0),0)</f>
        <v>211040001</v>
      </c>
      <c r="AW378" s="10" t="s">
        <v>502</v>
      </c>
      <c r="AX378" s="11">
        <v>2250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18"/>
        <v>112040015</v>
      </c>
      <c r="B379" s="13">
        <v>11</v>
      </c>
      <c r="C379" s="12">
        <f t="shared" si="119"/>
        <v>2</v>
      </c>
      <c r="D379" s="13">
        <v>4</v>
      </c>
      <c r="E379" s="13">
        <v>0</v>
      </c>
      <c r="F379" s="12">
        <f t="shared" si="120"/>
        <v>15</v>
      </c>
      <c r="H379" s="9">
        <v>2</v>
      </c>
      <c r="I379" s="9">
        <v>15</v>
      </c>
      <c r="K379" s="9" t="s">
        <v>392</v>
      </c>
      <c r="L379" s="9">
        <v>1</v>
      </c>
      <c r="M379" s="9">
        <v>15</v>
      </c>
      <c r="R379" s="9">
        <v>666</v>
      </c>
      <c r="Z379" s="9">
        <v>211070001</v>
      </c>
      <c r="AA379" s="9" t="s">
        <v>607</v>
      </c>
      <c r="AB379" s="9">
        <v>15</v>
      </c>
      <c r="AD379" s="9">
        <v>22000</v>
      </c>
      <c r="AF379" s="89">
        <f t="shared" si="115"/>
        <v>11550</v>
      </c>
      <c r="AG379" s="9">
        <f t="shared" si="122"/>
        <v>21000</v>
      </c>
      <c r="AI379" s="11">
        <f t="shared" si="114"/>
        <v>75</v>
      </c>
      <c r="AJ379" s="10">
        <v>75</v>
      </c>
      <c r="AK379" s="11">
        <f t="shared" si="121"/>
        <v>550</v>
      </c>
      <c r="AL379" s="10">
        <v>550</v>
      </c>
      <c r="AM379" s="11">
        <f t="shared" si="121"/>
        <v>550</v>
      </c>
      <c r="AN379" s="10">
        <v>550</v>
      </c>
      <c r="AO379" s="56">
        <f t="shared" si="116"/>
        <v>2</v>
      </c>
      <c r="AQ379" s="11">
        <f ca="1">IFERROR(OFFSET(ITEM_RES!$A$1,MATCH(AR379,ITEM_RES!$J:$J,0)-1,0),0)</f>
        <v>215070001</v>
      </c>
      <c r="AR379" s="10" t="s">
        <v>492</v>
      </c>
      <c r="AS379" s="11">
        <v>2750</v>
      </c>
      <c r="AV379" s="11">
        <f ca="1">IFERROR(OFFSET(ITEM_RES!$A$1,MATCH(AW379,ITEM_RES!$J:$J,0)-1,0),0)</f>
        <v>211040001</v>
      </c>
      <c r="AW379" s="10" t="s">
        <v>502</v>
      </c>
      <c r="AX379" s="11">
        <v>2750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18"/>
        <v>112040016</v>
      </c>
      <c r="B380" s="13">
        <v>11</v>
      </c>
      <c r="C380" s="12">
        <f t="shared" si="119"/>
        <v>2</v>
      </c>
      <c r="D380" s="13">
        <v>4</v>
      </c>
      <c r="E380" s="13">
        <v>0</v>
      </c>
      <c r="F380" s="12">
        <f t="shared" si="120"/>
        <v>16</v>
      </c>
      <c r="H380" s="9">
        <v>2</v>
      </c>
      <c r="I380" s="9">
        <v>16</v>
      </c>
      <c r="K380" s="9" t="s">
        <v>392</v>
      </c>
      <c r="L380" s="9">
        <v>0</v>
      </c>
      <c r="M380" s="9">
        <v>15</v>
      </c>
      <c r="R380" s="9">
        <v>666</v>
      </c>
      <c r="Z380" s="9">
        <v>211070001</v>
      </c>
      <c r="AA380" s="9" t="s">
        <v>607</v>
      </c>
      <c r="AB380" s="9">
        <v>16</v>
      </c>
      <c r="AD380" s="9">
        <v>28000</v>
      </c>
      <c r="AF380" s="89">
        <f t="shared" si="115"/>
        <v>14700</v>
      </c>
      <c r="AG380" s="9">
        <f t="shared" si="122"/>
        <v>26250</v>
      </c>
      <c r="AI380" s="11">
        <f t="shared" si="114"/>
        <v>80</v>
      </c>
      <c r="AJ380" s="10">
        <v>80</v>
      </c>
      <c r="AK380" s="11">
        <f t="shared" si="121"/>
        <v>700</v>
      </c>
      <c r="AL380" s="10">
        <v>700</v>
      </c>
      <c r="AM380" s="11">
        <f t="shared" si="121"/>
        <v>700</v>
      </c>
      <c r="AN380" s="10">
        <v>700</v>
      </c>
      <c r="AO380" s="56">
        <f t="shared" si="116"/>
        <v>2</v>
      </c>
      <c r="AQ380" s="11">
        <f ca="1">IFERROR(OFFSET(ITEM_RES!$A$1,MATCH(AR380,ITEM_RES!$J:$J,0)-1,0),0)</f>
        <v>215070001</v>
      </c>
      <c r="AR380" s="10" t="s">
        <v>492</v>
      </c>
      <c r="AS380" s="11">
        <v>3500</v>
      </c>
      <c r="AV380" s="11">
        <f ca="1">IFERROR(OFFSET(ITEM_RES!$A$1,MATCH(AW380,ITEM_RES!$J:$J,0)-1,0),0)</f>
        <v>211040001</v>
      </c>
      <c r="AW380" s="10" t="s">
        <v>502</v>
      </c>
      <c r="AX380" s="11">
        <v>3500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18"/>
        <v>112040017</v>
      </c>
      <c r="B381" s="13">
        <v>11</v>
      </c>
      <c r="C381" s="12">
        <f t="shared" si="119"/>
        <v>2</v>
      </c>
      <c r="D381" s="13">
        <v>4</v>
      </c>
      <c r="E381" s="13">
        <v>0</v>
      </c>
      <c r="F381" s="12">
        <f t="shared" si="120"/>
        <v>17</v>
      </c>
      <c r="H381" s="9">
        <v>2</v>
      </c>
      <c r="I381" s="9">
        <v>17</v>
      </c>
      <c r="K381" s="9" t="s">
        <v>392</v>
      </c>
      <c r="L381" s="9">
        <v>0</v>
      </c>
      <c r="M381" s="9">
        <v>15</v>
      </c>
      <c r="R381" s="9">
        <v>666</v>
      </c>
      <c r="Z381" s="9">
        <v>211070001</v>
      </c>
      <c r="AA381" s="9" t="s">
        <v>607</v>
      </c>
      <c r="AB381" s="9">
        <v>17</v>
      </c>
      <c r="AD381" s="9">
        <v>34000</v>
      </c>
      <c r="AF381" s="89">
        <f t="shared" si="115"/>
        <v>17850</v>
      </c>
      <c r="AG381" s="9">
        <f t="shared" si="122"/>
        <v>32550</v>
      </c>
      <c r="AI381" s="11">
        <f t="shared" si="114"/>
        <v>85</v>
      </c>
      <c r="AJ381" s="10">
        <v>85</v>
      </c>
      <c r="AK381" s="11">
        <f t="shared" si="121"/>
        <v>850</v>
      </c>
      <c r="AL381" s="10">
        <v>850</v>
      </c>
      <c r="AM381" s="11">
        <f t="shared" si="121"/>
        <v>850</v>
      </c>
      <c r="AN381" s="10">
        <v>850</v>
      </c>
      <c r="AO381" s="56">
        <f t="shared" si="116"/>
        <v>2</v>
      </c>
      <c r="AQ381" s="11">
        <f ca="1">IFERROR(OFFSET(ITEM_RES!$A$1,MATCH(AR381,ITEM_RES!$J:$J,0)-1,0),0)</f>
        <v>215070001</v>
      </c>
      <c r="AR381" s="10" t="s">
        <v>492</v>
      </c>
      <c r="AS381" s="11">
        <v>4250</v>
      </c>
      <c r="AV381" s="11">
        <f ca="1">IFERROR(OFFSET(ITEM_RES!$A$1,MATCH(AW381,ITEM_RES!$J:$J,0)-1,0),0)</f>
        <v>211040001</v>
      </c>
      <c r="AW381" s="10" t="s">
        <v>502</v>
      </c>
      <c r="AX381" s="11">
        <v>4250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18"/>
        <v>112040018</v>
      </c>
      <c r="B382" s="13">
        <v>11</v>
      </c>
      <c r="C382" s="12">
        <f t="shared" si="119"/>
        <v>2</v>
      </c>
      <c r="D382" s="13">
        <v>4</v>
      </c>
      <c r="E382" s="13">
        <v>0</v>
      </c>
      <c r="F382" s="12">
        <f t="shared" si="120"/>
        <v>18</v>
      </c>
      <c r="H382" s="9">
        <v>2</v>
      </c>
      <c r="I382" s="9">
        <v>18</v>
      </c>
      <c r="K382" s="9" t="s">
        <v>392</v>
      </c>
      <c r="L382" s="9">
        <v>0</v>
      </c>
      <c r="M382" s="9">
        <v>15</v>
      </c>
      <c r="R382" s="9">
        <v>666</v>
      </c>
      <c r="Z382" s="9">
        <v>211070001</v>
      </c>
      <c r="AA382" s="9" t="s">
        <v>607</v>
      </c>
      <c r="AB382" s="9">
        <v>18</v>
      </c>
      <c r="AD382" s="9">
        <v>42000</v>
      </c>
      <c r="AF382" s="89">
        <f t="shared" si="115"/>
        <v>22050</v>
      </c>
      <c r="AG382" s="9">
        <f t="shared" si="122"/>
        <v>39900</v>
      </c>
      <c r="AI382" s="11">
        <f t="shared" si="114"/>
        <v>90</v>
      </c>
      <c r="AJ382" s="10">
        <v>90</v>
      </c>
      <c r="AK382" s="11">
        <f t="shared" si="121"/>
        <v>1050</v>
      </c>
      <c r="AL382" s="10">
        <v>1050</v>
      </c>
      <c r="AM382" s="11">
        <f t="shared" si="121"/>
        <v>1050</v>
      </c>
      <c r="AN382" s="10">
        <v>1050</v>
      </c>
      <c r="AO382" s="56">
        <f t="shared" si="116"/>
        <v>2</v>
      </c>
      <c r="AQ382" s="11">
        <f ca="1">IFERROR(OFFSET(ITEM_RES!$A$1,MATCH(AR382,ITEM_RES!$J:$J,0)-1,0),0)</f>
        <v>215070001</v>
      </c>
      <c r="AR382" s="10" t="s">
        <v>492</v>
      </c>
      <c r="AS382" s="11">
        <v>5250</v>
      </c>
      <c r="AV382" s="11">
        <f ca="1">IFERROR(OFFSET(ITEM_RES!$A$1,MATCH(AW382,ITEM_RES!$J:$J,0)-1,0),0)</f>
        <v>211040001</v>
      </c>
      <c r="AW382" s="10" t="s">
        <v>502</v>
      </c>
      <c r="AX382" s="11">
        <v>5250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18"/>
        <v>112040019</v>
      </c>
      <c r="B383" s="13">
        <v>11</v>
      </c>
      <c r="C383" s="12">
        <f t="shared" si="119"/>
        <v>2</v>
      </c>
      <c r="D383" s="13">
        <v>4</v>
      </c>
      <c r="E383" s="13">
        <v>0</v>
      </c>
      <c r="F383" s="12">
        <f t="shared" si="120"/>
        <v>19</v>
      </c>
      <c r="H383" s="9">
        <v>2</v>
      </c>
      <c r="I383" s="9">
        <v>19</v>
      </c>
      <c r="K383" s="9" t="s">
        <v>392</v>
      </c>
      <c r="L383" s="9">
        <v>0</v>
      </c>
      <c r="M383" s="9">
        <v>15</v>
      </c>
      <c r="R383" s="9">
        <v>666</v>
      </c>
      <c r="Z383" s="9">
        <v>211070001</v>
      </c>
      <c r="AA383" s="9" t="s">
        <v>607</v>
      </c>
      <c r="AB383" s="9">
        <v>19</v>
      </c>
      <c r="AD383" s="9">
        <v>50000</v>
      </c>
      <c r="AF383" s="89">
        <f t="shared" si="115"/>
        <v>26250</v>
      </c>
      <c r="AG383" s="9">
        <f t="shared" si="122"/>
        <v>48300</v>
      </c>
      <c r="AI383" s="11">
        <f t="shared" si="114"/>
        <v>95</v>
      </c>
      <c r="AJ383" s="10">
        <v>95</v>
      </c>
      <c r="AK383" s="11">
        <f t="shared" si="121"/>
        <v>1250</v>
      </c>
      <c r="AL383" s="10">
        <v>1250</v>
      </c>
      <c r="AM383" s="11">
        <f t="shared" si="121"/>
        <v>1250</v>
      </c>
      <c r="AN383" s="10">
        <v>1250</v>
      </c>
      <c r="AO383" s="56">
        <f t="shared" si="116"/>
        <v>2</v>
      </c>
      <c r="AQ383" s="11">
        <f ca="1">IFERROR(OFFSET(ITEM_RES!$A$1,MATCH(AR383,ITEM_RES!$J:$J,0)-1,0),0)</f>
        <v>215070001</v>
      </c>
      <c r="AR383" s="10" t="s">
        <v>492</v>
      </c>
      <c r="AS383" s="11">
        <v>6250</v>
      </c>
      <c r="AV383" s="11">
        <f ca="1">IFERROR(OFFSET(ITEM_RES!$A$1,MATCH(AW383,ITEM_RES!$J:$J,0)-1,0),0)</f>
        <v>211040001</v>
      </c>
      <c r="AW383" s="10" t="s">
        <v>502</v>
      </c>
      <c r="AX383" s="11">
        <v>6250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18"/>
        <v>112040020</v>
      </c>
      <c r="B384" s="13">
        <v>11</v>
      </c>
      <c r="C384" s="12">
        <f t="shared" si="119"/>
        <v>2</v>
      </c>
      <c r="D384" s="13">
        <v>4</v>
      </c>
      <c r="E384" s="13">
        <v>0</v>
      </c>
      <c r="F384" s="12">
        <f t="shared" si="120"/>
        <v>20</v>
      </c>
      <c r="H384" s="9">
        <v>2</v>
      </c>
      <c r="I384" s="9">
        <v>20</v>
      </c>
      <c r="K384" s="9" t="s">
        <v>392</v>
      </c>
      <c r="L384" s="9">
        <v>0</v>
      </c>
      <c r="M384" s="9">
        <v>15</v>
      </c>
      <c r="R384" s="9">
        <v>666</v>
      </c>
      <c r="Z384" s="9">
        <v>211070001</v>
      </c>
      <c r="AA384" s="9" t="s">
        <v>607</v>
      </c>
      <c r="AB384" s="9">
        <v>20</v>
      </c>
      <c r="AD384" s="9">
        <v>60000</v>
      </c>
      <c r="AF384" s="89">
        <f t="shared" si="115"/>
        <v>31500</v>
      </c>
      <c r="AG384" s="9">
        <f t="shared" si="122"/>
        <v>57750</v>
      </c>
      <c r="AI384" s="11">
        <f t="shared" si="114"/>
        <v>100</v>
      </c>
      <c r="AJ384" s="10">
        <v>100</v>
      </c>
      <c r="AK384" s="11">
        <f t="shared" si="121"/>
        <v>1500</v>
      </c>
      <c r="AL384" s="10">
        <v>1500</v>
      </c>
      <c r="AM384" s="11">
        <f t="shared" si="121"/>
        <v>1500</v>
      </c>
      <c r="AN384" s="10">
        <v>1500</v>
      </c>
      <c r="AO384" s="56">
        <f t="shared" si="116"/>
        <v>2</v>
      </c>
      <c r="AQ384" s="11">
        <f ca="1">IFERROR(OFFSET(ITEM_RES!$A$1,MATCH(AR384,ITEM_RES!$J:$J,0)-1,0),0)</f>
        <v>215070001</v>
      </c>
      <c r="AR384" s="10" t="s">
        <v>492</v>
      </c>
      <c r="AS384" s="11">
        <v>7500</v>
      </c>
      <c r="AV384" s="11">
        <f ca="1">IFERROR(OFFSET(ITEM_RES!$A$1,MATCH(AW384,ITEM_RES!$J:$J,0)-1,0),0)</f>
        <v>211040001</v>
      </c>
      <c r="AW384" s="10" t="s">
        <v>502</v>
      </c>
      <c r="AX384" s="11">
        <v>7500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si="118"/>
        <v>114030001</v>
      </c>
      <c r="B385" s="20">
        <v>11</v>
      </c>
      <c r="C385" s="19">
        <f t="shared" si="119"/>
        <v>4</v>
      </c>
      <c r="D385" s="20">
        <v>3</v>
      </c>
      <c r="E385" s="20">
        <v>0</v>
      </c>
      <c r="F385" s="19">
        <f t="shared" si="120"/>
        <v>1</v>
      </c>
      <c r="G385" s="80"/>
      <c r="H385" s="16">
        <v>4</v>
      </c>
      <c r="I385" s="16">
        <v>1</v>
      </c>
      <c r="J385" s="80"/>
      <c r="K385" s="16" t="s">
        <v>468</v>
      </c>
      <c r="L385" s="16">
        <v>1</v>
      </c>
      <c r="M385" s="16">
        <v>15</v>
      </c>
      <c r="N385" s="16"/>
      <c r="O385" s="17"/>
      <c r="P385" s="17"/>
      <c r="Q385" s="18"/>
      <c r="R385" s="16">
        <v>777</v>
      </c>
      <c r="S385" s="88"/>
      <c r="T385" s="80"/>
      <c r="U385" s="88"/>
      <c r="V385" s="88"/>
      <c r="W385" s="88"/>
      <c r="X385" s="88"/>
      <c r="Y385" s="88"/>
      <c r="Z385" s="16">
        <v>215070001</v>
      </c>
      <c r="AA385" s="16" t="s">
        <v>608</v>
      </c>
      <c r="AB385" s="16">
        <v>1</v>
      </c>
      <c r="AC385" s="80"/>
      <c r="AD385" s="16">
        <v>100</v>
      </c>
      <c r="AE385" s="80"/>
      <c r="AF385" s="91">
        <f t="shared" si="115"/>
        <v>605</v>
      </c>
      <c r="AG385" s="16">
        <f>AF385</f>
        <v>605</v>
      </c>
      <c r="AH385" s="80"/>
      <c r="AI385" s="18">
        <f t="shared" si="114"/>
        <v>5</v>
      </c>
      <c r="AJ385" s="17">
        <v>5</v>
      </c>
      <c r="AK385" s="18">
        <f t="shared" si="121"/>
        <v>5</v>
      </c>
      <c r="AL385" s="17">
        <v>5</v>
      </c>
      <c r="AM385" s="18">
        <f t="shared" si="121"/>
        <v>5</v>
      </c>
      <c r="AN385" s="17">
        <v>5</v>
      </c>
      <c r="AO385" s="57">
        <f t="shared" si="116"/>
        <v>3</v>
      </c>
      <c r="AP385" s="18"/>
      <c r="AQ385" s="18">
        <f ca="1">IFERROR(OFFSET(ITEM_RES!$A$1,MATCH(AR385,ITEM_RES!$J:$J,0)-1,0),0)</f>
        <v>212010001</v>
      </c>
      <c r="AR385" s="17" t="s">
        <v>484</v>
      </c>
      <c r="AS385" s="18">
        <v>25</v>
      </c>
      <c r="AT385" s="17"/>
      <c r="AU385" s="18"/>
      <c r="AV385" s="18">
        <f ca="1">IFERROR(OFFSET(ITEM_RES!$A$1,MATCH(AW385,ITEM_RES!$J:$J,0)-1,0),0)</f>
        <v>212040001</v>
      </c>
      <c r="AW385" s="17" t="s">
        <v>485</v>
      </c>
      <c r="AX385" s="18">
        <v>25</v>
      </c>
      <c r="AY385" s="17"/>
      <c r="AZ385" s="18"/>
      <c r="BA385" s="18">
        <f ca="1">IFERROR(OFFSET(ITEM_RES!$A$1,MATCH(BB385,ITEM_RES!$J:$J,0)-1,0),0)</f>
        <v>213010001</v>
      </c>
      <c r="BB385" s="17" t="s">
        <v>509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8"/>
        <v>114030002</v>
      </c>
      <c r="B386" s="13">
        <v>11</v>
      </c>
      <c r="C386" s="12">
        <f t="shared" si="119"/>
        <v>4</v>
      </c>
      <c r="D386" s="13">
        <v>3</v>
      </c>
      <c r="E386" s="13">
        <v>0</v>
      </c>
      <c r="F386" s="12">
        <f t="shared" si="120"/>
        <v>2</v>
      </c>
      <c r="H386" s="9">
        <v>4</v>
      </c>
      <c r="I386" s="9">
        <v>2</v>
      </c>
      <c r="K386" s="9" t="s">
        <v>468</v>
      </c>
      <c r="L386" s="9">
        <v>1</v>
      </c>
      <c r="M386" s="9">
        <v>15</v>
      </c>
      <c r="R386" s="9">
        <v>777</v>
      </c>
      <c r="Z386" s="9">
        <v>215070001</v>
      </c>
      <c r="AA386" s="9" t="s">
        <v>608</v>
      </c>
      <c r="AB386" s="9">
        <v>2</v>
      </c>
      <c r="AD386" s="9">
        <v>200</v>
      </c>
      <c r="AF386" s="89">
        <f t="shared" si="115"/>
        <v>210</v>
      </c>
      <c r="AG386" s="9">
        <f>AF385+AF386</f>
        <v>815</v>
      </c>
      <c r="AI386" s="11">
        <f t="shared" si="114"/>
        <v>10</v>
      </c>
      <c r="AJ386" s="10">
        <v>10</v>
      </c>
      <c r="AK386" s="11">
        <f t="shared" si="121"/>
        <v>10</v>
      </c>
      <c r="AL386" s="10">
        <v>10</v>
      </c>
      <c r="AM386" s="11">
        <f t="shared" si="121"/>
        <v>10</v>
      </c>
      <c r="AN386" s="10">
        <v>10</v>
      </c>
      <c r="AO386" s="56">
        <f t="shared" si="116"/>
        <v>2</v>
      </c>
      <c r="AQ386" s="11">
        <f ca="1">IFERROR(OFFSET(ITEM_RES!$A$1,MATCH(AR386,ITEM_RES!$J:$J,0)-1,0),0)</f>
        <v>212010001</v>
      </c>
      <c r="AR386" s="10" t="s">
        <v>484</v>
      </c>
      <c r="AS386" s="11">
        <v>50</v>
      </c>
      <c r="AV386" s="11">
        <f ca="1">IFERROR(OFFSET(ITEM_RES!$A$1,MATCH(AW386,ITEM_RES!$J:$J,0)-1,0),0)</f>
        <v>212040001</v>
      </c>
      <c r="AW386" s="10" t="s">
        <v>485</v>
      </c>
      <c r="AX386" s="11">
        <v>50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8"/>
        <v>114030003</v>
      </c>
      <c r="B387" s="13">
        <v>11</v>
      </c>
      <c r="C387" s="12">
        <f t="shared" si="119"/>
        <v>4</v>
      </c>
      <c r="D387" s="13">
        <v>3</v>
      </c>
      <c r="E387" s="13">
        <v>0</v>
      </c>
      <c r="F387" s="12">
        <f t="shared" si="120"/>
        <v>3</v>
      </c>
      <c r="H387" s="9">
        <v>4</v>
      </c>
      <c r="I387" s="9">
        <v>3</v>
      </c>
      <c r="K387" s="9" t="s">
        <v>468</v>
      </c>
      <c r="L387" s="9">
        <v>1</v>
      </c>
      <c r="M387" s="9">
        <v>15</v>
      </c>
      <c r="R387" s="9">
        <v>777</v>
      </c>
      <c r="Z387" s="9">
        <v>215070001</v>
      </c>
      <c r="AA387" s="9" t="s">
        <v>608</v>
      </c>
      <c r="AB387" s="9">
        <v>3</v>
      </c>
      <c r="AD387" s="9">
        <v>600</v>
      </c>
      <c r="AF387" s="89">
        <f t="shared" si="115"/>
        <v>315</v>
      </c>
      <c r="AG387" s="9">
        <f t="shared" ref="AG387:AG404" si="123">AF386+AF387</f>
        <v>525</v>
      </c>
      <c r="AI387" s="11">
        <f t="shared" si="114"/>
        <v>15</v>
      </c>
      <c r="AJ387" s="10">
        <v>15</v>
      </c>
      <c r="AK387" s="11">
        <f t="shared" si="121"/>
        <v>15</v>
      </c>
      <c r="AL387" s="10">
        <v>15</v>
      </c>
      <c r="AM387" s="11">
        <f t="shared" si="121"/>
        <v>15</v>
      </c>
      <c r="AN387" s="10">
        <v>15</v>
      </c>
      <c r="AO387" s="56">
        <f t="shared" si="116"/>
        <v>2</v>
      </c>
      <c r="AQ387" s="11">
        <f ca="1">IFERROR(OFFSET(ITEM_RES!$A$1,MATCH(AR387,ITEM_RES!$J:$J,0)-1,0),0)</f>
        <v>212010001</v>
      </c>
      <c r="AR387" s="10" t="s">
        <v>484</v>
      </c>
      <c r="AS387" s="11">
        <v>75</v>
      </c>
      <c r="AV387" s="11">
        <f ca="1">IFERROR(OFFSET(ITEM_RES!$A$1,MATCH(AW387,ITEM_RES!$J:$J,0)-1,0),0)</f>
        <v>212040001</v>
      </c>
      <c r="AW387" s="10" t="s">
        <v>485</v>
      </c>
      <c r="AX387" s="11">
        <v>75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8"/>
        <v>114030004</v>
      </c>
      <c r="B388" s="13">
        <v>11</v>
      </c>
      <c r="C388" s="12">
        <f t="shared" si="119"/>
        <v>4</v>
      </c>
      <c r="D388" s="13">
        <v>3</v>
      </c>
      <c r="E388" s="13">
        <v>0</v>
      </c>
      <c r="F388" s="12">
        <f t="shared" si="120"/>
        <v>4</v>
      </c>
      <c r="H388" s="9">
        <v>4</v>
      </c>
      <c r="I388" s="9">
        <v>4</v>
      </c>
      <c r="K388" s="9" t="s">
        <v>468</v>
      </c>
      <c r="L388" s="9">
        <v>1</v>
      </c>
      <c r="M388" s="9">
        <v>15</v>
      </c>
      <c r="R388" s="9">
        <v>777</v>
      </c>
      <c r="Z388" s="9">
        <v>215070001</v>
      </c>
      <c r="AA388" s="9" t="s">
        <v>608</v>
      </c>
      <c r="AB388" s="9">
        <v>4</v>
      </c>
      <c r="AD388" s="9">
        <v>1000</v>
      </c>
      <c r="AF388" s="89">
        <f t="shared" si="115"/>
        <v>525</v>
      </c>
      <c r="AG388" s="9">
        <f t="shared" si="123"/>
        <v>840</v>
      </c>
      <c r="AI388" s="11">
        <f t="shared" si="114"/>
        <v>20</v>
      </c>
      <c r="AJ388" s="10">
        <v>20</v>
      </c>
      <c r="AK388" s="11">
        <f t="shared" si="121"/>
        <v>25</v>
      </c>
      <c r="AL388" s="10">
        <v>25</v>
      </c>
      <c r="AM388" s="11">
        <f t="shared" si="121"/>
        <v>25</v>
      </c>
      <c r="AN388" s="10">
        <v>25</v>
      </c>
      <c r="AO388" s="56">
        <f t="shared" si="116"/>
        <v>2</v>
      </c>
      <c r="AQ388" s="11">
        <f ca="1">IFERROR(OFFSET(ITEM_RES!$A$1,MATCH(AR388,ITEM_RES!$J:$J,0)-1,0),0)</f>
        <v>212010001</v>
      </c>
      <c r="AR388" s="10" t="s">
        <v>484</v>
      </c>
      <c r="AS388" s="11">
        <v>125</v>
      </c>
      <c r="AV388" s="11">
        <f ca="1">IFERROR(OFFSET(ITEM_RES!$A$1,MATCH(AW388,ITEM_RES!$J:$J,0)-1,0),0)</f>
        <v>212040001</v>
      </c>
      <c r="AW388" s="10" t="s">
        <v>485</v>
      </c>
      <c r="AX388" s="11">
        <v>125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8"/>
        <v>114030005</v>
      </c>
      <c r="B389" s="13">
        <v>11</v>
      </c>
      <c r="C389" s="12">
        <f t="shared" si="119"/>
        <v>4</v>
      </c>
      <c r="D389" s="13">
        <v>3</v>
      </c>
      <c r="E389" s="13">
        <v>0</v>
      </c>
      <c r="F389" s="12">
        <f t="shared" si="120"/>
        <v>5</v>
      </c>
      <c r="H389" s="9">
        <v>4</v>
      </c>
      <c r="I389" s="9">
        <v>5</v>
      </c>
      <c r="K389" s="9" t="s">
        <v>468</v>
      </c>
      <c r="L389" s="9">
        <v>1</v>
      </c>
      <c r="M389" s="9">
        <v>15</v>
      </c>
      <c r="R389" s="9">
        <v>777</v>
      </c>
      <c r="Z389" s="9">
        <v>215070001</v>
      </c>
      <c r="AA389" s="9" t="s">
        <v>608</v>
      </c>
      <c r="AB389" s="9">
        <v>5</v>
      </c>
      <c r="AD389" s="9">
        <v>1600</v>
      </c>
      <c r="AF389" s="89">
        <f t="shared" si="115"/>
        <v>840</v>
      </c>
      <c r="AG389" s="9">
        <f t="shared" si="123"/>
        <v>1365</v>
      </c>
      <c r="AI389" s="11">
        <f t="shared" si="114"/>
        <v>25</v>
      </c>
      <c r="AJ389" s="10">
        <v>25</v>
      </c>
      <c r="AK389" s="11">
        <f t="shared" si="121"/>
        <v>40</v>
      </c>
      <c r="AL389" s="10">
        <v>40</v>
      </c>
      <c r="AM389" s="11">
        <f t="shared" si="121"/>
        <v>40</v>
      </c>
      <c r="AN389" s="10">
        <v>40</v>
      </c>
      <c r="AO389" s="56">
        <f t="shared" si="116"/>
        <v>2</v>
      </c>
      <c r="AQ389" s="11">
        <f ca="1">IFERROR(OFFSET(ITEM_RES!$A$1,MATCH(AR389,ITEM_RES!$J:$J,0)-1,0),0)</f>
        <v>212010001</v>
      </c>
      <c r="AR389" s="10" t="s">
        <v>484</v>
      </c>
      <c r="AS389" s="11">
        <v>200</v>
      </c>
      <c r="AV389" s="11">
        <f ca="1">IFERROR(OFFSET(ITEM_RES!$A$1,MATCH(AW389,ITEM_RES!$J:$J,0)-1,0),0)</f>
        <v>212040001</v>
      </c>
      <c r="AW389" s="10" t="s">
        <v>485</v>
      </c>
      <c r="AX389" s="11">
        <v>200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8"/>
        <v>114030006</v>
      </c>
      <c r="B390" s="13">
        <v>11</v>
      </c>
      <c r="C390" s="12">
        <f t="shared" si="119"/>
        <v>4</v>
      </c>
      <c r="D390" s="13">
        <v>3</v>
      </c>
      <c r="E390" s="13">
        <v>0</v>
      </c>
      <c r="F390" s="12">
        <f t="shared" si="120"/>
        <v>6</v>
      </c>
      <c r="H390" s="9">
        <v>4</v>
      </c>
      <c r="I390" s="9">
        <v>6</v>
      </c>
      <c r="K390" s="9" t="s">
        <v>468</v>
      </c>
      <c r="L390" s="9">
        <v>1</v>
      </c>
      <c r="M390" s="9">
        <v>15</v>
      </c>
      <c r="R390" s="9">
        <v>777</v>
      </c>
      <c r="Z390" s="9">
        <v>215070001</v>
      </c>
      <c r="AA390" s="9" t="s">
        <v>608</v>
      </c>
      <c r="AB390" s="9">
        <v>6</v>
      </c>
      <c r="AD390" s="9">
        <v>2000</v>
      </c>
      <c r="AF390" s="89">
        <f t="shared" si="115"/>
        <v>1550</v>
      </c>
      <c r="AG390" s="9">
        <f t="shared" si="123"/>
        <v>2390</v>
      </c>
      <c r="AI390" s="11">
        <f t="shared" si="114"/>
        <v>30</v>
      </c>
      <c r="AJ390" s="10">
        <v>30</v>
      </c>
      <c r="AK390" s="11">
        <f t="shared" si="121"/>
        <v>50</v>
      </c>
      <c r="AL390" s="10">
        <v>50</v>
      </c>
      <c r="AM390" s="11">
        <f t="shared" si="121"/>
        <v>50</v>
      </c>
      <c r="AN390" s="10">
        <v>50</v>
      </c>
      <c r="AO390" s="56">
        <f t="shared" si="116"/>
        <v>3</v>
      </c>
      <c r="AQ390" s="11">
        <f ca="1">IFERROR(OFFSET(ITEM_RES!$A$1,MATCH(AR390,ITEM_RES!$J:$J,0)-1,0),0)</f>
        <v>212010001</v>
      </c>
      <c r="AR390" s="10" t="s">
        <v>484</v>
      </c>
      <c r="AS390" s="11">
        <v>250</v>
      </c>
      <c r="AV390" s="11">
        <f ca="1">IFERROR(OFFSET(ITEM_RES!$A$1,MATCH(AW390,ITEM_RES!$J:$J,0)-1,0),0)</f>
        <v>212040001</v>
      </c>
      <c r="AW390" s="10" t="s">
        <v>485</v>
      </c>
      <c r="AX390" s="11">
        <v>250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213130001</v>
      </c>
      <c r="BG390" s="10" t="s">
        <v>526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8"/>
        <v>114030007</v>
      </c>
      <c r="B391" s="13">
        <v>11</v>
      </c>
      <c r="C391" s="12">
        <f t="shared" si="119"/>
        <v>4</v>
      </c>
      <c r="D391" s="13">
        <v>3</v>
      </c>
      <c r="E391" s="13">
        <v>0</v>
      </c>
      <c r="F391" s="12">
        <f t="shared" si="120"/>
        <v>7</v>
      </c>
      <c r="H391" s="9">
        <v>4</v>
      </c>
      <c r="I391" s="9">
        <v>7</v>
      </c>
      <c r="K391" s="9" t="s">
        <v>468</v>
      </c>
      <c r="L391" s="9">
        <v>1</v>
      </c>
      <c r="M391" s="9">
        <v>15</v>
      </c>
      <c r="R391" s="9">
        <v>777</v>
      </c>
      <c r="Z391" s="9">
        <v>215070001</v>
      </c>
      <c r="AA391" s="9" t="s">
        <v>608</v>
      </c>
      <c r="AB391" s="9">
        <v>7</v>
      </c>
      <c r="AD391" s="9">
        <v>4000</v>
      </c>
      <c r="AF391" s="89">
        <f t="shared" si="115"/>
        <v>2100</v>
      </c>
      <c r="AG391" s="9">
        <f t="shared" si="123"/>
        <v>3650</v>
      </c>
      <c r="AI391" s="11">
        <f t="shared" si="114"/>
        <v>35</v>
      </c>
      <c r="AJ391" s="10">
        <v>35</v>
      </c>
      <c r="AK391" s="11">
        <f t="shared" si="121"/>
        <v>100</v>
      </c>
      <c r="AL391" s="10">
        <v>100</v>
      </c>
      <c r="AM391" s="11">
        <f t="shared" si="121"/>
        <v>100</v>
      </c>
      <c r="AN391" s="10">
        <v>100</v>
      </c>
      <c r="AO391" s="56">
        <f t="shared" si="116"/>
        <v>2</v>
      </c>
      <c r="AQ391" s="11">
        <f ca="1">IFERROR(OFFSET(ITEM_RES!$A$1,MATCH(AR391,ITEM_RES!$J:$J,0)-1,0),0)</f>
        <v>212010001</v>
      </c>
      <c r="AR391" s="10" t="s">
        <v>484</v>
      </c>
      <c r="AS391" s="11">
        <v>500</v>
      </c>
      <c r="AV391" s="11">
        <f ca="1">IFERROR(OFFSET(ITEM_RES!$A$1,MATCH(AW391,ITEM_RES!$J:$J,0)-1,0),0)</f>
        <v>212040001</v>
      </c>
      <c r="AW391" s="10" t="s">
        <v>485</v>
      </c>
      <c r="AX391" s="11">
        <v>500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8"/>
        <v>114030008</v>
      </c>
      <c r="B392" s="13">
        <v>11</v>
      </c>
      <c r="C392" s="12">
        <f t="shared" si="119"/>
        <v>4</v>
      </c>
      <c r="D392" s="13">
        <v>3</v>
      </c>
      <c r="E392" s="13">
        <v>0</v>
      </c>
      <c r="F392" s="12">
        <f t="shared" si="120"/>
        <v>8</v>
      </c>
      <c r="H392" s="9">
        <v>4</v>
      </c>
      <c r="I392" s="9">
        <v>8</v>
      </c>
      <c r="K392" s="9" t="s">
        <v>468</v>
      </c>
      <c r="L392" s="9">
        <v>1</v>
      </c>
      <c r="M392" s="9">
        <v>15</v>
      </c>
      <c r="R392" s="9">
        <v>777</v>
      </c>
      <c r="Z392" s="9">
        <v>215070001</v>
      </c>
      <c r="AA392" s="9" t="s">
        <v>608</v>
      </c>
      <c r="AB392" s="9">
        <v>8</v>
      </c>
      <c r="AD392" s="9">
        <v>4000</v>
      </c>
      <c r="AF392" s="89">
        <f t="shared" si="115"/>
        <v>2100</v>
      </c>
      <c r="AG392" s="9">
        <f t="shared" si="123"/>
        <v>4200</v>
      </c>
      <c r="AI392" s="11">
        <f t="shared" si="114"/>
        <v>40</v>
      </c>
      <c r="AJ392" s="10">
        <v>40</v>
      </c>
      <c r="AK392" s="11">
        <f t="shared" si="121"/>
        <v>100</v>
      </c>
      <c r="AL392" s="10">
        <v>100</v>
      </c>
      <c r="AM392" s="11">
        <f t="shared" si="121"/>
        <v>100</v>
      </c>
      <c r="AN392" s="10">
        <v>100</v>
      </c>
      <c r="AO392" s="56">
        <f t="shared" si="116"/>
        <v>2</v>
      </c>
      <c r="AQ392" s="11">
        <f ca="1">IFERROR(OFFSET(ITEM_RES!$A$1,MATCH(AR392,ITEM_RES!$J:$J,0)-1,0),0)</f>
        <v>212010001</v>
      </c>
      <c r="AR392" s="10" t="s">
        <v>484</v>
      </c>
      <c r="AS392" s="11">
        <v>500</v>
      </c>
      <c r="AV392" s="11">
        <f ca="1">IFERROR(OFFSET(ITEM_RES!$A$1,MATCH(AW392,ITEM_RES!$J:$J,0)-1,0),0)</f>
        <v>212040001</v>
      </c>
      <c r="AW392" s="10" t="s">
        <v>485</v>
      </c>
      <c r="AX392" s="11">
        <v>500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8"/>
        <v>114030009</v>
      </c>
      <c r="B393" s="13">
        <v>11</v>
      </c>
      <c r="C393" s="12">
        <f t="shared" si="119"/>
        <v>4</v>
      </c>
      <c r="D393" s="13">
        <v>3</v>
      </c>
      <c r="E393" s="13">
        <v>0</v>
      </c>
      <c r="F393" s="12">
        <f t="shared" si="120"/>
        <v>9</v>
      </c>
      <c r="H393" s="9">
        <v>4</v>
      </c>
      <c r="I393" s="9">
        <v>9</v>
      </c>
      <c r="K393" s="9" t="s">
        <v>468</v>
      </c>
      <c r="L393" s="9">
        <v>1</v>
      </c>
      <c r="M393" s="9">
        <v>15</v>
      </c>
      <c r="R393" s="9">
        <v>777</v>
      </c>
      <c r="Z393" s="9">
        <v>215070001</v>
      </c>
      <c r="AA393" s="9" t="s">
        <v>608</v>
      </c>
      <c r="AB393" s="9">
        <v>9</v>
      </c>
      <c r="AD393" s="9">
        <v>6000</v>
      </c>
      <c r="AF393" s="89">
        <f t="shared" si="115"/>
        <v>3150</v>
      </c>
      <c r="AG393" s="9">
        <f t="shared" si="123"/>
        <v>5250</v>
      </c>
      <c r="AI393" s="11">
        <f t="shared" si="114"/>
        <v>45</v>
      </c>
      <c r="AJ393" s="10">
        <v>45</v>
      </c>
      <c r="AK393" s="11">
        <f t="shared" si="121"/>
        <v>150</v>
      </c>
      <c r="AL393" s="10">
        <v>150</v>
      </c>
      <c r="AM393" s="11">
        <f t="shared" si="121"/>
        <v>150</v>
      </c>
      <c r="AN393" s="10">
        <v>150</v>
      </c>
      <c r="AO393" s="56">
        <f t="shared" si="116"/>
        <v>2</v>
      </c>
      <c r="AQ393" s="11">
        <f ca="1">IFERROR(OFFSET(ITEM_RES!$A$1,MATCH(AR393,ITEM_RES!$J:$J,0)-1,0),0)</f>
        <v>212010001</v>
      </c>
      <c r="AR393" s="10" t="s">
        <v>484</v>
      </c>
      <c r="AS393" s="11">
        <v>750</v>
      </c>
      <c r="AV393" s="11">
        <f ca="1">IFERROR(OFFSET(ITEM_RES!$A$1,MATCH(AW393,ITEM_RES!$J:$J,0)-1,0),0)</f>
        <v>212040001</v>
      </c>
      <c r="AW393" s="10" t="s">
        <v>485</v>
      </c>
      <c r="AX393" s="11">
        <v>750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8"/>
        <v>114030010</v>
      </c>
      <c r="B394" s="13">
        <v>11</v>
      </c>
      <c r="C394" s="12">
        <f t="shared" si="119"/>
        <v>4</v>
      </c>
      <c r="D394" s="13">
        <v>3</v>
      </c>
      <c r="E394" s="13">
        <v>0</v>
      </c>
      <c r="F394" s="12">
        <f t="shared" si="120"/>
        <v>10</v>
      </c>
      <c r="H394" s="9">
        <v>4</v>
      </c>
      <c r="I394" s="9">
        <v>10</v>
      </c>
      <c r="K394" s="9" t="s">
        <v>468</v>
      </c>
      <c r="L394" s="9">
        <v>1</v>
      </c>
      <c r="M394" s="9">
        <v>15</v>
      </c>
      <c r="R394" s="9">
        <v>777</v>
      </c>
      <c r="Z394" s="9">
        <v>215070001</v>
      </c>
      <c r="AA394" s="9" t="s">
        <v>608</v>
      </c>
      <c r="AB394" s="9">
        <v>10</v>
      </c>
      <c r="AD394" s="9">
        <v>8000</v>
      </c>
      <c r="AF394" s="89">
        <f t="shared" si="115"/>
        <v>4200</v>
      </c>
      <c r="AG394" s="9">
        <f t="shared" si="123"/>
        <v>7350</v>
      </c>
      <c r="AI394" s="11">
        <f t="shared" si="114"/>
        <v>50</v>
      </c>
      <c r="AJ394" s="10">
        <v>50</v>
      </c>
      <c r="AK394" s="11">
        <f t="shared" si="121"/>
        <v>200</v>
      </c>
      <c r="AL394" s="10">
        <v>200</v>
      </c>
      <c r="AM394" s="11">
        <f t="shared" si="121"/>
        <v>200</v>
      </c>
      <c r="AN394" s="10">
        <v>200</v>
      </c>
      <c r="AO394" s="56">
        <f t="shared" si="116"/>
        <v>2</v>
      </c>
      <c r="AQ394" s="11">
        <f ca="1">IFERROR(OFFSET(ITEM_RES!$A$1,MATCH(AR394,ITEM_RES!$J:$J,0)-1,0),0)</f>
        <v>212010001</v>
      </c>
      <c r="AR394" s="10" t="s">
        <v>484</v>
      </c>
      <c r="AS394" s="11">
        <v>1000</v>
      </c>
      <c r="AV394" s="11">
        <f ca="1">IFERROR(OFFSET(ITEM_RES!$A$1,MATCH(AW394,ITEM_RES!$J:$J,0)-1,0),0)</f>
        <v>212040001</v>
      </c>
      <c r="AW394" s="10" t="s">
        <v>485</v>
      </c>
      <c r="AX394" s="11">
        <v>1000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8"/>
        <v>114030011</v>
      </c>
      <c r="B395" s="13">
        <v>11</v>
      </c>
      <c r="C395" s="12">
        <f t="shared" si="119"/>
        <v>4</v>
      </c>
      <c r="D395" s="13">
        <v>3</v>
      </c>
      <c r="E395" s="13">
        <v>0</v>
      </c>
      <c r="F395" s="12">
        <f t="shared" si="120"/>
        <v>11</v>
      </c>
      <c r="H395" s="9">
        <v>4</v>
      </c>
      <c r="I395" s="9">
        <v>11</v>
      </c>
      <c r="K395" s="9" t="s">
        <v>468</v>
      </c>
      <c r="L395" s="9">
        <v>1</v>
      </c>
      <c r="M395" s="9">
        <v>15</v>
      </c>
      <c r="R395" s="9">
        <v>777</v>
      </c>
      <c r="Z395" s="9">
        <v>215070001</v>
      </c>
      <c r="AA395" s="9" t="s">
        <v>608</v>
      </c>
      <c r="AB395" s="9">
        <v>11</v>
      </c>
      <c r="AD395" s="9">
        <v>10000</v>
      </c>
      <c r="AF395" s="89">
        <f t="shared" si="115"/>
        <v>5250</v>
      </c>
      <c r="AG395" s="9">
        <f t="shared" si="123"/>
        <v>9450</v>
      </c>
      <c r="AI395" s="11">
        <f t="shared" si="114"/>
        <v>55</v>
      </c>
      <c r="AJ395" s="10">
        <v>55</v>
      </c>
      <c r="AK395" s="11">
        <f t="shared" si="121"/>
        <v>250</v>
      </c>
      <c r="AL395" s="10">
        <v>250</v>
      </c>
      <c r="AM395" s="11">
        <f t="shared" si="121"/>
        <v>250</v>
      </c>
      <c r="AN395" s="10">
        <v>250</v>
      </c>
      <c r="AO395" s="56">
        <f t="shared" si="116"/>
        <v>2</v>
      </c>
      <c r="AQ395" s="11">
        <f ca="1">IFERROR(OFFSET(ITEM_RES!$A$1,MATCH(AR395,ITEM_RES!$J:$J,0)-1,0),0)</f>
        <v>212010001</v>
      </c>
      <c r="AR395" s="10" t="s">
        <v>484</v>
      </c>
      <c r="AS395" s="11">
        <v>1250</v>
      </c>
      <c r="AV395" s="11">
        <f ca="1">IFERROR(OFFSET(ITEM_RES!$A$1,MATCH(AW395,ITEM_RES!$J:$J,0)-1,0),0)</f>
        <v>212040001</v>
      </c>
      <c r="AW395" s="10" t="s">
        <v>485</v>
      </c>
      <c r="AX395" s="11">
        <v>1250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8"/>
        <v>114030012</v>
      </c>
      <c r="B396" s="13">
        <v>11</v>
      </c>
      <c r="C396" s="12">
        <f t="shared" si="119"/>
        <v>4</v>
      </c>
      <c r="D396" s="13">
        <v>3</v>
      </c>
      <c r="E396" s="13">
        <v>0</v>
      </c>
      <c r="F396" s="12">
        <f t="shared" si="120"/>
        <v>12</v>
      </c>
      <c r="H396" s="9">
        <v>4</v>
      </c>
      <c r="I396" s="9">
        <v>12</v>
      </c>
      <c r="K396" s="9" t="s">
        <v>468</v>
      </c>
      <c r="L396" s="9">
        <v>1</v>
      </c>
      <c r="M396" s="9">
        <v>15</v>
      </c>
      <c r="R396" s="9">
        <v>777</v>
      </c>
      <c r="Z396" s="9">
        <v>215070001</v>
      </c>
      <c r="AA396" s="9" t="s">
        <v>608</v>
      </c>
      <c r="AB396" s="9">
        <v>12</v>
      </c>
      <c r="AD396" s="9">
        <v>12000</v>
      </c>
      <c r="AF396" s="89">
        <f t="shared" si="115"/>
        <v>6300</v>
      </c>
      <c r="AG396" s="9">
        <f t="shared" si="123"/>
        <v>11550</v>
      </c>
      <c r="AI396" s="11">
        <f t="shared" si="114"/>
        <v>60</v>
      </c>
      <c r="AJ396" s="10">
        <v>60</v>
      </c>
      <c r="AK396" s="11">
        <f t="shared" si="121"/>
        <v>300</v>
      </c>
      <c r="AL396" s="10">
        <v>300</v>
      </c>
      <c r="AM396" s="11">
        <f t="shared" si="121"/>
        <v>300</v>
      </c>
      <c r="AN396" s="10">
        <v>300</v>
      </c>
      <c r="AO396" s="56">
        <f t="shared" si="116"/>
        <v>2</v>
      </c>
      <c r="AQ396" s="11">
        <f ca="1">IFERROR(OFFSET(ITEM_RES!$A$1,MATCH(AR396,ITEM_RES!$J:$J,0)-1,0),0)</f>
        <v>212010001</v>
      </c>
      <c r="AR396" s="10" t="s">
        <v>484</v>
      </c>
      <c r="AS396" s="11">
        <v>1500</v>
      </c>
      <c r="AV396" s="11">
        <f ca="1">IFERROR(OFFSET(ITEM_RES!$A$1,MATCH(AW396,ITEM_RES!$J:$J,0)-1,0),0)</f>
        <v>212040001</v>
      </c>
      <c r="AW396" s="10" t="s">
        <v>485</v>
      </c>
      <c r="AX396" s="11">
        <v>1500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8"/>
        <v>114030013</v>
      </c>
      <c r="B397" s="13">
        <v>11</v>
      </c>
      <c r="C397" s="12">
        <f t="shared" si="119"/>
        <v>4</v>
      </c>
      <c r="D397" s="13">
        <v>3</v>
      </c>
      <c r="E397" s="13">
        <v>0</v>
      </c>
      <c r="F397" s="12">
        <f t="shared" si="120"/>
        <v>13</v>
      </c>
      <c r="H397" s="9">
        <v>4</v>
      </c>
      <c r="I397" s="9">
        <v>13</v>
      </c>
      <c r="K397" s="9" t="s">
        <v>468</v>
      </c>
      <c r="L397" s="9">
        <v>1</v>
      </c>
      <c r="M397" s="9">
        <v>15</v>
      </c>
      <c r="R397" s="9">
        <v>777</v>
      </c>
      <c r="Z397" s="9">
        <v>215070001</v>
      </c>
      <c r="AA397" s="9" t="s">
        <v>608</v>
      </c>
      <c r="AB397" s="9">
        <v>13</v>
      </c>
      <c r="AD397" s="9">
        <v>14000</v>
      </c>
      <c r="AF397" s="89">
        <f t="shared" si="115"/>
        <v>7350</v>
      </c>
      <c r="AG397" s="9">
        <f t="shared" si="123"/>
        <v>13650</v>
      </c>
      <c r="AI397" s="11">
        <f t="shared" si="114"/>
        <v>65</v>
      </c>
      <c r="AJ397" s="10">
        <v>65</v>
      </c>
      <c r="AK397" s="11">
        <f t="shared" si="121"/>
        <v>350</v>
      </c>
      <c r="AL397" s="10">
        <v>350</v>
      </c>
      <c r="AM397" s="11">
        <f t="shared" si="121"/>
        <v>350</v>
      </c>
      <c r="AN397" s="10">
        <v>350</v>
      </c>
      <c r="AO397" s="56">
        <f t="shared" si="116"/>
        <v>2</v>
      </c>
      <c r="AQ397" s="11">
        <f ca="1">IFERROR(OFFSET(ITEM_RES!$A$1,MATCH(AR397,ITEM_RES!$J:$J,0)-1,0),0)</f>
        <v>212010001</v>
      </c>
      <c r="AR397" s="10" t="s">
        <v>484</v>
      </c>
      <c r="AS397" s="11">
        <v>1750</v>
      </c>
      <c r="AV397" s="11">
        <f ca="1">IFERROR(OFFSET(ITEM_RES!$A$1,MATCH(AW397,ITEM_RES!$J:$J,0)-1,0),0)</f>
        <v>212040001</v>
      </c>
      <c r="AW397" s="10" t="s">
        <v>485</v>
      </c>
      <c r="AX397" s="11">
        <v>1750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8"/>
        <v>114030014</v>
      </c>
      <c r="B398" s="13">
        <v>11</v>
      </c>
      <c r="C398" s="12">
        <f t="shared" si="119"/>
        <v>4</v>
      </c>
      <c r="D398" s="13">
        <v>3</v>
      </c>
      <c r="E398" s="13">
        <v>0</v>
      </c>
      <c r="F398" s="12">
        <f t="shared" si="120"/>
        <v>14</v>
      </c>
      <c r="H398" s="9">
        <v>4</v>
      </c>
      <c r="I398" s="9">
        <v>14</v>
      </c>
      <c r="K398" s="9" t="s">
        <v>468</v>
      </c>
      <c r="L398" s="9">
        <v>1</v>
      </c>
      <c r="M398" s="9">
        <v>15</v>
      </c>
      <c r="R398" s="9">
        <v>777</v>
      </c>
      <c r="Z398" s="9">
        <v>215070001</v>
      </c>
      <c r="AA398" s="9" t="s">
        <v>608</v>
      </c>
      <c r="AB398" s="9">
        <v>14</v>
      </c>
      <c r="AD398" s="9">
        <v>18000</v>
      </c>
      <c r="AF398" s="89">
        <f t="shared" si="115"/>
        <v>9450</v>
      </c>
      <c r="AG398" s="9">
        <f t="shared" si="123"/>
        <v>16800</v>
      </c>
      <c r="AI398" s="11">
        <f t="shared" si="114"/>
        <v>70</v>
      </c>
      <c r="AJ398" s="10">
        <v>70</v>
      </c>
      <c r="AK398" s="11">
        <f t="shared" si="121"/>
        <v>450</v>
      </c>
      <c r="AL398" s="10">
        <v>450</v>
      </c>
      <c r="AM398" s="11">
        <f t="shared" si="121"/>
        <v>450</v>
      </c>
      <c r="AN398" s="10">
        <v>450</v>
      </c>
      <c r="AO398" s="56">
        <f t="shared" si="116"/>
        <v>2</v>
      </c>
      <c r="AQ398" s="11">
        <f ca="1">IFERROR(OFFSET(ITEM_RES!$A$1,MATCH(AR398,ITEM_RES!$J:$J,0)-1,0),0)</f>
        <v>212010001</v>
      </c>
      <c r="AR398" s="10" t="s">
        <v>484</v>
      </c>
      <c r="AS398" s="11">
        <v>2250</v>
      </c>
      <c r="AV398" s="11">
        <f ca="1">IFERROR(OFFSET(ITEM_RES!$A$1,MATCH(AW398,ITEM_RES!$J:$J,0)-1,0),0)</f>
        <v>212040001</v>
      </c>
      <c r="AW398" s="10" t="s">
        <v>485</v>
      </c>
      <c r="AX398" s="11">
        <v>2250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8"/>
        <v>114030015</v>
      </c>
      <c r="B399" s="13">
        <v>11</v>
      </c>
      <c r="C399" s="12">
        <f t="shared" si="119"/>
        <v>4</v>
      </c>
      <c r="D399" s="13">
        <v>3</v>
      </c>
      <c r="E399" s="13">
        <v>0</v>
      </c>
      <c r="F399" s="12">
        <f t="shared" si="120"/>
        <v>15</v>
      </c>
      <c r="H399" s="9">
        <v>4</v>
      </c>
      <c r="I399" s="9">
        <v>15</v>
      </c>
      <c r="K399" s="9" t="s">
        <v>468</v>
      </c>
      <c r="L399" s="9">
        <v>1</v>
      </c>
      <c r="M399" s="9">
        <v>15</v>
      </c>
      <c r="R399" s="9">
        <v>777</v>
      </c>
      <c r="Z399" s="9">
        <v>215070001</v>
      </c>
      <c r="AA399" s="9" t="s">
        <v>608</v>
      </c>
      <c r="AB399" s="9">
        <v>15</v>
      </c>
      <c r="AD399" s="9">
        <v>22000</v>
      </c>
      <c r="AF399" s="89">
        <f t="shared" si="115"/>
        <v>11550</v>
      </c>
      <c r="AG399" s="9">
        <f t="shared" si="123"/>
        <v>21000</v>
      </c>
      <c r="AI399" s="11">
        <f t="shared" si="114"/>
        <v>75</v>
      </c>
      <c r="AJ399" s="10">
        <v>75</v>
      </c>
      <c r="AK399" s="11">
        <f t="shared" si="121"/>
        <v>550</v>
      </c>
      <c r="AL399" s="10">
        <v>550</v>
      </c>
      <c r="AM399" s="11">
        <f t="shared" si="121"/>
        <v>550</v>
      </c>
      <c r="AN399" s="10">
        <v>550</v>
      </c>
      <c r="AO399" s="56">
        <f t="shared" si="116"/>
        <v>2</v>
      </c>
      <c r="AQ399" s="11">
        <f ca="1">IFERROR(OFFSET(ITEM_RES!$A$1,MATCH(AR399,ITEM_RES!$J:$J,0)-1,0),0)</f>
        <v>215070001</v>
      </c>
      <c r="AR399" s="10" t="s">
        <v>480</v>
      </c>
      <c r="AS399" s="11">
        <v>2750</v>
      </c>
      <c r="AV399" s="11">
        <f ca="1">IFERROR(OFFSET(ITEM_RES!$A$1,MATCH(AW399,ITEM_RES!$J:$J,0)-1,0),0)</f>
        <v>212040001</v>
      </c>
      <c r="AW399" s="10" t="s">
        <v>485</v>
      </c>
      <c r="AX399" s="11">
        <v>2750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8"/>
        <v>114030016</v>
      </c>
      <c r="B400" s="13">
        <v>11</v>
      </c>
      <c r="C400" s="12">
        <f t="shared" si="119"/>
        <v>4</v>
      </c>
      <c r="D400" s="13">
        <v>3</v>
      </c>
      <c r="E400" s="13">
        <v>0</v>
      </c>
      <c r="F400" s="12">
        <f t="shared" si="120"/>
        <v>16</v>
      </c>
      <c r="H400" s="9">
        <v>4</v>
      </c>
      <c r="I400" s="9">
        <v>16</v>
      </c>
      <c r="K400" s="9" t="s">
        <v>468</v>
      </c>
      <c r="L400" s="9">
        <v>0</v>
      </c>
      <c r="M400" s="9">
        <v>15</v>
      </c>
      <c r="R400" s="9">
        <v>777</v>
      </c>
      <c r="Z400" s="9">
        <v>215070001</v>
      </c>
      <c r="AA400" s="9" t="s">
        <v>608</v>
      </c>
      <c r="AB400" s="9">
        <v>16</v>
      </c>
      <c r="AD400" s="9">
        <v>28000</v>
      </c>
      <c r="AF400" s="89">
        <f t="shared" si="115"/>
        <v>14700</v>
      </c>
      <c r="AG400" s="9">
        <f t="shared" si="123"/>
        <v>26250</v>
      </c>
      <c r="AI400" s="11">
        <f t="shared" si="114"/>
        <v>80</v>
      </c>
      <c r="AJ400" s="10">
        <v>80</v>
      </c>
      <c r="AK400" s="11">
        <f t="shared" si="121"/>
        <v>700</v>
      </c>
      <c r="AL400" s="10">
        <v>700</v>
      </c>
      <c r="AM400" s="11">
        <f t="shared" si="121"/>
        <v>700</v>
      </c>
      <c r="AN400" s="10">
        <v>700</v>
      </c>
      <c r="AO400" s="56">
        <f t="shared" si="116"/>
        <v>2</v>
      </c>
      <c r="AQ400" s="11">
        <f ca="1">IFERROR(OFFSET(ITEM_RES!$A$1,MATCH(AR400,ITEM_RES!$J:$J,0)-1,0),0)</f>
        <v>215070001</v>
      </c>
      <c r="AR400" s="10" t="s">
        <v>480</v>
      </c>
      <c r="AS400" s="11">
        <v>3500</v>
      </c>
      <c r="AV400" s="11">
        <f ca="1">IFERROR(OFFSET(ITEM_RES!$A$1,MATCH(AW400,ITEM_RES!$J:$J,0)-1,0),0)</f>
        <v>212040001</v>
      </c>
      <c r="AW400" s="10" t="s">
        <v>485</v>
      </c>
      <c r="AX400" s="11">
        <v>3500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8"/>
        <v>114030017</v>
      </c>
      <c r="B401" s="13">
        <v>11</v>
      </c>
      <c r="C401" s="12">
        <f t="shared" si="119"/>
        <v>4</v>
      </c>
      <c r="D401" s="13">
        <v>3</v>
      </c>
      <c r="E401" s="13">
        <v>0</v>
      </c>
      <c r="F401" s="12">
        <f t="shared" si="120"/>
        <v>17</v>
      </c>
      <c r="H401" s="9">
        <v>4</v>
      </c>
      <c r="I401" s="9">
        <v>17</v>
      </c>
      <c r="K401" s="9" t="s">
        <v>468</v>
      </c>
      <c r="L401" s="9">
        <v>0</v>
      </c>
      <c r="M401" s="9">
        <v>15</v>
      </c>
      <c r="R401" s="9">
        <v>777</v>
      </c>
      <c r="Z401" s="9">
        <v>215070001</v>
      </c>
      <c r="AA401" s="9" t="s">
        <v>608</v>
      </c>
      <c r="AB401" s="9">
        <v>17</v>
      </c>
      <c r="AD401" s="9">
        <v>34000</v>
      </c>
      <c r="AF401" s="89">
        <f t="shared" si="115"/>
        <v>17850</v>
      </c>
      <c r="AG401" s="9">
        <f t="shared" si="123"/>
        <v>32550</v>
      </c>
      <c r="AI401" s="11">
        <f t="shared" si="114"/>
        <v>85</v>
      </c>
      <c r="AJ401" s="10">
        <v>85</v>
      </c>
      <c r="AK401" s="11">
        <f t="shared" si="121"/>
        <v>850</v>
      </c>
      <c r="AL401" s="10">
        <v>850</v>
      </c>
      <c r="AM401" s="11">
        <f t="shared" si="121"/>
        <v>850</v>
      </c>
      <c r="AN401" s="10">
        <v>850</v>
      </c>
      <c r="AO401" s="56">
        <f t="shared" si="116"/>
        <v>2</v>
      </c>
      <c r="AQ401" s="11">
        <f ca="1">IFERROR(OFFSET(ITEM_RES!$A$1,MATCH(AR401,ITEM_RES!$J:$J,0)-1,0),0)</f>
        <v>215070001</v>
      </c>
      <c r="AR401" s="10" t="s">
        <v>480</v>
      </c>
      <c r="AS401" s="11">
        <v>4250</v>
      </c>
      <c r="AV401" s="11">
        <f ca="1">IFERROR(OFFSET(ITEM_RES!$A$1,MATCH(AW401,ITEM_RES!$J:$J,0)-1,0),0)</f>
        <v>212040001</v>
      </c>
      <c r="AW401" s="10" t="s">
        <v>485</v>
      </c>
      <c r="AX401" s="11">
        <v>4250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8"/>
        <v>114030018</v>
      </c>
      <c r="B402" s="13">
        <v>11</v>
      </c>
      <c r="C402" s="12">
        <f t="shared" si="119"/>
        <v>4</v>
      </c>
      <c r="D402" s="13">
        <v>3</v>
      </c>
      <c r="E402" s="13">
        <v>0</v>
      </c>
      <c r="F402" s="12">
        <f t="shared" si="120"/>
        <v>18</v>
      </c>
      <c r="H402" s="9">
        <v>4</v>
      </c>
      <c r="I402" s="9">
        <v>18</v>
      </c>
      <c r="K402" s="9" t="s">
        <v>468</v>
      </c>
      <c r="L402" s="9">
        <v>0</v>
      </c>
      <c r="M402" s="9">
        <v>15</v>
      </c>
      <c r="R402" s="9">
        <v>777</v>
      </c>
      <c r="Z402" s="9">
        <v>215070001</v>
      </c>
      <c r="AA402" s="9" t="s">
        <v>608</v>
      </c>
      <c r="AB402" s="9">
        <v>18</v>
      </c>
      <c r="AD402" s="9">
        <v>42000</v>
      </c>
      <c r="AF402" s="89">
        <f t="shared" si="115"/>
        <v>22050</v>
      </c>
      <c r="AG402" s="9">
        <f t="shared" si="123"/>
        <v>39900</v>
      </c>
      <c r="AI402" s="11">
        <f t="shared" si="114"/>
        <v>90</v>
      </c>
      <c r="AJ402" s="10">
        <v>90</v>
      </c>
      <c r="AK402" s="11">
        <f t="shared" si="121"/>
        <v>1050</v>
      </c>
      <c r="AL402" s="10">
        <v>1050</v>
      </c>
      <c r="AM402" s="11">
        <f t="shared" si="121"/>
        <v>1050</v>
      </c>
      <c r="AN402" s="10">
        <v>1050</v>
      </c>
      <c r="AO402" s="56">
        <f t="shared" si="116"/>
        <v>2</v>
      </c>
      <c r="AQ402" s="11">
        <f ca="1">IFERROR(OFFSET(ITEM_RES!$A$1,MATCH(AR402,ITEM_RES!$J:$J,0)-1,0),0)</f>
        <v>215070001</v>
      </c>
      <c r="AR402" s="10" t="s">
        <v>480</v>
      </c>
      <c r="AS402" s="11">
        <v>5250</v>
      </c>
      <c r="AV402" s="11">
        <f ca="1">IFERROR(OFFSET(ITEM_RES!$A$1,MATCH(AW402,ITEM_RES!$J:$J,0)-1,0),0)</f>
        <v>212040001</v>
      </c>
      <c r="AW402" s="10" t="s">
        <v>485</v>
      </c>
      <c r="AX402" s="11">
        <v>5250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8"/>
        <v>114030019</v>
      </c>
      <c r="B403" s="13">
        <v>11</v>
      </c>
      <c r="C403" s="12">
        <f t="shared" si="119"/>
        <v>4</v>
      </c>
      <c r="D403" s="13">
        <v>3</v>
      </c>
      <c r="E403" s="13">
        <v>0</v>
      </c>
      <c r="F403" s="12">
        <f t="shared" si="120"/>
        <v>19</v>
      </c>
      <c r="H403" s="9">
        <v>4</v>
      </c>
      <c r="I403" s="9">
        <v>19</v>
      </c>
      <c r="K403" s="9" t="s">
        <v>468</v>
      </c>
      <c r="L403" s="9">
        <v>0</v>
      </c>
      <c r="M403" s="9">
        <v>15</v>
      </c>
      <c r="R403" s="9">
        <v>777</v>
      </c>
      <c r="Z403" s="9">
        <v>215070001</v>
      </c>
      <c r="AA403" s="9" t="s">
        <v>608</v>
      </c>
      <c r="AB403" s="9">
        <v>19</v>
      </c>
      <c r="AD403" s="9">
        <v>50000</v>
      </c>
      <c r="AF403" s="89">
        <f t="shared" si="115"/>
        <v>26250</v>
      </c>
      <c r="AG403" s="9">
        <f t="shared" si="123"/>
        <v>48300</v>
      </c>
      <c r="AI403" s="11">
        <f t="shared" si="114"/>
        <v>95</v>
      </c>
      <c r="AJ403" s="10">
        <v>95</v>
      </c>
      <c r="AK403" s="11">
        <f t="shared" si="121"/>
        <v>1250</v>
      </c>
      <c r="AL403" s="10">
        <v>1250</v>
      </c>
      <c r="AM403" s="11">
        <f t="shared" si="121"/>
        <v>1250</v>
      </c>
      <c r="AN403" s="10">
        <v>1250</v>
      </c>
      <c r="AO403" s="56">
        <f t="shared" si="116"/>
        <v>2</v>
      </c>
      <c r="AQ403" s="11">
        <f ca="1">IFERROR(OFFSET(ITEM_RES!$A$1,MATCH(AR403,ITEM_RES!$J:$J,0)-1,0),0)</f>
        <v>215070001</v>
      </c>
      <c r="AR403" s="10" t="s">
        <v>480</v>
      </c>
      <c r="AS403" s="11">
        <v>6250</v>
      </c>
      <c r="AV403" s="11">
        <f ca="1">IFERROR(OFFSET(ITEM_RES!$A$1,MATCH(AW403,ITEM_RES!$J:$J,0)-1,0),0)</f>
        <v>212040001</v>
      </c>
      <c r="AW403" s="10" t="s">
        <v>485</v>
      </c>
      <c r="AX403" s="11">
        <v>6250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8"/>
        <v>114030020</v>
      </c>
      <c r="B404" s="13">
        <v>11</v>
      </c>
      <c r="C404" s="12">
        <f t="shared" si="119"/>
        <v>4</v>
      </c>
      <c r="D404" s="13">
        <v>3</v>
      </c>
      <c r="E404" s="13">
        <v>0</v>
      </c>
      <c r="F404" s="12">
        <f t="shared" si="120"/>
        <v>20</v>
      </c>
      <c r="H404" s="9">
        <v>4</v>
      </c>
      <c r="I404" s="9">
        <v>20</v>
      </c>
      <c r="K404" s="9" t="s">
        <v>468</v>
      </c>
      <c r="L404" s="9">
        <v>0</v>
      </c>
      <c r="M404" s="9">
        <v>15</v>
      </c>
      <c r="R404" s="9">
        <v>777</v>
      </c>
      <c r="Z404" s="9">
        <v>215070001</v>
      </c>
      <c r="AA404" s="9" t="s">
        <v>608</v>
      </c>
      <c r="AB404" s="9">
        <v>20</v>
      </c>
      <c r="AD404" s="9">
        <v>60000</v>
      </c>
      <c r="AF404" s="89">
        <f t="shared" si="115"/>
        <v>31500</v>
      </c>
      <c r="AG404" s="9">
        <f t="shared" si="123"/>
        <v>57750</v>
      </c>
      <c r="AI404" s="11">
        <f t="shared" si="114"/>
        <v>100</v>
      </c>
      <c r="AJ404" s="10">
        <v>100</v>
      </c>
      <c r="AK404" s="11">
        <f t="shared" si="121"/>
        <v>1500</v>
      </c>
      <c r="AL404" s="10">
        <v>1500</v>
      </c>
      <c r="AM404" s="11">
        <f t="shared" si="121"/>
        <v>1500</v>
      </c>
      <c r="AN404" s="10">
        <v>1500</v>
      </c>
      <c r="AO404" s="56">
        <f t="shared" si="116"/>
        <v>2</v>
      </c>
      <c r="AQ404" s="11">
        <f ca="1">IFERROR(OFFSET(ITEM_RES!$A$1,MATCH(AR404,ITEM_RES!$J:$J,0)-1,0),0)</f>
        <v>215070001</v>
      </c>
      <c r="AR404" s="10" t="s">
        <v>480</v>
      </c>
      <c r="AS404" s="11">
        <v>7500</v>
      </c>
      <c r="AV404" s="11">
        <f ca="1">IFERROR(OFFSET(ITEM_RES!$A$1,MATCH(AW404,ITEM_RES!$J:$J,0)-1,0),0)</f>
        <v>212040001</v>
      </c>
      <c r="AW404" s="10" t="s">
        <v>485</v>
      </c>
      <c r="AX404" s="11">
        <v>7500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8"/>
        <v>114040001</v>
      </c>
      <c r="B405" s="20">
        <v>11</v>
      </c>
      <c r="C405" s="19">
        <f t="shared" si="119"/>
        <v>4</v>
      </c>
      <c r="D405" s="20">
        <v>4</v>
      </c>
      <c r="E405" s="20">
        <v>0</v>
      </c>
      <c r="F405" s="19">
        <f t="shared" si="120"/>
        <v>1</v>
      </c>
      <c r="G405" s="80"/>
      <c r="H405" s="16">
        <v>4</v>
      </c>
      <c r="I405" s="16">
        <v>1</v>
      </c>
      <c r="J405" s="80"/>
      <c r="K405" s="16" t="s">
        <v>614</v>
      </c>
      <c r="L405" s="16">
        <v>1</v>
      </c>
      <c r="M405" s="16">
        <v>15</v>
      </c>
      <c r="N405" s="16"/>
      <c r="O405" s="17"/>
      <c r="P405" s="17"/>
      <c r="Q405" s="18"/>
      <c r="R405" s="16">
        <v>888</v>
      </c>
      <c r="S405" s="88"/>
      <c r="T405" s="80"/>
      <c r="U405" s="88"/>
      <c r="V405" s="88"/>
      <c r="W405" s="88"/>
      <c r="X405" s="88"/>
      <c r="Y405" s="88"/>
      <c r="Z405" s="16"/>
      <c r="AA405" s="16" t="s">
        <v>609</v>
      </c>
      <c r="AB405" s="16">
        <v>1</v>
      </c>
      <c r="AC405" s="80"/>
      <c r="AD405" s="16">
        <v>400</v>
      </c>
      <c r="AE405" s="80"/>
      <c r="AF405" s="91">
        <f t="shared" si="115"/>
        <v>605</v>
      </c>
      <c r="AG405" s="16">
        <f>AF405</f>
        <v>605</v>
      </c>
      <c r="AH405" s="80"/>
      <c r="AI405" s="18">
        <f t="shared" si="114"/>
        <v>5</v>
      </c>
      <c r="AJ405" s="17">
        <v>5</v>
      </c>
      <c r="AK405" s="18">
        <f t="shared" si="121"/>
        <v>5</v>
      </c>
      <c r="AL405" s="17">
        <v>5</v>
      </c>
      <c r="AM405" s="18">
        <f t="shared" si="121"/>
        <v>5</v>
      </c>
      <c r="AN405" s="17">
        <v>5</v>
      </c>
      <c r="AO405" s="57">
        <f t="shared" si="116"/>
        <v>3</v>
      </c>
      <c r="AP405" s="18"/>
      <c r="AQ405" s="18">
        <f ca="1">IFERROR(OFFSET(ITEM_RES!$A$1,MATCH(AR405,ITEM_RES!$J:$J,0)-1,0),0)</f>
        <v>212010001</v>
      </c>
      <c r="AR405" s="17" t="s">
        <v>484</v>
      </c>
      <c r="AS405" s="18">
        <v>25</v>
      </c>
      <c r="AT405" s="17"/>
      <c r="AU405" s="18"/>
      <c r="AV405" s="18">
        <f ca="1">IFERROR(OFFSET(ITEM_RES!$A$1,MATCH(AW405,ITEM_RES!$J:$J,0)-1,0),0)</f>
        <v>211060001</v>
      </c>
      <c r="AW405" s="17" t="s">
        <v>477</v>
      </c>
      <c r="AX405" s="18">
        <v>25</v>
      </c>
      <c r="AY405" s="17"/>
      <c r="AZ405" s="18"/>
      <c r="BA405" s="18">
        <f ca="1">IFERROR(OFFSET(ITEM_RES!$A$1,MATCH(BB405,ITEM_RES!$J:$J,0)-1,0),0)</f>
        <v>213010001</v>
      </c>
      <c r="BB405" s="17" t="s">
        <v>509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8"/>
        <v>114040002</v>
      </c>
      <c r="B406" s="13">
        <v>11</v>
      </c>
      <c r="C406" s="12">
        <f t="shared" si="119"/>
        <v>4</v>
      </c>
      <c r="D406" s="13">
        <v>4</v>
      </c>
      <c r="E406" s="13">
        <v>0</v>
      </c>
      <c r="F406" s="12">
        <f t="shared" si="120"/>
        <v>2</v>
      </c>
      <c r="H406" s="9">
        <v>4</v>
      </c>
      <c r="I406" s="9">
        <v>2</v>
      </c>
      <c r="K406" s="9" t="s">
        <v>381</v>
      </c>
      <c r="L406" s="9">
        <v>1</v>
      </c>
      <c r="M406" s="9">
        <v>15</v>
      </c>
      <c r="R406" s="9">
        <v>888</v>
      </c>
      <c r="AA406" s="9" t="s">
        <v>609</v>
      </c>
      <c r="AB406" s="9">
        <v>2</v>
      </c>
      <c r="AD406" s="9">
        <v>800</v>
      </c>
      <c r="AF406" s="89">
        <f t="shared" si="115"/>
        <v>210</v>
      </c>
      <c r="AG406" s="9">
        <f>AF405+AF406</f>
        <v>815</v>
      </c>
      <c r="AI406" s="11">
        <f t="shared" si="114"/>
        <v>10</v>
      </c>
      <c r="AJ406" s="10">
        <v>10</v>
      </c>
      <c r="AK406" s="11">
        <f t="shared" si="121"/>
        <v>10</v>
      </c>
      <c r="AL406" s="10">
        <v>10</v>
      </c>
      <c r="AM406" s="11">
        <f t="shared" si="121"/>
        <v>10</v>
      </c>
      <c r="AN406" s="10">
        <v>10</v>
      </c>
      <c r="AO406" s="56">
        <f t="shared" si="116"/>
        <v>2</v>
      </c>
      <c r="AQ406" s="11">
        <f ca="1">IFERROR(OFFSET(ITEM_RES!$A$1,MATCH(AR406,ITEM_RES!$J:$J,0)-1,0),0)</f>
        <v>212010001</v>
      </c>
      <c r="AR406" s="10" t="s">
        <v>484</v>
      </c>
      <c r="AS406" s="11">
        <v>50</v>
      </c>
      <c r="AV406" s="11">
        <f ca="1">IFERROR(OFFSET(ITEM_RES!$A$1,MATCH(AW406,ITEM_RES!$J:$J,0)-1,0),0)</f>
        <v>211060001</v>
      </c>
      <c r="AW406" s="10" t="s">
        <v>477</v>
      </c>
      <c r="AX406" s="11">
        <v>50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8"/>
        <v>114040003</v>
      </c>
      <c r="B407" s="13">
        <v>11</v>
      </c>
      <c r="C407" s="12">
        <f t="shared" si="119"/>
        <v>4</v>
      </c>
      <c r="D407" s="13">
        <v>4</v>
      </c>
      <c r="E407" s="13">
        <v>0</v>
      </c>
      <c r="F407" s="12">
        <f t="shared" si="120"/>
        <v>3</v>
      </c>
      <c r="H407" s="9">
        <v>4</v>
      </c>
      <c r="I407" s="9">
        <v>3</v>
      </c>
      <c r="K407" s="9" t="s">
        <v>381</v>
      </c>
      <c r="L407" s="9">
        <v>1</v>
      </c>
      <c r="M407" s="9">
        <v>15</v>
      </c>
      <c r="R407" s="9">
        <v>888</v>
      </c>
      <c r="AA407" s="9" t="s">
        <v>609</v>
      </c>
      <c r="AB407" s="9">
        <v>3</v>
      </c>
      <c r="AD407" s="9">
        <v>1200</v>
      </c>
      <c r="AF407" s="89">
        <f t="shared" si="115"/>
        <v>315</v>
      </c>
      <c r="AG407" s="9">
        <f t="shared" ref="AG407:AG424" si="124">AF406+AF407</f>
        <v>525</v>
      </c>
      <c r="AI407" s="11">
        <f t="shared" si="114"/>
        <v>15</v>
      </c>
      <c r="AJ407" s="10">
        <v>15</v>
      </c>
      <c r="AK407" s="11">
        <f t="shared" si="121"/>
        <v>15</v>
      </c>
      <c r="AL407" s="10">
        <v>15</v>
      </c>
      <c r="AM407" s="11">
        <f t="shared" si="121"/>
        <v>15</v>
      </c>
      <c r="AN407" s="10">
        <v>15</v>
      </c>
      <c r="AO407" s="56">
        <f t="shared" si="116"/>
        <v>2</v>
      </c>
      <c r="AQ407" s="11">
        <f ca="1">IFERROR(OFFSET(ITEM_RES!$A$1,MATCH(AR407,ITEM_RES!$J:$J,0)-1,0),0)</f>
        <v>212010001</v>
      </c>
      <c r="AR407" s="10" t="s">
        <v>484</v>
      </c>
      <c r="AS407" s="11">
        <v>75</v>
      </c>
      <c r="AV407" s="11">
        <f ca="1">IFERROR(OFFSET(ITEM_RES!$A$1,MATCH(AW407,ITEM_RES!$J:$J,0)-1,0),0)</f>
        <v>211060001</v>
      </c>
      <c r="AW407" s="10" t="s">
        <v>477</v>
      </c>
      <c r="AX407" s="11">
        <v>75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8"/>
        <v>114040004</v>
      </c>
      <c r="B408" s="13">
        <v>11</v>
      </c>
      <c r="C408" s="12">
        <f t="shared" si="119"/>
        <v>4</v>
      </c>
      <c r="D408" s="13">
        <v>4</v>
      </c>
      <c r="E408" s="13">
        <v>0</v>
      </c>
      <c r="F408" s="12">
        <f t="shared" si="120"/>
        <v>4</v>
      </c>
      <c r="H408" s="9">
        <v>4</v>
      </c>
      <c r="I408" s="9">
        <v>4</v>
      </c>
      <c r="K408" s="9" t="s">
        <v>381</v>
      </c>
      <c r="L408" s="9">
        <v>1</v>
      </c>
      <c r="M408" s="9">
        <v>15</v>
      </c>
      <c r="R408" s="9">
        <v>888</v>
      </c>
      <c r="AA408" s="9" t="s">
        <v>609</v>
      </c>
      <c r="AB408" s="9">
        <v>4</v>
      </c>
      <c r="AD408" s="9">
        <v>2000</v>
      </c>
      <c r="AF408" s="89">
        <f t="shared" si="115"/>
        <v>525</v>
      </c>
      <c r="AG408" s="9">
        <f t="shared" si="124"/>
        <v>840</v>
      </c>
      <c r="AI408" s="11">
        <f t="shared" si="114"/>
        <v>20</v>
      </c>
      <c r="AJ408" s="10">
        <v>20</v>
      </c>
      <c r="AK408" s="11">
        <f t="shared" si="121"/>
        <v>25</v>
      </c>
      <c r="AL408" s="10">
        <v>25</v>
      </c>
      <c r="AM408" s="11">
        <f t="shared" si="121"/>
        <v>25</v>
      </c>
      <c r="AN408" s="10">
        <v>25</v>
      </c>
      <c r="AO408" s="56">
        <f t="shared" si="116"/>
        <v>2</v>
      </c>
      <c r="AQ408" s="11">
        <f ca="1">IFERROR(OFFSET(ITEM_RES!$A$1,MATCH(AR408,ITEM_RES!$J:$J,0)-1,0),0)</f>
        <v>212010001</v>
      </c>
      <c r="AR408" s="10" t="s">
        <v>484</v>
      </c>
      <c r="AS408" s="11">
        <v>125</v>
      </c>
      <c r="AV408" s="11">
        <f ca="1">IFERROR(OFFSET(ITEM_RES!$A$1,MATCH(AW408,ITEM_RES!$J:$J,0)-1,0),0)</f>
        <v>211060001</v>
      </c>
      <c r="AW408" s="10" t="s">
        <v>477</v>
      </c>
      <c r="AX408" s="11">
        <v>125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8"/>
        <v>114040005</v>
      </c>
      <c r="B409" s="13">
        <v>11</v>
      </c>
      <c r="C409" s="12">
        <f t="shared" si="119"/>
        <v>4</v>
      </c>
      <c r="D409" s="13">
        <v>4</v>
      </c>
      <c r="E409" s="13">
        <v>0</v>
      </c>
      <c r="F409" s="12">
        <f t="shared" si="120"/>
        <v>5</v>
      </c>
      <c r="H409" s="9">
        <v>4</v>
      </c>
      <c r="I409" s="9">
        <v>5</v>
      </c>
      <c r="K409" s="9" t="s">
        <v>381</v>
      </c>
      <c r="L409" s="9">
        <v>1</v>
      </c>
      <c r="M409" s="9">
        <v>15</v>
      </c>
      <c r="R409" s="9">
        <v>888</v>
      </c>
      <c r="AA409" s="9" t="s">
        <v>609</v>
      </c>
      <c r="AB409" s="9">
        <v>5</v>
      </c>
      <c r="AD409" s="9">
        <v>3200</v>
      </c>
      <c r="AF409" s="89">
        <f t="shared" si="115"/>
        <v>840</v>
      </c>
      <c r="AG409" s="9">
        <f t="shared" si="124"/>
        <v>1365</v>
      </c>
      <c r="AI409" s="11">
        <f t="shared" ref="AI409:AI472" si="125">ROUND(AJ409,0)</f>
        <v>25</v>
      </c>
      <c r="AJ409" s="10">
        <v>25</v>
      </c>
      <c r="AK409" s="11">
        <f t="shared" si="121"/>
        <v>40</v>
      </c>
      <c r="AL409" s="10">
        <v>40</v>
      </c>
      <c r="AM409" s="11">
        <f t="shared" si="121"/>
        <v>40</v>
      </c>
      <c r="AN409" s="10">
        <v>40</v>
      </c>
      <c r="AO409" s="56">
        <f t="shared" si="116"/>
        <v>2</v>
      </c>
      <c r="AQ409" s="11">
        <f ca="1">IFERROR(OFFSET(ITEM_RES!$A$1,MATCH(AR409,ITEM_RES!$J:$J,0)-1,0),0)</f>
        <v>212010001</v>
      </c>
      <c r="AR409" s="10" t="s">
        <v>484</v>
      </c>
      <c r="AS409" s="11">
        <v>200</v>
      </c>
      <c r="AV409" s="11">
        <f ca="1">IFERROR(OFFSET(ITEM_RES!$A$1,MATCH(AW409,ITEM_RES!$J:$J,0)-1,0),0)</f>
        <v>211060001</v>
      </c>
      <c r="AW409" s="10" t="s">
        <v>477</v>
      </c>
      <c r="AX409" s="11">
        <v>200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8"/>
        <v>114040006</v>
      </c>
      <c r="B410" s="13">
        <v>11</v>
      </c>
      <c r="C410" s="12">
        <f t="shared" si="119"/>
        <v>4</v>
      </c>
      <c r="D410" s="13">
        <v>4</v>
      </c>
      <c r="E410" s="13">
        <v>0</v>
      </c>
      <c r="F410" s="12">
        <f t="shared" si="120"/>
        <v>6</v>
      </c>
      <c r="H410" s="9">
        <v>4</v>
      </c>
      <c r="I410" s="9">
        <v>6</v>
      </c>
      <c r="K410" s="9" t="s">
        <v>381</v>
      </c>
      <c r="L410" s="9">
        <v>1</v>
      </c>
      <c r="M410" s="9">
        <v>15</v>
      </c>
      <c r="R410" s="9">
        <v>888</v>
      </c>
      <c r="AA410" s="9" t="s">
        <v>609</v>
      </c>
      <c r="AB410" s="9">
        <v>6</v>
      </c>
      <c r="AD410" s="9">
        <v>4000</v>
      </c>
      <c r="AF410" s="89">
        <f t="shared" ref="AF410:AF473" si="126">AL410*10+AN410+AS410+AX410+500*BC410+500*BH410+500*BM410</f>
        <v>1050</v>
      </c>
      <c r="AG410" s="9">
        <f t="shared" si="124"/>
        <v>1890</v>
      </c>
      <c r="AI410" s="11">
        <f t="shared" si="125"/>
        <v>30</v>
      </c>
      <c r="AJ410" s="10">
        <v>30</v>
      </c>
      <c r="AK410" s="11">
        <f t="shared" si="121"/>
        <v>50</v>
      </c>
      <c r="AL410" s="10">
        <v>50</v>
      </c>
      <c r="AM410" s="11">
        <f t="shared" si="121"/>
        <v>50</v>
      </c>
      <c r="AN410" s="10">
        <v>50</v>
      </c>
      <c r="AO410" s="56">
        <f t="shared" ref="AO410:AO473" si="127">(AS410&gt;0)*1+(AX410&gt;0)*1+(BC410&gt;0)*1+(BH410&gt;0)*1+(BM410&gt;0)*1</f>
        <v>2</v>
      </c>
      <c r="AQ410" s="11">
        <f ca="1">IFERROR(OFFSET(ITEM_RES!$A$1,MATCH(AR410,ITEM_RES!$J:$J,0)-1,0),0)</f>
        <v>212010001</v>
      </c>
      <c r="AR410" s="10" t="s">
        <v>484</v>
      </c>
      <c r="AS410" s="11">
        <v>250</v>
      </c>
      <c r="AV410" s="11">
        <f ca="1">IFERROR(OFFSET(ITEM_RES!$A$1,MATCH(AW410,ITEM_RES!$J:$J,0)-1,0),0)</f>
        <v>211060001</v>
      </c>
      <c r="AW410" s="10" t="s">
        <v>477</v>
      </c>
      <c r="AX410" s="11">
        <v>250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8"/>
        <v>114040007</v>
      </c>
      <c r="B411" s="13">
        <v>11</v>
      </c>
      <c r="C411" s="12">
        <f t="shared" si="119"/>
        <v>4</v>
      </c>
      <c r="D411" s="13">
        <v>4</v>
      </c>
      <c r="E411" s="13">
        <v>0</v>
      </c>
      <c r="F411" s="12">
        <f t="shared" si="120"/>
        <v>7</v>
      </c>
      <c r="H411" s="9">
        <v>4</v>
      </c>
      <c r="I411" s="9">
        <v>7</v>
      </c>
      <c r="K411" s="9" t="s">
        <v>381</v>
      </c>
      <c r="L411" s="9">
        <v>1</v>
      </c>
      <c r="M411" s="9">
        <v>15</v>
      </c>
      <c r="R411" s="9">
        <v>888</v>
      </c>
      <c r="AA411" s="9" t="s">
        <v>609</v>
      </c>
      <c r="AB411" s="9">
        <v>7</v>
      </c>
      <c r="AD411" s="9">
        <v>8000</v>
      </c>
      <c r="AF411" s="89">
        <f t="shared" si="126"/>
        <v>2100</v>
      </c>
      <c r="AG411" s="9">
        <f t="shared" si="124"/>
        <v>3150</v>
      </c>
      <c r="AI411" s="11">
        <f t="shared" si="125"/>
        <v>35</v>
      </c>
      <c r="AJ411" s="10">
        <v>35</v>
      </c>
      <c r="AK411" s="11">
        <f t="shared" si="121"/>
        <v>100</v>
      </c>
      <c r="AL411" s="10">
        <v>100</v>
      </c>
      <c r="AM411" s="11">
        <f t="shared" si="121"/>
        <v>100</v>
      </c>
      <c r="AN411" s="10">
        <v>100</v>
      </c>
      <c r="AO411" s="56">
        <f t="shared" si="127"/>
        <v>2</v>
      </c>
      <c r="AQ411" s="11">
        <f ca="1">IFERROR(OFFSET(ITEM_RES!$A$1,MATCH(AR411,ITEM_RES!$J:$J,0)-1,0),0)</f>
        <v>212010001</v>
      </c>
      <c r="AR411" s="10" t="s">
        <v>484</v>
      </c>
      <c r="AS411" s="11">
        <v>500</v>
      </c>
      <c r="AV411" s="11">
        <f ca="1">IFERROR(OFFSET(ITEM_RES!$A$1,MATCH(AW411,ITEM_RES!$J:$J,0)-1,0),0)</f>
        <v>211060001</v>
      </c>
      <c r="AW411" s="10" t="s">
        <v>477</v>
      </c>
      <c r="AX411" s="11">
        <v>500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8"/>
        <v>114040008</v>
      </c>
      <c r="B412" s="13">
        <v>11</v>
      </c>
      <c r="C412" s="12">
        <f t="shared" si="119"/>
        <v>4</v>
      </c>
      <c r="D412" s="13">
        <v>4</v>
      </c>
      <c r="E412" s="13">
        <v>0</v>
      </c>
      <c r="F412" s="12">
        <f t="shared" si="120"/>
        <v>8</v>
      </c>
      <c r="H412" s="9">
        <v>4</v>
      </c>
      <c r="I412" s="9">
        <v>8</v>
      </c>
      <c r="K412" s="9" t="s">
        <v>381</v>
      </c>
      <c r="L412" s="9">
        <v>1</v>
      </c>
      <c r="M412" s="9">
        <v>15</v>
      </c>
      <c r="R412" s="9">
        <v>888</v>
      </c>
      <c r="AA412" s="9" t="s">
        <v>609</v>
      </c>
      <c r="AB412" s="9">
        <v>8</v>
      </c>
      <c r="AD412" s="9">
        <v>8000</v>
      </c>
      <c r="AF412" s="89">
        <f t="shared" si="126"/>
        <v>2100</v>
      </c>
      <c r="AG412" s="9">
        <f t="shared" si="124"/>
        <v>4200</v>
      </c>
      <c r="AI412" s="11">
        <f t="shared" si="125"/>
        <v>40</v>
      </c>
      <c r="AJ412" s="10">
        <v>40</v>
      </c>
      <c r="AK412" s="11">
        <f t="shared" si="121"/>
        <v>100</v>
      </c>
      <c r="AL412" s="10">
        <v>100</v>
      </c>
      <c r="AM412" s="11">
        <f t="shared" si="121"/>
        <v>100</v>
      </c>
      <c r="AN412" s="10">
        <v>100</v>
      </c>
      <c r="AO412" s="56">
        <f t="shared" si="127"/>
        <v>2</v>
      </c>
      <c r="AQ412" s="11">
        <f ca="1">IFERROR(OFFSET(ITEM_RES!$A$1,MATCH(AR412,ITEM_RES!$J:$J,0)-1,0),0)</f>
        <v>212010001</v>
      </c>
      <c r="AR412" s="10" t="s">
        <v>484</v>
      </c>
      <c r="AS412" s="11">
        <v>500</v>
      </c>
      <c r="AV412" s="11">
        <f ca="1">IFERROR(OFFSET(ITEM_RES!$A$1,MATCH(AW412,ITEM_RES!$J:$J,0)-1,0),0)</f>
        <v>211060001</v>
      </c>
      <c r="AW412" s="10" t="s">
        <v>477</v>
      </c>
      <c r="AX412" s="11">
        <v>500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8"/>
        <v>114040009</v>
      </c>
      <c r="B413" s="13">
        <v>11</v>
      </c>
      <c r="C413" s="12">
        <f t="shared" si="119"/>
        <v>4</v>
      </c>
      <c r="D413" s="13">
        <v>4</v>
      </c>
      <c r="E413" s="13">
        <v>0</v>
      </c>
      <c r="F413" s="12">
        <f t="shared" si="120"/>
        <v>9</v>
      </c>
      <c r="H413" s="9">
        <v>4</v>
      </c>
      <c r="I413" s="9">
        <v>9</v>
      </c>
      <c r="K413" s="9" t="s">
        <v>381</v>
      </c>
      <c r="L413" s="9">
        <v>1</v>
      </c>
      <c r="M413" s="9">
        <v>15</v>
      </c>
      <c r="R413" s="9">
        <v>888</v>
      </c>
      <c r="AA413" s="9" t="s">
        <v>609</v>
      </c>
      <c r="AB413" s="9">
        <v>9</v>
      </c>
      <c r="AD413" s="9">
        <v>12000</v>
      </c>
      <c r="AF413" s="89">
        <f t="shared" si="126"/>
        <v>3150</v>
      </c>
      <c r="AG413" s="9">
        <f t="shared" si="124"/>
        <v>5250</v>
      </c>
      <c r="AI413" s="11">
        <f t="shared" si="125"/>
        <v>45</v>
      </c>
      <c r="AJ413" s="10">
        <v>45</v>
      </c>
      <c r="AK413" s="11">
        <f t="shared" si="121"/>
        <v>150</v>
      </c>
      <c r="AL413" s="10">
        <v>150</v>
      </c>
      <c r="AM413" s="11">
        <f t="shared" si="121"/>
        <v>150</v>
      </c>
      <c r="AN413" s="10">
        <v>150</v>
      </c>
      <c r="AO413" s="56">
        <f t="shared" si="127"/>
        <v>2</v>
      </c>
      <c r="AQ413" s="11">
        <f ca="1">IFERROR(OFFSET(ITEM_RES!$A$1,MATCH(AR413,ITEM_RES!$J:$J,0)-1,0),0)</f>
        <v>212010001</v>
      </c>
      <c r="AR413" s="10" t="s">
        <v>484</v>
      </c>
      <c r="AS413" s="11">
        <v>750</v>
      </c>
      <c r="AV413" s="11">
        <f ca="1">IFERROR(OFFSET(ITEM_RES!$A$1,MATCH(AW413,ITEM_RES!$J:$J,0)-1,0),0)</f>
        <v>211060001</v>
      </c>
      <c r="AW413" s="10" t="s">
        <v>477</v>
      </c>
      <c r="AX413" s="11">
        <v>750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8"/>
        <v>114040010</v>
      </c>
      <c r="B414" s="13">
        <v>11</v>
      </c>
      <c r="C414" s="12">
        <f t="shared" si="119"/>
        <v>4</v>
      </c>
      <c r="D414" s="13">
        <v>4</v>
      </c>
      <c r="E414" s="13">
        <v>0</v>
      </c>
      <c r="F414" s="12">
        <f t="shared" si="120"/>
        <v>10</v>
      </c>
      <c r="H414" s="9">
        <v>4</v>
      </c>
      <c r="I414" s="9">
        <v>10</v>
      </c>
      <c r="K414" s="9" t="s">
        <v>381</v>
      </c>
      <c r="L414" s="9">
        <v>1</v>
      </c>
      <c r="M414" s="9">
        <v>15</v>
      </c>
      <c r="R414" s="9">
        <v>888</v>
      </c>
      <c r="AA414" s="9" t="s">
        <v>609</v>
      </c>
      <c r="AB414" s="9">
        <v>10</v>
      </c>
      <c r="AD414" s="9">
        <v>16000</v>
      </c>
      <c r="AF414" s="89">
        <f t="shared" si="126"/>
        <v>4200</v>
      </c>
      <c r="AG414" s="9">
        <f t="shared" si="124"/>
        <v>7350</v>
      </c>
      <c r="AI414" s="11">
        <f t="shared" si="125"/>
        <v>50</v>
      </c>
      <c r="AJ414" s="10">
        <v>50</v>
      </c>
      <c r="AK414" s="11">
        <f t="shared" si="121"/>
        <v>200</v>
      </c>
      <c r="AL414" s="10">
        <v>200</v>
      </c>
      <c r="AM414" s="11">
        <f t="shared" si="121"/>
        <v>200</v>
      </c>
      <c r="AN414" s="10">
        <v>200</v>
      </c>
      <c r="AO414" s="56">
        <f t="shared" si="127"/>
        <v>2</v>
      </c>
      <c r="AQ414" s="11">
        <f ca="1">IFERROR(OFFSET(ITEM_RES!$A$1,MATCH(AR414,ITEM_RES!$J:$J,0)-1,0),0)</f>
        <v>212010001</v>
      </c>
      <c r="AR414" s="10" t="s">
        <v>484</v>
      </c>
      <c r="AS414" s="11">
        <v>1000</v>
      </c>
      <c r="AV414" s="11">
        <f ca="1">IFERROR(OFFSET(ITEM_RES!$A$1,MATCH(AW414,ITEM_RES!$J:$J,0)-1,0),0)</f>
        <v>211060001</v>
      </c>
      <c r="AW414" s="10" t="s">
        <v>477</v>
      </c>
      <c r="AX414" s="11">
        <v>1000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8"/>
        <v>114040011</v>
      </c>
      <c r="B415" s="13">
        <v>11</v>
      </c>
      <c r="C415" s="12">
        <f t="shared" si="119"/>
        <v>4</v>
      </c>
      <c r="D415" s="13">
        <v>4</v>
      </c>
      <c r="E415" s="13">
        <v>0</v>
      </c>
      <c r="F415" s="12">
        <f t="shared" si="120"/>
        <v>11</v>
      </c>
      <c r="H415" s="9">
        <v>4</v>
      </c>
      <c r="I415" s="9">
        <v>11</v>
      </c>
      <c r="K415" s="9" t="s">
        <v>381</v>
      </c>
      <c r="L415" s="9">
        <v>1</v>
      </c>
      <c r="M415" s="9">
        <v>15</v>
      </c>
      <c r="R415" s="9">
        <v>888</v>
      </c>
      <c r="AA415" s="9" t="s">
        <v>609</v>
      </c>
      <c r="AB415" s="9">
        <v>11</v>
      </c>
      <c r="AD415" s="9">
        <v>20000</v>
      </c>
      <c r="AF415" s="89">
        <f t="shared" si="126"/>
        <v>5750</v>
      </c>
      <c r="AG415" s="9">
        <f t="shared" si="124"/>
        <v>9950</v>
      </c>
      <c r="AI415" s="11">
        <f t="shared" si="125"/>
        <v>55</v>
      </c>
      <c r="AJ415" s="10">
        <v>55</v>
      </c>
      <c r="AK415" s="11">
        <f t="shared" si="121"/>
        <v>250</v>
      </c>
      <c r="AL415" s="10">
        <v>250</v>
      </c>
      <c r="AM415" s="11">
        <f t="shared" si="121"/>
        <v>250</v>
      </c>
      <c r="AN415" s="10">
        <v>250</v>
      </c>
      <c r="AO415" s="56">
        <f t="shared" si="127"/>
        <v>3</v>
      </c>
      <c r="AQ415" s="11">
        <f ca="1">IFERROR(OFFSET(ITEM_RES!$A$1,MATCH(AR415,ITEM_RES!$J:$J,0)-1,0),0)</f>
        <v>212010001</v>
      </c>
      <c r="AR415" s="10" t="s">
        <v>484</v>
      </c>
      <c r="AS415" s="11">
        <v>1250</v>
      </c>
      <c r="AV415" s="11">
        <f ca="1">IFERROR(OFFSET(ITEM_RES!$A$1,MATCH(AW415,ITEM_RES!$J:$J,0)-1,0),0)</f>
        <v>211060001</v>
      </c>
      <c r="AW415" s="10" t="s">
        <v>477</v>
      </c>
      <c r="AX415" s="11">
        <v>1250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213120001</v>
      </c>
      <c r="BG415" s="10" t="s">
        <v>524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8"/>
        <v>114040012</v>
      </c>
      <c r="B416" s="13">
        <v>11</v>
      </c>
      <c r="C416" s="12">
        <f t="shared" si="119"/>
        <v>4</v>
      </c>
      <c r="D416" s="13">
        <v>4</v>
      </c>
      <c r="E416" s="13">
        <v>0</v>
      </c>
      <c r="F416" s="12">
        <f t="shared" si="120"/>
        <v>12</v>
      </c>
      <c r="H416" s="9">
        <v>4</v>
      </c>
      <c r="I416" s="9">
        <v>12</v>
      </c>
      <c r="K416" s="9" t="s">
        <v>381</v>
      </c>
      <c r="L416" s="9">
        <v>1</v>
      </c>
      <c r="M416" s="9">
        <v>15</v>
      </c>
      <c r="R416" s="9">
        <v>888</v>
      </c>
      <c r="AA416" s="9" t="s">
        <v>609</v>
      </c>
      <c r="AB416" s="9">
        <v>12</v>
      </c>
      <c r="AD416" s="9">
        <v>24000</v>
      </c>
      <c r="AF416" s="89">
        <f t="shared" si="126"/>
        <v>6300</v>
      </c>
      <c r="AG416" s="9">
        <f t="shared" si="124"/>
        <v>12050</v>
      </c>
      <c r="AI416" s="11">
        <f t="shared" si="125"/>
        <v>60</v>
      </c>
      <c r="AJ416" s="10">
        <v>60</v>
      </c>
      <c r="AK416" s="11">
        <f t="shared" si="121"/>
        <v>300</v>
      </c>
      <c r="AL416" s="10">
        <v>300</v>
      </c>
      <c r="AM416" s="11">
        <f t="shared" si="121"/>
        <v>300</v>
      </c>
      <c r="AN416" s="10">
        <v>300</v>
      </c>
      <c r="AO416" s="56">
        <f t="shared" si="127"/>
        <v>2</v>
      </c>
      <c r="AQ416" s="11">
        <f ca="1">IFERROR(OFFSET(ITEM_RES!$A$1,MATCH(AR416,ITEM_RES!$J:$J,0)-1,0),0)</f>
        <v>212010001</v>
      </c>
      <c r="AR416" s="10" t="s">
        <v>484</v>
      </c>
      <c r="AS416" s="11">
        <v>1500</v>
      </c>
      <c r="AV416" s="11">
        <f ca="1">IFERROR(OFFSET(ITEM_RES!$A$1,MATCH(AW416,ITEM_RES!$J:$J,0)-1,0),0)</f>
        <v>211060001</v>
      </c>
      <c r="AW416" s="10" t="s">
        <v>477</v>
      </c>
      <c r="AX416" s="11">
        <v>1500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8"/>
        <v>114040013</v>
      </c>
      <c r="B417" s="13">
        <v>11</v>
      </c>
      <c r="C417" s="12">
        <f t="shared" si="119"/>
        <v>4</v>
      </c>
      <c r="D417" s="13">
        <v>4</v>
      </c>
      <c r="E417" s="13">
        <v>0</v>
      </c>
      <c r="F417" s="12">
        <f t="shared" si="120"/>
        <v>13</v>
      </c>
      <c r="H417" s="9">
        <v>4</v>
      </c>
      <c r="I417" s="9">
        <v>13</v>
      </c>
      <c r="K417" s="9" t="s">
        <v>381</v>
      </c>
      <c r="L417" s="9">
        <v>1</v>
      </c>
      <c r="M417" s="9">
        <v>15</v>
      </c>
      <c r="R417" s="9">
        <v>888</v>
      </c>
      <c r="AA417" s="9" t="s">
        <v>609</v>
      </c>
      <c r="AB417" s="9">
        <v>13</v>
      </c>
      <c r="AD417" s="9">
        <v>28000</v>
      </c>
      <c r="AF417" s="89">
        <f t="shared" si="126"/>
        <v>7350</v>
      </c>
      <c r="AG417" s="9">
        <f t="shared" si="124"/>
        <v>13650</v>
      </c>
      <c r="AI417" s="11">
        <f t="shared" si="125"/>
        <v>65</v>
      </c>
      <c r="AJ417" s="10">
        <v>65</v>
      </c>
      <c r="AK417" s="11">
        <f t="shared" si="121"/>
        <v>350</v>
      </c>
      <c r="AL417" s="10">
        <v>350</v>
      </c>
      <c r="AM417" s="11">
        <f t="shared" si="121"/>
        <v>350</v>
      </c>
      <c r="AN417" s="10">
        <v>350</v>
      </c>
      <c r="AO417" s="56">
        <f t="shared" si="127"/>
        <v>2</v>
      </c>
      <c r="AQ417" s="11">
        <f ca="1">IFERROR(OFFSET(ITEM_RES!$A$1,MATCH(AR417,ITEM_RES!$J:$J,0)-1,0),0)</f>
        <v>212010001</v>
      </c>
      <c r="AR417" s="10" t="s">
        <v>484</v>
      </c>
      <c r="AS417" s="11">
        <v>1750</v>
      </c>
      <c r="AV417" s="11">
        <f ca="1">IFERROR(OFFSET(ITEM_RES!$A$1,MATCH(AW417,ITEM_RES!$J:$J,0)-1,0),0)</f>
        <v>211060001</v>
      </c>
      <c r="AW417" s="10" t="s">
        <v>477</v>
      </c>
      <c r="AX417" s="11">
        <v>1750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8"/>
        <v>114040014</v>
      </c>
      <c r="B418" s="13">
        <v>11</v>
      </c>
      <c r="C418" s="12">
        <f t="shared" si="119"/>
        <v>4</v>
      </c>
      <c r="D418" s="13">
        <v>4</v>
      </c>
      <c r="E418" s="13">
        <v>0</v>
      </c>
      <c r="F418" s="12">
        <f t="shared" si="120"/>
        <v>14</v>
      </c>
      <c r="H418" s="9">
        <v>4</v>
      </c>
      <c r="I418" s="9">
        <v>14</v>
      </c>
      <c r="K418" s="9" t="s">
        <v>381</v>
      </c>
      <c r="L418" s="9">
        <v>1</v>
      </c>
      <c r="M418" s="9">
        <v>15</v>
      </c>
      <c r="R418" s="9">
        <v>888</v>
      </c>
      <c r="AA418" s="9" t="s">
        <v>609</v>
      </c>
      <c r="AB418" s="9">
        <v>14</v>
      </c>
      <c r="AD418" s="9">
        <v>36000</v>
      </c>
      <c r="AF418" s="89">
        <f t="shared" si="126"/>
        <v>9450</v>
      </c>
      <c r="AG418" s="9">
        <f t="shared" si="124"/>
        <v>16800</v>
      </c>
      <c r="AI418" s="11">
        <f t="shared" si="125"/>
        <v>70</v>
      </c>
      <c r="AJ418" s="10">
        <v>70</v>
      </c>
      <c r="AK418" s="11">
        <f t="shared" si="121"/>
        <v>450</v>
      </c>
      <c r="AL418" s="10">
        <v>450</v>
      </c>
      <c r="AM418" s="11">
        <f t="shared" si="121"/>
        <v>450</v>
      </c>
      <c r="AN418" s="10">
        <v>450</v>
      </c>
      <c r="AO418" s="56">
        <f t="shared" si="127"/>
        <v>2</v>
      </c>
      <c r="AQ418" s="11">
        <f ca="1">IFERROR(OFFSET(ITEM_RES!$A$1,MATCH(AR418,ITEM_RES!$J:$J,0)-1,0),0)</f>
        <v>212010001</v>
      </c>
      <c r="AR418" s="10" t="s">
        <v>484</v>
      </c>
      <c r="AS418" s="11">
        <v>2250</v>
      </c>
      <c r="AV418" s="11">
        <f ca="1">IFERROR(OFFSET(ITEM_RES!$A$1,MATCH(AW418,ITEM_RES!$J:$J,0)-1,0),0)</f>
        <v>211070001</v>
      </c>
      <c r="AW418" s="10" t="s">
        <v>493</v>
      </c>
      <c r="AX418" s="11">
        <v>2250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8"/>
        <v>114040015</v>
      </c>
      <c r="B419" s="13">
        <v>11</v>
      </c>
      <c r="C419" s="12">
        <f t="shared" si="119"/>
        <v>4</v>
      </c>
      <c r="D419" s="13">
        <v>4</v>
      </c>
      <c r="E419" s="13">
        <v>0</v>
      </c>
      <c r="F419" s="12">
        <f t="shared" si="120"/>
        <v>15</v>
      </c>
      <c r="H419" s="9">
        <v>4</v>
      </c>
      <c r="I419" s="9">
        <v>15</v>
      </c>
      <c r="K419" s="9" t="s">
        <v>381</v>
      </c>
      <c r="L419" s="9">
        <v>1</v>
      </c>
      <c r="M419" s="9">
        <v>15</v>
      </c>
      <c r="R419" s="9">
        <v>888</v>
      </c>
      <c r="AA419" s="9" t="s">
        <v>609</v>
      </c>
      <c r="AB419" s="9">
        <v>15</v>
      </c>
      <c r="AD419" s="9">
        <v>44000</v>
      </c>
      <c r="AF419" s="89">
        <f t="shared" si="126"/>
        <v>11550</v>
      </c>
      <c r="AG419" s="9">
        <f t="shared" si="124"/>
        <v>21000</v>
      </c>
      <c r="AI419" s="11">
        <f t="shared" si="125"/>
        <v>75</v>
      </c>
      <c r="AJ419" s="10">
        <v>75</v>
      </c>
      <c r="AK419" s="11">
        <f t="shared" si="121"/>
        <v>550</v>
      </c>
      <c r="AL419" s="10">
        <v>550</v>
      </c>
      <c r="AM419" s="11">
        <f t="shared" si="121"/>
        <v>550</v>
      </c>
      <c r="AN419" s="10">
        <v>550</v>
      </c>
      <c r="AO419" s="56">
        <f t="shared" si="127"/>
        <v>2</v>
      </c>
      <c r="AQ419" s="11">
        <f ca="1">IFERROR(OFFSET(ITEM_RES!$A$1,MATCH(AR419,ITEM_RES!$J:$J,0)-1,0),0)</f>
        <v>215070001</v>
      </c>
      <c r="AR419" s="10" t="s">
        <v>480</v>
      </c>
      <c r="AS419" s="11">
        <v>2750</v>
      </c>
      <c r="AV419" s="11">
        <f ca="1">IFERROR(OFFSET(ITEM_RES!$A$1,MATCH(AW419,ITEM_RES!$J:$J,0)-1,0),0)</f>
        <v>211070001</v>
      </c>
      <c r="AW419" s="10" t="s">
        <v>493</v>
      </c>
      <c r="AX419" s="11">
        <v>2750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8"/>
        <v>114040016</v>
      </c>
      <c r="B420" s="13">
        <v>11</v>
      </c>
      <c r="C420" s="12">
        <f t="shared" si="119"/>
        <v>4</v>
      </c>
      <c r="D420" s="13">
        <v>4</v>
      </c>
      <c r="E420" s="13">
        <v>0</v>
      </c>
      <c r="F420" s="12">
        <f t="shared" si="120"/>
        <v>16</v>
      </c>
      <c r="H420" s="9">
        <v>4</v>
      </c>
      <c r="I420" s="9">
        <v>16</v>
      </c>
      <c r="K420" s="9" t="s">
        <v>381</v>
      </c>
      <c r="L420" s="9">
        <v>0</v>
      </c>
      <c r="M420" s="9">
        <v>15</v>
      </c>
      <c r="R420" s="9">
        <v>888</v>
      </c>
      <c r="AA420" s="9" t="s">
        <v>609</v>
      </c>
      <c r="AB420" s="9">
        <v>16</v>
      </c>
      <c r="AD420" s="9">
        <v>56000</v>
      </c>
      <c r="AF420" s="89">
        <f t="shared" si="126"/>
        <v>14700</v>
      </c>
      <c r="AG420" s="9">
        <f t="shared" si="124"/>
        <v>26250</v>
      </c>
      <c r="AI420" s="11">
        <f t="shared" si="125"/>
        <v>80</v>
      </c>
      <c r="AJ420" s="10">
        <v>80</v>
      </c>
      <c r="AK420" s="11">
        <f t="shared" si="121"/>
        <v>700</v>
      </c>
      <c r="AL420" s="10">
        <v>700</v>
      </c>
      <c r="AM420" s="11">
        <f t="shared" si="121"/>
        <v>700</v>
      </c>
      <c r="AN420" s="10">
        <v>700</v>
      </c>
      <c r="AO420" s="56">
        <f t="shared" si="127"/>
        <v>2</v>
      </c>
      <c r="AQ420" s="11">
        <f ca="1">IFERROR(OFFSET(ITEM_RES!$A$1,MATCH(AR420,ITEM_RES!$J:$J,0)-1,0),0)</f>
        <v>215070001</v>
      </c>
      <c r="AR420" s="10" t="s">
        <v>480</v>
      </c>
      <c r="AS420" s="11">
        <v>3500</v>
      </c>
      <c r="AV420" s="11">
        <f ca="1">IFERROR(OFFSET(ITEM_RES!$A$1,MATCH(AW420,ITEM_RES!$J:$J,0)-1,0),0)</f>
        <v>211070001</v>
      </c>
      <c r="AW420" s="10" t="s">
        <v>493</v>
      </c>
      <c r="AX420" s="11">
        <v>3500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8"/>
        <v>114040017</v>
      </c>
      <c r="B421" s="13">
        <v>11</v>
      </c>
      <c r="C421" s="12">
        <f t="shared" si="119"/>
        <v>4</v>
      </c>
      <c r="D421" s="13">
        <v>4</v>
      </c>
      <c r="E421" s="13">
        <v>0</v>
      </c>
      <c r="F421" s="12">
        <f t="shared" si="120"/>
        <v>17</v>
      </c>
      <c r="H421" s="9">
        <v>4</v>
      </c>
      <c r="I421" s="9">
        <v>17</v>
      </c>
      <c r="K421" s="9" t="s">
        <v>381</v>
      </c>
      <c r="L421" s="9">
        <v>0</v>
      </c>
      <c r="M421" s="9">
        <v>15</v>
      </c>
      <c r="R421" s="9">
        <v>888</v>
      </c>
      <c r="AA421" s="9" t="s">
        <v>609</v>
      </c>
      <c r="AB421" s="9">
        <v>17</v>
      </c>
      <c r="AD421" s="9">
        <v>68000</v>
      </c>
      <c r="AF421" s="89">
        <f t="shared" si="126"/>
        <v>17850</v>
      </c>
      <c r="AG421" s="9">
        <f t="shared" si="124"/>
        <v>32550</v>
      </c>
      <c r="AI421" s="11">
        <f t="shared" si="125"/>
        <v>85</v>
      </c>
      <c r="AJ421" s="10">
        <v>85</v>
      </c>
      <c r="AK421" s="11">
        <f t="shared" si="121"/>
        <v>850</v>
      </c>
      <c r="AL421" s="10">
        <v>850</v>
      </c>
      <c r="AM421" s="11">
        <f t="shared" si="121"/>
        <v>850</v>
      </c>
      <c r="AN421" s="10">
        <v>850</v>
      </c>
      <c r="AO421" s="56">
        <f t="shared" si="127"/>
        <v>2</v>
      </c>
      <c r="AQ421" s="11">
        <f ca="1">IFERROR(OFFSET(ITEM_RES!$A$1,MATCH(AR421,ITEM_RES!$J:$J,0)-1,0),0)</f>
        <v>215070001</v>
      </c>
      <c r="AR421" s="10" t="s">
        <v>480</v>
      </c>
      <c r="AS421" s="11">
        <v>4250</v>
      </c>
      <c r="AV421" s="11">
        <f ca="1">IFERROR(OFFSET(ITEM_RES!$A$1,MATCH(AW421,ITEM_RES!$J:$J,0)-1,0),0)</f>
        <v>211070001</v>
      </c>
      <c r="AW421" s="10" t="s">
        <v>493</v>
      </c>
      <c r="AX421" s="11">
        <v>4250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8"/>
        <v>114040018</v>
      </c>
      <c r="B422" s="13">
        <v>11</v>
      </c>
      <c r="C422" s="12">
        <f t="shared" si="119"/>
        <v>4</v>
      </c>
      <c r="D422" s="13">
        <v>4</v>
      </c>
      <c r="E422" s="13">
        <v>0</v>
      </c>
      <c r="F422" s="12">
        <f t="shared" si="120"/>
        <v>18</v>
      </c>
      <c r="H422" s="9">
        <v>4</v>
      </c>
      <c r="I422" s="9">
        <v>18</v>
      </c>
      <c r="K422" s="9" t="s">
        <v>381</v>
      </c>
      <c r="L422" s="9">
        <v>0</v>
      </c>
      <c r="M422" s="9">
        <v>15</v>
      </c>
      <c r="R422" s="9">
        <v>888</v>
      </c>
      <c r="AA422" s="9" t="s">
        <v>609</v>
      </c>
      <c r="AB422" s="9">
        <v>18</v>
      </c>
      <c r="AD422" s="9">
        <v>84000</v>
      </c>
      <c r="AF422" s="89">
        <f t="shared" si="126"/>
        <v>22050</v>
      </c>
      <c r="AG422" s="9">
        <f t="shared" si="124"/>
        <v>39900</v>
      </c>
      <c r="AI422" s="11">
        <f t="shared" si="125"/>
        <v>90</v>
      </c>
      <c r="AJ422" s="10">
        <v>90</v>
      </c>
      <c r="AK422" s="11">
        <f t="shared" si="121"/>
        <v>1050</v>
      </c>
      <c r="AL422" s="10">
        <v>1050</v>
      </c>
      <c r="AM422" s="11">
        <f t="shared" si="121"/>
        <v>1050</v>
      </c>
      <c r="AN422" s="10">
        <v>1050</v>
      </c>
      <c r="AO422" s="56">
        <f t="shared" si="127"/>
        <v>2</v>
      </c>
      <c r="AQ422" s="11">
        <f ca="1">IFERROR(OFFSET(ITEM_RES!$A$1,MATCH(AR422,ITEM_RES!$J:$J,0)-1,0),0)</f>
        <v>215070001</v>
      </c>
      <c r="AR422" s="10" t="s">
        <v>480</v>
      </c>
      <c r="AS422" s="11">
        <v>5250</v>
      </c>
      <c r="AV422" s="11">
        <f ca="1">IFERROR(OFFSET(ITEM_RES!$A$1,MATCH(AW422,ITEM_RES!$J:$J,0)-1,0),0)</f>
        <v>211070001</v>
      </c>
      <c r="AW422" s="10" t="s">
        <v>493</v>
      </c>
      <c r="AX422" s="11">
        <v>5250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8"/>
        <v>114040019</v>
      </c>
      <c r="B423" s="13">
        <v>11</v>
      </c>
      <c r="C423" s="12">
        <f t="shared" si="119"/>
        <v>4</v>
      </c>
      <c r="D423" s="13">
        <v>4</v>
      </c>
      <c r="E423" s="13">
        <v>0</v>
      </c>
      <c r="F423" s="12">
        <f t="shared" si="120"/>
        <v>19</v>
      </c>
      <c r="H423" s="9">
        <v>4</v>
      </c>
      <c r="I423" s="9">
        <v>19</v>
      </c>
      <c r="K423" s="9" t="s">
        <v>381</v>
      </c>
      <c r="L423" s="9">
        <v>0</v>
      </c>
      <c r="M423" s="9">
        <v>15</v>
      </c>
      <c r="R423" s="9">
        <v>888</v>
      </c>
      <c r="AA423" s="9" t="s">
        <v>609</v>
      </c>
      <c r="AB423" s="9">
        <v>19</v>
      </c>
      <c r="AD423" s="9">
        <v>100000</v>
      </c>
      <c r="AF423" s="89">
        <f t="shared" si="126"/>
        <v>26250</v>
      </c>
      <c r="AG423" s="9">
        <f t="shared" si="124"/>
        <v>48300</v>
      </c>
      <c r="AI423" s="11">
        <f t="shared" si="125"/>
        <v>95</v>
      </c>
      <c r="AJ423" s="10">
        <v>95</v>
      </c>
      <c r="AK423" s="11">
        <f t="shared" si="121"/>
        <v>1250</v>
      </c>
      <c r="AL423" s="10">
        <v>1250</v>
      </c>
      <c r="AM423" s="11">
        <f t="shared" si="121"/>
        <v>1250</v>
      </c>
      <c r="AN423" s="10">
        <v>1250</v>
      </c>
      <c r="AO423" s="56">
        <f t="shared" si="127"/>
        <v>2</v>
      </c>
      <c r="AQ423" s="11">
        <f ca="1">IFERROR(OFFSET(ITEM_RES!$A$1,MATCH(AR423,ITEM_RES!$J:$J,0)-1,0),0)</f>
        <v>215070001</v>
      </c>
      <c r="AR423" s="10" t="s">
        <v>480</v>
      </c>
      <c r="AS423" s="11">
        <v>6250</v>
      </c>
      <c r="AV423" s="11">
        <f ca="1">IFERROR(OFFSET(ITEM_RES!$A$1,MATCH(AW423,ITEM_RES!$J:$J,0)-1,0),0)</f>
        <v>211070001</v>
      </c>
      <c r="AW423" s="10" t="s">
        <v>493</v>
      </c>
      <c r="AX423" s="11">
        <v>6250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8"/>
        <v>114040020</v>
      </c>
      <c r="B424" s="13">
        <v>11</v>
      </c>
      <c r="C424" s="12">
        <f t="shared" si="119"/>
        <v>4</v>
      </c>
      <c r="D424" s="13">
        <v>4</v>
      </c>
      <c r="E424" s="13">
        <v>0</v>
      </c>
      <c r="F424" s="12">
        <f t="shared" si="120"/>
        <v>20</v>
      </c>
      <c r="H424" s="9">
        <v>4</v>
      </c>
      <c r="I424" s="9">
        <v>20</v>
      </c>
      <c r="K424" s="9" t="s">
        <v>381</v>
      </c>
      <c r="L424" s="9">
        <v>0</v>
      </c>
      <c r="M424" s="9">
        <v>15</v>
      </c>
      <c r="R424" s="9">
        <v>888</v>
      </c>
      <c r="AA424" s="9" t="s">
        <v>609</v>
      </c>
      <c r="AB424" s="9">
        <v>20</v>
      </c>
      <c r="AD424" s="9">
        <v>120000</v>
      </c>
      <c r="AF424" s="89">
        <f t="shared" si="126"/>
        <v>31500</v>
      </c>
      <c r="AG424" s="9">
        <f t="shared" si="124"/>
        <v>57750</v>
      </c>
      <c r="AI424" s="11">
        <f t="shared" si="125"/>
        <v>100</v>
      </c>
      <c r="AJ424" s="10">
        <v>100</v>
      </c>
      <c r="AK424" s="11">
        <f t="shared" si="121"/>
        <v>1500</v>
      </c>
      <c r="AL424" s="10">
        <v>1500</v>
      </c>
      <c r="AM424" s="11">
        <f t="shared" si="121"/>
        <v>1500</v>
      </c>
      <c r="AN424" s="10">
        <v>1500</v>
      </c>
      <c r="AO424" s="56">
        <f t="shared" si="127"/>
        <v>2</v>
      </c>
      <c r="AQ424" s="11">
        <f ca="1">IFERROR(OFFSET(ITEM_RES!$A$1,MATCH(AR424,ITEM_RES!$J:$J,0)-1,0),0)</f>
        <v>215070001</v>
      </c>
      <c r="AR424" s="10" t="s">
        <v>480</v>
      </c>
      <c r="AS424" s="11">
        <v>7500</v>
      </c>
      <c r="AV424" s="11">
        <f ca="1">IFERROR(OFFSET(ITEM_RES!$A$1,MATCH(AW424,ITEM_RES!$J:$J,0)-1,0),0)</f>
        <v>211070001</v>
      </c>
      <c r="AW424" s="10" t="s">
        <v>493</v>
      </c>
      <c r="AX424" s="11">
        <v>7500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8"/>
        <v>116010001</v>
      </c>
      <c r="B425" s="20">
        <v>11</v>
      </c>
      <c r="C425" s="19">
        <f t="shared" si="119"/>
        <v>6</v>
      </c>
      <c r="D425" s="20">
        <v>1</v>
      </c>
      <c r="E425" s="20">
        <v>0</v>
      </c>
      <c r="F425" s="19">
        <f t="shared" si="120"/>
        <v>1</v>
      </c>
      <c r="G425" s="80"/>
      <c r="H425" s="16">
        <v>6</v>
      </c>
      <c r="I425" s="16">
        <v>1</v>
      </c>
      <c r="J425" s="80"/>
      <c r="K425" s="16" t="s">
        <v>486</v>
      </c>
      <c r="L425" s="16">
        <v>1</v>
      </c>
      <c r="M425" s="16">
        <v>15</v>
      </c>
      <c r="N425" s="16"/>
      <c r="O425" s="17"/>
      <c r="P425" s="17"/>
      <c r="Q425" s="18"/>
      <c r="R425" s="16">
        <v>999</v>
      </c>
      <c r="S425" s="88"/>
      <c r="T425" s="80"/>
      <c r="U425" s="88"/>
      <c r="V425" s="88"/>
      <c r="W425" s="88"/>
      <c r="X425" s="88"/>
      <c r="Y425" s="88"/>
      <c r="Z425" s="16"/>
      <c r="AA425" s="16" t="s">
        <v>610</v>
      </c>
      <c r="AB425" s="16">
        <v>1</v>
      </c>
      <c r="AC425" s="80"/>
      <c r="AD425" s="16">
        <v>200</v>
      </c>
      <c r="AE425" s="80"/>
      <c r="AF425" s="91">
        <f t="shared" si="126"/>
        <v>580</v>
      </c>
      <c r="AG425" s="16">
        <f>AF425</f>
        <v>580</v>
      </c>
      <c r="AH425" s="80"/>
      <c r="AI425" s="18">
        <f t="shared" si="125"/>
        <v>5</v>
      </c>
      <c r="AJ425" s="17">
        <v>5</v>
      </c>
      <c r="AK425" s="18">
        <f t="shared" si="121"/>
        <v>5</v>
      </c>
      <c r="AL425" s="17">
        <v>5</v>
      </c>
      <c r="AM425" s="18">
        <f t="shared" si="121"/>
        <v>5</v>
      </c>
      <c r="AN425" s="17">
        <v>5</v>
      </c>
      <c r="AO425" s="57">
        <f t="shared" si="127"/>
        <v>2</v>
      </c>
      <c r="AP425" s="18"/>
      <c r="AQ425" s="18">
        <f ca="1">IFERROR(OFFSET(ITEM_RES!$A$1,MATCH(AR425,ITEM_RES!$J:$J,0)-1,0),0)</f>
        <v>212010001</v>
      </c>
      <c r="AR425" s="17" t="s">
        <v>484</v>
      </c>
      <c r="AS425" s="18">
        <v>25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213010001</v>
      </c>
      <c r="BB425" s="17" t="s">
        <v>509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8"/>
        <v>116010002</v>
      </c>
      <c r="B426" s="13">
        <v>11</v>
      </c>
      <c r="C426" s="12">
        <f t="shared" si="119"/>
        <v>6</v>
      </c>
      <c r="D426" s="13">
        <v>1</v>
      </c>
      <c r="E426" s="13">
        <v>0</v>
      </c>
      <c r="F426" s="12">
        <f t="shared" si="120"/>
        <v>2</v>
      </c>
      <c r="H426" s="9">
        <v>6</v>
      </c>
      <c r="I426" s="9">
        <v>2</v>
      </c>
      <c r="K426" s="9" t="s">
        <v>486</v>
      </c>
      <c r="L426" s="9">
        <v>1</v>
      </c>
      <c r="M426" s="9">
        <v>15</v>
      </c>
      <c r="R426" s="9">
        <v>999</v>
      </c>
      <c r="AA426" s="9" t="s">
        <v>610</v>
      </c>
      <c r="AB426" s="9">
        <v>2</v>
      </c>
      <c r="AD426" s="9">
        <v>400</v>
      </c>
      <c r="AF426" s="89">
        <f t="shared" si="126"/>
        <v>160</v>
      </c>
      <c r="AG426" s="9">
        <f>AF425+AF426</f>
        <v>740</v>
      </c>
      <c r="AI426" s="11">
        <f t="shared" si="125"/>
        <v>10</v>
      </c>
      <c r="AJ426" s="10">
        <v>10</v>
      </c>
      <c r="AK426" s="11">
        <f t="shared" si="121"/>
        <v>10</v>
      </c>
      <c r="AL426" s="10">
        <v>10</v>
      </c>
      <c r="AM426" s="11">
        <f t="shared" si="121"/>
        <v>10</v>
      </c>
      <c r="AN426" s="10">
        <v>10</v>
      </c>
      <c r="AO426" s="56">
        <f t="shared" si="127"/>
        <v>1</v>
      </c>
      <c r="AQ426" s="11">
        <f ca="1">IFERROR(OFFSET(ITEM_RES!$A$1,MATCH(AR426,ITEM_RES!$J:$J,0)-1,0),0)</f>
        <v>212010001</v>
      </c>
      <c r="AR426" s="10" t="s">
        <v>484</v>
      </c>
      <c r="AS426" s="11">
        <v>50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8"/>
        <v>116010003</v>
      </c>
      <c r="B427" s="13">
        <v>11</v>
      </c>
      <c r="C427" s="12">
        <f t="shared" si="119"/>
        <v>6</v>
      </c>
      <c r="D427" s="13">
        <v>1</v>
      </c>
      <c r="E427" s="13">
        <v>0</v>
      </c>
      <c r="F427" s="12">
        <f t="shared" si="120"/>
        <v>3</v>
      </c>
      <c r="H427" s="9">
        <v>6</v>
      </c>
      <c r="I427" s="9">
        <v>3</v>
      </c>
      <c r="K427" s="9" t="s">
        <v>486</v>
      </c>
      <c r="L427" s="9">
        <v>1</v>
      </c>
      <c r="M427" s="9">
        <v>15</v>
      </c>
      <c r="R427" s="9">
        <v>999</v>
      </c>
      <c r="AA427" s="9" t="s">
        <v>610</v>
      </c>
      <c r="AB427" s="9">
        <v>3</v>
      </c>
      <c r="AD427" s="9">
        <v>1200</v>
      </c>
      <c r="AF427" s="89">
        <f t="shared" si="126"/>
        <v>240</v>
      </c>
      <c r="AG427" s="9">
        <f t="shared" ref="AG427:AG444" si="128">AF426+AF427</f>
        <v>400</v>
      </c>
      <c r="AI427" s="11">
        <f t="shared" si="125"/>
        <v>15</v>
      </c>
      <c r="AJ427" s="10">
        <v>15</v>
      </c>
      <c r="AK427" s="11">
        <f t="shared" si="121"/>
        <v>15</v>
      </c>
      <c r="AL427" s="10">
        <v>15</v>
      </c>
      <c r="AM427" s="11">
        <f t="shared" si="121"/>
        <v>15</v>
      </c>
      <c r="AN427" s="10">
        <v>15</v>
      </c>
      <c r="AO427" s="56">
        <f t="shared" si="127"/>
        <v>1</v>
      </c>
      <c r="AQ427" s="11">
        <f ca="1">IFERROR(OFFSET(ITEM_RES!$A$1,MATCH(AR427,ITEM_RES!$J:$J,0)-1,0),0)</f>
        <v>212010001</v>
      </c>
      <c r="AR427" s="10" t="s">
        <v>484</v>
      </c>
      <c r="AS427" s="11">
        <v>75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8"/>
        <v>116010004</v>
      </c>
      <c r="B428" s="13">
        <v>11</v>
      </c>
      <c r="C428" s="12">
        <f t="shared" si="119"/>
        <v>6</v>
      </c>
      <c r="D428" s="13">
        <v>1</v>
      </c>
      <c r="E428" s="13">
        <v>0</v>
      </c>
      <c r="F428" s="12">
        <f t="shared" si="120"/>
        <v>4</v>
      </c>
      <c r="H428" s="9">
        <v>6</v>
      </c>
      <c r="I428" s="9">
        <v>4</v>
      </c>
      <c r="K428" s="9" t="s">
        <v>486</v>
      </c>
      <c r="L428" s="9">
        <v>1</v>
      </c>
      <c r="M428" s="9">
        <v>15</v>
      </c>
      <c r="R428" s="9">
        <v>999</v>
      </c>
      <c r="AA428" s="9" t="s">
        <v>610</v>
      </c>
      <c r="AB428" s="9">
        <v>4</v>
      </c>
      <c r="AD428" s="9">
        <v>2000</v>
      </c>
      <c r="AF428" s="89">
        <f t="shared" si="126"/>
        <v>400</v>
      </c>
      <c r="AG428" s="9">
        <f t="shared" si="128"/>
        <v>640</v>
      </c>
      <c r="AI428" s="11">
        <f t="shared" si="125"/>
        <v>20</v>
      </c>
      <c r="AJ428" s="10">
        <v>20</v>
      </c>
      <c r="AK428" s="11">
        <f t="shared" si="121"/>
        <v>25</v>
      </c>
      <c r="AL428" s="10">
        <v>25</v>
      </c>
      <c r="AM428" s="11">
        <f t="shared" si="121"/>
        <v>25</v>
      </c>
      <c r="AN428" s="10">
        <v>25</v>
      </c>
      <c r="AO428" s="56">
        <f t="shared" si="127"/>
        <v>1</v>
      </c>
      <c r="AQ428" s="11">
        <f ca="1">IFERROR(OFFSET(ITEM_RES!$A$1,MATCH(AR428,ITEM_RES!$J:$J,0)-1,0),0)</f>
        <v>212010001</v>
      </c>
      <c r="AR428" s="10" t="s">
        <v>484</v>
      </c>
      <c r="AS428" s="11">
        <v>125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9">B429*10000000+C429*1000000+D429*10000+E429*100+F429</f>
        <v>116010005</v>
      </c>
      <c r="B429" s="13">
        <v>11</v>
      </c>
      <c r="C429" s="12">
        <f t="shared" ref="C429:C492" si="130">H429</f>
        <v>6</v>
      </c>
      <c r="D429" s="13">
        <v>1</v>
      </c>
      <c r="E429" s="13">
        <v>0</v>
      </c>
      <c r="F429" s="12">
        <f t="shared" ref="F429:F492" si="131">I429</f>
        <v>5</v>
      </c>
      <c r="H429" s="9">
        <v>6</v>
      </c>
      <c r="I429" s="9">
        <v>5</v>
      </c>
      <c r="K429" s="9" t="s">
        <v>486</v>
      </c>
      <c r="L429" s="9">
        <v>1</v>
      </c>
      <c r="M429" s="9">
        <v>15</v>
      </c>
      <c r="R429" s="9">
        <v>999</v>
      </c>
      <c r="AA429" s="9" t="s">
        <v>610</v>
      </c>
      <c r="AB429" s="9">
        <v>5</v>
      </c>
      <c r="AD429" s="9">
        <v>3200</v>
      </c>
      <c r="AF429" s="89">
        <f t="shared" si="126"/>
        <v>640</v>
      </c>
      <c r="AG429" s="9">
        <f t="shared" si="128"/>
        <v>1040</v>
      </c>
      <c r="AI429" s="11">
        <f t="shared" si="125"/>
        <v>25</v>
      </c>
      <c r="AJ429" s="10">
        <v>25</v>
      </c>
      <c r="AK429" s="11">
        <f t="shared" si="121"/>
        <v>40</v>
      </c>
      <c r="AL429" s="10">
        <v>40</v>
      </c>
      <c r="AM429" s="11">
        <f t="shared" si="121"/>
        <v>40</v>
      </c>
      <c r="AN429" s="10">
        <v>40</v>
      </c>
      <c r="AO429" s="56">
        <f t="shared" si="127"/>
        <v>1</v>
      </c>
      <c r="AQ429" s="11">
        <f ca="1">IFERROR(OFFSET(ITEM_RES!$A$1,MATCH(AR429,ITEM_RES!$J:$J,0)-1,0),0)</f>
        <v>212010001</v>
      </c>
      <c r="AR429" s="10" t="s">
        <v>484</v>
      </c>
      <c r="AS429" s="11">
        <v>200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9"/>
        <v>116010006</v>
      </c>
      <c r="B430" s="13">
        <v>11</v>
      </c>
      <c r="C430" s="12">
        <f t="shared" si="130"/>
        <v>6</v>
      </c>
      <c r="D430" s="13">
        <v>1</v>
      </c>
      <c r="E430" s="13">
        <v>0</v>
      </c>
      <c r="F430" s="12">
        <f t="shared" si="131"/>
        <v>6</v>
      </c>
      <c r="H430" s="9">
        <v>6</v>
      </c>
      <c r="I430" s="9">
        <v>6</v>
      </c>
      <c r="K430" s="9" t="s">
        <v>486</v>
      </c>
      <c r="L430" s="9">
        <v>1</v>
      </c>
      <c r="M430" s="9">
        <v>15</v>
      </c>
      <c r="R430" s="9">
        <v>999</v>
      </c>
      <c r="AA430" s="9" t="s">
        <v>610</v>
      </c>
      <c r="AB430" s="9">
        <v>6</v>
      </c>
      <c r="AD430" s="9">
        <v>4000</v>
      </c>
      <c r="AF430" s="89">
        <f t="shared" si="126"/>
        <v>800</v>
      </c>
      <c r="AG430" s="9">
        <f t="shared" si="128"/>
        <v>1440</v>
      </c>
      <c r="AI430" s="11">
        <f t="shared" si="125"/>
        <v>30</v>
      </c>
      <c r="AJ430" s="10">
        <v>30</v>
      </c>
      <c r="AK430" s="11">
        <f t="shared" ref="AK430:AM493" si="132">ROUND(AL430,0)</f>
        <v>50</v>
      </c>
      <c r="AL430" s="10">
        <v>50</v>
      </c>
      <c r="AM430" s="11">
        <f t="shared" si="132"/>
        <v>50</v>
      </c>
      <c r="AN430" s="10">
        <v>50</v>
      </c>
      <c r="AO430" s="56">
        <f t="shared" si="127"/>
        <v>1</v>
      </c>
      <c r="AQ430" s="11">
        <f ca="1">IFERROR(OFFSET(ITEM_RES!$A$1,MATCH(AR430,ITEM_RES!$J:$J,0)-1,0),0)</f>
        <v>212010001</v>
      </c>
      <c r="AR430" s="10" t="s">
        <v>484</v>
      </c>
      <c r="AS430" s="11">
        <v>250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9"/>
        <v>116010007</v>
      </c>
      <c r="B431" s="13">
        <v>11</v>
      </c>
      <c r="C431" s="12">
        <f t="shared" si="130"/>
        <v>6</v>
      </c>
      <c r="D431" s="13">
        <v>1</v>
      </c>
      <c r="E431" s="13">
        <v>0</v>
      </c>
      <c r="F431" s="12">
        <f t="shared" si="131"/>
        <v>7</v>
      </c>
      <c r="H431" s="9">
        <v>6</v>
      </c>
      <c r="I431" s="9">
        <v>7</v>
      </c>
      <c r="K431" s="9" t="s">
        <v>486</v>
      </c>
      <c r="L431" s="9">
        <v>1</v>
      </c>
      <c r="M431" s="9">
        <v>15</v>
      </c>
      <c r="R431" s="9">
        <v>999</v>
      </c>
      <c r="AA431" s="9" t="s">
        <v>610</v>
      </c>
      <c r="AB431" s="9">
        <v>7</v>
      </c>
      <c r="AD431" s="9">
        <v>8000</v>
      </c>
      <c r="AF431" s="89">
        <f t="shared" si="126"/>
        <v>1600</v>
      </c>
      <c r="AG431" s="9">
        <f t="shared" si="128"/>
        <v>2400</v>
      </c>
      <c r="AI431" s="11">
        <f t="shared" si="125"/>
        <v>35</v>
      </c>
      <c r="AJ431" s="10">
        <v>35</v>
      </c>
      <c r="AK431" s="11">
        <f t="shared" si="132"/>
        <v>100</v>
      </c>
      <c r="AL431" s="10">
        <v>100</v>
      </c>
      <c r="AM431" s="11">
        <f t="shared" si="132"/>
        <v>100</v>
      </c>
      <c r="AN431" s="10">
        <v>100</v>
      </c>
      <c r="AO431" s="56">
        <f t="shared" si="127"/>
        <v>1</v>
      </c>
      <c r="AQ431" s="11">
        <f ca="1">IFERROR(OFFSET(ITEM_RES!$A$1,MATCH(AR431,ITEM_RES!$J:$J,0)-1,0),0)</f>
        <v>212010001</v>
      </c>
      <c r="AR431" s="10" t="s">
        <v>484</v>
      </c>
      <c r="AS431" s="11">
        <v>500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9"/>
        <v>116010008</v>
      </c>
      <c r="B432" s="13">
        <v>11</v>
      </c>
      <c r="C432" s="12">
        <f t="shared" si="130"/>
        <v>6</v>
      </c>
      <c r="D432" s="13">
        <v>1</v>
      </c>
      <c r="E432" s="13">
        <v>0</v>
      </c>
      <c r="F432" s="12">
        <f t="shared" si="131"/>
        <v>8</v>
      </c>
      <c r="H432" s="9">
        <v>6</v>
      </c>
      <c r="I432" s="9">
        <v>8</v>
      </c>
      <c r="K432" s="9" t="s">
        <v>395</v>
      </c>
      <c r="L432" s="9">
        <v>1</v>
      </c>
      <c r="M432" s="9">
        <v>15</v>
      </c>
      <c r="R432" s="9">
        <v>999</v>
      </c>
      <c r="AA432" s="9" t="s">
        <v>610</v>
      </c>
      <c r="AB432" s="9">
        <v>8</v>
      </c>
      <c r="AD432" s="9">
        <v>8000</v>
      </c>
      <c r="AF432" s="89">
        <f t="shared" si="126"/>
        <v>1600</v>
      </c>
      <c r="AG432" s="9">
        <f t="shared" si="128"/>
        <v>3200</v>
      </c>
      <c r="AI432" s="11">
        <f t="shared" si="125"/>
        <v>40</v>
      </c>
      <c r="AJ432" s="10">
        <v>40</v>
      </c>
      <c r="AK432" s="11">
        <f t="shared" si="132"/>
        <v>100</v>
      </c>
      <c r="AL432" s="10">
        <v>100</v>
      </c>
      <c r="AM432" s="11">
        <f t="shared" si="132"/>
        <v>100</v>
      </c>
      <c r="AN432" s="10">
        <v>100</v>
      </c>
      <c r="AO432" s="56">
        <f t="shared" si="127"/>
        <v>1</v>
      </c>
      <c r="AQ432" s="11">
        <f ca="1">IFERROR(OFFSET(ITEM_RES!$A$1,MATCH(AR432,ITEM_RES!$J:$J,0)-1,0),0)</f>
        <v>215070001</v>
      </c>
      <c r="AR432" s="10" t="s">
        <v>480</v>
      </c>
      <c r="AS432" s="11">
        <v>500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9"/>
        <v>116010009</v>
      </c>
      <c r="B433" s="13">
        <v>11</v>
      </c>
      <c r="C433" s="12">
        <f t="shared" si="130"/>
        <v>6</v>
      </c>
      <c r="D433" s="13">
        <v>1</v>
      </c>
      <c r="E433" s="13">
        <v>0</v>
      </c>
      <c r="F433" s="12">
        <f t="shared" si="131"/>
        <v>9</v>
      </c>
      <c r="H433" s="9">
        <v>6</v>
      </c>
      <c r="I433" s="9">
        <v>9</v>
      </c>
      <c r="K433" s="9" t="s">
        <v>395</v>
      </c>
      <c r="L433" s="9">
        <v>1</v>
      </c>
      <c r="M433" s="9">
        <v>15</v>
      </c>
      <c r="R433" s="9">
        <v>999</v>
      </c>
      <c r="AA433" s="9" t="s">
        <v>610</v>
      </c>
      <c r="AB433" s="9">
        <v>9</v>
      </c>
      <c r="AD433" s="9">
        <v>12000</v>
      </c>
      <c r="AF433" s="89">
        <f t="shared" si="126"/>
        <v>2400</v>
      </c>
      <c r="AG433" s="9">
        <f t="shared" si="128"/>
        <v>4000</v>
      </c>
      <c r="AI433" s="11">
        <f t="shared" si="125"/>
        <v>45</v>
      </c>
      <c r="AJ433" s="10">
        <v>45</v>
      </c>
      <c r="AK433" s="11">
        <f t="shared" si="132"/>
        <v>150</v>
      </c>
      <c r="AL433" s="10">
        <v>150</v>
      </c>
      <c r="AM433" s="11">
        <f t="shared" si="132"/>
        <v>150</v>
      </c>
      <c r="AN433" s="10">
        <v>150</v>
      </c>
      <c r="AO433" s="56">
        <f t="shared" si="127"/>
        <v>1</v>
      </c>
      <c r="AQ433" s="11">
        <f ca="1">IFERROR(OFFSET(ITEM_RES!$A$1,MATCH(AR433,ITEM_RES!$J:$J,0)-1,0),0)</f>
        <v>215070001</v>
      </c>
      <c r="AR433" s="10" t="s">
        <v>480</v>
      </c>
      <c r="AS433" s="11">
        <v>750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9"/>
        <v>116010010</v>
      </c>
      <c r="B434" s="13">
        <v>11</v>
      </c>
      <c r="C434" s="12">
        <f t="shared" si="130"/>
        <v>6</v>
      </c>
      <c r="D434" s="13">
        <v>1</v>
      </c>
      <c r="E434" s="13">
        <v>0</v>
      </c>
      <c r="F434" s="12">
        <f t="shared" si="131"/>
        <v>10</v>
      </c>
      <c r="H434" s="9">
        <v>6</v>
      </c>
      <c r="I434" s="9">
        <v>10</v>
      </c>
      <c r="K434" s="9" t="s">
        <v>395</v>
      </c>
      <c r="L434" s="9">
        <v>1</v>
      </c>
      <c r="M434" s="9">
        <v>15</v>
      </c>
      <c r="R434" s="9">
        <v>999</v>
      </c>
      <c r="AA434" s="9" t="s">
        <v>610</v>
      </c>
      <c r="AB434" s="9">
        <v>10</v>
      </c>
      <c r="AD434" s="9">
        <v>16000</v>
      </c>
      <c r="AF434" s="89">
        <f t="shared" si="126"/>
        <v>3200</v>
      </c>
      <c r="AG434" s="9">
        <f t="shared" si="128"/>
        <v>5600</v>
      </c>
      <c r="AI434" s="11">
        <f t="shared" si="125"/>
        <v>50</v>
      </c>
      <c r="AJ434" s="10">
        <v>50</v>
      </c>
      <c r="AK434" s="11">
        <f t="shared" si="132"/>
        <v>200</v>
      </c>
      <c r="AL434" s="10">
        <v>200</v>
      </c>
      <c r="AM434" s="11">
        <f t="shared" si="132"/>
        <v>200</v>
      </c>
      <c r="AN434" s="10">
        <v>200</v>
      </c>
      <c r="AO434" s="56">
        <f t="shared" si="127"/>
        <v>1</v>
      </c>
      <c r="AQ434" s="11">
        <f ca="1">IFERROR(OFFSET(ITEM_RES!$A$1,MATCH(AR434,ITEM_RES!$J:$J,0)-1,0),0)</f>
        <v>215070001</v>
      </c>
      <c r="AR434" s="10" t="s">
        <v>480</v>
      </c>
      <c r="AS434" s="11">
        <v>1000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9"/>
        <v>116010011</v>
      </c>
      <c r="B435" s="13">
        <v>11</v>
      </c>
      <c r="C435" s="12">
        <f t="shared" si="130"/>
        <v>6</v>
      </c>
      <c r="D435" s="13">
        <v>1</v>
      </c>
      <c r="E435" s="13">
        <v>0</v>
      </c>
      <c r="F435" s="12">
        <f t="shared" si="131"/>
        <v>11</v>
      </c>
      <c r="H435" s="9">
        <v>6</v>
      </c>
      <c r="I435" s="9">
        <v>11</v>
      </c>
      <c r="K435" s="9" t="s">
        <v>395</v>
      </c>
      <c r="L435" s="9">
        <v>1</v>
      </c>
      <c r="M435" s="9">
        <v>15</v>
      </c>
      <c r="R435" s="9">
        <v>999</v>
      </c>
      <c r="AA435" s="9" t="s">
        <v>610</v>
      </c>
      <c r="AB435" s="9">
        <v>11</v>
      </c>
      <c r="AD435" s="9">
        <v>20000</v>
      </c>
      <c r="AF435" s="89">
        <f t="shared" si="126"/>
        <v>4000</v>
      </c>
      <c r="AG435" s="9">
        <f t="shared" si="128"/>
        <v>7200</v>
      </c>
      <c r="AI435" s="11">
        <f t="shared" si="125"/>
        <v>55</v>
      </c>
      <c r="AJ435" s="10">
        <v>55</v>
      </c>
      <c r="AK435" s="11">
        <f t="shared" si="132"/>
        <v>250</v>
      </c>
      <c r="AL435" s="10">
        <v>250</v>
      </c>
      <c r="AM435" s="11">
        <f t="shared" si="132"/>
        <v>250</v>
      </c>
      <c r="AN435" s="10">
        <v>250</v>
      </c>
      <c r="AO435" s="56">
        <f t="shared" si="127"/>
        <v>1</v>
      </c>
      <c r="AQ435" s="11">
        <f ca="1">IFERROR(OFFSET(ITEM_RES!$A$1,MATCH(AR435,ITEM_RES!$J:$J,0)-1,0),0)</f>
        <v>215070001</v>
      </c>
      <c r="AR435" s="10" t="s">
        <v>480</v>
      </c>
      <c r="AS435" s="11">
        <v>1250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9"/>
        <v>116010012</v>
      </c>
      <c r="B436" s="13">
        <v>11</v>
      </c>
      <c r="C436" s="12">
        <f t="shared" si="130"/>
        <v>6</v>
      </c>
      <c r="D436" s="13">
        <v>1</v>
      </c>
      <c r="E436" s="13">
        <v>0</v>
      </c>
      <c r="F436" s="12">
        <f t="shared" si="131"/>
        <v>12</v>
      </c>
      <c r="H436" s="9">
        <v>6</v>
      </c>
      <c r="I436" s="9">
        <v>12</v>
      </c>
      <c r="K436" s="9" t="s">
        <v>395</v>
      </c>
      <c r="L436" s="9">
        <v>1</v>
      </c>
      <c r="M436" s="9">
        <v>15</v>
      </c>
      <c r="R436" s="9">
        <v>999</v>
      </c>
      <c r="AA436" s="9" t="s">
        <v>610</v>
      </c>
      <c r="AB436" s="9">
        <v>12</v>
      </c>
      <c r="AD436" s="9">
        <v>24000</v>
      </c>
      <c r="AF436" s="89">
        <f t="shared" si="126"/>
        <v>4800</v>
      </c>
      <c r="AG436" s="9">
        <f t="shared" si="128"/>
        <v>8800</v>
      </c>
      <c r="AI436" s="11">
        <f t="shared" si="125"/>
        <v>60</v>
      </c>
      <c r="AJ436" s="10">
        <v>60</v>
      </c>
      <c r="AK436" s="11">
        <f t="shared" si="132"/>
        <v>300</v>
      </c>
      <c r="AL436" s="10">
        <v>300</v>
      </c>
      <c r="AM436" s="11">
        <f t="shared" si="132"/>
        <v>300</v>
      </c>
      <c r="AN436" s="10">
        <v>300</v>
      </c>
      <c r="AO436" s="56">
        <f t="shared" si="127"/>
        <v>1</v>
      </c>
      <c r="AQ436" s="11">
        <f ca="1">IFERROR(OFFSET(ITEM_RES!$A$1,MATCH(AR436,ITEM_RES!$J:$J,0)-1,0),0)</f>
        <v>215070001</v>
      </c>
      <c r="AR436" s="10" t="s">
        <v>480</v>
      </c>
      <c r="AS436" s="11">
        <v>1500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9"/>
        <v>116010013</v>
      </c>
      <c r="B437" s="13">
        <v>11</v>
      </c>
      <c r="C437" s="12">
        <f t="shared" si="130"/>
        <v>6</v>
      </c>
      <c r="D437" s="13">
        <v>1</v>
      </c>
      <c r="E437" s="13">
        <v>0</v>
      </c>
      <c r="F437" s="12">
        <f t="shared" si="131"/>
        <v>13</v>
      </c>
      <c r="H437" s="9">
        <v>6</v>
      </c>
      <c r="I437" s="9">
        <v>13</v>
      </c>
      <c r="K437" s="9" t="s">
        <v>395</v>
      </c>
      <c r="L437" s="9">
        <v>1</v>
      </c>
      <c r="M437" s="9">
        <v>15</v>
      </c>
      <c r="R437" s="9">
        <v>999</v>
      </c>
      <c r="AA437" s="9" t="s">
        <v>610</v>
      </c>
      <c r="AB437" s="9">
        <v>13</v>
      </c>
      <c r="AD437" s="9">
        <v>28000</v>
      </c>
      <c r="AF437" s="89">
        <f t="shared" si="126"/>
        <v>6100</v>
      </c>
      <c r="AG437" s="9">
        <f t="shared" si="128"/>
        <v>10900</v>
      </c>
      <c r="AI437" s="11">
        <f t="shared" si="125"/>
        <v>65</v>
      </c>
      <c r="AJ437" s="10">
        <v>65</v>
      </c>
      <c r="AK437" s="11">
        <f t="shared" si="132"/>
        <v>350</v>
      </c>
      <c r="AL437" s="10">
        <v>350</v>
      </c>
      <c r="AM437" s="11">
        <f t="shared" si="132"/>
        <v>350</v>
      </c>
      <c r="AN437" s="10">
        <v>350</v>
      </c>
      <c r="AO437" s="56">
        <f t="shared" si="127"/>
        <v>2</v>
      </c>
      <c r="AQ437" s="11">
        <f ca="1">IFERROR(OFFSET(ITEM_RES!$A$1,MATCH(AR437,ITEM_RES!$J:$J,0)-1,0),0)</f>
        <v>215070001</v>
      </c>
      <c r="AR437" s="10" t="s">
        <v>480</v>
      </c>
      <c r="AS437" s="11">
        <v>1750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213130001</v>
      </c>
      <c r="BG437" s="10" t="s">
        <v>527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9"/>
        <v>116010014</v>
      </c>
      <c r="B438" s="13">
        <v>11</v>
      </c>
      <c r="C438" s="12">
        <f t="shared" si="130"/>
        <v>6</v>
      </c>
      <c r="D438" s="13">
        <v>1</v>
      </c>
      <c r="E438" s="13">
        <v>0</v>
      </c>
      <c r="F438" s="12">
        <f t="shared" si="131"/>
        <v>14</v>
      </c>
      <c r="H438" s="9">
        <v>6</v>
      </c>
      <c r="I438" s="9">
        <v>14</v>
      </c>
      <c r="K438" s="9" t="s">
        <v>395</v>
      </c>
      <c r="L438" s="9">
        <v>1</v>
      </c>
      <c r="M438" s="9">
        <v>15</v>
      </c>
      <c r="R438" s="9">
        <v>999</v>
      </c>
      <c r="AA438" s="9" t="s">
        <v>610</v>
      </c>
      <c r="AB438" s="9">
        <v>14</v>
      </c>
      <c r="AD438" s="9">
        <v>36000</v>
      </c>
      <c r="AF438" s="89">
        <f t="shared" si="126"/>
        <v>7200</v>
      </c>
      <c r="AG438" s="9">
        <f t="shared" si="128"/>
        <v>13300</v>
      </c>
      <c r="AI438" s="11">
        <f t="shared" si="125"/>
        <v>70</v>
      </c>
      <c r="AJ438" s="10">
        <v>70</v>
      </c>
      <c r="AK438" s="11">
        <f t="shared" si="132"/>
        <v>450</v>
      </c>
      <c r="AL438" s="10">
        <v>450</v>
      </c>
      <c r="AM438" s="11">
        <f t="shared" si="132"/>
        <v>450</v>
      </c>
      <c r="AN438" s="10">
        <v>450</v>
      </c>
      <c r="AO438" s="56">
        <f t="shared" si="127"/>
        <v>1</v>
      </c>
      <c r="AQ438" s="11">
        <f ca="1">IFERROR(OFFSET(ITEM_RES!$A$1,MATCH(AR438,ITEM_RES!$J:$J,0)-1,0),0)</f>
        <v>215070001</v>
      </c>
      <c r="AR438" s="10" t="s">
        <v>480</v>
      </c>
      <c r="AS438" s="11">
        <v>2250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9"/>
        <v>116010015</v>
      </c>
      <c r="B439" s="13">
        <v>11</v>
      </c>
      <c r="C439" s="12">
        <f t="shared" si="130"/>
        <v>6</v>
      </c>
      <c r="D439" s="13">
        <v>1</v>
      </c>
      <c r="E439" s="13">
        <v>0</v>
      </c>
      <c r="F439" s="12">
        <f t="shared" si="131"/>
        <v>15</v>
      </c>
      <c r="H439" s="9">
        <v>6</v>
      </c>
      <c r="I439" s="9">
        <v>15</v>
      </c>
      <c r="K439" s="9" t="s">
        <v>395</v>
      </c>
      <c r="L439" s="9">
        <v>1</v>
      </c>
      <c r="M439" s="9">
        <v>15</v>
      </c>
      <c r="R439" s="9">
        <v>999</v>
      </c>
      <c r="AA439" s="9" t="s">
        <v>610</v>
      </c>
      <c r="AB439" s="9">
        <v>15</v>
      </c>
      <c r="AD439" s="9">
        <v>44000</v>
      </c>
      <c r="AF439" s="89">
        <f t="shared" si="126"/>
        <v>8800</v>
      </c>
      <c r="AG439" s="9">
        <f t="shared" si="128"/>
        <v>16000</v>
      </c>
      <c r="AI439" s="11">
        <f t="shared" si="125"/>
        <v>75</v>
      </c>
      <c r="AJ439" s="10">
        <v>75</v>
      </c>
      <c r="AK439" s="11">
        <f t="shared" si="132"/>
        <v>550</v>
      </c>
      <c r="AL439" s="10">
        <v>550</v>
      </c>
      <c r="AM439" s="11">
        <f t="shared" si="132"/>
        <v>550</v>
      </c>
      <c r="AN439" s="10">
        <v>550</v>
      </c>
      <c r="AO439" s="56">
        <f t="shared" si="127"/>
        <v>1</v>
      </c>
      <c r="AQ439" s="11">
        <f ca="1">IFERROR(OFFSET(ITEM_RES!$A$1,MATCH(AR439,ITEM_RES!$J:$J,0)-1,0),0)</f>
        <v>215070001</v>
      </c>
      <c r="AR439" s="10" t="s">
        <v>480</v>
      </c>
      <c r="AS439" s="11">
        <v>2750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9"/>
        <v>116010016</v>
      </c>
      <c r="B440" s="13">
        <v>11</v>
      </c>
      <c r="C440" s="12">
        <f t="shared" si="130"/>
        <v>6</v>
      </c>
      <c r="D440" s="13">
        <v>1</v>
      </c>
      <c r="E440" s="13">
        <v>0</v>
      </c>
      <c r="F440" s="12">
        <f t="shared" si="131"/>
        <v>16</v>
      </c>
      <c r="H440" s="9">
        <v>6</v>
      </c>
      <c r="I440" s="9">
        <v>16</v>
      </c>
      <c r="K440" s="9" t="s">
        <v>395</v>
      </c>
      <c r="L440" s="9">
        <v>0</v>
      </c>
      <c r="M440" s="9">
        <v>15</v>
      </c>
      <c r="R440" s="9">
        <v>999</v>
      </c>
      <c r="AA440" s="9" t="s">
        <v>610</v>
      </c>
      <c r="AB440" s="9">
        <v>16</v>
      </c>
      <c r="AD440" s="9">
        <v>56000</v>
      </c>
      <c r="AF440" s="89">
        <f t="shared" si="126"/>
        <v>11200</v>
      </c>
      <c r="AG440" s="9">
        <f t="shared" si="128"/>
        <v>20000</v>
      </c>
      <c r="AI440" s="11">
        <f t="shared" si="125"/>
        <v>80</v>
      </c>
      <c r="AJ440" s="10">
        <v>80</v>
      </c>
      <c r="AK440" s="11">
        <f t="shared" si="132"/>
        <v>700</v>
      </c>
      <c r="AL440" s="10">
        <v>700</v>
      </c>
      <c r="AM440" s="11">
        <f t="shared" si="132"/>
        <v>700</v>
      </c>
      <c r="AN440" s="10">
        <v>700</v>
      </c>
      <c r="AO440" s="56">
        <f t="shared" si="127"/>
        <v>1</v>
      </c>
      <c r="AQ440" s="11">
        <f ca="1">IFERROR(OFFSET(ITEM_RES!$A$1,MATCH(AR440,ITEM_RES!$J:$J,0)-1,0),0)</f>
        <v>215070001</v>
      </c>
      <c r="AR440" s="10" t="s">
        <v>480</v>
      </c>
      <c r="AS440" s="11">
        <v>3500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9"/>
        <v>116010017</v>
      </c>
      <c r="B441" s="13">
        <v>11</v>
      </c>
      <c r="C441" s="12">
        <f t="shared" si="130"/>
        <v>6</v>
      </c>
      <c r="D441" s="13">
        <v>1</v>
      </c>
      <c r="E441" s="13">
        <v>0</v>
      </c>
      <c r="F441" s="12">
        <f t="shared" si="131"/>
        <v>17</v>
      </c>
      <c r="H441" s="9">
        <v>6</v>
      </c>
      <c r="I441" s="9">
        <v>17</v>
      </c>
      <c r="K441" s="9" t="s">
        <v>395</v>
      </c>
      <c r="L441" s="9">
        <v>0</v>
      </c>
      <c r="M441" s="9">
        <v>15</v>
      </c>
      <c r="R441" s="9">
        <v>999</v>
      </c>
      <c r="AA441" s="9" t="s">
        <v>610</v>
      </c>
      <c r="AB441" s="9">
        <v>17</v>
      </c>
      <c r="AD441" s="9">
        <v>68000</v>
      </c>
      <c r="AF441" s="89">
        <f t="shared" si="126"/>
        <v>13600</v>
      </c>
      <c r="AG441" s="9">
        <f t="shared" si="128"/>
        <v>24800</v>
      </c>
      <c r="AI441" s="11">
        <f t="shared" si="125"/>
        <v>85</v>
      </c>
      <c r="AJ441" s="10">
        <v>85</v>
      </c>
      <c r="AK441" s="11">
        <f t="shared" si="132"/>
        <v>850</v>
      </c>
      <c r="AL441" s="10">
        <v>850</v>
      </c>
      <c r="AM441" s="11">
        <f t="shared" si="132"/>
        <v>850</v>
      </c>
      <c r="AN441" s="10">
        <v>850</v>
      </c>
      <c r="AO441" s="56">
        <f t="shared" si="127"/>
        <v>1</v>
      </c>
      <c r="AQ441" s="11">
        <f ca="1">IFERROR(OFFSET(ITEM_RES!$A$1,MATCH(AR441,ITEM_RES!$J:$J,0)-1,0),0)</f>
        <v>215070001</v>
      </c>
      <c r="AR441" s="10" t="s">
        <v>480</v>
      </c>
      <c r="AS441" s="11">
        <v>4250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9"/>
        <v>116010018</v>
      </c>
      <c r="B442" s="13">
        <v>11</v>
      </c>
      <c r="C442" s="12">
        <f t="shared" si="130"/>
        <v>6</v>
      </c>
      <c r="D442" s="13">
        <v>1</v>
      </c>
      <c r="E442" s="13">
        <v>0</v>
      </c>
      <c r="F442" s="12">
        <f t="shared" si="131"/>
        <v>18</v>
      </c>
      <c r="H442" s="9">
        <v>6</v>
      </c>
      <c r="I442" s="9">
        <v>18</v>
      </c>
      <c r="K442" s="9" t="s">
        <v>395</v>
      </c>
      <c r="L442" s="9">
        <v>0</v>
      </c>
      <c r="M442" s="9">
        <v>15</v>
      </c>
      <c r="R442" s="9">
        <v>999</v>
      </c>
      <c r="AA442" s="9" t="s">
        <v>610</v>
      </c>
      <c r="AB442" s="9">
        <v>18</v>
      </c>
      <c r="AD442" s="9">
        <v>84000</v>
      </c>
      <c r="AF442" s="89">
        <f t="shared" si="126"/>
        <v>16800</v>
      </c>
      <c r="AG442" s="9">
        <f t="shared" si="128"/>
        <v>30400</v>
      </c>
      <c r="AI442" s="11">
        <f t="shared" si="125"/>
        <v>90</v>
      </c>
      <c r="AJ442" s="10">
        <v>90</v>
      </c>
      <c r="AK442" s="11">
        <f t="shared" si="132"/>
        <v>1050</v>
      </c>
      <c r="AL442" s="10">
        <v>1050</v>
      </c>
      <c r="AM442" s="11">
        <f t="shared" si="132"/>
        <v>1050</v>
      </c>
      <c r="AN442" s="10">
        <v>1050</v>
      </c>
      <c r="AO442" s="56">
        <f t="shared" si="127"/>
        <v>1</v>
      </c>
      <c r="AQ442" s="11">
        <f ca="1">IFERROR(OFFSET(ITEM_RES!$A$1,MATCH(AR442,ITEM_RES!$J:$J,0)-1,0),0)</f>
        <v>215070001</v>
      </c>
      <c r="AR442" s="10" t="s">
        <v>480</v>
      </c>
      <c r="AS442" s="11">
        <v>5250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9"/>
        <v>116010019</v>
      </c>
      <c r="B443" s="13">
        <v>11</v>
      </c>
      <c r="C443" s="12">
        <f t="shared" si="130"/>
        <v>6</v>
      </c>
      <c r="D443" s="13">
        <v>1</v>
      </c>
      <c r="E443" s="13">
        <v>0</v>
      </c>
      <c r="F443" s="12">
        <f t="shared" si="131"/>
        <v>19</v>
      </c>
      <c r="H443" s="9">
        <v>6</v>
      </c>
      <c r="I443" s="9">
        <v>19</v>
      </c>
      <c r="K443" s="9" t="s">
        <v>395</v>
      </c>
      <c r="L443" s="9">
        <v>0</v>
      </c>
      <c r="M443" s="9">
        <v>15</v>
      </c>
      <c r="R443" s="9">
        <v>999</v>
      </c>
      <c r="AA443" s="9" t="s">
        <v>610</v>
      </c>
      <c r="AB443" s="9">
        <v>19</v>
      </c>
      <c r="AD443" s="9">
        <v>100000</v>
      </c>
      <c r="AF443" s="89">
        <f t="shared" si="126"/>
        <v>20000</v>
      </c>
      <c r="AG443" s="9">
        <f t="shared" si="128"/>
        <v>36800</v>
      </c>
      <c r="AI443" s="11">
        <f t="shared" si="125"/>
        <v>95</v>
      </c>
      <c r="AJ443" s="10">
        <v>95</v>
      </c>
      <c r="AK443" s="11">
        <f t="shared" si="132"/>
        <v>1250</v>
      </c>
      <c r="AL443" s="10">
        <v>1250</v>
      </c>
      <c r="AM443" s="11">
        <f t="shared" si="132"/>
        <v>1250</v>
      </c>
      <c r="AN443" s="10">
        <v>1250</v>
      </c>
      <c r="AO443" s="56">
        <f t="shared" si="127"/>
        <v>1</v>
      </c>
      <c r="AQ443" s="11">
        <f ca="1">IFERROR(OFFSET(ITEM_RES!$A$1,MATCH(AR443,ITEM_RES!$J:$J,0)-1,0),0)</f>
        <v>215070001</v>
      </c>
      <c r="AR443" s="10" t="s">
        <v>480</v>
      </c>
      <c r="AS443" s="11">
        <v>6250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9"/>
        <v>116010020</v>
      </c>
      <c r="B444" s="13">
        <v>11</v>
      </c>
      <c r="C444" s="12">
        <f t="shared" si="130"/>
        <v>6</v>
      </c>
      <c r="D444" s="13">
        <v>1</v>
      </c>
      <c r="E444" s="13">
        <v>0</v>
      </c>
      <c r="F444" s="12">
        <f t="shared" si="131"/>
        <v>20</v>
      </c>
      <c r="H444" s="9">
        <v>6</v>
      </c>
      <c r="I444" s="9">
        <v>20</v>
      </c>
      <c r="K444" s="9" t="s">
        <v>395</v>
      </c>
      <c r="L444" s="9">
        <v>0</v>
      </c>
      <c r="M444" s="9">
        <v>15</v>
      </c>
      <c r="R444" s="9">
        <v>999</v>
      </c>
      <c r="AA444" s="9" t="s">
        <v>610</v>
      </c>
      <c r="AB444" s="9">
        <v>20</v>
      </c>
      <c r="AD444" s="9">
        <v>120000</v>
      </c>
      <c r="AF444" s="89">
        <f t="shared" si="126"/>
        <v>24000</v>
      </c>
      <c r="AG444" s="9">
        <f t="shared" si="128"/>
        <v>44000</v>
      </c>
      <c r="AI444" s="11">
        <f t="shared" si="125"/>
        <v>100</v>
      </c>
      <c r="AJ444" s="10">
        <v>100</v>
      </c>
      <c r="AK444" s="11">
        <f t="shared" si="132"/>
        <v>1500</v>
      </c>
      <c r="AL444" s="10">
        <v>1500</v>
      </c>
      <c r="AM444" s="11">
        <f t="shared" si="132"/>
        <v>1500</v>
      </c>
      <c r="AN444" s="10">
        <v>1500</v>
      </c>
      <c r="AO444" s="56">
        <f t="shared" si="127"/>
        <v>1</v>
      </c>
      <c r="AQ444" s="11">
        <f ca="1">IFERROR(OFFSET(ITEM_RES!$A$1,MATCH(AR444,ITEM_RES!$J:$J,0)-1,0),0)</f>
        <v>215070001</v>
      </c>
      <c r="AR444" s="10" t="s">
        <v>480</v>
      </c>
      <c r="AS444" s="11">
        <v>7500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9"/>
        <v>116020001</v>
      </c>
      <c r="B445" s="20">
        <v>11</v>
      </c>
      <c r="C445" s="19">
        <f t="shared" si="130"/>
        <v>6</v>
      </c>
      <c r="D445" s="20">
        <v>2</v>
      </c>
      <c r="E445" s="20">
        <v>0</v>
      </c>
      <c r="F445" s="19">
        <f t="shared" si="131"/>
        <v>1</v>
      </c>
      <c r="G445" s="80"/>
      <c r="H445" s="16">
        <v>6</v>
      </c>
      <c r="I445" s="16">
        <v>1</v>
      </c>
      <c r="J445" s="80"/>
      <c r="K445" s="16" t="s">
        <v>401</v>
      </c>
      <c r="L445" s="16">
        <v>1</v>
      </c>
      <c r="M445" s="16">
        <v>15</v>
      </c>
      <c r="N445" s="16"/>
      <c r="O445" s="17"/>
      <c r="P445" s="17"/>
      <c r="Q445" s="18"/>
      <c r="R445" s="16">
        <v>1111</v>
      </c>
      <c r="S445" s="88"/>
      <c r="T445" s="80"/>
      <c r="U445" s="88"/>
      <c r="V445" s="88"/>
      <c r="W445" s="88"/>
      <c r="X445" s="88"/>
      <c r="Y445" s="88"/>
      <c r="Z445" s="16"/>
      <c r="AA445" s="16" t="s">
        <v>611</v>
      </c>
      <c r="AB445" s="16">
        <v>1</v>
      </c>
      <c r="AC445" s="80"/>
      <c r="AD445" s="16">
        <v>200</v>
      </c>
      <c r="AE445" s="80"/>
      <c r="AF445" s="91">
        <f t="shared" si="126"/>
        <v>580</v>
      </c>
      <c r="AG445" s="16">
        <f>AF445</f>
        <v>580</v>
      </c>
      <c r="AH445" s="80"/>
      <c r="AI445" s="18">
        <f t="shared" si="125"/>
        <v>5</v>
      </c>
      <c r="AJ445" s="17">
        <v>5</v>
      </c>
      <c r="AK445" s="18">
        <f t="shared" si="132"/>
        <v>5</v>
      </c>
      <c r="AL445" s="17">
        <v>5</v>
      </c>
      <c r="AM445" s="18">
        <f t="shared" si="132"/>
        <v>5</v>
      </c>
      <c r="AN445" s="17">
        <v>5</v>
      </c>
      <c r="AO445" s="57">
        <f t="shared" si="127"/>
        <v>2</v>
      </c>
      <c r="AP445" s="18"/>
      <c r="AQ445" s="18">
        <f ca="1">IFERROR(OFFSET(ITEM_RES!$A$1,MATCH(AR445,ITEM_RES!$J:$J,0)-1,0),0)</f>
        <v>212040001</v>
      </c>
      <c r="AR445" s="17" t="s">
        <v>485</v>
      </c>
      <c r="AS445" s="18">
        <v>25</v>
      </c>
      <c r="AT445" s="17"/>
      <c r="AU445" s="18"/>
      <c r="AV445" s="18">
        <f ca="1">IFERROR(OFFSET(ITEM_RES!$A$1,MATCH(AW445,ITEM_RES!$J:$J,0)-1,0),0)</f>
        <v>0</v>
      </c>
      <c r="AW445" s="17"/>
      <c r="AX445" s="18"/>
      <c r="AY445" s="17"/>
      <c r="AZ445" s="18"/>
      <c r="BA445" s="18">
        <f ca="1">IFERROR(OFFSET(ITEM_RES!$A$1,MATCH(BB445,ITEM_RES!$J:$J,0)-1,0),0)</f>
        <v>213010001</v>
      </c>
      <c r="BB445" s="17" t="s">
        <v>509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9"/>
        <v>116020002</v>
      </c>
      <c r="B446" s="13">
        <v>11</v>
      </c>
      <c r="C446" s="12">
        <f t="shared" si="130"/>
        <v>6</v>
      </c>
      <c r="D446" s="13">
        <v>2</v>
      </c>
      <c r="E446" s="13">
        <v>0</v>
      </c>
      <c r="F446" s="12">
        <f t="shared" si="131"/>
        <v>2</v>
      </c>
      <c r="H446" s="9">
        <v>6</v>
      </c>
      <c r="I446" s="9">
        <v>2</v>
      </c>
      <c r="K446" s="9" t="s">
        <v>401</v>
      </c>
      <c r="L446" s="9">
        <v>1</v>
      </c>
      <c r="M446" s="9">
        <v>15</v>
      </c>
      <c r="R446" s="9">
        <v>1111</v>
      </c>
      <c r="AA446" s="9" t="s">
        <v>611</v>
      </c>
      <c r="AB446" s="9">
        <v>2</v>
      </c>
      <c r="AD446" s="9">
        <v>400</v>
      </c>
      <c r="AF446" s="89">
        <f t="shared" si="126"/>
        <v>160</v>
      </c>
      <c r="AG446" s="9">
        <f>AF445+AF446</f>
        <v>740</v>
      </c>
      <c r="AI446" s="11">
        <f t="shared" si="125"/>
        <v>10</v>
      </c>
      <c r="AJ446" s="10">
        <v>10</v>
      </c>
      <c r="AK446" s="11">
        <f t="shared" si="132"/>
        <v>10</v>
      </c>
      <c r="AL446" s="10">
        <v>10</v>
      </c>
      <c r="AM446" s="11">
        <f t="shared" si="132"/>
        <v>10</v>
      </c>
      <c r="AN446" s="10">
        <v>10</v>
      </c>
      <c r="AO446" s="56">
        <f t="shared" si="127"/>
        <v>1</v>
      </c>
      <c r="AQ446" s="11">
        <f ca="1">IFERROR(OFFSET(ITEM_RES!$A$1,MATCH(AR446,ITEM_RES!$J:$J,0)-1,0),0)</f>
        <v>212040001</v>
      </c>
      <c r="AR446" s="10" t="s">
        <v>485</v>
      </c>
      <c r="AS446" s="11">
        <v>50</v>
      </c>
      <c r="AV446" s="11">
        <f ca="1">IFERROR(OFFSET(ITEM_RES!$A$1,MATCH(AW446,ITEM_RES!$J:$J,0)-1,0),0)</f>
        <v>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9"/>
        <v>116020003</v>
      </c>
      <c r="B447" s="13">
        <v>11</v>
      </c>
      <c r="C447" s="12">
        <f t="shared" si="130"/>
        <v>6</v>
      </c>
      <c r="D447" s="13">
        <v>2</v>
      </c>
      <c r="E447" s="13">
        <v>0</v>
      </c>
      <c r="F447" s="12">
        <f t="shared" si="131"/>
        <v>3</v>
      </c>
      <c r="H447" s="9">
        <v>6</v>
      </c>
      <c r="I447" s="9">
        <v>3</v>
      </c>
      <c r="K447" s="9" t="s">
        <v>401</v>
      </c>
      <c r="L447" s="9">
        <v>1</v>
      </c>
      <c r="M447" s="9">
        <v>15</v>
      </c>
      <c r="R447" s="9">
        <v>1111</v>
      </c>
      <c r="AA447" s="9" t="s">
        <v>611</v>
      </c>
      <c r="AB447" s="9">
        <v>3</v>
      </c>
      <c r="AD447" s="9">
        <v>1200</v>
      </c>
      <c r="AF447" s="89">
        <f t="shared" si="126"/>
        <v>240</v>
      </c>
      <c r="AG447" s="9">
        <f t="shared" ref="AG447:AG464" si="133">AF446+AF447</f>
        <v>400</v>
      </c>
      <c r="AI447" s="11">
        <f t="shared" si="125"/>
        <v>15</v>
      </c>
      <c r="AJ447" s="10">
        <v>15</v>
      </c>
      <c r="AK447" s="11">
        <f t="shared" si="132"/>
        <v>15</v>
      </c>
      <c r="AL447" s="10">
        <v>15</v>
      </c>
      <c r="AM447" s="11">
        <f t="shared" si="132"/>
        <v>15</v>
      </c>
      <c r="AN447" s="10">
        <v>15</v>
      </c>
      <c r="AO447" s="56">
        <f t="shared" si="127"/>
        <v>1</v>
      </c>
      <c r="AQ447" s="11">
        <f ca="1">IFERROR(OFFSET(ITEM_RES!$A$1,MATCH(AR447,ITEM_RES!$J:$J,0)-1,0),0)</f>
        <v>212040001</v>
      </c>
      <c r="AR447" s="10" t="s">
        <v>485</v>
      </c>
      <c r="AS447" s="11">
        <v>75</v>
      </c>
      <c r="AV447" s="11">
        <f ca="1">IFERROR(OFFSET(ITEM_RES!$A$1,MATCH(AW447,ITEM_RES!$J:$J,0)-1,0),0)</f>
        <v>0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9"/>
        <v>116020004</v>
      </c>
      <c r="B448" s="13">
        <v>11</v>
      </c>
      <c r="C448" s="12">
        <f t="shared" si="130"/>
        <v>6</v>
      </c>
      <c r="D448" s="13">
        <v>2</v>
      </c>
      <c r="E448" s="13">
        <v>0</v>
      </c>
      <c r="F448" s="12">
        <f t="shared" si="131"/>
        <v>4</v>
      </c>
      <c r="H448" s="9">
        <v>6</v>
      </c>
      <c r="I448" s="9">
        <v>4</v>
      </c>
      <c r="K448" s="9" t="s">
        <v>401</v>
      </c>
      <c r="L448" s="9">
        <v>1</v>
      </c>
      <c r="M448" s="9">
        <v>15</v>
      </c>
      <c r="R448" s="9">
        <v>1111</v>
      </c>
      <c r="AA448" s="9" t="s">
        <v>611</v>
      </c>
      <c r="AB448" s="9">
        <v>4</v>
      </c>
      <c r="AD448" s="9">
        <v>2000</v>
      </c>
      <c r="AF448" s="89">
        <f t="shared" si="126"/>
        <v>400</v>
      </c>
      <c r="AG448" s="9">
        <f t="shared" si="133"/>
        <v>640</v>
      </c>
      <c r="AI448" s="11">
        <f t="shared" si="125"/>
        <v>20</v>
      </c>
      <c r="AJ448" s="10">
        <v>20</v>
      </c>
      <c r="AK448" s="11">
        <f t="shared" si="132"/>
        <v>25</v>
      </c>
      <c r="AL448" s="10">
        <v>25</v>
      </c>
      <c r="AM448" s="11">
        <f t="shared" si="132"/>
        <v>25</v>
      </c>
      <c r="AN448" s="10">
        <v>25</v>
      </c>
      <c r="AO448" s="56">
        <f t="shared" si="127"/>
        <v>1</v>
      </c>
      <c r="AQ448" s="11">
        <f ca="1">IFERROR(OFFSET(ITEM_RES!$A$1,MATCH(AR448,ITEM_RES!$J:$J,0)-1,0),0)</f>
        <v>212040001</v>
      </c>
      <c r="AR448" s="10" t="s">
        <v>485</v>
      </c>
      <c r="AS448" s="11">
        <v>125</v>
      </c>
      <c r="AV448" s="11">
        <f ca="1">IFERROR(OFFSET(ITEM_RES!$A$1,MATCH(AW448,ITEM_RES!$J:$J,0)-1,0),0)</f>
        <v>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9"/>
        <v>116020005</v>
      </c>
      <c r="B449" s="13">
        <v>11</v>
      </c>
      <c r="C449" s="12">
        <f t="shared" si="130"/>
        <v>6</v>
      </c>
      <c r="D449" s="13">
        <v>2</v>
      </c>
      <c r="E449" s="13">
        <v>0</v>
      </c>
      <c r="F449" s="12">
        <f t="shared" si="131"/>
        <v>5</v>
      </c>
      <c r="H449" s="9">
        <v>6</v>
      </c>
      <c r="I449" s="9">
        <v>5</v>
      </c>
      <c r="K449" s="9" t="s">
        <v>401</v>
      </c>
      <c r="L449" s="9">
        <v>1</v>
      </c>
      <c r="M449" s="9">
        <v>15</v>
      </c>
      <c r="R449" s="9">
        <v>1111</v>
      </c>
      <c r="AA449" s="9" t="s">
        <v>611</v>
      </c>
      <c r="AB449" s="9">
        <v>5</v>
      </c>
      <c r="AD449" s="9">
        <v>3200</v>
      </c>
      <c r="AF449" s="89">
        <f t="shared" si="126"/>
        <v>640</v>
      </c>
      <c r="AG449" s="9">
        <f t="shared" si="133"/>
        <v>1040</v>
      </c>
      <c r="AI449" s="11">
        <f t="shared" si="125"/>
        <v>25</v>
      </c>
      <c r="AJ449" s="10">
        <v>25</v>
      </c>
      <c r="AK449" s="11">
        <f t="shared" si="132"/>
        <v>40</v>
      </c>
      <c r="AL449" s="10">
        <v>40</v>
      </c>
      <c r="AM449" s="11">
        <f t="shared" si="132"/>
        <v>40</v>
      </c>
      <c r="AN449" s="10">
        <v>40</v>
      </c>
      <c r="AO449" s="56">
        <f t="shared" si="127"/>
        <v>1</v>
      </c>
      <c r="AQ449" s="11">
        <f ca="1">IFERROR(OFFSET(ITEM_RES!$A$1,MATCH(AR449,ITEM_RES!$J:$J,0)-1,0),0)</f>
        <v>212040001</v>
      </c>
      <c r="AR449" s="10" t="s">
        <v>485</v>
      </c>
      <c r="AS449" s="11">
        <v>200</v>
      </c>
      <c r="AV449" s="11">
        <f ca="1">IFERROR(OFFSET(ITEM_RES!$A$1,MATCH(AW449,ITEM_RES!$J:$J,0)-1,0),0)</f>
        <v>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9"/>
        <v>116020006</v>
      </c>
      <c r="B450" s="13">
        <v>11</v>
      </c>
      <c r="C450" s="12">
        <f t="shared" si="130"/>
        <v>6</v>
      </c>
      <c r="D450" s="13">
        <v>2</v>
      </c>
      <c r="E450" s="13">
        <v>0</v>
      </c>
      <c r="F450" s="12">
        <f t="shared" si="131"/>
        <v>6</v>
      </c>
      <c r="H450" s="9">
        <v>6</v>
      </c>
      <c r="I450" s="9">
        <v>6</v>
      </c>
      <c r="K450" s="9" t="s">
        <v>401</v>
      </c>
      <c r="L450" s="9">
        <v>1</v>
      </c>
      <c r="M450" s="9">
        <v>15</v>
      </c>
      <c r="R450" s="9">
        <v>1111</v>
      </c>
      <c r="AA450" s="9" t="s">
        <v>611</v>
      </c>
      <c r="AB450" s="9">
        <v>6</v>
      </c>
      <c r="AD450" s="9">
        <v>4000</v>
      </c>
      <c r="AF450" s="89">
        <f t="shared" si="126"/>
        <v>800</v>
      </c>
      <c r="AG450" s="9">
        <f t="shared" si="133"/>
        <v>1440</v>
      </c>
      <c r="AI450" s="11">
        <f t="shared" si="125"/>
        <v>30</v>
      </c>
      <c r="AJ450" s="10">
        <v>30</v>
      </c>
      <c r="AK450" s="11">
        <f t="shared" si="132"/>
        <v>50</v>
      </c>
      <c r="AL450" s="10">
        <v>50</v>
      </c>
      <c r="AM450" s="11">
        <f t="shared" si="132"/>
        <v>50</v>
      </c>
      <c r="AN450" s="10">
        <v>50</v>
      </c>
      <c r="AO450" s="56">
        <f t="shared" si="127"/>
        <v>1</v>
      </c>
      <c r="AQ450" s="11">
        <f ca="1">IFERROR(OFFSET(ITEM_RES!$A$1,MATCH(AR450,ITEM_RES!$J:$J,0)-1,0),0)</f>
        <v>212040001</v>
      </c>
      <c r="AR450" s="10" t="s">
        <v>499</v>
      </c>
      <c r="AS450" s="11">
        <v>250</v>
      </c>
      <c r="AV450" s="11">
        <f ca="1">IFERROR(OFFSET(ITEM_RES!$A$1,MATCH(AW450,ITEM_RES!$J:$J,0)-1,0),0)</f>
        <v>0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9"/>
        <v>116020007</v>
      </c>
      <c r="B451" s="13">
        <v>11</v>
      </c>
      <c r="C451" s="12">
        <f t="shared" si="130"/>
        <v>6</v>
      </c>
      <c r="D451" s="13">
        <v>2</v>
      </c>
      <c r="E451" s="13">
        <v>0</v>
      </c>
      <c r="F451" s="12">
        <f t="shared" si="131"/>
        <v>7</v>
      </c>
      <c r="H451" s="9">
        <v>6</v>
      </c>
      <c r="I451" s="9">
        <v>7</v>
      </c>
      <c r="K451" s="9" t="s">
        <v>401</v>
      </c>
      <c r="L451" s="9">
        <v>1</v>
      </c>
      <c r="M451" s="9">
        <v>15</v>
      </c>
      <c r="R451" s="9">
        <v>1111</v>
      </c>
      <c r="AA451" s="9" t="s">
        <v>611</v>
      </c>
      <c r="AB451" s="9">
        <v>7</v>
      </c>
      <c r="AD451" s="9">
        <v>8000</v>
      </c>
      <c r="AF451" s="89">
        <f t="shared" si="126"/>
        <v>1600</v>
      </c>
      <c r="AG451" s="9">
        <f t="shared" si="133"/>
        <v>2400</v>
      </c>
      <c r="AI451" s="11">
        <f t="shared" si="125"/>
        <v>35</v>
      </c>
      <c r="AJ451" s="10">
        <v>35</v>
      </c>
      <c r="AK451" s="11">
        <f t="shared" si="132"/>
        <v>100</v>
      </c>
      <c r="AL451" s="10">
        <v>100</v>
      </c>
      <c r="AM451" s="11">
        <f t="shared" si="132"/>
        <v>100</v>
      </c>
      <c r="AN451" s="10">
        <v>100</v>
      </c>
      <c r="AO451" s="56">
        <f t="shared" si="127"/>
        <v>1</v>
      </c>
      <c r="AQ451" s="11">
        <f ca="1">IFERROR(OFFSET(ITEM_RES!$A$1,MATCH(AR451,ITEM_RES!$J:$J,0)-1,0),0)</f>
        <v>212040001</v>
      </c>
      <c r="AR451" s="10" t="s">
        <v>485</v>
      </c>
      <c r="AS451" s="11">
        <v>500</v>
      </c>
      <c r="AV451" s="11">
        <f ca="1">IFERROR(OFFSET(ITEM_RES!$A$1,MATCH(AW451,ITEM_RES!$J:$J,0)-1,0),0)</f>
        <v>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9"/>
        <v>116020008</v>
      </c>
      <c r="B452" s="13">
        <v>11</v>
      </c>
      <c r="C452" s="12">
        <f t="shared" si="130"/>
        <v>6</v>
      </c>
      <c r="D452" s="13">
        <v>2</v>
      </c>
      <c r="E452" s="13">
        <v>0</v>
      </c>
      <c r="F452" s="12">
        <f t="shared" si="131"/>
        <v>8</v>
      </c>
      <c r="H452" s="9">
        <v>6</v>
      </c>
      <c r="I452" s="9">
        <v>8</v>
      </c>
      <c r="K452" s="9" t="s">
        <v>401</v>
      </c>
      <c r="L452" s="9">
        <v>1</v>
      </c>
      <c r="M452" s="9">
        <v>15</v>
      </c>
      <c r="R452" s="9">
        <v>1111</v>
      </c>
      <c r="AA452" s="9" t="s">
        <v>611</v>
      </c>
      <c r="AB452" s="9">
        <v>8</v>
      </c>
      <c r="AD452" s="9">
        <v>8000</v>
      </c>
      <c r="AF452" s="89">
        <f t="shared" si="126"/>
        <v>1600</v>
      </c>
      <c r="AG452" s="9">
        <f t="shared" si="133"/>
        <v>3200</v>
      </c>
      <c r="AI452" s="11">
        <f t="shared" si="125"/>
        <v>40</v>
      </c>
      <c r="AJ452" s="10">
        <v>40</v>
      </c>
      <c r="AK452" s="11">
        <f t="shared" si="132"/>
        <v>100</v>
      </c>
      <c r="AL452" s="10">
        <v>100</v>
      </c>
      <c r="AM452" s="11">
        <f t="shared" si="132"/>
        <v>100</v>
      </c>
      <c r="AN452" s="10">
        <v>100</v>
      </c>
      <c r="AO452" s="56">
        <f t="shared" si="127"/>
        <v>1</v>
      </c>
      <c r="AQ452" s="11">
        <f ca="1">IFERROR(OFFSET(ITEM_RES!$A$1,MATCH(AR452,ITEM_RES!$J:$J,0)-1,0),0)</f>
        <v>212040001</v>
      </c>
      <c r="AR452" s="10" t="s">
        <v>485</v>
      </c>
      <c r="AS452" s="11">
        <v>500</v>
      </c>
      <c r="AV452" s="11">
        <f ca="1">IFERROR(OFFSET(ITEM_RES!$A$1,MATCH(AW452,ITEM_RES!$J:$J,0)-1,0),0)</f>
        <v>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9"/>
        <v>116020009</v>
      </c>
      <c r="B453" s="13">
        <v>11</v>
      </c>
      <c r="C453" s="12">
        <f t="shared" si="130"/>
        <v>6</v>
      </c>
      <c r="D453" s="13">
        <v>2</v>
      </c>
      <c r="E453" s="13">
        <v>0</v>
      </c>
      <c r="F453" s="12">
        <f t="shared" si="131"/>
        <v>9</v>
      </c>
      <c r="H453" s="9">
        <v>6</v>
      </c>
      <c r="I453" s="9">
        <v>9</v>
      </c>
      <c r="K453" s="9" t="s">
        <v>401</v>
      </c>
      <c r="L453" s="9">
        <v>1</v>
      </c>
      <c r="M453" s="9">
        <v>15</v>
      </c>
      <c r="N453" s="56"/>
      <c r="R453" s="9">
        <v>1111</v>
      </c>
      <c r="AA453" s="9" t="s">
        <v>611</v>
      </c>
      <c r="AB453" s="9">
        <v>9</v>
      </c>
      <c r="AD453" s="9">
        <v>12000</v>
      </c>
      <c r="AF453" s="89">
        <f t="shared" si="126"/>
        <v>2400</v>
      </c>
      <c r="AG453" s="9">
        <f t="shared" si="133"/>
        <v>4000</v>
      </c>
      <c r="AI453" s="11">
        <f t="shared" si="125"/>
        <v>45</v>
      </c>
      <c r="AJ453" s="10">
        <v>45</v>
      </c>
      <c r="AK453" s="11">
        <f t="shared" si="132"/>
        <v>150</v>
      </c>
      <c r="AL453" s="10">
        <v>150</v>
      </c>
      <c r="AM453" s="11">
        <f t="shared" si="132"/>
        <v>150</v>
      </c>
      <c r="AN453" s="10">
        <v>150</v>
      </c>
      <c r="AO453" s="56">
        <f t="shared" si="127"/>
        <v>1</v>
      </c>
      <c r="AQ453" s="11">
        <f ca="1">IFERROR(OFFSET(ITEM_RES!$A$1,MATCH(AR453,ITEM_RES!$J:$J,0)-1,0),0)</f>
        <v>215050001</v>
      </c>
      <c r="AR453" s="10" t="s">
        <v>500</v>
      </c>
      <c r="AS453" s="11">
        <v>750</v>
      </c>
      <c r="AV453" s="11">
        <f ca="1">IFERROR(OFFSET(ITEM_RES!$A$1,MATCH(AW453,ITEM_RES!$J:$J,0)-1,0),0)</f>
        <v>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9"/>
        <v>116020010</v>
      </c>
      <c r="B454" s="13">
        <v>11</v>
      </c>
      <c r="C454" s="12">
        <f t="shared" si="130"/>
        <v>6</v>
      </c>
      <c r="D454" s="13">
        <v>2</v>
      </c>
      <c r="E454" s="13">
        <v>0</v>
      </c>
      <c r="F454" s="12">
        <f t="shared" si="131"/>
        <v>10</v>
      </c>
      <c r="H454" s="9">
        <v>6</v>
      </c>
      <c r="I454" s="9">
        <v>10</v>
      </c>
      <c r="K454" s="9" t="s">
        <v>401</v>
      </c>
      <c r="L454" s="9">
        <v>1</v>
      </c>
      <c r="M454" s="9">
        <v>15</v>
      </c>
      <c r="N454" s="63"/>
      <c r="R454" s="9">
        <v>1111</v>
      </c>
      <c r="AA454" s="9" t="s">
        <v>611</v>
      </c>
      <c r="AB454" s="9">
        <v>10</v>
      </c>
      <c r="AD454" s="9">
        <v>16000</v>
      </c>
      <c r="AF454" s="89">
        <f t="shared" si="126"/>
        <v>3200</v>
      </c>
      <c r="AG454" s="9">
        <f t="shared" si="133"/>
        <v>5600</v>
      </c>
      <c r="AI454" s="11">
        <f t="shared" si="125"/>
        <v>50</v>
      </c>
      <c r="AJ454" s="10">
        <v>50</v>
      </c>
      <c r="AK454" s="11">
        <f t="shared" si="132"/>
        <v>200</v>
      </c>
      <c r="AL454" s="10">
        <v>200</v>
      </c>
      <c r="AM454" s="11">
        <f t="shared" si="132"/>
        <v>200</v>
      </c>
      <c r="AN454" s="10">
        <v>200</v>
      </c>
      <c r="AO454" s="56">
        <f t="shared" si="127"/>
        <v>1</v>
      </c>
      <c r="AQ454" s="11">
        <f ca="1">IFERROR(OFFSET(ITEM_RES!$A$1,MATCH(AR454,ITEM_RES!$J:$J,0)-1,0),0)</f>
        <v>215050001</v>
      </c>
      <c r="AR454" s="10" t="s">
        <v>500</v>
      </c>
      <c r="AS454" s="11">
        <v>1000</v>
      </c>
      <c r="AV454" s="11">
        <f ca="1">IFERROR(OFFSET(ITEM_RES!$A$1,MATCH(AW454,ITEM_RES!$J:$J,0)-1,0),0)</f>
        <v>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9"/>
        <v>116020011</v>
      </c>
      <c r="B455" s="13">
        <v>11</v>
      </c>
      <c r="C455" s="12">
        <f t="shared" si="130"/>
        <v>6</v>
      </c>
      <c r="D455" s="13">
        <v>2</v>
      </c>
      <c r="E455" s="13">
        <v>0</v>
      </c>
      <c r="F455" s="12">
        <f t="shared" si="131"/>
        <v>11</v>
      </c>
      <c r="H455" s="9">
        <v>6</v>
      </c>
      <c r="I455" s="9">
        <v>11</v>
      </c>
      <c r="K455" s="9" t="s">
        <v>401</v>
      </c>
      <c r="L455" s="9">
        <v>1</v>
      </c>
      <c r="M455" s="9">
        <v>15</v>
      </c>
      <c r="N455" s="63"/>
      <c r="R455" s="9">
        <v>1111</v>
      </c>
      <c r="AA455" s="9" t="s">
        <v>611</v>
      </c>
      <c r="AB455" s="9">
        <v>11</v>
      </c>
      <c r="AD455" s="9">
        <v>20000</v>
      </c>
      <c r="AF455" s="89">
        <f t="shared" si="126"/>
        <v>4000</v>
      </c>
      <c r="AG455" s="9">
        <f t="shared" si="133"/>
        <v>7200</v>
      </c>
      <c r="AI455" s="11">
        <f t="shared" si="125"/>
        <v>55</v>
      </c>
      <c r="AJ455" s="10">
        <v>55</v>
      </c>
      <c r="AK455" s="11">
        <f t="shared" si="132"/>
        <v>250</v>
      </c>
      <c r="AL455" s="10">
        <v>250</v>
      </c>
      <c r="AM455" s="11">
        <f t="shared" si="132"/>
        <v>250</v>
      </c>
      <c r="AN455" s="10">
        <v>250</v>
      </c>
      <c r="AO455" s="56">
        <f t="shared" si="127"/>
        <v>1</v>
      </c>
      <c r="AQ455" s="11">
        <f ca="1">IFERROR(OFFSET(ITEM_RES!$A$1,MATCH(AR455,ITEM_RES!$J:$J,0)-1,0),0)</f>
        <v>215050001</v>
      </c>
      <c r="AR455" s="10" t="s">
        <v>500</v>
      </c>
      <c r="AS455" s="11">
        <v>1250</v>
      </c>
      <c r="AV455" s="11">
        <f ca="1">IFERROR(OFFSET(ITEM_RES!$A$1,MATCH(AW455,ITEM_RES!$J:$J,0)-1,0),0)</f>
        <v>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9"/>
        <v>116020012</v>
      </c>
      <c r="B456" s="13">
        <v>11</v>
      </c>
      <c r="C456" s="12">
        <f t="shared" si="130"/>
        <v>6</v>
      </c>
      <c r="D456" s="13">
        <v>2</v>
      </c>
      <c r="E456" s="13">
        <v>0</v>
      </c>
      <c r="F456" s="12">
        <f t="shared" si="131"/>
        <v>12</v>
      </c>
      <c r="H456" s="9">
        <v>6</v>
      </c>
      <c r="I456" s="9">
        <v>12</v>
      </c>
      <c r="K456" s="9" t="s">
        <v>401</v>
      </c>
      <c r="L456" s="9">
        <v>1</v>
      </c>
      <c r="M456" s="9">
        <v>15</v>
      </c>
      <c r="R456" s="9">
        <v>1111</v>
      </c>
      <c r="AA456" s="9" t="s">
        <v>611</v>
      </c>
      <c r="AB456" s="9">
        <v>12</v>
      </c>
      <c r="AD456" s="9">
        <v>24000</v>
      </c>
      <c r="AF456" s="89">
        <f t="shared" si="126"/>
        <v>5300</v>
      </c>
      <c r="AG456" s="9">
        <f t="shared" si="133"/>
        <v>9300</v>
      </c>
      <c r="AI456" s="11">
        <f t="shared" si="125"/>
        <v>60</v>
      </c>
      <c r="AJ456" s="10">
        <v>60</v>
      </c>
      <c r="AK456" s="11">
        <f t="shared" si="132"/>
        <v>300</v>
      </c>
      <c r="AL456" s="10">
        <v>300</v>
      </c>
      <c r="AM456" s="11">
        <f t="shared" si="132"/>
        <v>300</v>
      </c>
      <c r="AN456" s="10">
        <v>300</v>
      </c>
      <c r="AO456" s="56">
        <f t="shared" si="127"/>
        <v>2</v>
      </c>
      <c r="AQ456" s="11">
        <f ca="1">IFERROR(OFFSET(ITEM_RES!$A$1,MATCH(AR456,ITEM_RES!$J:$J,0)-1,0),0)</f>
        <v>215050001</v>
      </c>
      <c r="AR456" s="10" t="s">
        <v>500</v>
      </c>
      <c r="AS456" s="11">
        <v>1500</v>
      </c>
      <c r="AV456" s="11">
        <f ca="1">IFERROR(OFFSET(ITEM_RES!$A$1,MATCH(AW456,ITEM_RES!$J:$J,0)-1,0),0)</f>
        <v>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213140001</v>
      </c>
      <c r="BG456" s="10" t="s">
        <v>528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9"/>
        <v>116020013</v>
      </c>
      <c r="B457" s="13">
        <v>11</v>
      </c>
      <c r="C457" s="12">
        <f t="shared" si="130"/>
        <v>6</v>
      </c>
      <c r="D457" s="13">
        <v>2</v>
      </c>
      <c r="E457" s="13">
        <v>0</v>
      </c>
      <c r="F457" s="12">
        <f t="shared" si="131"/>
        <v>13</v>
      </c>
      <c r="H457" s="9">
        <v>6</v>
      </c>
      <c r="I457" s="9">
        <v>13</v>
      </c>
      <c r="K457" s="9" t="s">
        <v>401</v>
      </c>
      <c r="L457" s="9">
        <v>1</v>
      </c>
      <c r="M457" s="9">
        <v>15</v>
      </c>
      <c r="R457" s="9">
        <v>1111</v>
      </c>
      <c r="AA457" s="9" t="s">
        <v>611</v>
      </c>
      <c r="AB457" s="9">
        <v>13</v>
      </c>
      <c r="AD457" s="9">
        <v>28000</v>
      </c>
      <c r="AF457" s="89">
        <f t="shared" si="126"/>
        <v>5600</v>
      </c>
      <c r="AG457" s="9">
        <f t="shared" si="133"/>
        <v>10900</v>
      </c>
      <c r="AI457" s="11">
        <f t="shared" si="125"/>
        <v>65</v>
      </c>
      <c r="AJ457" s="10">
        <v>65</v>
      </c>
      <c r="AK457" s="11">
        <f t="shared" si="132"/>
        <v>350</v>
      </c>
      <c r="AL457" s="10">
        <v>350</v>
      </c>
      <c r="AM457" s="11">
        <f t="shared" si="132"/>
        <v>350</v>
      </c>
      <c r="AN457" s="10">
        <v>350</v>
      </c>
      <c r="AO457" s="56">
        <f t="shared" si="127"/>
        <v>1</v>
      </c>
      <c r="AQ457" s="11">
        <f ca="1">IFERROR(OFFSET(ITEM_RES!$A$1,MATCH(AR457,ITEM_RES!$J:$J,0)-1,0),0)</f>
        <v>215050001</v>
      </c>
      <c r="AR457" s="10" t="s">
        <v>500</v>
      </c>
      <c r="AS457" s="11">
        <v>1750</v>
      </c>
      <c r="AV457" s="11">
        <f ca="1">IFERROR(OFFSET(ITEM_RES!$A$1,MATCH(AW457,ITEM_RES!$J:$J,0)-1,0),0)</f>
        <v>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9"/>
        <v>116020014</v>
      </c>
      <c r="B458" s="13">
        <v>11</v>
      </c>
      <c r="C458" s="12">
        <f t="shared" si="130"/>
        <v>6</v>
      </c>
      <c r="D458" s="13">
        <v>2</v>
      </c>
      <c r="E458" s="13">
        <v>0</v>
      </c>
      <c r="F458" s="12">
        <f t="shared" si="131"/>
        <v>14</v>
      </c>
      <c r="H458" s="9">
        <v>6</v>
      </c>
      <c r="I458" s="9">
        <v>14</v>
      </c>
      <c r="K458" s="9" t="s">
        <v>401</v>
      </c>
      <c r="L458" s="9">
        <v>1</v>
      </c>
      <c r="M458" s="9">
        <v>15</v>
      </c>
      <c r="R458" s="9">
        <v>1111</v>
      </c>
      <c r="AA458" s="9" t="s">
        <v>611</v>
      </c>
      <c r="AB458" s="9">
        <v>14</v>
      </c>
      <c r="AD458" s="9">
        <v>36000</v>
      </c>
      <c r="AF458" s="89">
        <f t="shared" si="126"/>
        <v>7200</v>
      </c>
      <c r="AG458" s="9">
        <f t="shared" si="133"/>
        <v>12800</v>
      </c>
      <c r="AI458" s="11">
        <f t="shared" si="125"/>
        <v>70</v>
      </c>
      <c r="AJ458" s="10">
        <v>70</v>
      </c>
      <c r="AK458" s="11">
        <f t="shared" si="132"/>
        <v>450</v>
      </c>
      <c r="AL458" s="10">
        <v>450</v>
      </c>
      <c r="AM458" s="11">
        <f t="shared" si="132"/>
        <v>450</v>
      </c>
      <c r="AN458" s="10">
        <v>450</v>
      </c>
      <c r="AO458" s="56">
        <f t="shared" si="127"/>
        <v>1</v>
      </c>
      <c r="AQ458" s="11">
        <f ca="1">IFERROR(OFFSET(ITEM_RES!$A$1,MATCH(AR458,ITEM_RES!$J:$J,0)-1,0),0)</f>
        <v>215050001</v>
      </c>
      <c r="AR458" s="10" t="s">
        <v>500</v>
      </c>
      <c r="AS458" s="11">
        <v>2250</v>
      </c>
      <c r="AV458" s="11">
        <f ca="1">IFERROR(OFFSET(ITEM_RES!$A$1,MATCH(AW458,ITEM_RES!$J:$J,0)-1,0),0)</f>
        <v>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9"/>
        <v>116020015</v>
      </c>
      <c r="B459" s="13">
        <v>11</v>
      </c>
      <c r="C459" s="12">
        <f t="shared" si="130"/>
        <v>6</v>
      </c>
      <c r="D459" s="13">
        <v>2</v>
      </c>
      <c r="E459" s="13">
        <v>0</v>
      </c>
      <c r="F459" s="12">
        <f t="shared" si="131"/>
        <v>15</v>
      </c>
      <c r="H459" s="9">
        <v>6</v>
      </c>
      <c r="I459" s="9">
        <v>15</v>
      </c>
      <c r="K459" s="9" t="s">
        <v>401</v>
      </c>
      <c r="L459" s="9">
        <v>1</v>
      </c>
      <c r="M459" s="9">
        <v>15</v>
      </c>
      <c r="R459" s="9">
        <v>1111</v>
      </c>
      <c r="AA459" s="9" t="s">
        <v>611</v>
      </c>
      <c r="AB459" s="9">
        <v>15</v>
      </c>
      <c r="AD459" s="9">
        <v>44000</v>
      </c>
      <c r="AF459" s="89">
        <f t="shared" si="126"/>
        <v>8800</v>
      </c>
      <c r="AG459" s="9">
        <f t="shared" si="133"/>
        <v>16000</v>
      </c>
      <c r="AI459" s="11">
        <f t="shared" si="125"/>
        <v>75</v>
      </c>
      <c r="AJ459" s="10">
        <v>75</v>
      </c>
      <c r="AK459" s="11">
        <f t="shared" si="132"/>
        <v>550</v>
      </c>
      <c r="AL459" s="10">
        <v>550</v>
      </c>
      <c r="AM459" s="11">
        <f t="shared" si="132"/>
        <v>550</v>
      </c>
      <c r="AN459" s="10">
        <v>550</v>
      </c>
      <c r="AO459" s="56">
        <f t="shared" si="127"/>
        <v>1</v>
      </c>
      <c r="AQ459" s="11">
        <f ca="1">IFERROR(OFFSET(ITEM_RES!$A$1,MATCH(AR459,ITEM_RES!$J:$J,0)-1,0),0)</f>
        <v>215050001</v>
      </c>
      <c r="AR459" s="10" t="s">
        <v>500</v>
      </c>
      <c r="AS459" s="11">
        <v>2750</v>
      </c>
      <c r="AV459" s="11">
        <f ca="1">IFERROR(OFFSET(ITEM_RES!$A$1,MATCH(AW459,ITEM_RES!$J:$J,0)-1,0),0)</f>
        <v>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9"/>
        <v>116020016</v>
      </c>
      <c r="B460" s="13">
        <v>11</v>
      </c>
      <c r="C460" s="12">
        <f t="shared" si="130"/>
        <v>6</v>
      </c>
      <c r="D460" s="13">
        <v>2</v>
      </c>
      <c r="E460" s="13">
        <v>0</v>
      </c>
      <c r="F460" s="12">
        <f t="shared" si="131"/>
        <v>16</v>
      </c>
      <c r="H460" s="9">
        <v>6</v>
      </c>
      <c r="I460" s="9">
        <v>16</v>
      </c>
      <c r="K460" s="9" t="s">
        <v>401</v>
      </c>
      <c r="L460" s="9">
        <v>0</v>
      </c>
      <c r="M460" s="9">
        <v>15</v>
      </c>
      <c r="R460" s="9">
        <v>1111</v>
      </c>
      <c r="AA460" s="9" t="s">
        <v>611</v>
      </c>
      <c r="AB460" s="9">
        <v>16</v>
      </c>
      <c r="AD460" s="9">
        <v>56000</v>
      </c>
      <c r="AF460" s="89">
        <f t="shared" si="126"/>
        <v>11200</v>
      </c>
      <c r="AG460" s="9">
        <f t="shared" si="133"/>
        <v>20000</v>
      </c>
      <c r="AI460" s="11">
        <f t="shared" si="125"/>
        <v>80</v>
      </c>
      <c r="AJ460" s="10">
        <v>80</v>
      </c>
      <c r="AK460" s="11">
        <f t="shared" si="132"/>
        <v>700</v>
      </c>
      <c r="AL460" s="10">
        <v>700</v>
      </c>
      <c r="AM460" s="11">
        <f t="shared" si="132"/>
        <v>700</v>
      </c>
      <c r="AN460" s="10">
        <v>700</v>
      </c>
      <c r="AO460" s="56">
        <f t="shared" si="127"/>
        <v>1</v>
      </c>
      <c r="AQ460" s="11">
        <f ca="1">IFERROR(OFFSET(ITEM_RES!$A$1,MATCH(AR460,ITEM_RES!$J:$J,0)-1,0),0)</f>
        <v>215050001</v>
      </c>
      <c r="AR460" s="10" t="s">
        <v>500</v>
      </c>
      <c r="AS460" s="11">
        <v>3500</v>
      </c>
      <c r="AV460" s="11">
        <f ca="1">IFERROR(OFFSET(ITEM_RES!$A$1,MATCH(AW460,ITEM_RES!$J:$J,0)-1,0),0)</f>
        <v>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9"/>
        <v>116020017</v>
      </c>
      <c r="B461" s="13">
        <v>11</v>
      </c>
      <c r="C461" s="12">
        <f t="shared" si="130"/>
        <v>6</v>
      </c>
      <c r="D461" s="13">
        <v>2</v>
      </c>
      <c r="E461" s="13">
        <v>0</v>
      </c>
      <c r="F461" s="12">
        <f t="shared" si="131"/>
        <v>17</v>
      </c>
      <c r="H461" s="9">
        <v>6</v>
      </c>
      <c r="I461" s="9">
        <v>17</v>
      </c>
      <c r="K461" s="9" t="s">
        <v>401</v>
      </c>
      <c r="L461" s="9">
        <v>0</v>
      </c>
      <c r="M461" s="9">
        <v>15</v>
      </c>
      <c r="R461" s="9">
        <v>1111</v>
      </c>
      <c r="AA461" s="9" t="s">
        <v>611</v>
      </c>
      <c r="AB461" s="9">
        <v>17</v>
      </c>
      <c r="AD461" s="9">
        <v>68000</v>
      </c>
      <c r="AF461" s="89">
        <f t="shared" si="126"/>
        <v>13600</v>
      </c>
      <c r="AG461" s="9">
        <f t="shared" si="133"/>
        <v>24800</v>
      </c>
      <c r="AI461" s="11">
        <f t="shared" si="125"/>
        <v>85</v>
      </c>
      <c r="AJ461" s="10">
        <v>85</v>
      </c>
      <c r="AK461" s="11">
        <f t="shared" si="132"/>
        <v>850</v>
      </c>
      <c r="AL461" s="10">
        <v>850</v>
      </c>
      <c r="AM461" s="11">
        <f t="shared" si="132"/>
        <v>850</v>
      </c>
      <c r="AN461" s="10">
        <v>850</v>
      </c>
      <c r="AO461" s="56">
        <f t="shared" si="127"/>
        <v>1</v>
      </c>
      <c r="AQ461" s="11">
        <f ca="1">IFERROR(OFFSET(ITEM_RES!$A$1,MATCH(AR461,ITEM_RES!$J:$J,0)-1,0),0)</f>
        <v>215050001</v>
      </c>
      <c r="AR461" s="10" t="s">
        <v>500</v>
      </c>
      <c r="AS461" s="11">
        <v>4250</v>
      </c>
      <c r="AV461" s="11">
        <f ca="1">IFERROR(OFFSET(ITEM_RES!$A$1,MATCH(AW461,ITEM_RES!$J:$J,0)-1,0),0)</f>
        <v>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9"/>
        <v>116020018</v>
      </c>
      <c r="B462" s="13">
        <v>11</v>
      </c>
      <c r="C462" s="12">
        <f t="shared" si="130"/>
        <v>6</v>
      </c>
      <c r="D462" s="13">
        <v>2</v>
      </c>
      <c r="E462" s="13">
        <v>0</v>
      </c>
      <c r="F462" s="12">
        <f t="shared" si="131"/>
        <v>18</v>
      </c>
      <c r="H462" s="9">
        <v>6</v>
      </c>
      <c r="I462" s="9">
        <v>18</v>
      </c>
      <c r="K462" s="9" t="s">
        <v>401</v>
      </c>
      <c r="L462" s="9">
        <v>0</v>
      </c>
      <c r="M462" s="9">
        <v>15</v>
      </c>
      <c r="R462" s="9">
        <v>1111</v>
      </c>
      <c r="AA462" s="9" t="s">
        <v>611</v>
      </c>
      <c r="AB462" s="9">
        <v>18</v>
      </c>
      <c r="AD462" s="9">
        <v>84000</v>
      </c>
      <c r="AF462" s="89">
        <f t="shared" si="126"/>
        <v>16800</v>
      </c>
      <c r="AG462" s="9">
        <f t="shared" si="133"/>
        <v>30400</v>
      </c>
      <c r="AI462" s="11">
        <f t="shared" si="125"/>
        <v>90</v>
      </c>
      <c r="AJ462" s="10">
        <v>90</v>
      </c>
      <c r="AK462" s="11">
        <f t="shared" si="132"/>
        <v>1050</v>
      </c>
      <c r="AL462" s="10">
        <v>1050</v>
      </c>
      <c r="AM462" s="11">
        <f t="shared" si="132"/>
        <v>1050</v>
      </c>
      <c r="AN462" s="10">
        <v>1050</v>
      </c>
      <c r="AO462" s="56">
        <f t="shared" si="127"/>
        <v>1</v>
      </c>
      <c r="AQ462" s="11">
        <f ca="1">IFERROR(OFFSET(ITEM_RES!$A$1,MATCH(AR462,ITEM_RES!$J:$J,0)-1,0),0)</f>
        <v>215050001</v>
      </c>
      <c r="AR462" s="10" t="s">
        <v>500</v>
      </c>
      <c r="AS462" s="11">
        <v>5250</v>
      </c>
      <c r="AV462" s="11">
        <f ca="1">IFERROR(OFFSET(ITEM_RES!$A$1,MATCH(AW462,ITEM_RES!$J:$J,0)-1,0),0)</f>
        <v>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9"/>
        <v>116020019</v>
      </c>
      <c r="B463" s="13">
        <v>11</v>
      </c>
      <c r="C463" s="12">
        <f t="shared" si="130"/>
        <v>6</v>
      </c>
      <c r="D463" s="13">
        <v>2</v>
      </c>
      <c r="E463" s="13">
        <v>0</v>
      </c>
      <c r="F463" s="12">
        <f t="shared" si="131"/>
        <v>19</v>
      </c>
      <c r="H463" s="9">
        <v>6</v>
      </c>
      <c r="I463" s="9">
        <v>19</v>
      </c>
      <c r="K463" s="9" t="s">
        <v>401</v>
      </c>
      <c r="L463" s="9">
        <v>0</v>
      </c>
      <c r="M463" s="9">
        <v>15</v>
      </c>
      <c r="R463" s="9">
        <v>1111</v>
      </c>
      <c r="AA463" s="9" t="s">
        <v>611</v>
      </c>
      <c r="AB463" s="9">
        <v>19</v>
      </c>
      <c r="AD463" s="9">
        <v>100000</v>
      </c>
      <c r="AF463" s="89">
        <f t="shared" si="126"/>
        <v>20000</v>
      </c>
      <c r="AG463" s="9">
        <f t="shared" si="133"/>
        <v>36800</v>
      </c>
      <c r="AI463" s="11">
        <f t="shared" si="125"/>
        <v>95</v>
      </c>
      <c r="AJ463" s="10">
        <v>95</v>
      </c>
      <c r="AK463" s="11">
        <f t="shared" si="132"/>
        <v>1250</v>
      </c>
      <c r="AL463" s="10">
        <v>1250</v>
      </c>
      <c r="AM463" s="11">
        <f t="shared" si="132"/>
        <v>1250</v>
      </c>
      <c r="AN463" s="10">
        <v>1250</v>
      </c>
      <c r="AO463" s="56">
        <f t="shared" si="127"/>
        <v>1</v>
      </c>
      <c r="AQ463" s="11">
        <f ca="1">IFERROR(OFFSET(ITEM_RES!$A$1,MATCH(AR463,ITEM_RES!$J:$J,0)-1,0),0)</f>
        <v>215050001</v>
      </c>
      <c r="AR463" s="10" t="s">
        <v>500</v>
      </c>
      <c r="AS463" s="11">
        <v>6250</v>
      </c>
      <c r="AV463" s="11">
        <f ca="1">IFERROR(OFFSET(ITEM_RES!$A$1,MATCH(AW463,ITEM_RES!$J:$J,0)-1,0),0)</f>
        <v>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9"/>
        <v>116020020</v>
      </c>
      <c r="B464" s="13">
        <v>11</v>
      </c>
      <c r="C464" s="12">
        <f t="shared" si="130"/>
        <v>6</v>
      </c>
      <c r="D464" s="13">
        <v>2</v>
      </c>
      <c r="E464" s="13">
        <v>0</v>
      </c>
      <c r="F464" s="12">
        <f t="shared" si="131"/>
        <v>20</v>
      </c>
      <c r="H464" s="9">
        <v>6</v>
      </c>
      <c r="I464" s="9">
        <v>20</v>
      </c>
      <c r="K464" s="9" t="s">
        <v>401</v>
      </c>
      <c r="L464" s="9">
        <v>0</v>
      </c>
      <c r="M464" s="9">
        <v>15</v>
      </c>
      <c r="R464" s="9">
        <v>1111</v>
      </c>
      <c r="AA464" s="9" t="s">
        <v>611</v>
      </c>
      <c r="AB464" s="9">
        <v>20</v>
      </c>
      <c r="AD464" s="9">
        <v>120000</v>
      </c>
      <c r="AF464" s="89">
        <f t="shared" si="126"/>
        <v>24000</v>
      </c>
      <c r="AG464" s="9">
        <f t="shared" si="133"/>
        <v>44000</v>
      </c>
      <c r="AI464" s="11">
        <f t="shared" si="125"/>
        <v>100</v>
      </c>
      <c r="AJ464" s="10">
        <v>100</v>
      </c>
      <c r="AK464" s="11">
        <f t="shared" si="132"/>
        <v>1500</v>
      </c>
      <c r="AL464" s="10">
        <v>1500</v>
      </c>
      <c r="AM464" s="11">
        <f t="shared" si="132"/>
        <v>1500</v>
      </c>
      <c r="AN464" s="10">
        <v>1500</v>
      </c>
      <c r="AO464" s="56">
        <f t="shared" si="127"/>
        <v>1</v>
      </c>
      <c r="AQ464" s="11">
        <f ca="1">IFERROR(OFFSET(ITEM_RES!$A$1,MATCH(AR464,ITEM_RES!$J:$J,0)-1,0),0)</f>
        <v>215050001</v>
      </c>
      <c r="AR464" s="10" t="s">
        <v>500</v>
      </c>
      <c r="AS464" s="11">
        <v>7500</v>
      </c>
      <c r="AV464" s="11">
        <f ca="1">IFERROR(OFFSET(ITEM_RES!$A$1,MATCH(AW464,ITEM_RES!$J:$J,0)-1,0),0)</f>
        <v>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9"/>
        <v>117010001</v>
      </c>
      <c r="B465" s="20">
        <v>11</v>
      </c>
      <c r="C465" s="19">
        <f t="shared" si="130"/>
        <v>7</v>
      </c>
      <c r="D465" s="20">
        <v>1</v>
      </c>
      <c r="E465" s="20">
        <v>0</v>
      </c>
      <c r="F465" s="19">
        <f t="shared" si="131"/>
        <v>1</v>
      </c>
      <c r="G465" s="80"/>
      <c r="H465" s="16">
        <v>7</v>
      </c>
      <c r="I465" s="16">
        <v>1</v>
      </c>
      <c r="J465" s="80"/>
      <c r="K465" s="16" t="s">
        <v>376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8"/>
      <c r="T465" s="80"/>
      <c r="U465" s="88"/>
      <c r="V465" s="88"/>
      <c r="W465" s="88"/>
      <c r="X465" s="88"/>
      <c r="Y465" s="88"/>
      <c r="Z465" s="16"/>
      <c r="AA465" s="16" t="s">
        <v>612</v>
      </c>
      <c r="AB465" s="16">
        <v>1</v>
      </c>
      <c r="AC465" s="80"/>
      <c r="AD465" s="16">
        <v>100</v>
      </c>
      <c r="AE465" s="80"/>
      <c r="AF465" s="91">
        <f t="shared" si="126"/>
        <v>1080</v>
      </c>
      <c r="AG465" s="16">
        <f>AF465</f>
        <v>1080</v>
      </c>
      <c r="AH465" s="80"/>
      <c r="AI465" s="18">
        <f t="shared" si="125"/>
        <v>5</v>
      </c>
      <c r="AJ465" s="17">
        <v>5</v>
      </c>
      <c r="AK465" s="18">
        <f t="shared" si="132"/>
        <v>5</v>
      </c>
      <c r="AL465" s="17">
        <v>5</v>
      </c>
      <c r="AM465" s="18">
        <f t="shared" si="132"/>
        <v>5</v>
      </c>
      <c r="AN465" s="17">
        <v>5</v>
      </c>
      <c r="AO465" s="57">
        <f t="shared" si="127"/>
        <v>3</v>
      </c>
      <c r="AP465" s="18"/>
      <c r="AQ465" s="18">
        <f ca="1">IFERROR(OFFSET(ITEM_RES!$A$1,MATCH(AR465,ITEM_RES!$J:$J,0)-1,0),0)</f>
        <v>212040001</v>
      </c>
      <c r="AR465" s="17" t="s">
        <v>485</v>
      </c>
      <c r="AS465" s="18">
        <v>25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213010001</v>
      </c>
      <c r="BB465" s="17" t="s">
        <v>509</v>
      </c>
      <c r="BC465" s="18">
        <v>1</v>
      </c>
      <c r="BD465" s="17"/>
      <c r="BE465" s="18"/>
      <c r="BF465" s="18">
        <f ca="1">IFERROR(OFFSET(ITEM_RES!$A$1,MATCH(BG465,ITEM_RES!$J:$J,0)-1,0),0)</f>
        <v>213020001</v>
      </c>
      <c r="BG465" s="17" t="s">
        <v>531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9"/>
        <v>117010002</v>
      </c>
      <c r="B466" s="13">
        <v>11</v>
      </c>
      <c r="C466" s="12">
        <f t="shared" si="130"/>
        <v>7</v>
      </c>
      <c r="D466" s="13">
        <v>1</v>
      </c>
      <c r="E466" s="13">
        <v>0</v>
      </c>
      <c r="F466" s="12">
        <f t="shared" si="131"/>
        <v>2</v>
      </c>
      <c r="H466" s="9">
        <v>7</v>
      </c>
      <c r="I466" s="9">
        <v>2</v>
      </c>
      <c r="K466" s="9" t="s">
        <v>376</v>
      </c>
      <c r="L466" s="9">
        <v>1</v>
      </c>
      <c r="M466" s="9">
        <v>15</v>
      </c>
      <c r="R466" s="9">
        <v>2222</v>
      </c>
      <c r="AA466" s="9" t="s">
        <v>612</v>
      </c>
      <c r="AB466" s="9">
        <v>2</v>
      </c>
      <c r="AD466" s="9">
        <v>200</v>
      </c>
      <c r="AF466" s="89">
        <f t="shared" si="126"/>
        <v>160</v>
      </c>
      <c r="AG466" s="9">
        <f>AF465+AF466</f>
        <v>1240</v>
      </c>
      <c r="AI466" s="11">
        <f t="shared" si="125"/>
        <v>10</v>
      </c>
      <c r="AJ466" s="10">
        <v>10</v>
      </c>
      <c r="AK466" s="11">
        <f t="shared" si="132"/>
        <v>10</v>
      </c>
      <c r="AL466" s="10">
        <v>10</v>
      </c>
      <c r="AM466" s="11">
        <f t="shared" si="132"/>
        <v>10</v>
      </c>
      <c r="AN466" s="10">
        <v>10</v>
      </c>
      <c r="AO466" s="56">
        <f t="shared" si="127"/>
        <v>1</v>
      </c>
      <c r="AQ466" s="11">
        <f ca="1">IFERROR(OFFSET(ITEM_RES!$A$1,MATCH(AR466,ITEM_RES!$J:$J,0)-1,0),0)</f>
        <v>212040001</v>
      </c>
      <c r="AR466" s="10" t="s">
        <v>485</v>
      </c>
      <c r="AS466" s="11">
        <v>50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9"/>
        <v>117010003</v>
      </c>
      <c r="B467" s="13">
        <v>11</v>
      </c>
      <c r="C467" s="12">
        <f t="shared" si="130"/>
        <v>7</v>
      </c>
      <c r="D467" s="13">
        <v>1</v>
      </c>
      <c r="E467" s="13">
        <v>0</v>
      </c>
      <c r="F467" s="12">
        <f t="shared" si="131"/>
        <v>3</v>
      </c>
      <c r="H467" s="9">
        <v>7</v>
      </c>
      <c r="I467" s="9">
        <v>3</v>
      </c>
      <c r="K467" s="9" t="s">
        <v>375</v>
      </c>
      <c r="L467" s="9">
        <v>1</v>
      </c>
      <c r="M467" s="9">
        <v>15</v>
      </c>
      <c r="R467" s="9">
        <v>2222</v>
      </c>
      <c r="AA467" s="9" t="s">
        <v>612</v>
      </c>
      <c r="AB467" s="9">
        <v>3</v>
      </c>
      <c r="AD467" s="9">
        <v>600</v>
      </c>
      <c r="AF467" s="89">
        <f t="shared" si="126"/>
        <v>240</v>
      </c>
      <c r="AG467" s="9">
        <f t="shared" ref="AG467:AG484" si="134">AF466+AF467</f>
        <v>400</v>
      </c>
      <c r="AI467" s="11">
        <f t="shared" si="125"/>
        <v>15</v>
      </c>
      <c r="AJ467" s="10">
        <v>15</v>
      </c>
      <c r="AK467" s="11">
        <f t="shared" si="132"/>
        <v>15</v>
      </c>
      <c r="AL467" s="10">
        <v>15</v>
      </c>
      <c r="AM467" s="11">
        <f t="shared" si="132"/>
        <v>15</v>
      </c>
      <c r="AN467" s="10">
        <v>15</v>
      </c>
      <c r="AO467" s="56">
        <f t="shared" si="127"/>
        <v>1</v>
      </c>
      <c r="AQ467" s="11">
        <f ca="1">IFERROR(OFFSET(ITEM_RES!$A$1,MATCH(AR467,ITEM_RES!$J:$J,0)-1,0),0)</f>
        <v>212040001</v>
      </c>
      <c r="AR467" s="10" t="s">
        <v>485</v>
      </c>
      <c r="AS467" s="11">
        <v>75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9"/>
        <v>117010004</v>
      </c>
      <c r="B468" s="13">
        <v>11</v>
      </c>
      <c r="C468" s="12">
        <f t="shared" si="130"/>
        <v>7</v>
      </c>
      <c r="D468" s="13">
        <v>1</v>
      </c>
      <c r="E468" s="13">
        <v>0</v>
      </c>
      <c r="F468" s="12">
        <f t="shared" si="131"/>
        <v>4</v>
      </c>
      <c r="H468" s="9">
        <v>7</v>
      </c>
      <c r="I468" s="9">
        <v>4</v>
      </c>
      <c r="K468" s="9" t="s">
        <v>375</v>
      </c>
      <c r="L468" s="9">
        <v>1</v>
      </c>
      <c r="M468" s="9">
        <v>15</v>
      </c>
      <c r="R468" s="9">
        <v>2222</v>
      </c>
      <c r="AA468" s="9" t="s">
        <v>612</v>
      </c>
      <c r="AB468" s="9">
        <v>4</v>
      </c>
      <c r="AD468" s="9">
        <v>1000</v>
      </c>
      <c r="AF468" s="89">
        <f t="shared" si="126"/>
        <v>400</v>
      </c>
      <c r="AG468" s="9">
        <f t="shared" si="134"/>
        <v>640</v>
      </c>
      <c r="AI468" s="11">
        <f t="shared" si="125"/>
        <v>20</v>
      </c>
      <c r="AJ468" s="10">
        <v>20</v>
      </c>
      <c r="AK468" s="11">
        <f t="shared" si="132"/>
        <v>25</v>
      </c>
      <c r="AL468" s="10">
        <v>25</v>
      </c>
      <c r="AM468" s="11">
        <f t="shared" si="132"/>
        <v>25</v>
      </c>
      <c r="AN468" s="10">
        <v>25</v>
      </c>
      <c r="AO468" s="56">
        <f t="shared" si="127"/>
        <v>1</v>
      </c>
      <c r="AQ468" s="11">
        <f ca="1">IFERROR(OFFSET(ITEM_RES!$A$1,MATCH(AR468,ITEM_RES!$J:$J,0)-1,0),0)</f>
        <v>212040001</v>
      </c>
      <c r="AR468" s="10" t="s">
        <v>485</v>
      </c>
      <c r="AS468" s="11">
        <v>125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9"/>
        <v>117010005</v>
      </c>
      <c r="B469" s="13">
        <v>11</v>
      </c>
      <c r="C469" s="12">
        <f t="shared" si="130"/>
        <v>7</v>
      </c>
      <c r="D469" s="13">
        <v>1</v>
      </c>
      <c r="E469" s="13">
        <v>0</v>
      </c>
      <c r="F469" s="12">
        <f t="shared" si="131"/>
        <v>5</v>
      </c>
      <c r="H469" s="9">
        <v>7</v>
      </c>
      <c r="I469" s="9">
        <v>5</v>
      </c>
      <c r="K469" s="9" t="s">
        <v>375</v>
      </c>
      <c r="L469" s="9">
        <v>1</v>
      </c>
      <c r="M469" s="9">
        <v>15</v>
      </c>
      <c r="R469" s="9">
        <v>2222</v>
      </c>
      <c r="AA469" s="9" t="s">
        <v>612</v>
      </c>
      <c r="AB469" s="9">
        <v>5</v>
      </c>
      <c r="AD469" s="9">
        <v>1600</v>
      </c>
      <c r="AF469" s="89">
        <f t="shared" si="126"/>
        <v>640</v>
      </c>
      <c r="AG469" s="9">
        <f t="shared" si="134"/>
        <v>1040</v>
      </c>
      <c r="AI469" s="11">
        <f t="shared" si="125"/>
        <v>25</v>
      </c>
      <c r="AJ469" s="10">
        <v>25</v>
      </c>
      <c r="AK469" s="11">
        <f t="shared" si="132"/>
        <v>40</v>
      </c>
      <c r="AL469" s="10">
        <v>40</v>
      </c>
      <c r="AM469" s="11">
        <f t="shared" si="132"/>
        <v>40</v>
      </c>
      <c r="AN469" s="10">
        <v>40</v>
      </c>
      <c r="AO469" s="56">
        <f t="shared" si="127"/>
        <v>1</v>
      </c>
      <c r="AQ469" s="11">
        <f ca="1">IFERROR(OFFSET(ITEM_RES!$A$1,MATCH(AR469,ITEM_RES!$J:$J,0)-1,0),0)</f>
        <v>212040001</v>
      </c>
      <c r="AR469" s="10" t="s">
        <v>485</v>
      </c>
      <c r="AS469" s="11">
        <v>200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9"/>
        <v>117010006</v>
      </c>
      <c r="B470" s="13">
        <v>11</v>
      </c>
      <c r="C470" s="12">
        <f t="shared" si="130"/>
        <v>7</v>
      </c>
      <c r="D470" s="13">
        <v>1</v>
      </c>
      <c r="E470" s="13">
        <v>0</v>
      </c>
      <c r="F470" s="12">
        <f t="shared" si="131"/>
        <v>6</v>
      </c>
      <c r="H470" s="9">
        <v>7</v>
      </c>
      <c r="I470" s="9">
        <v>6</v>
      </c>
      <c r="K470" s="9" t="s">
        <v>375</v>
      </c>
      <c r="L470" s="9">
        <v>1</v>
      </c>
      <c r="M470" s="9">
        <v>15</v>
      </c>
      <c r="R470" s="9">
        <v>2222</v>
      </c>
      <c r="AA470" s="9" t="s">
        <v>612</v>
      </c>
      <c r="AB470" s="9">
        <v>6</v>
      </c>
      <c r="AD470" s="9">
        <v>2000</v>
      </c>
      <c r="AF470" s="89">
        <f t="shared" si="126"/>
        <v>800</v>
      </c>
      <c r="AG470" s="9">
        <f t="shared" si="134"/>
        <v>1440</v>
      </c>
      <c r="AI470" s="11">
        <f t="shared" si="125"/>
        <v>30</v>
      </c>
      <c r="AJ470" s="10">
        <v>30</v>
      </c>
      <c r="AK470" s="11">
        <f t="shared" si="132"/>
        <v>50</v>
      </c>
      <c r="AL470" s="10">
        <v>50</v>
      </c>
      <c r="AM470" s="11">
        <f t="shared" si="132"/>
        <v>50</v>
      </c>
      <c r="AN470" s="10">
        <v>50</v>
      </c>
      <c r="AO470" s="56">
        <f t="shared" si="127"/>
        <v>1</v>
      </c>
      <c r="AQ470" s="11">
        <f ca="1">IFERROR(OFFSET(ITEM_RES!$A$1,MATCH(AR470,ITEM_RES!$J:$J,0)-1,0),0)</f>
        <v>212040001</v>
      </c>
      <c r="AR470" s="10" t="s">
        <v>485</v>
      </c>
      <c r="AS470" s="11">
        <v>250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9"/>
        <v>117010007</v>
      </c>
      <c r="B471" s="13">
        <v>11</v>
      </c>
      <c r="C471" s="12">
        <f t="shared" si="130"/>
        <v>7</v>
      </c>
      <c r="D471" s="13">
        <v>1</v>
      </c>
      <c r="E471" s="13">
        <v>0</v>
      </c>
      <c r="F471" s="12">
        <f t="shared" si="131"/>
        <v>7</v>
      </c>
      <c r="H471" s="9">
        <v>7</v>
      </c>
      <c r="I471" s="9">
        <v>7</v>
      </c>
      <c r="K471" s="9" t="s">
        <v>375</v>
      </c>
      <c r="L471" s="9">
        <v>1</v>
      </c>
      <c r="M471" s="9">
        <v>15</v>
      </c>
      <c r="R471" s="9">
        <v>2222</v>
      </c>
      <c r="AA471" s="9" t="s">
        <v>612</v>
      </c>
      <c r="AB471" s="9">
        <v>7</v>
      </c>
      <c r="AD471" s="9">
        <v>4000</v>
      </c>
      <c r="AF471" s="89">
        <f t="shared" si="126"/>
        <v>1600</v>
      </c>
      <c r="AG471" s="9">
        <f t="shared" si="134"/>
        <v>2400</v>
      </c>
      <c r="AI471" s="11">
        <f t="shared" si="125"/>
        <v>35</v>
      </c>
      <c r="AJ471" s="10">
        <v>35</v>
      </c>
      <c r="AK471" s="11">
        <f t="shared" si="132"/>
        <v>100</v>
      </c>
      <c r="AL471" s="10">
        <v>100</v>
      </c>
      <c r="AM471" s="11">
        <f t="shared" si="132"/>
        <v>100</v>
      </c>
      <c r="AN471" s="10">
        <v>100</v>
      </c>
      <c r="AO471" s="56">
        <f t="shared" si="127"/>
        <v>1</v>
      </c>
      <c r="AQ471" s="11">
        <f ca="1">IFERROR(OFFSET(ITEM_RES!$A$1,MATCH(AR471,ITEM_RES!$J:$J,0)-1,0),0)</f>
        <v>212040001</v>
      </c>
      <c r="AR471" s="10" t="s">
        <v>485</v>
      </c>
      <c r="AS471" s="11">
        <v>500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9"/>
        <v>117010008</v>
      </c>
      <c r="B472" s="13">
        <v>11</v>
      </c>
      <c r="C472" s="12">
        <f t="shared" si="130"/>
        <v>7</v>
      </c>
      <c r="D472" s="13">
        <v>1</v>
      </c>
      <c r="E472" s="13">
        <v>0</v>
      </c>
      <c r="F472" s="12">
        <f t="shared" si="131"/>
        <v>8</v>
      </c>
      <c r="H472" s="9">
        <v>7</v>
      </c>
      <c r="I472" s="9">
        <v>8</v>
      </c>
      <c r="K472" s="9" t="s">
        <v>375</v>
      </c>
      <c r="L472" s="9">
        <v>1</v>
      </c>
      <c r="M472" s="9">
        <v>15</v>
      </c>
      <c r="R472" s="9">
        <v>2222</v>
      </c>
      <c r="AA472" s="9" t="s">
        <v>612</v>
      </c>
      <c r="AB472" s="9">
        <v>8</v>
      </c>
      <c r="AD472" s="9">
        <v>4000</v>
      </c>
      <c r="AF472" s="89">
        <f t="shared" si="126"/>
        <v>1600</v>
      </c>
      <c r="AG472" s="9">
        <f t="shared" si="134"/>
        <v>3200</v>
      </c>
      <c r="AI472" s="11">
        <f t="shared" si="125"/>
        <v>40</v>
      </c>
      <c r="AJ472" s="10">
        <v>40</v>
      </c>
      <c r="AK472" s="11">
        <f t="shared" si="132"/>
        <v>100</v>
      </c>
      <c r="AL472" s="10">
        <v>100</v>
      </c>
      <c r="AM472" s="11">
        <f t="shared" si="132"/>
        <v>100</v>
      </c>
      <c r="AN472" s="10">
        <v>100</v>
      </c>
      <c r="AO472" s="56">
        <f t="shared" si="127"/>
        <v>1</v>
      </c>
      <c r="AQ472" s="11">
        <f ca="1">IFERROR(OFFSET(ITEM_RES!$A$1,MATCH(AR472,ITEM_RES!$J:$J,0)-1,0),0)</f>
        <v>212040001</v>
      </c>
      <c r="AR472" s="10" t="s">
        <v>485</v>
      </c>
      <c r="AS472" s="11">
        <v>500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9"/>
        <v>117010009</v>
      </c>
      <c r="B473" s="13">
        <v>11</v>
      </c>
      <c r="C473" s="12">
        <f t="shared" si="130"/>
        <v>7</v>
      </c>
      <c r="D473" s="13">
        <v>1</v>
      </c>
      <c r="E473" s="13">
        <v>0</v>
      </c>
      <c r="F473" s="12">
        <f t="shared" si="131"/>
        <v>9</v>
      </c>
      <c r="H473" s="9">
        <v>7</v>
      </c>
      <c r="I473" s="9">
        <v>9</v>
      </c>
      <c r="K473" s="9" t="s">
        <v>375</v>
      </c>
      <c r="L473" s="9">
        <v>1</v>
      </c>
      <c r="M473" s="9">
        <v>15</v>
      </c>
      <c r="R473" s="9">
        <v>2222</v>
      </c>
      <c r="AA473" s="9" t="s">
        <v>612</v>
      </c>
      <c r="AB473" s="9">
        <v>9</v>
      </c>
      <c r="AD473" s="9">
        <v>6000</v>
      </c>
      <c r="AF473" s="89">
        <f t="shared" si="126"/>
        <v>2400</v>
      </c>
      <c r="AG473" s="9">
        <f t="shared" si="134"/>
        <v>4000</v>
      </c>
      <c r="AI473" s="11">
        <f t="shared" ref="AI473:AI536" si="135">ROUND(AJ473,0)</f>
        <v>45</v>
      </c>
      <c r="AJ473" s="10">
        <v>45</v>
      </c>
      <c r="AK473" s="11">
        <f t="shared" si="132"/>
        <v>150</v>
      </c>
      <c r="AL473" s="10">
        <v>150</v>
      </c>
      <c r="AM473" s="11">
        <f t="shared" si="132"/>
        <v>150</v>
      </c>
      <c r="AN473" s="10">
        <v>150</v>
      </c>
      <c r="AO473" s="56">
        <f t="shared" si="127"/>
        <v>1</v>
      </c>
      <c r="AQ473" s="11">
        <f ca="1">IFERROR(OFFSET(ITEM_RES!$A$1,MATCH(AR473,ITEM_RES!$J:$J,0)-1,0),0)</f>
        <v>212040001</v>
      </c>
      <c r="AR473" s="10" t="s">
        <v>485</v>
      </c>
      <c r="AS473" s="11">
        <v>750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9"/>
        <v>117010010</v>
      </c>
      <c r="B474" s="13">
        <v>11</v>
      </c>
      <c r="C474" s="12">
        <f t="shared" si="130"/>
        <v>7</v>
      </c>
      <c r="D474" s="13">
        <v>1</v>
      </c>
      <c r="E474" s="13">
        <v>0</v>
      </c>
      <c r="F474" s="12">
        <f t="shared" si="131"/>
        <v>10</v>
      </c>
      <c r="H474" s="9">
        <v>7</v>
      </c>
      <c r="I474" s="9">
        <v>10</v>
      </c>
      <c r="K474" s="9" t="s">
        <v>375</v>
      </c>
      <c r="L474" s="9">
        <v>1</v>
      </c>
      <c r="M474" s="9">
        <v>15</v>
      </c>
      <c r="R474" s="9">
        <v>2222</v>
      </c>
      <c r="AA474" s="9" t="s">
        <v>612</v>
      </c>
      <c r="AB474" s="9">
        <v>10</v>
      </c>
      <c r="AD474" s="9">
        <v>8000</v>
      </c>
      <c r="AF474" s="89">
        <f t="shared" ref="AF474:AF537" si="136">AL474*10+AN474+AS474+AX474+500*BC474+500*BH474+500*BM474</f>
        <v>3700</v>
      </c>
      <c r="AG474" s="9">
        <f t="shared" si="134"/>
        <v>6100</v>
      </c>
      <c r="AI474" s="11">
        <f t="shared" si="135"/>
        <v>50</v>
      </c>
      <c r="AJ474" s="10">
        <v>50</v>
      </c>
      <c r="AK474" s="11">
        <f t="shared" si="132"/>
        <v>200</v>
      </c>
      <c r="AL474" s="10">
        <v>200</v>
      </c>
      <c r="AM474" s="11">
        <f t="shared" si="132"/>
        <v>200</v>
      </c>
      <c r="AN474" s="10">
        <v>200</v>
      </c>
      <c r="AO474" s="56">
        <f t="shared" ref="AO474:AO537" si="137">(AS474&gt;0)*1+(AX474&gt;0)*1+(BC474&gt;0)*1+(BH474&gt;0)*1+(BM474&gt;0)*1</f>
        <v>2</v>
      </c>
      <c r="AQ474" s="11">
        <f ca="1">IFERROR(OFFSET(ITEM_RES!$A$1,MATCH(AR474,ITEM_RES!$J:$J,0)-1,0),0)</f>
        <v>212040001</v>
      </c>
      <c r="AR474" s="10" t="s">
        <v>485</v>
      </c>
      <c r="AS474" s="11">
        <v>1000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213150001</v>
      </c>
      <c r="BG474" s="10" t="s">
        <v>534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9"/>
        <v>117010011</v>
      </c>
      <c r="B475" s="13">
        <v>11</v>
      </c>
      <c r="C475" s="12">
        <f t="shared" si="130"/>
        <v>7</v>
      </c>
      <c r="D475" s="13">
        <v>1</v>
      </c>
      <c r="E475" s="13">
        <v>0</v>
      </c>
      <c r="F475" s="12">
        <f t="shared" si="131"/>
        <v>11</v>
      </c>
      <c r="H475" s="9">
        <v>7</v>
      </c>
      <c r="I475" s="9">
        <v>11</v>
      </c>
      <c r="K475" s="9" t="s">
        <v>375</v>
      </c>
      <c r="L475" s="9">
        <v>1</v>
      </c>
      <c r="M475" s="9">
        <v>15</v>
      </c>
      <c r="R475" s="9">
        <v>2222</v>
      </c>
      <c r="AA475" s="9" t="s">
        <v>612</v>
      </c>
      <c r="AB475" s="9">
        <v>11</v>
      </c>
      <c r="AD475" s="9">
        <v>10000</v>
      </c>
      <c r="AF475" s="89">
        <f t="shared" si="136"/>
        <v>4000</v>
      </c>
      <c r="AG475" s="9">
        <f t="shared" si="134"/>
        <v>7700</v>
      </c>
      <c r="AI475" s="11">
        <f t="shared" si="135"/>
        <v>55</v>
      </c>
      <c r="AJ475" s="10">
        <v>55</v>
      </c>
      <c r="AK475" s="11">
        <f t="shared" si="132"/>
        <v>250</v>
      </c>
      <c r="AL475" s="10">
        <v>250</v>
      </c>
      <c r="AM475" s="11">
        <f t="shared" si="132"/>
        <v>250</v>
      </c>
      <c r="AN475" s="10">
        <v>250</v>
      </c>
      <c r="AO475" s="56">
        <f t="shared" si="137"/>
        <v>1</v>
      </c>
      <c r="AQ475" s="11">
        <f ca="1">IFERROR(OFFSET(ITEM_RES!$A$1,MATCH(AR475,ITEM_RES!$J:$J,0)-1,0),0)</f>
        <v>212040001</v>
      </c>
      <c r="AR475" s="10" t="s">
        <v>485</v>
      </c>
      <c r="AS475" s="11">
        <v>1250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9"/>
        <v>117010012</v>
      </c>
      <c r="B476" s="13">
        <v>11</v>
      </c>
      <c r="C476" s="12">
        <f t="shared" si="130"/>
        <v>7</v>
      </c>
      <c r="D476" s="13">
        <v>1</v>
      </c>
      <c r="E476" s="13">
        <v>0</v>
      </c>
      <c r="F476" s="12">
        <f t="shared" si="131"/>
        <v>12</v>
      </c>
      <c r="H476" s="9">
        <v>7</v>
      </c>
      <c r="I476" s="9">
        <v>12</v>
      </c>
      <c r="K476" s="9" t="s">
        <v>375</v>
      </c>
      <c r="L476" s="9">
        <v>1</v>
      </c>
      <c r="M476" s="9">
        <v>15</v>
      </c>
      <c r="R476" s="9">
        <v>2222</v>
      </c>
      <c r="AA476" s="9" t="s">
        <v>612</v>
      </c>
      <c r="AB476" s="9">
        <v>12</v>
      </c>
      <c r="AD476" s="9">
        <v>12000</v>
      </c>
      <c r="AF476" s="89">
        <f t="shared" si="136"/>
        <v>4800</v>
      </c>
      <c r="AG476" s="9">
        <f t="shared" si="134"/>
        <v>8800</v>
      </c>
      <c r="AI476" s="11">
        <f t="shared" si="135"/>
        <v>60</v>
      </c>
      <c r="AJ476" s="10">
        <v>60</v>
      </c>
      <c r="AK476" s="11">
        <f t="shared" si="132"/>
        <v>300</v>
      </c>
      <c r="AL476" s="10">
        <v>300</v>
      </c>
      <c r="AM476" s="11">
        <f t="shared" si="132"/>
        <v>300</v>
      </c>
      <c r="AN476" s="10">
        <v>300</v>
      </c>
      <c r="AO476" s="56">
        <f t="shared" si="137"/>
        <v>1</v>
      </c>
      <c r="AQ476" s="11">
        <f ca="1">IFERROR(OFFSET(ITEM_RES!$A$1,MATCH(AR476,ITEM_RES!$J:$J,0)-1,0),0)</f>
        <v>212040001</v>
      </c>
      <c r="AR476" s="10" t="s">
        <v>485</v>
      </c>
      <c r="AS476" s="11">
        <v>1500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9"/>
        <v>117010013</v>
      </c>
      <c r="B477" s="13">
        <v>11</v>
      </c>
      <c r="C477" s="12">
        <f t="shared" si="130"/>
        <v>7</v>
      </c>
      <c r="D477" s="13">
        <v>1</v>
      </c>
      <c r="E477" s="13">
        <v>0</v>
      </c>
      <c r="F477" s="12">
        <f t="shared" si="131"/>
        <v>13</v>
      </c>
      <c r="H477" s="9">
        <v>7</v>
      </c>
      <c r="I477" s="9">
        <v>13</v>
      </c>
      <c r="K477" s="9" t="s">
        <v>375</v>
      </c>
      <c r="L477" s="9">
        <v>1</v>
      </c>
      <c r="M477" s="9">
        <v>15</v>
      </c>
      <c r="R477" s="9">
        <v>2222</v>
      </c>
      <c r="AA477" s="9" t="s">
        <v>612</v>
      </c>
      <c r="AB477" s="9">
        <v>13</v>
      </c>
      <c r="AD477" s="9">
        <v>14000</v>
      </c>
      <c r="AF477" s="89">
        <f t="shared" si="136"/>
        <v>5600</v>
      </c>
      <c r="AG477" s="9">
        <f t="shared" si="134"/>
        <v>10400</v>
      </c>
      <c r="AI477" s="11">
        <f t="shared" si="135"/>
        <v>65</v>
      </c>
      <c r="AJ477" s="10">
        <v>65</v>
      </c>
      <c r="AK477" s="11">
        <f t="shared" si="132"/>
        <v>350</v>
      </c>
      <c r="AL477" s="10">
        <v>350</v>
      </c>
      <c r="AM477" s="11">
        <f t="shared" si="132"/>
        <v>350</v>
      </c>
      <c r="AN477" s="10">
        <v>350</v>
      </c>
      <c r="AO477" s="56">
        <f t="shared" si="137"/>
        <v>1</v>
      </c>
      <c r="AQ477" s="11">
        <f ca="1">IFERROR(OFFSET(ITEM_RES!$A$1,MATCH(AR477,ITEM_RES!$J:$J,0)-1,0),0)</f>
        <v>212040001</v>
      </c>
      <c r="AR477" s="10" t="s">
        <v>485</v>
      </c>
      <c r="AS477" s="11">
        <v>1750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9"/>
        <v>117010014</v>
      </c>
      <c r="B478" s="13">
        <v>11</v>
      </c>
      <c r="C478" s="12">
        <f t="shared" si="130"/>
        <v>7</v>
      </c>
      <c r="D478" s="13">
        <v>1</v>
      </c>
      <c r="E478" s="13">
        <v>0</v>
      </c>
      <c r="F478" s="12">
        <f t="shared" si="131"/>
        <v>14</v>
      </c>
      <c r="H478" s="9">
        <v>7</v>
      </c>
      <c r="I478" s="9">
        <v>14</v>
      </c>
      <c r="K478" s="9" t="s">
        <v>375</v>
      </c>
      <c r="L478" s="9">
        <v>1</v>
      </c>
      <c r="M478" s="9">
        <v>15</v>
      </c>
      <c r="R478" s="9">
        <v>2222</v>
      </c>
      <c r="AA478" s="9" t="s">
        <v>612</v>
      </c>
      <c r="AB478" s="9">
        <v>14</v>
      </c>
      <c r="AD478" s="9">
        <v>18000</v>
      </c>
      <c r="AF478" s="89">
        <f t="shared" si="136"/>
        <v>7200</v>
      </c>
      <c r="AG478" s="9">
        <f t="shared" si="134"/>
        <v>12800</v>
      </c>
      <c r="AI478" s="11">
        <f t="shared" si="135"/>
        <v>70</v>
      </c>
      <c r="AJ478" s="10">
        <v>70</v>
      </c>
      <c r="AK478" s="11">
        <f t="shared" si="132"/>
        <v>450</v>
      </c>
      <c r="AL478" s="10">
        <v>450</v>
      </c>
      <c r="AM478" s="11">
        <f t="shared" si="132"/>
        <v>450</v>
      </c>
      <c r="AN478" s="10">
        <v>450</v>
      </c>
      <c r="AO478" s="56">
        <f t="shared" si="137"/>
        <v>1</v>
      </c>
      <c r="AQ478" s="11">
        <f ca="1">IFERROR(OFFSET(ITEM_RES!$A$1,MATCH(AR478,ITEM_RES!$J:$J,0)-1,0),0)</f>
        <v>212040001</v>
      </c>
      <c r="AR478" s="10" t="s">
        <v>485</v>
      </c>
      <c r="AS478" s="11">
        <v>2250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9"/>
        <v>117010015</v>
      </c>
      <c r="B479" s="13">
        <v>11</v>
      </c>
      <c r="C479" s="12">
        <f t="shared" si="130"/>
        <v>7</v>
      </c>
      <c r="D479" s="13">
        <v>1</v>
      </c>
      <c r="E479" s="13">
        <v>0</v>
      </c>
      <c r="F479" s="12">
        <f t="shared" si="131"/>
        <v>15</v>
      </c>
      <c r="H479" s="9">
        <v>7</v>
      </c>
      <c r="I479" s="9">
        <v>15</v>
      </c>
      <c r="K479" s="9" t="s">
        <v>375</v>
      </c>
      <c r="L479" s="9">
        <v>1</v>
      </c>
      <c r="M479" s="9">
        <v>15</v>
      </c>
      <c r="R479" s="9">
        <v>2222</v>
      </c>
      <c r="AA479" s="9" t="s">
        <v>612</v>
      </c>
      <c r="AB479" s="9">
        <v>15</v>
      </c>
      <c r="AD479" s="9">
        <v>22000</v>
      </c>
      <c r="AF479" s="89">
        <f t="shared" si="136"/>
        <v>8800</v>
      </c>
      <c r="AG479" s="9">
        <f t="shared" si="134"/>
        <v>16000</v>
      </c>
      <c r="AI479" s="11">
        <f t="shared" si="135"/>
        <v>75</v>
      </c>
      <c r="AJ479" s="10">
        <v>75</v>
      </c>
      <c r="AK479" s="11">
        <f t="shared" si="132"/>
        <v>550</v>
      </c>
      <c r="AL479" s="10">
        <v>550</v>
      </c>
      <c r="AM479" s="11">
        <f t="shared" si="132"/>
        <v>550</v>
      </c>
      <c r="AN479" s="10">
        <v>550</v>
      </c>
      <c r="AO479" s="56">
        <f t="shared" si="137"/>
        <v>1</v>
      </c>
      <c r="AQ479" s="11">
        <f ca="1">IFERROR(OFFSET(ITEM_RES!$A$1,MATCH(AR479,ITEM_RES!$J:$J,0)-1,0),0)</f>
        <v>212040001</v>
      </c>
      <c r="AR479" s="10" t="s">
        <v>485</v>
      </c>
      <c r="AS479" s="11">
        <v>2750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9"/>
        <v>117010016</v>
      </c>
      <c r="B480" s="13">
        <v>11</v>
      </c>
      <c r="C480" s="12">
        <f t="shared" si="130"/>
        <v>7</v>
      </c>
      <c r="D480" s="13">
        <v>1</v>
      </c>
      <c r="E480" s="13">
        <v>0</v>
      </c>
      <c r="F480" s="12">
        <f t="shared" si="131"/>
        <v>16</v>
      </c>
      <c r="H480" s="9">
        <v>7</v>
      </c>
      <c r="I480" s="9">
        <v>16</v>
      </c>
      <c r="K480" s="9" t="s">
        <v>375</v>
      </c>
      <c r="L480" s="9">
        <v>0</v>
      </c>
      <c r="M480" s="9">
        <v>15</v>
      </c>
      <c r="R480" s="9">
        <v>2222</v>
      </c>
      <c r="AA480" s="9" t="s">
        <v>612</v>
      </c>
      <c r="AB480" s="9">
        <v>16</v>
      </c>
      <c r="AD480" s="9">
        <v>28000</v>
      </c>
      <c r="AF480" s="89">
        <f t="shared" si="136"/>
        <v>11200</v>
      </c>
      <c r="AG480" s="9">
        <f t="shared" si="134"/>
        <v>20000</v>
      </c>
      <c r="AI480" s="11">
        <f t="shared" si="135"/>
        <v>80</v>
      </c>
      <c r="AJ480" s="10">
        <v>80</v>
      </c>
      <c r="AK480" s="11">
        <f t="shared" si="132"/>
        <v>700</v>
      </c>
      <c r="AL480" s="10">
        <v>700</v>
      </c>
      <c r="AM480" s="11">
        <f t="shared" si="132"/>
        <v>700</v>
      </c>
      <c r="AN480" s="10">
        <v>700</v>
      </c>
      <c r="AO480" s="56">
        <f t="shared" si="137"/>
        <v>1</v>
      </c>
      <c r="AQ480" s="11">
        <f ca="1">IFERROR(OFFSET(ITEM_RES!$A$1,MATCH(AR480,ITEM_RES!$J:$J,0)-1,0),0)</f>
        <v>215050001</v>
      </c>
      <c r="AR480" s="10" t="s">
        <v>497</v>
      </c>
      <c r="AS480" s="11">
        <v>3500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9"/>
        <v>117010017</v>
      </c>
      <c r="B481" s="13">
        <v>11</v>
      </c>
      <c r="C481" s="12">
        <f t="shared" si="130"/>
        <v>7</v>
      </c>
      <c r="D481" s="13">
        <v>1</v>
      </c>
      <c r="E481" s="13">
        <v>0</v>
      </c>
      <c r="F481" s="12">
        <f t="shared" si="131"/>
        <v>17</v>
      </c>
      <c r="H481" s="9">
        <v>7</v>
      </c>
      <c r="I481" s="9">
        <v>17</v>
      </c>
      <c r="K481" s="9" t="s">
        <v>375</v>
      </c>
      <c r="L481" s="9">
        <v>0</v>
      </c>
      <c r="M481" s="9">
        <v>15</v>
      </c>
      <c r="R481" s="9">
        <v>2222</v>
      </c>
      <c r="AA481" s="9" t="s">
        <v>612</v>
      </c>
      <c r="AB481" s="9">
        <v>17</v>
      </c>
      <c r="AD481" s="9">
        <v>34000</v>
      </c>
      <c r="AF481" s="89">
        <f t="shared" si="136"/>
        <v>13600</v>
      </c>
      <c r="AG481" s="9">
        <f t="shared" si="134"/>
        <v>24800</v>
      </c>
      <c r="AI481" s="11">
        <f t="shared" si="135"/>
        <v>85</v>
      </c>
      <c r="AJ481" s="10">
        <v>85</v>
      </c>
      <c r="AK481" s="11">
        <f t="shared" si="132"/>
        <v>850</v>
      </c>
      <c r="AL481" s="10">
        <v>850</v>
      </c>
      <c r="AM481" s="11">
        <f t="shared" si="132"/>
        <v>850</v>
      </c>
      <c r="AN481" s="10">
        <v>850</v>
      </c>
      <c r="AO481" s="56">
        <f t="shared" si="137"/>
        <v>1</v>
      </c>
      <c r="AQ481" s="11">
        <f ca="1">IFERROR(OFFSET(ITEM_RES!$A$1,MATCH(AR481,ITEM_RES!$J:$J,0)-1,0),0)</f>
        <v>215050001</v>
      </c>
      <c r="AR481" s="10" t="s">
        <v>497</v>
      </c>
      <c r="AS481" s="11">
        <v>4250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9"/>
        <v>117010018</v>
      </c>
      <c r="B482" s="13">
        <v>11</v>
      </c>
      <c r="C482" s="12">
        <f t="shared" si="130"/>
        <v>7</v>
      </c>
      <c r="D482" s="13">
        <v>1</v>
      </c>
      <c r="E482" s="13">
        <v>0</v>
      </c>
      <c r="F482" s="12">
        <f t="shared" si="131"/>
        <v>18</v>
      </c>
      <c r="H482" s="9">
        <v>7</v>
      </c>
      <c r="I482" s="9">
        <v>18</v>
      </c>
      <c r="K482" s="9" t="s">
        <v>375</v>
      </c>
      <c r="L482" s="9">
        <v>0</v>
      </c>
      <c r="M482" s="9">
        <v>15</v>
      </c>
      <c r="R482" s="9">
        <v>2222</v>
      </c>
      <c r="AA482" s="9" t="s">
        <v>612</v>
      </c>
      <c r="AB482" s="9">
        <v>18</v>
      </c>
      <c r="AD482" s="9">
        <v>42000</v>
      </c>
      <c r="AF482" s="89">
        <f t="shared" si="136"/>
        <v>16800</v>
      </c>
      <c r="AG482" s="9">
        <f t="shared" si="134"/>
        <v>30400</v>
      </c>
      <c r="AI482" s="11">
        <f t="shared" si="135"/>
        <v>90</v>
      </c>
      <c r="AJ482" s="10">
        <v>90</v>
      </c>
      <c r="AK482" s="11">
        <f t="shared" si="132"/>
        <v>1050</v>
      </c>
      <c r="AL482" s="10">
        <v>1050</v>
      </c>
      <c r="AM482" s="11">
        <f t="shared" si="132"/>
        <v>1050</v>
      </c>
      <c r="AN482" s="10">
        <v>1050</v>
      </c>
      <c r="AO482" s="56">
        <f t="shared" si="137"/>
        <v>1</v>
      </c>
      <c r="AQ482" s="11">
        <f ca="1">IFERROR(OFFSET(ITEM_RES!$A$1,MATCH(AR482,ITEM_RES!$J:$J,0)-1,0),0)</f>
        <v>215050001</v>
      </c>
      <c r="AR482" s="10" t="s">
        <v>497</v>
      </c>
      <c r="AS482" s="11">
        <v>5250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9"/>
        <v>117010019</v>
      </c>
      <c r="B483" s="13">
        <v>11</v>
      </c>
      <c r="C483" s="12">
        <f t="shared" si="130"/>
        <v>7</v>
      </c>
      <c r="D483" s="13">
        <v>1</v>
      </c>
      <c r="E483" s="13">
        <v>0</v>
      </c>
      <c r="F483" s="12">
        <f t="shared" si="131"/>
        <v>19</v>
      </c>
      <c r="H483" s="9">
        <v>7</v>
      </c>
      <c r="I483" s="9">
        <v>19</v>
      </c>
      <c r="K483" s="9" t="s">
        <v>375</v>
      </c>
      <c r="L483" s="9">
        <v>0</v>
      </c>
      <c r="M483" s="9">
        <v>15</v>
      </c>
      <c r="R483" s="9">
        <v>2222</v>
      </c>
      <c r="AA483" s="9" t="s">
        <v>612</v>
      </c>
      <c r="AB483" s="9">
        <v>19</v>
      </c>
      <c r="AD483" s="9">
        <v>50000</v>
      </c>
      <c r="AF483" s="89">
        <f t="shared" si="136"/>
        <v>20000</v>
      </c>
      <c r="AG483" s="9">
        <f t="shared" si="134"/>
        <v>36800</v>
      </c>
      <c r="AI483" s="11">
        <f t="shared" si="135"/>
        <v>95</v>
      </c>
      <c r="AJ483" s="10">
        <v>95</v>
      </c>
      <c r="AK483" s="11">
        <f t="shared" si="132"/>
        <v>1250</v>
      </c>
      <c r="AL483" s="10">
        <v>1250</v>
      </c>
      <c r="AM483" s="11">
        <f t="shared" si="132"/>
        <v>1250</v>
      </c>
      <c r="AN483" s="10">
        <v>1250</v>
      </c>
      <c r="AO483" s="56">
        <f t="shared" si="137"/>
        <v>1</v>
      </c>
      <c r="AQ483" s="11">
        <f ca="1">IFERROR(OFFSET(ITEM_RES!$A$1,MATCH(AR483,ITEM_RES!$J:$J,0)-1,0),0)</f>
        <v>215050001</v>
      </c>
      <c r="AR483" s="10" t="s">
        <v>497</v>
      </c>
      <c r="AS483" s="11">
        <v>6250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9"/>
        <v>117010020</v>
      </c>
      <c r="B484" s="13">
        <v>11</v>
      </c>
      <c r="C484" s="12">
        <f t="shared" si="130"/>
        <v>7</v>
      </c>
      <c r="D484" s="13">
        <v>1</v>
      </c>
      <c r="E484" s="13">
        <v>0</v>
      </c>
      <c r="F484" s="12">
        <f t="shared" si="131"/>
        <v>20</v>
      </c>
      <c r="H484" s="9">
        <v>7</v>
      </c>
      <c r="I484" s="9">
        <v>20</v>
      </c>
      <c r="K484" s="9" t="s">
        <v>375</v>
      </c>
      <c r="L484" s="9">
        <v>0</v>
      </c>
      <c r="M484" s="9">
        <v>15</v>
      </c>
      <c r="R484" s="9">
        <v>2222</v>
      </c>
      <c r="AA484" s="9" t="s">
        <v>612</v>
      </c>
      <c r="AB484" s="9">
        <v>20</v>
      </c>
      <c r="AD484" s="9">
        <v>60000</v>
      </c>
      <c r="AF484" s="89">
        <f t="shared" si="136"/>
        <v>24000</v>
      </c>
      <c r="AG484" s="9">
        <f t="shared" si="134"/>
        <v>44000</v>
      </c>
      <c r="AI484" s="11">
        <f t="shared" si="135"/>
        <v>100</v>
      </c>
      <c r="AJ484" s="10">
        <v>100</v>
      </c>
      <c r="AK484" s="11">
        <f t="shared" si="132"/>
        <v>1500</v>
      </c>
      <c r="AL484" s="10">
        <v>1500</v>
      </c>
      <c r="AM484" s="11">
        <f t="shared" si="132"/>
        <v>1500</v>
      </c>
      <c r="AN484" s="10">
        <v>1500</v>
      </c>
      <c r="AO484" s="56">
        <f t="shared" si="137"/>
        <v>1</v>
      </c>
      <c r="AQ484" s="11">
        <f ca="1">IFERROR(OFFSET(ITEM_RES!$A$1,MATCH(AR484,ITEM_RES!$J:$J,0)-1,0),0)</f>
        <v>215050001</v>
      </c>
      <c r="AR484" s="10" t="s">
        <v>497</v>
      </c>
      <c r="AS484" s="11">
        <v>7500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9"/>
        <v>117020001</v>
      </c>
      <c r="B485" s="20">
        <v>11</v>
      </c>
      <c r="C485" s="19">
        <f t="shared" si="130"/>
        <v>7</v>
      </c>
      <c r="D485" s="20">
        <v>2</v>
      </c>
      <c r="E485" s="20">
        <v>0</v>
      </c>
      <c r="F485" s="19">
        <f t="shared" si="131"/>
        <v>1</v>
      </c>
      <c r="G485" s="80"/>
      <c r="H485" s="16">
        <v>7</v>
      </c>
      <c r="I485" s="16">
        <v>1</v>
      </c>
      <c r="J485" s="80"/>
      <c r="K485" s="16" t="s">
        <v>387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8"/>
      <c r="T485" s="80"/>
      <c r="U485" s="88"/>
      <c r="V485" s="88"/>
      <c r="W485" s="88"/>
      <c r="X485" s="88"/>
      <c r="Y485" s="88"/>
      <c r="Z485" s="16"/>
      <c r="AA485" s="16" t="s">
        <v>412</v>
      </c>
      <c r="AB485" s="16">
        <v>1</v>
      </c>
      <c r="AC485" s="80"/>
      <c r="AD485" s="16">
        <v>200</v>
      </c>
      <c r="AE485" s="80"/>
      <c r="AF485" s="91">
        <f t="shared" si="136"/>
        <v>1080</v>
      </c>
      <c r="AG485" s="16">
        <f>AF485</f>
        <v>1080</v>
      </c>
      <c r="AH485" s="80"/>
      <c r="AI485" s="18">
        <f t="shared" si="135"/>
        <v>5</v>
      </c>
      <c r="AJ485" s="17">
        <v>5</v>
      </c>
      <c r="AK485" s="18">
        <f t="shared" si="132"/>
        <v>5</v>
      </c>
      <c r="AL485" s="17">
        <v>5</v>
      </c>
      <c r="AM485" s="18">
        <f t="shared" si="132"/>
        <v>5</v>
      </c>
      <c r="AN485" s="17">
        <v>5</v>
      </c>
      <c r="AO485" s="57">
        <f t="shared" si="137"/>
        <v>3</v>
      </c>
      <c r="AP485" s="18"/>
      <c r="AQ485" s="18">
        <f ca="1">IFERROR(OFFSET(ITEM_RES!$A$1,MATCH(AR485,ITEM_RES!$J:$J,0)-1,0),0)</f>
        <v>212040001</v>
      </c>
      <c r="AR485" s="17" t="s">
        <v>485</v>
      </c>
      <c r="AS485" s="18">
        <v>25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213010001</v>
      </c>
      <c r="BB485" s="17" t="s">
        <v>509</v>
      </c>
      <c r="BC485" s="18">
        <v>1</v>
      </c>
      <c r="BD485" s="17"/>
      <c r="BE485" s="18"/>
      <c r="BF485" s="18">
        <f ca="1">IFERROR(OFFSET(ITEM_RES!$A$1,MATCH(BG485,ITEM_RES!$J:$J,0)-1,0),0)</f>
        <v>213020001</v>
      </c>
      <c r="BG485" s="17" t="s">
        <v>531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9"/>
        <v>117020002</v>
      </c>
      <c r="B486" s="13">
        <v>11</v>
      </c>
      <c r="C486" s="12">
        <f t="shared" si="130"/>
        <v>7</v>
      </c>
      <c r="D486" s="13">
        <v>2</v>
      </c>
      <c r="E486" s="13">
        <v>0</v>
      </c>
      <c r="F486" s="12">
        <f t="shared" si="131"/>
        <v>2</v>
      </c>
      <c r="H486" s="9">
        <v>7</v>
      </c>
      <c r="I486" s="9">
        <v>2</v>
      </c>
      <c r="K486" s="9" t="s">
        <v>373</v>
      </c>
      <c r="L486" s="9">
        <v>1</v>
      </c>
      <c r="M486" s="9">
        <v>15</v>
      </c>
      <c r="R486" s="9">
        <v>3333</v>
      </c>
      <c r="AA486" s="9" t="s">
        <v>408</v>
      </c>
      <c r="AB486" s="9">
        <v>2</v>
      </c>
      <c r="AD486" s="9">
        <v>400</v>
      </c>
      <c r="AF486" s="89">
        <f t="shared" si="136"/>
        <v>160</v>
      </c>
      <c r="AG486" s="9">
        <f>AF485+AF486</f>
        <v>1240</v>
      </c>
      <c r="AI486" s="11">
        <f t="shared" si="135"/>
        <v>10</v>
      </c>
      <c r="AJ486" s="10">
        <v>10</v>
      </c>
      <c r="AK486" s="11">
        <f t="shared" si="132"/>
        <v>10</v>
      </c>
      <c r="AL486" s="10">
        <v>10</v>
      </c>
      <c r="AM486" s="11">
        <f t="shared" si="132"/>
        <v>10</v>
      </c>
      <c r="AN486" s="10">
        <v>10</v>
      </c>
      <c r="AO486" s="56">
        <f t="shared" si="137"/>
        <v>1</v>
      </c>
      <c r="AQ486" s="11">
        <f ca="1">IFERROR(OFFSET(ITEM_RES!$A$1,MATCH(AR486,ITEM_RES!$J:$J,0)-1,0),0)</f>
        <v>212040001</v>
      </c>
      <c r="AR486" s="10" t="s">
        <v>485</v>
      </c>
      <c r="AS486" s="11">
        <v>50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9"/>
        <v>117020003</v>
      </c>
      <c r="B487" s="13">
        <v>11</v>
      </c>
      <c r="C487" s="12">
        <f t="shared" si="130"/>
        <v>7</v>
      </c>
      <c r="D487" s="13">
        <v>2</v>
      </c>
      <c r="E487" s="13">
        <v>0</v>
      </c>
      <c r="F487" s="12">
        <f t="shared" si="131"/>
        <v>3</v>
      </c>
      <c r="H487" s="9">
        <v>7</v>
      </c>
      <c r="I487" s="9">
        <v>3</v>
      </c>
      <c r="K487" s="9" t="s">
        <v>373</v>
      </c>
      <c r="L487" s="9">
        <v>1</v>
      </c>
      <c r="M487" s="9">
        <v>15</v>
      </c>
      <c r="R487" s="9">
        <v>3333</v>
      </c>
      <c r="AA487" s="9" t="s">
        <v>407</v>
      </c>
      <c r="AB487" s="9">
        <v>3</v>
      </c>
      <c r="AD487" s="9">
        <v>1200</v>
      </c>
      <c r="AF487" s="89">
        <f t="shared" si="136"/>
        <v>240</v>
      </c>
      <c r="AG487" s="9">
        <f t="shared" ref="AG487:AG504" si="138">AF486+AF487</f>
        <v>400</v>
      </c>
      <c r="AI487" s="11">
        <f t="shared" si="135"/>
        <v>15</v>
      </c>
      <c r="AJ487" s="10">
        <v>15</v>
      </c>
      <c r="AK487" s="11">
        <f t="shared" si="132"/>
        <v>15</v>
      </c>
      <c r="AL487" s="10">
        <v>15</v>
      </c>
      <c r="AM487" s="11">
        <f t="shared" si="132"/>
        <v>15</v>
      </c>
      <c r="AN487" s="10">
        <v>15</v>
      </c>
      <c r="AO487" s="56">
        <f t="shared" si="137"/>
        <v>1</v>
      </c>
      <c r="AQ487" s="11">
        <f ca="1">IFERROR(OFFSET(ITEM_RES!$A$1,MATCH(AR487,ITEM_RES!$J:$J,0)-1,0),0)</f>
        <v>212040001</v>
      </c>
      <c r="AR487" s="10" t="s">
        <v>485</v>
      </c>
      <c r="AS487" s="11">
        <v>75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9"/>
        <v>117020004</v>
      </c>
      <c r="B488" s="13">
        <v>11</v>
      </c>
      <c r="C488" s="12">
        <f t="shared" si="130"/>
        <v>7</v>
      </c>
      <c r="D488" s="13">
        <v>2</v>
      </c>
      <c r="E488" s="13">
        <v>0</v>
      </c>
      <c r="F488" s="12">
        <f t="shared" si="131"/>
        <v>4</v>
      </c>
      <c r="H488" s="9">
        <v>7</v>
      </c>
      <c r="I488" s="9">
        <v>4</v>
      </c>
      <c r="K488" s="9" t="s">
        <v>373</v>
      </c>
      <c r="L488" s="9">
        <v>1</v>
      </c>
      <c r="M488" s="9">
        <v>15</v>
      </c>
      <c r="R488" s="9">
        <v>3333</v>
      </c>
      <c r="AA488" s="9" t="s">
        <v>407</v>
      </c>
      <c r="AB488" s="9">
        <v>4</v>
      </c>
      <c r="AD488" s="9">
        <v>2000</v>
      </c>
      <c r="AF488" s="89">
        <f t="shared" si="136"/>
        <v>400</v>
      </c>
      <c r="AG488" s="9">
        <f t="shared" si="138"/>
        <v>640</v>
      </c>
      <c r="AI488" s="11">
        <f t="shared" si="135"/>
        <v>20</v>
      </c>
      <c r="AJ488" s="10">
        <v>20</v>
      </c>
      <c r="AK488" s="11">
        <f t="shared" si="132"/>
        <v>25</v>
      </c>
      <c r="AL488" s="10">
        <v>25</v>
      </c>
      <c r="AM488" s="11">
        <f t="shared" si="132"/>
        <v>25</v>
      </c>
      <c r="AN488" s="10">
        <v>25</v>
      </c>
      <c r="AO488" s="56">
        <f t="shared" si="137"/>
        <v>1</v>
      </c>
      <c r="AQ488" s="11">
        <f ca="1">IFERROR(OFFSET(ITEM_RES!$A$1,MATCH(AR488,ITEM_RES!$J:$J,0)-1,0),0)</f>
        <v>212040001</v>
      </c>
      <c r="AR488" s="10" t="s">
        <v>485</v>
      </c>
      <c r="AS488" s="11">
        <v>125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9"/>
        <v>117020005</v>
      </c>
      <c r="B489" s="13">
        <v>11</v>
      </c>
      <c r="C489" s="12">
        <f t="shared" si="130"/>
        <v>7</v>
      </c>
      <c r="D489" s="13">
        <v>2</v>
      </c>
      <c r="E489" s="13">
        <v>0</v>
      </c>
      <c r="F489" s="12">
        <f t="shared" si="131"/>
        <v>5</v>
      </c>
      <c r="H489" s="9">
        <v>7</v>
      </c>
      <c r="I489" s="9">
        <v>5</v>
      </c>
      <c r="K489" s="9" t="s">
        <v>373</v>
      </c>
      <c r="L489" s="9">
        <v>1</v>
      </c>
      <c r="M489" s="9">
        <v>15</v>
      </c>
      <c r="R489" s="9">
        <v>3333</v>
      </c>
      <c r="AA489" s="9" t="s">
        <v>407</v>
      </c>
      <c r="AB489" s="9">
        <v>5</v>
      </c>
      <c r="AD489" s="9">
        <v>3200</v>
      </c>
      <c r="AF489" s="89">
        <f t="shared" si="136"/>
        <v>640</v>
      </c>
      <c r="AG489" s="9">
        <f t="shared" si="138"/>
        <v>1040</v>
      </c>
      <c r="AI489" s="11">
        <f t="shared" si="135"/>
        <v>25</v>
      </c>
      <c r="AJ489" s="10">
        <v>25</v>
      </c>
      <c r="AK489" s="11">
        <f t="shared" si="132"/>
        <v>40</v>
      </c>
      <c r="AL489" s="10">
        <v>40</v>
      </c>
      <c r="AM489" s="11">
        <f t="shared" si="132"/>
        <v>40</v>
      </c>
      <c r="AN489" s="10">
        <v>40</v>
      </c>
      <c r="AO489" s="56">
        <f t="shared" si="137"/>
        <v>1</v>
      </c>
      <c r="AQ489" s="11">
        <f ca="1">IFERROR(OFFSET(ITEM_RES!$A$1,MATCH(AR489,ITEM_RES!$J:$J,0)-1,0),0)</f>
        <v>212040001</v>
      </c>
      <c r="AR489" s="10" t="s">
        <v>485</v>
      </c>
      <c r="AS489" s="11">
        <v>200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9"/>
        <v>117020006</v>
      </c>
      <c r="B490" s="13">
        <v>11</v>
      </c>
      <c r="C490" s="12">
        <f t="shared" si="130"/>
        <v>7</v>
      </c>
      <c r="D490" s="13">
        <v>2</v>
      </c>
      <c r="E490" s="13">
        <v>0</v>
      </c>
      <c r="F490" s="12">
        <f t="shared" si="131"/>
        <v>6</v>
      </c>
      <c r="H490" s="9">
        <v>7</v>
      </c>
      <c r="I490" s="9">
        <v>6</v>
      </c>
      <c r="K490" s="9" t="s">
        <v>373</v>
      </c>
      <c r="L490" s="9">
        <v>1</v>
      </c>
      <c r="M490" s="9">
        <v>15</v>
      </c>
      <c r="R490" s="9">
        <v>3333</v>
      </c>
      <c r="AA490" s="9" t="s">
        <v>407</v>
      </c>
      <c r="AB490" s="9">
        <v>6</v>
      </c>
      <c r="AD490" s="9">
        <v>4000</v>
      </c>
      <c r="AF490" s="89">
        <f t="shared" si="136"/>
        <v>800</v>
      </c>
      <c r="AG490" s="9">
        <f t="shared" si="138"/>
        <v>1440</v>
      </c>
      <c r="AI490" s="11">
        <f t="shared" si="135"/>
        <v>30</v>
      </c>
      <c r="AJ490" s="10">
        <v>30</v>
      </c>
      <c r="AK490" s="11">
        <f t="shared" si="132"/>
        <v>50</v>
      </c>
      <c r="AL490" s="10">
        <v>50</v>
      </c>
      <c r="AM490" s="11">
        <f t="shared" si="132"/>
        <v>50</v>
      </c>
      <c r="AN490" s="10">
        <v>50</v>
      </c>
      <c r="AO490" s="56">
        <f t="shared" si="137"/>
        <v>1</v>
      </c>
      <c r="AQ490" s="11">
        <f ca="1">IFERROR(OFFSET(ITEM_RES!$A$1,MATCH(AR490,ITEM_RES!$J:$J,0)-1,0),0)</f>
        <v>212040001</v>
      </c>
      <c r="AR490" s="10" t="s">
        <v>485</v>
      </c>
      <c r="AS490" s="11">
        <v>250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9"/>
        <v>117020007</v>
      </c>
      <c r="B491" s="13">
        <v>11</v>
      </c>
      <c r="C491" s="12">
        <f t="shared" si="130"/>
        <v>7</v>
      </c>
      <c r="D491" s="13">
        <v>2</v>
      </c>
      <c r="E491" s="13">
        <v>0</v>
      </c>
      <c r="F491" s="12">
        <f t="shared" si="131"/>
        <v>7</v>
      </c>
      <c r="H491" s="9">
        <v>7</v>
      </c>
      <c r="I491" s="9">
        <v>7</v>
      </c>
      <c r="K491" s="9" t="s">
        <v>373</v>
      </c>
      <c r="L491" s="9">
        <v>1</v>
      </c>
      <c r="M491" s="9">
        <v>15</v>
      </c>
      <c r="R491" s="9">
        <v>3333</v>
      </c>
      <c r="AA491" s="9" t="s">
        <v>407</v>
      </c>
      <c r="AB491" s="9">
        <v>7</v>
      </c>
      <c r="AD491" s="9">
        <v>8000</v>
      </c>
      <c r="AF491" s="89">
        <f t="shared" si="136"/>
        <v>1600</v>
      </c>
      <c r="AG491" s="9">
        <f t="shared" si="138"/>
        <v>2400</v>
      </c>
      <c r="AI491" s="11">
        <f t="shared" si="135"/>
        <v>35</v>
      </c>
      <c r="AJ491" s="10">
        <v>35</v>
      </c>
      <c r="AK491" s="11">
        <f t="shared" si="132"/>
        <v>100</v>
      </c>
      <c r="AL491" s="10">
        <v>100</v>
      </c>
      <c r="AM491" s="11">
        <f t="shared" si="132"/>
        <v>100</v>
      </c>
      <c r="AN491" s="10">
        <v>100</v>
      </c>
      <c r="AO491" s="56">
        <f t="shared" si="137"/>
        <v>1</v>
      </c>
      <c r="AQ491" s="11">
        <f ca="1">IFERROR(OFFSET(ITEM_RES!$A$1,MATCH(AR491,ITEM_RES!$J:$J,0)-1,0),0)</f>
        <v>212040001</v>
      </c>
      <c r="AR491" s="10" t="s">
        <v>485</v>
      </c>
      <c r="AS491" s="11">
        <v>500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9"/>
        <v>117020008</v>
      </c>
      <c r="B492" s="13">
        <v>11</v>
      </c>
      <c r="C492" s="12">
        <f t="shared" si="130"/>
        <v>7</v>
      </c>
      <c r="D492" s="13">
        <v>2</v>
      </c>
      <c r="E492" s="13">
        <v>0</v>
      </c>
      <c r="F492" s="12">
        <f t="shared" si="131"/>
        <v>8</v>
      </c>
      <c r="H492" s="9">
        <v>7</v>
      </c>
      <c r="I492" s="9">
        <v>8</v>
      </c>
      <c r="K492" s="9" t="s">
        <v>373</v>
      </c>
      <c r="L492" s="9">
        <v>1</v>
      </c>
      <c r="M492" s="9">
        <v>15</v>
      </c>
      <c r="R492" s="9">
        <v>3333</v>
      </c>
      <c r="AA492" s="9" t="s">
        <v>407</v>
      </c>
      <c r="AB492" s="9">
        <v>8</v>
      </c>
      <c r="AD492" s="9">
        <v>8000</v>
      </c>
      <c r="AF492" s="89">
        <f t="shared" si="136"/>
        <v>1600</v>
      </c>
      <c r="AG492" s="9">
        <f t="shared" si="138"/>
        <v>3200</v>
      </c>
      <c r="AI492" s="11">
        <f t="shared" si="135"/>
        <v>40</v>
      </c>
      <c r="AJ492" s="10">
        <v>40</v>
      </c>
      <c r="AK492" s="11">
        <f t="shared" si="132"/>
        <v>100</v>
      </c>
      <c r="AL492" s="10">
        <v>100</v>
      </c>
      <c r="AM492" s="11">
        <f t="shared" si="132"/>
        <v>100</v>
      </c>
      <c r="AN492" s="10">
        <v>100</v>
      </c>
      <c r="AO492" s="56">
        <f t="shared" si="137"/>
        <v>1</v>
      </c>
      <c r="AQ492" s="11">
        <f ca="1">IFERROR(OFFSET(ITEM_RES!$A$1,MATCH(AR492,ITEM_RES!$J:$J,0)-1,0),0)</f>
        <v>212040001</v>
      </c>
      <c r="AR492" s="10" t="s">
        <v>485</v>
      </c>
      <c r="AS492" s="11">
        <v>500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56" si="139">B493*10000000+C493*1000000+D493*10000+E493*100+F493</f>
        <v>117020009</v>
      </c>
      <c r="B493" s="13">
        <v>11</v>
      </c>
      <c r="C493" s="12">
        <f t="shared" ref="C493:C556" si="140">H493</f>
        <v>7</v>
      </c>
      <c r="D493" s="13">
        <v>2</v>
      </c>
      <c r="E493" s="13">
        <v>0</v>
      </c>
      <c r="F493" s="12">
        <f t="shared" ref="F493:F556" si="141">I493</f>
        <v>9</v>
      </c>
      <c r="H493" s="9">
        <v>7</v>
      </c>
      <c r="I493" s="9">
        <v>9</v>
      </c>
      <c r="K493" s="9" t="s">
        <v>373</v>
      </c>
      <c r="L493" s="9">
        <v>1</v>
      </c>
      <c r="M493" s="9">
        <v>15</v>
      </c>
      <c r="R493" s="9">
        <v>3333</v>
      </c>
      <c r="AA493" s="9" t="s">
        <v>407</v>
      </c>
      <c r="AB493" s="9">
        <v>9</v>
      </c>
      <c r="AD493" s="9">
        <v>12000</v>
      </c>
      <c r="AF493" s="89">
        <f t="shared" si="136"/>
        <v>2400</v>
      </c>
      <c r="AG493" s="9">
        <f t="shared" si="138"/>
        <v>4000</v>
      </c>
      <c r="AI493" s="11">
        <f t="shared" si="135"/>
        <v>45</v>
      </c>
      <c r="AJ493" s="10">
        <v>45</v>
      </c>
      <c r="AK493" s="11">
        <f t="shared" si="132"/>
        <v>150</v>
      </c>
      <c r="AL493" s="10">
        <v>150</v>
      </c>
      <c r="AM493" s="11">
        <f t="shared" si="132"/>
        <v>150</v>
      </c>
      <c r="AN493" s="10">
        <v>150</v>
      </c>
      <c r="AO493" s="56">
        <f t="shared" si="137"/>
        <v>1</v>
      </c>
      <c r="AQ493" s="11">
        <f ca="1">IFERROR(OFFSET(ITEM_RES!$A$1,MATCH(AR493,ITEM_RES!$J:$J,0)-1,0),0)</f>
        <v>212040001</v>
      </c>
      <c r="AR493" s="10" t="s">
        <v>485</v>
      </c>
      <c r="AS493" s="11">
        <v>750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9"/>
        <v>117020010</v>
      </c>
      <c r="B494" s="13">
        <v>11</v>
      </c>
      <c r="C494" s="12">
        <f t="shared" si="140"/>
        <v>7</v>
      </c>
      <c r="D494" s="13">
        <v>2</v>
      </c>
      <c r="E494" s="13">
        <v>0</v>
      </c>
      <c r="F494" s="12">
        <f t="shared" si="141"/>
        <v>10</v>
      </c>
      <c r="H494" s="9">
        <v>7</v>
      </c>
      <c r="I494" s="9">
        <v>10</v>
      </c>
      <c r="K494" s="9" t="s">
        <v>373</v>
      </c>
      <c r="L494" s="9">
        <v>1</v>
      </c>
      <c r="M494" s="9">
        <v>15</v>
      </c>
      <c r="R494" s="9">
        <v>3333</v>
      </c>
      <c r="AA494" s="9" t="s">
        <v>407</v>
      </c>
      <c r="AB494" s="9">
        <v>10</v>
      </c>
      <c r="AD494" s="9">
        <v>16000</v>
      </c>
      <c r="AF494" s="89">
        <f t="shared" si="136"/>
        <v>3700</v>
      </c>
      <c r="AG494" s="9">
        <f t="shared" si="138"/>
        <v>6100</v>
      </c>
      <c r="AI494" s="11">
        <f t="shared" si="135"/>
        <v>50</v>
      </c>
      <c r="AJ494" s="10">
        <v>50</v>
      </c>
      <c r="AK494" s="11">
        <f t="shared" ref="AK494:AM557" si="142">ROUND(AL494,0)</f>
        <v>200</v>
      </c>
      <c r="AL494" s="10">
        <v>200</v>
      </c>
      <c r="AM494" s="11">
        <f t="shared" si="142"/>
        <v>200</v>
      </c>
      <c r="AN494" s="10">
        <v>200</v>
      </c>
      <c r="AO494" s="56">
        <f t="shared" si="137"/>
        <v>2</v>
      </c>
      <c r="AQ494" s="11">
        <f ca="1">IFERROR(OFFSET(ITEM_RES!$A$1,MATCH(AR494,ITEM_RES!$J:$J,0)-1,0),0)</f>
        <v>212040001</v>
      </c>
      <c r="AR494" s="10" t="s">
        <v>485</v>
      </c>
      <c r="AS494" s="11">
        <v>1000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213160001</v>
      </c>
      <c r="BG494" s="10" t="s">
        <v>542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9"/>
        <v>117020011</v>
      </c>
      <c r="B495" s="13">
        <v>11</v>
      </c>
      <c r="C495" s="12">
        <f t="shared" si="140"/>
        <v>7</v>
      </c>
      <c r="D495" s="13">
        <v>2</v>
      </c>
      <c r="E495" s="13">
        <v>0</v>
      </c>
      <c r="F495" s="12">
        <f t="shared" si="141"/>
        <v>11</v>
      </c>
      <c r="H495" s="9">
        <v>7</v>
      </c>
      <c r="I495" s="9">
        <v>11</v>
      </c>
      <c r="K495" s="9" t="s">
        <v>373</v>
      </c>
      <c r="L495" s="9">
        <v>1</v>
      </c>
      <c r="M495" s="9">
        <v>15</v>
      </c>
      <c r="R495" s="9">
        <v>3333</v>
      </c>
      <c r="AA495" s="9" t="s">
        <v>407</v>
      </c>
      <c r="AB495" s="9">
        <v>11</v>
      </c>
      <c r="AD495" s="9">
        <v>20000</v>
      </c>
      <c r="AF495" s="89">
        <f t="shared" si="136"/>
        <v>4000</v>
      </c>
      <c r="AG495" s="9">
        <f t="shared" si="138"/>
        <v>7700</v>
      </c>
      <c r="AI495" s="11">
        <f t="shared" si="135"/>
        <v>55</v>
      </c>
      <c r="AJ495" s="10">
        <v>55</v>
      </c>
      <c r="AK495" s="11">
        <f t="shared" si="142"/>
        <v>250</v>
      </c>
      <c r="AL495" s="10">
        <v>250</v>
      </c>
      <c r="AM495" s="11">
        <f t="shared" si="142"/>
        <v>250</v>
      </c>
      <c r="AN495" s="10">
        <v>250</v>
      </c>
      <c r="AO495" s="56">
        <f t="shared" si="137"/>
        <v>1</v>
      </c>
      <c r="AQ495" s="11">
        <f ca="1">IFERROR(OFFSET(ITEM_RES!$A$1,MATCH(AR495,ITEM_RES!$J:$J,0)-1,0),0)</f>
        <v>212040001</v>
      </c>
      <c r="AR495" s="10" t="s">
        <v>485</v>
      </c>
      <c r="AS495" s="11">
        <v>1250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9"/>
        <v>117020012</v>
      </c>
      <c r="B496" s="13">
        <v>11</v>
      </c>
      <c r="C496" s="12">
        <f t="shared" si="140"/>
        <v>7</v>
      </c>
      <c r="D496" s="13">
        <v>2</v>
      </c>
      <c r="E496" s="13">
        <v>0</v>
      </c>
      <c r="F496" s="12">
        <f t="shared" si="141"/>
        <v>12</v>
      </c>
      <c r="H496" s="9">
        <v>7</v>
      </c>
      <c r="I496" s="9">
        <v>12</v>
      </c>
      <c r="K496" s="9" t="s">
        <v>373</v>
      </c>
      <c r="L496" s="9">
        <v>1</v>
      </c>
      <c r="M496" s="9">
        <v>15</v>
      </c>
      <c r="R496" s="9">
        <v>3333</v>
      </c>
      <c r="AA496" s="9" t="s">
        <v>407</v>
      </c>
      <c r="AB496" s="9">
        <v>12</v>
      </c>
      <c r="AD496" s="9">
        <v>24000</v>
      </c>
      <c r="AF496" s="89">
        <f t="shared" si="136"/>
        <v>4800</v>
      </c>
      <c r="AG496" s="9">
        <f t="shared" si="138"/>
        <v>8800</v>
      </c>
      <c r="AI496" s="11">
        <f t="shared" si="135"/>
        <v>60</v>
      </c>
      <c r="AJ496" s="10">
        <v>60</v>
      </c>
      <c r="AK496" s="11">
        <f t="shared" si="142"/>
        <v>300</v>
      </c>
      <c r="AL496" s="10">
        <v>300</v>
      </c>
      <c r="AM496" s="11">
        <f t="shared" si="142"/>
        <v>300</v>
      </c>
      <c r="AN496" s="10">
        <v>300</v>
      </c>
      <c r="AO496" s="56">
        <f t="shared" si="137"/>
        <v>1</v>
      </c>
      <c r="AQ496" s="11">
        <f ca="1">IFERROR(OFFSET(ITEM_RES!$A$1,MATCH(AR496,ITEM_RES!$J:$J,0)-1,0),0)</f>
        <v>212040001</v>
      </c>
      <c r="AR496" s="10" t="s">
        <v>485</v>
      </c>
      <c r="AS496" s="11">
        <v>1500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9"/>
        <v>117020013</v>
      </c>
      <c r="B497" s="13">
        <v>11</v>
      </c>
      <c r="C497" s="12">
        <f t="shared" si="140"/>
        <v>7</v>
      </c>
      <c r="D497" s="13">
        <v>2</v>
      </c>
      <c r="E497" s="13">
        <v>0</v>
      </c>
      <c r="F497" s="12">
        <f t="shared" si="141"/>
        <v>13</v>
      </c>
      <c r="H497" s="9">
        <v>7</v>
      </c>
      <c r="I497" s="9">
        <v>13</v>
      </c>
      <c r="K497" s="9" t="s">
        <v>373</v>
      </c>
      <c r="L497" s="9">
        <v>1</v>
      </c>
      <c r="M497" s="9">
        <v>15</v>
      </c>
      <c r="R497" s="9">
        <v>3333</v>
      </c>
      <c r="AA497" s="9" t="s">
        <v>407</v>
      </c>
      <c r="AB497" s="9">
        <v>13</v>
      </c>
      <c r="AD497" s="9">
        <v>28000</v>
      </c>
      <c r="AF497" s="89">
        <f t="shared" si="136"/>
        <v>5600</v>
      </c>
      <c r="AG497" s="9">
        <f t="shared" si="138"/>
        <v>10400</v>
      </c>
      <c r="AI497" s="11">
        <f t="shared" si="135"/>
        <v>65</v>
      </c>
      <c r="AJ497" s="10">
        <v>65</v>
      </c>
      <c r="AK497" s="11">
        <f t="shared" si="142"/>
        <v>350</v>
      </c>
      <c r="AL497" s="10">
        <v>350</v>
      </c>
      <c r="AM497" s="11">
        <f t="shared" si="142"/>
        <v>350</v>
      </c>
      <c r="AN497" s="10">
        <v>350</v>
      </c>
      <c r="AO497" s="56">
        <f t="shared" si="137"/>
        <v>1</v>
      </c>
      <c r="AQ497" s="11">
        <f ca="1">IFERROR(OFFSET(ITEM_RES!$A$1,MATCH(AR497,ITEM_RES!$J:$J,0)-1,0),0)</f>
        <v>212040001</v>
      </c>
      <c r="AR497" s="10" t="s">
        <v>485</v>
      </c>
      <c r="AS497" s="11">
        <v>1750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9"/>
        <v>117020014</v>
      </c>
      <c r="B498" s="13">
        <v>11</v>
      </c>
      <c r="C498" s="12">
        <f t="shared" si="140"/>
        <v>7</v>
      </c>
      <c r="D498" s="13">
        <v>2</v>
      </c>
      <c r="E498" s="13">
        <v>0</v>
      </c>
      <c r="F498" s="12">
        <f t="shared" si="141"/>
        <v>14</v>
      </c>
      <c r="H498" s="9">
        <v>7</v>
      </c>
      <c r="I498" s="9">
        <v>14</v>
      </c>
      <c r="K498" s="9" t="s">
        <v>373</v>
      </c>
      <c r="L498" s="9">
        <v>1</v>
      </c>
      <c r="M498" s="9">
        <v>15</v>
      </c>
      <c r="R498" s="9">
        <v>3333</v>
      </c>
      <c r="AA498" s="9" t="s">
        <v>407</v>
      </c>
      <c r="AB498" s="9">
        <v>14</v>
      </c>
      <c r="AD498" s="9">
        <v>36000</v>
      </c>
      <c r="AF498" s="89">
        <f t="shared" si="136"/>
        <v>7200</v>
      </c>
      <c r="AG498" s="9">
        <f t="shared" si="138"/>
        <v>12800</v>
      </c>
      <c r="AI498" s="11">
        <f t="shared" si="135"/>
        <v>70</v>
      </c>
      <c r="AJ498" s="10">
        <v>70</v>
      </c>
      <c r="AK498" s="11">
        <f t="shared" si="142"/>
        <v>450</v>
      </c>
      <c r="AL498" s="10">
        <v>450</v>
      </c>
      <c r="AM498" s="11">
        <f t="shared" si="142"/>
        <v>450</v>
      </c>
      <c r="AN498" s="10">
        <v>450</v>
      </c>
      <c r="AO498" s="56">
        <f t="shared" si="137"/>
        <v>1</v>
      </c>
      <c r="AQ498" s="11">
        <f ca="1">IFERROR(OFFSET(ITEM_RES!$A$1,MATCH(AR498,ITEM_RES!$J:$J,0)-1,0),0)</f>
        <v>212040001</v>
      </c>
      <c r="AR498" s="10" t="s">
        <v>485</v>
      </c>
      <c r="AS498" s="11">
        <v>2250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9"/>
        <v>117020015</v>
      </c>
      <c r="B499" s="13">
        <v>11</v>
      </c>
      <c r="C499" s="12">
        <f t="shared" si="140"/>
        <v>7</v>
      </c>
      <c r="D499" s="13">
        <v>2</v>
      </c>
      <c r="E499" s="13">
        <v>0</v>
      </c>
      <c r="F499" s="12">
        <f t="shared" si="141"/>
        <v>15</v>
      </c>
      <c r="H499" s="9">
        <v>7</v>
      </c>
      <c r="I499" s="9">
        <v>15</v>
      </c>
      <c r="K499" s="9" t="s">
        <v>373</v>
      </c>
      <c r="L499" s="9">
        <v>1</v>
      </c>
      <c r="M499" s="9">
        <v>15</v>
      </c>
      <c r="R499" s="9">
        <v>3333</v>
      </c>
      <c r="AA499" s="9" t="s">
        <v>407</v>
      </c>
      <c r="AB499" s="9">
        <v>15</v>
      </c>
      <c r="AD499" s="9">
        <v>44000</v>
      </c>
      <c r="AF499" s="89">
        <f t="shared" si="136"/>
        <v>8800</v>
      </c>
      <c r="AG499" s="9">
        <f t="shared" si="138"/>
        <v>16000</v>
      </c>
      <c r="AI499" s="11">
        <f t="shared" si="135"/>
        <v>75</v>
      </c>
      <c r="AJ499" s="10">
        <v>75</v>
      </c>
      <c r="AK499" s="11">
        <f t="shared" si="142"/>
        <v>550</v>
      </c>
      <c r="AL499" s="10">
        <v>550</v>
      </c>
      <c r="AM499" s="11">
        <f t="shared" si="142"/>
        <v>550</v>
      </c>
      <c r="AN499" s="10">
        <v>550</v>
      </c>
      <c r="AO499" s="56">
        <f t="shared" si="137"/>
        <v>1</v>
      </c>
      <c r="AQ499" s="11">
        <f ca="1">IFERROR(OFFSET(ITEM_RES!$A$1,MATCH(AR499,ITEM_RES!$J:$J,0)-1,0),0)</f>
        <v>215050001</v>
      </c>
      <c r="AR499" s="10" t="s">
        <v>497</v>
      </c>
      <c r="AS499" s="11">
        <v>2750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9"/>
        <v>117020016</v>
      </c>
      <c r="B500" s="13">
        <v>11</v>
      </c>
      <c r="C500" s="12">
        <f t="shared" si="140"/>
        <v>7</v>
      </c>
      <c r="D500" s="13">
        <v>2</v>
      </c>
      <c r="E500" s="13">
        <v>0</v>
      </c>
      <c r="F500" s="12">
        <f t="shared" si="141"/>
        <v>16</v>
      </c>
      <c r="H500" s="9">
        <v>7</v>
      </c>
      <c r="I500" s="9">
        <v>16</v>
      </c>
      <c r="K500" s="9" t="s">
        <v>373</v>
      </c>
      <c r="L500" s="9">
        <v>0</v>
      </c>
      <c r="M500" s="9">
        <v>15</v>
      </c>
      <c r="R500" s="9">
        <v>3333</v>
      </c>
      <c r="AA500" s="9" t="s">
        <v>407</v>
      </c>
      <c r="AB500" s="9">
        <v>16</v>
      </c>
      <c r="AD500" s="9">
        <v>56000</v>
      </c>
      <c r="AF500" s="89">
        <f t="shared" si="136"/>
        <v>11200</v>
      </c>
      <c r="AG500" s="9">
        <f t="shared" si="138"/>
        <v>20000</v>
      </c>
      <c r="AI500" s="11">
        <f t="shared" si="135"/>
        <v>80</v>
      </c>
      <c r="AJ500" s="10">
        <v>80</v>
      </c>
      <c r="AK500" s="11">
        <f t="shared" si="142"/>
        <v>700</v>
      </c>
      <c r="AL500" s="10">
        <v>700</v>
      </c>
      <c r="AM500" s="11">
        <f t="shared" si="142"/>
        <v>700</v>
      </c>
      <c r="AN500" s="10">
        <v>700</v>
      </c>
      <c r="AO500" s="56">
        <f t="shared" si="137"/>
        <v>1</v>
      </c>
      <c r="AQ500" s="11">
        <f ca="1">IFERROR(OFFSET(ITEM_RES!$A$1,MATCH(AR500,ITEM_RES!$J:$J,0)-1,0),0)</f>
        <v>215050001</v>
      </c>
      <c r="AR500" s="10" t="s">
        <v>497</v>
      </c>
      <c r="AS500" s="11">
        <v>3500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9"/>
        <v>117020017</v>
      </c>
      <c r="B501" s="13">
        <v>11</v>
      </c>
      <c r="C501" s="12">
        <f t="shared" si="140"/>
        <v>7</v>
      </c>
      <c r="D501" s="13">
        <v>2</v>
      </c>
      <c r="E501" s="13">
        <v>0</v>
      </c>
      <c r="F501" s="12">
        <f t="shared" si="141"/>
        <v>17</v>
      </c>
      <c r="H501" s="9">
        <v>7</v>
      </c>
      <c r="I501" s="9">
        <v>17</v>
      </c>
      <c r="K501" s="9" t="s">
        <v>373</v>
      </c>
      <c r="L501" s="9">
        <v>0</v>
      </c>
      <c r="M501" s="9">
        <v>15</v>
      </c>
      <c r="R501" s="9">
        <v>3333</v>
      </c>
      <c r="AA501" s="9" t="s">
        <v>407</v>
      </c>
      <c r="AB501" s="9">
        <v>17</v>
      </c>
      <c r="AD501" s="9">
        <v>68000</v>
      </c>
      <c r="AF501" s="89">
        <f t="shared" si="136"/>
        <v>13600</v>
      </c>
      <c r="AG501" s="9">
        <f t="shared" si="138"/>
        <v>24800</v>
      </c>
      <c r="AI501" s="11">
        <f t="shared" si="135"/>
        <v>85</v>
      </c>
      <c r="AJ501" s="10">
        <v>85</v>
      </c>
      <c r="AK501" s="11">
        <f t="shared" si="142"/>
        <v>850</v>
      </c>
      <c r="AL501" s="10">
        <v>850</v>
      </c>
      <c r="AM501" s="11">
        <f t="shared" si="142"/>
        <v>850</v>
      </c>
      <c r="AN501" s="10">
        <v>850</v>
      </c>
      <c r="AO501" s="56">
        <f t="shared" si="137"/>
        <v>1</v>
      </c>
      <c r="AQ501" s="11">
        <f ca="1">IFERROR(OFFSET(ITEM_RES!$A$1,MATCH(AR501,ITEM_RES!$J:$J,0)-1,0),0)</f>
        <v>215050001</v>
      </c>
      <c r="AR501" s="10" t="s">
        <v>497</v>
      </c>
      <c r="AS501" s="11">
        <v>4250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9"/>
        <v>117020018</v>
      </c>
      <c r="B502" s="13">
        <v>11</v>
      </c>
      <c r="C502" s="12">
        <f t="shared" si="140"/>
        <v>7</v>
      </c>
      <c r="D502" s="13">
        <v>2</v>
      </c>
      <c r="E502" s="13">
        <v>0</v>
      </c>
      <c r="F502" s="12">
        <f t="shared" si="141"/>
        <v>18</v>
      </c>
      <c r="H502" s="9">
        <v>7</v>
      </c>
      <c r="I502" s="9">
        <v>18</v>
      </c>
      <c r="K502" s="9" t="s">
        <v>373</v>
      </c>
      <c r="L502" s="9">
        <v>0</v>
      </c>
      <c r="M502" s="9">
        <v>15</v>
      </c>
      <c r="R502" s="9">
        <v>3333</v>
      </c>
      <c r="AA502" s="9" t="s">
        <v>407</v>
      </c>
      <c r="AB502" s="9">
        <v>18</v>
      </c>
      <c r="AD502" s="9">
        <v>84000</v>
      </c>
      <c r="AF502" s="89">
        <f t="shared" si="136"/>
        <v>16800</v>
      </c>
      <c r="AG502" s="9">
        <f t="shared" si="138"/>
        <v>30400</v>
      </c>
      <c r="AI502" s="11">
        <f t="shared" si="135"/>
        <v>90</v>
      </c>
      <c r="AJ502" s="10">
        <v>90</v>
      </c>
      <c r="AK502" s="11">
        <f t="shared" si="142"/>
        <v>1050</v>
      </c>
      <c r="AL502" s="10">
        <v>1050</v>
      </c>
      <c r="AM502" s="11">
        <f t="shared" si="142"/>
        <v>1050</v>
      </c>
      <c r="AN502" s="10">
        <v>1050</v>
      </c>
      <c r="AO502" s="56">
        <f t="shared" si="137"/>
        <v>1</v>
      </c>
      <c r="AQ502" s="11">
        <f ca="1">IFERROR(OFFSET(ITEM_RES!$A$1,MATCH(AR502,ITEM_RES!$J:$J,0)-1,0),0)</f>
        <v>215050001</v>
      </c>
      <c r="AR502" s="10" t="s">
        <v>497</v>
      </c>
      <c r="AS502" s="11">
        <v>5250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9"/>
        <v>117020019</v>
      </c>
      <c r="B503" s="13">
        <v>11</v>
      </c>
      <c r="C503" s="12">
        <f t="shared" si="140"/>
        <v>7</v>
      </c>
      <c r="D503" s="13">
        <v>2</v>
      </c>
      <c r="E503" s="13">
        <v>0</v>
      </c>
      <c r="F503" s="12">
        <f t="shared" si="141"/>
        <v>19</v>
      </c>
      <c r="H503" s="9">
        <v>7</v>
      </c>
      <c r="I503" s="9">
        <v>19</v>
      </c>
      <c r="K503" s="9" t="s">
        <v>373</v>
      </c>
      <c r="L503" s="9">
        <v>0</v>
      </c>
      <c r="M503" s="9">
        <v>15</v>
      </c>
      <c r="R503" s="9">
        <v>3333</v>
      </c>
      <c r="AA503" s="9" t="s">
        <v>407</v>
      </c>
      <c r="AB503" s="9">
        <v>19</v>
      </c>
      <c r="AD503" s="9">
        <v>100000</v>
      </c>
      <c r="AF503" s="89">
        <f t="shared" si="136"/>
        <v>20000</v>
      </c>
      <c r="AG503" s="9">
        <f t="shared" si="138"/>
        <v>36800</v>
      </c>
      <c r="AI503" s="11">
        <f t="shared" si="135"/>
        <v>95</v>
      </c>
      <c r="AJ503" s="10">
        <v>95</v>
      </c>
      <c r="AK503" s="11">
        <f t="shared" si="142"/>
        <v>1250</v>
      </c>
      <c r="AL503" s="10">
        <v>1250</v>
      </c>
      <c r="AM503" s="11">
        <f t="shared" si="142"/>
        <v>1250</v>
      </c>
      <c r="AN503" s="10">
        <v>1250</v>
      </c>
      <c r="AO503" s="56">
        <f t="shared" si="137"/>
        <v>1</v>
      </c>
      <c r="AQ503" s="11">
        <f ca="1">IFERROR(OFFSET(ITEM_RES!$A$1,MATCH(AR503,ITEM_RES!$J:$J,0)-1,0),0)</f>
        <v>215050001</v>
      </c>
      <c r="AR503" s="10" t="s">
        <v>497</v>
      </c>
      <c r="AS503" s="11">
        <v>6250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9"/>
        <v>117020020</v>
      </c>
      <c r="B504" s="13">
        <v>11</v>
      </c>
      <c r="C504" s="12">
        <f t="shared" si="140"/>
        <v>7</v>
      </c>
      <c r="D504" s="13">
        <v>2</v>
      </c>
      <c r="E504" s="13">
        <v>0</v>
      </c>
      <c r="F504" s="12">
        <f t="shared" si="141"/>
        <v>20</v>
      </c>
      <c r="H504" s="9">
        <v>7</v>
      </c>
      <c r="I504" s="9">
        <v>20</v>
      </c>
      <c r="K504" s="9" t="s">
        <v>373</v>
      </c>
      <c r="L504" s="9">
        <v>0</v>
      </c>
      <c r="M504" s="9">
        <v>15</v>
      </c>
      <c r="R504" s="9">
        <v>3333</v>
      </c>
      <c r="AA504" s="9" t="s">
        <v>407</v>
      </c>
      <c r="AB504" s="9">
        <v>20</v>
      </c>
      <c r="AD504" s="9">
        <v>120000</v>
      </c>
      <c r="AF504" s="89">
        <f t="shared" si="136"/>
        <v>24000</v>
      </c>
      <c r="AG504" s="9">
        <f t="shared" si="138"/>
        <v>44000</v>
      </c>
      <c r="AI504" s="11">
        <f t="shared" si="135"/>
        <v>100</v>
      </c>
      <c r="AJ504" s="10">
        <v>100</v>
      </c>
      <c r="AK504" s="11">
        <f t="shared" si="142"/>
        <v>1500</v>
      </c>
      <c r="AL504" s="10">
        <v>1500</v>
      </c>
      <c r="AM504" s="11">
        <f t="shared" si="142"/>
        <v>1500</v>
      </c>
      <c r="AN504" s="10">
        <v>1500</v>
      </c>
      <c r="AO504" s="56">
        <f t="shared" si="137"/>
        <v>1</v>
      </c>
      <c r="AQ504" s="11">
        <f ca="1">IFERROR(OFFSET(ITEM_RES!$A$1,MATCH(AR504,ITEM_RES!$J:$J,0)-1,0),0)</f>
        <v>215050001</v>
      </c>
      <c r="AR504" s="10" t="s">
        <v>497</v>
      </c>
      <c r="AS504" s="11">
        <v>7500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>
        <f t="shared" si="139"/>
        <v>117030001</v>
      </c>
      <c r="B505" s="20">
        <v>11</v>
      </c>
      <c r="C505" s="19">
        <f t="shared" si="140"/>
        <v>7</v>
      </c>
      <c r="D505" s="20">
        <v>3</v>
      </c>
      <c r="E505" s="20">
        <v>0</v>
      </c>
      <c r="F505" s="19">
        <f t="shared" si="141"/>
        <v>1</v>
      </c>
      <c r="G505" s="80"/>
      <c r="H505" s="16">
        <v>7</v>
      </c>
      <c r="I505" s="16">
        <v>1</v>
      </c>
      <c r="J505" s="80"/>
      <c r="K505" s="16" t="s">
        <v>388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8"/>
      <c r="T505" s="80"/>
      <c r="U505" s="88"/>
      <c r="V505" s="88"/>
      <c r="W505" s="88"/>
      <c r="X505" s="88"/>
      <c r="Y505" s="88"/>
      <c r="Z505" s="16"/>
      <c r="AA505" s="16" t="s">
        <v>410</v>
      </c>
      <c r="AB505" s="16">
        <v>1</v>
      </c>
      <c r="AC505" s="80"/>
      <c r="AD505" s="16">
        <v>100</v>
      </c>
      <c r="AE505" s="80"/>
      <c r="AF505" s="91">
        <f t="shared" si="136"/>
        <v>1080</v>
      </c>
      <c r="AG505" s="16">
        <f>AF505</f>
        <v>1080</v>
      </c>
      <c r="AH505" s="80"/>
      <c r="AI505" s="18">
        <f t="shared" si="135"/>
        <v>5</v>
      </c>
      <c r="AJ505" s="17">
        <v>5</v>
      </c>
      <c r="AK505" s="18">
        <f t="shared" si="142"/>
        <v>5</v>
      </c>
      <c r="AL505" s="17">
        <v>5</v>
      </c>
      <c r="AM505" s="18">
        <f t="shared" si="142"/>
        <v>5</v>
      </c>
      <c r="AN505" s="17">
        <v>5</v>
      </c>
      <c r="AO505" s="57">
        <f t="shared" si="137"/>
        <v>3</v>
      </c>
      <c r="AP505" s="18"/>
      <c r="AQ505" s="18">
        <f ca="1">IFERROR(OFFSET(ITEM_RES!$A$1,MATCH(AR505,ITEM_RES!$J:$J,0)-1,0),0)</f>
        <v>212040001</v>
      </c>
      <c r="AR505" s="17" t="s">
        <v>482</v>
      </c>
      <c r="AS505" s="18">
        <v>25</v>
      </c>
      <c r="AT505" s="17"/>
      <c r="AU505" s="18"/>
      <c r="AV505" s="18">
        <f ca="1">IFERROR(OFFSET(ITEM_RES!$A$1,MATCH(AW505,ITEM_RES!$J:$J,0)-1,0),0)</f>
        <v>0</v>
      </c>
      <c r="AW505" s="17"/>
      <c r="AX505" s="18"/>
      <c r="AY505" s="17"/>
      <c r="AZ505" s="18"/>
      <c r="BA505" s="18">
        <f ca="1">IFERROR(OFFSET(ITEM_RES!$A$1,MATCH(BB505,ITEM_RES!$J:$J,0)-1,0),0)</f>
        <v>213010001</v>
      </c>
      <c r="BB505" s="17" t="s">
        <v>509</v>
      </c>
      <c r="BC505" s="18">
        <v>1</v>
      </c>
      <c r="BD505" s="17"/>
      <c r="BE505" s="18"/>
      <c r="BF505" s="18">
        <f ca="1">IFERROR(OFFSET(ITEM_RES!$A$1,MATCH(BG505,ITEM_RES!$J:$J,0)-1,0),0)</f>
        <v>213020001</v>
      </c>
      <c r="BG505" s="17" t="s">
        <v>531</v>
      </c>
      <c r="BH505" s="18">
        <v>1</v>
      </c>
      <c r="BI505" s="17"/>
      <c r="BJ505" s="18"/>
      <c r="BK505" s="18">
        <f ca="1">IFERROR(OFFSET(ITEM_RES!$A$1,MATCH(BL505,ITEM_RES!$J:$J,0)-1,0),0)</f>
        <v>0</v>
      </c>
      <c r="BL505" s="17"/>
      <c r="BM505" s="18"/>
      <c r="BN505" s="17"/>
    </row>
    <row r="506" spans="1:66" x14ac:dyDescent="0.3">
      <c r="A506" s="14">
        <f t="shared" si="139"/>
        <v>117030002</v>
      </c>
      <c r="B506" s="13">
        <v>11</v>
      </c>
      <c r="C506" s="12">
        <f t="shared" si="140"/>
        <v>7</v>
      </c>
      <c r="D506" s="13">
        <v>3</v>
      </c>
      <c r="E506" s="13">
        <v>0</v>
      </c>
      <c r="F506" s="12">
        <f t="shared" si="141"/>
        <v>2</v>
      </c>
      <c r="H506" s="9">
        <v>7</v>
      </c>
      <c r="I506" s="9">
        <v>2</v>
      </c>
      <c r="K506" s="9" t="s">
        <v>374</v>
      </c>
      <c r="L506" s="9">
        <v>1</v>
      </c>
      <c r="M506" s="9">
        <v>15</v>
      </c>
      <c r="R506" s="9">
        <v>4444</v>
      </c>
      <c r="AA506" s="9" t="s">
        <v>409</v>
      </c>
      <c r="AB506" s="9">
        <v>2</v>
      </c>
      <c r="AD506" s="9">
        <v>200</v>
      </c>
      <c r="AF506" s="89">
        <f t="shared" si="136"/>
        <v>160</v>
      </c>
      <c r="AG506" s="9">
        <f>AF505+AF506</f>
        <v>1240</v>
      </c>
      <c r="AI506" s="11">
        <f t="shared" si="135"/>
        <v>10</v>
      </c>
      <c r="AJ506" s="10">
        <v>10</v>
      </c>
      <c r="AK506" s="11">
        <f t="shared" si="142"/>
        <v>10</v>
      </c>
      <c r="AL506" s="10">
        <v>10</v>
      </c>
      <c r="AM506" s="11">
        <f t="shared" si="142"/>
        <v>10</v>
      </c>
      <c r="AN506" s="10">
        <v>10</v>
      </c>
      <c r="AO506" s="56">
        <f t="shared" si="137"/>
        <v>1</v>
      </c>
      <c r="AQ506" s="11">
        <f ca="1">IFERROR(OFFSET(ITEM_RES!$A$1,MATCH(AR506,ITEM_RES!$J:$J,0)-1,0),0)</f>
        <v>212040001</v>
      </c>
      <c r="AR506" s="10" t="s">
        <v>482</v>
      </c>
      <c r="AS506" s="11">
        <v>50</v>
      </c>
      <c r="AV506" s="11">
        <f ca="1">IFERROR(OFFSET(ITEM_RES!$A$1,MATCH(AW506,ITEM_RES!$J:$J,0)-1,0),0)</f>
        <v>0</v>
      </c>
      <c r="BA506" s="11">
        <f ca="1">IFERROR(OFFSET(ITEM_RES!$A$1,MATCH(BB506,ITEM_RES!$J:$J,0)-1,0),0)</f>
        <v>0</v>
      </c>
      <c r="BF506" s="11">
        <f ca="1">IFERROR(OFFSET(ITEM_RES!$A$1,MATCH(BG506,ITEM_RES!$J:$J,0)-1,0),0)</f>
        <v>0</v>
      </c>
      <c r="BK506" s="11">
        <f ca="1">IFERROR(OFFSET(ITEM_RES!$A$1,MATCH(BL506,ITEM_RES!$J:$J,0)-1,0),0)</f>
        <v>0</v>
      </c>
    </row>
    <row r="507" spans="1:66" x14ac:dyDescent="0.3">
      <c r="A507" s="14">
        <f t="shared" si="139"/>
        <v>117030003</v>
      </c>
      <c r="B507" s="13">
        <v>11</v>
      </c>
      <c r="C507" s="12">
        <f t="shared" si="140"/>
        <v>7</v>
      </c>
      <c r="D507" s="13">
        <v>3</v>
      </c>
      <c r="E507" s="13">
        <v>0</v>
      </c>
      <c r="F507" s="12">
        <f t="shared" si="141"/>
        <v>3</v>
      </c>
      <c r="H507" s="9">
        <v>7</v>
      </c>
      <c r="I507" s="9">
        <v>3</v>
      </c>
      <c r="K507" s="9" t="s">
        <v>374</v>
      </c>
      <c r="L507" s="9">
        <v>1</v>
      </c>
      <c r="M507" s="9">
        <v>15</v>
      </c>
      <c r="R507" s="9">
        <v>4444</v>
      </c>
      <c r="AA507" s="9" t="s">
        <v>409</v>
      </c>
      <c r="AB507" s="9">
        <v>3</v>
      </c>
      <c r="AD507" s="9">
        <v>600</v>
      </c>
      <c r="AF507" s="89">
        <f t="shared" si="136"/>
        <v>240</v>
      </c>
      <c r="AG507" s="9">
        <f t="shared" ref="AG507:AG524" si="143">AF506+AF507</f>
        <v>400</v>
      </c>
      <c r="AI507" s="11">
        <f t="shared" si="135"/>
        <v>15</v>
      </c>
      <c r="AJ507" s="10">
        <v>15</v>
      </c>
      <c r="AK507" s="11">
        <f t="shared" si="142"/>
        <v>15</v>
      </c>
      <c r="AL507" s="10">
        <v>15</v>
      </c>
      <c r="AM507" s="11">
        <f t="shared" si="142"/>
        <v>15</v>
      </c>
      <c r="AN507" s="10">
        <v>15</v>
      </c>
      <c r="AO507" s="56">
        <f t="shared" si="137"/>
        <v>1</v>
      </c>
      <c r="AQ507" s="11">
        <f ca="1">IFERROR(OFFSET(ITEM_RES!$A$1,MATCH(AR507,ITEM_RES!$J:$J,0)-1,0),0)</f>
        <v>212040001</v>
      </c>
      <c r="AR507" s="10" t="s">
        <v>482</v>
      </c>
      <c r="AS507" s="11">
        <v>75</v>
      </c>
      <c r="AV507" s="11">
        <f ca="1">IFERROR(OFFSET(ITEM_RES!$A$1,MATCH(AW507,ITEM_RES!$J:$J,0)-1,0),0)</f>
        <v>0</v>
      </c>
      <c r="BA507" s="11">
        <f ca="1">IFERROR(OFFSET(ITEM_RES!$A$1,MATCH(BB507,ITEM_RES!$J:$J,0)-1,0),0)</f>
        <v>0</v>
      </c>
      <c r="BF507" s="11">
        <f ca="1">IFERROR(OFFSET(ITEM_RES!$A$1,MATCH(BG507,ITEM_RES!$J:$J,0)-1,0),0)</f>
        <v>0</v>
      </c>
      <c r="BK507" s="11">
        <f ca="1">IFERROR(OFFSET(ITEM_RES!$A$1,MATCH(BL507,ITEM_RES!$J:$J,0)-1,0),0)</f>
        <v>0</v>
      </c>
    </row>
    <row r="508" spans="1:66" x14ac:dyDescent="0.3">
      <c r="A508" s="14">
        <f t="shared" si="139"/>
        <v>117030004</v>
      </c>
      <c r="B508" s="13">
        <v>11</v>
      </c>
      <c r="C508" s="12">
        <f t="shared" si="140"/>
        <v>7</v>
      </c>
      <c r="D508" s="13">
        <v>3</v>
      </c>
      <c r="E508" s="13">
        <v>0</v>
      </c>
      <c r="F508" s="12">
        <f t="shared" si="141"/>
        <v>4</v>
      </c>
      <c r="H508" s="9">
        <v>7</v>
      </c>
      <c r="I508" s="9">
        <v>4</v>
      </c>
      <c r="K508" s="9" t="s">
        <v>374</v>
      </c>
      <c r="L508" s="9">
        <v>1</v>
      </c>
      <c r="M508" s="9">
        <v>15</v>
      </c>
      <c r="R508" s="9">
        <v>4444</v>
      </c>
      <c r="AA508" s="9" t="s">
        <v>409</v>
      </c>
      <c r="AB508" s="9">
        <v>4</v>
      </c>
      <c r="AD508" s="9">
        <v>1000</v>
      </c>
      <c r="AF508" s="89">
        <f t="shared" si="136"/>
        <v>400</v>
      </c>
      <c r="AG508" s="9">
        <f t="shared" si="143"/>
        <v>640</v>
      </c>
      <c r="AI508" s="11">
        <f t="shared" si="135"/>
        <v>20</v>
      </c>
      <c r="AJ508" s="10">
        <v>20</v>
      </c>
      <c r="AK508" s="11">
        <f t="shared" si="142"/>
        <v>25</v>
      </c>
      <c r="AL508" s="10">
        <v>25</v>
      </c>
      <c r="AM508" s="11">
        <f t="shared" si="142"/>
        <v>25</v>
      </c>
      <c r="AN508" s="10">
        <v>25</v>
      </c>
      <c r="AO508" s="56">
        <f t="shared" si="137"/>
        <v>1</v>
      </c>
      <c r="AQ508" s="11">
        <f ca="1">IFERROR(OFFSET(ITEM_RES!$A$1,MATCH(AR508,ITEM_RES!$J:$J,0)-1,0),0)</f>
        <v>212040001</v>
      </c>
      <c r="AR508" s="10" t="s">
        <v>482</v>
      </c>
      <c r="AS508" s="11">
        <v>125</v>
      </c>
      <c r="AV508" s="11">
        <f ca="1">IFERROR(OFFSET(ITEM_RES!$A$1,MATCH(AW508,ITEM_RES!$J:$J,0)-1,0),0)</f>
        <v>0</v>
      </c>
      <c r="BA508" s="11">
        <f ca="1">IFERROR(OFFSET(ITEM_RES!$A$1,MATCH(BB508,ITEM_RES!$J:$J,0)-1,0),0)</f>
        <v>0</v>
      </c>
      <c r="BF508" s="11">
        <f ca="1">IFERROR(OFFSET(ITEM_RES!$A$1,MATCH(BG508,ITEM_RES!$J:$J,0)-1,0),0)</f>
        <v>0</v>
      </c>
      <c r="BK508" s="11">
        <f ca="1">IFERROR(OFFSET(ITEM_RES!$A$1,MATCH(BL508,ITEM_RES!$J:$J,0)-1,0),0)</f>
        <v>0</v>
      </c>
    </row>
    <row r="509" spans="1:66" x14ac:dyDescent="0.3">
      <c r="A509" s="14">
        <f t="shared" si="139"/>
        <v>117030005</v>
      </c>
      <c r="B509" s="13">
        <v>11</v>
      </c>
      <c r="C509" s="12">
        <f t="shared" si="140"/>
        <v>7</v>
      </c>
      <c r="D509" s="13">
        <v>3</v>
      </c>
      <c r="E509" s="13">
        <v>0</v>
      </c>
      <c r="F509" s="12">
        <f t="shared" si="141"/>
        <v>5</v>
      </c>
      <c r="H509" s="9">
        <v>7</v>
      </c>
      <c r="I509" s="9">
        <v>5</v>
      </c>
      <c r="K509" s="9" t="s">
        <v>374</v>
      </c>
      <c r="L509" s="9">
        <v>1</v>
      </c>
      <c r="M509" s="9">
        <v>15</v>
      </c>
      <c r="R509" s="9">
        <v>4444</v>
      </c>
      <c r="AA509" s="9" t="s">
        <v>409</v>
      </c>
      <c r="AB509" s="9">
        <v>5</v>
      </c>
      <c r="AD509" s="9">
        <v>1600</v>
      </c>
      <c r="AF509" s="89">
        <f t="shared" si="136"/>
        <v>640</v>
      </c>
      <c r="AG509" s="9">
        <f t="shared" si="143"/>
        <v>1040</v>
      </c>
      <c r="AI509" s="11">
        <f t="shared" si="135"/>
        <v>25</v>
      </c>
      <c r="AJ509" s="10">
        <v>25</v>
      </c>
      <c r="AK509" s="11">
        <f t="shared" si="142"/>
        <v>40</v>
      </c>
      <c r="AL509" s="10">
        <v>40</v>
      </c>
      <c r="AM509" s="11">
        <f t="shared" si="142"/>
        <v>40</v>
      </c>
      <c r="AN509" s="10">
        <v>40</v>
      </c>
      <c r="AO509" s="56">
        <f t="shared" si="137"/>
        <v>1</v>
      </c>
      <c r="AQ509" s="11">
        <f ca="1">IFERROR(OFFSET(ITEM_RES!$A$1,MATCH(AR509,ITEM_RES!$J:$J,0)-1,0),0)</f>
        <v>212040001</v>
      </c>
      <c r="AR509" s="10" t="s">
        <v>482</v>
      </c>
      <c r="AS509" s="11">
        <v>200</v>
      </c>
      <c r="AV509" s="11">
        <f ca="1">IFERROR(OFFSET(ITEM_RES!$A$1,MATCH(AW509,ITEM_RES!$J:$J,0)-1,0),0)</f>
        <v>0</v>
      </c>
      <c r="BA509" s="11">
        <f ca="1">IFERROR(OFFSET(ITEM_RES!$A$1,MATCH(BB509,ITEM_RES!$J:$J,0)-1,0),0)</f>
        <v>0</v>
      </c>
      <c r="BF509" s="11">
        <f ca="1">IFERROR(OFFSET(ITEM_RES!$A$1,MATCH(BG509,ITEM_RES!$J:$J,0)-1,0),0)</f>
        <v>0</v>
      </c>
      <c r="BK509" s="11">
        <f ca="1">IFERROR(OFFSET(ITEM_RES!$A$1,MATCH(BL509,ITEM_RES!$J:$J,0)-1,0),0)</f>
        <v>0</v>
      </c>
    </row>
    <row r="510" spans="1:66" x14ac:dyDescent="0.3">
      <c r="A510" s="14">
        <f t="shared" si="139"/>
        <v>117030006</v>
      </c>
      <c r="B510" s="13">
        <v>11</v>
      </c>
      <c r="C510" s="12">
        <f t="shared" si="140"/>
        <v>7</v>
      </c>
      <c r="D510" s="13">
        <v>3</v>
      </c>
      <c r="E510" s="13">
        <v>0</v>
      </c>
      <c r="F510" s="12">
        <f t="shared" si="141"/>
        <v>6</v>
      </c>
      <c r="H510" s="9">
        <v>7</v>
      </c>
      <c r="I510" s="9">
        <v>6</v>
      </c>
      <c r="K510" s="9" t="s">
        <v>374</v>
      </c>
      <c r="L510" s="9">
        <v>1</v>
      </c>
      <c r="M510" s="9">
        <v>15</v>
      </c>
      <c r="R510" s="9">
        <v>4444</v>
      </c>
      <c r="AA510" s="9" t="s">
        <v>409</v>
      </c>
      <c r="AB510" s="9">
        <v>6</v>
      </c>
      <c r="AD510" s="9">
        <v>2000</v>
      </c>
      <c r="AF510" s="89">
        <f t="shared" si="136"/>
        <v>800</v>
      </c>
      <c r="AG510" s="9">
        <f t="shared" si="143"/>
        <v>1440</v>
      </c>
      <c r="AI510" s="11">
        <f t="shared" si="135"/>
        <v>30</v>
      </c>
      <c r="AJ510" s="10">
        <v>30</v>
      </c>
      <c r="AK510" s="11">
        <f t="shared" si="142"/>
        <v>50</v>
      </c>
      <c r="AL510" s="10">
        <v>50</v>
      </c>
      <c r="AM510" s="11">
        <f t="shared" si="142"/>
        <v>50</v>
      </c>
      <c r="AN510" s="10">
        <v>50</v>
      </c>
      <c r="AO510" s="56">
        <f t="shared" si="137"/>
        <v>1</v>
      </c>
      <c r="AQ510" s="11">
        <f ca="1">IFERROR(OFFSET(ITEM_RES!$A$1,MATCH(AR510,ITEM_RES!$J:$J,0)-1,0),0)</f>
        <v>212040001</v>
      </c>
      <c r="AR510" s="10" t="s">
        <v>482</v>
      </c>
      <c r="AS510" s="11">
        <v>250</v>
      </c>
      <c r="AV510" s="11">
        <f ca="1">IFERROR(OFFSET(ITEM_RES!$A$1,MATCH(AW510,ITEM_RES!$J:$J,0)-1,0),0)</f>
        <v>0</v>
      </c>
      <c r="BA510" s="11">
        <f ca="1">IFERROR(OFFSET(ITEM_RES!$A$1,MATCH(BB510,ITEM_RES!$J:$J,0)-1,0),0)</f>
        <v>0</v>
      </c>
      <c r="BF510" s="11">
        <f ca="1">IFERROR(OFFSET(ITEM_RES!$A$1,MATCH(BG510,ITEM_RES!$J:$J,0)-1,0),0)</f>
        <v>0</v>
      </c>
      <c r="BK510" s="11">
        <f ca="1">IFERROR(OFFSET(ITEM_RES!$A$1,MATCH(BL510,ITEM_RES!$J:$J,0)-1,0),0)</f>
        <v>0</v>
      </c>
    </row>
    <row r="511" spans="1:66" x14ac:dyDescent="0.3">
      <c r="A511" s="14">
        <f t="shared" si="139"/>
        <v>117030007</v>
      </c>
      <c r="B511" s="13">
        <v>11</v>
      </c>
      <c r="C511" s="12">
        <f t="shared" si="140"/>
        <v>7</v>
      </c>
      <c r="D511" s="13">
        <v>3</v>
      </c>
      <c r="E511" s="13">
        <v>0</v>
      </c>
      <c r="F511" s="12">
        <f t="shared" si="141"/>
        <v>7</v>
      </c>
      <c r="H511" s="9">
        <v>7</v>
      </c>
      <c r="I511" s="9">
        <v>7</v>
      </c>
      <c r="K511" s="9" t="s">
        <v>374</v>
      </c>
      <c r="L511" s="9">
        <v>1</v>
      </c>
      <c r="M511" s="9">
        <v>15</v>
      </c>
      <c r="R511" s="9">
        <v>4444</v>
      </c>
      <c r="AA511" s="9" t="s">
        <v>409</v>
      </c>
      <c r="AB511" s="9">
        <v>7</v>
      </c>
      <c r="AD511" s="9">
        <v>4000</v>
      </c>
      <c r="AF511" s="89">
        <f t="shared" si="136"/>
        <v>1600</v>
      </c>
      <c r="AG511" s="9">
        <f t="shared" si="143"/>
        <v>2400</v>
      </c>
      <c r="AI511" s="11">
        <f t="shared" si="135"/>
        <v>35</v>
      </c>
      <c r="AJ511" s="10">
        <v>35</v>
      </c>
      <c r="AK511" s="11">
        <f t="shared" si="142"/>
        <v>100</v>
      </c>
      <c r="AL511" s="10">
        <v>100</v>
      </c>
      <c r="AM511" s="11">
        <f t="shared" si="142"/>
        <v>100</v>
      </c>
      <c r="AN511" s="10">
        <v>100</v>
      </c>
      <c r="AO511" s="56">
        <f t="shared" si="137"/>
        <v>1</v>
      </c>
      <c r="AQ511" s="11">
        <f ca="1">IFERROR(OFFSET(ITEM_RES!$A$1,MATCH(AR511,ITEM_RES!$J:$J,0)-1,0),0)</f>
        <v>212040001</v>
      </c>
      <c r="AR511" s="10" t="s">
        <v>482</v>
      </c>
      <c r="AS511" s="11">
        <v>500</v>
      </c>
      <c r="AV511" s="11">
        <f ca="1">IFERROR(OFFSET(ITEM_RES!$A$1,MATCH(AW511,ITEM_RES!$J:$J,0)-1,0),0)</f>
        <v>0</v>
      </c>
      <c r="BA511" s="11">
        <f ca="1">IFERROR(OFFSET(ITEM_RES!$A$1,MATCH(BB511,ITEM_RES!$J:$J,0)-1,0),0)</f>
        <v>0</v>
      </c>
      <c r="BF511" s="11">
        <f ca="1">IFERROR(OFFSET(ITEM_RES!$A$1,MATCH(BG511,ITEM_RES!$J:$J,0)-1,0),0)</f>
        <v>0</v>
      </c>
      <c r="BK511" s="11">
        <f ca="1">IFERROR(OFFSET(ITEM_RES!$A$1,MATCH(BL511,ITEM_RES!$J:$J,0)-1,0),0)</f>
        <v>0</v>
      </c>
    </row>
    <row r="512" spans="1:66" x14ac:dyDescent="0.3">
      <c r="A512" s="14">
        <f t="shared" si="139"/>
        <v>117030008</v>
      </c>
      <c r="B512" s="13">
        <v>11</v>
      </c>
      <c r="C512" s="12">
        <f t="shared" si="140"/>
        <v>7</v>
      </c>
      <c r="D512" s="13">
        <v>3</v>
      </c>
      <c r="E512" s="13">
        <v>0</v>
      </c>
      <c r="F512" s="12">
        <f t="shared" si="141"/>
        <v>8</v>
      </c>
      <c r="H512" s="9">
        <v>7</v>
      </c>
      <c r="I512" s="9">
        <v>8</v>
      </c>
      <c r="K512" s="9" t="s">
        <v>374</v>
      </c>
      <c r="L512" s="9">
        <v>1</v>
      </c>
      <c r="M512" s="9">
        <v>15</v>
      </c>
      <c r="R512" s="9">
        <v>4444</v>
      </c>
      <c r="AA512" s="9" t="s">
        <v>409</v>
      </c>
      <c r="AB512" s="9">
        <v>8</v>
      </c>
      <c r="AD512" s="9">
        <v>4000</v>
      </c>
      <c r="AF512" s="89">
        <f t="shared" si="136"/>
        <v>2100</v>
      </c>
      <c r="AG512" s="9">
        <f t="shared" si="143"/>
        <v>3700</v>
      </c>
      <c r="AI512" s="11">
        <f t="shared" si="135"/>
        <v>40</v>
      </c>
      <c r="AJ512" s="10">
        <v>40</v>
      </c>
      <c r="AK512" s="11">
        <f t="shared" si="142"/>
        <v>100</v>
      </c>
      <c r="AL512" s="10">
        <v>100</v>
      </c>
      <c r="AM512" s="11">
        <f t="shared" si="142"/>
        <v>100</v>
      </c>
      <c r="AN512" s="10">
        <v>100</v>
      </c>
      <c r="AO512" s="56">
        <f t="shared" si="137"/>
        <v>2</v>
      </c>
      <c r="AQ512" s="11">
        <f ca="1">IFERROR(OFFSET(ITEM_RES!$A$1,MATCH(AR512,ITEM_RES!$J:$J,0)-1,0),0)</f>
        <v>212040001</v>
      </c>
      <c r="AR512" s="10" t="s">
        <v>482</v>
      </c>
      <c r="AS512" s="11">
        <v>500</v>
      </c>
      <c r="AV512" s="11">
        <f ca="1">IFERROR(OFFSET(ITEM_RES!$A$1,MATCH(AW512,ITEM_RES!$J:$J,0)-1,0),0)</f>
        <v>0</v>
      </c>
      <c r="BA512" s="11">
        <f ca="1">IFERROR(OFFSET(ITEM_RES!$A$1,MATCH(BB512,ITEM_RES!$J:$J,0)-1,0),0)</f>
        <v>0</v>
      </c>
      <c r="BF512" s="11">
        <f ca="1">IFERROR(OFFSET(ITEM_RES!$A$1,MATCH(BG512,ITEM_RES!$J:$J,0)-1,0),0)</f>
        <v>213170001</v>
      </c>
      <c r="BG512" s="10" t="s">
        <v>536</v>
      </c>
      <c r="BH512" s="11">
        <v>1</v>
      </c>
      <c r="BK512" s="11">
        <f ca="1">IFERROR(OFFSET(ITEM_RES!$A$1,MATCH(BL512,ITEM_RES!$J:$J,0)-1,0),0)</f>
        <v>0</v>
      </c>
    </row>
    <row r="513" spans="1:66" x14ac:dyDescent="0.3">
      <c r="A513" s="14">
        <f t="shared" si="139"/>
        <v>117030009</v>
      </c>
      <c r="B513" s="13">
        <v>11</v>
      </c>
      <c r="C513" s="12">
        <f t="shared" si="140"/>
        <v>7</v>
      </c>
      <c r="D513" s="13">
        <v>3</v>
      </c>
      <c r="E513" s="13">
        <v>0</v>
      </c>
      <c r="F513" s="12">
        <f t="shared" si="141"/>
        <v>9</v>
      </c>
      <c r="H513" s="9">
        <v>7</v>
      </c>
      <c r="I513" s="9">
        <v>9</v>
      </c>
      <c r="K513" s="9" t="s">
        <v>374</v>
      </c>
      <c r="L513" s="9">
        <v>1</v>
      </c>
      <c r="M513" s="9">
        <v>15</v>
      </c>
      <c r="R513" s="9">
        <v>4444</v>
      </c>
      <c r="AA513" s="9" t="s">
        <v>409</v>
      </c>
      <c r="AB513" s="9">
        <v>9</v>
      </c>
      <c r="AD513" s="9">
        <v>6000</v>
      </c>
      <c r="AF513" s="89">
        <f t="shared" si="136"/>
        <v>2400</v>
      </c>
      <c r="AG513" s="9">
        <f t="shared" si="143"/>
        <v>4500</v>
      </c>
      <c r="AI513" s="11">
        <f t="shared" si="135"/>
        <v>45</v>
      </c>
      <c r="AJ513" s="10">
        <v>45</v>
      </c>
      <c r="AK513" s="11">
        <f t="shared" si="142"/>
        <v>150</v>
      </c>
      <c r="AL513" s="10">
        <v>150</v>
      </c>
      <c r="AM513" s="11">
        <f t="shared" si="142"/>
        <v>150</v>
      </c>
      <c r="AN513" s="10">
        <v>150</v>
      </c>
      <c r="AO513" s="56">
        <f t="shared" si="137"/>
        <v>1</v>
      </c>
      <c r="AQ513" s="11">
        <f ca="1">IFERROR(OFFSET(ITEM_RES!$A$1,MATCH(AR513,ITEM_RES!$J:$J,0)-1,0),0)</f>
        <v>212040001</v>
      </c>
      <c r="AR513" s="10" t="s">
        <v>482</v>
      </c>
      <c r="AS513" s="11">
        <v>750</v>
      </c>
      <c r="AV513" s="11">
        <f ca="1">IFERROR(OFFSET(ITEM_RES!$A$1,MATCH(AW513,ITEM_RES!$J:$J,0)-1,0),0)</f>
        <v>0</v>
      </c>
      <c r="BA513" s="11">
        <f ca="1">IFERROR(OFFSET(ITEM_RES!$A$1,MATCH(BB513,ITEM_RES!$J:$J,0)-1,0),0)</f>
        <v>0</v>
      </c>
      <c r="BF513" s="11">
        <f ca="1">IFERROR(OFFSET(ITEM_RES!$A$1,MATCH(BG513,ITEM_RES!$J:$J,0)-1,0),0)</f>
        <v>0</v>
      </c>
      <c r="BK513" s="11">
        <f ca="1">IFERROR(OFFSET(ITEM_RES!$A$1,MATCH(BL513,ITEM_RES!$J:$J,0)-1,0),0)</f>
        <v>0</v>
      </c>
    </row>
    <row r="514" spans="1:66" x14ac:dyDescent="0.3">
      <c r="A514" s="14">
        <f t="shared" si="139"/>
        <v>117030010</v>
      </c>
      <c r="B514" s="13">
        <v>11</v>
      </c>
      <c r="C514" s="12">
        <f t="shared" si="140"/>
        <v>7</v>
      </c>
      <c r="D514" s="13">
        <v>3</v>
      </c>
      <c r="E514" s="13">
        <v>0</v>
      </c>
      <c r="F514" s="12">
        <f t="shared" si="141"/>
        <v>10</v>
      </c>
      <c r="H514" s="9">
        <v>7</v>
      </c>
      <c r="I514" s="9">
        <v>10</v>
      </c>
      <c r="K514" s="9" t="s">
        <v>374</v>
      </c>
      <c r="L514" s="9">
        <v>1</v>
      </c>
      <c r="M514" s="9">
        <v>15</v>
      </c>
      <c r="R514" s="9">
        <v>4444</v>
      </c>
      <c r="AA514" s="9" t="s">
        <v>409</v>
      </c>
      <c r="AB514" s="9">
        <v>10</v>
      </c>
      <c r="AD514" s="9">
        <v>8000</v>
      </c>
      <c r="AF514" s="89">
        <f t="shared" si="136"/>
        <v>3200</v>
      </c>
      <c r="AG514" s="9">
        <f t="shared" si="143"/>
        <v>5600</v>
      </c>
      <c r="AI514" s="11">
        <f t="shared" si="135"/>
        <v>50</v>
      </c>
      <c r="AJ514" s="10">
        <v>50</v>
      </c>
      <c r="AK514" s="11">
        <f t="shared" si="142"/>
        <v>200</v>
      </c>
      <c r="AL514" s="10">
        <v>200</v>
      </c>
      <c r="AM514" s="11">
        <f t="shared" si="142"/>
        <v>200</v>
      </c>
      <c r="AN514" s="10">
        <v>200</v>
      </c>
      <c r="AO514" s="56">
        <f t="shared" si="137"/>
        <v>1</v>
      </c>
      <c r="AQ514" s="11">
        <f ca="1">IFERROR(OFFSET(ITEM_RES!$A$1,MATCH(AR514,ITEM_RES!$J:$J,0)-1,0),0)</f>
        <v>212040001</v>
      </c>
      <c r="AR514" s="10" t="s">
        <v>482</v>
      </c>
      <c r="AS514" s="11">
        <v>1000</v>
      </c>
      <c r="AV514" s="11">
        <f ca="1">IFERROR(OFFSET(ITEM_RES!$A$1,MATCH(AW514,ITEM_RES!$J:$J,0)-1,0),0)</f>
        <v>0</v>
      </c>
      <c r="BA514" s="11">
        <f ca="1">IFERROR(OFFSET(ITEM_RES!$A$1,MATCH(BB514,ITEM_RES!$J:$J,0)-1,0),0)</f>
        <v>0</v>
      </c>
      <c r="BF514" s="11">
        <f ca="1">IFERROR(OFFSET(ITEM_RES!$A$1,MATCH(BG514,ITEM_RES!$J:$J,0)-1,0),0)</f>
        <v>0</v>
      </c>
      <c r="BK514" s="11">
        <f ca="1">IFERROR(OFFSET(ITEM_RES!$A$1,MATCH(BL514,ITEM_RES!$J:$J,0)-1,0),0)</f>
        <v>0</v>
      </c>
    </row>
    <row r="515" spans="1:66" x14ac:dyDescent="0.3">
      <c r="A515" s="14">
        <f t="shared" si="139"/>
        <v>117030011</v>
      </c>
      <c r="B515" s="13">
        <v>11</v>
      </c>
      <c r="C515" s="12">
        <f t="shared" si="140"/>
        <v>7</v>
      </c>
      <c r="D515" s="13">
        <v>3</v>
      </c>
      <c r="E515" s="13">
        <v>0</v>
      </c>
      <c r="F515" s="12">
        <f t="shared" si="141"/>
        <v>11</v>
      </c>
      <c r="H515" s="9">
        <v>7</v>
      </c>
      <c r="I515" s="9">
        <v>11</v>
      </c>
      <c r="K515" s="9" t="s">
        <v>374</v>
      </c>
      <c r="L515" s="9">
        <v>1</v>
      </c>
      <c r="M515" s="9">
        <v>15</v>
      </c>
      <c r="R515" s="9">
        <v>4444</v>
      </c>
      <c r="AA515" s="9" t="s">
        <v>409</v>
      </c>
      <c r="AB515" s="9">
        <v>11</v>
      </c>
      <c r="AD515" s="9">
        <v>10000</v>
      </c>
      <c r="AF515" s="89">
        <f t="shared" si="136"/>
        <v>4000</v>
      </c>
      <c r="AG515" s="9">
        <f t="shared" si="143"/>
        <v>7200</v>
      </c>
      <c r="AI515" s="11">
        <f t="shared" si="135"/>
        <v>55</v>
      </c>
      <c r="AJ515" s="10">
        <v>55</v>
      </c>
      <c r="AK515" s="11">
        <f t="shared" si="142"/>
        <v>250</v>
      </c>
      <c r="AL515" s="10">
        <v>250</v>
      </c>
      <c r="AM515" s="11">
        <f t="shared" si="142"/>
        <v>250</v>
      </c>
      <c r="AN515" s="10">
        <v>250</v>
      </c>
      <c r="AO515" s="56">
        <f t="shared" si="137"/>
        <v>1</v>
      </c>
      <c r="AQ515" s="11">
        <f ca="1">IFERROR(OFFSET(ITEM_RES!$A$1,MATCH(AR515,ITEM_RES!$J:$J,0)-1,0),0)</f>
        <v>212040001</v>
      </c>
      <c r="AR515" s="10" t="s">
        <v>482</v>
      </c>
      <c r="AS515" s="11">
        <v>1250</v>
      </c>
      <c r="AV515" s="11">
        <f ca="1">IFERROR(OFFSET(ITEM_RES!$A$1,MATCH(AW515,ITEM_RES!$J:$J,0)-1,0),0)</f>
        <v>0</v>
      </c>
      <c r="BA515" s="11">
        <f ca="1">IFERROR(OFFSET(ITEM_RES!$A$1,MATCH(BB515,ITEM_RES!$J:$J,0)-1,0),0)</f>
        <v>0</v>
      </c>
      <c r="BF515" s="11">
        <f ca="1">IFERROR(OFFSET(ITEM_RES!$A$1,MATCH(BG515,ITEM_RES!$J:$J,0)-1,0),0)</f>
        <v>0</v>
      </c>
      <c r="BK515" s="11">
        <f ca="1">IFERROR(OFFSET(ITEM_RES!$A$1,MATCH(BL515,ITEM_RES!$J:$J,0)-1,0),0)</f>
        <v>0</v>
      </c>
    </row>
    <row r="516" spans="1:66" x14ac:dyDescent="0.3">
      <c r="A516" s="14">
        <f t="shared" si="139"/>
        <v>117030012</v>
      </c>
      <c r="B516" s="13">
        <v>11</v>
      </c>
      <c r="C516" s="12">
        <f t="shared" si="140"/>
        <v>7</v>
      </c>
      <c r="D516" s="13">
        <v>3</v>
      </c>
      <c r="E516" s="13">
        <v>0</v>
      </c>
      <c r="F516" s="12">
        <f t="shared" si="141"/>
        <v>12</v>
      </c>
      <c r="H516" s="9">
        <v>7</v>
      </c>
      <c r="I516" s="9">
        <v>12</v>
      </c>
      <c r="K516" s="9" t="s">
        <v>374</v>
      </c>
      <c r="L516" s="9">
        <v>1</v>
      </c>
      <c r="M516" s="9">
        <v>15</v>
      </c>
      <c r="R516" s="9">
        <v>4444</v>
      </c>
      <c r="AA516" s="9" t="s">
        <v>409</v>
      </c>
      <c r="AB516" s="9">
        <v>12</v>
      </c>
      <c r="AD516" s="9">
        <v>12000</v>
      </c>
      <c r="AF516" s="89">
        <f t="shared" si="136"/>
        <v>4800</v>
      </c>
      <c r="AG516" s="9">
        <f t="shared" si="143"/>
        <v>8800</v>
      </c>
      <c r="AI516" s="11">
        <f t="shared" si="135"/>
        <v>60</v>
      </c>
      <c r="AJ516" s="10">
        <v>60</v>
      </c>
      <c r="AK516" s="11">
        <f t="shared" si="142"/>
        <v>300</v>
      </c>
      <c r="AL516" s="10">
        <v>300</v>
      </c>
      <c r="AM516" s="11">
        <f t="shared" si="142"/>
        <v>300</v>
      </c>
      <c r="AN516" s="10">
        <v>300</v>
      </c>
      <c r="AO516" s="56">
        <f t="shared" si="137"/>
        <v>1</v>
      </c>
      <c r="AQ516" s="11">
        <f ca="1">IFERROR(OFFSET(ITEM_RES!$A$1,MATCH(AR516,ITEM_RES!$J:$J,0)-1,0),0)</f>
        <v>212040001</v>
      </c>
      <c r="AR516" s="10" t="s">
        <v>482</v>
      </c>
      <c r="AS516" s="11">
        <v>1500</v>
      </c>
      <c r="AV516" s="11">
        <f ca="1">IFERROR(OFFSET(ITEM_RES!$A$1,MATCH(AW516,ITEM_RES!$J:$J,0)-1,0),0)</f>
        <v>0</v>
      </c>
      <c r="BA516" s="11">
        <f ca="1">IFERROR(OFFSET(ITEM_RES!$A$1,MATCH(BB516,ITEM_RES!$J:$J,0)-1,0),0)</f>
        <v>0</v>
      </c>
      <c r="BF516" s="11">
        <f ca="1">IFERROR(OFFSET(ITEM_RES!$A$1,MATCH(BG516,ITEM_RES!$J:$J,0)-1,0),0)</f>
        <v>0</v>
      </c>
      <c r="BK516" s="11">
        <f ca="1">IFERROR(OFFSET(ITEM_RES!$A$1,MATCH(BL516,ITEM_RES!$J:$J,0)-1,0),0)</f>
        <v>0</v>
      </c>
    </row>
    <row r="517" spans="1:66" x14ac:dyDescent="0.3">
      <c r="A517" s="14">
        <f t="shared" si="139"/>
        <v>117030013</v>
      </c>
      <c r="B517" s="13">
        <v>11</v>
      </c>
      <c r="C517" s="12">
        <f t="shared" si="140"/>
        <v>7</v>
      </c>
      <c r="D517" s="13">
        <v>3</v>
      </c>
      <c r="E517" s="13">
        <v>0</v>
      </c>
      <c r="F517" s="12">
        <f t="shared" si="141"/>
        <v>13</v>
      </c>
      <c r="H517" s="9">
        <v>7</v>
      </c>
      <c r="I517" s="9">
        <v>13</v>
      </c>
      <c r="K517" s="9" t="s">
        <v>374</v>
      </c>
      <c r="L517" s="9">
        <v>1</v>
      </c>
      <c r="M517" s="9">
        <v>15</v>
      </c>
      <c r="R517" s="9">
        <v>4444</v>
      </c>
      <c r="AA517" s="9" t="s">
        <v>409</v>
      </c>
      <c r="AB517" s="9">
        <v>13</v>
      </c>
      <c r="AD517" s="9">
        <v>14000</v>
      </c>
      <c r="AF517" s="89">
        <f t="shared" si="136"/>
        <v>5600</v>
      </c>
      <c r="AG517" s="9">
        <f t="shared" si="143"/>
        <v>10400</v>
      </c>
      <c r="AI517" s="11">
        <f t="shared" si="135"/>
        <v>65</v>
      </c>
      <c r="AJ517" s="10">
        <v>65</v>
      </c>
      <c r="AK517" s="11">
        <f t="shared" si="142"/>
        <v>350</v>
      </c>
      <c r="AL517" s="10">
        <v>350</v>
      </c>
      <c r="AM517" s="11">
        <f t="shared" si="142"/>
        <v>350</v>
      </c>
      <c r="AN517" s="10">
        <v>350</v>
      </c>
      <c r="AO517" s="56">
        <f t="shared" si="137"/>
        <v>1</v>
      </c>
      <c r="AQ517" s="11">
        <f ca="1">IFERROR(OFFSET(ITEM_RES!$A$1,MATCH(AR517,ITEM_RES!$J:$J,0)-1,0),0)</f>
        <v>212040001</v>
      </c>
      <c r="AR517" s="10" t="s">
        <v>482</v>
      </c>
      <c r="AS517" s="11">
        <v>1750</v>
      </c>
      <c r="AV517" s="11">
        <f ca="1">IFERROR(OFFSET(ITEM_RES!$A$1,MATCH(AW517,ITEM_RES!$J:$J,0)-1,0),0)</f>
        <v>0</v>
      </c>
      <c r="BA517" s="11">
        <f ca="1">IFERROR(OFFSET(ITEM_RES!$A$1,MATCH(BB517,ITEM_RES!$J:$J,0)-1,0),0)</f>
        <v>0</v>
      </c>
      <c r="BF517" s="11">
        <f ca="1">IFERROR(OFFSET(ITEM_RES!$A$1,MATCH(BG517,ITEM_RES!$J:$J,0)-1,0),0)</f>
        <v>0</v>
      </c>
      <c r="BK517" s="11">
        <f ca="1">IFERROR(OFFSET(ITEM_RES!$A$1,MATCH(BL517,ITEM_RES!$J:$J,0)-1,0),0)</f>
        <v>0</v>
      </c>
    </row>
    <row r="518" spans="1:66" x14ac:dyDescent="0.3">
      <c r="A518" s="14">
        <f t="shared" si="139"/>
        <v>117030014</v>
      </c>
      <c r="B518" s="13">
        <v>11</v>
      </c>
      <c r="C518" s="12">
        <f t="shared" si="140"/>
        <v>7</v>
      </c>
      <c r="D518" s="13">
        <v>3</v>
      </c>
      <c r="E518" s="13">
        <v>0</v>
      </c>
      <c r="F518" s="12">
        <f t="shared" si="141"/>
        <v>14</v>
      </c>
      <c r="H518" s="9">
        <v>7</v>
      </c>
      <c r="I518" s="9">
        <v>14</v>
      </c>
      <c r="K518" s="9" t="s">
        <v>374</v>
      </c>
      <c r="L518" s="9">
        <v>1</v>
      </c>
      <c r="M518" s="9">
        <v>15</v>
      </c>
      <c r="R518" s="9">
        <v>4444</v>
      </c>
      <c r="AA518" s="9" t="s">
        <v>409</v>
      </c>
      <c r="AB518" s="9">
        <v>14</v>
      </c>
      <c r="AD518" s="9">
        <v>18000</v>
      </c>
      <c r="AF518" s="89">
        <f t="shared" si="136"/>
        <v>7200</v>
      </c>
      <c r="AG518" s="9">
        <f t="shared" si="143"/>
        <v>12800</v>
      </c>
      <c r="AI518" s="11">
        <f t="shared" si="135"/>
        <v>70</v>
      </c>
      <c r="AJ518" s="10">
        <v>70</v>
      </c>
      <c r="AK518" s="11">
        <f t="shared" si="142"/>
        <v>450</v>
      </c>
      <c r="AL518" s="10">
        <v>450</v>
      </c>
      <c r="AM518" s="11">
        <f t="shared" si="142"/>
        <v>450</v>
      </c>
      <c r="AN518" s="10">
        <v>450</v>
      </c>
      <c r="AO518" s="56">
        <f t="shared" si="137"/>
        <v>1</v>
      </c>
      <c r="AQ518" s="11">
        <f ca="1">IFERROR(OFFSET(ITEM_RES!$A$1,MATCH(AR518,ITEM_RES!$J:$J,0)-1,0),0)</f>
        <v>215050001</v>
      </c>
      <c r="AR518" s="10" t="s">
        <v>497</v>
      </c>
      <c r="AS518" s="11">
        <v>2250</v>
      </c>
      <c r="AV518" s="11">
        <f ca="1">IFERROR(OFFSET(ITEM_RES!$A$1,MATCH(AW518,ITEM_RES!$J:$J,0)-1,0),0)</f>
        <v>0</v>
      </c>
      <c r="BA518" s="11">
        <f ca="1">IFERROR(OFFSET(ITEM_RES!$A$1,MATCH(BB518,ITEM_RES!$J:$J,0)-1,0),0)</f>
        <v>0</v>
      </c>
      <c r="BF518" s="11">
        <f ca="1">IFERROR(OFFSET(ITEM_RES!$A$1,MATCH(BG518,ITEM_RES!$J:$J,0)-1,0),0)</f>
        <v>0</v>
      </c>
      <c r="BK518" s="11">
        <f ca="1">IFERROR(OFFSET(ITEM_RES!$A$1,MATCH(BL518,ITEM_RES!$J:$J,0)-1,0),0)</f>
        <v>0</v>
      </c>
    </row>
    <row r="519" spans="1:66" x14ac:dyDescent="0.3">
      <c r="A519" s="14">
        <f t="shared" si="139"/>
        <v>117030015</v>
      </c>
      <c r="B519" s="13">
        <v>11</v>
      </c>
      <c r="C519" s="12">
        <f t="shared" si="140"/>
        <v>7</v>
      </c>
      <c r="D519" s="13">
        <v>3</v>
      </c>
      <c r="E519" s="13">
        <v>0</v>
      </c>
      <c r="F519" s="12">
        <f t="shared" si="141"/>
        <v>15</v>
      </c>
      <c r="H519" s="9">
        <v>7</v>
      </c>
      <c r="I519" s="9">
        <v>15</v>
      </c>
      <c r="K519" s="9" t="s">
        <v>374</v>
      </c>
      <c r="L519" s="9">
        <v>1</v>
      </c>
      <c r="M519" s="9">
        <v>15</v>
      </c>
      <c r="R519" s="9">
        <v>4444</v>
      </c>
      <c r="AA519" s="9" t="s">
        <v>409</v>
      </c>
      <c r="AB519" s="9">
        <v>15</v>
      </c>
      <c r="AD519" s="9">
        <v>22000</v>
      </c>
      <c r="AF519" s="89">
        <f t="shared" si="136"/>
        <v>8800</v>
      </c>
      <c r="AG519" s="9">
        <f t="shared" si="143"/>
        <v>16000</v>
      </c>
      <c r="AI519" s="11">
        <f t="shared" si="135"/>
        <v>75</v>
      </c>
      <c r="AJ519" s="10">
        <v>75</v>
      </c>
      <c r="AK519" s="11">
        <f t="shared" si="142"/>
        <v>550</v>
      </c>
      <c r="AL519" s="10">
        <v>550</v>
      </c>
      <c r="AM519" s="11">
        <f t="shared" si="142"/>
        <v>550</v>
      </c>
      <c r="AN519" s="10">
        <v>550</v>
      </c>
      <c r="AO519" s="56">
        <f t="shared" si="137"/>
        <v>1</v>
      </c>
      <c r="AQ519" s="11">
        <f ca="1">IFERROR(OFFSET(ITEM_RES!$A$1,MATCH(AR519,ITEM_RES!$J:$J,0)-1,0),0)</f>
        <v>215050001</v>
      </c>
      <c r="AR519" s="10" t="s">
        <v>497</v>
      </c>
      <c r="AS519" s="11">
        <v>2750</v>
      </c>
      <c r="AV519" s="11">
        <f ca="1">IFERROR(OFFSET(ITEM_RES!$A$1,MATCH(AW519,ITEM_RES!$J:$J,0)-1,0),0)</f>
        <v>0</v>
      </c>
      <c r="BA519" s="11">
        <f ca="1">IFERROR(OFFSET(ITEM_RES!$A$1,MATCH(BB519,ITEM_RES!$J:$J,0)-1,0),0)</f>
        <v>0</v>
      </c>
      <c r="BF519" s="11">
        <f ca="1">IFERROR(OFFSET(ITEM_RES!$A$1,MATCH(BG519,ITEM_RES!$J:$J,0)-1,0),0)</f>
        <v>0</v>
      </c>
      <c r="BK519" s="11">
        <f ca="1">IFERROR(OFFSET(ITEM_RES!$A$1,MATCH(BL519,ITEM_RES!$J:$J,0)-1,0),0)</f>
        <v>0</v>
      </c>
    </row>
    <row r="520" spans="1:66" x14ac:dyDescent="0.3">
      <c r="A520" s="14">
        <f t="shared" si="139"/>
        <v>117030016</v>
      </c>
      <c r="B520" s="13">
        <v>11</v>
      </c>
      <c r="C520" s="12">
        <f t="shared" si="140"/>
        <v>7</v>
      </c>
      <c r="D520" s="13">
        <v>3</v>
      </c>
      <c r="E520" s="13">
        <v>0</v>
      </c>
      <c r="F520" s="12">
        <f t="shared" si="141"/>
        <v>16</v>
      </c>
      <c r="H520" s="9">
        <v>7</v>
      </c>
      <c r="I520" s="9">
        <v>16</v>
      </c>
      <c r="K520" s="9" t="s">
        <v>374</v>
      </c>
      <c r="L520" s="9">
        <v>0</v>
      </c>
      <c r="M520" s="9">
        <v>15</v>
      </c>
      <c r="R520" s="9">
        <v>4444</v>
      </c>
      <c r="AA520" s="9" t="s">
        <v>409</v>
      </c>
      <c r="AB520" s="9">
        <v>16</v>
      </c>
      <c r="AD520" s="9">
        <v>28000</v>
      </c>
      <c r="AF520" s="89">
        <f t="shared" si="136"/>
        <v>11200</v>
      </c>
      <c r="AG520" s="9">
        <f t="shared" si="143"/>
        <v>20000</v>
      </c>
      <c r="AI520" s="11">
        <f t="shared" si="135"/>
        <v>80</v>
      </c>
      <c r="AJ520" s="10">
        <v>80</v>
      </c>
      <c r="AK520" s="11">
        <f t="shared" si="142"/>
        <v>700</v>
      </c>
      <c r="AL520" s="10">
        <v>700</v>
      </c>
      <c r="AM520" s="11">
        <f t="shared" si="142"/>
        <v>700</v>
      </c>
      <c r="AN520" s="10">
        <v>700</v>
      </c>
      <c r="AO520" s="56">
        <f t="shared" si="137"/>
        <v>1</v>
      </c>
      <c r="AQ520" s="11">
        <f ca="1">IFERROR(OFFSET(ITEM_RES!$A$1,MATCH(AR520,ITEM_RES!$J:$J,0)-1,0),0)</f>
        <v>215050001</v>
      </c>
      <c r="AR520" s="10" t="s">
        <v>497</v>
      </c>
      <c r="AS520" s="11">
        <v>3500</v>
      </c>
      <c r="AV520" s="11">
        <f ca="1">IFERROR(OFFSET(ITEM_RES!$A$1,MATCH(AW520,ITEM_RES!$J:$J,0)-1,0),0)</f>
        <v>0</v>
      </c>
      <c r="BA520" s="11">
        <f ca="1">IFERROR(OFFSET(ITEM_RES!$A$1,MATCH(BB520,ITEM_RES!$J:$J,0)-1,0),0)</f>
        <v>0</v>
      </c>
      <c r="BF520" s="11">
        <f ca="1">IFERROR(OFFSET(ITEM_RES!$A$1,MATCH(BG520,ITEM_RES!$J:$J,0)-1,0),0)</f>
        <v>0</v>
      </c>
      <c r="BK520" s="11">
        <f ca="1">IFERROR(OFFSET(ITEM_RES!$A$1,MATCH(BL520,ITEM_RES!$J:$J,0)-1,0),0)</f>
        <v>0</v>
      </c>
    </row>
    <row r="521" spans="1:66" x14ac:dyDescent="0.3">
      <c r="A521" s="14">
        <f t="shared" si="139"/>
        <v>117030017</v>
      </c>
      <c r="B521" s="13">
        <v>11</v>
      </c>
      <c r="C521" s="12">
        <f t="shared" si="140"/>
        <v>7</v>
      </c>
      <c r="D521" s="13">
        <v>3</v>
      </c>
      <c r="E521" s="13">
        <v>0</v>
      </c>
      <c r="F521" s="12">
        <f t="shared" si="141"/>
        <v>17</v>
      </c>
      <c r="H521" s="9">
        <v>7</v>
      </c>
      <c r="I521" s="9">
        <v>17</v>
      </c>
      <c r="K521" s="9" t="s">
        <v>374</v>
      </c>
      <c r="L521" s="9">
        <v>0</v>
      </c>
      <c r="M521" s="9">
        <v>15</v>
      </c>
      <c r="R521" s="9">
        <v>4444</v>
      </c>
      <c r="AA521" s="9" t="s">
        <v>409</v>
      </c>
      <c r="AB521" s="9">
        <v>17</v>
      </c>
      <c r="AD521" s="9">
        <v>34000</v>
      </c>
      <c r="AF521" s="89">
        <f t="shared" si="136"/>
        <v>13600</v>
      </c>
      <c r="AG521" s="9">
        <f t="shared" si="143"/>
        <v>24800</v>
      </c>
      <c r="AI521" s="11">
        <f t="shared" si="135"/>
        <v>85</v>
      </c>
      <c r="AJ521" s="10">
        <v>85</v>
      </c>
      <c r="AK521" s="11">
        <f t="shared" si="142"/>
        <v>850</v>
      </c>
      <c r="AL521" s="10">
        <v>850</v>
      </c>
      <c r="AM521" s="11">
        <f t="shared" si="142"/>
        <v>850</v>
      </c>
      <c r="AN521" s="10">
        <v>850</v>
      </c>
      <c r="AO521" s="56">
        <f t="shared" si="137"/>
        <v>1</v>
      </c>
      <c r="AQ521" s="11">
        <f ca="1">IFERROR(OFFSET(ITEM_RES!$A$1,MATCH(AR521,ITEM_RES!$J:$J,0)-1,0),0)</f>
        <v>215050001</v>
      </c>
      <c r="AR521" s="10" t="s">
        <v>497</v>
      </c>
      <c r="AS521" s="11">
        <v>4250</v>
      </c>
      <c r="AV521" s="11">
        <f ca="1">IFERROR(OFFSET(ITEM_RES!$A$1,MATCH(AW521,ITEM_RES!$J:$J,0)-1,0),0)</f>
        <v>0</v>
      </c>
      <c r="BA521" s="11">
        <f ca="1">IFERROR(OFFSET(ITEM_RES!$A$1,MATCH(BB521,ITEM_RES!$J:$J,0)-1,0),0)</f>
        <v>0</v>
      </c>
      <c r="BF521" s="11">
        <f ca="1">IFERROR(OFFSET(ITEM_RES!$A$1,MATCH(BG521,ITEM_RES!$J:$J,0)-1,0),0)</f>
        <v>0</v>
      </c>
      <c r="BK521" s="11">
        <f ca="1">IFERROR(OFFSET(ITEM_RES!$A$1,MATCH(BL521,ITEM_RES!$J:$J,0)-1,0),0)</f>
        <v>0</v>
      </c>
    </row>
    <row r="522" spans="1:66" x14ac:dyDescent="0.3">
      <c r="A522" s="14">
        <f t="shared" si="139"/>
        <v>117030018</v>
      </c>
      <c r="B522" s="13">
        <v>11</v>
      </c>
      <c r="C522" s="12">
        <f t="shared" si="140"/>
        <v>7</v>
      </c>
      <c r="D522" s="13">
        <v>3</v>
      </c>
      <c r="E522" s="13">
        <v>0</v>
      </c>
      <c r="F522" s="12">
        <f t="shared" si="141"/>
        <v>18</v>
      </c>
      <c r="H522" s="9">
        <v>7</v>
      </c>
      <c r="I522" s="9">
        <v>18</v>
      </c>
      <c r="K522" s="9" t="s">
        <v>374</v>
      </c>
      <c r="L522" s="9">
        <v>0</v>
      </c>
      <c r="M522" s="9">
        <v>15</v>
      </c>
      <c r="R522" s="9">
        <v>4444</v>
      </c>
      <c r="AA522" s="9" t="s">
        <v>409</v>
      </c>
      <c r="AB522" s="9">
        <v>18</v>
      </c>
      <c r="AD522" s="9">
        <v>42000</v>
      </c>
      <c r="AF522" s="89">
        <f t="shared" si="136"/>
        <v>16800</v>
      </c>
      <c r="AG522" s="9">
        <f t="shared" si="143"/>
        <v>30400</v>
      </c>
      <c r="AI522" s="11">
        <f t="shared" si="135"/>
        <v>90</v>
      </c>
      <c r="AJ522" s="10">
        <v>90</v>
      </c>
      <c r="AK522" s="11">
        <f t="shared" si="142"/>
        <v>1050</v>
      </c>
      <c r="AL522" s="10">
        <v>1050</v>
      </c>
      <c r="AM522" s="11">
        <f t="shared" si="142"/>
        <v>1050</v>
      </c>
      <c r="AN522" s="10">
        <v>1050</v>
      </c>
      <c r="AO522" s="56">
        <f t="shared" si="137"/>
        <v>1</v>
      </c>
      <c r="AQ522" s="11">
        <f ca="1">IFERROR(OFFSET(ITEM_RES!$A$1,MATCH(AR522,ITEM_RES!$J:$J,0)-1,0),0)</f>
        <v>215050001</v>
      </c>
      <c r="AR522" s="10" t="s">
        <v>497</v>
      </c>
      <c r="AS522" s="11">
        <v>5250</v>
      </c>
      <c r="AV522" s="11">
        <f ca="1">IFERROR(OFFSET(ITEM_RES!$A$1,MATCH(AW522,ITEM_RES!$J:$J,0)-1,0),0)</f>
        <v>0</v>
      </c>
      <c r="BA522" s="11">
        <f ca="1">IFERROR(OFFSET(ITEM_RES!$A$1,MATCH(BB522,ITEM_RES!$J:$J,0)-1,0),0)</f>
        <v>0</v>
      </c>
      <c r="BF522" s="11">
        <f ca="1">IFERROR(OFFSET(ITEM_RES!$A$1,MATCH(BG522,ITEM_RES!$J:$J,0)-1,0),0)</f>
        <v>0</v>
      </c>
      <c r="BK522" s="11">
        <f ca="1">IFERROR(OFFSET(ITEM_RES!$A$1,MATCH(BL522,ITEM_RES!$J:$J,0)-1,0),0)</f>
        <v>0</v>
      </c>
    </row>
    <row r="523" spans="1:66" x14ac:dyDescent="0.3">
      <c r="A523" s="14">
        <f t="shared" si="139"/>
        <v>117030019</v>
      </c>
      <c r="B523" s="13">
        <v>11</v>
      </c>
      <c r="C523" s="12">
        <f t="shared" si="140"/>
        <v>7</v>
      </c>
      <c r="D523" s="13">
        <v>3</v>
      </c>
      <c r="E523" s="13">
        <v>0</v>
      </c>
      <c r="F523" s="12">
        <f t="shared" si="141"/>
        <v>19</v>
      </c>
      <c r="H523" s="9">
        <v>7</v>
      </c>
      <c r="I523" s="9">
        <v>19</v>
      </c>
      <c r="K523" s="9" t="s">
        <v>374</v>
      </c>
      <c r="L523" s="9">
        <v>0</v>
      </c>
      <c r="M523" s="9">
        <v>15</v>
      </c>
      <c r="R523" s="9">
        <v>4444</v>
      </c>
      <c r="AA523" s="9" t="s">
        <v>409</v>
      </c>
      <c r="AB523" s="9">
        <v>19</v>
      </c>
      <c r="AD523" s="9">
        <v>50000</v>
      </c>
      <c r="AF523" s="89">
        <f t="shared" si="136"/>
        <v>20000</v>
      </c>
      <c r="AG523" s="9">
        <f t="shared" si="143"/>
        <v>36800</v>
      </c>
      <c r="AI523" s="11">
        <f t="shared" si="135"/>
        <v>95</v>
      </c>
      <c r="AJ523" s="10">
        <v>95</v>
      </c>
      <c r="AK523" s="11">
        <f t="shared" si="142"/>
        <v>1250</v>
      </c>
      <c r="AL523" s="10">
        <v>1250</v>
      </c>
      <c r="AM523" s="11">
        <f t="shared" si="142"/>
        <v>1250</v>
      </c>
      <c r="AN523" s="10">
        <v>1250</v>
      </c>
      <c r="AO523" s="56">
        <f t="shared" si="137"/>
        <v>1</v>
      </c>
      <c r="AQ523" s="11">
        <f ca="1">IFERROR(OFFSET(ITEM_RES!$A$1,MATCH(AR523,ITEM_RES!$J:$J,0)-1,0),0)</f>
        <v>215050001</v>
      </c>
      <c r="AR523" s="10" t="s">
        <v>497</v>
      </c>
      <c r="AS523" s="11">
        <v>6250</v>
      </c>
      <c r="AV523" s="11">
        <f ca="1">IFERROR(OFFSET(ITEM_RES!$A$1,MATCH(AW523,ITEM_RES!$J:$J,0)-1,0),0)</f>
        <v>0</v>
      </c>
      <c r="BA523" s="11">
        <f ca="1">IFERROR(OFFSET(ITEM_RES!$A$1,MATCH(BB523,ITEM_RES!$J:$J,0)-1,0),0)</f>
        <v>0</v>
      </c>
      <c r="BF523" s="11">
        <f ca="1">IFERROR(OFFSET(ITEM_RES!$A$1,MATCH(BG523,ITEM_RES!$J:$J,0)-1,0),0)</f>
        <v>0</v>
      </c>
      <c r="BK523" s="11">
        <f ca="1">IFERROR(OFFSET(ITEM_RES!$A$1,MATCH(BL523,ITEM_RES!$J:$J,0)-1,0),0)</f>
        <v>0</v>
      </c>
    </row>
    <row r="524" spans="1:66" ht="17.25" thickBot="1" x14ac:dyDescent="0.35">
      <c r="A524" s="14">
        <f t="shared" si="139"/>
        <v>117030020</v>
      </c>
      <c r="B524" s="13">
        <v>11</v>
      </c>
      <c r="C524" s="12">
        <f t="shared" si="140"/>
        <v>7</v>
      </c>
      <c r="D524" s="13">
        <v>3</v>
      </c>
      <c r="E524" s="13">
        <v>0</v>
      </c>
      <c r="F524" s="12">
        <f t="shared" si="141"/>
        <v>20</v>
      </c>
      <c r="H524" s="9">
        <v>7</v>
      </c>
      <c r="I524" s="9">
        <v>20</v>
      </c>
      <c r="K524" s="9" t="s">
        <v>374</v>
      </c>
      <c r="L524" s="9">
        <v>0</v>
      </c>
      <c r="M524" s="9">
        <v>15</v>
      </c>
      <c r="R524" s="9">
        <v>4444</v>
      </c>
      <c r="AA524" s="9" t="s">
        <v>409</v>
      </c>
      <c r="AB524" s="9">
        <v>20</v>
      </c>
      <c r="AD524" s="9">
        <v>60000</v>
      </c>
      <c r="AF524" s="89">
        <f t="shared" si="136"/>
        <v>24000</v>
      </c>
      <c r="AG524" s="9">
        <f t="shared" si="143"/>
        <v>44000</v>
      </c>
      <c r="AI524" s="11">
        <f t="shared" si="135"/>
        <v>100</v>
      </c>
      <c r="AJ524" s="10">
        <v>100</v>
      </c>
      <c r="AK524" s="11">
        <f t="shared" si="142"/>
        <v>1500</v>
      </c>
      <c r="AL524" s="10">
        <v>1500</v>
      </c>
      <c r="AM524" s="11">
        <f t="shared" si="142"/>
        <v>1500</v>
      </c>
      <c r="AN524" s="10">
        <v>1500</v>
      </c>
      <c r="AO524" s="56">
        <f t="shared" si="137"/>
        <v>1</v>
      </c>
      <c r="AQ524" s="11">
        <f ca="1">IFERROR(OFFSET(ITEM_RES!$A$1,MATCH(AR524,ITEM_RES!$J:$J,0)-1,0),0)</f>
        <v>215050001</v>
      </c>
      <c r="AR524" s="10" t="s">
        <v>497</v>
      </c>
      <c r="AS524" s="11">
        <v>7500</v>
      </c>
      <c r="AV524" s="11">
        <f ca="1">IFERROR(OFFSET(ITEM_RES!$A$1,MATCH(AW524,ITEM_RES!$J:$J,0)-1,0),0)</f>
        <v>0</v>
      </c>
      <c r="BA524" s="11">
        <f ca="1">IFERROR(OFFSET(ITEM_RES!$A$1,MATCH(BB524,ITEM_RES!$J:$J,0)-1,0),0)</f>
        <v>0</v>
      </c>
      <c r="BF524" s="11">
        <f ca="1">IFERROR(OFFSET(ITEM_RES!$A$1,MATCH(BG524,ITEM_RES!$J:$J,0)-1,0),0)</f>
        <v>0</v>
      </c>
      <c r="BK524" s="11">
        <f ca="1">IFERROR(OFFSET(ITEM_RES!$A$1,MATCH(BL524,ITEM_RES!$J:$J,0)-1,0),0)</f>
        <v>0</v>
      </c>
    </row>
    <row r="525" spans="1:66" s="15" customFormat="1" x14ac:dyDescent="0.3">
      <c r="A525" s="21">
        <f t="shared" si="139"/>
        <v>117040001</v>
      </c>
      <c r="B525" s="20">
        <v>11</v>
      </c>
      <c r="C525" s="19">
        <f t="shared" si="140"/>
        <v>7</v>
      </c>
      <c r="D525" s="20">
        <v>4</v>
      </c>
      <c r="E525" s="20">
        <v>0</v>
      </c>
      <c r="F525" s="19">
        <f t="shared" si="141"/>
        <v>1</v>
      </c>
      <c r="G525" s="80"/>
      <c r="H525" s="16">
        <v>7</v>
      </c>
      <c r="I525" s="16">
        <v>1</v>
      </c>
      <c r="J525" s="80"/>
      <c r="K525" s="16" t="s">
        <v>383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8"/>
      <c r="T525" s="80"/>
      <c r="U525" s="88"/>
      <c r="V525" s="88"/>
      <c r="W525" s="88"/>
      <c r="X525" s="88"/>
      <c r="Y525" s="88"/>
      <c r="Z525" s="16"/>
      <c r="AA525" s="16" t="s">
        <v>411</v>
      </c>
      <c r="AB525" s="16">
        <v>1</v>
      </c>
      <c r="AC525" s="80"/>
      <c r="AD525" s="16">
        <v>200</v>
      </c>
      <c r="AE525" s="80"/>
      <c r="AF525" s="91">
        <f t="shared" si="136"/>
        <v>1080</v>
      </c>
      <c r="AG525" s="16">
        <f>AF525</f>
        <v>1080</v>
      </c>
      <c r="AH525" s="80"/>
      <c r="AI525" s="18">
        <f t="shared" si="135"/>
        <v>5</v>
      </c>
      <c r="AJ525" s="17">
        <v>5</v>
      </c>
      <c r="AK525" s="18">
        <f t="shared" si="142"/>
        <v>5</v>
      </c>
      <c r="AL525" s="17">
        <v>5</v>
      </c>
      <c r="AM525" s="18">
        <f t="shared" si="142"/>
        <v>5</v>
      </c>
      <c r="AN525" s="17">
        <v>5</v>
      </c>
      <c r="AO525" s="57">
        <f t="shared" si="137"/>
        <v>3</v>
      </c>
      <c r="AP525" s="18"/>
      <c r="AQ525" s="18">
        <f ca="1">IFERROR(OFFSET(ITEM_RES!$A$1,MATCH(AR525,ITEM_RES!$J:$J,0)-1,0),0)</f>
        <v>212040001</v>
      </c>
      <c r="AR525" s="17" t="s">
        <v>487</v>
      </c>
      <c r="AS525" s="18">
        <v>25</v>
      </c>
      <c r="AT525" s="17"/>
      <c r="AU525" s="18"/>
      <c r="AV525" s="18">
        <f ca="1">IFERROR(OFFSET(ITEM_RES!$A$1,MATCH(AW525,ITEM_RES!$J:$J,0)-1,0),0)</f>
        <v>0</v>
      </c>
      <c r="AW525" s="17"/>
      <c r="AX525" s="18"/>
      <c r="AY525" s="17"/>
      <c r="AZ525" s="18"/>
      <c r="BA525" s="18">
        <f ca="1">IFERROR(OFFSET(ITEM_RES!$A$1,MATCH(BB525,ITEM_RES!$J:$J,0)-1,0),0)</f>
        <v>213010001</v>
      </c>
      <c r="BB525" s="17" t="s">
        <v>509</v>
      </c>
      <c r="BC525" s="18">
        <v>1</v>
      </c>
      <c r="BD525" s="17"/>
      <c r="BE525" s="18"/>
      <c r="BF525" s="18">
        <f ca="1">IFERROR(OFFSET(ITEM_RES!$A$1,MATCH(BG525,ITEM_RES!$J:$J,0)-1,0),0)</f>
        <v>213040001</v>
      </c>
      <c r="BG525" s="17" t="s">
        <v>532</v>
      </c>
      <c r="BH525" s="18">
        <v>1</v>
      </c>
      <c r="BI525" s="17"/>
      <c r="BJ525" s="18"/>
      <c r="BK525" s="18">
        <f ca="1">IFERROR(OFFSET(ITEM_RES!$A$1,MATCH(BL525,ITEM_RES!$J:$J,0)-1,0),0)</f>
        <v>0</v>
      </c>
      <c r="BL525" s="17"/>
      <c r="BM525" s="18"/>
      <c r="BN525" s="17"/>
    </row>
    <row r="526" spans="1:66" x14ac:dyDescent="0.3">
      <c r="A526" s="14">
        <f t="shared" si="139"/>
        <v>117040002</v>
      </c>
      <c r="B526" s="13">
        <v>11</v>
      </c>
      <c r="C526" s="12">
        <f t="shared" si="140"/>
        <v>7</v>
      </c>
      <c r="D526" s="13">
        <v>4</v>
      </c>
      <c r="E526" s="13">
        <v>0</v>
      </c>
      <c r="F526" s="12">
        <f t="shared" si="141"/>
        <v>2</v>
      </c>
      <c r="H526" s="9">
        <v>7</v>
      </c>
      <c r="I526" s="9">
        <v>2</v>
      </c>
      <c r="K526" s="9" t="s">
        <v>383</v>
      </c>
      <c r="L526" s="9">
        <v>1</v>
      </c>
      <c r="M526" s="9">
        <v>15</v>
      </c>
      <c r="R526" s="9">
        <v>5555</v>
      </c>
      <c r="AA526" s="9" t="s">
        <v>411</v>
      </c>
      <c r="AB526" s="9">
        <v>2</v>
      </c>
      <c r="AD526" s="9">
        <v>400</v>
      </c>
      <c r="AF526" s="89">
        <f t="shared" si="136"/>
        <v>160</v>
      </c>
      <c r="AG526" s="9">
        <f>AF525+AF526</f>
        <v>1240</v>
      </c>
      <c r="AI526" s="11">
        <f t="shared" si="135"/>
        <v>10</v>
      </c>
      <c r="AJ526" s="10">
        <v>10</v>
      </c>
      <c r="AK526" s="11">
        <f t="shared" si="142"/>
        <v>10</v>
      </c>
      <c r="AL526" s="10">
        <v>10</v>
      </c>
      <c r="AM526" s="11">
        <f t="shared" si="142"/>
        <v>10</v>
      </c>
      <c r="AN526" s="10">
        <v>10</v>
      </c>
      <c r="AO526" s="56">
        <f t="shared" si="137"/>
        <v>1</v>
      </c>
      <c r="AQ526" s="11">
        <f ca="1">IFERROR(OFFSET(ITEM_RES!$A$1,MATCH(AR526,ITEM_RES!$J:$J,0)-1,0),0)</f>
        <v>212040001</v>
      </c>
      <c r="AR526" s="10" t="s">
        <v>487</v>
      </c>
      <c r="AS526" s="11">
        <v>50</v>
      </c>
      <c r="AV526" s="11">
        <f ca="1">IFERROR(OFFSET(ITEM_RES!$A$1,MATCH(AW526,ITEM_RES!$J:$J,0)-1,0),0)</f>
        <v>0</v>
      </c>
      <c r="BA526" s="11">
        <f ca="1">IFERROR(OFFSET(ITEM_RES!$A$1,MATCH(BB526,ITEM_RES!$J:$J,0)-1,0),0)</f>
        <v>0</v>
      </c>
      <c r="BF526" s="11">
        <f ca="1">IFERROR(OFFSET(ITEM_RES!$A$1,MATCH(BG526,ITEM_RES!$J:$J,0)-1,0),0)</f>
        <v>0</v>
      </c>
      <c r="BK526" s="11">
        <f ca="1">IFERROR(OFFSET(ITEM_RES!$A$1,MATCH(BL526,ITEM_RES!$J:$J,0)-1,0),0)</f>
        <v>0</v>
      </c>
    </row>
    <row r="527" spans="1:66" x14ac:dyDescent="0.3">
      <c r="A527" s="14">
        <f t="shared" si="139"/>
        <v>117040003</v>
      </c>
      <c r="B527" s="13">
        <v>11</v>
      </c>
      <c r="C527" s="12">
        <f t="shared" si="140"/>
        <v>7</v>
      </c>
      <c r="D527" s="13">
        <v>4</v>
      </c>
      <c r="E527" s="13">
        <v>0</v>
      </c>
      <c r="F527" s="12">
        <f t="shared" si="141"/>
        <v>3</v>
      </c>
      <c r="H527" s="9">
        <v>7</v>
      </c>
      <c r="I527" s="9">
        <v>3</v>
      </c>
      <c r="K527" s="9" t="s">
        <v>383</v>
      </c>
      <c r="L527" s="9">
        <v>1</v>
      </c>
      <c r="M527" s="9">
        <v>15</v>
      </c>
      <c r="R527" s="9">
        <v>5555</v>
      </c>
      <c r="AA527" s="9" t="s">
        <v>382</v>
      </c>
      <c r="AB527" s="9">
        <v>3</v>
      </c>
      <c r="AD527" s="9">
        <v>1200</v>
      </c>
      <c r="AF527" s="89">
        <f t="shared" si="136"/>
        <v>240</v>
      </c>
      <c r="AG527" s="9">
        <f t="shared" ref="AG527:AG544" si="144">AF526+AF527</f>
        <v>400</v>
      </c>
      <c r="AI527" s="11">
        <f t="shared" si="135"/>
        <v>15</v>
      </c>
      <c r="AJ527" s="10">
        <v>15</v>
      </c>
      <c r="AK527" s="11">
        <f t="shared" si="142"/>
        <v>15</v>
      </c>
      <c r="AL527" s="10">
        <v>15</v>
      </c>
      <c r="AM527" s="11">
        <f t="shared" si="142"/>
        <v>15</v>
      </c>
      <c r="AN527" s="10">
        <v>15</v>
      </c>
      <c r="AO527" s="56">
        <f t="shared" si="137"/>
        <v>1</v>
      </c>
      <c r="AQ527" s="11">
        <f ca="1">IFERROR(OFFSET(ITEM_RES!$A$1,MATCH(AR527,ITEM_RES!$J:$J,0)-1,0),0)</f>
        <v>212040001</v>
      </c>
      <c r="AR527" s="10" t="s">
        <v>487</v>
      </c>
      <c r="AS527" s="11">
        <v>75</v>
      </c>
      <c r="AV527" s="11">
        <f ca="1">IFERROR(OFFSET(ITEM_RES!$A$1,MATCH(AW527,ITEM_RES!$J:$J,0)-1,0),0)</f>
        <v>0</v>
      </c>
      <c r="BA527" s="11">
        <f ca="1">IFERROR(OFFSET(ITEM_RES!$A$1,MATCH(BB527,ITEM_RES!$J:$J,0)-1,0),0)</f>
        <v>0</v>
      </c>
      <c r="BF527" s="11">
        <f ca="1">IFERROR(OFFSET(ITEM_RES!$A$1,MATCH(BG527,ITEM_RES!$J:$J,0)-1,0),0)</f>
        <v>0</v>
      </c>
      <c r="BK527" s="11">
        <f ca="1">IFERROR(OFFSET(ITEM_RES!$A$1,MATCH(BL527,ITEM_RES!$J:$J,0)-1,0),0)</f>
        <v>0</v>
      </c>
    </row>
    <row r="528" spans="1:66" x14ac:dyDescent="0.3">
      <c r="A528" s="14">
        <f t="shared" si="139"/>
        <v>117040004</v>
      </c>
      <c r="B528" s="13">
        <v>11</v>
      </c>
      <c r="C528" s="12">
        <f t="shared" si="140"/>
        <v>7</v>
      </c>
      <c r="D528" s="13">
        <v>4</v>
      </c>
      <c r="E528" s="13">
        <v>0</v>
      </c>
      <c r="F528" s="12">
        <f t="shared" si="141"/>
        <v>4</v>
      </c>
      <c r="H528" s="9">
        <v>7</v>
      </c>
      <c r="I528" s="9">
        <v>4</v>
      </c>
      <c r="K528" s="9" t="s">
        <v>382</v>
      </c>
      <c r="L528" s="9">
        <v>1</v>
      </c>
      <c r="M528" s="9">
        <v>15</v>
      </c>
      <c r="R528" s="9">
        <v>5555</v>
      </c>
      <c r="AA528" s="9" t="s">
        <v>382</v>
      </c>
      <c r="AB528" s="9">
        <v>4</v>
      </c>
      <c r="AD528" s="9">
        <v>2000</v>
      </c>
      <c r="AF528" s="89">
        <f t="shared" si="136"/>
        <v>400</v>
      </c>
      <c r="AG528" s="9">
        <f t="shared" si="144"/>
        <v>640</v>
      </c>
      <c r="AI528" s="11">
        <f t="shared" si="135"/>
        <v>20</v>
      </c>
      <c r="AJ528" s="10">
        <v>20</v>
      </c>
      <c r="AK528" s="11">
        <f t="shared" si="142"/>
        <v>25</v>
      </c>
      <c r="AL528" s="10">
        <v>25</v>
      </c>
      <c r="AM528" s="11">
        <f t="shared" si="142"/>
        <v>25</v>
      </c>
      <c r="AN528" s="10">
        <v>25</v>
      </c>
      <c r="AO528" s="56">
        <f t="shared" si="137"/>
        <v>1</v>
      </c>
      <c r="AQ528" s="11">
        <f ca="1">IFERROR(OFFSET(ITEM_RES!$A$1,MATCH(AR528,ITEM_RES!$J:$J,0)-1,0),0)</f>
        <v>212040001</v>
      </c>
      <c r="AR528" s="10" t="s">
        <v>487</v>
      </c>
      <c r="AS528" s="11">
        <v>125</v>
      </c>
      <c r="AV528" s="11">
        <f ca="1">IFERROR(OFFSET(ITEM_RES!$A$1,MATCH(AW528,ITEM_RES!$J:$J,0)-1,0),0)</f>
        <v>0</v>
      </c>
      <c r="BA528" s="11">
        <f ca="1">IFERROR(OFFSET(ITEM_RES!$A$1,MATCH(BB528,ITEM_RES!$J:$J,0)-1,0),0)</f>
        <v>0</v>
      </c>
      <c r="BF528" s="11">
        <f ca="1">IFERROR(OFFSET(ITEM_RES!$A$1,MATCH(BG528,ITEM_RES!$J:$J,0)-1,0),0)</f>
        <v>0</v>
      </c>
      <c r="BK528" s="11">
        <f ca="1">IFERROR(OFFSET(ITEM_RES!$A$1,MATCH(BL528,ITEM_RES!$J:$J,0)-1,0),0)</f>
        <v>0</v>
      </c>
    </row>
    <row r="529" spans="1:63" x14ac:dyDescent="0.3">
      <c r="A529" s="14">
        <f t="shared" si="139"/>
        <v>117040005</v>
      </c>
      <c r="B529" s="13">
        <v>11</v>
      </c>
      <c r="C529" s="12">
        <f t="shared" si="140"/>
        <v>7</v>
      </c>
      <c r="D529" s="13">
        <v>4</v>
      </c>
      <c r="E529" s="13">
        <v>0</v>
      </c>
      <c r="F529" s="12">
        <f t="shared" si="141"/>
        <v>5</v>
      </c>
      <c r="H529" s="9">
        <v>7</v>
      </c>
      <c r="I529" s="9">
        <v>5</v>
      </c>
      <c r="K529" s="9" t="s">
        <v>382</v>
      </c>
      <c r="L529" s="9">
        <v>1</v>
      </c>
      <c r="M529" s="9">
        <v>15</v>
      </c>
      <c r="R529" s="9">
        <v>5555</v>
      </c>
      <c r="AA529" s="9" t="s">
        <v>382</v>
      </c>
      <c r="AB529" s="9">
        <v>5</v>
      </c>
      <c r="AD529" s="9">
        <v>3200</v>
      </c>
      <c r="AF529" s="89">
        <f t="shared" si="136"/>
        <v>640</v>
      </c>
      <c r="AG529" s="9">
        <f t="shared" si="144"/>
        <v>1040</v>
      </c>
      <c r="AI529" s="11">
        <f t="shared" si="135"/>
        <v>25</v>
      </c>
      <c r="AJ529" s="10">
        <v>25</v>
      </c>
      <c r="AK529" s="11">
        <f t="shared" si="142"/>
        <v>40</v>
      </c>
      <c r="AL529" s="10">
        <v>40</v>
      </c>
      <c r="AM529" s="11">
        <f t="shared" si="142"/>
        <v>40</v>
      </c>
      <c r="AN529" s="10">
        <v>40</v>
      </c>
      <c r="AO529" s="56">
        <f t="shared" si="137"/>
        <v>1</v>
      </c>
      <c r="AQ529" s="11">
        <f ca="1">IFERROR(OFFSET(ITEM_RES!$A$1,MATCH(AR529,ITEM_RES!$J:$J,0)-1,0),0)</f>
        <v>212040001</v>
      </c>
      <c r="AR529" s="10" t="s">
        <v>487</v>
      </c>
      <c r="AS529" s="11">
        <v>200</v>
      </c>
      <c r="AV529" s="11">
        <f ca="1">IFERROR(OFFSET(ITEM_RES!$A$1,MATCH(AW529,ITEM_RES!$J:$J,0)-1,0),0)</f>
        <v>0</v>
      </c>
      <c r="BA529" s="11">
        <f ca="1">IFERROR(OFFSET(ITEM_RES!$A$1,MATCH(BB529,ITEM_RES!$J:$J,0)-1,0),0)</f>
        <v>0</v>
      </c>
      <c r="BF529" s="11">
        <f ca="1">IFERROR(OFFSET(ITEM_RES!$A$1,MATCH(BG529,ITEM_RES!$J:$J,0)-1,0),0)</f>
        <v>0</v>
      </c>
      <c r="BK529" s="11">
        <f ca="1">IFERROR(OFFSET(ITEM_RES!$A$1,MATCH(BL529,ITEM_RES!$J:$J,0)-1,0),0)</f>
        <v>0</v>
      </c>
    </row>
    <row r="530" spans="1:63" x14ac:dyDescent="0.3">
      <c r="A530" s="14">
        <f t="shared" si="139"/>
        <v>117040006</v>
      </c>
      <c r="B530" s="13">
        <v>11</v>
      </c>
      <c r="C530" s="12">
        <f t="shared" si="140"/>
        <v>7</v>
      </c>
      <c r="D530" s="13">
        <v>4</v>
      </c>
      <c r="E530" s="13">
        <v>0</v>
      </c>
      <c r="F530" s="12">
        <f t="shared" si="141"/>
        <v>6</v>
      </c>
      <c r="H530" s="9">
        <v>7</v>
      </c>
      <c r="I530" s="9">
        <v>6</v>
      </c>
      <c r="K530" s="9" t="s">
        <v>382</v>
      </c>
      <c r="L530" s="9">
        <v>1</v>
      </c>
      <c r="M530" s="9">
        <v>15</v>
      </c>
      <c r="R530" s="9">
        <v>5555</v>
      </c>
      <c r="AA530" s="9" t="s">
        <v>382</v>
      </c>
      <c r="AB530" s="9">
        <v>6</v>
      </c>
      <c r="AD530" s="9">
        <v>4000</v>
      </c>
      <c r="AF530" s="89">
        <f t="shared" si="136"/>
        <v>800</v>
      </c>
      <c r="AG530" s="9">
        <f t="shared" si="144"/>
        <v>1440</v>
      </c>
      <c r="AI530" s="11">
        <f t="shared" si="135"/>
        <v>30</v>
      </c>
      <c r="AJ530" s="10">
        <v>30</v>
      </c>
      <c r="AK530" s="11">
        <f t="shared" si="142"/>
        <v>50</v>
      </c>
      <c r="AL530" s="10">
        <v>50</v>
      </c>
      <c r="AM530" s="11">
        <f t="shared" si="142"/>
        <v>50</v>
      </c>
      <c r="AN530" s="10">
        <v>50</v>
      </c>
      <c r="AO530" s="56">
        <f t="shared" si="137"/>
        <v>1</v>
      </c>
      <c r="AQ530" s="11">
        <f ca="1">IFERROR(OFFSET(ITEM_RES!$A$1,MATCH(AR530,ITEM_RES!$J:$J,0)-1,0),0)</f>
        <v>212040001</v>
      </c>
      <c r="AR530" s="10" t="s">
        <v>487</v>
      </c>
      <c r="AS530" s="11">
        <v>250</v>
      </c>
      <c r="AV530" s="11">
        <f ca="1">IFERROR(OFFSET(ITEM_RES!$A$1,MATCH(AW530,ITEM_RES!$J:$J,0)-1,0),0)</f>
        <v>0</v>
      </c>
      <c r="BA530" s="11">
        <f ca="1">IFERROR(OFFSET(ITEM_RES!$A$1,MATCH(BB530,ITEM_RES!$J:$J,0)-1,0),0)</f>
        <v>0</v>
      </c>
      <c r="BF530" s="11">
        <f ca="1">IFERROR(OFFSET(ITEM_RES!$A$1,MATCH(BG530,ITEM_RES!$J:$J,0)-1,0),0)</f>
        <v>0</v>
      </c>
      <c r="BK530" s="11">
        <f ca="1">IFERROR(OFFSET(ITEM_RES!$A$1,MATCH(BL530,ITEM_RES!$J:$J,0)-1,0),0)</f>
        <v>0</v>
      </c>
    </row>
    <row r="531" spans="1:63" x14ac:dyDescent="0.3">
      <c r="A531" s="14">
        <f t="shared" si="139"/>
        <v>117040007</v>
      </c>
      <c r="B531" s="13">
        <v>11</v>
      </c>
      <c r="C531" s="12">
        <f t="shared" si="140"/>
        <v>7</v>
      </c>
      <c r="D531" s="13">
        <v>4</v>
      </c>
      <c r="E531" s="13">
        <v>0</v>
      </c>
      <c r="F531" s="12">
        <f t="shared" si="141"/>
        <v>7</v>
      </c>
      <c r="H531" s="9">
        <v>7</v>
      </c>
      <c r="I531" s="9">
        <v>7</v>
      </c>
      <c r="K531" s="9" t="s">
        <v>382</v>
      </c>
      <c r="L531" s="9">
        <v>1</v>
      </c>
      <c r="M531" s="9">
        <v>15</v>
      </c>
      <c r="R531" s="9">
        <v>5555</v>
      </c>
      <c r="AA531" s="9" t="s">
        <v>382</v>
      </c>
      <c r="AB531" s="9">
        <v>7</v>
      </c>
      <c r="AD531" s="9">
        <v>8000</v>
      </c>
      <c r="AF531" s="89">
        <f t="shared" si="136"/>
        <v>1600</v>
      </c>
      <c r="AG531" s="9">
        <f t="shared" si="144"/>
        <v>2400</v>
      </c>
      <c r="AI531" s="11">
        <f t="shared" si="135"/>
        <v>35</v>
      </c>
      <c r="AJ531" s="10">
        <v>35</v>
      </c>
      <c r="AK531" s="11">
        <f t="shared" si="142"/>
        <v>100</v>
      </c>
      <c r="AL531" s="10">
        <v>100</v>
      </c>
      <c r="AM531" s="11">
        <f t="shared" si="142"/>
        <v>100</v>
      </c>
      <c r="AN531" s="10">
        <v>100</v>
      </c>
      <c r="AO531" s="56">
        <f t="shared" si="137"/>
        <v>1</v>
      </c>
      <c r="AQ531" s="11">
        <f ca="1">IFERROR(OFFSET(ITEM_RES!$A$1,MATCH(AR531,ITEM_RES!$J:$J,0)-1,0),0)</f>
        <v>212040001</v>
      </c>
      <c r="AR531" s="10" t="s">
        <v>487</v>
      </c>
      <c r="AS531" s="11">
        <v>500</v>
      </c>
      <c r="AV531" s="11">
        <f ca="1">IFERROR(OFFSET(ITEM_RES!$A$1,MATCH(AW531,ITEM_RES!$J:$J,0)-1,0),0)</f>
        <v>0</v>
      </c>
      <c r="BA531" s="11">
        <f ca="1">IFERROR(OFFSET(ITEM_RES!$A$1,MATCH(BB531,ITEM_RES!$J:$J,0)-1,0),0)</f>
        <v>0</v>
      </c>
      <c r="BF531" s="11">
        <f ca="1">IFERROR(OFFSET(ITEM_RES!$A$1,MATCH(BG531,ITEM_RES!$J:$J,0)-1,0),0)</f>
        <v>0</v>
      </c>
      <c r="BK531" s="11">
        <f ca="1">IFERROR(OFFSET(ITEM_RES!$A$1,MATCH(BL531,ITEM_RES!$J:$J,0)-1,0),0)</f>
        <v>0</v>
      </c>
    </row>
    <row r="532" spans="1:63" x14ac:dyDescent="0.3">
      <c r="A532" s="14">
        <f t="shared" si="139"/>
        <v>117040008</v>
      </c>
      <c r="B532" s="13">
        <v>11</v>
      </c>
      <c r="C532" s="12">
        <f t="shared" si="140"/>
        <v>7</v>
      </c>
      <c r="D532" s="13">
        <v>4</v>
      </c>
      <c r="E532" s="13">
        <v>0</v>
      </c>
      <c r="F532" s="12">
        <f t="shared" si="141"/>
        <v>8</v>
      </c>
      <c r="H532" s="9">
        <v>7</v>
      </c>
      <c r="I532" s="9">
        <v>8</v>
      </c>
      <c r="K532" s="9" t="s">
        <v>382</v>
      </c>
      <c r="L532" s="9">
        <v>1</v>
      </c>
      <c r="M532" s="9">
        <v>15</v>
      </c>
      <c r="R532" s="9">
        <v>5555</v>
      </c>
      <c r="AA532" s="9" t="s">
        <v>382</v>
      </c>
      <c r="AB532" s="9">
        <v>8</v>
      </c>
      <c r="AD532" s="9">
        <v>8000</v>
      </c>
      <c r="AF532" s="89">
        <f t="shared" si="136"/>
        <v>1600</v>
      </c>
      <c r="AG532" s="9">
        <f t="shared" si="144"/>
        <v>3200</v>
      </c>
      <c r="AI532" s="11">
        <f t="shared" si="135"/>
        <v>40</v>
      </c>
      <c r="AJ532" s="10">
        <v>40</v>
      </c>
      <c r="AK532" s="11">
        <f t="shared" si="142"/>
        <v>100</v>
      </c>
      <c r="AL532" s="10">
        <v>100</v>
      </c>
      <c r="AM532" s="11">
        <f t="shared" si="142"/>
        <v>100</v>
      </c>
      <c r="AN532" s="10">
        <v>100</v>
      </c>
      <c r="AO532" s="56">
        <f t="shared" si="137"/>
        <v>1</v>
      </c>
      <c r="AQ532" s="11">
        <f ca="1">IFERROR(OFFSET(ITEM_RES!$A$1,MATCH(AR532,ITEM_RES!$J:$J,0)-1,0),0)</f>
        <v>212040001</v>
      </c>
      <c r="AR532" s="10" t="s">
        <v>487</v>
      </c>
      <c r="AS532" s="11">
        <v>500</v>
      </c>
      <c r="AV532" s="11">
        <f ca="1">IFERROR(OFFSET(ITEM_RES!$A$1,MATCH(AW532,ITEM_RES!$J:$J,0)-1,0),0)</f>
        <v>0</v>
      </c>
      <c r="BA532" s="11">
        <f ca="1">IFERROR(OFFSET(ITEM_RES!$A$1,MATCH(BB532,ITEM_RES!$J:$J,0)-1,0),0)</f>
        <v>0</v>
      </c>
      <c r="BF532" s="11">
        <f ca="1">IFERROR(OFFSET(ITEM_RES!$A$1,MATCH(BG532,ITEM_RES!$J:$J,0)-1,0),0)</f>
        <v>0</v>
      </c>
      <c r="BK532" s="11">
        <f ca="1">IFERROR(OFFSET(ITEM_RES!$A$1,MATCH(BL532,ITEM_RES!$J:$J,0)-1,0),0)</f>
        <v>0</v>
      </c>
    </row>
    <row r="533" spans="1:63" x14ac:dyDescent="0.3">
      <c r="A533" s="14">
        <f t="shared" si="139"/>
        <v>117040009</v>
      </c>
      <c r="B533" s="13">
        <v>11</v>
      </c>
      <c r="C533" s="12">
        <f t="shared" si="140"/>
        <v>7</v>
      </c>
      <c r="D533" s="13">
        <v>4</v>
      </c>
      <c r="E533" s="13">
        <v>0</v>
      </c>
      <c r="F533" s="12">
        <f t="shared" si="141"/>
        <v>9</v>
      </c>
      <c r="H533" s="9">
        <v>7</v>
      </c>
      <c r="I533" s="9">
        <v>9</v>
      </c>
      <c r="K533" s="9" t="s">
        <v>382</v>
      </c>
      <c r="L533" s="9">
        <v>1</v>
      </c>
      <c r="M533" s="9">
        <v>15</v>
      </c>
      <c r="R533" s="9">
        <v>5555</v>
      </c>
      <c r="AA533" s="9" t="s">
        <v>382</v>
      </c>
      <c r="AB533" s="9">
        <v>9</v>
      </c>
      <c r="AD533" s="9">
        <v>12000</v>
      </c>
      <c r="AF533" s="89">
        <f t="shared" si="136"/>
        <v>2400</v>
      </c>
      <c r="AG533" s="9">
        <f t="shared" si="144"/>
        <v>4000</v>
      </c>
      <c r="AI533" s="11">
        <f t="shared" si="135"/>
        <v>45</v>
      </c>
      <c r="AJ533" s="10">
        <v>45</v>
      </c>
      <c r="AK533" s="11">
        <f t="shared" si="142"/>
        <v>150</v>
      </c>
      <c r="AL533" s="10">
        <v>150</v>
      </c>
      <c r="AM533" s="11">
        <f t="shared" si="142"/>
        <v>150</v>
      </c>
      <c r="AN533" s="10">
        <v>150</v>
      </c>
      <c r="AO533" s="56">
        <f t="shared" si="137"/>
        <v>1</v>
      </c>
      <c r="AQ533" s="11">
        <f ca="1">IFERROR(OFFSET(ITEM_RES!$A$1,MATCH(AR533,ITEM_RES!$J:$J,0)-1,0),0)</f>
        <v>212040001</v>
      </c>
      <c r="AR533" s="10" t="s">
        <v>487</v>
      </c>
      <c r="AS533" s="11">
        <v>750</v>
      </c>
      <c r="AV533" s="11">
        <f ca="1">IFERROR(OFFSET(ITEM_RES!$A$1,MATCH(AW533,ITEM_RES!$J:$J,0)-1,0),0)</f>
        <v>0</v>
      </c>
      <c r="BA533" s="11">
        <f ca="1">IFERROR(OFFSET(ITEM_RES!$A$1,MATCH(BB533,ITEM_RES!$J:$J,0)-1,0),0)</f>
        <v>0</v>
      </c>
      <c r="BF533" s="11">
        <f ca="1">IFERROR(OFFSET(ITEM_RES!$A$1,MATCH(BG533,ITEM_RES!$J:$J,0)-1,0),0)</f>
        <v>0</v>
      </c>
      <c r="BK533" s="11">
        <f ca="1">IFERROR(OFFSET(ITEM_RES!$A$1,MATCH(BL533,ITEM_RES!$J:$J,0)-1,0),0)</f>
        <v>0</v>
      </c>
    </row>
    <row r="534" spans="1:63" x14ac:dyDescent="0.3">
      <c r="A534" s="14">
        <f t="shared" si="139"/>
        <v>117040010</v>
      </c>
      <c r="B534" s="13">
        <v>11</v>
      </c>
      <c r="C534" s="12">
        <f t="shared" si="140"/>
        <v>7</v>
      </c>
      <c r="D534" s="13">
        <v>4</v>
      </c>
      <c r="E534" s="13">
        <v>0</v>
      </c>
      <c r="F534" s="12">
        <f t="shared" si="141"/>
        <v>10</v>
      </c>
      <c r="H534" s="9">
        <v>7</v>
      </c>
      <c r="I534" s="9">
        <v>10</v>
      </c>
      <c r="K534" s="9" t="s">
        <v>382</v>
      </c>
      <c r="L534" s="9">
        <v>1</v>
      </c>
      <c r="M534" s="9">
        <v>15</v>
      </c>
      <c r="R534" s="9">
        <v>5555</v>
      </c>
      <c r="AA534" s="9" t="s">
        <v>382</v>
      </c>
      <c r="AB534" s="9">
        <v>10</v>
      </c>
      <c r="AD534" s="9">
        <v>16000</v>
      </c>
      <c r="AF534" s="89">
        <f t="shared" si="136"/>
        <v>3200</v>
      </c>
      <c r="AG534" s="9">
        <f t="shared" si="144"/>
        <v>5600</v>
      </c>
      <c r="AI534" s="11">
        <f t="shared" si="135"/>
        <v>50</v>
      </c>
      <c r="AJ534" s="10">
        <v>50</v>
      </c>
      <c r="AK534" s="11">
        <f t="shared" si="142"/>
        <v>200</v>
      </c>
      <c r="AL534" s="10">
        <v>200</v>
      </c>
      <c r="AM534" s="11">
        <f t="shared" si="142"/>
        <v>200</v>
      </c>
      <c r="AN534" s="10">
        <v>200</v>
      </c>
      <c r="AO534" s="56">
        <f t="shared" si="137"/>
        <v>1</v>
      </c>
      <c r="AQ534" s="11">
        <f ca="1">IFERROR(OFFSET(ITEM_RES!$A$1,MATCH(AR534,ITEM_RES!$J:$J,0)-1,0),0)</f>
        <v>212040001</v>
      </c>
      <c r="AR534" s="10" t="s">
        <v>487</v>
      </c>
      <c r="AS534" s="11">
        <v>1000</v>
      </c>
      <c r="AV534" s="11">
        <f ca="1">IFERROR(OFFSET(ITEM_RES!$A$1,MATCH(AW534,ITEM_RES!$J:$J,0)-1,0),0)</f>
        <v>0</v>
      </c>
      <c r="BA534" s="11">
        <f ca="1">IFERROR(OFFSET(ITEM_RES!$A$1,MATCH(BB534,ITEM_RES!$J:$J,0)-1,0),0)</f>
        <v>0</v>
      </c>
      <c r="BF534" s="11">
        <f ca="1">IFERROR(OFFSET(ITEM_RES!$A$1,MATCH(BG534,ITEM_RES!$J:$J,0)-1,0),0)</f>
        <v>0</v>
      </c>
      <c r="BK534" s="11">
        <f ca="1">IFERROR(OFFSET(ITEM_RES!$A$1,MATCH(BL534,ITEM_RES!$J:$J,0)-1,0),0)</f>
        <v>0</v>
      </c>
    </row>
    <row r="535" spans="1:63" x14ac:dyDescent="0.3">
      <c r="A535" s="14">
        <f t="shared" si="139"/>
        <v>117040011</v>
      </c>
      <c r="B535" s="13">
        <v>11</v>
      </c>
      <c r="C535" s="12">
        <f t="shared" si="140"/>
        <v>7</v>
      </c>
      <c r="D535" s="13">
        <v>4</v>
      </c>
      <c r="E535" s="13">
        <v>0</v>
      </c>
      <c r="F535" s="12">
        <f t="shared" si="141"/>
        <v>11</v>
      </c>
      <c r="H535" s="9">
        <v>7</v>
      </c>
      <c r="I535" s="9">
        <v>11</v>
      </c>
      <c r="K535" s="9" t="s">
        <v>382</v>
      </c>
      <c r="L535" s="9">
        <v>1</v>
      </c>
      <c r="M535" s="9">
        <v>15</v>
      </c>
      <c r="R535" s="9">
        <v>5555</v>
      </c>
      <c r="AA535" s="9" t="s">
        <v>382</v>
      </c>
      <c r="AB535" s="9">
        <v>11</v>
      </c>
      <c r="AD535" s="9">
        <v>20000</v>
      </c>
      <c r="AF535" s="89">
        <f t="shared" si="136"/>
        <v>4000</v>
      </c>
      <c r="AG535" s="9">
        <f t="shared" si="144"/>
        <v>7200</v>
      </c>
      <c r="AI535" s="11">
        <f t="shared" si="135"/>
        <v>55</v>
      </c>
      <c r="AJ535" s="10">
        <v>55</v>
      </c>
      <c r="AK535" s="11">
        <f t="shared" si="142"/>
        <v>250</v>
      </c>
      <c r="AL535" s="10">
        <v>250</v>
      </c>
      <c r="AM535" s="11">
        <f t="shared" si="142"/>
        <v>250</v>
      </c>
      <c r="AN535" s="10">
        <v>250</v>
      </c>
      <c r="AO535" s="56">
        <f t="shared" si="137"/>
        <v>1</v>
      </c>
      <c r="AQ535" s="11">
        <f ca="1">IFERROR(OFFSET(ITEM_RES!$A$1,MATCH(AR535,ITEM_RES!$J:$J,0)-1,0),0)</f>
        <v>212040001</v>
      </c>
      <c r="AR535" s="10" t="s">
        <v>487</v>
      </c>
      <c r="AS535" s="11">
        <v>1250</v>
      </c>
      <c r="AV535" s="11">
        <f ca="1">IFERROR(OFFSET(ITEM_RES!$A$1,MATCH(AW535,ITEM_RES!$J:$J,0)-1,0),0)</f>
        <v>0</v>
      </c>
      <c r="BA535" s="11">
        <f ca="1">IFERROR(OFFSET(ITEM_RES!$A$1,MATCH(BB535,ITEM_RES!$J:$J,0)-1,0),0)</f>
        <v>0</v>
      </c>
      <c r="BF535" s="11">
        <f ca="1">IFERROR(OFFSET(ITEM_RES!$A$1,MATCH(BG535,ITEM_RES!$J:$J,0)-1,0),0)</f>
        <v>0</v>
      </c>
      <c r="BK535" s="11">
        <f ca="1">IFERROR(OFFSET(ITEM_RES!$A$1,MATCH(BL535,ITEM_RES!$J:$J,0)-1,0),0)</f>
        <v>0</v>
      </c>
    </row>
    <row r="536" spans="1:63" x14ac:dyDescent="0.3">
      <c r="A536" s="14">
        <f t="shared" si="139"/>
        <v>117040012</v>
      </c>
      <c r="B536" s="13">
        <v>11</v>
      </c>
      <c r="C536" s="12">
        <f t="shared" si="140"/>
        <v>7</v>
      </c>
      <c r="D536" s="13">
        <v>4</v>
      </c>
      <c r="E536" s="13">
        <v>0</v>
      </c>
      <c r="F536" s="12">
        <f t="shared" si="141"/>
        <v>12</v>
      </c>
      <c r="H536" s="9">
        <v>7</v>
      </c>
      <c r="I536" s="9">
        <v>12</v>
      </c>
      <c r="K536" s="9" t="s">
        <v>382</v>
      </c>
      <c r="L536" s="9">
        <v>1</v>
      </c>
      <c r="M536" s="9">
        <v>15</v>
      </c>
      <c r="R536" s="9">
        <v>5555</v>
      </c>
      <c r="AA536" s="9" t="s">
        <v>382</v>
      </c>
      <c r="AB536" s="9">
        <v>12</v>
      </c>
      <c r="AD536" s="9">
        <v>24000</v>
      </c>
      <c r="AF536" s="89">
        <f t="shared" si="136"/>
        <v>5300</v>
      </c>
      <c r="AG536" s="9">
        <f t="shared" si="144"/>
        <v>9300</v>
      </c>
      <c r="AI536" s="11">
        <f t="shared" si="135"/>
        <v>60</v>
      </c>
      <c r="AJ536" s="10">
        <v>60</v>
      </c>
      <c r="AK536" s="11">
        <f t="shared" si="142"/>
        <v>300</v>
      </c>
      <c r="AL536" s="10">
        <v>300</v>
      </c>
      <c r="AM536" s="11">
        <f t="shared" si="142"/>
        <v>300</v>
      </c>
      <c r="AN536" s="10">
        <v>300</v>
      </c>
      <c r="AO536" s="56">
        <f t="shared" si="137"/>
        <v>2</v>
      </c>
      <c r="AQ536" s="11">
        <f ca="1">IFERROR(OFFSET(ITEM_RES!$A$1,MATCH(AR536,ITEM_RES!$J:$J,0)-1,0),0)</f>
        <v>212040001</v>
      </c>
      <c r="AR536" s="10" t="s">
        <v>487</v>
      </c>
      <c r="AS536" s="11">
        <v>1500</v>
      </c>
      <c r="AV536" s="11">
        <f ca="1">IFERROR(OFFSET(ITEM_RES!$A$1,MATCH(AW536,ITEM_RES!$J:$J,0)-1,0),0)</f>
        <v>0</v>
      </c>
      <c r="BA536" s="11">
        <f ca="1">IFERROR(OFFSET(ITEM_RES!$A$1,MATCH(BB536,ITEM_RES!$J:$J,0)-1,0),0)</f>
        <v>0</v>
      </c>
      <c r="BF536" s="11">
        <f ca="1">IFERROR(OFFSET(ITEM_RES!$A$1,MATCH(BG536,ITEM_RES!$J:$J,0)-1,0),0)</f>
        <v>213170001</v>
      </c>
      <c r="BG536" s="10" t="s">
        <v>536</v>
      </c>
      <c r="BH536" s="11">
        <v>1</v>
      </c>
      <c r="BK536" s="11">
        <f ca="1">IFERROR(OFFSET(ITEM_RES!$A$1,MATCH(BL536,ITEM_RES!$J:$J,0)-1,0),0)</f>
        <v>0</v>
      </c>
    </row>
    <row r="537" spans="1:63" x14ac:dyDescent="0.3">
      <c r="A537" s="14">
        <f t="shared" si="139"/>
        <v>117040013</v>
      </c>
      <c r="B537" s="13">
        <v>11</v>
      </c>
      <c r="C537" s="12">
        <f t="shared" si="140"/>
        <v>7</v>
      </c>
      <c r="D537" s="13">
        <v>4</v>
      </c>
      <c r="E537" s="13">
        <v>0</v>
      </c>
      <c r="F537" s="12">
        <f t="shared" si="141"/>
        <v>13</v>
      </c>
      <c r="H537" s="9">
        <v>7</v>
      </c>
      <c r="I537" s="9">
        <v>13</v>
      </c>
      <c r="K537" s="9" t="s">
        <v>382</v>
      </c>
      <c r="L537" s="9">
        <v>1</v>
      </c>
      <c r="M537" s="9">
        <v>15</v>
      </c>
      <c r="R537" s="9">
        <v>5555</v>
      </c>
      <c r="AA537" s="9" t="s">
        <v>382</v>
      </c>
      <c r="AB537" s="9">
        <v>13</v>
      </c>
      <c r="AD537" s="9">
        <v>28000</v>
      </c>
      <c r="AF537" s="89">
        <f t="shared" si="136"/>
        <v>5600</v>
      </c>
      <c r="AG537" s="9">
        <f t="shared" si="144"/>
        <v>10900</v>
      </c>
      <c r="AI537" s="11">
        <f t="shared" ref="AI537:AI600" si="145">ROUND(AJ537,0)</f>
        <v>65</v>
      </c>
      <c r="AJ537" s="10">
        <v>65</v>
      </c>
      <c r="AK537" s="11">
        <f t="shared" si="142"/>
        <v>350</v>
      </c>
      <c r="AL537" s="10">
        <v>350</v>
      </c>
      <c r="AM537" s="11">
        <f t="shared" si="142"/>
        <v>350</v>
      </c>
      <c r="AN537" s="10">
        <v>350</v>
      </c>
      <c r="AO537" s="56">
        <f t="shared" si="137"/>
        <v>1</v>
      </c>
      <c r="AQ537" s="11">
        <f ca="1">IFERROR(OFFSET(ITEM_RES!$A$1,MATCH(AR537,ITEM_RES!$J:$J,0)-1,0),0)</f>
        <v>215050001</v>
      </c>
      <c r="AR537" s="10" t="s">
        <v>498</v>
      </c>
      <c r="AS537" s="11">
        <v>1750</v>
      </c>
      <c r="AV537" s="11">
        <f ca="1">IFERROR(OFFSET(ITEM_RES!$A$1,MATCH(AW537,ITEM_RES!$J:$J,0)-1,0),0)</f>
        <v>0</v>
      </c>
      <c r="BA537" s="11">
        <f ca="1">IFERROR(OFFSET(ITEM_RES!$A$1,MATCH(BB537,ITEM_RES!$J:$J,0)-1,0),0)</f>
        <v>0</v>
      </c>
      <c r="BF537" s="11">
        <f ca="1">IFERROR(OFFSET(ITEM_RES!$A$1,MATCH(BG537,ITEM_RES!$J:$J,0)-1,0),0)</f>
        <v>0</v>
      </c>
      <c r="BK537" s="11">
        <f ca="1">IFERROR(OFFSET(ITEM_RES!$A$1,MATCH(BL537,ITEM_RES!$J:$J,0)-1,0),0)</f>
        <v>0</v>
      </c>
    </row>
    <row r="538" spans="1:63" x14ac:dyDescent="0.3">
      <c r="A538" s="14">
        <f t="shared" si="139"/>
        <v>117040014</v>
      </c>
      <c r="B538" s="13">
        <v>11</v>
      </c>
      <c r="C538" s="12">
        <f t="shared" si="140"/>
        <v>7</v>
      </c>
      <c r="D538" s="13">
        <v>4</v>
      </c>
      <c r="E538" s="13">
        <v>0</v>
      </c>
      <c r="F538" s="12">
        <f t="shared" si="141"/>
        <v>14</v>
      </c>
      <c r="H538" s="9">
        <v>7</v>
      </c>
      <c r="I538" s="9">
        <v>14</v>
      </c>
      <c r="K538" s="9" t="s">
        <v>382</v>
      </c>
      <c r="L538" s="9">
        <v>1</v>
      </c>
      <c r="M538" s="9">
        <v>15</v>
      </c>
      <c r="R538" s="9">
        <v>5555</v>
      </c>
      <c r="AA538" s="9" t="s">
        <v>382</v>
      </c>
      <c r="AB538" s="9">
        <v>14</v>
      </c>
      <c r="AD538" s="9">
        <v>36000</v>
      </c>
      <c r="AF538" s="89">
        <f t="shared" ref="AF538:AF601" si="146">AL538*10+AN538+AS538+AX538+500*BC538+500*BH538+500*BM538</f>
        <v>7200</v>
      </c>
      <c r="AG538" s="9">
        <f t="shared" si="144"/>
        <v>12800</v>
      </c>
      <c r="AI538" s="11">
        <f t="shared" si="145"/>
        <v>70</v>
      </c>
      <c r="AJ538" s="10">
        <v>70</v>
      </c>
      <c r="AK538" s="11">
        <f t="shared" si="142"/>
        <v>450</v>
      </c>
      <c r="AL538" s="10">
        <v>450</v>
      </c>
      <c r="AM538" s="11">
        <f t="shared" si="142"/>
        <v>450</v>
      </c>
      <c r="AN538" s="10">
        <v>450</v>
      </c>
      <c r="AO538" s="56">
        <f t="shared" ref="AO538:AO601" si="147">(AS538&gt;0)*1+(AX538&gt;0)*1+(BC538&gt;0)*1+(BH538&gt;0)*1+(BM538&gt;0)*1</f>
        <v>1</v>
      </c>
      <c r="AQ538" s="11">
        <f ca="1">IFERROR(OFFSET(ITEM_RES!$A$1,MATCH(AR538,ITEM_RES!$J:$J,0)-1,0),0)</f>
        <v>215050001</v>
      </c>
      <c r="AR538" s="10" t="s">
        <v>498</v>
      </c>
      <c r="AS538" s="11">
        <v>2250</v>
      </c>
      <c r="AV538" s="11">
        <f ca="1">IFERROR(OFFSET(ITEM_RES!$A$1,MATCH(AW538,ITEM_RES!$J:$J,0)-1,0),0)</f>
        <v>0</v>
      </c>
      <c r="BA538" s="11">
        <f ca="1">IFERROR(OFFSET(ITEM_RES!$A$1,MATCH(BB538,ITEM_RES!$J:$J,0)-1,0),0)</f>
        <v>0</v>
      </c>
      <c r="BF538" s="11">
        <f ca="1">IFERROR(OFFSET(ITEM_RES!$A$1,MATCH(BG538,ITEM_RES!$J:$J,0)-1,0),0)</f>
        <v>0</v>
      </c>
      <c r="BK538" s="11">
        <f ca="1">IFERROR(OFFSET(ITEM_RES!$A$1,MATCH(BL538,ITEM_RES!$J:$J,0)-1,0),0)</f>
        <v>0</v>
      </c>
    </row>
    <row r="539" spans="1:63" x14ac:dyDescent="0.3">
      <c r="A539" s="14">
        <f t="shared" si="139"/>
        <v>117040015</v>
      </c>
      <c r="B539" s="13">
        <v>11</v>
      </c>
      <c r="C539" s="12">
        <f t="shared" si="140"/>
        <v>7</v>
      </c>
      <c r="D539" s="13">
        <v>4</v>
      </c>
      <c r="E539" s="13">
        <v>0</v>
      </c>
      <c r="F539" s="12">
        <f t="shared" si="141"/>
        <v>15</v>
      </c>
      <c r="H539" s="9">
        <v>7</v>
      </c>
      <c r="I539" s="9">
        <v>15</v>
      </c>
      <c r="K539" s="9" t="s">
        <v>382</v>
      </c>
      <c r="L539" s="9">
        <v>1</v>
      </c>
      <c r="M539" s="9">
        <v>15</v>
      </c>
      <c r="R539" s="9">
        <v>5555</v>
      </c>
      <c r="AA539" s="9" t="s">
        <v>382</v>
      </c>
      <c r="AB539" s="9">
        <v>15</v>
      </c>
      <c r="AD539" s="9">
        <v>44000</v>
      </c>
      <c r="AF539" s="89">
        <f t="shared" si="146"/>
        <v>8800</v>
      </c>
      <c r="AG539" s="9">
        <f t="shared" si="144"/>
        <v>16000</v>
      </c>
      <c r="AI539" s="11">
        <f t="shared" si="145"/>
        <v>75</v>
      </c>
      <c r="AJ539" s="10">
        <v>75</v>
      </c>
      <c r="AK539" s="11">
        <f t="shared" si="142"/>
        <v>550</v>
      </c>
      <c r="AL539" s="10">
        <v>550</v>
      </c>
      <c r="AM539" s="11">
        <f t="shared" si="142"/>
        <v>550</v>
      </c>
      <c r="AN539" s="10">
        <v>550</v>
      </c>
      <c r="AO539" s="56">
        <f t="shared" si="147"/>
        <v>1</v>
      </c>
      <c r="AQ539" s="11">
        <f ca="1">IFERROR(OFFSET(ITEM_RES!$A$1,MATCH(AR539,ITEM_RES!$J:$J,0)-1,0),0)</f>
        <v>215050001</v>
      </c>
      <c r="AR539" s="10" t="s">
        <v>498</v>
      </c>
      <c r="AS539" s="11">
        <v>2750</v>
      </c>
      <c r="AV539" s="11">
        <f ca="1">IFERROR(OFFSET(ITEM_RES!$A$1,MATCH(AW539,ITEM_RES!$J:$J,0)-1,0),0)</f>
        <v>0</v>
      </c>
      <c r="BA539" s="11">
        <f ca="1">IFERROR(OFFSET(ITEM_RES!$A$1,MATCH(BB539,ITEM_RES!$J:$J,0)-1,0),0)</f>
        <v>0</v>
      </c>
      <c r="BF539" s="11">
        <f ca="1">IFERROR(OFFSET(ITEM_RES!$A$1,MATCH(BG539,ITEM_RES!$J:$J,0)-1,0),0)</f>
        <v>0</v>
      </c>
      <c r="BK539" s="11">
        <f ca="1">IFERROR(OFFSET(ITEM_RES!$A$1,MATCH(BL539,ITEM_RES!$J:$J,0)-1,0),0)</f>
        <v>0</v>
      </c>
    </row>
    <row r="540" spans="1:63" x14ac:dyDescent="0.3">
      <c r="A540" s="14">
        <f t="shared" si="139"/>
        <v>117040016</v>
      </c>
      <c r="B540" s="13">
        <v>11</v>
      </c>
      <c r="C540" s="12">
        <f t="shared" si="140"/>
        <v>7</v>
      </c>
      <c r="D540" s="13">
        <v>4</v>
      </c>
      <c r="E540" s="13">
        <v>0</v>
      </c>
      <c r="F540" s="12">
        <f t="shared" si="141"/>
        <v>16</v>
      </c>
      <c r="H540" s="9">
        <v>7</v>
      </c>
      <c r="I540" s="9">
        <v>16</v>
      </c>
      <c r="K540" s="9" t="s">
        <v>382</v>
      </c>
      <c r="L540" s="9">
        <v>0</v>
      </c>
      <c r="M540" s="9">
        <v>15</v>
      </c>
      <c r="R540" s="9">
        <v>5555</v>
      </c>
      <c r="AA540" s="9" t="s">
        <v>382</v>
      </c>
      <c r="AB540" s="9">
        <v>16</v>
      </c>
      <c r="AD540" s="9">
        <v>56000</v>
      </c>
      <c r="AF540" s="89">
        <f t="shared" si="146"/>
        <v>11200</v>
      </c>
      <c r="AG540" s="9">
        <f t="shared" si="144"/>
        <v>20000</v>
      </c>
      <c r="AI540" s="11">
        <f t="shared" si="145"/>
        <v>80</v>
      </c>
      <c r="AJ540" s="10">
        <v>80</v>
      </c>
      <c r="AK540" s="11">
        <f t="shared" si="142"/>
        <v>700</v>
      </c>
      <c r="AL540" s="10">
        <v>700</v>
      </c>
      <c r="AM540" s="11">
        <f t="shared" si="142"/>
        <v>700</v>
      </c>
      <c r="AN540" s="10">
        <v>700</v>
      </c>
      <c r="AO540" s="56">
        <f t="shared" si="147"/>
        <v>1</v>
      </c>
      <c r="AQ540" s="11">
        <f ca="1">IFERROR(OFFSET(ITEM_RES!$A$1,MATCH(AR540,ITEM_RES!$J:$J,0)-1,0),0)</f>
        <v>215050001</v>
      </c>
      <c r="AR540" s="10" t="s">
        <v>498</v>
      </c>
      <c r="AS540" s="11">
        <v>3500</v>
      </c>
      <c r="AV540" s="11">
        <f ca="1">IFERROR(OFFSET(ITEM_RES!$A$1,MATCH(AW540,ITEM_RES!$J:$J,0)-1,0),0)</f>
        <v>0</v>
      </c>
      <c r="BA540" s="11">
        <f ca="1">IFERROR(OFFSET(ITEM_RES!$A$1,MATCH(BB540,ITEM_RES!$J:$J,0)-1,0),0)</f>
        <v>0</v>
      </c>
      <c r="BF540" s="11">
        <f ca="1">IFERROR(OFFSET(ITEM_RES!$A$1,MATCH(BG540,ITEM_RES!$J:$J,0)-1,0),0)</f>
        <v>0</v>
      </c>
      <c r="BK540" s="11">
        <f ca="1">IFERROR(OFFSET(ITEM_RES!$A$1,MATCH(BL540,ITEM_RES!$J:$J,0)-1,0),0)</f>
        <v>0</v>
      </c>
    </row>
    <row r="541" spans="1:63" x14ac:dyDescent="0.3">
      <c r="A541" s="14">
        <f t="shared" si="139"/>
        <v>117040017</v>
      </c>
      <c r="B541" s="13">
        <v>11</v>
      </c>
      <c r="C541" s="12">
        <f t="shared" si="140"/>
        <v>7</v>
      </c>
      <c r="D541" s="13">
        <v>4</v>
      </c>
      <c r="E541" s="13">
        <v>0</v>
      </c>
      <c r="F541" s="12">
        <f t="shared" si="141"/>
        <v>17</v>
      </c>
      <c r="H541" s="9">
        <v>7</v>
      </c>
      <c r="I541" s="9">
        <v>17</v>
      </c>
      <c r="K541" s="9" t="s">
        <v>382</v>
      </c>
      <c r="L541" s="9">
        <v>0</v>
      </c>
      <c r="M541" s="9">
        <v>15</v>
      </c>
      <c r="R541" s="9">
        <v>5555</v>
      </c>
      <c r="AA541" s="9" t="s">
        <v>382</v>
      </c>
      <c r="AB541" s="9">
        <v>17</v>
      </c>
      <c r="AD541" s="9">
        <v>68000</v>
      </c>
      <c r="AF541" s="89">
        <f t="shared" si="146"/>
        <v>13600</v>
      </c>
      <c r="AG541" s="9">
        <f t="shared" si="144"/>
        <v>24800</v>
      </c>
      <c r="AI541" s="11">
        <f t="shared" si="145"/>
        <v>85</v>
      </c>
      <c r="AJ541" s="10">
        <v>85</v>
      </c>
      <c r="AK541" s="11">
        <f t="shared" si="142"/>
        <v>850</v>
      </c>
      <c r="AL541" s="10">
        <v>850</v>
      </c>
      <c r="AM541" s="11">
        <f t="shared" si="142"/>
        <v>850</v>
      </c>
      <c r="AN541" s="10">
        <v>850</v>
      </c>
      <c r="AO541" s="56">
        <f t="shared" si="147"/>
        <v>1</v>
      </c>
      <c r="AQ541" s="11">
        <f ca="1">IFERROR(OFFSET(ITEM_RES!$A$1,MATCH(AR541,ITEM_RES!$J:$J,0)-1,0),0)</f>
        <v>215050001</v>
      </c>
      <c r="AR541" s="10" t="s">
        <v>498</v>
      </c>
      <c r="AS541" s="11">
        <v>4250</v>
      </c>
      <c r="AV541" s="11">
        <f ca="1">IFERROR(OFFSET(ITEM_RES!$A$1,MATCH(AW541,ITEM_RES!$J:$J,0)-1,0),0)</f>
        <v>0</v>
      </c>
      <c r="BA541" s="11">
        <f ca="1">IFERROR(OFFSET(ITEM_RES!$A$1,MATCH(BB541,ITEM_RES!$J:$J,0)-1,0),0)</f>
        <v>0</v>
      </c>
      <c r="BF541" s="11">
        <f ca="1">IFERROR(OFFSET(ITEM_RES!$A$1,MATCH(BG541,ITEM_RES!$J:$J,0)-1,0),0)</f>
        <v>0</v>
      </c>
      <c r="BK541" s="11">
        <f ca="1">IFERROR(OFFSET(ITEM_RES!$A$1,MATCH(BL541,ITEM_RES!$J:$J,0)-1,0),0)</f>
        <v>0</v>
      </c>
    </row>
    <row r="542" spans="1:63" x14ac:dyDescent="0.3">
      <c r="A542" s="14">
        <f t="shared" si="139"/>
        <v>117040018</v>
      </c>
      <c r="B542" s="13">
        <v>11</v>
      </c>
      <c r="C542" s="12">
        <f t="shared" si="140"/>
        <v>7</v>
      </c>
      <c r="D542" s="13">
        <v>4</v>
      </c>
      <c r="E542" s="13">
        <v>0</v>
      </c>
      <c r="F542" s="12">
        <f t="shared" si="141"/>
        <v>18</v>
      </c>
      <c r="H542" s="9">
        <v>7</v>
      </c>
      <c r="I542" s="9">
        <v>18</v>
      </c>
      <c r="K542" s="9" t="s">
        <v>382</v>
      </c>
      <c r="L542" s="9">
        <v>0</v>
      </c>
      <c r="M542" s="9">
        <v>15</v>
      </c>
      <c r="R542" s="9">
        <v>5555</v>
      </c>
      <c r="AA542" s="9" t="s">
        <v>382</v>
      </c>
      <c r="AB542" s="9">
        <v>18</v>
      </c>
      <c r="AD542" s="9">
        <v>84000</v>
      </c>
      <c r="AF542" s="89">
        <f t="shared" si="146"/>
        <v>16800</v>
      </c>
      <c r="AG542" s="9">
        <f t="shared" si="144"/>
        <v>30400</v>
      </c>
      <c r="AI542" s="11">
        <f t="shared" si="145"/>
        <v>90</v>
      </c>
      <c r="AJ542" s="10">
        <v>90</v>
      </c>
      <c r="AK542" s="11">
        <f t="shared" si="142"/>
        <v>1050</v>
      </c>
      <c r="AL542" s="10">
        <v>1050</v>
      </c>
      <c r="AM542" s="11">
        <f t="shared" si="142"/>
        <v>1050</v>
      </c>
      <c r="AN542" s="10">
        <v>1050</v>
      </c>
      <c r="AO542" s="56">
        <f t="shared" si="147"/>
        <v>1</v>
      </c>
      <c r="AQ542" s="11">
        <f ca="1">IFERROR(OFFSET(ITEM_RES!$A$1,MATCH(AR542,ITEM_RES!$J:$J,0)-1,0),0)</f>
        <v>215050001</v>
      </c>
      <c r="AR542" s="10" t="s">
        <v>498</v>
      </c>
      <c r="AS542" s="11">
        <v>5250</v>
      </c>
      <c r="AV542" s="11">
        <f ca="1">IFERROR(OFFSET(ITEM_RES!$A$1,MATCH(AW542,ITEM_RES!$J:$J,0)-1,0),0)</f>
        <v>0</v>
      </c>
      <c r="BA542" s="11">
        <f ca="1">IFERROR(OFFSET(ITEM_RES!$A$1,MATCH(BB542,ITEM_RES!$J:$J,0)-1,0),0)</f>
        <v>0</v>
      </c>
      <c r="BF542" s="11">
        <f ca="1">IFERROR(OFFSET(ITEM_RES!$A$1,MATCH(BG542,ITEM_RES!$J:$J,0)-1,0),0)</f>
        <v>0</v>
      </c>
      <c r="BK542" s="11">
        <f ca="1">IFERROR(OFFSET(ITEM_RES!$A$1,MATCH(BL542,ITEM_RES!$J:$J,0)-1,0),0)</f>
        <v>0</v>
      </c>
    </row>
    <row r="543" spans="1:63" x14ac:dyDescent="0.3">
      <c r="A543" s="14">
        <f t="shared" si="139"/>
        <v>117040019</v>
      </c>
      <c r="B543" s="13">
        <v>11</v>
      </c>
      <c r="C543" s="12">
        <f t="shared" si="140"/>
        <v>7</v>
      </c>
      <c r="D543" s="13">
        <v>4</v>
      </c>
      <c r="E543" s="13">
        <v>0</v>
      </c>
      <c r="F543" s="12">
        <f t="shared" si="141"/>
        <v>19</v>
      </c>
      <c r="H543" s="9">
        <v>7</v>
      </c>
      <c r="I543" s="9">
        <v>19</v>
      </c>
      <c r="K543" s="9" t="s">
        <v>382</v>
      </c>
      <c r="L543" s="9">
        <v>0</v>
      </c>
      <c r="M543" s="9">
        <v>15</v>
      </c>
      <c r="R543" s="9">
        <v>5555</v>
      </c>
      <c r="AA543" s="9" t="s">
        <v>382</v>
      </c>
      <c r="AB543" s="9">
        <v>19</v>
      </c>
      <c r="AD543" s="9">
        <v>100000</v>
      </c>
      <c r="AF543" s="89">
        <f t="shared" si="146"/>
        <v>20000</v>
      </c>
      <c r="AG543" s="9">
        <f t="shared" si="144"/>
        <v>36800</v>
      </c>
      <c r="AI543" s="11">
        <f t="shared" si="145"/>
        <v>95</v>
      </c>
      <c r="AJ543" s="10">
        <v>95</v>
      </c>
      <c r="AK543" s="11">
        <f t="shared" si="142"/>
        <v>1250</v>
      </c>
      <c r="AL543" s="10">
        <v>1250</v>
      </c>
      <c r="AM543" s="11">
        <f t="shared" si="142"/>
        <v>1250</v>
      </c>
      <c r="AN543" s="10">
        <v>1250</v>
      </c>
      <c r="AO543" s="56">
        <f t="shared" si="147"/>
        <v>1</v>
      </c>
      <c r="AQ543" s="11">
        <f ca="1">IFERROR(OFFSET(ITEM_RES!$A$1,MATCH(AR543,ITEM_RES!$J:$J,0)-1,0),0)</f>
        <v>215050001</v>
      </c>
      <c r="AR543" s="10" t="s">
        <v>498</v>
      </c>
      <c r="AS543" s="11">
        <v>6250</v>
      </c>
      <c r="AV543" s="11">
        <f ca="1">IFERROR(OFFSET(ITEM_RES!$A$1,MATCH(AW543,ITEM_RES!$J:$J,0)-1,0),0)</f>
        <v>0</v>
      </c>
      <c r="BA543" s="11">
        <f ca="1">IFERROR(OFFSET(ITEM_RES!$A$1,MATCH(BB543,ITEM_RES!$J:$J,0)-1,0),0)</f>
        <v>0</v>
      </c>
      <c r="BF543" s="11">
        <f ca="1">IFERROR(OFFSET(ITEM_RES!$A$1,MATCH(BG543,ITEM_RES!$J:$J,0)-1,0),0)</f>
        <v>0</v>
      </c>
      <c r="BK543" s="11">
        <f ca="1">IFERROR(OFFSET(ITEM_RES!$A$1,MATCH(BL543,ITEM_RES!$J:$J,0)-1,0),0)</f>
        <v>0</v>
      </c>
    </row>
    <row r="544" spans="1:63" ht="17.25" thickBot="1" x14ac:dyDescent="0.35">
      <c r="A544" s="14">
        <f t="shared" si="139"/>
        <v>117040020</v>
      </c>
      <c r="B544" s="13">
        <v>11</v>
      </c>
      <c r="C544" s="12">
        <f t="shared" si="140"/>
        <v>7</v>
      </c>
      <c r="D544" s="13">
        <v>4</v>
      </c>
      <c r="E544" s="13">
        <v>0</v>
      </c>
      <c r="F544" s="12">
        <f t="shared" si="141"/>
        <v>20</v>
      </c>
      <c r="H544" s="9">
        <v>7</v>
      </c>
      <c r="I544" s="9">
        <v>20</v>
      </c>
      <c r="K544" s="9" t="s">
        <v>382</v>
      </c>
      <c r="L544" s="9">
        <v>0</v>
      </c>
      <c r="M544" s="9">
        <v>15</v>
      </c>
      <c r="R544" s="9">
        <v>5555</v>
      </c>
      <c r="AA544" s="9" t="s">
        <v>382</v>
      </c>
      <c r="AB544" s="9">
        <v>20</v>
      </c>
      <c r="AD544" s="9">
        <v>120000</v>
      </c>
      <c r="AF544" s="89">
        <f t="shared" si="146"/>
        <v>24000</v>
      </c>
      <c r="AG544" s="9">
        <f t="shared" si="144"/>
        <v>44000</v>
      </c>
      <c r="AI544" s="11">
        <f t="shared" si="145"/>
        <v>100</v>
      </c>
      <c r="AJ544" s="10">
        <v>100</v>
      </c>
      <c r="AK544" s="11">
        <f t="shared" si="142"/>
        <v>1500</v>
      </c>
      <c r="AL544" s="10">
        <v>1500</v>
      </c>
      <c r="AM544" s="11">
        <f t="shared" si="142"/>
        <v>1500</v>
      </c>
      <c r="AN544" s="10">
        <v>1500</v>
      </c>
      <c r="AO544" s="56">
        <f t="shared" si="147"/>
        <v>1</v>
      </c>
      <c r="AQ544" s="11">
        <f ca="1">IFERROR(OFFSET(ITEM_RES!$A$1,MATCH(AR544,ITEM_RES!$J:$J,0)-1,0),0)</f>
        <v>215050001</v>
      </c>
      <c r="AR544" s="10" t="s">
        <v>498</v>
      </c>
      <c r="AS544" s="11">
        <v>7500</v>
      </c>
      <c r="AV544" s="11">
        <f ca="1">IFERROR(OFFSET(ITEM_RES!$A$1,MATCH(AW544,ITEM_RES!$J:$J,0)-1,0),0)</f>
        <v>0</v>
      </c>
      <c r="BA544" s="11">
        <f ca="1">IFERROR(OFFSET(ITEM_RES!$A$1,MATCH(BB544,ITEM_RES!$J:$J,0)-1,0),0)</f>
        <v>0</v>
      </c>
      <c r="BF544" s="11">
        <f ca="1">IFERROR(OFFSET(ITEM_RES!$A$1,MATCH(BG544,ITEM_RES!$J:$J,0)-1,0),0)</f>
        <v>0</v>
      </c>
      <c r="BK544" s="11">
        <f ca="1">IFERROR(OFFSET(ITEM_RES!$A$1,MATCH(BL544,ITEM_RES!$J:$J,0)-1,0),0)</f>
        <v>0</v>
      </c>
    </row>
    <row r="545" spans="1:66" s="15" customFormat="1" x14ac:dyDescent="0.3">
      <c r="A545" s="21">
        <f t="shared" si="139"/>
        <v>117050001</v>
      </c>
      <c r="B545" s="20">
        <v>11</v>
      </c>
      <c r="C545" s="19">
        <f t="shared" si="140"/>
        <v>7</v>
      </c>
      <c r="D545" s="20">
        <v>5</v>
      </c>
      <c r="E545" s="20">
        <v>0</v>
      </c>
      <c r="F545" s="19">
        <f t="shared" si="141"/>
        <v>1</v>
      </c>
      <c r="G545" s="80"/>
      <c r="H545" s="16">
        <v>7</v>
      </c>
      <c r="I545" s="16">
        <v>1</v>
      </c>
      <c r="J545" s="80"/>
      <c r="K545" s="16" t="s">
        <v>414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8"/>
      <c r="T545" s="80"/>
      <c r="U545" s="88"/>
      <c r="V545" s="88"/>
      <c r="W545" s="88"/>
      <c r="X545" s="88"/>
      <c r="Y545" s="88"/>
      <c r="Z545" s="16"/>
      <c r="AA545" s="16" t="s">
        <v>414</v>
      </c>
      <c r="AB545" s="16">
        <v>1</v>
      </c>
      <c r="AC545" s="80"/>
      <c r="AD545" s="16">
        <v>100</v>
      </c>
      <c r="AE545" s="80"/>
      <c r="AF545" s="91">
        <f t="shared" si="146"/>
        <v>1080</v>
      </c>
      <c r="AG545" s="16">
        <f>AF545</f>
        <v>1080</v>
      </c>
      <c r="AH545" s="80"/>
      <c r="AI545" s="18">
        <f t="shared" si="145"/>
        <v>5</v>
      </c>
      <c r="AJ545" s="17">
        <v>5</v>
      </c>
      <c r="AK545" s="18">
        <f t="shared" si="142"/>
        <v>5</v>
      </c>
      <c r="AL545" s="17">
        <v>5</v>
      </c>
      <c r="AM545" s="18">
        <f t="shared" si="142"/>
        <v>5</v>
      </c>
      <c r="AN545" s="17">
        <v>5</v>
      </c>
      <c r="AO545" s="57">
        <f t="shared" si="147"/>
        <v>3</v>
      </c>
      <c r="AP545" s="18"/>
      <c r="AQ545" s="18">
        <f ca="1">IFERROR(OFFSET(ITEM_RES!$A$1,MATCH(AR545,ITEM_RES!$J:$J,0)-1,0),0)</f>
        <v>212040001</v>
      </c>
      <c r="AR545" s="17" t="s">
        <v>481</v>
      </c>
      <c r="AS545" s="18">
        <v>25</v>
      </c>
      <c r="AT545" s="17"/>
      <c r="AU545" s="18"/>
      <c r="AV545" s="18">
        <f ca="1">IFERROR(OFFSET(ITEM_RES!$A$1,MATCH(AW545,ITEM_RES!$J:$J,0)-1,0),0)</f>
        <v>0</v>
      </c>
      <c r="AW545" s="17"/>
      <c r="AX545" s="18"/>
      <c r="AY545" s="17"/>
      <c r="AZ545" s="18"/>
      <c r="BA545" s="18">
        <f ca="1">IFERROR(OFFSET(ITEM_RES!$A$1,MATCH(BB545,ITEM_RES!$J:$J,0)-1,0),0)</f>
        <v>213010001</v>
      </c>
      <c r="BB545" s="17" t="s">
        <v>509</v>
      </c>
      <c r="BC545" s="18">
        <v>1</v>
      </c>
      <c r="BD545" s="17"/>
      <c r="BE545" s="18"/>
      <c r="BF545" s="18">
        <f ca="1">IFERROR(OFFSET(ITEM_RES!$A$1,MATCH(BG545,ITEM_RES!$J:$J,0)-1,0),0)</f>
        <v>213030001</v>
      </c>
      <c r="BG545" s="17" t="s">
        <v>533</v>
      </c>
      <c r="BH545" s="18">
        <v>1</v>
      </c>
      <c r="BI545" s="17"/>
      <c r="BJ545" s="18"/>
      <c r="BK545" s="18">
        <f ca="1">IFERROR(OFFSET(ITEM_RES!$A$1,MATCH(BL545,ITEM_RES!$J:$J,0)-1,0),0)</f>
        <v>0</v>
      </c>
      <c r="BL545" s="17"/>
      <c r="BM545" s="18"/>
      <c r="BN545" s="17"/>
    </row>
    <row r="546" spans="1:66" x14ac:dyDescent="0.3">
      <c r="A546" s="14">
        <f t="shared" si="139"/>
        <v>117050002</v>
      </c>
      <c r="B546" s="13">
        <v>11</v>
      </c>
      <c r="C546" s="12">
        <f t="shared" si="140"/>
        <v>7</v>
      </c>
      <c r="D546" s="13">
        <v>5</v>
      </c>
      <c r="E546" s="13">
        <v>0</v>
      </c>
      <c r="F546" s="12">
        <f t="shared" si="141"/>
        <v>2</v>
      </c>
      <c r="H546" s="9">
        <v>7</v>
      </c>
      <c r="I546" s="9">
        <v>2</v>
      </c>
      <c r="K546" s="9" t="s">
        <v>414</v>
      </c>
      <c r="L546" s="9">
        <v>1</v>
      </c>
      <c r="M546" s="9">
        <v>15</v>
      </c>
      <c r="R546" s="9">
        <v>6666</v>
      </c>
      <c r="AA546" s="9" t="s">
        <v>414</v>
      </c>
      <c r="AB546" s="9">
        <v>2</v>
      </c>
      <c r="AD546" s="9">
        <v>200</v>
      </c>
      <c r="AF546" s="89">
        <f t="shared" si="146"/>
        <v>160</v>
      </c>
      <c r="AG546" s="9">
        <f>AF545+AF546</f>
        <v>1240</v>
      </c>
      <c r="AI546" s="11">
        <f t="shared" si="145"/>
        <v>10</v>
      </c>
      <c r="AJ546" s="10">
        <v>10</v>
      </c>
      <c r="AK546" s="11">
        <f t="shared" si="142"/>
        <v>10</v>
      </c>
      <c r="AL546" s="10">
        <v>10</v>
      </c>
      <c r="AM546" s="11">
        <f t="shared" si="142"/>
        <v>10</v>
      </c>
      <c r="AN546" s="10">
        <v>10</v>
      </c>
      <c r="AO546" s="56">
        <f t="shared" si="147"/>
        <v>1</v>
      </c>
      <c r="AQ546" s="11">
        <f ca="1">IFERROR(OFFSET(ITEM_RES!$A$1,MATCH(AR546,ITEM_RES!$J:$J,0)-1,0),0)</f>
        <v>212040001</v>
      </c>
      <c r="AR546" s="10" t="s">
        <v>481</v>
      </c>
      <c r="AS546" s="11">
        <v>50</v>
      </c>
      <c r="AV546" s="11">
        <f ca="1">IFERROR(OFFSET(ITEM_RES!$A$1,MATCH(AW546,ITEM_RES!$J:$J,0)-1,0),0)</f>
        <v>0</v>
      </c>
      <c r="BA546" s="11">
        <f ca="1">IFERROR(OFFSET(ITEM_RES!$A$1,MATCH(BB546,ITEM_RES!$J:$J,0)-1,0),0)</f>
        <v>0</v>
      </c>
      <c r="BF546" s="11">
        <f ca="1">IFERROR(OFFSET(ITEM_RES!$A$1,MATCH(BG546,ITEM_RES!$J:$J,0)-1,0),0)</f>
        <v>0</v>
      </c>
      <c r="BK546" s="11">
        <f ca="1">IFERROR(OFFSET(ITEM_RES!$A$1,MATCH(BL546,ITEM_RES!$J:$J,0)-1,0),0)</f>
        <v>0</v>
      </c>
    </row>
    <row r="547" spans="1:66" x14ac:dyDescent="0.3">
      <c r="A547" s="14">
        <f t="shared" si="139"/>
        <v>117050003</v>
      </c>
      <c r="B547" s="13">
        <v>11</v>
      </c>
      <c r="C547" s="12">
        <f t="shared" si="140"/>
        <v>7</v>
      </c>
      <c r="D547" s="13">
        <v>5</v>
      </c>
      <c r="E547" s="13">
        <v>0</v>
      </c>
      <c r="F547" s="12">
        <f t="shared" si="141"/>
        <v>3</v>
      </c>
      <c r="H547" s="9">
        <v>7</v>
      </c>
      <c r="I547" s="9">
        <v>3</v>
      </c>
      <c r="K547" s="9" t="s">
        <v>413</v>
      </c>
      <c r="L547" s="9">
        <v>1</v>
      </c>
      <c r="M547" s="9">
        <v>15</v>
      </c>
      <c r="R547" s="9">
        <v>6666</v>
      </c>
      <c r="AA547" s="9" t="s">
        <v>413</v>
      </c>
      <c r="AB547" s="9">
        <v>3</v>
      </c>
      <c r="AD547" s="9">
        <v>600</v>
      </c>
      <c r="AF547" s="89">
        <f t="shared" si="146"/>
        <v>240</v>
      </c>
      <c r="AG547" s="9">
        <f t="shared" ref="AG547:AG564" si="148">AF546+AF547</f>
        <v>400</v>
      </c>
      <c r="AI547" s="11">
        <f t="shared" si="145"/>
        <v>15</v>
      </c>
      <c r="AJ547" s="10">
        <v>15</v>
      </c>
      <c r="AK547" s="11">
        <f t="shared" si="142"/>
        <v>15</v>
      </c>
      <c r="AL547" s="10">
        <v>15</v>
      </c>
      <c r="AM547" s="11">
        <f t="shared" si="142"/>
        <v>15</v>
      </c>
      <c r="AN547" s="10">
        <v>15</v>
      </c>
      <c r="AO547" s="56">
        <f t="shared" si="147"/>
        <v>1</v>
      </c>
      <c r="AQ547" s="11">
        <f ca="1">IFERROR(OFFSET(ITEM_RES!$A$1,MATCH(AR547,ITEM_RES!$J:$J,0)-1,0),0)</f>
        <v>212040001</v>
      </c>
      <c r="AR547" s="10" t="s">
        <v>481</v>
      </c>
      <c r="AS547" s="11">
        <v>75</v>
      </c>
      <c r="AV547" s="11">
        <f ca="1">IFERROR(OFFSET(ITEM_RES!$A$1,MATCH(AW547,ITEM_RES!$J:$J,0)-1,0),0)</f>
        <v>0</v>
      </c>
      <c r="BA547" s="11">
        <f ca="1">IFERROR(OFFSET(ITEM_RES!$A$1,MATCH(BB547,ITEM_RES!$J:$J,0)-1,0),0)</f>
        <v>0</v>
      </c>
      <c r="BF547" s="11">
        <f ca="1">IFERROR(OFFSET(ITEM_RES!$A$1,MATCH(BG547,ITEM_RES!$J:$J,0)-1,0),0)</f>
        <v>0</v>
      </c>
      <c r="BK547" s="11">
        <f ca="1">IFERROR(OFFSET(ITEM_RES!$A$1,MATCH(BL547,ITEM_RES!$J:$J,0)-1,0),0)</f>
        <v>0</v>
      </c>
    </row>
    <row r="548" spans="1:66" x14ac:dyDescent="0.3">
      <c r="A548" s="14">
        <f t="shared" si="139"/>
        <v>117050004</v>
      </c>
      <c r="B548" s="13">
        <v>11</v>
      </c>
      <c r="C548" s="12">
        <f t="shared" si="140"/>
        <v>7</v>
      </c>
      <c r="D548" s="13">
        <v>5</v>
      </c>
      <c r="E548" s="13">
        <v>0</v>
      </c>
      <c r="F548" s="12">
        <f t="shared" si="141"/>
        <v>4</v>
      </c>
      <c r="H548" s="9">
        <v>7</v>
      </c>
      <c r="I548" s="9">
        <v>4</v>
      </c>
      <c r="K548" s="9" t="s">
        <v>413</v>
      </c>
      <c r="L548" s="9">
        <v>1</v>
      </c>
      <c r="M548" s="9">
        <v>15</v>
      </c>
      <c r="R548" s="9">
        <v>6666</v>
      </c>
      <c r="AA548" s="9" t="s">
        <v>413</v>
      </c>
      <c r="AB548" s="9">
        <v>4</v>
      </c>
      <c r="AD548" s="9">
        <v>1000</v>
      </c>
      <c r="AF548" s="89">
        <f t="shared" si="146"/>
        <v>400</v>
      </c>
      <c r="AG548" s="9">
        <f t="shared" si="148"/>
        <v>640</v>
      </c>
      <c r="AI548" s="11">
        <f t="shared" si="145"/>
        <v>20</v>
      </c>
      <c r="AJ548" s="10">
        <v>20</v>
      </c>
      <c r="AK548" s="11">
        <f t="shared" si="142"/>
        <v>25</v>
      </c>
      <c r="AL548" s="10">
        <v>25</v>
      </c>
      <c r="AM548" s="11">
        <f t="shared" si="142"/>
        <v>25</v>
      </c>
      <c r="AN548" s="10">
        <v>25</v>
      </c>
      <c r="AO548" s="56">
        <f t="shared" si="147"/>
        <v>1</v>
      </c>
      <c r="AQ548" s="11">
        <f ca="1">IFERROR(OFFSET(ITEM_RES!$A$1,MATCH(AR548,ITEM_RES!$J:$J,0)-1,0),0)</f>
        <v>212040001</v>
      </c>
      <c r="AR548" s="10" t="s">
        <v>481</v>
      </c>
      <c r="AS548" s="11">
        <v>125</v>
      </c>
      <c r="AV548" s="11">
        <f ca="1">IFERROR(OFFSET(ITEM_RES!$A$1,MATCH(AW548,ITEM_RES!$J:$J,0)-1,0),0)</f>
        <v>0</v>
      </c>
      <c r="BA548" s="11">
        <f ca="1">IFERROR(OFFSET(ITEM_RES!$A$1,MATCH(BB548,ITEM_RES!$J:$J,0)-1,0),0)</f>
        <v>0</v>
      </c>
      <c r="BF548" s="11">
        <f ca="1">IFERROR(OFFSET(ITEM_RES!$A$1,MATCH(BG548,ITEM_RES!$J:$J,0)-1,0),0)</f>
        <v>0</v>
      </c>
      <c r="BK548" s="11">
        <f ca="1">IFERROR(OFFSET(ITEM_RES!$A$1,MATCH(BL548,ITEM_RES!$J:$J,0)-1,0),0)</f>
        <v>0</v>
      </c>
    </row>
    <row r="549" spans="1:66" x14ac:dyDescent="0.3">
      <c r="A549" s="14">
        <f t="shared" si="139"/>
        <v>117050005</v>
      </c>
      <c r="B549" s="13">
        <v>11</v>
      </c>
      <c r="C549" s="12">
        <f t="shared" si="140"/>
        <v>7</v>
      </c>
      <c r="D549" s="13">
        <v>5</v>
      </c>
      <c r="E549" s="13">
        <v>0</v>
      </c>
      <c r="F549" s="12">
        <f t="shared" si="141"/>
        <v>5</v>
      </c>
      <c r="H549" s="9">
        <v>7</v>
      </c>
      <c r="I549" s="9">
        <v>5</v>
      </c>
      <c r="K549" s="9" t="s">
        <v>413</v>
      </c>
      <c r="L549" s="9">
        <v>1</v>
      </c>
      <c r="M549" s="9">
        <v>15</v>
      </c>
      <c r="R549" s="9">
        <v>6666</v>
      </c>
      <c r="AA549" s="9" t="s">
        <v>413</v>
      </c>
      <c r="AB549" s="9">
        <v>5</v>
      </c>
      <c r="AD549" s="9">
        <v>1600</v>
      </c>
      <c r="AF549" s="89">
        <f t="shared" si="146"/>
        <v>640</v>
      </c>
      <c r="AG549" s="9">
        <f t="shared" si="148"/>
        <v>1040</v>
      </c>
      <c r="AI549" s="11">
        <f t="shared" si="145"/>
        <v>25</v>
      </c>
      <c r="AJ549" s="10">
        <v>25</v>
      </c>
      <c r="AK549" s="11">
        <f t="shared" si="142"/>
        <v>40</v>
      </c>
      <c r="AL549" s="10">
        <v>40</v>
      </c>
      <c r="AM549" s="11">
        <f t="shared" si="142"/>
        <v>40</v>
      </c>
      <c r="AN549" s="10">
        <v>40</v>
      </c>
      <c r="AO549" s="56">
        <f t="shared" si="147"/>
        <v>1</v>
      </c>
      <c r="AQ549" s="11">
        <f ca="1">IFERROR(OFFSET(ITEM_RES!$A$1,MATCH(AR549,ITEM_RES!$J:$J,0)-1,0),0)</f>
        <v>212040001</v>
      </c>
      <c r="AR549" s="10" t="s">
        <v>481</v>
      </c>
      <c r="AS549" s="11">
        <v>200</v>
      </c>
      <c r="AV549" s="11">
        <f ca="1">IFERROR(OFFSET(ITEM_RES!$A$1,MATCH(AW549,ITEM_RES!$J:$J,0)-1,0),0)</f>
        <v>0</v>
      </c>
      <c r="BA549" s="11">
        <f ca="1">IFERROR(OFFSET(ITEM_RES!$A$1,MATCH(BB549,ITEM_RES!$J:$J,0)-1,0),0)</f>
        <v>0</v>
      </c>
      <c r="BF549" s="11">
        <f ca="1">IFERROR(OFFSET(ITEM_RES!$A$1,MATCH(BG549,ITEM_RES!$J:$J,0)-1,0),0)</f>
        <v>0</v>
      </c>
      <c r="BK549" s="11">
        <f ca="1">IFERROR(OFFSET(ITEM_RES!$A$1,MATCH(BL549,ITEM_RES!$J:$J,0)-1,0),0)</f>
        <v>0</v>
      </c>
    </row>
    <row r="550" spans="1:66" x14ac:dyDescent="0.3">
      <c r="A550" s="14">
        <f t="shared" si="139"/>
        <v>117050006</v>
      </c>
      <c r="B550" s="13">
        <v>11</v>
      </c>
      <c r="C550" s="12">
        <f t="shared" si="140"/>
        <v>7</v>
      </c>
      <c r="D550" s="13">
        <v>5</v>
      </c>
      <c r="E550" s="13">
        <v>0</v>
      </c>
      <c r="F550" s="12">
        <f t="shared" si="141"/>
        <v>6</v>
      </c>
      <c r="H550" s="9">
        <v>7</v>
      </c>
      <c r="I550" s="9">
        <v>6</v>
      </c>
      <c r="K550" s="9" t="s">
        <v>413</v>
      </c>
      <c r="L550" s="9">
        <v>1</v>
      </c>
      <c r="M550" s="9">
        <v>15</v>
      </c>
      <c r="R550" s="9">
        <v>6666</v>
      </c>
      <c r="AA550" s="9" t="s">
        <v>413</v>
      </c>
      <c r="AB550" s="9">
        <v>6</v>
      </c>
      <c r="AD550" s="9">
        <v>2000</v>
      </c>
      <c r="AF550" s="89">
        <f t="shared" si="146"/>
        <v>1300</v>
      </c>
      <c r="AG550" s="9">
        <f t="shared" si="148"/>
        <v>1940</v>
      </c>
      <c r="AI550" s="11">
        <f t="shared" si="145"/>
        <v>30</v>
      </c>
      <c r="AJ550" s="10">
        <v>30</v>
      </c>
      <c r="AK550" s="11">
        <f t="shared" si="142"/>
        <v>50</v>
      </c>
      <c r="AL550" s="10">
        <v>50</v>
      </c>
      <c r="AM550" s="11">
        <f t="shared" si="142"/>
        <v>50</v>
      </c>
      <c r="AN550" s="10">
        <v>50</v>
      </c>
      <c r="AO550" s="56">
        <f t="shared" si="147"/>
        <v>2</v>
      </c>
      <c r="AQ550" s="11">
        <f ca="1">IFERROR(OFFSET(ITEM_RES!$A$1,MATCH(AR550,ITEM_RES!$J:$J,0)-1,0),0)</f>
        <v>212040001</v>
      </c>
      <c r="AR550" s="10" t="s">
        <v>481</v>
      </c>
      <c r="AS550" s="11">
        <v>250</v>
      </c>
      <c r="AV550" s="11">
        <f ca="1">IFERROR(OFFSET(ITEM_RES!$A$1,MATCH(AW550,ITEM_RES!$J:$J,0)-1,0),0)</f>
        <v>0</v>
      </c>
      <c r="BA550" s="11">
        <f ca="1">IFERROR(OFFSET(ITEM_RES!$A$1,MATCH(BB550,ITEM_RES!$J:$J,0)-1,0),0)</f>
        <v>0</v>
      </c>
      <c r="BF550" s="11">
        <f ca="1">IFERROR(OFFSET(ITEM_RES!$A$1,MATCH(BG550,ITEM_RES!$J:$J,0)-1,0),0)</f>
        <v>213190001</v>
      </c>
      <c r="BG550" s="10" t="s">
        <v>539</v>
      </c>
      <c r="BH550" s="11">
        <v>1</v>
      </c>
      <c r="BK550" s="11">
        <f ca="1">IFERROR(OFFSET(ITEM_RES!$A$1,MATCH(BL550,ITEM_RES!$J:$J,0)-1,0),0)</f>
        <v>0</v>
      </c>
    </row>
    <row r="551" spans="1:66" x14ac:dyDescent="0.3">
      <c r="A551" s="14">
        <f t="shared" si="139"/>
        <v>117050007</v>
      </c>
      <c r="B551" s="13">
        <v>11</v>
      </c>
      <c r="C551" s="12">
        <f t="shared" si="140"/>
        <v>7</v>
      </c>
      <c r="D551" s="13">
        <v>5</v>
      </c>
      <c r="E551" s="13">
        <v>0</v>
      </c>
      <c r="F551" s="12">
        <f t="shared" si="141"/>
        <v>7</v>
      </c>
      <c r="H551" s="9">
        <v>7</v>
      </c>
      <c r="I551" s="9">
        <v>7</v>
      </c>
      <c r="K551" s="9" t="s">
        <v>413</v>
      </c>
      <c r="L551" s="9">
        <v>1</v>
      </c>
      <c r="M551" s="9">
        <v>15</v>
      </c>
      <c r="R551" s="9">
        <v>6666</v>
      </c>
      <c r="AA551" s="9" t="s">
        <v>413</v>
      </c>
      <c r="AB551" s="9">
        <v>7</v>
      </c>
      <c r="AD551" s="9">
        <v>4000</v>
      </c>
      <c r="AF551" s="89">
        <f t="shared" si="146"/>
        <v>1600</v>
      </c>
      <c r="AG551" s="9">
        <f t="shared" si="148"/>
        <v>2900</v>
      </c>
      <c r="AI551" s="11">
        <f t="shared" si="145"/>
        <v>35</v>
      </c>
      <c r="AJ551" s="10">
        <v>35</v>
      </c>
      <c r="AK551" s="11">
        <f t="shared" si="142"/>
        <v>100</v>
      </c>
      <c r="AL551" s="10">
        <v>100</v>
      </c>
      <c r="AM551" s="11">
        <f t="shared" si="142"/>
        <v>100</v>
      </c>
      <c r="AN551" s="10">
        <v>100</v>
      </c>
      <c r="AO551" s="56">
        <f t="shared" si="147"/>
        <v>1</v>
      </c>
      <c r="AQ551" s="11">
        <f ca="1">IFERROR(OFFSET(ITEM_RES!$A$1,MATCH(AR551,ITEM_RES!$J:$J,0)-1,0),0)</f>
        <v>212040001</v>
      </c>
      <c r="AR551" s="10" t="s">
        <v>481</v>
      </c>
      <c r="AS551" s="11">
        <v>500</v>
      </c>
      <c r="AV551" s="11">
        <f ca="1">IFERROR(OFFSET(ITEM_RES!$A$1,MATCH(AW551,ITEM_RES!$J:$J,0)-1,0),0)</f>
        <v>0</v>
      </c>
      <c r="BA551" s="11">
        <f ca="1">IFERROR(OFFSET(ITEM_RES!$A$1,MATCH(BB551,ITEM_RES!$J:$J,0)-1,0),0)</f>
        <v>0</v>
      </c>
      <c r="BF551" s="11">
        <f ca="1">IFERROR(OFFSET(ITEM_RES!$A$1,MATCH(BG551,ITEM_RES!$J:$J,0)-1,0),0)</f>
        <v>0</v>
      </c>
      <c r="BK551" s="11">
        <f ca="1">IFERROR(OFFSET(ITEM_RES!$A$1,MATCH(BL551,ITEM_RES!$J:$J,0)-1,0),0)</f>
        <v>0</v>
      </c>
    </row>
    <row r="552" spans="1:66" x14ac:dyDescent="0.3">
      <c r="A552" s="14">
        <f t="shared" si="139"/>
        <v>117050008</v>
      </c>
      <c r="B552" s="13">
        <v>11</v>
      </c>
      <c r="C552" s="12">
        <f t="shared" si="140"/>
        <v>7</v>
      </c>
      <c r="D552" s="13">
        <v>5</v>
      </c>
      <c r="E552" s="13">
        <v>0</v>
      </c>
      <c r="F552" s="12">
        <f t="shared" si="141"/>
        <v>8</v>
      </c>
      <c r="H552" s="9">
        <v>7</v>
      </c>
      <c r="I552" s="9">
        <v>8</v>
      </c>
      <c r="K552" s="9" t="s">
        <v>413</v>
      </c>
      <c r="L552" s="9">
        <v>1</v>
      </c>
      <c r="M552" s="9">
        <v>15</v>
      </c>
      <c r="R552" s="9">
        <v>6666</v>
      </c>
      <c r="AA552" s="9" t="s">
        <v>413</v>
      </c>
      <c r="AB552" s="9">
        <v>8</v>
      </c>
      <c r="AD552" s="9">
        <v>4000</v>
      </c>
      <c r="AF552" s="89">
        <f t="shared" si="146"/>
        <v>1600</v>
      </c>
      <c r="AG552" s="9">
        <f t="shared" si="148"/>
        <v>3200</v>
      </c>
      <c r="AI552" s="11">
        <f t="shared" si="145"/>
        <v>40</v>
      </c>
      <c r="AJ552" s="10">
        <v>40</v>
      </c>
      <c r="AK552" s="11">
        <f t="shared" si="142"/>
        <v>100</v>
      </c>
      <c r="AL552" s="10">
        <v>100</v>
      </c>
      <c r="AM552" s="11">
        <f t="shared" si="142"/>
        <v>100</v>
      </c>
      <c r="AN552" s="10">
        <v>100</v>
      </c>
      <c r="AO552" s="56">
        <f t="shared" si="147"/>
        <v>1</v>
      </c>
      <c r="AQ552" s="11">
        <f ca="1">IFERROR(OFFSET(ITEM_RES!$A$1,MATCH(AR552,ITEM_RES!$J:$J,0)-1,0),0)</f>
        <v>212040001</v>
      </c>
      <c r="AR552" s="10" t="s">
        <v>481</v>
      </c>
      <c r="AS552" s="11">
        <v>500</v>
      </c>
      <c r="AV552" s="11">
        <f ca="1">IFERROR(OFFSET(ITEM_RES!$A$1,MATCH(AW552,ITEM_RES!$J:$J,0)-1,0),0)</f>
        <v>0</v>
      </c>
      <c r="BA552" s="11">
        <f ca="1">IFERROR(OFFSET(ITEM_RES!$A$1,MATCH(BB552,ITEM_RES!$J:$J,0)-1,0),0)</f>
        <v>0</v>
      </c>
      <c r="BF552" s="11">
        <f ca="1">IFERROR(OFFSET(ITEM_RES!$A$1,MATCH(BG552,ITEM_RES!$J:$J,0)-1,0),0)</f>
        <v>0</v>
      </c>
      <c r="BK552" s="11">
        <f ca="1">IFERROR(OFFSET(ITEM_RES!$A$1,MATCH(BL552,ITEM_RES!$J:$J,0)-1,0),0)</f>
        <v>0</v>
      </c>
    </row>
    <row r="553" spans="1:66" x14ac:dyDescent="0.3">
      <c r="A553" s="14">
        <f t="shared" si="139"/>
        <v>117050009</v>
      </c>
      <c r="B553" s="13">
        <v>11</v>
      </c>
      <c r="C553" s="12">
        <f t="shared" si="140"/>
        <v>7</v>
      </c>
      <c r="D553" s="13">
        <v>5</v>
      </c>
      <c r="E553" s="13">
        <v>0</v>
      </c>
      <c r="F553" s="12">
        <f t="shared" si="141"/>
        <v>9</v>
      </c>
      <c r="H553" s="9">
        <v>7</v>
      </c>
      <c r="I553" s="9">
        <v>9</v>
      </c>
      <c r="K553" s="9" t="s">
        <v>413</v>
      </c>
      <c r="L553" s="9">
        <v>1</v>
      </c>
      <c r="M553" s="9">
        <v>15</v>
      </c>
      <c r="R553" s="9">
        <v>6666</v>
      </c>
      <c r="AA553" s="9" t="s">
        <v>413</v>
      </c>
      <c r="AB553" s="9">
        <v>9</v>
      </c>
      <c r="AD553" s="9">
        <v>6000</v>
      </c>
      <c r="AF553" s="89">
        <f t="shared" si="146"/>
        <v>2400</v>
      </c>
      <c r="AG553" s="9">
        <f t="shared" si="148"/>
        <v>4000</v>
      </c>
      <c r="AI553" s="11">
        <f t="shared" si="145"/>
        <v>45</v>
      </c>
      <c r="AJ553" s="10">
        <v>45</v>
      </c>
      <c r="AK553" s="11">
        <f t="shared" si="142"/>
        <v>150</v>
      </c>
      <c r="AL553" s="10">
        <v>150</v>
      </c>
      <c r="AM553" s="11">
        <f t="shared" si="142"/>
        <v>150</v>
      </c>
      <c r="AN553" s="10">
        <v>150</v>
      </c>
      <c r="AO553" s="56">
        <f t="shared" si="147"/>
        <v>1</v>
      </c>
      <c r="AQ553" s="11">
        <f ca="1">IFERROR(OFFSET(ITEM_RES!$A$1,MATCH(AR553,ITEM_RES!$J:$J,0)-1,0),0)</f>
        <v>212040001</v>
      </c>
      <c r="AR553" s="10" t="s">
        <v>481</v>
      </c>
      <c r="AS553" s="11">
        <v>750</v>
      </c>
      <c r="AV553" s="11">
        <f ca="1">IFERROR(OFFSET(ITEM_RES!$A$1,MATCH(AW553,ITEM_RES!$J:$J,0)-1,0),0)</f>
        <v>0</v>
      </c>
      <c r="BA553" s="11">
        <f ca="1">IFERROR(OFFSET(ITEM_RES!$A$1,MATCH(BB553,ITEM_RES!$J:$J,0)-1,0),0)</f>
        <v>0</v>
      </c>
      <c r="BF553" s="11">
        <f ca="1">IFERROR(OFFSET(ITEM_RES!$A$1,MATCH(BG553,ITEM_RES!$J:$J,0)-1,0),0)</f>
        <v>0</v>
      </c>
      <c r="BK553" s="11">
        <f ca="1">IFERROR(OFFSET(ITEM_RES!$A$1,MATCH(BL553,ITEM_RES!$J:$J,0)-1,0),0)</f>
        <v>0</v>
      </c>
    </row>
    <row r="554" spans="1:66" x14ac:dyDescent="0.3">
      <c r="A554" s="14">
        <f t="shared" si="139"/>
        <v>117050010</v>
      </c>
      <c r="B554" s="13">
        <v>11</v>
      </c>
      <c r="C554" s="12">
        <f t="shared" si="140"/>
        <v>7</v>
      </c>
      <c r="D554" s="13">
        <v>5</v>
      </c>
      <c r="E554" s="13">
        <v>0</v>
      </c>
      <c r="F554" s="12">
        <f t="shared" si="141"/>
        <v>10</v>
      </c>
      <c r="H554" s="9">
        <v>7</v>
      </c>
      <c r="I554" s="9">
        <v>10</v>
      </c>
      <c r="K554" s="9" t="s">
        <v>413</v>
      </c>
      <c r="L554" s="9">
        <v>1</v>
      </c>
      <c r="M554" s="9">
        <v>15</v>
      </c>
      <c r="R554" s="9">
        <v>6666</v>
      </c>
      <c r="AA554" s="9" t="s">
        <v>413</v>
      </c>
      <c r="AB554" s="9">
        <v>10</v>
      </c>
      <c r="AD554" s="9">
        <v>8000</v>
      </c>
      <c r="AF554" s="89">
        <f t="shared" si="146"/>
        <v>3200</v>
      </c>
      <c r="AG554" s="9">
        <f t="shared" si="148"/>
        <v>5600</v>
      </c>
      <c r="AI554" s="11">
        <f t="shared" si="145"/>
        <v>50</v>
      </c>
      <c r="AJ554" s="10">
        <v>50</v>
      </c>
      <c r="AK554" s="11">
        <f t="shared" si="142"/>
        <v>200</v>
      </c>
      <c r="AL554" s="10">
        <v>200</v>
      </c>
      <c r="AM554" s="11">
        <f t="shared" si="142"/>
        <v>200</v>
      </c>
      <c r="AN554" s="10">
        <v>200</v>
      </c>
      <c r="AO554" s="56">
        <f t="shared" si="147"/>
        <v>1</v>
      </c>
      <c r="AQ554" s="11">
        <f ca="1">IFERROR(OFFSET(ITEM_RES!$A$1,MATCH(AR554,ITEM_RES!$J:$J,0)-1,0),0)</f>
        <v>212040001</v>
      </c>
      <c r="AR554" s="10" t="s">
        <v>481</v>
      </c>
      <c r="AS554" s="11">
        <v>1000</v>
      </c>
      <c r="AV554" s="11">
        <f ca="1">IFERROR(OFFSET(ITEM_RES!$A$1,MATCH(AW554,ITEM_RES!$J:$J,0)-1,0),0)</f>
        <v>0</v>
      </c>
      <c r="BA554" s="11">
        <f ca="1">IFERROR(OFFSET(ITEM_RES!$A$1,MATCH(BB554,ITEM_RES!$J:$J,0)-1,0),0)</f>
        <v>0</v>
      </c>
      <c r="BF554" s="11">
        <f ca="1">IFERROR(OFFSET(ITEM_RES!$A$1,MATCH(BG554,ITEM_RES!$J:$J,0)-1,0),0)</f>
        <v>0</v>
      </c>
      <c r="BK554" s="11">
        <f ca="1">IFERROR(OFFSET(ITEM_RES!$A$1,MATCH(BL554,ITEM_RES!$J:$J,0)-1,0),0)</f>
        <v>0</v>
      </c>
    </row>
    <row r="555" spans="1:66" x14ac:dyDescent="0.3">
      <c r="A555" s="14">
        <f t="shared" si="139"/>
        <v>117050011</v>
      </c>
      <c r="B555" s="13">
        <v>11</v>
      </c>
      <c r="C555" s="12">
        <f t="shared" si="140"/>
        <v>7</v>
      </c>
      <c r="D555" s="13">
        <v>5</v>
      </c>
      <c r="E555" s="13">
        <v>0</v>
      </c>
      <c r="F555" s="12">
        <f t="shared" si="141"/>
        <v>11</v>
      </c>
      <c r="H555" s="9">
        <v>7</v>
      </c>
      <c r="I555" s="9">
        <v>11</v>
      </c>
      <c r="K555" s="9" t="s">
        <v>413</v>
      </c>
      <c r="L555" s="9">
        <v>1</v>
      </c>
      <c r="M555" s="9">
        <v>15</v>
      </c>
      <c r="R555" s="9">
        <v>6666</v>
      </c>
      <c r="AA555" s="9" t="s">
        <v>413</v>
      </c>
      <c r="AB555" s="9">
        <v>11</v>
      </c>
      <c r="AD555" s="9">
        <v>10000</v>
      </c>
      <c r="AF555" s="89">
        <f t="shared" si="146"/>
        <v>4000</v>
      </c>
      <c r="AG555" s="9">
        <f t="shared" si="148"/>
        <v>7200</v>
      </c>
      <c r="AI555" s="11">
        <f t="shared" si="145"/>
        <v>55</v>
      </c>
      <c r="AJ555" s="10">
        <v>55</v>
      </c>
      <c r="AK555" s="11">
        <f t="shared" si="142"/>
        <v>250</v>
      </c>
      <c r="AL555" s="10">
        <v>250</v>
      </c>
      <c r="AM555" s="11">
        <f t="shared" si="142"/>
        <v>250</v>
      </c>
      <c r="AN555" s="10">
        <v>250</v>
      </c>
      <c r="AO555" s="56">
        <f t="shared" si="147"/>
        <v>1</v>
      </c>
      <c r="AQ555" s="11">
        <f ca="1">IFERROR(OFFSET(ITEM_RES!$A$1,MATCH(AR555,ITEM_RES!$J:$J,0)-1,0),0)</f>
        <v>212040001</v>
      </c>
      <c r="AR555" s="10" t="s">
        <v>481</v>
      </c>
      <c r="AS555" s="11">
        <v>1250</v>
      </c>
      <c r="AV555" s="11">
        <f ca="1">IFERROR(OFFSET(ITEM_RES!$A$1,MATCH(AW555,ITEM_RES!$J:$J,0)-1,0),0)</f>
        <v>0</v>
      </c>
      <c r="BA555" s="11">
        <f ca="1">IFERROR(OFFSET(ITEM_RES!$A$1,MATCH(BB555,ITEM_RES!$J:$J,0)-1,0),0)</f>
        <v>0</v>
      </c>
      <c r="BF555" s="11">
        <f ca="1">IFERROR(OFFSET(ITEM_RES!$A$1,MATCH(BG555,ITEM_RES!$J:$J,0)-1,0),0)</f>
        <v>0</v>
      </c>
      <c r="BK555" s="11">
        <f ca="1">IFERROR(OFFSET(ITEM_RES!$A$1,MATCH(BL555,ITEM_RES!$J:$J,0)-1,0),0)</f>
        <v>0</v>
      </c>
    </row>
    <row r="556" spans="1:66" x14ac:dyDescent="0.3">
      <c r="A556" s="14">
        <f t="shared" si="139"/>
        <v>117050012</v>
      </c>
      <c r="B556" s="13">
        <v>11</v>
      </c>
      <c r="C556" s="12">
        <f t="shared" si="140"/>
        <v>7</v>
      </c>
      <c r="D556" s="13">
        <v>5</v>
      </c>
      <c r="E556" s="13">
        <v>0</v>
      </c>
      <c r="F556" s="12">
        <f t="shared" si="141"/>
        <v>12</v>
      </c>
      <c r="H556" s="9">
        <v>7</v>
      </c>
      <c r="I556" s="9">
        <v>12</v>
      </c>
      <c r="K556" s="9" t="s">
        <v>413</v>
      </c>
      <c r="L556" s="9">
        <v>1</v>
      </c>
      <c r="M556" s="9">
        <v>15</v>
      </c>
      <c r="R556" s="9">
        <v>6666</v>
      </c>
      <c r="AA556" s="9" t="s">
        <v>413</v>
      </c>
      <c r="AB556" s="9">
        <v>12</v>
      </c>
      <c r="AD556" s="9">
        <v>12000</v>
      </c>
      <c r="AF556" s="89">
        <f t="shared" si="146"/>
        <v>4800</v>
      </c>
      <c r="AG556" s="9">
        <f t="shared" si="148"/>
        <v>8800</v>
      </c>
      <c r="AI556" s="11">
        <f t="shared" si="145"/>
        <v>60</v>
      </c>
      <c r="AJ556" s="10">
        <v>60</v>
      </c>
      <c r="AK556" s="11">
        <f t="shared" si="142"/>
        <v>300</v>
      </c>
      <c r="AL556" s="10">
        <v>300</v>
      </c>
      <c r="AM556" s="11">
        <f t="shared" si="142"/>
        <v>300</v>
      </c>
      <c r="AN556" s="10">
        <v>300</v>
      </c>
      <c r="AO556" s="56">
        <f t="shared" si="147"/>
        <v>1</v>
      </c>
      <c r="AQ556" s="11">
        <f ca="1">IFERROR(OFFSET(ITEM_RES!$A$1,MATCH(AR556,ITEM_RES!$J:$J,0)-1,0),0)</f>
        <v>212040001</v>
      </c>
      <c r="AR556" s="10" t="s">
        <v>481</v>
      </c>
      <c r="AS556" s="11">
        <v>1500</v>
      </c>
      <c r="AV556" s="11">
        <f ca="1">IFERROR(OFFSET(ITEM_RES!$A$1,MATCH(AW556,ITEM_RES!$J:$J,0)-1,0),0)</f>
        <v>0</v>
      </c>
      <c r="BA556" s="11">
        <f ca="1">IFERROR(OFFSET(ITEM_RES!$A$1,MATCH(BB556,ITEM_RES!$J:$J,0)-1,0),0)</f>
        <v>0</v>
      </c>
      <c r="BF556" s="11">
        <f ca="1">IFERROR(OFFSET(ITEM_RES!$A$1,MATCH(BG556,ITEM_RES!$J:$J,0)-1,0),0)</f>
        <v>0</v>
      </c>
      <c r="BK556" s="11">
        <f ca="1">IFERROR(OFFSET(ITEM_RES!$A$1,MATCH(BL556,ITEM_RES!$J:$J,0)-1,0),0)</f>
        <v>0</v>
      </c>
    </row>
    <row r="557" spans="1:66" x14ac:dyDescent="0.3">
      <c r="A557" s="14">
        <f t="shared" ref="A557:A604" si="149">B557*10000000+C557*1000000+D557*10000+E557*100+F557</f>
        <v>117050013</v>
      </c>
      <c r="B557" s="13">
        <v>11</v>
      </c>
      <c r="C557" s="12">
        <f t="shared" ref="C557:C604" si="150">H557</f>
        <v>7</v>
      </c>
      <c r="D557" s="13">
        <v>5</v>
      </c>
      <c r="E557" s="13">
        <v>0</v>
      </c>
      <c r="F557" s="12">
        <f t="shared" ref="F557:F604" si="151">I557</f>
        <v>13</v>
      </c>
      <c r="H557" s="9">
        <v>7</v>
      </c>
      <c r="I557" s="9">
        <v>13</v>
      </c>
      <c r="K557" s="9" t="s">
        <v>413</v>
      </c>
      <c r="L557" s="9">
        <v>1</v>
      </c>
      <c r="M557" s="9">
        <v>15</v>
      </c>
      <c r="R557" s="9">
        <v>6666</v>
      </c>
      <c r="AA557" s="9" t="s">
        <v>413</v>
      </c>
      <c r="AB557" s="9">
        <v>13</v>
      </c>
      <c r="AD557" s="9">
        <v>14000</v>
      </c>
      <c r="AF557" s="89">
        <f t="shared" si="146"/>
        <v>5600</v>
      </c>
      <c r="AG557" s="9">
        <f t="shared" si="148"/>
        <v>10400</v>
      </c>
      <c r="AI557" s="11">
        <f t="shared" si="145"/>
        <v>65</v>
      </c>
      <c r="AJ557" s="10">
        <v>65</v>
      </c>
      <c r="AK557" s="11">
        <f t="shared" si="142"/>
        <v>350</v>
      </c>
      <c r="AL557" s="10">
        <v>350</v>
      </c>
      <c r="AM557" s="11">
        <f t="shared" si="142"/>
        <v>350</v>
      </c>
      <c r="AN557" s="10">
        <v>350</v>
      </c>
      <c r="AO557" s="56">
        <f t="shared" si="147"/>
        <v>1</v>
      </c>
      <c r="AQ557" s="11">
        <f ca="1">IFERROR(OFFSET(ITEM_RES!$A$1,MATCH(AR557,ITEM_RES!$J:$J,0)-1,0),0)</f>
        <v>212040001</v>
      </c>
      <c r="AR557" s="10" t="s">
        <v>481</v>
      </c>
      <c r="AS557" s="11">
        <v>1750</v>
      </c>
      <c r="AV557" s="11">
        <f ca="1">IFERROR(OFFSET(ITEM_RES!$A$1,MATCH(AW557,ITEM_RES!$J:$J,0)-1,0),0)</f>
        <v>0</v>
      </c>
      <c r="BA557" s="11">
        <f ca="1">IFERROR(OFFSET(ITEM_RES!$A$1,MATCH(BB557,ITEM_RES!$J:$J,0)-1,0),0)</f>
        <v>0</v>
      </c>
      <c r="BF557" s="11">
        <f ca="1">IFERROR(OFFSET(ITEM_RES!$A$1,MATCH(BG557,ITEM_RES!$J:$J,0)-1,0),0)</f>
        <v>0</v>
      </c>
      <c r="BK557" s="11">
        <f ca="1">IFERROR(OFFSET(ITEM_RES!$A$1,MATCH(BL557,ITEM_RES!$J:$J,0)-1,0),0)</f>
        <v>0</v>
      </c>
    </row>
    <row r="558" spans="1:66" x14ac:dyDescent="0.3">
      <c r="A558" s="14">
        <f t="shared" si="149"/>
        <v>117050014</v>
      </c>
      <c r="B558" s="13">
        <v>11</v>
      </c>
      <c r="C558" s="12">
        <f t="shared" si="150"/>
        <v>7</v>
      </c>
      <c r="D558" s="13">
        <v>5</v>
      </c>
      <c r="E558" s="13">
        <v>0</v>
      </c>
      <c r="F558" s="12">
        <f t="shared" si="151"/>
        <v>14</v>
      </c>
      <c r="H558" s="9">
        <v>7</v>
      </c>
      <c r="I558" s="9">
        <v>14</v>
      </c>
      <c r="K558" s="9" t="s">
        <v>413</v>
      </c>
      <c r="L558" s="9">
        <v>1</v>
      </c>
      <c r="M558" s="9">
        <v>15</v>
      </c>
      <c r="R558" s="9">
        <v>6666</v>
      </c>
      <c r="AA558" s="9" t="s">
        <v>413</v>
      </c>
      <c r="AB558" s="9">
        <v>14</v>
      </c>
      <c r="AD558" s="9">
        <v>18000</v>
      </c>
      <c r="AF558" s="89">
        <f t="shared" si="146"/>
        <v>7200</v>
      </c>
      <c r="AG558" s="9">
        <f t="shared" si="148"/>
        <v>12800</v>
      </c>
      <c r="AI558" s="11">
        <f t="shared" si="145"/>
        <v>70</v>
      </c>
      <c r="AJ558" s="10">
        <v>70</v>
      </c>
      <c r="AK558" s="11">
        <f t="shared" ref="AK558:AM604" si="152">ROUND(AL558,0)</f>
        <v>450</v>
      </c>
      <c r="AL558" s="10">
        <v>450</v>
      </c>
      <c r="AM558" s="11">
        <f t="shared" si="152"/>
        <v>450</v>
      </c>
      <c r="AN558" s="10">
        <v>450</v>
      </c>
      <c r="AO558" s="56">
        <f t="shared" si="147"/>
        <v>1</v>
      </c>
      <c r="AQ558" s="11">
        <f ca="1">IFERROR(OFFSET(ITEM_RES!$A$1,MATCH(AR558,ITEM_RES!$J:$J,0)-1,0),0)</f>
        <v>212040001</v>
      </c>
      <c r="AR558" s="10" t="s">
        <v>481</v>
      </c>
      <c r="AS558" s="11">
        <v>2250</v>
      </c>
      <c r="AV558" s="11">
        <f ca="1">IFERROR(OFFSET(ITEM_RES!$A$1,MATCH(AW558,ITEM_RES!$J:$J,0)-1,0),0)</f>
        <v>0</v>
      </c>
      <c r="BA558" s="11">
        <f ca="1">IFERROR(OFFSET(ITEM_RES!$A$1,MATCH(BB558,ITEM_RES!$J:$J,0)-1,0),0)</f>
        <v>0</v>
      </c>
      <c r="BF558" s="11">
        <f ca="1">IFERROR(OFFSET(ITEM_RES!$A$1,MATCH(BG558,ITEM_RES!$J:$J,0)-1,0),0)</f>
        <v>0</v>
      </c>
      <c r="BK558" s="11">
        <f ca="1">IFERROR(OFFSET(ITEM_RES!$A$1,MATCH(BL558,ITEM_RES!$J:$J,0)-1,0),0)</f>
        <v>0</v>
      </c>
    </row>
    <row r="559" spans="1:66" x14ac:dyDescent="0.3">
      <c r="A559" s="14">
        <f t="shared" si="149"/>
        <v>117050015</v>
      </c>
      <c r="B559" s="13">
        <v>11</v>
      </c>
      <c r="C559" s="12">
        <f t="shared" si="150"/>
        <v>7</v>
      </c>
      <c r="D559" s="13">
        <v>5</v>
      </c>
      <c r="E559" s="13">
        <v>0</v>
      </c>
      <c r="F559" s="12">
        <f t="shared" si="151"/>
        <v>15</v>
      </c>
      <c r="H559" s="9">
        <v>7</v>
      </c>
      <c r="I559" s="9">
        <v>15</v>
      </c>
      <c r="K559" s="9" t="s">
        <v>413</v>
      </c>
      <c r="L559" s="9">
        <v>1</v>
      </c>
      <c r="M559" s="9">
        <v>15</v>
      </c>
      <c r="R559" s="9">
        <v>6666</v>
      </c>
      <c r="AA559" s="9" t="s">
        <v>413</v>
      </c>
      <c r="AB559" s="9">
        <v>15</v>
      </c>
      <c r="AD559" s="9">
        <v>22000</v>
      </c>
      <c r="AF559" s="89">
        <f t="shared" si="146"/>
        <v>8800</v>
      </c>
      <c r="AG559" s="9">
        <f t="shared" si="148"/>
        <v>16000</v>
      </c>
      <c r="AI559" s="11">
        <f t="shared" si="145"/>
        <v>75</v>
      </c>
      <c r="AJ559" s="10">
        <v>75</v>
      </c>
      <c r="AK559" s="11">
        <f t="shared" si="152"/>
        <v>550</v>
      </c>
      <c r="AL559" s="10">
        <v>550</v>
      </c>
      <c r="AM559" s="11">
        <f t="shared" si="152"/>
        <v>550</v>
      </c>
      <c r="AN559" s="10">
        <v>550</v>
      </c>
      <c r="AO559" s="56">
        <f t="shared" si="147"/>
        <v>1</v>
      </c>
      <c r="AQ559" s="11">
        <f ca="1">IFERROR(OFFSET(ITEM_RES!$A$1,MATCH(AR559,ITEM_RES!$J:$J,0)-1,0),0)</f>
        <v>215050001</v>
      </c>
      <c r="AR559" s="10" t="s">
        <v>496</v>
      </c>
      <c r="AS559" s="11">
        <v>2750</v>
      </c>
      <c r="AV559" s="11">
        <f ca="1">IFERROR(OFFSET(ITEM_RES!$A$1,MATCH(AW559,ITEM_RES!$J:$J,0)-1,0),0)</f>
        <v>0</v>
      </c>
      <c r="BA559" s="11">
        <f ca="1">IFERROR(OFFSET(ITEM_RES!$A$1,MATCH(BB559,ITEM_RES!$J:$J,0)-1,0),0)</f>
        <v>0</v>
      </c>
      <c r="BF559" s="11">
        <f ca="1">IFERROR(OFFSET(ITEM_RES!$A$1,MATCH(BG559,ITEM_RES!$J:$J,0)-1,0),0)</f>
        <v>0</v>
      </c>
      <c r="BK559" s="11">
        <f ca="1">IFERROR(OFFSET(ITEM_RES!$A$1,MATCH(BL559,ITEM_RES!$J:$J,0)-1,0),0)</f>
        <v>0</v>
      </c>
    </row>
    <row r="560" spans="1:66" x14ac:dyDescent="0.3">
      <c r="A560" s="14">
        <f t="shared" si="149"/>
        <v>117050016</v>
      </c>
      <c r="B560" s="13">
        <v>11</v>
      </c>
      <c r="C560" s="12">
        <f t="shared" si="150"/>
        <v>7</v>
      </c>
      <c r="D560" s="13">
        <v>5</v>
      </c>
      <c r="E560" s="13">
        <v>0</v>
      </c>
      <c r="F560" s="12">
        <f t="shared" si="151"/>
        <v>16</v>
      </c>
      <c r="H560" s="9">
        <v>7</v>
      </c>
      <c r="I560" s="9">
        <v>16</v>
      </c>
      <c r="K560" s="9" t="s">
        <v>413</v>
      </c>
      <c r="L560" s="9">
        <v>0</v>
      </c>
      <c r="M560" s="9">
        <v>15</v>
      </c>
      <c r="R560" s="9">
        <v>6666</v>
      </c>
      <c r="AA560" s="9" t="s">
        <v>413</v>
      </c>
      <c r="AB560" s="9">
        <v>16</v>
      </c>
      <c r="AD560" s="9">
        <v>28000</v>
      </c>
      <c r="AF560" s="89">
        <f t="shared" si="146"/>
        <v>11200</v>
      </c>
      <c r="AG560" s="9">
        <f t="shared" si="148"/>
        <v>20000</v>
      </c>
      <c r="AI560" s="11">
        <f t="shared" si="145"/>
        <v>80</v>
      </c>
      <c r="AJ560" s="10">
        <v>80</v>
      </c>
      <c r="AK560" s="11">
        <f t="shared" si="152"/>
        <v>700</v>
      </c>
      <c r="AL560" s="10">
        <v>700</v>
      </c>
      <c r="AM560" s="11">
        <f t="shared" si="152"/>
        <v>700</v>
      </c>
      <c r="AN560" s="10">
        <v>700</v>
      </c>
      <c r="AO560" s="56">
        <f t="shared" si="147"/>
        <v>1</v>
      </c>
      <c r="AQ560" s="11">
        <f ca="1">IFERROR(OFFSET(ITEM_RES!$A$1,MATCH(AR560,ITEM_RES!$J:$J,0)-1,0),0)</f>
        <v>215050001</v>
      </c>
      <c r="AR560" s="10" t="s">
        <v>496</v>
      </c>
      <c r="AS560" s="11">
        <v>3500</v>
      </c>
      <c r="AV560" s="11">
        <f ca="1">IFERROR(OFFSET(ITEM_RES!$A$1,MATCH(AW560,ITEM_RES!$J:$J,0)-1,0),0)</f>
        <v>0</v>
      </c>
      <c r="BA560" s="11">
        <f ca="1">IFERROR(OFFSET(ITEM_RES!$A$1,MATCH(BB560,ITEM_RES!$J:$J,0)-1,0),0)</f>
        <v>0</v>
      </c>
      <c r="BF560" s="11">
        <f ca="1">IFERROR(OFFSET(ITEM_RES!$A$1,MATCH(BG560,ITEM_RES!$J:$J,0)-1,0),0)</f>
        <v>0</v>
      </c>
      <c r="BK560" s="11">
        <f ca="1">IFERROR(OFFSET(ITEM_RES!$A$1,MATCH(BL560,ITEM_RES!$J:$J,0)-1,0),0)</f>
        <v>0</v>
      </c>
    </row>
    <row r="561" spans="1:66" x14ac:dyDescent="0.3">
      <c r="A561" s="14">
        <f t="shared" si="149"/>
        <v>117050017</v>
      </c>
      <c r="B561" s="13">
        <v>11</v>
      </c>
      <c r="C561" s="12">
        <f t="shared" si="150"/>
        <v>7</v>
      </c>
      <c r="D561" s="13">
        <v>5</v>
      </c>
      <c r="E561" s="13">
        <v>0</v>
      </c>
      <c r="F561" s="12">
        <f t="shared" si="151"/>
        <v>17</v>
      </c>
      <c r="H561" s="9">
        <v>7</v>
      </c>
      <c r="I561" s="9">
        <v>17</v>
      </c>
      <c r="K561" s="9" t="s">
        <v>413</v>
      </c>
      <c r="L561" s="9">
        <v>0</v>
      </c>
      <c r="M561" s="9">
        <v>15</v>
      </c>
      <c r="R561" s="9">
        <v>6666</v>
      </c>
      <c r="AA561" s="9" t="s">
        <v>413</v>
      </c>
      <c r="AB561" s="9">
        <v>17</v>
      </c>
      <c r="AD561" s="9">
        <v>34000</v>
      </c>
      <c r="AF561" s="89">
        <f t="shared" si="146"/>
        <v>13600</v>
      </c>
      <c r="AG561" s="9">
        <f t="shared" si="148"/>
        <v>24800</v>
      </c>
      <c r="AI561" s="11">
        <f t="shared" si="145"/>
        <v>85</v>
      </c>
      <c r="AJ561" s="10">
        <v>85</v>
      </c>
      <c r="AK561" s="11">
        <f t="shared" si="152"/>
        <v>850</v>
      </c>
      <c r="AL561" s="10">
        <v>850</v>
      </c>
      <c r="AM561" s="11">
        <f t="shared" si="152"/>
        <v>850</v>
      </c>
      <c r="AN561" s="10">
        <v>850</v>
      </c>
      <c r="AO561" s="56">
        <f t="shared" si="147"/>
        <v>1</v>
      </c>
      <c r="AQ561" s="11">
        <f ca="1">IFERROR(OFFSET(ITEM_RES!$A$1,MATCH(AR561,ITEM_RES!$J:$J,0)-1,0),0)</f>
        <v>215050001</v>
      </c>
      <c r="AR561" s="10" t="s">
        <v>496</v>
      </c>
      <c r="AS561" s="11">
        <v>4250</v>
      </c>
      <c r="AV561" s="11">
        <f ca="1">IFERROR(OFFSET(ITEM_RES!$A$1,MATCH(AW561,ITEM_RES!$J:$J,0)-1,0),0)</f>
        <v>0</v>
      </c>
      <c r="BA561" s="11">
        <f ca="1">IFERROR(OFFSET(ITEM_RES!$A$1,MATCH(BB561,ITEM_RES!$J:$J,0)-1,0),0)</f>
        <v>0</v>
      </c>
      <c r="BF561" s="11">
        <f ca="1">IFERROR(OFFSET(ITEM_RES!$A$1,MATCH(BG561,ITEM_RES!$J:$J,0)-1,0),0)</f>
        <v>0</v>
      </c>
      <c r="BK561" s="11">
        <f ca="1">IFERROR(OFFSET(ITEM_RES!$A$1,MATCH(BL561,ITEM_RES!$J:$J,0)-1,0),0)</f>
        <v>0</v>
      </c>
    </row>
    <row r="562" spans="1:66" x14ac:dyDescent="0.3">
      <c r="A562" s="14">
        <f t="shared" si="149"/>
        <v>117050018</v>
      </c>
      <c r="B562" s="13">
        <v>11</v>
      </c>
      <c r="C562" s="12">
        <f t="shared" si="150"/>
        <v>7</v>
      </c>
      <c r="D562" s="13">
        <v>5</v>
      </c>
      <c r="E562" s="13">
        <v>0</v>
      </c>
      <c r="F562" s="12">
        <f t="shared" si="151"/>
        <v>18</v>
      </c>
      <c r="H562" s="9">
        <v>7</v>
      </c>
      <c r="I562" s="9">
        <v>18</v>
      </c>
      <c r="K562" s="9" t="s">
        <v>413</v>
      </c>
      <c r="L562" s="9">
        <v>0</v>
      </c>
      <c r="M562" s="9">
        <v>15</v>
      </c>
      <c r="R562" s="9">
        <v>6666</v>
      </c>
      <c r="AA562" s="9" t="s">
        <v>413</v>
      </c>
      <c r="AB562" s="9">
        <v>18</v>
      </c>
      <c r="AD562" s="9">
        <v>42000</v>
      </c>
      <c r="AF562" s="89">
        <f t="shared" si="146"/>
        <v>17300</v>
      </c>
      <c r="AG562" s="9">
        <f t="shared" si="148"/>
        <v>30900</v>
      </c>
      <c r="AI562" s="11">
        <f t="shared" si="145"/>
        <v>90</v>
      </c>
      <c r="AJ562" s="10">
        <v>90</v>
      </c>
      <c r="AK562" s="11">
        <f t="shared" si="152"/>
        <v>1050</v>
      </c>
      <c r="AL562" s="10">
        <v>1050</v>
      </c>
      <c r="AM562" s="11">
        <f t="shared" si="152"/>
        <v>1050</v>
      </c>
      <c r="AN562" s="10">
        <v>1050</v>
      </c>
      <c r="AO562" s="56">
        <f t="shared" si="147"/>
        <v>2</v>
      </c>
      <c r="AQ562" s="11">
        <f ca="1">IFERROR(OFFSET(ITEM_RES!$A$1,MATCH(AR562,ITEM_RES!$J:$J,0)-1,0),0)</f>
        <v>215050001</v>
      </c>
      <c r="AR562" s="10" t="s">
        <v>496</v>
      </c>
      <c r="AS562" s="11">
        <v>5250</v>
      </c>
      <c r="AV562" s="11">
        <f ca="1">IFERROR(OFFSET(ITEM_RES!$A$1,MATCH(AW562,ITEM_RES!$J:$J,0)-1,0),0)</f>
        <v>0</v>
      </c>
      <c r="BA562" s="11">
        <f ca="1">IFERROR(OFFSET(ITEM_RES!$A$1,MATCH(BB562,ITEM_RES!$J:$J,0)-1,0),0)</f>
        <v>0</v>
      </c>
      <c r="BF562" s="11">
        <f ca="1">IFERROR(OFFSET(ITEM_RES!$A$1,MATCH(BG562,ITEM_RES!$J:$J,0)-1,0),0)</f>
        <v>213190001</v>
      </c>
      <c r="BG562" s="10" t="s">
        <v>539</v>
      </c>
      <c r="BH562" s="11">
        <v>1</v>
      </c>
      <c r="BK562" s="11">
        <f ca="1">IFERROR(OFFSET(ITEM_RES!$A$1,MATCH(BL562,ITEM_RES!$J:$J,0)-1,0),0)</f>
        <v>0</v>
      </c>
    </row>
    <row r="563" spans="1:66" x14ac:dyDescent="0.3">
      <c r="A563" s="14">
        <f t="shared" si="149"/>
        <v>117050019</v>
      </c>
      <c r="B563" s="13">
        <v>11</v>
      </c>
      <c r="C563" s="12">
        <f t="shared" si="150"/>
        <v>7</v>
      </c>
      <c r="D563" s="13">
        <v>5</v>
      </c>
      <c r="E563" s="13">
        <v>0</v>
      </c>
      <c r="F563" s="12">
        <f t="shared" si="151"/>
        <v>19</v>
      </c>
      <c r="H563" s="9">
        <v>7</v>
      </c>
      <c r="I563" s="9">
        <v>19</v>
      </c>
      <c r="K563" s="9" t="s">
        <v>413</v>
      </c>
      <c r="L563" s="9">
        <v>0</v>
      </c>
      <c r="M563" s="9">
        <v>15</v>
      </c>
      <c r="R563" s="9">
        <v>6666</v>
      </c>
      <c r="AA563" s="9" t="s">
        <v>413</v>
      </c>
      <c r="AB563" s="9">
        <v>19</v>
      </c>
      <c r="AD563" s="9">
        <v>50000</v>
      </c>
      <c r="AF563" s="89">
        <f t="shared" si="146"/>
        <v>20000</v>
      </c>
      <c r="AG563" s="9">
        <f t="shared" si="148"/>
        <v>37300</v>
      </c>
      <c r="AI563" s="11">
        <f t="shared" si="145"/>
        <v>95</v>
      </c>
      <c r="AJ563" s="10">
        <v>95</v>
      </c>
      <c r="AK563" s="11">
        <f t="shared" si="152"/>
        <v>1250</v>
      </c>
      <c r="AL563" s="10">
        <v>1250</v>
      </c>
      <c r="AM563" s="11">
        <f t="shared" si="152"/>
        <v>1250</v>
      </c>
      <c r="AN563" s="10">
        <v>1250</v>
      </c>
      <c r="AO563" s="56">
        <f t="shared" si="147"/>
        <v>1</v>
      </c>
      <c r="AQ563" s="11">
        <f ca="1">IFERROR(OFFSET(ITEM_RES!$A$1,MATCH(AR563,ITEM_RES!$J:$J,0)-1,0),0)</f>
        <v>215050001</v>
      </c>
      <c r="AR563" s="10" t="s">
        <v>496</v>
      </c>
      <c r="AS563" s="11">
        <v>6250</v>
      </c>
      <c r="AV563" s="11">
        <f ca="1">IFERROR(OFFSET(ITEM_RES!$A$1,MATCH(AW563,ITEM_RES!$J:$J,0)-1,0),0)</f>
        <v>0</v>
      </c>
      <c r="BA563" s="11">
        <f ca="1">IFERROR(OFFSET(ITEM_RES!$A$1,MATCH(BB563,ITEM_RES!$J:$J,0)-1,0),0)</f>
        <v>0</v>
      </c>
      <c r="BF563" s="11">
        <f ca="1">IFERROR(OFFSET(ITEM_RES!$A$1,MATCH(BG563,ITEM_RES!$J:$J,0)-1,0),0)</f>
        <v>0</v>
      </c>
      <c r="BK563" s="11">
        <f ca="1">IFERROR(OFFSET(ITEM_RES!$A$1,MATCH(BL563,ITEM_RES!$J:$J,0)-1,0),0)</f>
        <v>0</v>
      </c>
    </row>
    <row r="564" spans="1:66" ht="17.25" thickBot="1" x14ac:dyDescent="0.35">
      <c r="A564" s="14">
        <f t="shared" si="149"/>
        <v>117050020</v>
      </c>
      <c r="B564" s="13">
        <v>11</v>
      </c>
      <c r="C564" s="12">
        <f t="shared" si="150"/>
        <v>7</v>
      </c>
      <c r="D564" s="13">
        <v>5</v>
      </c>
      <c r="E564" s="13">
        <v>0</v>
      </c>
      <c r="F564" s="12">
        <f t="shared" si="151"/>
        <v>20</v>
      </c>
      <c r="H564" s="9">
        <v>7</v>
      </c>
      <c r="I564" s="9">
        <v>20</v>
      </c>
      <c r="K564" s="9" t="s">
        <v>413</v>
      </c>
      <c r="L564" s="9">
        <v>0</v>
      </c>
      <c r="M564" s="9">
        <v>15</v>
      </c>
      <c r="R564" s="9">
        <v>6666</v>
      </c>
      <c r="AA564" s="9" t="s">
        <v>413</v>
      </c>
      <c r="AB564" s="9">
        <v>20</v>
      </c>
      <c r="AD564" s="9">
        <v>60000</v>
      </c>
      <c r="AF564" s="89">
        <f t="shared" si="146"/>
        <v>24000</v>
      </c>
      <c r="AG564" s="9">
        <f t="shared" si="148"/>
        <v>44000</v>
      </c>
      <c r="AI564" s="11">
        <f t="shared" si="145"/>
        <v>100</v>
      </c>
      <c r="AJ564" s="10">
        <v>100</v>
      </c>
      <c r="AK564" s="11">
        <f t="shared" si="152"/>
        <v>1500</v>
      </c>
      <c r="AL564" s="10">
        <v>1500</v>
      </c>
      <c r="AM564" s="11">
        <f t="shared" si="152"/>
        <v>1500</v>
      </c>
      <c r="AN564" s="10">
        <v>1500</v>
      </c>
      <c r="AO564" s="56">
        <f t="shared" si="147"/>
        <v>1</v>
      </c>
      <c r="AQ564" s="11">
        <f ca="1">IFERROR(OFFSET(ITEM_RES!$A$1,MATCH(AR564,ITEM_RES!$J:$J,0)-1,0),0)</f>
        <v>215050001</v>
      </c>
      <c r="AR564" s="10" t="s">
        <v>496</v>
      </c>
      <c r="AS564" s="11">
        <v>7500</v>
      </c>
      <c r="AV564" s="11">
        <f ca="1">IFERROR(OFFSET(ITEM_RES!$A$1,MATCH(AW564,ITEM_RES!$J:$J,0)-1,0),0)</f>
        <v>0</v>
      </c>
      <c r="BA564" s="11">
        <f ca="1">IFERROR(OFFSET(ITEM_RES!$A$1,MATCH(BB564,ITEM_RES!$J:$J,0)-1,0),0)</f>
        <v>0</v>
      </c>
      <c r="BF564" s="11">
        <f ca="1">IFERROR(OFFSET(ITEM_RES!$A$1,MATCH(BG564,ITEM_RES!$J:$J,0)-1,0),0)</f>
        <v>0</v>
      </c>
      <c r="BK564" s="11">
        <f ca="1">IFERROR(OFFSET(ITEM_RES!$A$1,MATCH(BL564,ITEM_RES!$J:$J,0)-1,0),0)</f>
        <v>0</v>
      </c>
    </row>
    <row r="565" spans="1:66" s="15" customFormat="1" x14ac:dyDescent="0.3">
      <c r="A565" s="21">
        <f t="shared" si="149"/>
        <v>117060001</v>
      </c>
      <c r="B565" s="20">
        <v>11</v>
      </c>
      <c r="C565" s="19">
        <f t="shared" si="150"/>
        <v>7</v>
      </c>
      <c r="D565" s="20">
        <v>6</v>
      </c>
      <c r="E565" s="20">
        <v>0</v>
      </c>
      <c r="F565" s="19">
        <f t="shared" si="151"/>
        <v>1</v>
      </c>
      <c r="G565" s="80"/>
      <c r="H565" s="16">
        <v>7</v>
      </c>
      <c r="I565" s="16">
        <v>1</v>
      </c>
      <c r="J565" s="80"/>
      <c r="K565" s="16" t="s">
        <v>398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8"/>
      <c r="T565" s="80"/>
      <c r="U565" s="88"/>
      <c r="V565" s="88"/>
      <c r="W565" s="88"/>
      <c r="X565" s="88"/>
      <c r="Y565" s="88"/>
      <c r="Z565" s="16"/>
      <c r="AA565" s="16" t="s">
        <v>415</v>
      </c>
      <c r="AB565" s="16">
        <v>1</v>
      </c>
      <c r="AC565" s="80"/>
      <c r="AD565" s="16">
        <v>200</v>
      </c>
      <c r="AE565" s="80"/>
      <c r="AF565" s="91">
        <f t="shared" si="146"/>
        <v>1080</v>
      </c>
      <c r="AG565" s="16">
        <f>AF565</f>
        <v>1080</v>
      </c>
      <c r="AH565" s="80"/>
      <c r="AI565" s="18">
        <f t="shared" si="145"/>
        <v>5</v>
      </c>
      <c r="AJ565" s="17">
        <v>5</v>
      </c>
      <c r="AK565" s="18">
        <f t="shared" si="152"/>
        <v>5</v>
      </c>
      <c r="AL565" s="17">
        <v>5</v>
      </c>
      <c r="AM565" s="18">
        <f t="shared" si="152"/>
        <v>5</v>
      </c>
      <c r="AN565" s="17">
        <v>5</v>
      </c>
      <c r="AO565" s="57">
        <f t="shared" si="147"/>
        <v>3</v>
      </c>
      <c r="AP565" s="18"/>
      <c r="AQ565" s="18">
        <f ca="1">IFERROR(OFFSET(ITEM_RES!$A$1,MATCH(AR565,ITEM_RES!$J:$J,0)-1,0),0)</f>
        <v>212040001</v>
      </c>
      <c r="AR565" s="17" t="s">
        <v>481</v>
      </c>
      <c r="AS565" s="18">
        <v>25</v>
      </c>
      <c r="AT565" s="17"/>
      <c r="AU565" s="18"/>
      <c r="AV565" s="18">
        <f ca="1">IFERROR(OFFSET(ITEM_RES!$A$1,MATCH(AW565,ITEM_RES!$J:$J,0)-1,0),0)</f>
        <v>0</v>
      </c>
      <c r="AW565" s="17"/>
      <c r="AX565" s="18"/>
      <c r="AY565" s="17"/>
      <c r="AZ565" s="18"/>
      <c r="BA565" s="18">
        <f ca="1">IFERROR(OFFSET(ITEM_RES!$A$1,MATCH(BB565,ITEM_RES!$J:$J,0)-1,0),0)</f>
        <v>213010001</v>
      </c>
      <c r="BB565" s="17" t="s">
        <v>509</v>
      </c>
      <c r="BC565" s="18">
        <v>1</v>
      </c>
      <c r="BD565" s="17"/>
      <c r="BE565" s="18"/>
      <c r="BF565" s="18">
        <f ca="1">IFERROR(OFFSET(ITEM_RES!$A$1,MATCH(BG565,ITEM_RES!$J:$J,0)-1,0),0)</f>
        <v>213030001</v>
      </c>
      <c r="BG565" s="17" t="s">
        <v>533</v>
      </c>
      <c r="BH565" s="18">
        <v>1</v>
      </c>
      <c r="BI565" s="17"/>
      <c r="BJ565" s="18"/>
      <c r="BK565" s="18">
        <f ca="1">IFERROR(OFFSET(ITEM_RES!$A$1,MATCH(BL565,ITEM_RES!$J:$J,0)-1,0),0)</f>
        <v>0</v>
      </c>
      <c r="BL565" s="17"/>
      <c r="BM565" s="18"/>
      <c r="BN565" s="17"/>
    </row>
    <row r="566" spans="1:66" x14ac:dyDescent="0.3">
      <c r="A566" s="14">
        <f t="shared" si="149"/>
        <v>117060002</v>
      </c>
      <c r="B566" s="13">
        <v>11</v>
      </c>
      <c r="C566" s="12">
        <f t="shared" si="150"/>
        <v>7</v>
      </c>
      <c r="D566" s="13">
        <v>6</v>
      </c>
      <c r="E566" s="13">
        <v>0</v>
      </c>
      <c r="F566" s="12">
        <f t="shared" si="151"/>
        <v>2</v>
      </c>
      <c r="H566" s="9">
        <v>7</v>
      </c>
      <c r="I566" s="9">
        <v>2</v>
      </c>
      <c r="K566" s="9" t="s">
        <v>398</v>
      </c>
      <c r="L566" s="9">
        <v>1</v>
      </c>
      <c r="M566" s="9">
        <v>15</v>
      </c>
      <c r="R566" s="9">
        <v>7777</v>
      </c>
      <c r="AA566" s="9" t="s">
        <v>415</v>
      </c>
      <c r="AB566" s="9">
        <v>2</v>
      </c>
      <c r="AD566" s="9">
        <v>400</v>
      </c>
      <c r="AF566" s="89">
        <f t="shared" si="146"/>
        <v>160</v>
      </c>
      <c r="AG566" s="9">
        <f>AF565+AF566</f>
        <v>1240</v>
      </c>
      <c r="AI566" s="11">
        <f t="shared" si="145"/>
        <v>10</v>
      </c>
      <c r="AJ566" s="10">
        <v>10</v>
      </c>
      <c r="AK566" s="11">
        <f t="shared" si="152"/>
        <v>10</v>
      </c>
      <c r="AL566" s="10">
        <v>10</v>
      </c>
      <c r="AM566" s="11">
        <f t="shared" si="152"/>
        <v>10</v>
      </c>
      <c r="AN566" s="10">
        <v>10</v>
      </c>
      <c r="AO566" s="56">
        <f t="shared" si="147"/>
        <v>1</v>
      </c>
      <c r="AQ566" s="11">
        <f ca="1">IFERROR(OFFSET(ITEM_RES!$A$1,MATCH(AR566,ITEM_RES!$J:$J,0)-1,0),0)</f>
        <v>212040001</v>
      </c>
      <c r="AR566" s="10" t="s">
        <v>481</v>
      </c>
      <c r="AS566" s="11">
        <v>50</v>
      </c>
      <c r="AV566" s="11">
        <f ca="1">IFERROR(OFFSET(ITEM_RES!$A$1,MATCH(AW566,ITEM_RES!$J:$J,0)-1,0),0)</f>
        <v>0</v>
      </c>
      <c r="BA566" s="11">
        <f ca="1">IFERROR(OFFSET(ITEM_RES!$A$1,MATCH(BB566,ITEM_RES!$J:$J,0)-1,0),0)</f>
        <v>0</v>
      </c>
      <c r="BF566" s="11">
        <f ca="1">IFERROR(OFFSET(ITEM_RES!$A$1,MATCH(BG566,ITEM_RES!$J:$J,0)-1,0),0)</f>
        <v>0</v>
      </c>
      <c r="BK566" s="11">
        <f ca="1">IFERROR(OFFSET(ITEM_RES!$A$1,MATCH(BL566,ITEM_RES!$J:$J,0)-1,0),0)</f>
        <v>0</v>
      </c>
    </row>
    <row r="567" spans="1:66" x14ac:dyDescent="0.3">
      <c r="A567" s="14">
        <f t="shared" si="149"/>
        <v>117060003</v>
      </c>
      <c r="B567" s="13">
        <v>11</v>
      </c>
      <c r="C567" s="12">
        <f t="shared" si="150"/>
        <v>7</v>
      </c>
      <c r="D567" s="13">
        <v>6</v>
      </c>
      <c r="E567" s="13">
        <v>0</v>
      </c>
      <c r="F567" s="12">
        <f t="shared" si="151"/>
        <v>3</v>
      </c>
      <c r="H567" s="9">
        <v>7</v>
      </c>
      <c r="I567" s="9">
        <v>3</v>
      </c>
      <c r="K567" s="9" t="s">
        <v>398</v>
      </c>
      <c r="L567" s="9">
        <v>1</v>
      </c>
      <c r="M567" s="9">
        <v>15</v>
      </c>
      <c r="R567" s="9">
        <v>7777</v>
      </c>
      <c r="AA567" s="9" t="s">
        <v>415</v>
      </c>
      <c r="AB567" s="9">
        <v>3</v>
      </c>
      <c r="AD567" s="9">
        <v>1200</v>
      </c>
      <c r="AF567" s="89">
        <f t="shared" si="146"/>
        <v>240</v>
      </c>
      <c r="AG567" s="9">
        <f t="shared" ref="AG567:AG584" si="153">AF566+AF567</f>
        <v>400</v>
      </c>
      <c r="AI567" s="11">
        <f t="shared" si="145"/>
        <v>15</v>
      </c>
      <c r="AJ567" s="10">
        <v>15</v>
      </c>
      <c r="AK567" s="11">
        <f t="shared" si="152"/>
        <v>15</v>
      </c>
      <c r="AL567" s="10">
        <v>15</v>
      </c>
      <c r="AM567" s="11">
        <f t="shared" si="152"/>
        <v>15</v>
      </c>
      <c r="AN567" s="10">
        <v>15</v>
      </c>
      <c r="AO567" s="56">
        <f t="shared" si="147"/>
        <v>1</v>
      </c>
      <c r="AQ567" s="11">
        <f ca="1">IFERROR(OFFSET(ITEM_RES!$A$1,MATCH(AR567,ITEM_RES!$J:$J,0)-1,0),0)</f>
        <v>212040001</v>
      </c>
      <c r="AR567" s="10" t="s">
        <v>481</v>
      </c>
      <c r="AS567" s="11">
        <v>75</v>
      </c>
      <c r="AV567" s="11">
        <f ca="1">IFERROR(OFFSET(ITEM_RES!$A$1,MATCH(AW567,ITEM_RES!$J:$J,0)-1,0),0)</f>
        <v>0</v>
      </c>
      <c r="BA567" s="11">
        <f ca="1">IFERROR(OFFSET(ITEM_RES!$A$1,MATCH(BB567,ITEM_RES!$J:$J,0)-1,0),0)</f>
        <v>0</v>
      </c>
      <c r="BF567" s="11">
        <f ca="1">IFERROR(OFFSET(ITEM_RES!$A$1,MATCH(BG567,ITEM_RES!$J:$J,0)-1,0),0)</f>
        <v>0</v>
      </c>
      <c r="BK567" s="11">
        <f ca="1">IFERROR(OFFSET(ITEM_RES!$A$1,MATCH(BL567,ITEM_RES!$J:$J,0)-1,0),0)</f>
        <v>0</v>
      </c>
    </row>
    <row r="568" spans="1:66" x14ac:dyDescent="0.3">
      <c r="A568" s="14">
        <f t="shared" si="149"/>
        <v>117060004</v>
      </c>
      <c r="B568" s="13">
        <v>11</v>
      </c>
      <c r="C568" s="12">
        <f t="shared" si="150"/>
        <v>7</v>
      </c>
      <c r="D568" s="13">
        <v>6</v>
      </c>
      <c r="E568" s="13">
        <v>0</v>
      </c>
      <c r="F568" s="12">
        <f t="shared" si="151"/>
        <v>4</v>
      </c>
      <c r="H568" s="9">
        <v>7</v>
      </c>
      <c r="I568" s="9">
        <v>4</v>
      </c>
      <c r="K568" s="9" t="s">
        <v>398</v>
      </c>
      <c r="L568" s="9">
        <v>1</v>
      </c>
      <c r="M568" s="9">
        <v>15</v>
      </c>
      <c r="R568" s="9">
        <v>7777</v>
      </c>
      <c r="AA568" s="9" t="s">
        <v>415</v>
      </c>
      <c r="AB568" s="9">
        <v>4</v>
      </c>
      <c r="AD568" s="9">
        <v>2000</v>
      </c>
      <c r="AF568" s="89">
        <f t="shared" si="146"/>
        <v>400</v>
      </c>
      <c r="AG568" s="9">
        <f t="shared" si="153"/>
        <v>640</v>
      </c>
      <c r="AI568" s="11">
        <f t="shared" si="145"/>
        <v>20</v>
      </c>
      <c r="AJ568" s="10">
        <v>20</v>
      </c>
      <c r="AK568" s="11">
        <f t="shared" si="152"/>
        <v>25</v>
      </c>
      <c r="AL568" s="10">
        <v>25</v>
      </c>
      <c r="AM568" s="11">
        <f t="shared" si="152"/>
        <v>25</v>
      </c>
      <c r="AN568" s="10">
        <v>25</v>
      </c>
      <c r="AO568" s="56">
        <f t="shared" si="147"/>
        <v>1</v>
      </c>
      <c r="AQ568" s="11">
        <f ca="1">IFERROR(OFFSET(ITEM_RES!$A$1,MATCH(AR568,ITEM_RES!$J:$J,0)-1,0),0)</f>
        <v>212040001</v>
      </c>
      <c r="AR568" s="10" t="s">
        <v>481</v>
      </c>
      <c r="AS568" s="11">
        <v>125</v>
      </c>
      <c r="AV568" s="11">
        <f ca="1">IFERROR(OFFSET(ITEM_RES!$A$1,MATCH(AW568,ITEM_RES!$J:$J,0)-1,0),0)</f>
        <v>0</v>
      </c>
      <c r="BA568" s="11">
        <f ca="1">IFERROR(OFFSET(ITEM_RES!$A$1,MATCH(BB568,ITEM_RES!$J:$J,0)-1,0),0)</f>
        <v>0</v>
      </c>
      <c r="BF568" s="11">
        <f ca="1">IFERROR(OFFSET(ITEM_RES!$A$1,MATCH(BG568,ITEM_RES!$J:$J,0)-1,0),0)</f>
        <v>0</v>
      </c>
      <c r="BK568" s="11">
        <f ca="1">IFERROR(OFFSET(ITEM_RES!$A$1,MATCH(BL568,ITEM_RES!$J:$J,0)-1,0),0)</f>
        <v>0</v>
      </c>
    </row>
    <row r="569" spans="1:66" x14ac:dyDescent="0.3">
      <c r="A569" s="14">
        <f t="shared" si="149"/>
        <v>117060005</v>
      </c>
      <c r="B569" s="13">
        <v>11</v>
      </c>
      <c r="C569" s="12">
        <f t="shared" si="150"/>
        <v>7</v>
      </c>
      <c r="D569" s="13">
        <v>6</v>
      </c>
      <c r="E569" s="13">
        <v>0</v>
      </c>
      <c r="F569" s="12">
        <f t="shared" si="151"/>
        <v>5</v>
      </c>
      <c r="H569" s="9">
        <v>7</v>
      </c>
      <c r="I569" s="9">
        <v>5</v>
      </c>
      <c r="K569" s="9" t="s">
        <v>398</v>
      </c>
      <c r="L569" s="9">
        <v>1</v>
      </c>
      <c r="M569" s="9">
        <v>15</v>
      </c>
      <c r="R569" s="9">
        <v>7777</v>
      </c>
      <c r="AA569" s="9" t="s">
        <v>415</v>
      </c>
      <c r="AB569" s="9">
        <v>5</v>
      </c>
      <c r="AD569" s="9">
        <v>3200</v>
      </c>
      <c r="AF569" s="89">
        <f t="shared" si="146"/>
        <v>640</v>
      </c>
      <c r="AG569" s="9">
        <f t="shared" si="153"/>
        <v>1040</v>
      </c>
      <c r="AI569" s="11">
        <f t="shared" si="145"/>
        <v>25</v>
      </c>
      <c r="AJ569" s="10">
        <v>25</v>
      </c>
      <c r="AK569" s="11">
        <f t="shared" si="152"/>
        <v>40</v>
      </c>
      <c r="AL569" s="10">
        <v>40</v>
      </c>
      <c r="AM569" s="11">
        <f t="shared" si="152"/>
        <v>40</v>
      </c>
      <c r="AN569" s="10">
        <v>40</v>
      </c>
      <c r="AO569" s="56">
        <f t="shared" si="147"/>
        <v>1</v>
      </c>
      <c r="AQ569" s="11">
        <f ca="1">IFERROR(OFFSET(ITEM_RES!$A$1,MATCH(AR569,ITEM_RES!$J:$J,0)-1,0),0)</f>
        <v>212040001</v>
      </c>
      <c r="AR569" s="10" t="s">
        <v>481</v>
      </c>
      <c r="AS569" s="11">
        <v>200</v>
      </c>
      <c r="AV569" s="11">
        <f ca="1">IFERROR(OFFSET(ITEM_RES!$A$1,MATCH(AW569,ITEM_RES!$J:$J,0)-1,0),0)</f>
        <v>0</v>
      </c>
      <c r="BA569" s="11">
        <f ca="1">IFERROR(OFFSET(ITEM_RES!$A$1,MATCH(BB569,ITEM_RES!$J:$J,0)-1,0),0)</f>
        <v>0</v>
      </c>
      <c r="BF569" s="11">
        <f ca="1">IFERROR(OFFSET(ITEM_RES!$A$1,MATCH(BG569,ITEM_RES!$J:$J,0)-1,0),0)</f>
        <v>0</v>
      </c>
      <c r="BK569" s="11">
        <f ca="1">IFERROR(OFFSET(ITEM_RES!$A$1,MATCH(BL569,ITEM_RES!$J:$J,0)-1,0),0)</f>
        <v>0</v>
      </c>
    </row>
    <row r="570" spans="1:66" x14ac:dyDescent="0.3">
      <c r="A570" s="14">
        <f t="shared" si="149"/>
        <v>117060006</v>
      </c>
      <c r="B570" s="13">
        <v>11</v>
      </c>
      <c r="C570" s="12">
        <f t="shared" si="150"/>
        <v>7</v>
      </c>
      <c r="D570" s="13">
        <v>6</v>
      </c>
      <c r="E570" s="13">
        <v>0</v>
      </c>
      <c r="F570" s="12">
        <f t="shared" si="151"/>
        <v>6</v>
      </c>
      <c r="H570" s="9">
        <v>7</v>
      </c>
      <c r="I570" s="9">
        <v>6</v>
      </c>
      <c r="K570" s="9" t="s">
        <v>398</v>
      </c>
      <c r="L570" s="9">
        <v>1</v>
      </c>
      <c r="M570" s="9">
        <v>15</v>
      </c>
      <c r="R570" s="9">
        <v>7777</v>
      </c>
      <c r="AA570" s="9" t="s">
        <v>415</v>
      </c>
      <c r="AB570" s="9">
        <v>6</v>
      </c>
      <c r="AD570" s="9">
        <v>4000</v>
      </c>
      <c r="AF570" s="89">
        <f t="shared" si="146"/>
        <v>800</v>
      </c>
      <c r="AG570" s="9">
        <f t="shared" si="153"/>
        <v>1440</v>
      </c>
      <c r="AI570" s="11">
        <f t="shared" si="145"/>
        <v>30</v>
      </c>
      <c r="AJ570" s="10">
        <v>30</v>
      </c>
      <c r="AK570" s="11">
        <f t="shared" si="152"/>
        <v>50</v>
      </c>
      <c r="AL570" s="10">
        <v>50</v>
      </c>
      <c r="AM570" s="11">
        <f t="shared" si="152"/>
        <v>50</v>
      </c>
      <c r="AN570" s="10">
        <v>50</v>
      </c>
      <c r="AO570" s="56">
        <f t="shared" si="147"/>
        <v>1</v>
      </c>
      <c r="AQ570" s="11">
        <f ca="1">IFERROR(OFFSET(ITEM_RES!$A$1,MATCH(AR570,ITEM_RES!$J:$J,0)-1,0),0)</f>
        <v>212040001</v>
      </c>
      <c r="AR570" s="10" t="s">
        <v>481</v>
      </c>
      <c r="AS570" s="11">
        <v>250</v>
      </c>
      <c r="AV570" s="11">
        <f ca="1">IFERROR(OFFSET(ITEM_RES!$A$1,MATCH(AW570,ITEM_RES!$J:$J,0)-1,0),0)</f>
        <v>0</v>
      </c>
      <c r="BA570" s="11">
        <f ca="1">IFERROR(OFFSET(ITEM_RES!$A$1,MATCH(BB570,ITEM_RES!$J:$J,0)-1,0),0)</f>
        <v>0</v>
      </c>
      <c r="BF570" s="11">
        <f ca="1">IFERROR(OFFSET(ITEM_RES!$A$1,MATCH(BG570,ITEM_RES!$J:$J,0)-1,0),0)</f>
        <v>0</v>
      </c>
      <c r="BK570" s="11">
        <f ca="1">IFERROR(OFFSET(ITEM_RES!$A$1,MATCH(BL570,ITEM_RES!$J:$J,0)-1,0),0)</f>
        <v>0</v>
      </c>
    </row>
    <row r="571" spans="1:66" x14ac:dyDescent="0.3">
      <c r="A571" s="14">
        <f t="shared" si="149"/>
        <v>117060007</v>
      </c>
      <c r="B571" s="13">
        <v>11</v>
      </c>
      <c r="C571" s="12">
        <f t="shared" si="150"/>
        <v>7</v>
      </c>
      <c r="D571" s="13">
        <v>6</v>
      </c>
      <c r="E571" s="13">
        <v>0</v>
      </c>
      <c r="F571" s="12">
        <f t="shared" si="151"/>
        <v>7</v>
      </c>
      <c r="H571" s="9">
        <v>7</v>
      </c>
      <c r="I571" s="9">
        <v>7</v>
      </c>
      <c r="K571" s="9" t="s">
        <v>398</v>
      </c>
      <c r="L571" s="9">
        <v>1</v>
      </c>
      <c r="M571" s="9">
        <v>15</v>
      </c>
      <c r="R571" s="9">
        <v>7777</v>
      </c>
      <c r="AA571" s="9" t="s">
        <v>415</v>
      </c>
      <c r="AB571" s="9">
        <v>7</v>
      </c>
      <c r="AD571" s="9">
        <v>8000</v>
      </c>
      <c r="AF571" s="89">
        <f t="shared" si="146"/>
        <v>1600</v>
      </c>
      <c r="AG571" s="9">
        <f t="shared" si="153"/>
        <v>2400</v>
      </c>
      <c r="AI571" s="11">
        <f t="shared" si="145"/>
        <v>35</v>
      </c>
      <c r="AJ571" s="10">
        <v>35</v>
      </c>
      <c r="AK571" s="11">
        <f t="shared" si="152"/>
        <v>100</v>
      </c>
      <c r="AL571" s="10">
        <v>100</v>
      </c>
      <c r="AM571" s="11">
        <f t="shared" si="152"/>
        <v>100</v>
      </c>
      <c r="AN571" s="10">
        <v>100</v>
      </c>
      <c r="AO571" s="56">
        <f t="shared" si="147"/>
        <v>1</v>
      </c>
      <c r="AQ571" s="11">
        <f ca="1">IFERROR(OFFSET(ITEM_RES!$A$1,MATCH(AR571,ITEM_RES!$J:$J,0)-1,0),0)</f>
        <v>212040001</v>
      </c>
      <c r="AR571" s="10" t="s">
        <v>481</v>
      </c>
      <c r="AS571" s="11">
        <v>500</v>
      </c>
      <c r="AV571" s="11">
        <f ca="1">IFERROR(OFFSET(ITEM_RES!$A$1,MATCH(AW571,ITEM_RES!$J:$J,0)-1,0),0)</f>
        <v>0</v>
      </c>
      <c r="BA571" s="11">
        <f ca="1">IFERROR(OFFSET(ITEM_RES!$A$1,MATCH(BB571,ITEM_RES!$J:$J,0)-1,0),0)</f>
        <v>0</v>
      </c>
      <c r="BF571" s="11">
        <f ca="1">IFERROR(OFFSET(ITEM_RES!$A$1,MATCH(BG571,ITEM_RES!$J:$J,0)-1,0),0)</f>
        <v>0</v>
      </c>
      <c r="BK571" s="11">
        <f ca="1">IFERROR(OFFSET(ITEM_RES!$A$1,MATCH(BL571,ITEM_RES!$J:$J,0)-1,0),0)</f>
        <v>0</v>
      </c>
    </row>
    <row r="572" spans="1:66" x14ac:dyDescent="0.3">
      <c r="A572" s="14">
        <f t="shared" si="149"/>
        <v>117060008</v>
      </c>
      <c r="B572" s="13">
        <v>11</v>
      </c>
      <c r="C572" s="12">
        <f t="shared" si="150"/>
        <v>7</v>
      </c>
      <c r="D572" s="13">
        <v>6</v>
      </c>
      <c r="E572" s="13">
        <v>0</v>
      </c>
      <c r="F572" s="12">
        <f t="shared" si="151"/>
        <v>8</v>
      </c>
      <c r="H572" s="9">
        <v>7</v>
      </c>
      <c r="I572" s="9">
        <v>8</v>
      </c>
      <c r="K572" s="9" t="s">
        <v>398</v>
      </c>
      <c r="L572" s="9">
        <v>1</v>
      </c>
      <c r="M572" s="9">
        <v>15</v>
      </c>
      <c r="R572" s="9">
        <v>7777</v>
      </c>
      <c r="AA572" s="9" t="s">
        <v>415</v>
      </c>
      <c r="AB572" s="9">
        <v>8</v>
      </c>
      <c r="AD572" s="9">
        <v>8000</v>
      </c>
      <c r="AF572" s="89">
        <f t="shared" si="146"/>
        <v>1600</v>
      </c>
      <c r="AG572" s="9">
        <f t="shared" si="153"/>
        <v>3200</v>
      </c>
      <c r="AI572" s="11">
        <f t="shared" si="145"/>
        <v>40</v>
      </c>
      <c r="AJ572" s="10">
        <v>40</v>
      </c>
      <c r="AK572" s="11">
        <f t="shared" si="152"/>
        <v>100</v>
      </c>
      <c r="AL572" s="10">
        <v>100</v>
      </c>
      <c r="AM572" s="11">
        <f t="shared" si="152"/>
        <v>100</v>
      </c>
      <c r="AN572" s="10">
        <v>100</v>
      </c>
      <c r="AO572" s="56">
        <f t="shared" si="147"/>
        <v>1</v>
      </c>
      <c r="AQ572" s="11">
        <f ca="1">IFERROR(OFFSET(ITEM_RES!$A$1,MATCH(AR572,ITEM_RES!$J:$J,0)-1,0),0)</f>
        <v>212040001</v>
      </c>
      <c r="AR572" s="10" t="s">
        <v>481</v>
      </c>
      <c r="AS572" s="11">
        <v>500</v>
      </c>
      <c r="AV572" s="11">
        <f ca="1">IFERROR(OFFSET(ITEM_RES!$A$1,MATCH(AW572,ITEM_RES!$J:$J,0)-1,0),0)</f>
        <v>0</v>
      </c>
      <c r="BA572" s="11">
        <f ca="1">IFERROR(OFFSET(ITEM_RES!$A$1,MATCH(BB572,ITEM_RES!$J:$J,0)-1,0),0)</f>
        <v>0</v>
      </c>
      <c r="BF572" s="11">
        <f ca="1">IFERROR(OFFSET(ITEM_RES!$A$1,MATCH(BG572,ITEM_RES!$J:$J,0)-1,0),0)</f>
        <v>0</v>
      </c>
      <c r="BK572" s="11">
        <f ca="1">IFERROR(OFFSET(ITEM_RES!$A$1,MATCH(BL572,ITEM_RES!$J:$J,0)-1,0),0)</f>
        <v>0</v>
      </c>
    </row>
    <row r="573" spans="1:66" x14ac:dyDescent="0.3">
      <c r="A573" s="14">
        <f t="shared" si="149"/>
        <v>117060009</v>
      </c>
      <c r="B573" s="13">
        <v>11</v>
      </c>
      <c r="C573" s="12">
        <f t="shared" si="150"/>
        <v>7</v>
      </c>
      <c r="D573" s="13">
        <v>6</v>
      </c>
      <c r="E573" s="13">
        <v>0</v>
      </c>
      <c r="F573" s="12">
        <f t="shared" si="151"/>
        <v>9</v>
      </c>
      <c r="H573" s="9">
        <v>7</v>
      </c>
      <c r="I573" s="9">
        <v>9</v>
      </c>
      <c r="K573" s="9" t="s">
        <v>398</v>
      </c>
      <c r="L573" s="9">
        <v>1</v>
      </c>
      <c r="M573" s="9">
        <v>15</v>
      </c>
      <c r="R573" s="9">
        <v>7777</v>
      </c>
      <c r="AA573" s="9" t="s">
        <v>415</v>
      </c>
      <c r="AB573" s="9">
        <v>9</v>
      </c>
      <c r="AD573" s="9">
        <v>12000</v>
      </c>
      <c r="AF573" s="89">
        <f t="shared" si="146"/>
        <v>2400</v>
      </c>
      <c r="AG573" s="9">
        <f t="shared" si="153"/>
        <v>4000</v>
      </c>
      <c r="AI573" s="11">
        <f t="shared" si="145"/>
        <v>45</v>
      </c>
      <c r="AJ573" s="10">
        <v>45</v>
      </c>
      <c r="AK573" s="11">
        <f t="shared" si="152"/>
        <v>150</v>
      </c>
      <c r="AL573" s="10">
        <v>150</v>
      </c>
      <c r="AM573" s="11">
        <f t="shared" si="152"/>
        <v>150</v>
      </c>
      <c r="AN573" s="10">
        <v>150</v>
      </c>
      <c r="AO573" s="56">
        <f t="shared" si="147"/>
        <v>1</v>
      </c>
      <c r="AQ573" s="11">
        <f ca="1">IFERROR(OFFSET(ITEM_RES!$A$1,MATCH(AR573,ITEM_RES!$J:$J,0)-1,0),0)</f>
        <v>212040001</v>
      </c>
      <c r="AR573" s="10" t="s">
        <v>481</v>
      </c>
      <c r="AS573" s="11">
        <v>750</v>
      </c>
      <c r="AV573" s="11">
        <f ca="1">IFERROR(OFFSET(ITEM_RES!$A$1,MATCH(AW573,ITEM_RES!$J:$J,0)-1,0),0)</f>
        <v>0</v>
      </c>
      <c r="BA573" s="11">
        <f ca="1">IFERROR(OFFSET(ITEM_RES!$A$1,MATCH(BB573,ITEM_RES!$J:$J,0)-1,0),0)</f>
        <v>0</v>
      </c>
      <c r="BF573" s="11">
        <f ca="1">IFERROR(OFFSET(ITEM_RES!$A$1,MATCH(BG573,ITEM_RES!$J:$J,0)-1,0),0)</f>
        <v>0</v>
      </c>
      <c r="BK573" s="11">
        <f ca="1">IFERROR(OFFSET(ITEM_RES!$A$1,MATCH(BL573,ITEM_RES!$J:$J,0)-1,0),0)</f>
        <v>0</v>
      </c>
    </row>
    <row r="574" spans="1:66" x14ac:dyDescent="0.3">
      <c r="A574" s="14">
        <f t="shared" si="149"/>
        <v>117060010</v>
      </c>
      <c r="B574" s="13">
        <v>11</v>
      </c>
      <c r="C574" s="12">
        <f t="shared" si="150"/>
        <v>7</v>
      </c>
      <c r="D574" s="13">
        <v>6</v>
      </c>
      <c r="E574" s="13">
        <v>0</v>
      </c>
      <c r="F574" s="12">
        <f t="shared" si="151"/>
        <v>10</v>
      </c>
      <c r="H574" s="9">
        <v>7</v>
      </c>
      <c r="I574" s="9">
        <v>10</v>
      </c>
      <c r="K574" s="9" t="s">
        <v>398</v>
      </c>
      <c r="L574" s="9">
        <v>1</v>
      </c>
      <c r="M574" s="9">
        <v>15</v>
      </c>
      <c r="R574" s="9">
        <v>7777</v>
      </c>
      <c r="AA574" s="9" t="s">
        <v>415</v>
      </c>
      <c r="AB574" s="9">
        <v>10</v>
      </c>
      <c r="AD574" s="9">
        <v>16000</v>
      </c>
      <c r="AF574" s="89">
        <f t="shared" si="146"/>
        <v>3200</v>
      </c>
      <c r="AG574" s="9">
        <f t="shared" si="153"/>
        <v>5600</v>
      </c>
      <c r="AI574" s="11">
        <f t="shared" si="145"/>
        <v>50</v>
      </c>
      <c r="AJ574" s="10">
        <v>50</v>
      </c>
      <c r="AK574" s="11">
        <f t="shared" si="152"/>
        <v>200</v>
      </c>
      <c r="AL574" s="10">
        <v>200</v>
      </c>
      <c r="AM574" s="11">
        <f t="shared" si="152"/>
        <v>200</v>
      </c>
      <c r="AN574" s="10">
        <v>200</v>
      </c>
      <c r="AO574" s="56">
        <f t="shared" si="147"/>
        <v>1</v>
      </c>
      <c r="AQ574" s="11">
        <f ca="1">IFERROR(OFFSET(ITEM_RES!$A$1,MATCH(AR574,ITEM_RES!$J:$J,0)-1,0),0)</f>
        <v>212040001</v>
      </c>
      <c r="AR574" s="10" t="s">
        <v>481</v>
      </c>
      <c r="AS574" s="11">
        <v>1000</v>
      </c>
      <c r="AV574" s="11">
        <f ca="1">IFERROR(OFFSET(ITEM_RES!$A$1,MATCH(AW574,ITEM_RES!$J:$J,0)-1,0),0)</f>
        <v>0</v>
      </c>
      <c r="BA574" s="11">
        <f ca="1">IFERROR(OFFSET(ITEM_RES!$A$1,MATCH(BB574,ITEM_RES!$J:$J,0)-1,0),0)</f>
        <v>0</v>
      </c>
      <c r="BF574" s="11">
        <f ca="1">IFERROR(OFFSET(ITEM_RES!$A$1,MATCH(BG574,ITEM_RES!$J:$J,0)-1,0),0)</f>
        <v>0</v>
      </c>
      <c r="BK574" s="11">
        <f ca="1">IFERROR(OFFSET(ITEM_RES!$A$1,MATCH(BL574,ITEM_RES!$J:$J,0)-1,0),0)</f>
        <v>0</v>
      </c>
    </row>
    <row r="575" spans="1:66" x14ac:dyDescent="0.3">
      <c r="A575" s="14">
        <f t="shared" si="149"/>
        <v>117060011</v>
      </c>
      <c r="B575" s="13">
        <v>11</v>
      </c>
      <c r="C575" s="12">
        <f t="shared" si="150"/>
        <v>7</v>
      </c>
      <c r="D575" s="13">
        <v>6</v>
      </c>
      <c r="E575" s="13">
        <v>0</v>
      </c>
      <c r="F575" s="12">
        <f t="shared" si="151"/>
        <v>11</v>
      </c>
      <c r="H575" s="9">
        <v>7</v>
      </c>
      <c r="I575" s="9">
        <v>11</v>
      </c>
      <c r="K575" s="9" t="s">
        <v>398</v>
      </c>
      <c r="L575" s="9">
        <v>1</v>
      </c>
      <c r="M575" s="9">
        <v>15</v>
      </c>
      <c r="R575" s="9">
        <v>7777</v>
      </c>
      <c r="AA575" s="9" t="s">
        <v>415</v>
      </c>
      <c r="AB575" s="9">
        <v>11</v>
      </c>
      <c r="AD575" s="9">
        <v>20000</v>
      </c>
      <c r="AF575" s="89">
        <f t="shared" si="146"/>
        <v>4000</v>
      </c>
      <c r="AG575" s="9">
        <f t="shared" si="153"/>
        <v>7200</v>
      </c>
      <c r="AI575" s="11">
        <f t="shared" si="145"/>
        <v>55</v>
      </c>
      <c r="AJ575" s="10">
        <v>55</v>
      </c>
      <c r="AK575" s="11">
        <f t="shared" si="152"/>
        <v>250</v>
      </c>
      <c r="AL575" s="10">
        <v>250</v>
      </c>
      <c r="AM575" s="11">
        <f t="shared" si="152"/>
        <v>250</v>
      </c>
      <c r="AN575" s="10">
        <v>250</v>
      </c>
      <c r="AO575" s="56">
        <f t="shared" si="147"/>
        <v>1</v>
      </c>
      <c r="AQ575" s="11">
        <f ca="1">IFERROR(OFFSET(ITEM_RES!$A$1,MATCH(AR575,ITEM_RES!$J:$J,0)-1,0),0)</f>
        <v>212040001</v>
      </c>
      <c r="AR575" s="10" t="s">
        <v>481</v>
      </c>
      <c r="AS575" s="11">
        <v>1250</v>
      </c>
      <c r="AV575" s="11">
        <f ca="1">IFERROR(OFFSET(ITEM_RES!$A$1,MATCH(AW575,ITEM_RES!$J:$J,0)-1,0),0)</f>
        <v>0</v>
      </c>
      <c r="BA575" s="11">
        <f ca="1">IFERROR(OFFSET(ITEM_RES!$A$1,MATCH(BB575,ITEM_RES!$J:$J,0)-1,0),0)</f>
        <v>0</v>
      </c>
      <c r="BF575" s="11">
        <f ca="1">IFERROR(OFFSET(ITEM_RES!$A$1,MATCH(BG575,ITEM_RES!$J:$J,0)-1,0),0)</f>
        <v>0</v>
      </c>
      <c r="BK575" s="11">
        <f ca="1">IFERROR(OFFSET(ITEM_RES!$A$1,MATCH(BL575,ITEM_RES!$J:$J,0)-1,0),0)</f>
        <v>0</v>
      </c>
    </row>
    <row r="576" spans="1:66" x14ac:dyDescent="0.3">
      <c r="A576" s="14">
        <f t="shared" si="149"/>
        <v>117060012</v>
      </c>
      <c r="B576" s="13">
        <v>11</v>
      </c>
      <c r="C576" s="12">
        <f t="shared" si="150"/>
        <v>7</v>
      </c>
      <c r="D576" s="13">
        <v>6</v>
      </c>
      <c r="E576" s="13">
        <v>0</v>
      </c>
      <c r="F576" s="12">
        <f t="shared" si="151"/>
        <v>12</v>
      </c>
      <c r="H576" s="9">
        <v>7</v>
      </c>
      <c r="I576" s="9">
        <v>12</v>
      </c>
      <c r="K576" s="9" t="s">
        <v>398</v>
      </c>
      <c r="L576" s="9">
        <v>1</v>
      </c>
      <c r="M576" s="9">
        <v>15</v>
      </c>
      <c r="R576" s="9">
        <v>7777</v>
      </c>
      <c r="AA576" s="9" t="s">
        <v>415</v>
      </c>
      <c r="AB576" s="9">
        <v>12</v>
      </c>
      <c r="AD576" s="9">
        <v>24000</v>
      </c>
      <c r="AF576" s="89">
        <f t="shared" si="146"/>
        <v>4800</v>
      </c>
      <c r="AG576" s="9">
        <f t="shared" si="153"/>
        <v>8800</v>
      </c>
      <c r="AI576" s="11">
        <f t="shared" si="145"/>
        <v>60</v>
      </c>
      <c r="AJ576" s="10">
        <v>60</v>
      </c>
      <c r="AK576" s="11">
        <f t="shared" si="152"/>
        <v>300</v>
      </c>
      <c r="AL576" s="10">
        <v>300</v>
      </c>
      <c r="AM576" s="11">
        <f t="shared" si="152"/>
        <v>300</v>
      </c>
      <c r="AN576" s="10">
        <v>300</v>
      </c>
      <c r="AO576" s="56">
        <f t="shared" si="147"/>
        <v>1</v>
      </c>
      <c r="AQ576" s="11">
        <f ca="1">IFERROR(OFFSET(ITEM_RES!$A$1,MATCH(AR576,ITEM_RES!$J:$J,0)-1,0),0)</f>
        <v>212040001</v>
      </c>
      <c r="AR576" s="10" t="s">
        <v>481</v>
      </c>
      <c r="AS576" s="11">
        <v>1500</v>
      </c>
      <c r="AV576" s="11">
        <f ca="1">IFERROR(OFFSET(ITEM_RES!$A$1,MATCH(AW576,ITEM_RES!$J:$J,0)-1,0),0)</f>
        <v>0</v>
      </c>
      <c r="BA576" s="11">
        <f ca="1">IFERROR(OFFSET(ITEM_RES!$A$1,MATCH(BB576,ITEM_RES!$J:$J,0)-1,0),0)</f>
        <v>0</v>
      </c>
      <c r="BF576" s="11">
        <f ca="1">IFERROR(OFFSET(ITEM_RES!$A$1,MATCH(BG576,ITEM_RES!$J:$J,0)-1,0),0)</f>
        <v>0</v>
      </c>
      <c r="BK576" s="11">
        <f ca="1">IFERROR(OFFSET(ITEM_RES!$A$1,MATCH(BL576,ITEM_RES!$J:$J,0)-1,0),0)</f>
        <v>0</v>
      </c>
    </row>
    <row r="577" spans="1:66" x14ac:dyDescent="0.3">
      <c r="A577" s="14">
        <f t="shared" si="149"/>
        <v>117060013</v>
      </c>
      <c r="B577" s="13">
        <v>11</v>
      </c>
      <c r="C577" s="12">
        <f t="shared" si="150"/>
        <v>7</v>
      </c>
      <c r="D577" s="13">
        <v>6</v>
      </c>
      <c r="E577" s="13">
        <v>0</v>
      </c>
      <c r="F577" s="12">
        <f t="shared" si="151"/>
        <v>13</v>
      </c>
      <c r="H577" s="9">
        <v>7</v>
      </c>
      <c r="I577" s="9">
        <v>13</v>
      </c>
      <c r="K577" s="9" t="s">
        <v>398</v>
      </c>
      <c r="L577" s="9">
        <v>1</v>
      </c>
      <c r="M577" s="9">
        <v>15</v>
      </c>
      <c r="R577" s="9">
        <v>7777</v>
      </c>
      <c r="AA577" s="9" t="s">
        <v>415</v>
      </c>
      <c r="AB577" s="9">
        <v>13</v>
      </c>
      <c r="AD577" s="9">
        <v>28000</v>
      </c>
      <c r="AF577" s="89">
        <f t="shared" si="146"/>
        <v>5600</v>
      </c>
      <c r="AG577" s="9">
        <f t="shared" si="153"/>
        <v>10400</v>
      </c>
      <c r="AI577" s="11">
        <f t="shared" si="145"/>
        <v>65</v>
      </c>
      <c r="AJ577" s="10">
        <v>65</v>
      </c>
      <c r="AK577" s="11">
        <f t="shared" si="152"/>
        <v>350</v>
      </c>
      <c r="AL577" s="10">
        <v>350</v>
      </c>
      <c r="AM577" s="11">
        <f t="shared" si="152"/>
        <v>350</v>
      </c>
      <c r="AN577" s="10">
        <v>350</v>
      </c>
      <c r="AO577" s="56">
        <f t="shared" si="147"/>
        <v>1</v>
      </c>
      <c r="AQ577" s="11">
        <f ca="1">IFERROR(OFFSET(ITEM_RES!$A$1,MATCH(AR577,ITEM_RES!$J:$J,0)-1,0),0)</f>
        <v>212040001</v>
      </c>
      <c r="AR577" s="10" t="s">
        <v>481</v>
      </c>
      <c r="AS577" s="11">
        <v>1750</v>
      </c>
      <c r="AV577" s="11">
        <f ca="1">IFERROR(OFFSET(ITEM_RES!$A$1,MATCH(AW577,ITEM_RES!$J:$J,0)-1,0),0)</f>
        <v>0</v>
      </c>
      <c r="BA577" s="11">
        <f ca="1">IFERROR(OFFSET(ITEM_RES!$A$1,MATCH(BB577,ITEM_RES!$J:$J,0)-1,0),0)</f>
        <v>0</v>
      </c>
      <c r="BF577" s="11">
        <f ca="1">IFERROR(OFFSET(ITEM_RES!$A$1,MATCH(BG577,ITEM_RES!$J:$J,0)-1,0),0)</f>
        <v>0</v>
      </c>
      <c r="BK577" s="11">
        <f ca="1">IFERROR(OFFSET(ITEM_RES!$A$1,MATCH(BL577,ITEM_RES!$J:$J,0)-1,0),0)</f>
        <v>0</v>
      </c>
    </row>
    <row r="578" spans="1:66" x14ac:dyDescent="0.3">
      <c r="A578" s="14">
        <f t="shared" si="149"/>
        <v>117060014</v>
      </c>
      <c r="B578" s="13">
        <v>11</v>
      </c>
      <c r="C578" s="12">
        <f t="shared" si="150"/>
        <v>7</v>
      </c>
      <c r="D578" s="13">
        <v>6</v>
      </c>
      <c r="E578" s="13">
        <v>0</v>
      </c>
      <c r="F578" s="12">
        <f t="shared" si="151"/>
        <v>14</v>
      </c>
      <c r="H578" s="9">
        <v>7</v>
      </c>
      <c r="I578" s="9">
        <v>14</v>
      </c>
      <c r="K578" s="9" t="s">
        <v>398</v>
      </c>
      <c r="L578" s="9">
        <v>1</v>
      </c>
      <c r="M578" s="9">
        <v>15</v>
      </c>
      <c r="R578" s="9">
        <v>7777</v>
      </c>
      <c r="AA578" s="9" t="s">
        <v>415</v>
      </c>
      <c r="AB578" s="9">
        <v>14</v>
      </c>
      <c r="AD578" s="9">
        <v>36000</v>
      </c>
      <c r="AF578" s="89">
        <f t="shared" si="146"/>
        <v>7200</v>
      </c>
      <c r="AG578" s="9">
        <f t="shared" si="153"/>
        <v>12800</v>
      </c>
      <c r="AI578" s="11">
        <f t="shared" si="145"/>
        <v>70</v>
      </c>
      <c r="AJ578" s="10">
        <v>70</v>
      </c>
      <c r="AK578" s="11">
        <f t="shared" si="152"/>
        <v>450</v>
      </c>
      <c r="AL578" s="10">
        <v>450</v>
      </c>
      <c r="AM578" s="11">
        <f t="shared" si="152"/>
        <v>450</v>
      </c>
      <c r="AN578" s="10">
        <v>450</v>
      </c>
      <c r="AO578" s="56">
        <f t="shared" si="147"/>
        <v>1</v>
      </c>
      <c r="AQ578" s="11">
        <f ca="1">IFERROR(OFFSET(ITEM_RES!$A$1,MATCH(AR578,ITEM_RES!$J:$J,0)-1,0),0)</f>
        <v>215050001</v>
      </c>
      <c r="AR578" s="10" t="s">
        <v>501</v>
      </c>
      <c r="AS578" s="11">
        <v>2250</v>
      </c>
      <c r="AV578" s="11">
        <f ca="1">IFERROR(OFFSET(ITEM_RES!$A$1,MATCH(AW578,ITEM_RES!$J:$J,0)-1,0),0)</f>
        <v>0</v>
      </c>
      <c r="BA578" s="11">
        <f ca="1">IFERROR(OFFSET(ITEM_RES!$A$1,MATCH(BB578,ITEM_RES!$J:$J,0)-1,0),0)</f>
        <v>0</v>
      </c>
      <c r="BF578" s="11">
        <f ca="1">IFERROR(OFFSET(ITEM_RES!$A$1,MATCH(BG578,ITEM_RES!$J:$J,0)-1,0),0)</f>
        <v>0</v>
      </c>
      <c r="BK578" s="11">
        <f ca="1">IFERROR(OFFSET(ITEM_RES!$A$1,MATCH(BL578,ITEM_RES!$J:$J,0)-1,0),0)</f>
        <v>0</v>
      </c>
    </row>
    <row r="579" spans="1:66" x14ac:dyDescent="0.3">
      <c r="A579" s="14">
        <f t="shared" si="149"/>
        <v>117060015</v>
      </c>
      <c r="B579" s="13">
        <v>11</v>
      </c>
      <c r="C579" s="12">
        <f t="shared" si="150"/>
        <v>7</v>
      </c>
      <c r="D579" s="13">
        <v>6</v>
      </c>
      <c r="E579" s="13">
        <v>0</v>
      </c>
      <c r="F579" s="12">
        <f t="shared" si="151"/>
        <v>15</v>
      </c>
      <c r="H579" s="9">
        <v>7</v>
      </c>
      <c r="I579" s="9">
        <v>15</v>
      </c>
      <c r="K579" s="9" t="s">
        <v>398</v>
      </c>
      <c r="L579" s="9">
        <v>1</v>
      </c>
      <c r="M579" s="9">
        <v>15</v>
      </c>
      <c r="R579" s="9">
        <v>7777</v>
      </c>
      <c r="AA579" s="9" t="s">
        <v>415</v>
      </c>
      <c r="AB579" s="9">
        <v>15</v>
      </c>
      <c r="AD579" s="9">
        <v>44000</v>
      </c>
      <c r="AF579" s="89">
        <f t="shared" si="146"/>
        <v>8800</v>
      </c>
      <c r="AG579" s="9">
        <f t="shared" si="153"/>
        <v>16000</v>
      </c>
      <c r="AI579" s="11">
        <f t="shared" si="145"/>
        <v>75</v>
      </c>
      <c r="AJ579" s="10">
        <v>75</v>
      </c>
      <c r="AK579" s="11">
        <f t="shared" si="152"/>
        <v>550</v>
      </c>
      <c r="AL579" s="10">
        <v>550</v>
      </c>
      <c r="AM579" s="11">
        <f t="shared" si="152"/>
        <v>550</v>
      </c>
      <c r="AN579" s="10">
        <v>550</v>
      </c>
      <c r="AO579" s="56">
        <f t="shared" si="147"/>
        <v>1</v>
      </c>
      <c r="AQ579" s="11">
        <f ca="1">IFERROR(OFFSET(ITEM_RES!$A$1,MATCH(AR579,ITEM_RES!$J:$J,0)-1,0),0)</f>
        <v>215050001</v>
      </c>
      <c r="AR579" s="10" t="s">
        <v>496</v>
      </c>
      <c r="AS579" s="11">
        <v>2750</v>
      </c>
      <c r="AV579" s="11">
        <f ca="1">IFERROR(OFFSET(ITEM_RES!$A$1,MATCH(AW579,ITEM_RES!$J:$J,0)-1,0),0)</f>
        <v>0</v>
      </c>
      <c r="BA579" s="11">
        <f ca="1">IFERROR(OFFSET(ITEM_RES!$A$1,MATCH(BB579,ITEM_RES!$J:$J,0)-1,0),0)</f>
        <v>0</v>
      </c>
      <c r="BF579" s="11">
        <f ca="1">IFERROR(OFFSET(ITEM_RES!$A$1,MATCH(BG579,ITEM_RES!$J:$J,0)-1,0),0)</f>
        <v>0</v>
      </c>
      <c r="BK579" s="11">
        <f ca="1">IFERROR(OFFSET(ITEM_RES!$A$1,MATCH(BL579,ITEM_RES!$J:$J,0)-1,0),0)</f>
        <v>0</v>
      </c>
    </row>
    <row r="580" spans="1:66" x14ac:dyDescent="0.3">
      <c r="A580" s="14">
        <f t="shared" si="149"/>
        <v>117060016</v>
      </c>
      <c r="B580" s="13">
        <v>11</v>
      </c>
      <c r="C580" s="12">
        <f t="shared" si="150"/>
        <v>7</v>
      </c>
      <c r="D580" s="13">
        <v>6</v>
      </c>
      <c r="E580" s="13">
        <v>0</v>
      </c>
      <c r="F580" s="12">
        <f t="shared" si="151"/>
        <v>16</v>
      </c>
      <c r="H580" s="9">
        <v>7</v>
      </c>
      <c r="I580" s="9">
        <v>16</v>
      </c>
      <c r="K580" s="9" t="s">
        <v>398</v>
      </c>
      <c r="L580" s="9">
        <v>0</v>
      </c>
      <c r="M580" s="9">
        <v>15</v>
      </c>
      <c r="R580" s="9">
        <v>7777</v>
      </c>
      <c r="AA580" s="9" t="s">
        <v>415</v>
      </c>
      <c r="AB580" s="9">
        <v>16</v>
      </c>
      <c r="AD580" s="9">
        <v>56000</v>
      </c>
      <c r="AF580" s="89">
        <f t="shared" si="146"/>
        <v>11200</v>
      </c>
      <c r="AG580" s="9">
        <f t="shared" si="153"/>
        <v>20000</v>
      </c>
      <c r="AI580" s="11">
        <f t="shared" si="145"/>
        <v>80</v>
      </c>
      <c r="AJ580" s="10">
        <v>80</v>
      </c>
      <c r="AK580" s="11">
        <f t="shared" si="152"/>
        <v>700</v>
      </c>
      <c r="AL580" s="10">
        <v>700</v>
      </c>
      <c r="AM580" s="11">
        <f t="shared" si="152"/>
        <v>700</v>
      </c>
      <c r="AN580" s="10">
        <v>700</v>
      </c>
      <c r="AO580" s="56">
        <f t="shared" si="147"/>
        <v>1</v>
      </c>
      <c r="AQ580" s="11">
        <f ca="1">IFERROR(OFFSET(ITEM_RES!$A$1,MATCH(AR580,ITEM_RES!$J:$J,0)-1,0),0)</f>
        <v>215050001</v>
      </c>
      <c r="AR580" s="10" t="s">
        <v>496</v>
      </c>
      <c r="AS580" s="11">
        <v>3500</v>
      </c>
      <c r="AV580" s="11">
        <f ca="1">IFERROR(OFFSET(ITEM_RES!$A$1,MATCH(AW580,ITEM_RES!$J:$J,0)-1,0),0)</f>
        <v>0</v>
      </c>
      <c r="BA580" s="11">
        <f ca="1">IFERROR(OFFSET(ITEM_RES!$A$1,MATCH(BB580,ITEM_RES!$J:$J,0)-1,0),0)</f>
        <v>0</v>
      </c>
      <c r="BF580" s="11">
        <f ca="1">IFERROR(OFFSET(ITEM_RES!$A$1,MATCH(BG580,ITEM_RES!$J:$J,0)-1,0),0)</f>
        <v>0</v>
      </c>
      <c r="BK580" s="11">
        <f ca="1">IFERROR(OFFSET(ITEM_RES!$A$1,MATCH(BL580,ITEM_RES!$J:$J,0)-1,0),0)</f>
        <v>0</v>
      </c>
    </row>
    <row r="581" spans="1:66" x14ac:dyDescent="0.3">
      <c r="A581" s="14">
        <f t="shared" si="149"/>
        <v>117060017</v>
      </c>
      <c r="B581" s="13">
        <v>11</v>
      </c>
      <c r="C581" s="12">
        <f t="shared" si="150"/>
        <v>7</v>
      </c>
      <c r="D581" s="13">
        <v>6</v>
      </c>
      <c r="E581" s="13">
        <v>0</v>
      </c>
      <c r="F581" s="12">
        <f t="shared" si="151"/>
        <v>17</v>
      </c>
      <c r="H581" s="9">
        <v>7</v>
      </c>
      <c r="I581" s="9">
        <v>17</v>
      </c>
      <c r="K581" s="9" t="s">
        <v>398</v>
      </c>
      <c r="L581" s="9">
        <v>0</v>
      </c>
      <c r="M581" s="9">
        <v>15</v>
      </c>
      <c r="R581" s="9">
        <v>7777</v>
      </c>
      <c r="AA581" s="9" t="s">
        <v>415</v>
      </c>
      <c r="AB581" s="9">
        <v>17</v>
      </c>
      <c r="AD581" s="9">
        <v>68000</v>
      </c>
      <c r="AF581" s="89">
        <f t="shared" si="146"/>
        <v>13600</v>
      </c>
      <c r="AG581" s="9">
        <f t="shared" si="153"/>
        <v>24800</v>
      </c>
      <c r="AI581" s="11">
        <f t="shared" si="145"/>
        <v>85</v>
      </c>
      <c r="AJ581" s="10">
        <v>85</v>
      </c>
      <c r="AK581" s="11">
        <f t="shared" si="152"/>
        <v>850</v>
      </c>
      <c r="AL581" s="10">
        <v>850</v>
      </c>
      <c r="AM581" s="11">
        <f t="shared" si="152"/>
        <v>850</v>
      </c>
      <c r="AN581" s="10">
        <v>850</v>
      </c>
      <c r="AO581" s="56">
        <f t="shared" si="147"/>
        <v>1</v>
      </c>
      <c r="AQ581" s="11">
        <f ca="1">IFERROR(OFFSET(ITEM_RES!$A$1,MATCH(AR581,ITEM_RES!$J:$J,0)-1,0),0)</f>
        <v>215050001</v>
      </c>
      <c r="AR581" s="10" t="s">
        <v>496</v>
      </c>
      <c r="AS581" s="11">
        <v>4250</v>
      </c>
      <c r="AV581" s="11">
        <f ca="1">IFERROR(OFFSET(ITEM_RES!$A$1,MATCH(AW581,ITEM_RES!$J:$J,0)-1,0),0)</f>
        <v>0</v>
      </c>
      <c r="BA581" s="11">
        <f ca="1">IFERROR(OFFSET(ITEM_RES!$A$1,MATCH(BB581,ITEM_RES!$J:$J,0)-1,0),0)</f>
        <v>0</v>
      </c>
      <c r="BF581" s="11">
        <f ca="1">IFERROR(OFFSET(ITEM_RES!$A$1,MATCH(BG581,ITEM_RES!$J:$J,0)-1,0),0)</f>
        <v>0</v>
      </c>
      <c r="BK581" s="11">
        <f ca="1">IFERROR(OFFSET(ITEM_RES!$A$1,MATCH(BL581,ITEM_RES!$J:$J,0)-1,0),0)</f>
        <v>0</v>
      </c>
    </row>
    <row r="582" spans="1:66" x14ac:dyDescent="0.3">
      <c r="A582" s="14">
        <f t="shared" si="149"/>
        <v>117060018</v>
      </c>
      <c r="B582" s="13">
        <v>11</v>
      </c>
      <c r="C582" s="12">
        <f t="shared" si="150"/>
        <v>7</v>
      </c>
      <c r="D582" s="13">
        <v>6</v>
      </c>
      <c r="E582" s="13">
        <v>0</v>
      </c>
      <c r="F582" s="12">
        <f t="shared" si="151"/>
        <v>18</v>
      </c>
      <c r="H582" s="9">
        <v>7</v>
      </c>
      <c r="I582" s="9">
        <v>18</v>
      </c>
      <c r="K582" s="9" t="s">
        <v>398</v>
      </c>
      <c r="L582" s="9">
        <v>0</v>
      </c>
      <c r="M582" s="9">
        <v>15</v>
      </c>
      <c r="R582" s="9">
        <v>7777</v>
      </c>
      <c r="AA582" s="9" t="s">
        <v>415</v>
      </c>
      <c r="AB582" s="9">
        <v>18</v>
      </c>
      <c r="AD582" s="9">
        <v>84000</v>
      </c>
      <c r="AF582" s="89">
        <f t="shared" si="146"/>
        <v>16800</v>
      </c>
      <c r="AG582" s="9">
        <f t="shared" si="153"/>
        <v>30400</v>
      </c>
      <c r="AI582" s="11">
        <f t="shared" si="145"/>
        <v>90</v>
      </c>
      <c r="AJ582" s="10">
        <v>90</v>
      </c>
      <c r="AK582" s="11">
        <f t="shared" si="152"/>
        <v>1050</v>
      </c>
      <c r="AL582" s="10">
        <v>1050</v>
      </c>
      <c r="AM582" s="11">
        <f t="shared" si="152"/>
        <v>1050</v>
      </c>
      <c r="AN582" s="10">
        <v>1050</v>
      </c>
      <c r="AO582" s="56">
        <f t="shared" si="147"/>
        <v>1</v>
      </c>
      <c r="AQ582" s="11">
        <f ca="1">IFERROR(OFFSET(ITEM_RES!$A$1,MATCH(AR582,ITEM_RES!$J:$J,0)-1,0),0)</f>
        <v>215050001</v>
      </c>
      <c r="AR582" s="10" t="s">
        <v>496</v>
      </c>
      <c r="AS582" s="11">
        <v>5250</v>
      </c>
      <c r="AV582" s="11">
        <f ca="1">IFERROR(OFFSET(ITEM_RES!$A$1,MATCH(AW582,ITEM_RES!$J:$J,0)-1,0),0)</f>
        <v>0</v>
      </c>
      <c r="BA582" s="11">
        <f ca="1">IFERROR(OFFSET(ITEM_RES!$A$1,MATCH(BB582,ITEM_RES!$J:$J,0)-1,0),0)</f>
        <v>0</v>
      </c>
      <c r="BF582" s="11">
        <f ca="1">IFERROR(OFFSET(ITEM_RES!$A$1,MATCH(BG582,ITEM_RES!$J:$J,0)-1,0),0)</f>
        <v>0</v>
      </c>
      <c r="BK582" s="11">
        <f ca="1">IFERROR(OFFSET(ITEM_RES!$A$1,MATCH(BL582,ITEM_RES!$J:$J,0)-1,0),0)</f>
        <v>0</v>
      </c>
    </row>
    <row r="583" spans="1:66" x14ac:dyDescent="0.3">
      <c r="A583" s="14">
        <f t="shared" si="149"/>
        <v>117060019</v>
      </c>
      <c r="B583" s="13">
        <v>11</v>
      </c>
      <c r="C583" s="12">
        <f t="shared" si="150"/>
        <v>7</v>
      </c>
      <c r="D583" s="13">
        <v>6</v>
      </c>
      <c r="E583" s="13">
        <v>0</v>
      </c>
      <c r="F583" s="12">
        <f t="shared" si="151"/>
        <v>19</v>
      </c>
      <c r="H583" s="9">
        <v>7</v>
      </c>
      <c r="I583" s="9">
        <v>19</v>
      </c>
      <c r="K583" s="9" t="s">
        <v>398</v>
      </c>
      <c r="L583" s="9">
        <v>0</v>
      </c>
      <c r="M583" s="9">
        <v>15</v>
      </c>
      <c r="R583" s="9">
        <v>7777</v>
      </c>
      <c r="AA583" s="9" t="s">
        <v>415</v>
      </c>
      <c r="AB583" s="9">
        <v>19</v>
      </c>
      <c r="AD583" s="9">
        <v>100000</v>
      </c>
      <c r="AF583" s="89">
        <f t="shared" si="146"/>
        <v>20000</v>
      </c>
      <c r="AG583" s="9">
        <f t="shared" si="153"/>
        <v>36800</v>
      </c>
      <c r="AI583" s="11">
        <f t="shared" si="145"/>
        <v>95</v>
      </c>
      <c r="AJ583" s="10">
        <v>95</v>
      </c>
      <c r="AK583" s="11">
        <f t="shared" si="152"/>
        <v>1250</v>
      </c>
      <c r="AL583" s="10">
        <v>1250</v>
      </c>
      <c r="AM583" s="11">
        <f t="shared" si="152"/>
        <v>1250</v>
      </c>
      <c r="AN583" s="10">
        <v>1250</v>
      </c>
      <c r="AO583" s="56">
        <f t="shared" si="147"/>
        <v>1</v>
      </c>
      <c r="AQ583" s="11">
        <f ca="1">IFERROR(OFFSET(ITEM_RES!$A$1,MATCH(AR583,ITEM_RES!$J:$J,0)-1,0),0)</f>
        <v>215050001</v>
      </c>
      <c r="AR583" s="10" t="s">
        <v>496</v>
      </c>
      <c r="AS583" s="11">
        <v>6250</v>
      </c>
      <c r="AV583" s="11">
        <f ca="1">IFERROR(OFFSET(ITEM_RES!$A$1,MATCH(AW583,ITEM_RES!$J:$J,0)-1,0),0)</f>
        <v>0</v>
      </c>
      <c r="BA583" s="11">
        <f ca="1">IFERROR(OFFSET(ITEM_RES!$A$1,MATCH(BB583,ITEM_RES!$J:$J,0)-1,0),0)</f>
        <v>0</v>
      </c>
      <c r="BF583" s="11">
        <f ca="1">IFERROR(OFFSET(ITEM_RES!$A$1,MATCH(BG583,ITEM_RES!$J:$J,0)-1,0),0)</f>
        <v>0</v>
      </c>
      <c r="BK583" s="11">
        <f ca="1">IFERROR(OFFSET(ITEM_RES!$A$1,MATCH(BL583,ITEM_RES!$J:$J,0)-1,0),0)</f>
        <v>0</v>
      </c>
    </row>
    <row r="584" spans="1:66" ht="17.25" thickBot="1" x14ac:dyDescent="0.35">
      <c r="A584" s="14">
        <f t="shared" si="149"/>
        <v>117060020</v>
      </c>
      <c r="B584" s="13">
        <v>11</v>
      </c>
      <c r="C584" s="12">
        <f t="shared" si="150"/>
        <v>7</v>
      </c>
      <c r="D584" s="13">
        <v>6</v>
      </c>
      <c r="E584" s="13">
        <v>0</v>
      </c>
      <c r="F584" s="12">
        <f t="shared" si="151"/>
        <v>20</v>
      </c>
      <c r="H584" s="9">
        <v>7</v>
      </c>
      <c r="I584" s="9">
        <v>20</v>
      </c>
      <c r="K584" s="9" t="s">
        <v>398</v>
      </c>
      <c r="L584" s="9">
        <v>0</v>
      </c>
      <c r="M584" s="9">
        <v>15</v>
      </c>
      <c r="R584" s="9">
        <v>7777</v>
      </c>
      <c r="AA584" s="9" t="s">
        <v>415</v>
      </c>
      <c r="AB584" s="9">
        <v>20</v>
      </c>
      <c r="AD584" s="9">
        <v>120000</v>
      </c>
      <c r="AF584" s="89">
        <f t="shared" si="146"/>
        <v>24000</v>
      </c>
      <c r="AG584" s="9">
        <f t="shared" si="153"/>
        <v>44000</v>
      </c>
      <c r="AI584" s="11">
        <f t="shared" si="145"/>
        <v>100</v>
      </c>
      <c r="AJ584" s="10">
        <v>100</v>
      </c>
      <c r="AK584" s="11">
        <f t="shared" si="152"/>
        <v>1500</v>
      </c>
      <c r="AL584" s="10">
        <v>1500</v>
      </c>
      <c r="AM584" s="11">
        <f t="shared" si="152"/>
        <v>1500</v>
      </c>
      <c r="AN584" s="10">
        <v>1500</v>
      </c>
      <c r="AO584" s="56">
        <f t="shared" si="147"/>
        <v>1</v>
      </c>
      <c r="AQ584" s="11">
        <f ca="1">IFERROR(OFFSET(ITEM_RES!$A$1,MATCH(AR584,ITEM_RES!$J:$J,0)-1,0),0)</f>
        <v>215050001</v>
      </c>
      <c r="AR584" s="10" t="s">
        <v>496</v>
      </c>
      <c r="AS584" s="11">
        <v>7500</v>
      </c>
      <c r="AV584" s="11">
        <f ca="1">IFERROR(OFFSET(ITEM_RES!$A$1,MATCH(AW584,ITEM_RES!$J:$J,0)-1,0),0)</f>
        <v>0</v>
      </c>
      <c r="BA584" s="11">
        <f ca="1">IFERROR(OFFSET(ITEM_RES!$A$1,MATCH(BB584,ITEM_RES!$J:$J,0)-1,0),0)</f>
        <v>0</v>
      </c>
      <c r="BF584" s="11">
        <f ca="1">IFERROR(OFFSET(ITEM_RES!$A$1,MATCH(BG584,ITEM_RES!$J:$J,0)-1,0),0)</f>
        <v>0</v>
      </c>
      <c r="BK584" s="11">
        <f ca="1">IFERROR(OFFSET(ITEM_RES!$A$1,MATCH(BL584,ITEM_RES!$J:$J,0)-1,0),0)</f>
        <v>0</v>
      </c>
    </row>
    <row r="585" spans="1:66" s="15" customFormat="1" x14ac:dyDescent="0.3">
      <c r="A585" s="21">
        <f t="shared" si="149"/>
        <v>117070001</v>
      </c>
      <c r="B585" s="20">
        <v>11</v>
      </c>
      <c r="C585" s="19">
        <f t="shared" si="150"/>
        <v>7</v>
      </c>
      <c r="D585" s="20">
        <v>7</v>
      </c>
      <c r="E585" s="20">
        <v>0</v>
      </c>
      <c r="F585" s="19">
        <f t="shared" si="151"/>
        <v>1</v>
      </c>
      <c r="G585" s="80"/>
      <c r="H585" s="16">
        <v>7</v>
      </c>
      <c r="I585" s="16">
        <v>1</v>
      </c>
      <c r="J585" s="80"/>
      <c r="K585" s="16" t="s">
        <v>399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8"/>
      <c r="T585" s="80"/>
      <c r="U585" s="88"/>
      <c r="V585" s="88"/>
      <c r="W585" s="88"/>
      <c r="X585" s="88"/>
      <c r="Y585" s="88"/>
      <c r="Z585" s="16"/>
      <c r="AA585" s="16" t="s">
        <v>417</v>
      </c>
      <c r="AB585" s="16">
        <v>1</v>
      </c>
      <c r="AC585" s="80"/>
      <c r="AD585" s="16">
        <v>200</v>
      </c>
      <c r="AE585" s="80"/>
      <c r="AF585" s="91">
        <f t="shared" si="146"/>
        <v>1080</v>
      </c>
      <c r="AG585" s="16">
        <f>AF585</f>
        <v>1080</v>
      </c>
      <c r="AH585" s="80"/>
      <c r="AI585" s="18">
        <f t="shared" si="145"/>
        <v>5</v>
      </c>
      <c r="AJ585" s="17">
        <v>5</v>
      </c>
      <c r="AK585" s="18">
        <f t="shared" si="152"/>
        <v>5</v>
      </c>
      <c r="AL585" s="17">
        <v>5</v>
      </c>
      <c r="AM585" s="18">
        <f t="shared" si="152"/>
        <v>5</v>
      </c>
      <c r="AN585" s="17">
        <v>5</v>
      </c>
      <c r="AO585" s="57">
        <f t="shared" si="147"/>
        <v>3</v>
      </c>
      <c r="AP585" s="18"/>
      <c r="AQ585" s="18">
        <f ca="1">IFERROR(OFFSET(ITEM_RES!$A$1,MATCH(AR585,ITEM_RES!$J:$J,0)-1,0),0)</f>
        <v>212040001</v>
      </c>
      <c r="AR585" s="17" t="s">
        <v>481</v>
      </c>
      <c r="AS585" s="18">
        <v>25</v>
      </c>
      <c r="AT585" s="17"/>
      <c r="AU585" s="18"/>
      <c r="AV585" s="18">
        <f ca="1">IFERROR(OFFSET(ITEM_RES!$A$1,MATCH(AW585,ITEM_RES!$J:$J,0)-1,0),0)</f>
        <v>0</v>
      </c>
      <c r="AW585" s="17"/>
      <c r="AX585" s="18"/>
      <c r="AY585" s="17"/>
      <c r="AZ585" s="18"/>
      <c r="BA585" s="18">
        <f ca="1">IFERROR(OFFSET(ITEM_RES!$A$1,MATCH(BB585,ITEM_RES!$J:$J,0)-1,0),0)</f>
        <v>213010001</v>
      </c>
      <c r="BB585" s="17" t="s">
        <v>509</v>
      </c>
      <c r="BC585" s="18">
        <v>1</v>
      </c>
      <c r="BD585" s="17"/>
      <c r="BE585" s="18"/>
      <c r="BF585" s="18">
        <f ca="1">IFERROR(OFFSET(ITEM_RES!$A$1,MATCH(BG585,ITEM_RES!$J:$J,0)-1,0),0)</f>
        <v>213030001</v>
      </c>
      <c r="BG585" s="17" t="s">
        <v>533</v>
      </c>
      <c r="BH585" s="18">
        <v>1</v>
      </c>
      <c r="BI585" s="17"/>
      <c r="BJ585" s="18"/>
      <c r="BK585" s="18">
        <f ca="1">IFERROR(OFFSET(ITEM_RES!$A$1,MATCH(BL585,ITEM_RES!$J:$J,0)-1,0),0)</f>
        <v>0</v>
      </c>
      <c r="BL585" s="17"/>
      <c r="BM585" s="18"/>
      <c r="BN585" s="17"/>
    </row>
    <row r="586" spans="1:66" x14ac:dyDescent="0.3">
      <c r="A586" s="14">
        <f t="shared" si="149"/>
        <v>117070002</v>
      </c>
      <c r="B586" s="13">
        <v>11</v>
      </c>
      <c r="C586" s="12">
        <f t="shared" si="150"/>
        <v>7</v>
      </c>
      <c r="D586" s="13">
        <v>7</v>
      </c>
      <c r="E586" s="13">
        <v>0</v>
      </c>
      <c r="F586" s="12">
        <f t="shared" si="151"/>
        <v>2</v>
      </c>
      <c r="H586" s="9">
        <v>7</v>
      </c>
      <c r="I586" s="9">
        <v>2</v>
      </c>
      <c r="K586" s="9" t="s">
        <v>399</v>
      </c>
      <c r="L586" s="9">
        <v>1</v>
      </c>
      <c r="M586" s="9">
        <v>15</v>
      </c>
      <c r="R586" s="9">
        <v>8888</v>
      </c>
      <c r="AA586" s="9" t="s">
        <v>417</v>
      </c>
      <c r="AB586" s="9">
        <v>2</v>
      </c>
      <c r="AD586" s="9">
        <v>400</v>
      </c>
      <c r="AF586" s="89">
        <f t="shared" si="146"/>
        <v>160</v>
      </c>
      <c r="AG586" s="9">
        <f>AF585+AF586</f>
        <v>1240</v>
      </c>
      <c r="AI586" s="11">
        <f t="shared" si="145"/>
        <v>10</v>
      </c>
      <c r="AJ586" s="10">
        <v>10</v>
      </c>
      <c r="AK586" s="11">
        <f t="shared" si="152"/>
        <v>10</v>
      </c>
      <c r="AL586" s="10">
        <v>10</v>
      </c>
      <c r="AM586" s="11">
        <f t="shared" si="152"/>
        <v>10</v>
      </c>
      <c r="AN586" s="10">
        <v>10</v>
      </c>
      <c r="AO586" s="56">
        <f t="shared" si="147"/>
        <v>1</v>
      </c>
      <c r="AQ586" s="11">
        <f ca="1">IFERROR(OFFSET(ITEM_RES!$A$1,MATCH(AR586,ITEM_RES!$J:$J,0)-1,0),0)</f>
        <v>212040001</v>
      </c>
      <c r="AR586" s="10" t="s">
        <v>481</v>
      </c>
      <c r="AS586" s="11">
        <v>50</v>
      </c>
      <c r="AV586" s="11">
        <f ca="1">IFERROR(OFFSET(ITEM_RES!$A$1,MATCH(AW586,ITEM_RES!$J:$J,0)-1,0),0)</f>
        <v>0</v>
      </c>
      <c r="BA586" s="11">
        <f ca="1">IFERROR(OFFSET(ITEM_RES!$A$1,MATCH(BB586,ITEM_RES!$J:$J,0)-1,0),0)</f>
        <v>0</v>
      </c>
      <c r="BF586" s="11">
        <f ca="1">IFERROR(OFFSET(ITEM_RES!$A$1,MATCH(BG586,ITEM_RES!$J:$J,0)-1,0),0)</f>
        <v>0</v>
      </c>
      <c r="BK586" s="11">
        <f ca="1">IFERROR(OFFSET(ITEM_RES!$A$1,MATCH(BL586,ITEM_RES!$J:$J,0)-1,0),0)</f>
        <v>0</v>
      </c>
    </row>
    <row r="587" spans="1:66" x14ac:dyDescent="0.3">
      <c r="A587" s="14">
        <f t="shared" si="149"/>
        <v>117070003</v>
      </c>
      <c r="B587" s="13">
        <v>11</v>
      </c>
      <c r="C587" s="12">
        <f t="shared" si="150"/>
        <v>7</v>
      </c>
      <c r="D587" s="13">
        <v>7</v>
      </c>
      <c r="E587" s="13">
        <v>0</v>
      </c>
      <c r="F587" s="12">
        <f t="shared" si="151"/>
        <v>3</v>
      </c>
      <c r="H587" s="9">
        <v>7</v>
      </c>
      <c r="I587" s="9">
        <v>3</v>
      </c>
      <c r="K587" s="9" t="s">
        <v>400</v>
      </c>
      <c r="L587" s="9">
        <v>1</v>
      </c>
      <c r="M587" s="9">
        <v>15</v>
      </c>
      <c r="R587" s="9">
        <v>8888</v>
      </c>
      <c r="AA587" s="9" t="s">
        <v>416</v>
      </c>
      <c r="AB587" s="9">
        <v>3</v>
      </c>
      <c r="AD587" s="9">
        <v>1200</v>
      </c>
      <c r="AF587" s="89">
        <f t="shared" si="146"/>
        <v>240</v>
      </c>
      <c r="AG587" s="9">
        <f t="shared" ref="AG587:AG604" si="154">AF586+AF587</f>
        <v>400</v>
      </c>
      <c r="AI587" s="11">
        <f t="shared" si="145"/>
        <v>15</v>
      </c>
      <c r="AJ587" s="10">
        <v>15</v>
      </c>
      <c r="AK587" s="11">
        <f t="shared" si="152"/>
        <v>15</v>
      </c>
      <c r="AL587" s="10">
        <v>15</v>
      </c>
      <c r="AM587" s="11">
        <f t="shared" si="152"/>
        <v>15</v>
      </c>
      <c r="AN587" s="10">
        <v>15</v>
      </c>
      <c r="AO587" s="56">
        <f t="shared" si="147"/>
        <v>1</v>
      </c>
      <c r="AQ587" s="11">
        <f ca="1">IFERROR(OFFSET(ITEM_RES!$A$1,MATCH(AR587,ITEM_RES!$J:$J,0)-1,0),0)</f>
        <v>212040001</v>
      </c>
      <c r="AR587" s="10" t="s">
        <v>481</v>
      </c>
      <c r="AS587" s="11">
        <v>75</v>
      </c>
      <c r="AV587" s="11">
        <f ca="1">IFERROR(OFFSET(ITEM_RES!$A$1,MATCH(AW587,ITEM_RES!$J:$J,0)-1,0),0)</f>
        <v>0</v>
      </c>
      <c r="BA587" s="11">
        <f ca="1">IFERROR(OFFSET(ITEM_RES!$A$1,MATCH(BB587,ITEM_RES!$J:$J,0)-1,0),0)</f>
        <v>0</v>
      </c>
      <c r="BF587" s="11">
        <f ca="1">IFERROR(OFFSET(ITEM_RES!$A$1,MATCH(BG587,ITEM_RES!$J:$J,0)-1,0),0)</f>
        <v>0</v>
      </c>
      <c r="BK587" s="11">
        <f ca="1">IFERROR(OFFSET(ITEM_RES!$A$1,MATCH(BL587,ITEM_RES!$J:$J,0)-1,0),0)</f>
        <v>0</v>
      </c>
    </row>
    <row r="588" spans="1:66" x14ac:dyDescent="0.3">
      <c r="A588" s="14">
        <f t="shared" si="149"/>
        <v>117070004</v>
      </c>
      <c r="B588" s="13">
        <v>11</v>
      </c>
      <c r="C588" s="12">
        <f t="shared" si="150"/>
        <v>7</v>
      </c>
      <c r="D588" s="13">
        <v>7</v>
      </c>
      <c r="E588" s="13">
        <v>0</v>
      </c>
      <c r="F588" s="12">
        <f t="shared" si="151"/>
        <v>4</v>
      </c>
      <c r="H588" s="9">
        <v>7</v>
      </c>
      <c r="I588" s="9">
        <v>4</v>
      </c>
      <c r="K588" s="9" t="s">
        <v>400</v>
      </c>
      <c r="L588" s="9">
        <v>1</v>
      </c>
      <c r="M588" s="9">
        <v>15</v>
      </c>
      <c r="R588" s="9">
        <v>8888</v>
      </c>
      <c r="AA588" s="9" t="s">
        <v>416</v>
      </c>
      <c r="AB588" s="9">
        <v>4</v>
      </c>
      <c r="AD588" s="9">
        <v>2000</v>
      </c>
      <c r="AF588" s="89">
        <f t="shared" si="146"/>
        <v>400</v>
      </c>
      <c r="AG588" s="9">
        <f t="shared" si="154"/>
        <v>640</v>
      </c>
      <c r="AI588" s="11">
        <f t="shared" si="145"/>
        <v>20</v>
      </c>
      <c r="AJ588" s="10">
        <v>20</v>
      </c>
      <c r="AK588" s="11">
        <f t="shared" si="152"/>
        <v>25</v>
      </c>
      <c r="AL588" s="10">
        <v>25</v>
      </c>
      <c r="AM588" s="11">
        <f t="shared" si="152"/>
        <v>25</v>
      </c>
      <c r="AN588" s="10">
        <v>25</v>
      </c>
      <c r="AO588" s="56">
        <f t="shared" si="147"/>
        <v>1</v>
      </c>
      <c r="AQ588" s="11">
        <f ca="1">IFERROR(OFFSET(ITEM_RES!$A$1,MATCH(AR588,ITEM_RES!$J:$J,0)-1,0),0)</f>
        <v>212040001</v>
      </c>
      <c r="AR588" s="10" t="s">
        <v>481</v>
      </c>
      <c r="AS588" s="11">
        <v>125</v>
      </c>
      <c r="AV588" s="11">
        <f ca="1">IFERROR(OFFSET(ITEM_RES!$A$1,MATCH(AW588,ITEM_RES!$J:$J,0)-1,0),0)</f>
        <v>0</v>
      </c>
      <c r="BA588" s="11">
        <f ca="1">IFERROR(OFFSET(ITEM_RES!$A$1,MATCH(BB588,ITEM_RES!$J:$J,0)-1,0),0)</f>
        <v>0</v>
      </c>
      <c r="BF588" s="11">
        <f ca="1">IFERROR(OFFSET(ITEM_RES!$A$1,MATCH(BG588,ITEM_RES!$J:$J,0)-1,0),0)</f>
        <v>0</v>
      </c>
      <c r="BK588" s="11">
        <f ca="1">IFERROR(OFFSET(ITEM_RES!$A$1,MATCH(BL588,ITEM_RES!$J:$J,0)-1,0),0)</f>
        <v>0</v>
      </c>
    </row>
    <row r="589" spans="1:66" x14ac:dyDescent="0.3">
      <c r="A589" s="14">
        <f t="shared" si="149"/>
        <v>117070005</v>
      </c>
      <c r="B589" s="13">
        <v>11</v>
      </c>
      <c r="C589" s="12">
        <f t="shared" si="150"/>
        <v>7</v>
      </c>
      <c r="D589" s="13">
        <v>7</v>
      </c>
      <c r="E589" s="13">
        <v>0</v>
      </c>
      <c r="F589" s="12">
        <f t="shared" si="151"/>
        <v>5</v>
      </c>
      <c r="H589" s="9">
        <v>7</v>
      </c>
      <c r="I589" s="9">
        <v>5</v>
      </c>
      <c r="K589" s="9" t="s">
        <v>400</v>
      </c>
      <c r="L589" s="9">
        <v>1</v>
      </c>
      <c r="M589" s="9">
        <v>15</v>
      </c>
      <c r="R589" s="9">
        <v>8888</v>
      </c>
      <c r="AA589" s="9" t="s">
        <v>416</v>
      </c>
      <c r="AB589" s="9">
        <v>5</v>
      </c>
      <c r="AD589" s="9">
        <v>3200</v>
      </c>
      <c r="AF589" s="89">
        <f t="shared" si="146"/>
        <v>1140</v>
      </c>
      <c r="AG589" s="9">
        <f t="shared" si="154"/>
        <v>1540</v>
      </c>
      <c r="AI589" s="11">
        <f t="shared" si="145"/>
        <v>25</v>
      </c>
      <c r="AJ589" s="10">
        <v>25</v>
      </c>
      <c r="AK589" s="11">
        <f t="shared" si="152"/>
        <v>40</v>
      </c>
      <c r="AL589" s="10">
        <v>40</v>
      </c>
      <c r="AM589" s="11">
        <f t="shared" si="152"/>
        <v>40</v>
      </c>
      <c r="AN589" s="10">
        <v>40</v>
      </c>
      <c r="AO589" s="56">
        <f t="shared" si="147"/>
        <v>2</v>
      </c>
      <c r="AQ589" s="11">
        <f ca="1">IFERROR(OFFSET(ITEM_RES!$A$1,MATCH(AR589,ITEM_RES!$J:$J,0)-1,0),0)</f>
        <v>212040001</v>
      </c>
      <c r="AR589" s="10" t="s">
        <v>481</v>
      </c>
      <c r="AS589" s="11">
        <v>200</v>
      </c>
      <c r="AV589" s="11">
        <f ca="1">IFERROR(OFFSET(ITEM_RES!$A$1,MATCH(AW589,ITEM_RES!$J:$J,0)-1,0),0)</f>
        <v>0</v>
      </c>
      <c r="BA589" s="11">
        <f ca="1">IFERROR(OFFSET(ITEM_RES!$A$1,MATCH(BB589,ITEM_RES!$J:$J,0)-1,0),0)</f>
        <v>0</v>
      </c>
      <c r="BF589" s="11">
        <f ca="1">IFERROR(OFFSET(ITEM_RES!$A$1,MATCH(BG589,ITEM_RES!$J:$J,0)-1,0),0)</f>
        <v>213180001</v>
      </c>
      <c r="BG589" s="10" t="s">
        <v>541</v>
      </c>
      <c r="BH589" s="11">
        <v>1</v>
      </c>
      <c r="BK589" s="11">
        <f ca="1">IFERROR(OFFSET(ITEM_RES!$A$1,MATCH(BL589,ITEM_RES!$J:$J,0)-1,0),0)</f>
        <v>0</v>
      </c>
    </row>
    <row r="590" spans="1:66" x14ac:dyDescent="0.3">
      <c r="A590" s="14">
        <f t="shared" si="149"/>
        <v>117070006</v>
      </c>
      <c r="B590" s="13">
        <v>11</v>
      </c>
      <c r="C590" s="12">
        <f t="shared" si="150"/>
        <v>7</v>
      </c>
      <c r="D590" s="13">
        <v>7</v>
      </c>
      <c r="E590" s="13">
        <v>0</v>
      </c>
      <c r="F590" s="12">
        <f t="shared" si="151"/>
        <v>6</v>
      </c>
      <c r="H590" s="9">
        <v>7</v>
      </c>
      <c r="I590" s="9">
        <v>6</v>
      </c>
      <c r="K590" s="9" t="s">
        <v>400</v>
      </c>
      <c r="L590" s="9">
        <v>1</v>
      </c>
      <c r="M590" s="9">
        <v>15</v>
      </c>
      <c r="R590" s="9">
        <v>8888</v>
      </c>
      <c r="AA590" s="9" t="s">
        <v>416</v>
      </c>
      <c r="AB590" s="9">
        <v>6</v>
      </c>
      <c r="AD590" s="9">
        <v>4000</v>
      </c>
      <c r="AF590" s="89">
        <f t="shared" si="146"/>
        <v>800</v>
      </c>
      <c r="AG590" s="9">
        <f t="shared" si="154"/>
        <v>1940</v>
      </c>
      <c r="AI590" s="11">
        <f t="shared" si="145"/>
        <v>30</v>
      </c>
      <c r="AJ590" s="10">
        <v>30</v>
      </c>
      <c r="AK590" s="11">
        <f t="shared" si="152"/>
        <v>50</v>
      </c>
      <c r="AL590" s="10">
        <v>50</v>
      </c>
      <c r="AM590" s="11">
        <f t="shared" si="152"/>
        <v>50</v>
      </c>
      <c r="AN590" s="10">
        <v>50</v>
      </c>
      <c r="AO590" s="56">
        <f t="shared" si="147"/>
        <v>1</v>
      </c>
      <c r="AQ590" s="11">
        <f ca="1">IFERROR(OFFSET(ITEM_RES!$A$1,MATCH(AR590,ITEM_RES!$J:$J,0)-1,0),0)</f>
        <v>212040001</v>
      </c>
      <c r="AR590" s="10" t="s">
        <v>481</v>
      </c>
      <c r="AS590" s="11">
        <v>250</v>
      </c>
      <c r="AV590" s="11">
        <f ca="1">IFERROR(OFFSET(ITEM_RES!$A$1,MATCH(AW590,ITEM_RES!$J:$J,0)-1,0),0)</f>
        <v>0</v>
      </c>
      <c r="BA590" s="11">
        <f ca="1">IFERROR(OFFSET(ITEM_RES!$A$1,MATCH(BB590,ITEM_RES!$J:$J,0)-1,0),0)</f>
        <v>0</v>
      </c>
      <c r="BF590" s="11">
        <f ca="1">IFERROR(OFFSET(ITEM_RES!$A$1,MATCH(BG590,ITEM_RES!$J:$J,0)-1,0),0)</f>
        <v>0</v>
      </c>
      <c r="BK590" s="11">
        <f ca="1">IFERROR(OFFSET(ITEM_RES!$A$1,MATCH(BL590,ITEM_RES!$J:$J,0)-1,0),0)</f>
        <v>0</v>
      </c>
    </row>
    <row r="591" spans="1:66" x14ac:dyDescent="0.3">
      <c r="A591" s="14">
        <f t="shared" si="149"/>
        <v>117070007</v>
      </c>
      <c r="B591" s="13">
        <v>11</v>
      </c>
      <c r="C591" s="12">
        <f t="shared" si="150"/>
        <v>7</v>
      </c>
      <c r="D591" s="13">
        <v>7</v>
      </c>
      <c r="E591" s="13">
        <v>0</v>
      </c>
      <c r="F591" s="12">
        <f t="shared" si="151"/>
        <v>7</v>
      </c>
      <c r="H591" s="9">
        <v>7</v>
      </c>
      <c r="I591" s="9">
        <v>7</v>
      </c>
      <c r="K591" s="9" t="s">
        <v>400</v>
      </c>
      <c r="L591" s="9">
        <v>1</v>
      </c>
      <c r="M591" s="9">
        <v>15</v>
      </c>
      <c r="R591" s="9">
        <v>8888</v>
      </c>
      <c r="AA591" s="9" t="s">
        <v>416</v>
      </c>
      <c r="AB591" s="9">
        <v>7</v>
      </c>
      <c r="AD591" s="9">
        <v>8000</v>
      </c>
      <c r="AF591" s="89">
        <f t="shared" si="146"/>
        <v>1600</v>
      </c>
      <c r="AG591" s="9">
        <f t="shared" si="154"/>
        <v>2400</v>
      </c>
      <c r="AI591" s="11">
        <f t="shared" si="145"/>
        <v>35</v>
      </c>
      <c r="AJ591" s="10">
        <v>35</v>
      </c>
      <c r="AK591" s="11">
        <f t="shared" si="152"/>
        <v>100</v>
      </c>
      <c r="AL591" s="10">
        <v>100</v>
      </c>
      <c r="AM591" s="11">
        <f t="shared" si="152"/>
        <v>100</v>
      </c>
      <c r="AN591" s="10">
        <v>100</v>
      </c>
      <c r="AO591" s="56">
        <f t="shared" si="147"/>
        <v>1</v>
      </c>
      <c r="AQ591" s="11">
        <f ca="1">IFERROR(OFFSET(ITEM_RES!$A$1,MATCH(AR591,ITEM_RES!$J:$J,0)-1,0),0)</f>
        <v>212040001</v>
      </c>
      <c r="AR591" s="10" t="s">
        <v>481</v>
      </c>
      <c r="AS591" s="11">
        <v>500</v>
      </c>
      <c r="AV591" s="11">
        <f ca="1">IFERROR(OFFSET(ITEM_RES!$A$1,MATCH(AW591,ITEM_RES!$J:$J,0)-1,0),0)</f>
        <v>0</v>
      </c>
      <c r="BA591" s="11">
        <f ca="1">IFERROR(OFFSET(ITEM_RES!$A$1,MATCH(BB591,ITEM_RES!$J:$J,0)-1,0),0)</f>
        <v>0</v>
      </c>
      <c r="BF591" s="11">
        <f ca="1">IFERROR(OFFSET(ITEM_RES!$A$1,MATCH(BG591,ITEM_RES!$J:$J,0)-1,0),0)</f>
        <v>0</v>
      </c>
      <c r="BK591" s="11">
        <f ca="1">IFERROR(OFFSET(ITEM_RES!$A$1,MATCH(BL591,ITEM_RES!$J:$J,0)-1,0),0)</f>
        <v>0</v>
      </c>
    </row>
    <row r="592" spans="1:66" x14ac:dyDescent="0.3">
      <c r="A592" s="14">
        <f t="shared" si="149"/>
        <v>117070008</v>
      </c>
      <c r="B592" s="13">
        <v>11</v>
      </c>
      <c r="C592" s="12">
        <f t="shared" si="150"/>
        <v>7</v>
      </c>
      <c r="D592" s="13">
        <v>7</v>
      </c>
      <c r="E592" s="13">
        <v>0</v>
      </c>
      <c r="F592" s="12">
        <f t="shared" si="151"/>
        <v>8</v>
      </c>
      <c r="H592" s="9">
        <v>7</v>
      </c>
      <c r="I592" s="9">
        <v>8</v>
      </c>
      <c r="K592" s="9" t="s">
        <v>400</v>
      </c>
      <c r="L592" s="9">
        <v>1</v>
      </c>
      <c r="M592" s="9">
        <v>15</v>
      </c>
      <c r="R592" s="9">
        <v>8888</v>
      </c>
      <c r="AA592" s="9" t="s">
        <v>416</v>
      </c>
      <c r="AB592" s="9">
        <v>8</v>
      </c>
      <c r="AD592" s="9">
        <v>8000</v>
      </c>
      <c r="AF592" s="89">
        <f t="shared" si="146"/>
        <v>1600</v>
      </c>
      <c r="AG592" s="9">
        <f t="shared" si="154"/>
        <v>3200</v>
      </c>
      <c r="AI592" s="11">
        <f t="shared" si="145"/>
        <v>40</v>
      </c>
      <c r="AJ592" s="10">
        <v>40</v>
      </c>
      <c r="AK592" s="11">
        <f t="shared" si="152"/>
        <v>100</v>
      </c>
      <c r="AL592" s="10">
        <v>100</v>
      </c>
      <c r="AM592" s="11">
        <f t="shared" si="152"/>
        <v>100</v>
      </c>
      <c r="AN592" s="10">
        <v>100</v>
      </c>
      <c r="AO592" s="56">
        <f t="shared" si="147"/>
        <v>1</v>
      </c>
      <c r="AQ592" s="11">
        <f ca="1">IFERROR(OFFSET(ITEM_RES!$A$1,MATCH(AR592,ITEM_RES!$J:$J,0)-1,0),0)</f>
        <v>212040001</v>
      </c>
      <c r="AR592" s="10" t="s">
        <v>481</v>
      </c>
      <c r="AS592" s="11">
        <v>500</v>
      </c>
      <c r="AV592" s="11">
        <f ca="1">IFERROR(OFFSET(ITEM_RES!$A$1,MATCH(AW592,ITEM_RES!$J:$J,0)-1,0),0)</f>
        <v>0</v>
      </c>
      <c r="BA592" s="11">
        <f ca="1">IFERROR(OFFSET(ITEM_RES!$A$1,MATCH(BB592,ITEM_RES!$J:$J,0)-1,0),0)</f>
        <v>0</v>
      </c>
      <c r="BF592" s="11">
        <f ca="1">IFERROR(OFFSET(ITEM_RES!$A$1,MATCH(BG592,ITEM_RES!$J:$J,0)-1,0),0)</f>
        <v>0</v>
      </c>
      <c r="BK592" s="11">
        <f ca="1">IFERROR(OFFSET(ITEM_RES!$A$1,MATCH(BL592,ITEM_RES!$J:$J,0)-1,0),0)</f>
        <v>0</v>
      </c>
    </row>
    <row r="593" spans="1:66" x14ac:dyDescent="0.3">
      <c r="A593" s="14">
        <f t="shared" si="149"/>
        <v>117070009</v>
      </c>
      <c r="B593" s="13">
        <v>11</v>
      </c>
      <c r="C593" s="12">
        <f t="shared" si="150"/>
        <v>7</v>
      </c>
      <c r="D593" s="13">
        <v>7</v>
      </c>
      <c r="E593" s="13">
        <v>0</v>
      </c>
      <c r="F593" s="12">
        <f t="shared" si="151"/>
        <v>9</v>
      </c>
      <c r="H593" s="9">
        <v>7</v>
      </c>
      <c r="I593" s="9">
        <v>9</v>
      </c>
      <c r="K593" s="9" t="s">
        <v>400</v>
      </c>
      <c r="L593" s="9">
        <v>1</v>
      </c>
      <c r="M593" s="9">
        <v>15</v>
      </c>
      <c r="R593" s="9">
        <v>8888</v>
      </c>
      <c r="AA593" s="9" t="s">
        <v>416</v>
      </c>
      <c r="AB593" s="9">
        <v>9</v>
      </c>
      <c r="AD593" s="9">
        <v>12000</v>
      </c>
      <c r="AF593" s="89">
        <f t="shared" si="146"/>
        <v>2400</v>
      </c>
      <c r="AG593" s="9">
        <f t="shared" si="154"/>
        <v>4000</v>
      </c>
      <c r="AI593" s="11">
        <f t="shared" si="145"/>
        <v>45</v>
      </c>
      <c r="AJ593" s="10">
        <v>45</v>
      </c>
      <c r="AK593" s="11">
        <f t="shared" si="152"/>
        <v>150</v>
      </c>
      <c r="AL593" s="10">
        <v>150</v>
      </c>
      <c r="AM593" s="11">
        <f t="shared" si="152"/>
        <v>150</v>
      </c>
      <c r="AN593" s="10">
        <v>150</v>
      </c>
      <c r="AO593" s="56">
        <f t="shared" si="147"/>
        <v>1</v>
      </c>
      <c r="AQ593" s="11">
        <f ca="1">IFERROR(OFFSET(ITEM_RES!$A$1,MATCH(AR593,ITEM_RES!$J:$J,0)-1,0),0)</f>
        <v>212040001</v>
      </c>
      <c r="AR593" s="10" t="s">
        <v>481</v>
      </c>
      <c r="AS593" s="11">
        <v>750</v>
      </c>
      <c r="AV593" s="11">
        <f ca="1">IFERROR(OFFSET(ITEM_RES!$A$1,MATCH(AW593,ITEM_RES!$J:$J,0)-1,0),0)</f>
        <v>0</v>
      </c>
      <c r="BA593" s="11">
        <f ca="1">IFERROR(OFFSET(ITEM_RES!$A$1,MATCH(BB593,ITEM_RES!$J:$J,0)-1,0),0)</f>
        <v>0</v>
      </c>
      <c r="BF593" s="11">
        <f ca="1">IFERROR(OFFSET(ITEM_RES!$A$1,MATCH(BG593,ITEM_RES!$J:$J,0)-1,0),0)</f>
        <v>0</v>
      </c>
      <c r="BK593" s="11">
        <f ca="1">IFERROR(OFFSET(ITEM_RES!$A$1,MATCH(BL593,ITEM_RES!$J:$J,0)-1,0),0)</f>
        <v>0</v>
      </c>
    </row>
    <row r="594" spans="1:66" x14ac:dyDescent="0.3">
      <c r="A594" s="14">
        <f t="shared" si="149"/>
        <v>117070010</v>
      </c>
      <c r="B594" s="13">
        <v>11</v>
      </c>
      <c r="C594" s="12">
        <f t="shared" si="150"/>
        <v>7</v>
      </c>
      <c r="D594" s="13">
        <v>7</v>
      </c>
      <c r="E594" s="13">
        <v>0</v>
      </c>
      <c r="F594" s="12">
        <f t="shared" si="151"/>
        <v>10</v>
      </c>
      <c r="H594" s="9">
        <v>7</v>
      </c>
      <c r="I594" s="9">
        <v>10</v>
      </c>
      <c r="K594" s="9" t="s">
        <v>400</v>
      </c>
      <c r="L594" s="9">
        <v>1</v>
      </c>
      <c r="M594" s="9">
        <v>15</v>
      </c>
      <c r="R594" s="9">
        <v>8888</v>
      </c>
      <c r="AA594" s="9" t="s">
        <v>416</v>
      </c>
      <c r="AB594" s="9">
        <v>10</v>
      </c>
      <c r="AD594" s="9">
        <v>16000</v>
      </c>
      <c r="AF594" s="89">
        <f t="shared" si="146"/>
        <v>3200</v>
      </c>
      <c r="AG594" s="9">
        <f t="shared" si="154"/>
        <v>5600</v>
      </c>
      <c r="AI594" s="11">
        <f t="shared" si="145"/>
        <v>50</v>
      </c>
      <c r="AJ594" s="10">
        <v>50</v>
      </c>
      <c r="AK594" s="11">
        <f t="shared" si="152"/>
        <v>200</v>
      </c>
      <c r="AL594" s="10">
        <v>200</v>
      </c>
      <c r="AM594" s="11">
        <f t="shared" si="152"/>
        <v>200</v>
      </c>
      <c r="AN594" s="10">
        <v>200</v>
      </c>
      <c r="AO594" s="56">
        <f t="shared" si="147"/>
        <v>1</v>
      </c>
      <c r="AQ594" s="11">
        <f ca="1">IFERROR(OFFSET(ITEM_RES!$A$1,MATCH(AR594,ITEM_RES!$J:$J,0)-1,0),0)</f>
        <v>212040001</v>
      </c>
      <c r="AR594" s="10" t="s">
        <v>481</v>
      </c>
      <c r="AS594" s="11">
        <v>1000</v>
      </c>
      <c r="AV594" s="11">
        <f ca="1">IFERROR(OFFSET(ITEM_RES!$A$1,MATCH(AW594,ITEM_RES!$J:$J,0)-1,0),0)</f>
        <v>0</v>
      </c>
      <c r="BA594" s="11">
        <f ca="1">IFERROR(OFFSET(ITEM_RES!$A$1,MATCH(BB594,ITEM_RES!$J:$J,0)-1,0),0)</f>
        <v>0</v>
      </c>
      <c r="BF594" s="11">
        <f ca="1">IFERROR(OFFSET(ITEM_RES!$A$1,MATCH(BG594,ITEM_RES!$J:$J,0)-1,0),0)</f>
        <v>0</v>
      </c>
      <c r="BK594" s="11">
        <f ca="1">IFERROR(OFFSET(ITEM_RES!$A$1,MATCH(BL594,ITEM_RES!$J:$J,0)-1,0),0)</f>
        <v>0</v>
      </c>
    </row>
    <row r="595" spans="1:66" x14ac:dyDescent="0.3">
      <c r="A595" s="14">
        <f t="shared" si="149"/>
        <v>117070011</v>
      </c>
      <c r="B595" s="13">
        <v>11</v>
      </c>
      <c r="C595" s="12">
        <f t="shared" si="150"/>
        <v>7</v>
      </c>
      <c r="D595" s="13">
        <v>7</v>
      </c>
      <c r="E595" s="13">
        <v>0</v>
      </c>
      <c r="F595" s="12">
        <f t="shared" si="151"/>
        <v>11</v>
      </c>
      <c r="H595" s="9">
        <v>7</v>
      </c>
      <c r="I595" s="9">
        <v>11</v>
      </c>
      <c r="K595" s="9" t="s">
        <v>400</v>
      </c>
      <c r="L595" s="9">
        <v>1</v>
      </c>
      <c r="M595" s="9">
        <v>15</v>
      </c>
      <c r="R595" s="9">
        <v>8888</v>
      </c>
      <c r="AA595" s="9" t="s">
        <v>416</v>
      </c>
      <c r="AB595" s="9">
        <v>11</v>
      </c>
      <c r="AD595" s="9">
        <v>20000</v>
      </c>
      <c r="AF595" s="89">
        <f t="shared" si="146"/>
        <v>4000</v>
      </c>
      <c r="AG595" s="9">
        <f t="shared" si="154"/>
        <v>7200</v>
      </c>
      <c r="AI595" s="11">
        <f t="shared" si="145"/>
        <v>55</v>
      </c>
      <c r="AJ595" s="10">
        <v>55</v>
      </c>
      <c r="AK595" s="11">
        <f t="shared" si="152"/>
        <v>250</v>
      </c>
      <c r="AL595" s="10">
        <v>250</v>
      </c>
      <c r="AM595" s="11">
        <f t="shared" si="152"/>
        <v>250</v>
      </c>
      <c r="AN595" s="10">
        <v>250</v>
      </c>
      <c r="AO595" s="56">
        <f t="shared" si="147"/>
        <v>1</v>
      </c>
      <c r="AQ595" s="11">
        <f ca="1">IFERROR(OFFSET(ITEM_RES!$A$1,MATCH(AR595,ITEM_RES!$J:$J,0)-1,0),0)</f>
        <v>212040001</v>
      </c>
      <c r="AR595" s="10" t="s">
        <v>481</v>
      </c>
      <c r="AS595" s="11">
        <v>1250</v>
      </c>
      <c r="AV595" s="11">
        <f ca="1">IFERROR(OFFSET(ITEM_RES!$A$1,MATCH(AW595,ITEM_RES!$J:$J,0)-1,0),0)</f>
        <v>0</v>
      </c>
      <c r="BA595" s="11">
        <f ca="1">IFERROR(OFFSET(ITEM_RES!$A$1,MATCH(BB595,ITEM_RES!$J:$J,0)-1,0),0)</f>
        <v>0</v>
      </c>
      <c r="BF595" s="11">
        <f ca="1">IFERROR(OFFSET(ITEM_RES!$A$1,MATCH(BG595,ITEM_RES!$J:$J,0)-1,0),0)</f>
        <v>0</v>
      </c>
      <c r="BK595" s="11">
        <f ca="1">IFERROR(OFFSET(ITEM_RES!$A$1,MATCH(BL595,ITEM_RES!$J:$J,0)-1,0),0)</f>
        <v>0</v>
      </c>
    </row>
    <row r="596" spans="1:66" x14ac:dyDescent="0.3">
      <c r="A596" s="14">
        <f t="shared" si="149"/>
        <v>117070012</v>
      </c>
      <c r="B596" s="13">
        <v>11</v>
      </c>
      <c r="C596" s="12">
        <f t="shared" si="150"/>
        <v>7</v>
      </c>
      <c r="D596" s="13">
        <v>7</v>
      </c>
      <c r="E596" s="13">
        <v>0</v>
      </c>
      <c r="F596" s="12">
        <f t="shared" si="151"/>
        <v>12</v>
      </c>
      <c r="H596" s="9">
        <v>7</v>
      </c>
      <c r="I596" s="9">
        <v>12</v>
      </c>
      <c r="K596" s="9" t="s">
        <v>400</v>
      </c>
      <c r="L596" s="9">
        <v>1</v>
      </c>
      <c r="M596" s="9">
        <v>15</v>
      </c>
      <c r="R596" s="9">
        <v>8888</v>
      </c>
      <c r="AA596" s="9" t="s">
        <v>416</v>
      </c>
      <c r="AB596" s="9">
        <v>12</v>
      </c>
      <c r="AD596" s="9">
        <v>24000</v>
      </c>
      <c r="AF596" s="89">
        <f t="shared" si="146"/>
        <v>4800</v>
      </c>
      <c r="AG596" s="9">
        <f t="shared" si="154"/>
        <v>8800</v>
      </c>
      <c r="AI596" s="11">
        <f t="shared" si="145"/>
        <v>60</v>
      </c>
      <c r="AJ596" s="10">
        <v>60</v>
      </c>
      <c r="AK596" s="11">
        <f t="shared" si="152"/>
        <v>300</v>
      </c>
      <c r="AL596" s="10">
        <v>300</v>
      </c>
      <c r="AM596" s="11">
        <f t="shared" si="152"/>
        <v>300</v>
      </c>
      <c r="AN596" s="10">
        <v>300</v>
      </c>
      <c r="AO596" s="56">
        <f t="shared" si="147"/>
        <v>1</v>
      </c>
      <c r="AQ596" s="11">
        <f ca="1">IFERROR(OFFSET(ITEM_RES!$A$1,MATCH(AR596,ITEM_RES!$J:$J,0)-1,0),0)</f>
        <v>212040001</v>
      </c>
      <c r="AR596" s="10" t="s">
        <v>481</v>
      </c>
      <c r="AS596" s="11">
        <v>1500</v>
      </c>
      <c r="AV596" s="11">
        <f ca="1">IFERROR(OFFSET(ITEM_RES!$A$1,MATCH(AW596,ITEM_RES!$J:$J,0)-1,0),0)</f>
        <v>0</v>
      </c>
      <c r="BA596" s="11">
        <f ca="1">IFERROR(OFFSET(ITEM_RES!$A$1,MATCH(BB596,ITEM_RES!$J:$J,0)-1,0),0)</f>
        <v>0</v>
      </c>
      <c r="BF596" s="11">
        <f ca="1">IFERROR(OFFSET(ITEM_RES!$A$1,MATCH(BG596,ITEM_RES!$J:$J,0)-1,0),0)</f>
        <v>0</v>
      </c>
      <c r="BK596" s="11">
        <f ca="1">IFERROR(OFFSET(ITEM_RES!$A$1,MATCH(BL596,ITEM_RES!$J:$J,0)-1,0),0)</f>
        <v>0</v>
      </c>
    </row>
    <row r="597" spans="1:66" x14ac:dyDescent="0.3">
      <c r="A597" s="14">
        <f t="shared" si="149"/>
        <v>117070013</v>
      </c>
      <c r="B597" s="13">
        <v>11</v>
      </c>
      <c r="C597" s="12">
        <f t="shared" si="150"/>
        <v>7</v>
      </c>
      <c r="D597" s="13">
        <v>7</v>
      </c>
      <c r="E597" s="13">
        <v>0</v>
      </c>
      <c r="F597" s="12">
        <f t="shared" si="151"/>
        <v>13</v>
      </c>
      <c r="H597" s="9">
        <v>7</v>
      </c>
      <c r="I597" s="9">
        <v>13</v>
      </c>
      <c r="K597" s="9" t="s">
        <v>400</v>
      </c>
      <c r="L597" s="9">
        <v>1</v>
      </c>
      <c r="M597" s="9">
        <v>15</v>
      </c>
      <c r="R597" s="9">
        <v>8888</v>
      </c>
      <c r="AA597" s="9" t="s">
        <v>416</v>
      </c>
      <c r="AB597" s="9">
        <v>13</v>
      </c>
      <c r="AD597" s="9">
        <v>28000</v>
      </c>
      <c r="AF597" s="89">
        <f t="shared" si="146"/>
        <v>5600</v>
      </c>
      <c r="AG597" s="9">
        <f t="shared" si="154"/>
        <v>10400</v>
      </c>
      <c r="AI597" s="11">
        <f t="shared" si="145"/>
        <v>65</v>
      </c>
      <c r="AJ597" s="10">
        <v>65</v>
      </c>
      <c r="AK597" s="11">
        <f t="shared" si="152"/>
        <v>350</v>
      </c>
      <c r="AL597" s="10">
        <v>350</v>
      </c>
      <c r="AM597" s="11">
        <f t="shared" si="152"/>
        <v>350</v>
      </c>
      <c r="AN597" s="10">
        <v>350</v>
      </c>
      <c r="AO597" s="56">
        <f t="shared" si="147"/>
        <v>1</v>
      </c>
      <c r="AQ597" s="11">
        <f ca="1">IFERROR(OFFSET(ITEM_RES!$A$1,MATCH(AR597,ITEM_RES!$J:$J,0)-1,0),0)</f>
        <v>215050001</v>
      </c>
      <c r="AR597" s="10" t="s">
        <v>497</v>
      </c>
      <c r="AS597" s="11">
        <v>1750</v>
      </c>
      <c r="AV597" s="11">
        <f ca="1">IFERROR(OFFSET(ITEM_RES!$A$1,MATCH(AW597,ITEM_RES!$J:$J,0)-1,0),0)</f>
        <v>0</v>
      </c>
      <c r="BA597" s="11">
        <f ca="1">IFERROR(OFFSET(ITEM_RES!$A$1,MATCH(BB597,ITEM_RES!$J:$J,0)-1,0),0)</f>
        <v>0</v>
      </c>
      <c r="BF597" s="11">
        <f ca="1">IFERROR(OFFSET(ITEM_RES!$A$1,MATCH(BG597,ITEM_RES!$J:$J,0)-1,0),0)</f>
        <v>0</v>
      </c>
      <c r="BK597" s="11">
        <f ca="1">IFERROR(OFFSET(ITEM_RES!$A$1,MATCH(BL597,ITEM_RES!$J:$J,0)-1,0),0)</f>
        <v>0</v>
      </c>
    </row>
    <row r="598" spans="1:66" x14ac:dyDescent="0.3">
      <c r="A598" s="14">
        <f t="shared" si="149"/>
        <v>117070014</v>
      </c>
      <c r="B598" s="13">
        <v>11</v>
      </c>
      <c r="C598" s="12">
        <f t="shared" si="150"/>
        <v>7</v>
      </c>
      <c r="D598" s="13">
        <v>7</v>
      </c>
      <c r="E598" s="13">
        <v>0</v>
      </c>
      <c r="F598" s="12">
        <f t="shared" si="151"/>
        <v>14</v>
      </c>
      <c r="H598" s="9">
        <v>7</v>
      </c>
      <c r="I598" s="9">
        <v>14</v>
      </c>
      <c r="K598" s="9" t="s">
        <v>400</v>
      </c>
      <c r="L598" s="9">
        <v>1</v>
      </c>
      <c r="M598" s="9">
        <v>15</v>
      </c>
      <c r="R598" s="9">
        <v>8888</v>
      </c>
      <c r="AA598" s="9" t="s">
        <v>416</v>
      </c>
      <c r="AB598" s="9">
        <v>14</v>
      </c>
      <c r="AD598" s="9">
        <v>36000</v>
      </c>
      <c r="AF598" s="89">
        <f t="shared" si="146"/>
        <v>7200</v>
      </c>
      <c r="AG598" s="9">
        <f t="shared" si="154"/>
        <v>12800</v>
      </c>
      <c r="AI598" s="11">
        <f t="shared" si="145"/>
        <v>70</v>
      </c>
      <c r="AJ598" s="10">
        <v>70</v>
      </c>
      <c r="AK598" s="11">
        <f t="shared" si="152"/>
        <v>450</v>
      </c>
      <c r="AL598" s="10">
        <v>450</v>
      </c>
      <c r="AM598" s="11">
        <f t="shared" si="152"/>
        <v>450</v>
      </c>
      <c r="AN598" s="10">
        <v>450</v>
      </c>
      <c r="AO598" s="56">
        <f t="shared" si="147"/>
        <v>1</v>
      </c>
      <c r="AQ598" s="11">
        <f ca="1">IFERROR(OFFSET(ITEM_RES!$A$1,MATCH(AR598,ITEM_RES!$J:$J,0)-1,0),0)</f>
        <v>215050001</v>
      </c>
      <c r="AR598" s="10" t="s">
        <v>496</v>
      </c>
      <c r="AS598" s="11">
        <v>2250</v>
      </c>
      <c r="AV598" s="11">
        <f ca="1">IFERROR(OFFSET(ITEM_RES!$A$1,MATCH(AW598,ITEM_RES!$J:$J,0)-1,0),0)</f>
        <v>0</v>
      </c>
      <c r="BA598" s="11">
        <f ca="1">IFERROR(OFFSET(ITEM_RES!$A$1,MATCH(BB598,ITEM_RES!$J:$J,0)-1,0),0)</f>
        <v>0</v>
      </c>
      <c r="BF598" s="11">
        <f ca="1">IFERROR(OFFSET(ITEM_RES!$A$1,MATCH(BG598,ITEM_RES!$J:$J,0)-1,0),0)</f>
        <v>0</v>
      </c>
      <c r="BK598" s="11">
        <f ca="1">IFERROR(OFFSET(ITEM_RES!$A$1,MATCH(BL598,ITEM_RES!$J:$J,0)-1,0),0)</f>
        <v>0</v>
      </c>
    </row>
    <row r="599" spans="1:66" x14ac:dyDescent="0.3">
      <c r="A599" s="14">
        <f t="shared" si="149"/>
        <v>117070015</v>
      </c>
      <c r="B599" s="13">
        <v>11</v>
      </c>
      <c r="C599" s="12">
        <f t="shared" si="150"/>
        <v>7</v>
      </c>
      <c r="D599" s="13">
        <v>7</v>
      </c>
      <c r="E599" s="13">
        <v>0</v>
      </c>
      <c r="F599" s="12">
        <f t="shared" si="151"/>
        <v>15</v>
      </c>
      <c r="H599" s="9">
        <v>7</v>
      </c>
      <c r="I599" s="9">
        <v>15</v>
      </c>
      <c r="K599" s="9" t="s">
        <v>400</v>
      </c>
      <c r="L599" s="9">
        <v>1</v>
      </c>
      <c r="M599" s="9">
        <v>15</v>
      </c>
      <c r="R599" s="9">
        <v>8888</v>
      </c>
      <c r="AA599" s="9" t="s">
        <v>416</v>
      </c>
      <c r="AB599" s="9">
        <v>15</v>
      </c>
      <c r="AD599" s="9">
        <v>44000</v>
      </c>
      <c r="AF599" s="89">
        <f t="shared" si="146"/>
        <v>9300</v>
      </c>
      <c r="AG599" s="9">
        <f t="shared" si="154"/>
        <v>16500</v>
      </c>
      <c r="AI599" s="11">
        <f t="shared" si="145"/>
        <v>75</v>
      </c>
      <c r="AJ599" s="10">
        <v>75</v>
      </c>
      <c r="AK599" s="11">
        <f t="shared" si="152"/>
        <v>550</v>
      </c>
      <c r="AL599" s="10">
        <v>550</v>
      </c>
      <c r="AM599" s="11">
        <f t="shared" si="152"/>
        <v>550</v>
      </c>
      <c r="AN599" s="10">
        <v>550</v>
      </c>
      <c r="AO599" s="56">
        <f t="shared" si="147"/>
        <v>2</v>
      </c>
      <c r="AQ599" s="11">
        <f ca="1">IFERROR(OFFSET(ITEM_RES!$A$1,MATCH(AR599,ITEM_RES!$J:$J,0)-1,0),0)</f>
        <v>215050001</v>
      </c>
      <c r="AR599" s="10" t="s">
        <v>496</v>
      </c>
      <c r="AS599" s="11">
        <v>2750</v>
      </c>
      <c r="AV599" s="11">
        <f ca="1">IFERROR(OFFSET(ITEM_RES!$A$1,MATCH(AW599,ITEM_RES!$J:$J,0)-1,0),0)</f>
        <v>0</v>
      </c>
      <c r="BA599" s="11">
        <f ca="1">IFERROR(OFFSET(ITEM_RES!$A$1,MATCH(BB599,ITEM_RES!$J:$J,0)-1,0),0)</f>
        <v>0</v>
      </c>
      <c r="BF599" s="11">
        <f ca="1">IFERROR(OFFSET(ITEM_RES!$A$1,MATCH(BG599,ITEM_RES!$J:$J,0)-1,0),0)</f>
        <v>213180001</v>
      </c>
      <c r="BG599" s="10" t="s">
        <v>541</v>
      </c>
      <c r="BH599" s="11">
        <v>1</v>
      </c>
      <c r="BK599" s="11">
        <f ca="1">IFERROR(OFFSET(ITEM_RES!$A$1,MATCH(BL599,ITEM_RES!$J:$J,0)-1,0),0)</f>
        <v>0</v>
      </c>
    </row>
    <row r="600" spans="1:66" x14ac:dyDescent="0.3">
      <c r="A600" s="14">
        <f t="shared" si="149"/>
        <v>117070016</v>
      </c>
      <c r="B600" s="13">
        <v>11</v>
      </c>
      <c r="C600" s="12">
        <f t="shared" si="150"/>
        <v>7</v>
      </c>
      <c r="D600" s="13">
        <v>7</v>
      </c>
      <c r="E600" s="13">
        <v>0</v>
      </c>
      <c r="F600" s="12">
        <f t="shared" si="151"/>
        <v>16</v>
      </c>
      <c r="H600" s="9">
        <v>7</v>
      </c>
      <c r="I600" s="9">
        <v>16</v>
      </c>
      <c r="K600" s="9" t="s">
        <v>400</v>
      </c>
      <c r="L600" s="9">
        <v>0</v>
      </c>
      <c r="M600" s="9">
        <v>15</v>
      </c>
      <c r="R600" s="9">
        <v>8888</v>
      </c>
      <c r="AA600" s="9" t="s">
        <v>416</v>
      </c>
      <c r="AB600" s="9">
        <v>16</v>
      </c>
      <c r="AD600" s="9">
        <v>56000</v>
      </c>
      <c r="AF600" s="89">
        <f t="shared" si="146"/>
        <v>11200</v>
      </c>
      <c r="AG600" s="9">
        <f t="shared" si="154"/>
        <v>20500</v>
      </c>
      <c r="AI600" s="11">
        <f t="shared" si="145"/>
        <v>80</v>
      </c>
      <c r="AJ600" s="10">
        <v>80</v>
      </c>
      <c r="AK600" s="11">
        <f t="shared" si="152"/>
        <v>700</v>
      </c>
      <c r="AL600" s="10">
        <v>700</v>
      </c>
      <c r="AM600" s="11">
        <f t="shared" si="152"/>
        <v>700</v>
      </c>
      <c r="AN600" s="10">
        <v>700</v>
      </c>
      <c r="AO600" s="56">
        <f t="shared" si="147"/>
        <v>1</v>
      </c>
      <c r="AQ600" s="11">
        <f ca="1">IFERROR(OFFSET(ITEM_RES!$A$1,MATCH(AR600,ITEM_RES!$J:$J,0)-1,0),0)</f>
        <v>215050001</v>
      </c>
      <c r="AR600" s="10" t="s">
        <v>496</v>
      </c>
      <c r="AS600" s="11">
        <v>3500</v>
      </c>
      <c r="AV600" s="11">
        <f ca="1">IFERROR(OFFSET(ITEM_RES!$A$1,MATCH(AW600,ITEM_RES!$J:$J,0)-1,0),0)</f>
        <v>0</v>
      </c>
      <c r="BA600" s="11">
        <f ca="1">IFERROR(OFFSET(ITEM_RES!$A$1,MATCH(BB600,ITEM_RES!$J:$J,0)-1,0),0)</f>
        <v>0</v>
      </c>
      <c r="BF600" s="11">
        <f ca="1">IFERROR(OFFSET(ITEM_RES!$A$1,MATCH(BG600,ITEM_RES!$J:$J,0)-1,0),0)</f>
        <v>0</v>
      </c>
      <c r="BK600" s="11">
        <f ca="1">IFERROR(OFFSET(ITEM_RES!$A$1,MATCH(BL600,ITEM_RES!$J:$J,0)-1,0),0)</f>
        <v>0</v>
      </c>
    </row>
    <row r="601" spans="1:66" x14ac:dyDescent="0.3">
      <c r="A601" s="14">
        <f t="shared" si="149"/>
        <v>117070017</v>
      </c>
      <c r="B601" s="13">
        <v>11</v>
      </c>
      <c r="C601" s="12">
        <f t="shared" si="150"/>
        <v>7</v>
      </c>
      <c r="D601" s="13">
        <v>7</v>
      </c>
      <c r="E601" s="13">
        <v>0</v>
      </c>
      <c r="F601" s="12">
        <f t="shared" si="151"/>
        <v>17</v>
      </c>
      <c r="H601" s="9">
        <v>7</v>
      </c>
      <c r="I601" s="9">
        <v>17</v>
      </c>
      <c r="K601" s="9" t="s">
        <v>400</v>
      </c>
      <c r="L601" s="9">
        <v>0</v>
      </c>
      <c r="M601" s="9">
        <v>15</v>
      </c>
      <c r="R601" s="9">
        <v>8888</v>
      </c>
      <c r="AA601" s="9" t="s">
        <v>416</v>
      </c>
      <c r="AB601" s="9">
        <v>17</v>
      </c>
      <c r="AD601" s="9">
        <v>68000</v>
      </c>
      <c r="AF601" s="89">
        <f t="shared" si="146"/>
        <v>13600</v>
      </c>
      <c r="AG601" s="9">
        <f t="shared" si="154"/>
        <v>24800</v>
      </c>
      <c r="AI601" s="11">
        <f t="shared" ref="AI601:AI604" si="155">ROUND(AJ601,0)</f>
        <v>85</v>
      </c>
      <c r="AJ601" s="10">
        <v>85</v>
      </c>
      <c r="AK601" s="11">
        <f t="shared" si="152"/>
        <v>850</v>
      </c>
      <c r="AL601" s="10">
        <v>850</v>
      </c>
      <c r="AM601" s="11">
        <f t="shared" si="152"/>
        <v>850</v>
      </c>
      <c r="AN601" s="10">
        <v>850</v>
      </c>
      <c r="AO601" s="56">
        <f t="shared" si="147"/>
        <v>1</v>
      </c>
      <c r="AQ601" s="11">
        <f ca="1">IFERROR(OFFSET(ITEM_RES!$A$1,MATCH(AR601,ITEM_RES!$J:$J,0)-1,0),0)</f>
        <v>215050001</v>
      </c>
      <c r="AR601" s="10" t="s">
        <v>496</v>
      </c>
      <c r="AS601" s="11">
        <v>4250</v>
      </c>
      <c r="AV601" s="11">
        <f ca="1">IFERROR(OFFSET(ITEM_RES!$A$1,MATCH(AW601,ITEM_RES!$J:$J,0)-1,0),0)</f>
        <v>0</v>
      </c>
      <c r="BA601" s="11">
        <f ca="1">IFERROR(OFFSET(ITEM_RES!$A$1,MATCH(BB601,ITEM_RES!$J:$J,0)-1,0),0)</f>
        <v>0</v>
      </c>
      <c r="BF601" s="11">
        <f ca="1">IFERROR(OFFSET(ITEM_RES!$A$1,MATCH(BG601,ITEM_RES!$J:$J,0)-1,0),0)</f>
        <v>0</v>
      </c>
      <c r="BK601" s="11">
        <f ca="1">IFERROR(OFFSET(ITEM_RES!$A$1,MATCH(BL601,ITEM_RES!$J:$J,0)-1,0),0)</f>
        <v>0</v>
      </c>
    </row>
    <row r="602" spans="1:66" x14ac:dyDescent="0.3">
      <c r="A602" s="14">
        <f t="shared" si="149"/>
        <v>117070018</v>
      </c>
      <c r="B602" s="13">
        <v>11</v>
      </c>
      <c r="C602" s="12">
        <f t="shared" si="150"/>
        <v>7</v>
      </c>
      <c r="D602" s="13">
        <v>7</v>
      </c>
      <c r="E602" s="13">
        <v>0</v>
      </c>
      <c r="F602" s="12">
        <f t="shared" si="151"/>
        <v>18</v>
      </c>
      <c r="H602" s="9">
        <v>7</v>
      </c>
      <c r="I602" s="9">
        <v>18</v>
      </c>
      <c r="K602" s="9" t="s">
        <v>400</v>
      </c>
      <c r="L602" s="9">
        <v>0</v>
      </c>
      <c r="M602" s="9">
        <v>15</v>
      </c>
      <c r="R602" s="9">
        <v>8888</v>
      </c>
      <c r="AA602" s="9" t="s">
        <v>416</v>
      </c>
      <c r="AB602" s="9">
        <v>18</v>
      </c>
      <c r="AD602" s="9">
        <v>84000</v>
      </c>
      <c r="AF602" s="89">
        <f t="shared" ref="AF602:AF604" si="156">AL602*10+AN602+AS602+AX602+500*BC602+500*BH602+500*BM602</f>
        <v>16800</v>
      </c>
      <c r="AG602" s="9">
        <f t="shared" si="154"/>
        <v>30400</v>
      </c>
      <c r="AI602" s="11">
        <f t="shared" si="155"/>
        <v>90</v>
      </c>
      <c r="AJ602" s="10">
        <v>90</v>
      </c>
      <c r="AK602" s="11">
        <f t="shared" si="152"/>
        <v>1050</v>
      </c>
      <c r="AL602" s="10">
        <v>1050</v>
      </c>
      <c r="AM602" s="11">
        <f t="shared" si="152"/>
        <v>1050</v>
      </c>
      <c r="AN602" s="10">
        <v>1050</v>
      </c>
      <c r="AO602" s="56">
        <f t="shared" ref="AO602:AO604" si="157">(AS602&gt;0)*1+(AX602&gt;0)*1+(BC602&gt;0)*1+(BH602&gt;0)*1+(BM602&gt;0)*1</f>
        <v>1</v>
      </c>
      <c r="AQ602" s="11">
        <f ca="1">IFERROR(OFFSET(ITEM_RES!$A$1,MATCH(AR602,ITEM_RES!$J:$J,0)-1,0),0)</f>
        <v>215050001</v>
      </c>
      <c r="AR602" s="10" t="s">
        <v>496</v>
      </c>
      <c r="AS602" s="11">
        <v>5250</v>
      </c>
      <c r="AV602" s="11">
        <f ca="1">IFERROR(OFFSET(ITEM_RES!$A$1,MATCH(AW602,ITEM_RES!$J:$J,0)-1,0),0)</f>
        <v>0</v>
      </c>
      <c r="BA602" s="11">
        <f ca="1">IFERROR(OFFSET(ITEM_RES!$A$1,MATCH(BB602,ITEM_RES!$J:$J,0)-1,0),0)</f>
        <v>0</v>
      </c>
      <c r="BF602" s="11">
        <f ca="1">IFERROR(OFFSET(ITEM_RES!$A$1,MATCH(BG602,ITEM_RES!$J:$J,0)-1,0),0)</f>
        <v>0</v>
      </c>
      <c r="BK602" s="11">
        <f ca="1">IFERROR(OFFSET(ITEM_RES!$A$1,MATCH(BL602,ITEM_RES!$J:$J,0)-1,0),0)</f>
        <v>0</v>
      </c>
    </row>
    <row r="603" spans="1:66" x14ac:dyDescent="0.3">
      <c r="A603" s="14">
        <f t="shared" si="149"/>
        <v>117070019</v>
      </c>
      <c r="B603" s="13">
        <v>11</v>
      </c>
      <c r="C603" s="12">
        <f t="shared" si="150"/>
        <v>7</v>
      </c>
      <c r="D603" s="13">
        <v>7</v>
      </c>
      <c r="E603" s="13">
        <v>0</v>
      </c>
      <c r="F603" s="12">
        <f t="shared" si="151"/>
        <v>19</v>
      </c>
      <c r="H603" s="9">
        <v>7</v>
      </c>
      <c r="I603" s="9">
        <v>19</v>
      </c>
      <c r="K603" s="9" t="s">
        <v>400</v>
      </c>
      <c r="L603" s="9">
        <v>0</v>
      </c>
      <c r="M603" s="9">
        <v>15</v>
      </c>
      <c r="R603" s="9">
        <v>8888</v>
      </c>
      <c r="AA603" s="9" t="s">
        <v>416</v>
      </c>
      <c r="AB603" s="9">
        <v>19</v>
      </c>
      <c r="AD603" s="9">
        <v>100000</v>
      </c>
      <c r="AF603" s="89">
        <f t="shared" si="156"/>
        <v>20000</v>
      </c>
      <c r="AG603" s="9">
        <f t="shared" si="154"/>
        <v>36800</v>
      </c>
      <c r="AI603" s="11">
        <f t="shared" si="155"/>
        <v>95</v>
      </c>
      <c r="AJ603" s="10">
        <v>95</v>
      </c>
      <c r="AK603" s="11">
        <f t="shared" si="152"/>
        <v>1250</v>
      </c>
      <c r="AL603" s="10">
        <v>1250</v>
      </c>
      <c r="AM603" s="11">
        <f t="shared" si="152"/>
        <v>1250</v>
      </c>
      <c r="AN603" s="10">
        <v>1250</v>
      </c>
      <c r="AO603" s="56">
        <f t="shared" si="157"/>
        <v>1</v>
      </c>
      <c r="AQ603" s="11">
        <f ca="1">IFERROR(OFFSET(ITEM_RES!$A$1,MATCH(AR603,ITEM_RES!$J:$J,0)-1,0),0)</f>
        <v>215050001</v>
      </c>
      <c r="AR603" s="10" t="s">
        <v>496</v>
      </c>
      <c r="AS603" s="11">
        <v>6250</v>
      </c>
      <c r="AV603" s="11">
        <f ca="1">IFERROR(OFFSET(ITEM_RES!$A$1,MATCH(AW603,ITEM_RES!$J:$J,0)-1,0),0)</f>
        <v>0</v>
      </c>
      <c r="BA603" s="11">
        <f ca="1">IFERROR(OFFSET(ITEM_RES!$A$1,MATCH(BB603,ITEM_RES!$J:$J,0)-1,0),0)</f>
        <v>0</v>
      </c>
      <c r="BF603" s="11">
        <f ca="1">IFERROR(OFFSET(ITEM_RES!$A$1,MATCH(BG603,ITEM_RES!$J:$J,0)-1,0),0)</f>
        <v>0</v>
      </c>
      <c r="BK603" s="11">
        <f ca="1">IFERROR(OFFSET(ITEM_RES!$A$1,MATCH(BL603,ITEM_RES!$J:$J,0)-1,0),0)</f>
        <v>0</v>
      </c>
    </row>
    <row r="604" spans="1:66" ht="17.25" thickBot="1" x14ac:dyDescent="0.35">
      <c r="A604" s="14">
        <f t="shared" si="149"/>
        <v>117070020</v>
      </c>
      <c r="B604" s="13">
        <v>11</v>
      </c>
      <c r="C604" s="12">
        <f t="shared" si="150"/>
        <v>7</v>
      </c>
      <c r="D604" s="13">
        <v>7</v>
      </c>
      <c r="E604" s="13">
        <v>0</v>
      </c>
      <c r="F604" s="12">
        <f t="shared" si="151"/>
        <v>20</v>
      </c>
      <c r="H604" s="9">
        <v>7</v>
      </c>
      <c r="I604" s="9">
        <v>20</v>
      </c>
      <c r="K604" s="9" t="s">
        <v>400</v>
      </c>
      <c r="L604" s="9">
        <v>0</v>
      </c>
      <c r="M604" s="9">
        <v>15</v>
      </c>
      <c r="R604" s="9">
        <v>8888</v>
      </c>
      <c r="AA604" s="9" t="s">
        <v>416</v>
      </c>
      <c r="AB604" s="9">
        <v>20</v>
      </c>
      <c r="AD604" s="9">
        <v>120000</v>
      </c>
      <c r="AF604" s="89">
        <f t="shared" si="156"/>
        <v>24500</v>
      </c>
      <c r="AG604" s="9">
        <f t="shared" si="154"/>
        <v>44500</v>
      </c>
      <c r="AI604" s="11">
        <f t="shared" si="155"/>
        <v>100</v>
      </c>
      <c r="AJ604" s="10">
        <v>100</v>
      </c>
      <c r="AK604" s="11">
        <f t="shared" si="152"/>
        <v>1500</v>
      </c>
      <c r="AL604" s="10">
        <v>1500</v>
      </c>
      <c r="AM604" s="11">
        <f t="shared" si="152"/>
        <v>1500</v>
      </c>
      <c r="AN604" s="10">
        <v>1500</v>
      </c>
      <c r="AO604" s="56">
        <f t="shared" si="157"/>
        <v>2</v>
      </c>
      <c r="AQ604" s="11">
        <f ca="1">IFERROR(OFFSET(ITEM_RES!$A$1,MATCH(AR604,ITEM_RES!$J:$J,0)-1,0),0)</f>
        <v>215050001</v>
      </c>
      <c r="AR604" s="10" t="s">
        <v>496</v>
      </c>
      <c r="AS604" s="11">
        <v>7500</v>
      </c>
      <c r="AV604" s="11">
        <f ca="1">IFERROR(OFFSET(ITEM_RES!$A$1,MATCH(AW604,ITEM_RES!$J:$J,0)-1,0),0)</f>
        <v>0</v>
      </c>
      <c r="BA604" s="11">
        <f ca="1">IFERROR(OFFSET(ITEM_RES!$A$1,MATCH(BB604,ITEM_RES!$J:$J,0)-1,0),0)</f>
        <v>0</v>
      </c>
      <c r="BF604" s="11">
        <f ca="1">IFERROR(OFFSET(ITEM_RES!$A$1,MATCH(BG604,ITEM_RES!$J:$J,0)-1,0),0)</f>
        <v>213180001</v>
      </c>
      <c r="BG604" s="10" t="s">
        <v>541</v>
      </c>
      <c r="BH604" s="11">
        <v>1</v>
      </c>
      <c r="BK604" s="11">
        <f ca="1">IFERROR(OFFSET(ITEM_RES!$A$1,MATCH(BL604,ITEM_RES!$J:$J,0)-1,0),0)</f>
        <v>0</v>
      </c>
    </row>
    <row r="605" spans="1:66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8"/>
      <c r="T605" s="80"/>
      <c r="U605" s="88"/>
      <c r="V605" s="88"/>
      <c r="W605" s="88"/>
      <c r="X605" s="88"/>
      <c r="Y605" s="88"/>
      <c r="Z605" s="16"/>
      <c r="AA605" s="16"/>
      <c r="AB605" s="16"/>
      <c r="AC605" s="80"/>
      <c r="AD605" s="16"/>
      <c r="AE605" s="80"/>
      <c r="AF605" s="91"/>
      <c r="AG605" s="16"/>
      <c r="AH605" s="80"/>
      <c r="AI605" s="18"/>
      <c r="AJ605" s="17"/>
      <c r="AK605" s="18"/>
      <c r="AL605" s="17"/>
      <c r="AM605" s="18"/>
      <c r="AN605" s="17"/>
      <c r="AO605" s="57"/>
      <c r="AP605" s="18"/>
      <c r="AQ605" s="18"/>
      <c r="AR605" s="17"/>
      <c r="AS605" s="18"/>
      <c r="AT605" s="17"/>
      <c r="AU605" s="18"/>
      <c r="AV605" s="18"/>
      <c r="AW605" s="17"/>
      <c r="AX605" s="18"/>
      <c r="AY605" s="17"/>
      <c r="AZ605" s="18"/>
      <c r="BA605" s="18"/>
      <c r="BB605" s="17"/>
      <c r="BC605" s="18"/>
      <c r="BD605" s="17"/>
      <c r="BE605" s="18"/>
      <c r="BF605" s="18"/>
      <c r="BG605" s="17"/>
      <c r="BH605" s="18"/>
      <c r="BI605" s="17"/>
      <c r="BJ605" s="18"/>
      <c r="BK605" s="18"/>
      <c r="BL605" s="17"/>
      <c r="BM605" s="18"/>
      <c r="BN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G110"/>
  <sheetViews>
    <sheetView topLeftCell="A19" zoomScale="90" zoomScaleNormal="90" workbookViewId="0">
      <selection activeCell="A59" sqref="A59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92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92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92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348</v>
      </c>
      <c r="I3" s="71"/>
      <c r="J3" s="35" t="s">
        <v>343</v>
      </c>
      <c r="O3" s="34" t="s">
        <v>324</v>
      </c>
      <c r="P3" s="35" t="s">
        <v>352</v>
      </c>
      <c r="Q3" s="35" t="s">
        <v>326</v>
      </c>
      <c r="R3" s="71"/>
      <c r="S3" s="35" t="s">
        <v>466</v>
      </c>
      <c r="T3" s="71"/>
      <c r="U3" s="92" t="s">
        <v>366</v>
      </c>
      <c r="V3" s="71"/>
      <c r="W3" s="56" t="s">
        <v>551</v>
      </c>
      <c r="X3" s="56" t="s">
        <v>552</v>
      </c>
      <c r="Y3" s="56" t="s">
        <v>553</v>
      </c>
      <c r="Z3" s="60" t="s">
        <v>554</v>
      </c>
      <c r="AA3" s="71"/>
      <c r="AB3" s="56" t="s">
        <v>555</v>
      </c>
      <c r="AC3" s="56" t="s">
        <v>556</v>
      </c>
      <c r="AD3" s="56" t="s">
        <v>557</v>
      </c>
      <c r="AE3" s="60" t="s">
        <v>558</v>
      </c>
      <c r="AF3" s="71"/>
      <c r="AG3" s="1" t="s">
        <v>341</v>
      </c>
    </row>
    <row r="4" spans="1:33" s="81" customFormat="1" ht="66.75" thickBot="1" x14ac:dyDescent="0.2">
      <c r="A4" s="81" t="s">
        <v>342</v>
      </c>
      <c r="B4" s="82" t="s">
        <v>452</v>
      </c>
      <c r="C4" s="82" t="s">
        <v>453</v>
      </c>
      <c r="D4" s="82" t="s">
        <v>454</v>
      </c>
      <c r="E4" s="82" t="s">
        <v>455</v>
      </c>
      <c r="F4" s="82" t="s">
        <v>456</v>
      </c>
      <c r="G4" s="72" t="s">
        <v>363</v>
      </c>
      <c r="H4" s="83" t="s">
        <v>349</v>
      </c>
      <c r="I4" s="72" t="s">
        <v>362</v>
      </c>
      <c r="J4" s="83" t="s">
        <v>450</v>
      </c>
      <c r="K4" s="84" t="s">
        <v>447</v>
      </c>
      <c r="L4" s="84" t="s">
        <v>448</v>
      </c>
      <c r="M4" s="84" t="s">
        <v>361</v>
      </c>
      <c r="N4" s="84" t="s">
        <v>360</v>
      </c>
      <c r="O4" s="81" t="s">
        <v>325</v>
      </c>
      <c r="P4" s="83" t="s">
        <v>353</v>
      </c>
      <c r="Q4" s="83" t="s">
        <v>327</v>
      </c>
      <c r="R4" s="72" t="s">
        <v>465</v>
      </c>
      <c r="S4" s="81" t="s">
        <v>550</v>
      </c>
      <c r="T4" s="72" t="s">
        <v>87</v>
      </c>
      <c r="U4" s="93" t="s">
        <v>365</v>
      </c>
      <c r="V4" s="72" t="s">
        <v>457</v>
      </c>
      <c r="W4" s="58" t="s">
        <v>559</v>
      </c>
      <c r="X4" s="58" t="s">
        <v>560</v>
      </c>
      <c r="Y4" s="58" t="s">
        <v>561</v>
      </c>
      <c r="Z4" s="83" t="s">
        <v>562</v>
      </c>
      <c r="AA4" s="72" t="s">
        <v>467</v>
      </c>
      <c r="AB4" s="58" t="s">
        <v>563</v>
      </c>
      <c r="AC4" s="58" t="s">
        <v>564</v>
      </c>
      <c r="AD4" s="58" t="s">
        <v>565</v>
      </c>
      <c r="AE4" s="83" t="s">
        <v>458</v>
      </c>
      <c r="AF4" s="72" t="s">
        <v>351</v>
      </c>
      <c r="AG4" s="2" t="s">
        <v>451</v>
      </c>
    </row>
    <row r="5" spans="1:33" s="37" customFormat="1" x14ac:dyDescent="0.15">
      <c r="A5" s="37">
        <f t="shared" ref="A5:A10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418</v>
      </c>
      <c r="K5" s="39" t="s">
        <v>446</v>
      </c>
      <c r="L5" s="39" t="s">
        <v>443</v>
      </c>
      <c r="M5" s="39"/>
      <c r="N5" s="39"/>
      <c r="O5" s="37" t="str">
        <f>CONCATENATE(M5,N5,".png")</f>
        <v>.png</v>
      </c>
      <c r="P5" s="38"/>
      <c r="Q5" s="38" t="s">
        <v>449</v>
      </c>
      <c r="R5" s="74"/>
      <c r="S5" s="38">
        <v>10</v>
      </c>
      <c r="T5" s="74"/>
      <c r="U5" s="94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1" si="1">H6</f>
        <v>1</v>
      </c>
      <c r="G6" s="74"/>
      <c r="H6" s="62">
        <v>1</v>
      </c>
      <c r="I6" s="77"/>
      <c r="J6" s="62" t="s">
        <v>419</v>
      </c>
      <c r="K6" s="39" t="s">
        <v>446</v>
      </c>
      <c r="L6" s="39" t="s">
        <v>443</v>
      </c>
      <c r="M6" s="69"/>
      <c r="N6" s="69"/>
      <c r="O6" s="70" t="str">
        <f>CONCATENATE(M6,N6,".png")</f>
        <v>.png</v>
      </c>
      <c r="P6" s="62"/>
      <c r="Q6" s="38" t="s">
        <v>449</v>
      </c>
      <c r="R6" s="77"/>
      <c r="S6" s="62">
        <v>10</v>
      </c>
      <c r="T6" s="77"/>
      <c r="U6" s="95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420</v>
      </c>
      <c r="K7" s="39" t="s">
        <v>446</v>
      </c>
      <c r="L7" s="39" t="s">
        <v>443</v>
      </c>
      <c r="M7" s="69"/>
      <c r="N7" s="69"/>
      <c r="O7" s="70" t="str">
        <f>CONCATENATE(M7,N7,".png")</f>
        <v>.png</v>
      </c>
      <c r="P7" s="62"/>
      <c r="Q7" s="38" t="s">
        <v>449</v>
      </c>
      <c r="R7" s="77"/>
      <c r="S7" s="62">
        <v>10</v>
      </c>
      <c r="T7" s="77"/>
      <c r="U7" s="95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504</v>
      </c>
      <c r="K8" s="39" t="s">
        <v>489</v>
      </c>
      <c r="L8" s="39" t="s">
        <v>505</v>
      </c>
      <c r="M8" s="69"/>
      <c r="N8" s="69"/>
      <c r="O8" s="70"/>
      <c r="P8" s="62"/>
      <c r="Q8" s="38" t="s">
        <v>449</v>
      </c>
      <c r="R8" s="77"/>
      <c r="S8" s="62">
        <v>10</v>
      </c>
      <c r="T8" s="77"/>
      <c r="U8" s="95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421</v>
      </c>
      <c r="K9" s="39" t="s">
        <v>446</v>
      </c>
      <c r="L9" s="39" t="s">
        <v>443</v>
      </c>
      <c r="M9" s="69"/>
      <c r="N9" s="69"/>
      <c r="O9" s="70" t="str">
        <f>CONCATENATE(M9,N9,".png")</f>
        <v>.png</v>
      </c>
      <c r="P9" s="62"/>
      <c r="Q9" s="38" t="s">
        <v>449</v>
      </c>
      <c r="R9" s="77"/>
      <c r="S9" s="38">
        <v>10</v>
      </c>
      <c r="T9" s="77"/>
      <c r="U9" s="95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613</v>
      </c>
      <c r="K10" s="39" t="s">
        <v>446</v>
      </c>
      <c r="L10" s="39" t="s">
        <v>443</v>
      </c>
      <c r="Q10" s="38" t="s">
        <v>449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ref="A11:A59" si="2">B11*10000000+C11*1000000+D11*10000+E11*100+F11</f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495</v>
      </c>
      <c r="K11" s="39" t="s">
        <v>446</v>
      </c>
      <c r="L11" s="39" t="s">
        <v>443</v>
      </c>
      <c r="Q11" s="38" t="s">
        <v>449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503</v>
      </c>
      <c r="K12" s="39" t="s">
        <v>443</v>
      </c>
      <c r="L12" s="39"/>
      <c r="Q12" s="38" t="s">
        <v>449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2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442</v>
      </c>
      <c r="K13" s="39" t="s">
        <v>443</v>
      </c>
      <c r="Q13" s="38" t="s">
        <v>449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2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425</v>
      </c>
      <c r="K14" s="36" t="s">
        <v>443</v>
      </c>
      <c r="Q14" s="38" t="s">
        <v>449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2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427</v>
      </c>
      <c r="K15" s="36" t="s">
        <v>443</v>
      </c>
      <c r="Q15" s="38" t="s">
        <v>449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2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431</v>
      </c>
      <c r="K16" s="36" t="s">
        <v>443</v>
      </c>
      <c r="Q16" s="38" t="s">
        <v>449</v>
      </c>
      <c r="S16" s="62">
        <v>10</v>
      </c>
      <c r="AG16" s="35">
        <v>1</v>
      </c>
    </row>
    <row r="17" spans="1:33" x14ac:dyDescent="0.15">
      <c r="A17" s="34">
        <f t="shared" ref="A17" si="3">B17*10000000+C17*1000000+D17*10000+E17*100+F17</f>
        <v>212060001</v>
      </c>
      <c r="B17" s="36">
        <v>21</v>
      </c>
      <c r="C17" s="36">
        <v>2</v>
      </c>
      <c r="D17" s="39">
        <v>6</v>
      </c>
      <c r="E17" s="36">
        <v>0</v>
      </c>
      <c r="F17" s="39">
        <f t="shared" ref="F17" si="4">H17</f>
        <v>1</v>
      </c>
      <c r="G17" s="74"/>
      <c r="H17" s="62">
        <v>1</v>
      </c>
      <c r="J17" s="35" t="s">
        <v>580</v>
      </c>
      <c r="K17" s="36" t="s">
        <v>581</v>
      </c>
      <c r="L17" s="36" t="s">
        <v>582</v>
      </c>
      <c r="Q17" s="38" t="s">
        <v>449</v>
      </c>
      <c r="S17" s="62">
        <v>10</v>
      </c>
      <c r="AG17" s="35">
        <v>1</v>
      </c>
    </row>
    <row r="18" spans="1:33" x14ac:dyDescent="0.15">
      <c r="A18" s="34">
        <f t="shared" si="2"/>
        <v>213010001</v>
      </c>
      <c r="B18" s="36">
        <v>21</v>
      </c>
      <c r="C18" s="36">
        <v>3</v>
      </c>
      <c r="D18" s="36">
        <v>1</v>
      </c>
      <c r="E18" s="36">
        <v>0</v>
      </c>
      <c r="F18" s="39">
        <f t="shared" si="1"/>
        <v>1</v>
      </c>
      <c r="G18" s="74"/>
      <c r="H18" s="62">
        <v>1</v>
      </c>
      <c r="J18" s="35" t="s">
        <v>432</v>
      </c>
      <c r="K18" s="36" t="s">
        <v>443</v>
      </c>
      <c r="Q18" s="38" t="s">
        <v>449</v>
      </c>
      <c r="S18" s="62">
        <v>500</v>
      </c>
      <c r="AG18" s="35">
        <v>1</v>
      </c>
    </row>
    <row r="19" spans="1:33" x14ac:dyDescent="0.15">
      <c r="A19" s="34">
        <f t="shared" si="2"/>
        <v>213020001</v>
      </c>
      <c r="B19" s="36">
        <v>21</v>
      </c>
      <c r="C19" s="36">
        <v>3</v>
      </c>
      <c r="D19" s="39">
        <v>2</v>
      </c>
      <c r="E19" s="36">
        <v>0</v>
      </c>
      <c r="F19" s="39">
        <f t="shared" si="1"/>
        <v>1</v>
      </c>
      <c r="G19" s="74"/>
      <c r="H19" s="38">
        <v>1</v>
      </c>
      <c r="J19" s="35" t="s">
        <v>433</v>
      </c>
      <c r="K19" s="36" t="s">
        <v>443</v>
      </c>
      <c r="Q19" s="38" t="s">
        <v>449</v>
      </c>
      <c r="S19" s="38">
        <v>1000</v>
      </c>
      <c r="AG19" s="35">
        <v>1</v>
      </c>
    </row>
    <row r="20" spans="1:33" x14ac:dyDescent="0.15">
      <c r="A20" s="34">
        <f t="shared" si="2"/>
        <v>213030001</v>
      </c>
      <c r="B20" s="36">
        <v>21</v>
      </c>
      <c r="C20" s="36">
        <v>3</v>
      </c>
      <c r="D20" s="36">
        <v>3</v>
      </c>
      <c r="E20" s="36">
        <v>0</v>
      </c>
      <c r="F20" s="39">
        <f t="shared" si="1"/>
        <v>1</v>
      </c>
      <c r="G20" s="74"/>
      <c r="H20" s="62">
        <v>1</v>
      </c>
      <c r="J20" s="35" t="s">
        <v>434</v>
      </c>
      <c r="K20" s="36" t="s">
        <v>443</v>
      </c>
      <c r="Q20" s="38" t="s">
        <v>449</v>
      </c>
      <c r="S20" s="38">
        <v>1000</v>
      </c>
      <c r="AG20" s="35">
        <v>1</v>
      </c>
    </row>
    <row r="21" spans="1:33" x14ac:dyDescent="0.15">
      <c r="A21" s="34">
        <f t="shared" si="2"/>
        <v>213040001</v>
      </c>
      <c r="B21" s="36">
        <v>21</v>
      </c>
      <c r="C21" s="36">
        <v>3</v>
      </c>
      <c r="D21" s="39">
        <v>4</v>
      </c>
      <c r="E21" s="36">
        <v>0</v>
      </c>
      <c r="F21" s="39">
        <f t="shared" si="1"/>
        <v>1</v>
      </c>
      <c r="G21" s="74"/>
      <c r="H21" s="62">
        <v>1</v>
      </c>
      <c r="J21" s="35" t="s">
        <v>435</v>
      </c>
      <c r="K21" s="36" t="s">
        <v>443</v>
      </c>
      <c r="Q21" s="38" t="s">
        <v>449</v>
      </c>
      <c r="S21" s="38">
        <v>1000</v>
      </c>
      <c r="AG21" s="35">
        <v>1</v>
      </c>
    </row>
    <row r="22" spans="1:33" x14ac:dyDescent="0.15">
      <c r="A22" s="34">
        <f t="shared" si="2"/>
        <v>213050001</v>
      </c>
      <c r="B22" s="36">
        <v>21</v>
      </c>
      <c r="C22" s="36">
        <v>3</v>
      </c>
      <c r="D22" s="36">
        <v>5</v>
      </c>
      <c r="E22" s="36">
        <v>0</v>
      </c>
      <c r="F22" s="39">
        <f>H22</f>
        <v>1</v>
      </c>
      <c r="G22" s="74"/>
      <c r="H22" s="62">
        <v>1</v>
      </c>
      <c r="J22" s="35" t="s">
        <v>510</v>
      </c>
      <c r="K22" s="36" t="s">
        <v>505</v>
      </c>
      <c r="Q22" s="38" t="s">
        <v>544</v>
      </c>
      <c r="S22" s="38">
        <v>1000</v>
      </c>
      <c r="AG22" s="35">
        <v>1</v>
      </c>
    </row>
    <row r="23" spans="1:33" x14ac:dyDescent="0.15">
      <c r="A23" s="34">
        <f t="shared" si="2"/>
        <v>213060001</v>
      </c>
      <c r="B23" s="36">
        <v>21</v>
      </c>
      <c r="C23" s="36">
        <v>3</v>
      </c>
      <c r="D23" s="39">
        <v>6</v>
      </c>
      <c r="E23" s="36">
        <v>0</v>
      </c>
      <c r="F23" s="39">
        <f t="shared" ref="F23:F59" si="5">H23</f>
        <v>1</v>
      </c>
      <c r="G23" s="74"/>
      <c r="H23" s="62">
        <v>1</v>
      </c>
      <c r="J23" s="35" t="s">
        <v>511</v>
      </c>
      <c r="K23" s="36" t="s">
        <v>505</v>
      </c>
      <c r="Q23" s="38" t="s">
        <v>544</v>
      </c>
      <c r="S23" s="38">
        <v>1000</v>
      </c>
      <c r="AG23" s="35">
        <v>1</v>
      </c>
    </row>
    <row r="24" spans="1:33" x14ac:dyDescent="0.15">
      <c r="A24" s="34">
        <f t="shared" si="2"/>
        <v>213070001</v>
      </c>
      <c r="B24" s="36">
        <v>21</v>
      </c>
      <c r="C24" s="36">
        <v>3</v>
      </c>
      <c r="D24" s="36">
        <v>7</v>
      </c>
      <c r="E24" s="36">
        <v>0</v>
      </c>
      <c r="F24" s="39">
        <f t="shared" si="5"/>
        <v>1</v>
      </c>
      <c r="G24" s="74"/>
      <c r="H24" s="62">
        <v>1</v>
      </c>
      <c r="J24" s="35" t="s">
        <v>512</v>
      </c>
      <c r="K24" s="36" t="s">
        <v>505</v>
      </c>
      <c r="Q24" s="38" t="s">
        <v>544</v>
      </c>
      <c r="S24" s="38">
        <v>1000</v>
      </c>
      <c r="AG24" s="35">
        <v>1</v>
      </c>
    </row>
    <row r="25" spans="1:33" x14ac:dyDescent="0.15">
      <c r="A25" s="34">
        <f t="shared" si="2"/>
        <v>213080001</v>
      </c>
      <c r="B25" s="36">
        <v>21</v>
      </c>
      <c r="C25" s="36">
        <v>3</v>
      </c>
      <c r="D25" s="39">
        <v>8</v>
      </c>
      <c r="E25" s="36">
        <v>0</v>
      </c>
      <c r="F25" s="39">
        <f t="shared" si="5"/>
        <v>1</v>
      </c>
      <c r="G25" s="74"/>
      <c r="H25" s="62">
        <v>1</v>
      </c>
      <c r="J25" s="35" t="s">
        <v>519</v>
      </c>
      <c r="K25" s="36" t="s">
        <v>505</v>
      </c>
      <c r="Q25" s="38" t="s">
        <v>544</v>
      </c>
      <c r="S25" s="38">
        <v>1000</v>
      </c>
      <c r="AG25" s="35">
        <v>1</v>
      </c>
    </row>
    <row r="26" spans="1:33" x14ac:dyDescent="0.15">
      <c r="A26" s="34">
        <f t="shared" si="2"/>
        <v>213090001</v>
      </c>
      <c r="B26" s="36">
        <v>21</v>
      </c>
      <c r="C26" s="36">
        <v>3</v>
      </c>
      <c r="D26" s="36">
        <v>9</v>
      </c>
      <c r="E26" s="36">
        <v>0</v>
      </c>
      <c r="F26" s="39">
        <f t="shared" si="5"/>
        <v>1</v>
      </c>
      <c r="G26" s="74"/>
      <c r="H26" s="62">
        <v>1</v>
      </c>
      <c r="J26" s="35" t="s">
        <v>513</v>
      </c>
      <c r="K26" s="36" t="s">
        <v>505</v>
      </c>
      <c r="Q26" s="38" t="s">
        <v>544</v>
      </c>
      <c r="S26" s="38">
        <v>1000</v>
      </c>
      <c r="AG26" s="35">
        <v>1</v>
      </c>
    </row>
    <row r="27" spans="1:33" x14ac:dyDescent="0.15">
      <c r="A27" s="34">
        <f t="shared" si="2"/>
        <v>213100001</v>
      </c>
      <c r="B27" s="36">
        <v>21</v>
      </c>
      <c r="C27" s="36">
        <v>3</v>
      </c>
      <c r="D27" s="39">
        <v>10</v>
      </c>
      <c r="E27" s="36">
        <v>0</v>
      </c>
      <c r="F27" s="39">
        <f t="shared" si="5"/>
        <v>1</v>
      </c>
      <c r="G27" s="74"/>
      <c r="H27" s="62">
        <v>1</v>
      </c>
      <c r="J27" s="35" t="s">
        <v>514</v>
      </c>
      <c r="K27" s="36" t="s">
        <v>505</v>
      </c>
      <c r="Q27" s="38" t="s">
        <v>544</v>
      </c>
      <c r="S27" s="38">
        <v>1000</v>
      </c>
      <c r="AG27" s="35">
        <v>1</v>
      </c>
    </row>
    <row r="28" spans="1:33" x14ac:dyDescent="0.15">
      <c r="A28" s="34">
        <f t="shared" si="2"/>
        <v>213110001</v>
      </c>
      <c r="B28" s="36">
        <v>21</v>
      </c>
      <c r="C28" s="36">
        <v>3</v>
      </c>
      <c r="D28" s="36">
        <v>11</v>
      </c>
      <c r="E28" s="36">
        <v>0</v>
      </c>
      <c r="F28" s="39">
        <f t="shared" si="5"/>
        <v>1</v>
      </c>
      <c r="G28" s="74"/>
      <c r="H28" s="62">
        <v>1</v>
      </c>
      <c r="J28" s="35" t="s">
        <v>515</v>
      </c>
      <c r="K28" s="36" t="s">
        <v>505</v>
      </c>
      <c r="Q28" s="38" t="s">
        <v>544</v>
      </c>
      <c r="S28" s="38">
        <v>1000</v>
      </c>
      <c r="AG28" s="35">
        <v>1</v>
      </c>
    </row>
    <row r="29" spans="1:33" x14ac:dyDescent="0.15">
      <c r="A29" s="34">
        <f t="shared" si="2"/>
        <v>213120001</v>
      </c>
      <c r="B29" s="36">
        <v>21</v>
      </c>
      <c r="C29" s="36">
        <v>3</v>
      </c>
      <c r="D29" s="39">
        <v>12</v>
      </c>
      <c r="E29" s="36">
        <v>0</v>
      </c>
      <c r="F29" s="39">
        <f t="shared" si="5"/>
        <v>1</v>
      </c>
      <c r="G29" s="74"/>
      <c r="H29" s="62">
        <v>1</v>
      </c>
      <c r="J29" s="35" t="s">
        <v>525</v>
      </c>
      <c r="K29" s="36" t="s">
        <v>505</v>
      </c>
      <c r="Q29" s="38" t="s">
        <v>544</v>
      </c>
      <c r="S29" s="38">
        <v>1000</v>
      </c>
      <c r="AG29" s="35">
        <v>1</v>
      </c>
    </row>
    <row r="30" spans="1:33" x14ac:dyDescent="0.15">
      <c r="A30" s="34">
        <f t="shared" si="2"/>
        <v>213130001</v>
      </c>
      <c r="B30" s="36">
        <v>21</v>
      </c>
      <c r="C30" s="36">
        <v>3</v>
      </c>
      <c r="D30" s="36">
        <v>13</v>
      </c>
      <c r="E30" s="36">
        <v>0</v>
      </c>
      <c r="F30" s="39">
        <f t="shared" si="5"/>
        <v>1</v>
      </c>
      <c r="G30" s="74"/>
      <c r="H30" s="62">
        <v>1</v>
      </c>
      <c r="J30" s="35" t="s">
        <v>529</v>
      </c>
      <c r="K30" s="36" t="s">
        <v>505</v>
      </c>
      <c r="Q30" s="38" t="s">
        <v>544</v>
      </c>
      <c r="S30" s="38">
        <v>1000</v>
      </c>
      <c r="AG30" s="35">
        <v>1</v>
      </c>
    </row>
    <row r="31" spans="1:33" x14ac:dyDescent="0.15">
      <c r="A31" s="34">
        <f t="shared" si="2"/>
        <v>213140001</v>
      </c>
      <c r="B31" s="36">
        <v>21</v>
      </c>
      <c r="C31" s="36">
        <v>3</v>
      </c>
      <c r="D31" s="39">
        <v>14</v>
      </c>
      <c r="E31" s="36">
        <v>0</v>
      </c>
      <c r="F31" s="39">
        <f t="shared" si="5"/>
        <v>1</v>
      </c>
      <c r="G31" s="74"/>
      <c r="H31" s="62">
        <v>1</v>
      </c>
      <c r="J31" s="35" t="s">
        <v>530</v>
      </c>
      <c r="K31" s="36" t="s">
        <v>505</v>
      </c>
      <c r="Q31" s="38" t="s">
        <v>544</v>
      </c>
      <c r="S31" s="38">
        <v>1000</v>
      </c>
      <c r="AG31" s="35">
        <v>1</v>
      </c>
    </row>
    <row r="32" spans="1:33" x14ac:dyDescent="0.15">
      <c r="A32" s="34">
        <f t="shared" si="2"/>
        <v>213150001</v>
      </c>
      <c r="B32" s="36">
        <v>21</v>
      </c>
      <c r="C32" s="36">
        <v>3</v>
      </c>
      <c r="D32" s="36">
        <v>15</v>
      </c>
      <c r="E32" s="36">
        <v>0</v>
      </c>
      <c r="F32" s="39">
        <f t="shared" si="5"/>
        <v>1</v>
      </c>
      <c r="G32" s="74"/>
      <c r="H32" s="62">
        <v>1</v>
      </c>
      <c r="J32" s="35" t="s">
        <v>535</v>
      </c>
      <c r="K32" s="36" t="s">
        <v>505</v>
      </c>
      <c r="Q32" s="38" t="s">
        <v>544</v>
      </c>
      <c r="S32" s="38">
        <v>1000</v>
      </c>
      <c r="AG32" s="35">
        <v>1</v>
      </c>
    </row>
    <row r="33" spans="1:33" x14ac:dyDescent="0.15">
      <c r="A33" s="34">
        <f t="shared" si="2"/>
        <v>213160001</v>
      </c>
      <c r="B33" s="36">
        <v>21</v>
      </c>
      <c r="C33" s="36">
        <v>3</v>
      </c>
      <c r="D33" s="39">
        <v>16</v>
      </c>
      <c r="E33" s="36">
        <v>0</v>
      </c>
      <c r="F33" s="39">
        <f t="shared" si="5"/>
        <v>1</v>
      </c>
      <c r="G33" s="74"/>
      <c r="H33" s="62">
        <v>1</v>
      </c>
      <c r="J33" s="35" t="s">
        <v>543</v>
      </c>
      <c r="K33" s="36" t="s">
        <v>505</v>
      </c>
      <c r="Q33" s="38" t="s">
        <v>544</v>
      </c>
      <c r="S33" s="38">
        <v>1000</v>
      </c>
      <c r="AG33" s="35">
        <v>1</v>
      </c>
    </row>
    <row r="34" spans="1:33" x14ac:dyDescent="0.15">
      <c r="A34" s="34">
        <f t="shared" si="2"/>
        <v>213170001</v>
      </c>
      <c r="B34" s="36">
        <v>21</v>
      </c>
      <c r="C34" s="36">
        <v>3</v>
      </c>
      <c r="D34" s="36">
        <v>17</v>
      </c>
      <c r="E34" s="36">
        <v>0</v>
      </c>
      <c r="F34" s="39">
        <f t="shared" si="5"/>
        <v>1</v>
      </c>
      <c r="G34" s="74"/>
      <c r="H34" s="62">
        <v>1</v>
      </c>
      <c r="J34" s="35" t="s">
        <v>537</v>
      </c>
      <c r="K34" s="36" t="s">
        <v>505</v>
      </c>
      <c r="Q34" s="38" t="s">
        <v>544</v>
      </c>
      <c r="S34" s="38">
        <v>1000</v>
      </c>
      <c r="AG34" s="35">
        <v>1</v>
      </c>
    </row>
    <row r="35" spans="1:33" x14ac:dyDescent="0.15">
      <c r="A35" s="34">
        <f t="shared" si="2"/>
        <v>213180001</v>
      </c>
      <c r="B35" s="36">
        <v>21</v>
      </c>
      <c r="C35" s="36">
        <v>3</v>
      </c>
      <c r="D35" s="39">
        <v>18</v>
      </c>
      <c r="E35" s="36">
        <v>0</v>
      </c>
      <c r="F35" s="39">
        <f t="shared" si="5"/>
        <v>1</v>
      </c>
      <c r="G35" s="74"/>
      <c r="H35" s="62">
        <v>1</v>
      </c>
      <c r="J35" s="35" t="s">
        <v>538</v>
      </c>
      <c r="K35" s="36" t="s">
        <v>505</v>
      </c>
      <c r="Q35" s="38" t="s">
        <v>544</v>
      </c>
      <c r="R35" s="96" t="s">
        <v>583</v>
      </c>
      <c r="S35" s="38">
        <v>1000</v>
      </c>
      <c r="AG35" s="35">
        <v>1</v>
      </c>
    </row>
    <row r="36" spans="1:33" x14ac:dyDescent="0.15">
      <c r="A36" s="34">
        <f t="shared" si="2"/>
        <v>213190001</v>
      </c>
      <c r="B36" s="36">
        <v>21</v>
      </c>
      <c r="C36" s="36">
        <v>3</v>
      </c>
      <c r="D36" s="36">
        <v>19</v>
      </c>
      <c r="E36" s="36">
        <v>0</v>
      </c>
      <c r="F36" s="39">
        <f t="shared" si="5"/>
        <v>1</v>
      </c>
      <c r="G36" s="74"/>
      <c r="H36" s="62">
        <v>1</v>
      </c>
      <c r="J36" s="35" t="s">
        <v>540</v>
      </c>
      <c r="K36" s="36" t="s">
        <v>505</v>
      </c>
      <c r="Q36" s="38" t="s">
        <v>544</v>
      </c>
      <c r="S36" s="38">
        <v>1000</v>
      </c>
      <c r="AG36" s="35">
        <v>1</v>
      </c>
    </row>
    <row r="37" spans="1:33" x14ac:dyDescent="0.15">
      <c r="A37" s="34">
        <f t="shared" si="2"/>
        <v>214010001</v>
      </c>
      <c r="B37" s="36">
        <v>21</v>
      </c>
      <c r="C37" s="36">
        <v>4</v>
      </c>
      <c r="D37" s="36">
        <v>1</v>
      </c>
      <c r="E37" s="36">
        <v>0</v>
      </c>
      <c r="F37" s="39">
        <f t="shared" si="5"/>
        <v>1</v>
      </c>
      <c r="G37" s="74"/>
      <c r="H37" s="62">
        <v>1</v>
      </c>
      <c r="J37" s="35" t="s">
        <v>569</v>
      </c>
      <c r="K37" s="36" t="s">
        <v>578</v>
      </c>
      <c r="Q37" s="38" t="s">
        <v>579</v>
      </c>
      <c r="S37" s="38">
        <v>10</v>
      </c>
      <c r="AG37" s="35">
        <v>1</v>
      </c>
    </row>
    <row r="38" spans="1:33" x14ac:dyDescent="0.15">
      <c r="A38" s="34">
        <f t="shared" si="2"/>
        <v>214020001</v>
      </c>
      <c r="B38" s="36">
        <v>21</v>
      </c>
      <c r="C38" s="36">
        <v>4</v>
      </c>
      <c r="D38" s="36">
        <v>2</v>
      </c>
      <c r="E38" s="36">
        <v>0</v>
      </c>
      <c r="F38" s="39">
        <f t="shared" si="5"/>
        <v>1</v>
      </c>
      <c r="G38" s="74"/>
      <c r="H38" s="62">
        <v>1</v>
      </c>
      <c r="J38" s="35" t="s">
        <v>570</v>
      </c>
      <c r="K38" s="36" t="s">
        <v>578</v>
      </c>
      <c r="Q38" s="38" t="s">
        <v>579</v>
      </c>
      <c r="S38" s="38">
        <v>100</v>
      </c>
      <c r="AG38" s="35">
        <v>1</v>
      </c>
    </row>
    <row r="39" spans="1:33" x14ac:dyDescent="0.15">
      <c r="A39" s="34">
        <f t="shared" si="2"/>
        <v>214030001</v>
      </c>
      <c r="B39" s="36">
        <v>21</v>
      </c>
      <c r="C39" s="36">
        <v>4</v>
      </c>
      <c r="D39" s="36">
        <v>3</v>
      </c>
      <c r="E39" s="36">
        <v>0</v>
      </c>
      <c r="F39" s="39">
        <f t="shared" si="5"/>
        <v>1</v>
      </c>
      <c r="G39" s="74"/>
      <c r="H39" s="62">
        <v>1</v>
      </c>
      <c r="J39" s="35" t="s">
        <v>571</v>
      </c>
      <c r="K39" s="36" t="s">
        <v>578</v>
      </c>
      <c r="Q39" s="38" t="s">
        <v>579</v>
      </c>
      <c r="S39" s="38">
        <v>1000</v>
      </c>
      <c r="AG39" s="35">
        <v>1</v>
      </c>
    </row>
    <row r="40" spans="1:33" x14ac:dyDescent="0.15">
      <c r="A40" s="34">
        <f t="shared" si="2"/>
        <v>214040001</v>
      </c>
      <c r="B40" s="36">
        <v>21</v>
      </c>
      <c r="C40" s="36">
        <v>4</v>
      </c>
      <c r="D40" s="36">
        <v>4</v>
      </c>
      <c r="E40" s="36">
        <v>0</v>
      </c>
      <c r="F40" s="39">
        <f t="shared" si="5"/>
        <v>1</v>
      </c>
      <c r="G40" s="74"/>
      <c r="H40" s="62">
        <v>1</v>
      </c>
      <c r="J40" s="35" t="s">
        <v>436</v>
      </c>
      <c r="K40" s="36" t="s">
        <v>443</v>
      </c>
      <c r="Q40" s="38" t="s">
        <v>449</v>
      </c>
      <c r="S40" s="38">
        <v>10</v>
      </c>
      <c r="AG40" s="35">
        <v>1</v>
      </c>
    </row>
    <row r="41" spans="1:33" x14ac:dyDescent="0.15">
      <c r="A41" s="34">
        <f t="shared" si="2"/>
        <v>214050001</v>
      </c>
      <c r="B41" s="36">
        <v>21</v>
      </c>
      <c r="C41" s="36">
        <v>4</v>
      </c>
      <c r="D41" s="36">
        <v>5</v>
      </c>
      <c r="E41" s="36">
        <v>0</v>
      </c>
      <c r="F41" s="39">
        <f t="shared" si="5"/>
        <v>1</v>
      </c>
      <c r="G41" s="74"/>
      <c r="H41" s="38">
        <v>1</v>
      </c>
      <c r="J41" s="35" t="s">
        <v>437</v>
      </c>
      <c r="K41" s="36" t="s">
        <v>443</v>
      </c>
      <c r="Q41" s="38" t="s">
        <v>449</v>
      </c>
      <c r="S41" s="38">
        <v>100</v>
      </c>
      <c r="AG41" s="35">
        <v>1</v>
      </c>
    </row>
    <row r="42" spans="1:33" x14ac:dyDescent="0.15">
      <c r="A42" s="34">
        <f t="shared" si="2"/>
        <v>214060001</v>
      </c>
      <c r="B42" s="36">
        <v>21</v>
      </c>
      <c r="C42" s="36">
        <v>4</v>
      </c>
      <c r="D42" s="36">
        <v>6</v>
      </c>
      <c r="E42" s="36">
        <v>0</v>
      </c>
      <c r="F42" s="39">
        <f t="shared" si="5"/>
        <v>1</v>
      </c>
      <c r="G42" s="74"/>
      <c r="H42" s="62">
        <v>1</v>
      </c>
      <c r="J42" s="35" t="s">
        <v>438</v>
      </c>
      <c r="K42" s="36" t="s">
        <v>443</v>
      </c>
      <c r="Q42" s="38" t="s">
        <v>449</v>
      </c>
      <c r="S42" s="38">
        <v>1000</v>
      </c>
      <c r="AG42" s="35">
        <v>1</v>
      </c>
    </row>
    <row r="43" spans="1:33" x14ac:dyDescent="0.15">
      <c r="A43" s="34">
        <f t="shared" si="2"/>
        <v>214070001</v>
      </c>
      <c r="B43" s="36">
        <v>21</v>
      </c>
      <c r="C43" s="36">
        <v>4</v>
      </c>
      <c r="D43" s="36">
        <v>7</v>
      </c>
      <c r="E43" s="36">
        <v>0</v>
      </c>
      <c r="F43" s="39">
        <f t="shared" si="5"/>
        <v>1</v>
      </c>
      <c r="G43" s="74"/>
      <c r="H43" s="62">
        <v>1</v>
      </c>
      <c r="J43" s="35" t="s">
        <v>439</v>
      </c>
      <c r="K43" s="36" t="s">
        <v>443</v>
      </c>
      <c r="Q43" s="38" t="s">
        <v>449</v>
      </c>
      <c r="S43" s="38">
        <v>10</v>
      </c>
      <c r="AG43" s="35">
        <v>1</v>
      </c>
    </row>
    <row r="44" spans="1:33" x14ac:dyDescent="0.15">
      <c r="A44" s="34">
        <f t="shared" si="2"/>
        <v>214080001</v>
      </c>
      <c r="B44" s="36">
        <v>21</v>
      </c>
      <c r="C44" s="36">
        <v>4</v>
      </c>
      <c r="D44" s="36">
        <v>8</v>
      </c>
      <c r="E44" s="36">
        <v>0</v>
      </c>
      <c r="F44" s="39">
        <f t="shared" si="5"/>
        <v>1</v>
      </c>
      <c r="G44" s="74"/>
      <c r="H44" s="62">
        <v>1</v>
      </c>
      <c r="J44" s="35" t="s">
        <v>440</v>
      </c>
      <c r="K44" s="36" t="s">
        <v>443</v>
      </c>
      <c r="Q44" s="38" t="s">
        <v>449</v>
      </c>
      <c r="S44" s="38">
        <v>100</v>
      </c>
      <c r="AG44" s="35">
        <v>1</v>
      </c>
    </row>
    <row r="45" spans="1:33" x14ac:dyDescent="0.15">
      <c r="A45" s="34">
        <f t="shared" si="2"/>
        <v>214090001</v>
      </c>
      <c r="B45" s="36">
        <v>21</v>
      </c>
      <c r="C45" s="36">
        <v>4</v>
      </c>
      <c r="D45" s="36">
        <v>9</v>
      </c>
      <c r="E45" s="36">
        <v>0</v>
      </c>
      <c r="F45" s="39">
        <f t="shared" si="5"/>
        <v>1</v>
      </c>
      <c r="G45" s="74"/>
      <c r="H45" s="38">
        <v>1</v>
      </c>
      <c r="J45" s="35" t="s">
        <v>441</v>
      </c>
      <c r="K45" s="36" t="s">
        <v>443</v>
      </c>
      <c r="Q45" s="38" t="s">
        <v>449</v>
      </c>
      <c r="S45" s="38">
        <v>1000</v>
      </c>
      <c r="AG45" s="35">
        <v>1</v>
      </c>
    </row>
    <row r="46" spans="1:33" x14ac:dyDescent="0.15">
      <c r="A46" s="34">
        <f t="shared" ref="A46:A48" si="6">B46*10000000+C46*1000000+D46*10000+E46*100+F46</f>
        <v>214100001</v>
      </c>
      <c r="B46" s="36">
        <v>21</v>
      </c>
      <c r="C46" s="36">
        <v>4</v>
      </c>
      <c r="D46" s="36">
        <v>10</v>
      </c>
      <c r="E46" s="36">
        <v>0</v>
      </c>
      <c r="F46" s="39">
        <f t="shared" si="5"/>
        <v>1</v>
      </c>
      <c r="G46" s="74"/>
      <c r="H46" s="62">
        <v>1</v>
      </c>
      <c r="J46" s="35" t="s">
        <v>572</v>
      </c>
      <c r="K46" s="36" t="s">
        <v>443</v>
      </c>
      <c r="Q46" s="38" t="s">
        <v>449</v>
      </c>
      <c r="S46" s="38">
        <v>10</v>
      </c>
      <c r="AG46" s="35">
        <v>1</v>
      </c>
    </row>
    <row r="47" spans="1:33" x14ac:dyDescent="0.15">
      <c r="A47" s="34">
        <f t="shared" si="6"/>
        <v>214110001</v>
      </c>
      <c r="B47" s="36">
        <v>21</v>
      </c>
      <c r="C47" s="36">
        <v>4</v>
      </c>
      <c r="D47" s="36">
        <v>11</v>
      </c>
      <c r="E47" s="36">
        <v>0</v>
      </c>
      <c r="F47" s="39">
        <f t="shared" si="5"/>
        <v>1</v>
      </c>
      <c r="G47" s="74"/>
      <c r="H47" s="62">
        <v>1</v>
      </c>
      <c r="J47" s="35" t="s">
        <v>573</v>
      </c>
      <c r="K47" s="36" t="s">
        <v>443</v>
      </c>
      <c r="Q47" s="38" t="s">
        <v>449</v>
      </c>
      <c r="S47" s="38">
        <v>100</v>
      </c>
      <c r="AG47" s="35">
        <v>1</v>
      </c>
    </row>
    <row r="48" spans="1:33" x14ac:dyDescent="0.15">
      <c r="A48" s="34">
        <f t="shared" si="6"/>
        <v>214120001</v>
      </c>
      <c r="B48" s="36">
        <v>21</v>
      </c>
      <c r="C48" s="36">
        <v>4</v>
      </c>
      <c r="D48" s="36">
        <v>12</v>
      </c>
      <c r="E48" s="36">
        <v>0</v>
      </c>
      <c r="F48" s="39">
        <f t="shared" si="5"/>
        <v>1</v>
      </c>
      <c r="G48" s="74"/>
      <c r="H48" s="38">
        <v>1</v>
      </c>
      <c r="J48" s="35" t="s">
        <v>574</v>
      </c>
      <c r="K48" s="36" t="s">
        <v>443</v>
      </c>
      <c r="Q48" s="38" t="s">
        <v>449</v>
      </c>
      <c r="S48" s="38">
        <v>1000</v>
      </c>
      <c r="AG48" s="35">
        <v>1</v>
      </c>
    </row>
    <row r="49" spans="1:33" x14ac:dyDescent="0.15">
      <c r="A49" s="34">
        <f t="shared" ref="A49:A51" si="7">B49*10000000+C49*1000000+D49*10000+E49*100+F49</f>
        <v>214130001</v>
      </c>
      <c r="B49" s="36">
        <v>21</v>
      </c>
      <c r="C49" s="36">
        <v>4</v>
      </c>
      <c r="D49" s="36">
        <v>13</v>
      </c>
      <c r="E49" s="36">
        <v>0</v>
      </c>
      <c r="F49" s="39">
        <f t="shared" si="5"/>
        <v>1</v>
      </c>
      <c r="G49" s="74"/>
      <c r="H49" s="62">
        <v>1</v>
      </c>
      <c r="J49" s="35" t="s">
        <v>575</v>
      </c>
      <c r="K49" s="36" t="s">
        <v>443</v>
      </c>
      <c r="Q49" s="38" t="s">
        <v>449</v>
      </c>
      <c r="S49" s="38">
        <v>10</v>
      </c>
      <c r="AG49" s="35">
        <v>1</v>
      </c>
    </row>
    <row r="50" spans="1:33" x14ac:dyDescent="0.15">
      <c r="A50" s="34">
        <f t="shared" si="7"/>
        <v>214140001</v>
      </c>
      <c r="B50" s="36">
        <v>21</v>
      </c>
      <c r="C50" s="36">
        <v>4</v>
      </c>
      <c r="D50" s="36">
        <v>14</v>
      </c>
      <c r="E50" s="36">
        <v>0</v>
      </c>
      <c r="F50" s="39">
        <f t="shared" si="5"/>
        <v>1</v>
      </c>
      <c r="G50" s="74"/>
      <c r="H50" s="62">
        <v>1</v>
      </c>
      <c r="J50" s="35" t="s">
        <v>576</v>
      </c>
      <c r="K50" s="36" t="s">
        <v>443</v>
      </c>
      <c r="Q50" s="38" t="s">
        <v>449</v>
      </c>
      <c r="S50" s="38">
        <v>100</v>
      </c>
      <c r="AG50" s="35">
        <v>1</v>
      </c>
    </row>
    <row r="51" spans="1:33" x14ac:dyDescent="0.15">
      <c r="A51" s="34">
        <f t="shared" si="7"/>
        <v>214150001</v>
      </c>
      <c r="B51" s="36">
        <v>21</v>
      </c>
      <c r="C51" s="36">
        <v>4</v>
      </c>
      <c r="D51" s="36">
        <v>15</v>
      </c>
      <c r="E51" s="36">
        <v>0</v>
      </c>
      <c r="F51" s="39">
        <f t="shared" si="5"/>
        <v>1</v>
      </c>
      <c r="G51" s="74"/>
      <c r="H51" s="38">
        <v>1</v>
      </c>
      <c r="J51" s="35" t="s">
        <v>577</v>
      </c>
      <c r="K51" s="36" t="s">
        <v>443</v>
      </c>
      <c r="Q51" s="38" t="s">
        <v>449</v>
      </c>
      <c r="S51" s="38">
        <v>1000</v>
      </c>
      <c r="AG51" s="35">
        <v>1</v>
      </c>
    </row>
    <row r="52" spans="1:33" x14ac:dyDescent="0.15">
      <c r="A52" s="34">
        <f t="shared" si="2"/>
        <v>215070001</v>
      </c>
      <c r="B52" s="36">
        <v>21</v>
      </c>
      <c r="C52" s="36">
        <v>5</v>
      </c>
      <c r="D52" s="36">
        <v>7</v>
      </c>
      <c r="E52" s="36">
        <v>0</v>
      </c>
      <c r="F52" s="39">
        <f t="shared" si="5"/>
        <v>1</v>
      </c>
      <c r="G52" s="74"/>
      <c r="H52" s="62">
        <v>1</v>
      </c>
      <c r="J52" s="35" t="s">
        <v>422</v>
      </c>
      <c r="K52" s="36" t="s">
        <v>445</v>
      </c>
      <c r="Q52" s="38" t="s">
        <v>449</v>
      </c>
      <c r="S52" s="38">
        <v>10</v>
      </c>
      <c r="AG52" s="35">
        <v>1</v>
      </c>
    </row>
    <row r="53" spans="1:33" x14ac:dyDescent="0.15">
      <c r="A53" s="34">
        <f t="shared" si="2"/>
        <v>215020001</v>
      </c>
      <c r="B53" s="36">
        <v>21</v>
      </c>
      <c r="C53" s="36">
        <v>5</v>
      </c>
      <c r="D53" s="36">
        <v>2</v>
      </c>
      <c r="E53" s="36">
        <v>0</v>
      </c>
      <c r="F53" s="39">
        <f t="shared" si="5"/>
        <v>1</v>
      </c>
      <c r="G53" s="74"/>
      <c r="H53" s="62">
        <v>1</v>
      </c>
      <c r="J53" s="35" t="s">
        <v>424</v>
      </c>
      <c r="K53" s="36" t="s">
        <v>445</v>
      </c>
      <c r="Q53" s="38" t="s">
        <v>449</v>
      </c>
      <c r="S53" s="62">
        <v>10</v>
      </c>
      <c r="AG53" s="35">
        <v>1</v>
      </c>
    </row>
    <row r="54" spans="1:33" x14ac:dyDescent="0.15">
      <c r="A54" s="34">
        <f t="shared" si="2"/>
        <v>215030001</v>
      </c>
      <c r="B54" s="36">
        <v>21</v>
      </c>
      <c r="C54" s="36">
        <v>5</v>
      </c>
      <c r="D54" s="36">
        <v>3</v>
      </c>
      <c r="E54" s="36">
        <v>0</v>
      </c>
      <c r="F54" s="39">
        <f t="shared" si="5"/>
        <v>1</v>
      </c>
      <c r="G54" s="74"/>
      <c r="H54" s="62">
        <v>1</v>
      </c>
      <c r="J54" s="35" t="s">
        <v>423</v>
      </c>
      <c r="K54" s="36" t="s">
        <v>444</v>
      </c>
      <c r="Q54" s="38" t="s">
        <v>449</v>
      </c>
      <c r="S54" s="62">
        <v>10</v>
      </c>
      <c r="AG54" s="35">
        <v>1</v>
      </c>
    </row>
    <row r="55" spans="1:33" x14ac:dyDescent="0.15">
      <c r="A55" s="34">
        <f t="shared" si="2"/>
        <v>215040001</v>
      </c>
      <c r="B55" s="36">
        <v>21</v>
      </c>
      <c r="C55" s="36">
        <v>5</v>
      </c>
      <c r="D55" s="36">
        <v>4</v>
      </c>
      <c r="E55" s="36">
        <v>0</v>
      </c>
      <c r="F55" s="39">
        <f t="shared" si="5"/>
        <v>1</v>
      </c>
      <c r="G55" s="74"/>
      <c r="H55" s="38">
        <v>1</v>
      </c>
      <c r="J55" s="35" t="s">
        <v>426</v>
      </c>
      <c r="K55" s="36" t="s">
        <v>444</v>
      </c>
      <c r="Q55" s="38" t="s">
        <v>449</v>
      </c>
      <c r="S55" s="38">
        <v>10</v>
      </c>
      <c r="AG55" s="35">
        <v>1</v>
      </c>
    </row>
    <row r="56" spans="1:33" x14ac:dyDescent="0.15">
      <c r="A56" s="34">
        <f t="shared" si="2"/>
        <v>215050001</v>
      </c>
      <c r="B56" s="36">
        <v>21</v>
      </c>
      <c r="C56" s="36">
        <v>5</v>
      </c>
      <c r="D56" s="36">
        <v>5</v>
      </c>
      <c r="E56" s="36">
        <v>0</v>
      </c>
      <c r="F56" s="39">
        <f t="shared" si="5"/>
        <v>1</v>
      </c>
      <c r="G56" s="74"/>
      <c r="H56" s="62">
        <v>1</v>
      </c>
      <c r="J56" s="35" t="s">
        <v>428</v>
      </c>
      <c r="K56" s="36" t="s">
        <v>444</v>
      </c>
      <c r="Q56" s="38" t="s">
        <v>449</v>
      </c>
      <c r="S56" s="62">
        <v>10</v>
      </c>
      <c r="AG56" s="35">
        <v>1</v>
      </c>
    </row>
    <row r="57" spans="1:33" x14ac:dyDescent="0.15">
      <c r="A57" s="34">
        <f t="shared" si="2"/>
        <v>215060001</v>
      </c>
      <c r="B57" s="36">
        <v>21</v>
      </c>
      <c r="C57" s="36">
        <v>5</v>
      </c>
      <c r="D57" s="36">
        <v>6</v>
      </c>
      <c r="E57" s="36">
        <v>0</v>
      </c>
      <c r="F57" s="39">
        <f t="shared" si="5"/>
        <v>1</v>
      </c>
      <c r="G57" s="74"/>
      <c r="H57" s="62">
        <v>1</v>
      </c>
      <c r="J57" s="35" t="s">
        <v>430</v>
      </c>
      <c r="K57" s="36" t="s">
        <v>444</v>
      </c>
      <c r="Q57" s="38" t="s">
        <v>449</v>
      </c>
      <c r="S57" s="62">
        <v>10</v>
      </c>
      <c r="AG57" s="35">
        <v>1</v>
      </c>
    </row>
    <row r="58" spans="1:33" x14ac:dyDescent="0.15">
      <c r="A58" s="34">
        <f t="shared" si="2"/>
        <v>215070001</v>
      </c>
      <c r="B58" s="36">
        <v>21</v>
      </c>
      <c r="C58" s="36">
        <v>5</v>
      </c>
      <c r="D58" s="36">
        <v>7</v>
      </c>
      <c r="E58" s="36">
        <v>0</v>
      </c>
      <c r="F58" s="39">
        <f t="shared" si="5"/>
        <v>1</v>
      </c>
      <c r="G58" s="74"/>
      <c r="H58" s="62">
        <v>1</v>
      </c>
      <c r="J58" s="35" t="s">
        <v>471</v>
      </c>
      <c r="K58" s="36" t="s">
        <v>444</v>
      </c>
      <c r="Q58" s="38" t="s">
        <v>449</v>
      </c>
      <c r="S58" s="38">
        <v>10</v>
      </c>
      <c r="AG58" s="35">
        <v>1</v>
      </c>
    </row>
    <row r="59" spans="1:33" x14ac:dyDescent="0.15">
      <c r="A59" s="34">
        <f t="shared" si="2"/>
        <v>215080001</v>
      </c>
      <c r="B59" s="36">
        <v>21</v>
      </c>
      <c r="C59" s="36">
        <v>5</v>
      </c>
      <c r="D59" s="36">
        <v>8</v>
      </c>
      <c r="E59" s="36">
        <v>0</v>
      </c>
      <c r="F59" s="39">
        <f t="shared" si="5"/>
        <v>1</v>
      </c>
      <c r="G59" s="74"/>
      <c r="H59" s="38">
        <v>1</v>
      </c>
      <c r="J59" s="35" t="s">
        <v>508</v>
      </c>
      <c r="K59" s="36" t="s">
        <v>444</v>
      </c>
      <c r="Q59" s="38" t="s">
        <v>449</v>
      </c>
      <c r="S59" s="62">
        <v>10</v>
      </c>
      <c r="AG59" s="35">
        <v>1</v>
      </c>
    </row>
    <row r="60" spans="1:33" x14ac:dyDescent="0.15">
      <c r="G60" s="74"/>
      <c r="Q60" s="38" t="s">
        <v>449</v>
      </c>
      <c r="S60" s="62">
        <v>10</v>
      </c>
      <c r="AG60" s="35">
        <v>1</v>
      </c>
    </row>
    <row r="61" spans="1:33" x14ac:dyDescent="0.15">
      <c r="G61" s="74"/>
      <c r="Q61" s="38" t="s">
        <v>449</v>
      </c>
      <c r="S61" s="38">
        <v>10</v>
      </c>
      <c r="AG61" s="35">
        <v>1</v>
      </c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ht="17.25" thickBot="1" x14ac:dyDescent="0.2">
      <c r="G70" s="74"/>
    </row>
    <row r="71" spans="7:7" x14ac:dyDescent="0.15">
      <c r="G71" s="73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ht="17.25" thickBot="1" x14ac:dyDescent="0.2">
      <c r="G90" s="74"/>
    </row>
    <row r="91" spans="7:7" x14ac:dyDescent="0.15">
      <c r="G91" s="73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x14ac:dyDescent="0.15">
      <c r="G108" s="74"/>
    </row>
    <row r="109" spans="7:7" x14ac:dyDescent="0.15">
      <c r="G109" s="74"/>
    </row>
    <row r="110" spans="7:7" ht="17.25" thickBot="1" x14ac:dyDescent="0.2">
      <c r="G110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:AG100"/>
  <sheetViews>
    <sheetView topLeftCell="A10" zoomScale="90" zoomScaleNormal="90" workbookViewId="0">
      <selection activeCell="A42" sqref="A4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92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92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92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348</v>
      </c>
      <c r="I3" s="71"/>
      <c r="J3" s="35" t="s">
        <v>343</v>
      </c>
      <c r="O3" s="34" t="s">
        <v>324</v>
      </c>
      <c r="P3" s="35" t="s">
        <v>352</v>
      </c>
      <c r="Q3" s="35" t="s">
        <v>326</v>
      </c>
      <c r="R3" s="71"/>
      <c r="S3" s="35" t="s">
        <v>466</v>
      </c>
      <c r="T3" s="71"/>
      <c r="U3" s="92" t="s">
        <v>366</v>
      </c>
      <c r="V3" s="71"/>
      <c r="W3" s="56" t="s">
        <v>551</v>
      </c>
      <c r="X3" s="56" t="s">
        <v>552</v>
      </c>
      <c r="Y3" s="56" t="s">
        <v>553</v>
      </c>
      <c r="Z3" s="60" t="s">
        <v>554</v>
      </c>
      <c r="AA3" s="71"/>
      <c r="AB3" s="56" t="s">
        <v>555</v>
      </c>
      <c r="AC3" s="56" t="s">
        <v>556</v>
      </c>
      <c r="AD3" s="56" t="s">
        <v>557</v>
      </c>
      <c r="AE3" s="60" t="s">
        <v>558</v>
      </c>
      <c r="AF3" s="71"/>
      <c r="AG3" s="1" t="s">
        <v>341</v>
      </c>
    </row>
    <row r="4" spans="1:33" s="81" customFormat="1" ht="66.75" thickBot="1" x14ac:dyDescent="0.2">
      <c r="A4" s="81" t="s">
        <v>342</v>
      </c>
      <c r="B4" s="82" t="s">
        <v>452</v>
      </c>
      <c r="C4" s="82" t="s">
        <v>453</v>
      </c>
      <c r="D4" s="82" t="s">
        <v>454</v>
      </c>
      <c r="E4" s="82" t="s">
        <v>455</v>
      </c>
      <c r="F4" s="82" t="s">
        <v>456</v>
      </c>
      <c r="G4" s="72" t="s">
        <v>363</v>
      </c>
      <c r="H4" s="83" t="s">
        <v>349</v>
      </c>
      <c r="I4" s="72" t="s">
        <v>362</v>
      </c>
      <c r="J4" s="83" t="s">
        <v>450</v>
      </c>
      <c r="K4" s="84" t="s">
        <v>447</v>
      </c>
      <c r="L4" s="84" t="s">
        <v>448</v>
      </c>
      <c r="M4" s="84" t="s">
        <v>361</v>
      </c>
      <c r="N4" s="84" t="s">
        <v>360</v>
      </c>
      <c r="O4" s="81" t="s">
        <v>325</v>
      </c>
      <c r="P4" s="83" t="s">
        <v>353</v>
      </c>
      <c r="Q4" s="83" t="s">
        <v>327</v>
      </c>
      <c r="R4" s="72" t="s">
        <v>465</v>
      </c>
      <c r="S4" s="81" t="s">
        <v>550</v>
      </c>
      <c r="T4" s="72" t="s">
        <v>87</v>
      </c>
      <c r="U4" s="93" t="s">
        <v>365</v>
      </c>
      <c r="V4" s="72" t="s">
        <v>457</v>
      </c>
      <c r="W4" s="58" t="s">
        <v>559</v>
      </c>
      <c r="X4" s="58" t="s">
        <v>560</v>
      </c>
      <c r="Y4" s="58" t="s">
        <v>561</v>
      </c>
      <c r="Z4" s="83" t="s">
        <v>562</v>
      </c>
      <c r="AA4" s="72" t="s">
        <v>467</v>
      </c>
      <c r="AB4" s="58" t="s">
        <v>563</v>
      </c>
      <c r="AC4" s="58" t="s">
        <v>564</v>
      </c>
      <c r="AD4" s="58" t="s">
        <v>565</v>
      </c>
      <c r="AE4" s="83" t="s">
        <v>458</v>
      </c>
      <c r="AF4" s="72" t="s">
        <v>351</v>
      </c>
      <c r="AG4" s="2" t="s">
        <v>451</v>
      </c>
    </row>
    <row r="5" spans="1:33" s="37" customFormat="1" x14ac:dyDescent="0.15">
      <c r="A5" s="37">
        <f t="shared" ref="A5:A49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418</v>
      </c>
      <c r="K5" s="39" t="s">
        <v>446</v>
      </c>
      <c r="L5" s="39" t="s">
        <v>443</v>
      </c>
      <c r="M5" s="39"/>
      <c r="N5" s="39"/>
      <c r="O5" s="37" t="str">
        <f>CONCATENATE(M5,N5,".png")</f>
        <v>.png</v>
      </c>
      <c r="P5" s="38"/>
      <c r="Q5" s="38" t="s">
        <v>449</v>
      </c>
      <c r="R5" s="74"/>
      <c r="S5" s="38">
        <v>10</v>
      </c>
      <c r="T5" s="74"/>
      <c r="U5" s="94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0" si="1">H6</f>
        <v>1</v>
      </c>
      <c r="G6" s="74"/>
      <c r="H6" s="62">
        <v>1</v>
      </c>
      <c r="I6" s="77"/>
      <c r="J6" s="62" t="s">
        <v>419</v>
      </c>
      <c r="K6" s="39" t="s">
        <v>446</v>
      </c>
      <c r="L6" s="39" t="s">
        <v>443</v>
      </c>
      <c r="M6" s="69"/>
      <c r="N6" s="69"/>
      <c r="O6" s="70" t="str">
        <f>CONCATENATE(M6,N6,".png")</f>
        <v>.png</v>
      </c>
      <c r="P6" s="62"/>
      <c r="Q6" s="38" t="s">
        <v>449</v>
      </c>
      <c r="R6" s="77"/>
      <c r="S6" s="62">
        <v>10</v>
      </c>
      <c r="T6" s="77"/>
      <c r="U6" s="95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420</v>
      </c>
      <c r="K7" s="39" t="s">
        <v>446</v>
      </c>
      <c r="L7" s="39" t="s">
        <v>443</v>
      </c>
      <c r="M7" s="69"/>
      <c r="N7" s="69"/>
      <c r="O7" s="70" t="str">
        <f>CONCATENATE(M7,N7,".png")</f>
        <v>.png</v>
      </c>
      <c r="P7" s="62"/>
      <c r="Q7" s="38" t="s">
        <v>449</v>
      </c>
      <c r="R7" s="77"/>
      <c r="S7" s="62">
        <v>10</v>
      </c>
      <c r="T7" s="77"/>
      <c r="U7" s="95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502</v>
      </c>
      <c r="K8" s="39" t="s">
        <v>446</v>
      </c>
      <c r="L8" s="39" t="s">
        <v>443</v>
      </c>
      <c r="M8" s="69"/>
      <c r="N8" s="69"/>
      <c r="O8" s="70"/>
      <c r="P8" s="62"/>
      <c r="Q8" s="38" t="s">
        <v>449</v>
      </c>
      <c r="R8" s="77"/>
      <c r="S8" s="62">
        <v>10</v>
      </c>
      <c r="T8" s="77"/>
      <c r="U8" s="95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421</v>
      </c>
      <c r="K9" s="39" t="s">
        <v>446</v>
      </c>
      <c r="L9" s="39" t="s">
        <v>443</v>
      </c>
      <c r="M9" s="69"/>
      <c r="N9" s="69"/>
      <c r="O9" s="70" t="str">
        <f>CONCATENATE(M9,N9,".png")</f>
        <v>.png</v>
      </c>
      <c r="P9" s="62"/>
      <c r="Q9" s="38" t="s">
        <v>449</v>
      </c>
      <c r="R9" s="77"/>
      <c r="S9" s="38">
        <v>10</v>
      </c>
      <c r="T9" s="77"/>
      <c r="U9" s="95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429</v>
      </c>
      <c r="K10" s="39" t="s">
        <v>446</v>
      </c>
      <c r="L10" s="39" t="s">
        <v>443</v>
      </c>
      <c r="Q10" s="38" t="s">
        <v>449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si="0"/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494</v>
      </c>
      <c r="K11" s="39" t="s">
        <v>446</v>
      </c>
      <c r="L11" s="39" t="s">
        <v>443</v>
      </c>
      <c r="Q11" s="38" t="s">
        <v>449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484</v>
      </c>
      <c r="K12" s="39" t="s">
        <v>443</v>
      </c>
      <c r="L12" s="39"/>
      <c r="Q12" s="38" t="s">
        <v>449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0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442</v>
      </c>
      <c r="K13" s="39" t="s">
        <v>443</v>
      </c>
      <c r="Q13" s="38" t="s">
        <v>449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0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425</v>
      </c>
      <c r="K14" s="36" t="s">
        <v>443</v>
      </c>
      <c r="Q14" s="38" t="s">
        <v>449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0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427</v>
      </c>
      <c r="K15" s="36" t="s">
        <v>443</v>
      </c>
      <c r="Q15" s="38" t="s">
        <v>449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0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431</v>
      </c>
      <c r="K16" s="36" t="s">
        <v>443</v>
      </c>
      <c r="Q16" s="38" t="s">
        <v>449</v>
      </c>
      <c r="S16" s="62">
        <v>10</v>
      </c>
      <c r="AG16" s="35">
        <v>1</v>
      </c>
    </row>
    <row r="17" spans="1:33" x14ac:dyDescent="0.15">
      <c r="A17" s="34">
        <f t="shared" si="0"/>
        <v>213010001</v>
      </c>
      <c r="B17" s="36">
        <v>21</v>
      </c>
      <c r="C17" s="36">
        <v>3</v>
      </c>
      <c r="D17" s="36">
        <v>1</v>
      </c>
      <c r="E17" s="36">
        <v>0</v>
      </c>
      <c r="F17" s="39">
        <f t="shared" si="1"/>
        <v>1</v>
      </c>
      <c r="G17" s="74"/>
      <c r="H17" s="62">
        <v>1</v>
      </c>
      <c r="J17" s="35" t="s">
        <v>432</v>
      </c>
      <c r="K17" s="36" t="s">
        <v>443</v>
      </c>
      <c r="Q17" s="38" t="s">
        <v>449</v>
      </c>
      <c r="S17" s="62">
        <v>500</v>
      </c>
      <c r="AG17" s="35">
        <v>1</v>
      </c>
    </row>
    <row r="18" spans="1:33" x14ac:dyDescent="0.15">
      <c r="A18" s="34">
        <f t="shared" si="0"/>
        <v>213020001</v>
      </c>
      <c r="B18" s="36">
        <v>21</v>
      </c>
      <c r="C18" s="36">
        <v>3</v>
      </c>
      <c r="D18" s="39">
        <v>2</v>
      </c>
      <c r="E18" s="36">
        <v>0</v>
      </c>
      <c r="F18" s="39">
        <f t="shared" si="1"/>
        <v>1</v>
      </c>
      <c r="G18" s="74"/>
      <c r="H18" s="38">
        <v>1</v>
      </c>
      <c r="J18" s="35" t="s">
        <v>433</v>
      </c>
      <c r="K18" s="36" t="s">
        <v>443</v>
      </c>
      <c r="Q18" s="38" t="s">
        <v>449</v>
      </c>
      <c r="S18" s="38">
        <v>1000</v>
      </c>
      <c r="AG18" s="35">
        <v>1</v>
      </c>
    </row>
    <row r="19" spans="1:33" x14ac:dyDescent="0.15">
      <c r="A19" s="34">
        <f t="shared" si="0"/>
        <v>213030001</v>
      </c>
      <c r="B19" s="36">
        <v>21</v>
      </c>
      <c r="C19" s="36">
        <v>3</v>
      </c>
      <c r="D19" s="36">
        <v>3</v>
      </c>
      <c r="E19" s="36">
        <v>0</v>
      </c>
      <c r="F19" s="39">
        <f t="shared" si="1"/>
        <v>1</v>
      </c>
      <c r="G19" s="74"/>
      <c r="H19" s="62">
        <v>1</v>
      </c>
      <c r="J19" s="35" t="s">
        <v>434</v>
      </c>
      <c r="K19" s="36" t="s">
        <v>443</v>
      </c>
      <c r="Q19" s="38" t="s">
        <v>449</v>
      </c>
      <c r="S19" s="38">
        <v>1000</v>
      </c>
      <c r="AG19" s="35">
        <v>1</v>
      </c>
    </row>
    <row r="20" spans="1:33" x14ac:dyDescent="0.15">
      <c r="A20" s="34">
        <f t="shared" si="0"/>
        <v>213040001</v>
      </c>
      <c r="B20" s="36">
        <v>21</v>
      </c>
      <c r="C20" s="36">
        <v>3</v>
      </c>
      <c r="D20" s="39">
        <v>4</v>
      </c>
      <c r="E20" s="36">
        <v>0</v>
      </c>
      <c r="F20" s="39">
        <f t="shared" si="1"/>
        <v>1</v>
      </c>
      <c r="G20" s="74"/>
      <c r="H20" s="62">
        <v>1</v>
      </c>
      <c r="J20" s="35" t="s">
        <v>435</v>
      </c>
      <c r="K20" s="36" t="s">
        <v>443</v>
      </c>
      <c r="Q20" s="38" t="s">
        <v>449</v>
      </c>
      <c r="S20" s="38">
        <v>1000</v>
      </c>
      <c r="AG20" s="35">
        <v>1</v>
      </c>
    </row>
    <row r="21" spans="1:33" x14ac:dyDescent="0.15">
      <c r="A21" s="34">
        <f t="shared" si="0"/>
        <v>213050001</v>
      </c>
      <c r="B21" s="36">
        <v>21</v>
      </c>
      <c r="C21" s="36">
        <v>3</v>
      </c>
      <c r="D21" s="36">
        <v>5</v>
      </c>
      <c r="E21" s="36">
        <v>0</v>
      </c>
      <c r="F21" s="39">
        <f>H21</f>
        <v>1</v>
      </c>
      <c r="G21" s="74"/>
      <c r="H21" s="62">
        <v>1</v>
      </c>
      <c r="J21" s="35" t="s">
        <v>510</v>
      </c>
      <c r="K21" s="36" t="s">
        <v>443</v>
      </c>
      <c r="Q21" s="38" t="s">
        <v>544</v>
      </c>
      <c r="S21" s="38">
        <v>1000</v>
      </c>
    </row>
    <row r="22" spans="1:33" x14ac:dyDescent="0.15">
      <c r="A22" s="34">
        <f t="shared" si="0"/>
        <v>213060001</v>
      </c>
      <c r="B22" s="36">
        <v>21</v>
      </c>
      <c r="C22" s="36">
        <v>3</v>
      </c>
      <c r="D22" s="39">
        <v>6</v>
      </c>
      <c r="E22" s="36">
        <v>0</v>
      </c>
      <c r="F22" s="39">
        <f t="shared" ref="F22:F49" si="2">H22</f>
        <v>1</v>
      </c>
      <c r="G22" s="74"/>
      <c r="H22" s="62">
        <v>1</v>
      </c>
      <c r="J22" s="35" t="s">
        <v>511</v>
      </c>
      <c r="K22" s="36" t="s">
        <v>443</v>
      </c>
      <c r="Q22" s="38" t="s">
        <v>544</v>
      </c>
      <c r="S22" s="38">
        <v>1000</v>
      </c>
    </row>
    <row r="23" spans="1:33" x14ac:dyDescent="0.15">
      <c r="A23" s="34">
        <f t="shared" si="0"/>
        <v>213070001</v>
      </c>
      <c r="B23" s="36">
        <v>21</v>
      </c>
      <c r="C23" s="36">
        <v>3</v>
      </c>
      <c r="D23" s="36">
        <v>7</v>
      </c>
      <c r="E23" s="36">
        <v>0</v>
      </c>
      <c r="F23" s="39">
        <f t="shared" si="2"/>
        <v>1</v>
      </c>
      <c r="G23" s="74"/>
      <c r="H23" s="62">
        <v>1</v>
      </c>
      <c r="J23" s="35" t="s">
        <v>512</v>
      </c>
      <c r="K23" s="36" t="s">
        <v>443</v>
      </c>
      <c r="Q23" s="38" t="s">
        <v>544</v>
      </c>
      <c r="S23" s="38">
        <v>1000</v>
      </c>
    </row>
    <row r="24" spans="1:33" x14ac:dyDescent="0.15">
      <c r="A24" s="34">
        <f t="shared" si="0"/>
        <v>213080001</v>
      </c>
      <c r="B24" s="36">
        <v>21</v>
      </c>
      <c r="C24" s="36">
        <v>3</v>
      </c>
      <c r="D24" s="39">
        <v>8</v>
      </c>
      <c r="E24" s="36">
        <v>0</v>
      </c>
      <c r="F24" s="39">
        <f t="shared" si="2"/>
        <v>1</v>
      </c>
      <c r="G24" s="74"/>
      <c r="H24" s="62">
        <v>1</v>
      </c>
      <c r="J24" s="35" t="s">
        <v>519</v>
      </c>
      <c r="K24" s="36" t="s">
        <v>443</v>
      </c>
      <c r="Q24" s="38" t="s">
        <v>544</v>
      </c>
      <c r="S24" s="38">
        <v>1000</v>
      </c>
    </row>
    <row r="25" spans="1:33" x14ac:dyDescent="0.15">
      <c r="A25" s="34">
        <f t="shared" si="0"/>
        <v>213090001</v>
      </c>
      <c r="B25" s="36">
        <v>21</v>
      </c>
      <c r="C25" s="36">
        <v>3</v>
      </c>
      <c r="D25" s="36">
        <v>9</v>
      </c>
      <c r="E25" s="36">
        <v>0</v>
      </c>
      <c r="F25" s="39">
        <f t="shared" si="2"/>
        <v>1</v>
      </c>
      <c r="G25" s="74"/>
      <c r="H25" s="62">
        <v>1</v>
      </c>
      <c r="J25" s="35" t="s">
        <v>513</v>
      </c>
      <c r="K25" s="36" t="s">
        <v>443</v>
      </c>
      <c r="Q25" s="38" t="s">
        <v>544</v>
      </c>
      <c r="S25" s="38">
        <v>1000</v>
      </c>
    </row>
    <row r="26" spans="1:33" x14ac:dyDescent="0.15">
      <c r="A26" s="34">
        <f t="shared" si="0"/>
        <v>213100001</v>
      </c>
      <c r="B26" s="36">
        <v>21</v>
      </c>
      <c r="C26" s="36">
        <v>3</v>
      </c>
      <c r="D26" s="39">
        <v>10</v>
      </c>
      <c r="E26" s="36">
        <v>0</v>
      </c>
      <c r="F26" s="39">
        <f t="shared" si="2"/>
        <v>1</v>
      </c>
      <c r="G26" s="74"/>
      <c r="H26" s="62">
        <v>1</v>
      </c>
      <c r="J26" s="35" t="s">
        <v>514</v>
      </c>
      <c r="K26" s="36" t="s">
        <v>443</v>
      </c>
      <c r="Q26" s="38" t="s">
        <v>544</v>
      </c>
      <c r="S26" s="38">
        <v>1000</v>
      </c>
    </row>
    <row r="27" spans="1:33" x14ac:dyDescent="0.15">
      <c r="A27" s="34">
        <f t="shared" si="0"/>
        <v>213110001</v>
      </c>
      <c r="B27" s="36">
        <v>21</v>
      </c>
      <c r="C27" s="36">
        <v>3</v>
      </c>
      <c r="D27" s="36">
        <v>11</v>
      </c>
      <c r="E27" s="36">
        <v>0</v>
      </c>
      <c r="F27" s="39">
        <f t="shared" si="2"/>
        <v>1</v>
      </c>
      <c r="G27" s="74"/>
      <c r="H27" s="62">
        <v>1</v>
      </c>
      <c r="J27" s="35" t="s">
        <v>515</v>
      </c>
      <c r="K27" s="36" t="s">
        <v>443</v>
      </c>
      <c r="Q27" s="38" t="s">
        <v>544</v>
      </c>
      <c r="S27" s="38">
        <v>1000</v>
      </c>
    </row>
    <row r="28" spans="1:33" x14ac:dyDescent="0.15">
      <c r="A28" s="34">
        <f t="shared" si="0"/>
        <v>213120001</v>
      </c>
      <c r="B28" s="36">
        <v>21</v>
      </c>
      <c r="C28" s="36">
        <v>3</v>
      </c>
      <c r="D28" s="39">
        <v>12</v>
      </c>
      <c r="E28" s="36">
        <v>0</v>
      </c>
      <c r="F28" s="39">
        <f t="shared" si="2"/>
        <v>1</v>
      </c>
      <c r="G28" s="74"/>
      <c r="H28" s="62">
        <v>1</v>
      </c>
      <c r="J28" s="35" t="s">
        <v>524</v>
      </c>
      <c r="K28" s="36" t="s">
        <v>443</v>
      </c>
      <c r="Q28" s="38" t="s">
        <v>544</v>
      </c>
      <c r="S28" s="38">
        <v>1000</v>
      </c>
    </row>
    <row r="29" spans="1:33" x14ac:dyDescent="0.15">
      <c r="A29" s="34">
        <f t="shared" si="0"/>
        <v>213130001</v>
      </c>
      <c r="B29" s="36">
        <v>21</v>
      </c>
      <c r="C29" s="36">
        <v>3</v>
      </c>
      <c r="D29" s="36">
        <v>13</v>
      </c>
      <c r="E29" s="36">
        <v>0</v>
      </c>
      <c r="F29" s="39">
        <f t="shared" si="2"/>
        <v>1</v>
      </c>
      <c r="G29" s="74"/>
      <c r="H29" s="62">
        <v>1</v>
      </c>
      <c r="J29" s="35" t="s">
        <v>527</v>
      </c>
      <c r="K29" s="36" t="s">
        <v>443</v>
      </c>
      <c r="Q29" s="38" t="s">
        <v>544</v>
      </c>
      <c r="S29" s="38">
        <v>1000</v>
      </c>
    </row>
    <row r="30" spans="1:33" x14ac:dyDescent="0.15">
      <c r="A30" s="34">
        <f t="shared" si="0"/>
        <v>213140001</v>
      </c>
      <c r="B30" s="36">
        <v>21</v>
      </c>
      <c r="C30" s="36">
        <v>3</v>
      </c>
      <c r="D30" s="39">
        <v>14</v>
      </c>
      <c r="E30" s="36">
        <v>0</v>
      </c>
      <c r="F30" s="39">
        <f t="shared" si="2"/>
        <v>1</v>
      </c>
      <c r="G30" s="74"/>
      <c r="H30" s="62">
        <v>1</v>
      </c>
      <c r="J30" s="35" t="s">
        <v>528</v>
      </c>
      <c r="K30" s="36" t="s">
        <v>443</v>
      </c>
      <c r="Q30" s="38" t="s">
        <v>544</v>
      </c>
      <c r="S30" s="38">
        <v>1000</v>
      </c>
    </row>
    <row r="31" spans="1:33" x14ac:dyDescent="0.15">
      <c r="A31" s="34">
        <f t="shared" si="0"/>
        <v>213150001</v>
      </c>
      <c r="B31" s="36">
        <v>21</v>
      </c>
      <c r="C31" s="36">
        <v>3</v>
      </c>
      <c r="D31" s="36">
        <v>15</v>
      </c>
      <c r="E31" s="36">
        <v>0</v>
      </c>
      <c r="F31" s="39">
        <f t="shared" si="2"/>
        <v>1</v>
      </c>
      <c r="G31" s="74"/>
      <c r="H31" s="62">
        <v>1</v>
      </c>
      <c r="J31" s="35" t="s">
        <v>535</v>
      </c>
      <c r="K31" s="36" t="s">
        <v>443</v>
      </c>
      <c r="Q31" s="38" t="s">
        <v>544</v>
      </c>
      <c r="S31" s="38">
        <v>1000</v>
      </c>
    </row>
    <row r="32" spans="1:33" x14ac:dyDescent="0.15">
      <c r="A32" s="34">
        <f t="shared" si="0"/>
        <v>213160000</v>
      </c>
      <c r="B32" s="36">
        <v>21</v>
      </c>
      <c r="C32" s="36">
        <v>3</v>
      </c>
      <c r="D32" s="39">
        <v>16</v>
      </c>
      <c r="E32" s="36">
        <v>0</v>
      </c>
      <c r="F32" s="39">
        <f t="shared" si="2"/>
        <v>0</v>
      </c>
      <c r="G32" s="74"/>
      <c r="H32" s="62"/>
      <c r="J32" s="35" t="s">
        <v>542</v>
      </c>
      <c r="K32" s="36" t="s">
        <v>443</v>
      </c>
      <c r="Q32" s="38" t="s">
        <v>544</v>
      </c>
      <c r="S32" s="38">
        <v>1000</v>
      </c>
    </row>
    <row r="33" spans="1:33" x14ac:dyDescent="0.15">
      <c r="A33" s="34">
        <f t="shared" si="0"/>
        <v>213170001</v>
      </c>
      <c r="B33" s="36">
        <v>21</v>
      </c>
      <c r="C33" s="36">
        <v>3</v>
      </c>
      <c r="D33" s="36">
        <v>17</v>
      </c>
      <c r="E33" s="36">
        <v>0</v>
      </c>
      <c r="F33" s="39">
        <f t="shared" si="2"/>
        <v>1</v>
      </c>
      <c r="G33" s="74"/>
      <c r="H33" s="62">
        <v>1</v>
      </c>
      <c r="J33" s="35" t="s">
        <v>537</v>
      </c>
      <c r="K33" s="36" t="s">
        <v>443</v>
      </c>
      <c r="Q33" s="38" t="s">
        <v>544</v>
      </c>
      <c r="S33" s="38">
        <v>1000</v>
      </c>
    </row>
    <row r="34" spans="1:33" x14ac:dyDescent="0.15">
      <c r="A34" s="34">
        <f t="shared" si="0"/>
        <v>213180001</v>
      </c>
      <c r="B34" s="36">
        <v>21</v>
      </c>
      <c r="C34" s="36">
        <v>3</v>
      </c>
      <c r="D34" s="39">
        <v>18</v>
      </c>
      <c r="E34" s="36">
        <v>0</v>
      </c>
      <c r="F34" s="39">
        <f t="shared" si="2"/>
        <v>1</v>
      </c>
      <c r="G34" s="74"/>
      <c r="H34" s="62">
        <v>1</v>
      </c>
      <c r="J34" s="35" t="s">
        <v>538</v>
      </c>
      <c r="K34" s="36" t="s">
        <v>443</v>
      </c>
      <c r="Q34" s="38" t="s">
        <v>544</v>
      </c>
      <c r="S34" s="38">
        <v>1000</v>
      </c>
    </row>
    <row r="35" spans="1:33" x14ac:dyDescent="0.15">
      <c r="A35" s="34">
        <f t="shared" si="0"/>
        <v>213190001</v>
      </c>
      <c r="B35" s="36">
        <v>21</v>
      </c>
      <c r="C35" s="36">
        <v>3</v>
      </c>
      <c r="D35" s="36">
        <v>19</v>
      </c>
      <c r="E35" s="36">
        <v>0</v>
      </c>
      <c r="F35" s="39">
        <f t="shared" si="2"/>
        <v>1</v>
      </c>
      <c r="G35" s="74"/>
      <c r="H35" s="62">
        <v>1</v>
      </c>
      <c r="J35" s="35" t="s">
        <v>540</v>
      </c>
      <c r="K35" s="36" t="s">
        <v>443</v>
      </c>
      <c r="Q35" s="38" t="s">
        <v>544</v>
      </c>
      <c r="S35" s="38">
        <v>1000</v>
      </c>
    </row>
    <row r="36" spans="1:33" x14ac:dyDescent="0.15">
      <c r="A36" s="34">
        <f t="shared" si="0"/>
        <v>214010001</v>
      </c>
      <c r="B36" s="36">
        <v>21</v>
      </c>
      <c r="C36" s="36">
        <v>4</v>
      </c>
      <c r="D36" s="36">
        <v>1</v>
      </c>
      <c r="E36" s="36">
        <v>0</v>
      </c>
      <c r="F36" s="39">
        <f t="shared" si="2"/>
        <v>1</v>
      </c>
      <c r="G36" s="74"/>
      <c r="H36" s="62">
        <v>1</v>
      </c>
      <c r="J36" s="35" t="s">
        <v>436</v>
      </c>
      <c r="K36" s="36" t="s">
        <v>443</v>
      </c>
      <c r="Q36" s="38" t="s">
        <v>449</v>
      </c>
      <c r="S36" s="38">
        <v>10</v>
      </c>
      <c r="AG36" s="35">
        <v>1</v>
      </c>
    </row>
    <row r="37" spans="1:33" x14ac:dyDescent="0.15">
      <c r="A37" s="34">
        <f t="shared" si="0"/>
        <v>214020001</v>
      </c>
      <c r="B37" s="36">
        <v>21</v>
      </c>
      <c r="C37" s="36">
        <v>4</v>
      </c>
      <c r="D37" s="36">
        <v>2</v>
      </c>
      <c r="E37" s="36">
        <v>0</v>
      </c>
      <c r="F37" s="39">
        <f t="shared" si="2"/>
        <v>1</v>
      </c>
      <c r="G37" s="74"/>
      <c r="H37" s="38">
        <v>1</v>
      </c>
      <c r="J37" s="35" t="s">
        <v>437</v>
      </c>
      <c r="K37" s="36" t="s">
        <v>443</v>
      </c>
      <c r="Q37" s="38" t="s">
        <v>449</v>
      </c>
      <c r="S37" s="62">
        <v>10</v>
      </c>
      <c r="AG37" s="35">
        <v>1</v>
      </c>
    </row>
    <row r="38" spans="1:33" x14ac:dyDescent="0.15">
      <c r="A38" s="34">
        <f t="shared" si="0"/>
        <v>214030001</v>
      </c>
      <c r="B38" s="36">
        <v>21</v>
      </c>
      <c r="C38" s="36">
        <v>4</v>
      </c>
      <c r="D38" s="36">
        <v>3</v>
      </c>
      <c r="E38" s="36">
        <v>0</v>
      </c>
      <c r="F38" s="39">
        <f t="shared" si="2"/>
        <v>1</v>
      </c>
      <c r="G38" s="74"/>
      <c r="H38" s="62">
        <v>1</v>
      </c>
      <c r="J38" s="35" t="s">
        <v>438</v>
      </c>
      <c r="K38" s="36" t="s">
        <v>443</v>
      </c>
      <c r="Q38" s="38" t="s">
        <v>449</v>
      </c>
      <c r="S38" s="62">
        <v>10</v>
      </c>
      <c r="AG38" s="35">
        <v>1</v>
      </c>
    </row>
    <row r="39" spans="1:33" x14ac:dyDescent="0.15">
      <c r="A39" s="34">
        <f t="shared" si="0"/>
        <v>214040001</v>
      </c>
      <c r="B39" s="36">
        <v>21</v>
      </c>
      <c r="C39" s="36">
        <v>4</v>
      </c>
      <c r="D39" s="36">
        <v>4</v>
      </c>
      <c r="E39" s="36">
        <v>0</v>
      </c>
      <c r="F39" s="39">
        <f t="shared" si="2"/>
        <v>1</v>
      </c>
      <c r="G39" s="74"/>
      <c r="H39" s="62">
        <v>1</v>
      </c>
      <c r="J39" s="35" t="s">
        <v>439</v>
      </c>
      <c r="K39" s="36" t="s">
        <v>443</v>
      </c>
      <c r="Q39" s="38" t="s">
        <v>449</v>
      </c>
      <c r="S39" s="38">
        <v>10</v>
      </c>
      <c r="AG39" s="35">
        <v>1</v>
      </c>
    </row>
    <row r="40" spans="1:33" ht="17.25" thickBot="1" x14ac:dyDescent="0.2">
      <c r="A40" s="34">
        <f t="shared" si="0"/>
        <v>214050001</v>
      </c>
      <c r="B40" s="36">
        <v>21</v>
      </c>
      <c r="C40" s="36">
        <v>4</v>
      </c>
      <c r="D40" s="36">
        <v>5</v>
      </c>
      <c r="E40" s="36">
        <v>0</v>
      </c>
      <c r="F40" s="39">
        <f t="shared" si="2"/>
        <v>1</v>
      </c>
      <c r="G40" s="74"/>
      <c r="H40" s="62">
        <v>1</v>
      </c>
      <c r="J40" s="35" t="s">
        <v>440</v>
      </c>
      <c r="K40" s="36" t="s">
        <v>443</v>
      </c>
      <c r="Q40" s="38" t="s">
        <v>449</v>
      </c>
      <c r="S40" s="62">
        <v>10</v>
      </c>
      <c r="AG40" s="35">
        <v>1</v>
      </c>
    </row>
    <row r="41" spans="1:33" x14ac:dyDescent="0.15">
      <c r="A41" s="34">
        <f t="shared" si="0"/>
        <v>214060001</v>
      </c>
      <c r="B41" s="36">
        <v>21</v>
      </c>
      <c r="C41" s="36">
        <v>4</v>
      </c>
      <c r="D41" s="36">
        <v>6</v>
      </c>
      <c r="E41" s="36">
        <v>0</v>
      </c>
      <c r="F41" s="39">
        <f t="shared" si="2"/>
        <v>1</v>
      </c>
      <c r="G41" s="73"/>
      <c r="H41" s="38">
        <v>1</v>
      </c>
      <c r="J41" s="35" t="s">
        <v>441</v>
      </c>
      <c r="K41" s="36" t="s">
        <v>443</v>
      </c>
      <c r="Q41" s="38" t="s">
        <v>449</v>
      </c>
      <c r="S41" s="62">
        <v>10</v>
      </c>
      <c r="AG41" s="35">
        <v>1</v>
      </c>
    </row>
    <row r="42" spans="1:33" x14ac:dyDescent="0.15">
      <c r="A42" s="34">
        <f t="shared" si="0"/>
        <v>215070001</v>
      </c>
      <c r="B42" s="36">
        <v>21</v>
      </c>
      <c r="C42" s="36">
        <v>5</v>
      </c>
      <c r="D42" s="36">
        <v>7</v>
      </c>
      <c r="E42" s="36">
        <v>0</v>
      </c>
      <c r="F42" s="39">
        <f t="shared" si="2"/>
        <v>1</v>
      </c>
      <c r="G42" s="74"/>
      <c r="H42" s="62">
        <v>1</v>
      </c>
      <c r="J42" s="35" t="s">
        <v>422</v>
      </c>
      <c r="K42" s="36" t="s">
        <v>445</v>
      </c>
      <c r="Q42" s="38" t="s">
        <v>449</v>
      </c>
      <c r="S42" s="38">
        <v>10</v>
      </c>
      <c r="AG42" s="35">
        <v>1</v>
      </c>
    </row>
    <row r="43" spans="1:33" x14ac:dyDescent="0.15">
      <c r="A43" s="34">
        <f t="shared" si="0"/>
        <v>215020001</v>
      </c>
      <c r="B43" s="36">
        <v>21</v>
      </c>
      <c r="C43" s="36">
        <v>5</v>
      </c>
      <c r="D43" s="36">
        <v>2</v>
      </c>
      <c r="E43" s="36">
        <v>0</v>
      </c>
      <c r="F43" s="39">
        <f t="shared" si="2"/>
        <v>1</v>
      </c>
      <c r="G43" s="74"/>
      <c r="H43" s="62">
        <v>1</v>
      </c>
      <c r="J43" s="35" t="s">
        <v>424</v>
      </c>
      <c r="K43" s="36" t="s">
        <v>445</v>
      </c>
      <c r="Q43" s="38" t="s">
        <v>449</v>
      </c>
      <c r="S43" s="62">
        <v>10</v>
      </c>
      <c r="AG43" s="35">
        <v>1</v>
      </c>
    </row>
    <row r="44" spans="1:33" x14ac:dyDescent="0.15">
      <c r="A44" s="34">
        <f t="shared" si="0"/>
        <v>215030001</v>
      </c>
      <c r="B44" s="36">
        <v>21</v>
      </c>
      <c r="C44" s="36">
        <v>5</v>
      </c>
      <c r="D44" s="36">
        <v>3</v>
      </c>
      <c r="E44" s="36">
        <v>0</v>
      </c>
      <c r="F44" s="39">
        <f t="shared" si="2"/>
        <v>1</v>
      </c>
      <c r="G44" s="74"/>
      <c r="H44" s="62">
        <v>1</v>
      </c>
      <c r="J44" s="35" t="s">
        <v>423</v>
      </c>
      <c r="K44" s="36" t="s">
        <v>444</v>
      </c>
      <c r="Q44" s="38" t="s">
        <v>449</v>
      </c>
      <c r="S44" s="62">
        <v>10</v>
      </c>
      <c r="AG44" s="35">
        <v>1</v>
      </c>
    </row>
    <row r="45" spans="1:33" x14ac:dyDescent="0.15">
      <c r="A45" s="34">
        <f t="shared" si="0"/>
        <v>215040001</v>
      </c>
      <c r="B45" s="36">
        <v>21</v>
      </c>
      <c r="C45" s="36">
        <v>5</v>
      </c>
      <c r="D45" s="36">
        <v>4</v>
      </c>
      <c r="E45" s="36">
        <v>0</v>
      </c>
      <c r="F45" s="39">
        <f t="shared" si="2"/>
        <v>1</v>
      </c>
      <c r="G45" s="74"/>
      <c r="H45" s="38">
        <v>1</v>
      </c>
      <c r="J45" s="35" t="s">
        <v>426</v>
      </c>
      <c r="K45" s="36" t="s">
        <v>444</v>
      </c>
      <c r="Q45" s="38" t="s">
        <v>449</v>
      </c>
      <c r="S45" s="38">
        <v>10</v>
      </c>
      <c r="AG45" s="35">
        <v>1</v>
      </c>
    </row>
    <row r="46" spans="1:33" x14ac:dyDescent="0.15">
      <c r="A46" s="34">
        <f t="shared" si="0"/>
        <v>215050001</v>
      </c>
      <c r="B46" s="36">
        <v>21</v>
      </c>
      <c r="C46" s="36">
        <v>5</v>
      </c>
      <c r="D46" s="36">
        <v>5</v>
      </c>
      <c r="E46" s="36">
        <v>0</v>
      </c>
      <c r="F46" s="39">
        <f t="shared" si="2"/>
        <v>1</v>
      </c>
      <c r="G46" s="74"/>
      <c r="H46" s="62">
        <v>1</v>
      </c>
      <c r="J46" s="35" t="s">
        <v>428</v>
      </c>
      <c r="K46" s="36" t="s">
        <v>444</v>
      </c>
      <c r="Q46" s="38" t="s">
        <v>449</v>
      </c>
      <c r="S46" s="62">
        <v>10</v>
      </c>
      <c r="AG46" s="35">
        <v>1</v>
      </c>
    </row>
    <row r="47" spans="1:33" x14ac:dyDescent="0.15">
      <c r="A47" s="34">
        <f t="shared" si="0"/>
        <v>215060001</v>
      </c>
      <c r="B47" s="36">
        <v>21</v>
      </c>
      <c r="C47" s="36">
        <v>5</v>
      </c>
      <c r="D47" s="36">
        <v>6</v>
      </c>
      <c r="E47" s="36">
        <v>0</v>
      </c>
      <c r="F47" s="39">
        <f t="shared" si="2"/>
        <v>1</v>
      </c>
      <c r="G47" s="74"/>
      <c r="H47" s="62">
        <v>1</v>
      </c>
      <c r="J47" s="35" t="s">
        <v>430</v>
      </c>
      <c r="K47" s="36" t="s">
        <v>444</v>
      </c>
      <c r="Q47" s="38" t="s">
        <v>449</v>
      </c>
      <c r="S47" s="62">
        <v>10</v>
      </c>
      <c r="AG47" s="35">
        <v>1</v>
      </c>
    </row>
    <row r="48" spans="1:33" x14ac:dyDescent="0.15">
      <c r="A48" s="34">
        <f t="shared" si="0"/>
        <v>215070001</v>
      </c>
      <c r="B48" s="36">
        <v>21</v>
      </c>
      <c r="C48" s="36">
        <v>5</v>
      </c>
      <c r="D48" s="36">
        <v>7</v>
      </c>
      <c r="E48" s="36">
        <v>0</v>
      </c>
      <c r="F48" s="39">
        <f t="shared" si="2"/>
        <v>1</v>
      </c>
      <c r="G48" s="74"/>
      <c r="H48" s="62">
        <v>1</v>
      </c>
      <c r="J48" s="35" t="s">
        <v>471</v>
      </c>
      <c r="K48" s="36" t="s">
        <v>444</v>
      </c>
      <c r="Q48" s="38" t="s">
        <v>449</v>
      </c>
      <c r="S48" s="38">
        <v>10</v>
      </c>
      <c r="AG48" s="35">
        <v>1</v>
      </c>
    </row>
    <row r="49" spans="1:33" x14ac:dyDescent="0.15">
      <c r="A49" s="34">
        <f t="shared" si="0"/>
        <v>215080001</v>
      </c>
      <c r="B49" s="36">
        <v>21</v>
      </c>
      <c r="C49" s="36">
        <v>5</v>
      </c>
      <c r="D49" s="36">
        <v>8</v>
      </c>
      <c r="E49" s="36">
        <v>0</v>
      </c>
      <c r="F49" s="39">
        <f t="shared" si="2"/>
        <v>1</v>
      </c>
      <c r="G49" s="74"/>
      <c r="H49" s="38">
        <v>1</v>
      </c>
      <c r="J49" s="35" t="s">
        <v>507</v>
      </c>
      <c r="K49" s="36" t="s">
        <v>444</v>
      </c>
      <c r="Q49" s="38" t="s">
        <v>449</v>
      </c>
      <c r="S49" s="62">
        <v>10</v>
      </c>
      <c r="AG49" s="35">
        <v>1</v>
      </c>
    </row>
    <row r="50" spans="1:33" x14ac:dyDescent="0.15">
      <c r="G50" s="74"/>
      <c r="Q50" s="38" t="s">
        <v>449</v>
      </c>
      <c r="S50" s="62">
        <v>10</v>
      </c>
      <c r="AG50" s="35">
        <v>1</v>
      </c>
    </row>
    <row r="51" spans="1:33" x14ac:dyDescent="0.15">
      <c r="G51" s="74"/>
      <c r="Q51" s="38" t="s">
        <v>449</v>
      </c>
      <c r="S51" s="38">
        <v>10</v>
      </c>
      <c r="AG51" s="35">
        <v>1</v>
      </c>
    </row>
    <row r="52" spans="1:33" x14ac:dyDescent="0.15">
      <c r="G52" s="74"/>
    </row>
    <row r="53" spans="1:33" x14ac:dyDescent="0.15">
      <c r="G53" s="74"/>
    </row>
    <row r="54" spans="1:33" x14ac:dyDescent="0.15">
      <c r="G54" s="74"/>
    </row>
    <row r="55" spans="1:33" x14ac:dyDescent="0.15">
      <c r="G55" s="74"/>
    </row>
    <row r="56" spans="1:33" x14ac:dyDescent="0.15">
      <c r="G56" s="74"/>
    </row>
    <row r="57" spans="1:33" x14ac:dyDescent="0.15">
      <c r="G57" s="74"/>
    </row>
    <row r="58" spans="1:33" x14ac:dyDescent="0.15">
      <c r="G58" s="74"/>
    </row>
    <row r="59" spans="1:33" x14ac:dyDescent="0.15">
      <c r="G59" s="74"/>
    </row>
    <row r="60" spans="1:33" ht="17.25" thickBot="1" x14ac:dyDescent="0.2">
      <c r="G60" s="74"/>
    </row>
    <row r="61" spans="1:33" x14ac:dyDescent="0.15">
      <c r="G61" s="73"/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ht="17.25" thickBot="1" x14ac:dyDescent="0.2">
      <c r="G80" s="74"/>
    </row>
    <row r="81" spans="7:7" x14ac:dyDescent="0.15">
      <c r="G81" s="73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ht="17.25" thickBot="1" x14ac:dyDescent="0.2">
      <c r="G100" s="75"/>
    </row>
  </sheetData>
  <phoneticPr fontId="1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舰队构成规则</vt:lpstr>
      <vt:lpstr>静态数据ID规则</vt:lpstr>
      <vt:lpstr>命名说明</vt:lpstr>
      <vt:lpstr>BUILDING</vt:lpstr>
      <vt:lpstr>ITEM_RES</vt:lpstr>
      <vt:lpstr>EVENTS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2018-08-13T12:48:15Z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