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 concurrentCalc="0"/>
</workbook>
</file>

<file path=xl/calcChain.xml><?xml version="1.0" encoding="utf-8"?>
<calcChain xmlns="http://schemas.openxmlformats.org/spreadsheetml/2006/main">
  <c r="P6" i="57" l="1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5" i="57"/>
  <c r="A265" i="9"/>
  <c r="A19" i="53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491" i="9"/>
  <c r="AM490" i="9"/>
  <c r="AM489" i="9"/>
  <c r="AM488" i="9"/>
  <c r="AM487" i="9"/>
  <c r="AM486" i="9"/>
  <c r="AM485" i="9"/>
  <c r="AM451" i="9"/>
  <c r="AM450" i="9"/>
  <c r="AM449" i="9"/>
  <c r="AM448" i="9"/>
  <c r="AM447" i="9"/>
  <c r="AM446" i="9"/>
  <c r="AM445" i="9"/>
  <c r="AM411" i="9"/>
  <c r="AM410" i="9"/>
  <c r="AM409" i="9"/>
  <c r="AM408" i="9"/>
  <c r="AM407" i="9"/>
  <c r="AM406" i="9"/>
  <c r="AM405" i="9"/>
  <c r="AM314" i="9"/>
  <c r="AM313" i="9"/>
  <c r="AM312" i="9"/>
  <c r="AM311" i="9"/>
  <c r="AM310" i="9"/>
  <c r="AM309" i="9"/>
  <c r="AM308" i="9"/>
  <c r="AM307" i="9"/>
  <c r="AM306" i="9"/>
  <c r="AM305" i="9"/>
  <c r="AM17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BK24" i="9"/>
  <c r="BK23" i="9"/>
  <c r="BK22" i="9"/>
  <c r="BK21" i="9"/>
  <c r="BK20" i="9"/>
  <c r="BK19" i="9"/>
  <c r="BK18" i="9"/>
  <c r="BK17" i="9"/>
  <c r="BK16" i="9"/>
  <c r="BK15" i="9"/>
  <c r="BK14" i="9"/>
  <c r="BK13" i="9"/>
  <c r="BK12" i="9"/>
  <c r="BK11" i="9"/>
  <c r="BK10" i="9"/>
  <c r="BK9" i="9"/>
  <c r="BK8" i="9"/>
  <c r="BK7" i="9"/>
  <c r="BK6" i="9"/>
  <c r="BK5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BF14" i="9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F24" i="9"/>
  <c r="BF23" i="9"/>
  <c r="BF22" i="9"/>
  <c r="BF21" i="9"/>
  <c r="BF20" i="9"/>
  <c r="BF19" i="9"/>
  <c r="BF18" i="9"/>
  <c r="BF17" i="9"/>
  <c r="BF16" i="9"/>
  <c r="BF15" i="9"/>
  <c r="BF13" i="9"/>
  <c r="BF12" i="9"/>
  <c r="BF11" i="9"/>
  <c r="BF10" i="9"/>
  <c r="BF9" i="9"/>
  <c r="BF8" i="9"/>
  <c r="BF7" i="9"/>
  <c r="BF6" i="9"/>
  <c r="BF5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BA6" i="9"/>
  <c r="F8" i="30"/>
  <c r="A8" i="30"/>
  <c r="AV10" i="9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M444" i="9"/>
  <c r="AM443" i="9"/>
  <c r="AM442" i="9"/>
  <c r="AM441" i="9"/>
  <c r="AM440" i="9"/>
  <c r="AM439" i="9"/>
  <c r="AM438" i="9"/>
  <c r="AM437" i="9"/>
  <c r="AM436" i="9"/>
  <c r="AM435" i="9"/>
  <c r="AM434" i="9"/>
  <c r="AM433" i="9"/>
  <c r="AM432" i="9"/>
  <c r="AM431" i="9"/>
  <c r="AM430" i="9"/>
  <c r="AM429" i="9"/>
  <c r="AM428" i="9"/>
  <c r="AM427" i="9"/>
  <c r="AM426" i="9"/>
  <c r="AM425" i="9"/>
  <c r="AM251" i="9"/>
  <c r="AM250" i="9"/>
  <c r="AM249" i="9"/>
  <c r="AM248" i="9"/>
  <c r="AM247" i="9"/>
  <c r="AM246" i="9"/>
  <c r="AM245" i="9"/>
  <c r="AM244" i="9"/>
  <c r="AM243" i="9"/>
  <c r="AM242" i="9"/>
  <c r="AM241" i="9"/>
  <c r="AM240" i="9"/>
  <c r="AM239" i="9"/>
  <c r="AM238" i="9"/>
  <c r="AM237" i="9"/>
  <c r="AM236" i="9"/>
  <c r="AM235" i="9"/>
  <c r="AM234" i="9"/>
  <c r="AM233" i="9"/>
  <c r="AM232" i="9"/>
  <c r="AM231" i="9"/>
  <c r="AM230" i="9"/>
  <c r="AM229" i="9"/>
  <c r="AM228" i="9"/>
  <c r="AM227" i="9"/>
  <c r="AM226" i="9"/>
  <c r="AM225" i="9"/>
  <c r="AM170" i="9"/>
  <c r="AM169" i="9"/>
  <c r="AM168" i="9"/>
  <c r="AM167" i="9"/>
  <c r="AM166" i="9"/>
  <c r="AM165" i="9"/>
  <c r="AM151" i="9"/>
  <c r="AM150" i="9"/>
  <c r="AM149" i="9"/>
  <c r="AM148" i="9"/>
  <c r="AM147" i="9"/>
  <c r="AM146" i="9"/>
  <c r="AM145" i="9"/>
  <c r="AM144" i="9"/>
  <c r="AM143" i="9"/>
  <c r="AM142" i="9"/>
  <c r="AM141" i="9"/>
  <c r="AM140" i="9"/>
  <c r="AM139" i="9"/>
  <c r="AM138" i="9"/>
  <c r="AM137" i="9"/>
  <c r="AM136" i="9"/>
  <c r="AM135" i="9"/>
  <c r="AM134" i="9"/>
  <c r="AM133" i="9"/>
  <c r="AM132" i="9"/>
  <c r="AM131" i="9"/>
  <c r="AM130" i="9"/>
  <c r="AM129" i="9"/>
  <c r="AM128" i="9"/>
  <c r="AM127" i="9"/>
  <c r="AM126" i="9"/>
  <c r="AM125" i="9"/>
  <c r="AM111" i="9"/>
  <c r="AM110" i="9"/>
  <c r="AM109" i="9"/>
  <c r="AM108" i="9"/>
  <c r="AM107" i="9"/>
  <c r="AM106" i="9"/>
  <c r="AM105" i="9"/>
  <c r="AM91" i="9"/>
  <c r="AM90" i="9"/>
  <c r="AM89" i="9"/>
  <c r="AM88" i="9"/>
  <c r="AM87" i="9"/>
  <c r="AM86" i="9"/>
  <c r="AM85" i="9"/>
  <c r="AM64" i="9"/>
  <c r="AM63" i="9"/>
  <c r="AM62" i="9"/>
  <c r="AM61" i="9"/>
  <c r="AM60" i="9"/>
  <c r="AM59" i="9"/>
  <c r="AM58" i="9"/>
  <c r="AM57" i="9"/>
  <c r="AM56" i="9"/>
  <c r="AM55" i="9"/>
  <c r="AM54" i="9"/>
  <c r="AM53" i="9"/>
  <c r="AM52" i="9"/>
  <c r="AM51" i="9"/>
  <c r="AM50" i="9"/>
  <c r="AM49" i="9"/>
  <c r="AM48" i="9"/>
  <c r="AM47" i="9"/>
  <c r="AM46" i="9"/>
  <c r="AM45" i="9"/>
  <c r="AM44" i="9"/>
  <c r="AM43" i="9"/>
  <c r="AM42" i="9"/>
  <c r="AM41" i="9"/>
  <c r="AM40" i="9"/>
  <c r="AM39" i="9"/>
  <c r="AM38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M6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19" i="9"/>
  <c r="AV36" i="9"/>
  <c r="AV49" i="9"/>
  <c r="AV373" i="9"/>
  <c r="AV43" i="9"/>
  <c r="AV51" i="9"/>
  <c r="AV9" i="9"/>
  <c r="AV25" i="9"/>
  <c r="AV46" i="9"/>
  <c r="AV62" i="9"/>
  <c r="AV55" i="9"/>
  <c r="AV379" i="9"/>
  <c r="AV22" i="9"/>
  <c r="AV14" i="9"/>
  <c r="AV13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AI21" i="9"/>
  <c r="BM21" i="9"/>
  <c r="C22" i="9"/>
  <c r="F22" i="9"/>
  <c r="A22" i="9"/>
  <c r="AI22" i="9"/>
  <c r="BM22" i="9"/>
  <c r="C23" i="9"/>
  <c r="F23" i="9"/>
  <c r="AI23" i="9"/>
  <c r="BM23" i="9"/>
  <c r="AO23" i="9"/>
  <c r="C24" i="9"/>
  <c r="F24" i="9"/>
  <c r="AI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AI20" i="9"/>
  <c r="F20" i="9"/>
  <c r="A20" i="9"/>
  <c r="C20" i="9"/>
  <c r="BM19" i="9"/>
  <c r="AI19" i="9"/>
  <c r="F19" i="9"/>
  <c r="C19" i="9"/>
  <c r="A19" i="9"/>
  <c r="BM18" i="9"/>
  <c r="AO18" i="9"/>
  <c r="AI18" i="9"/>
  <c r="F18" i="9"/>
  <c r="C18" i="9"/>
  <c r="BM17" i="9"/>
  <c r="AI17" i="9"/>
  <c r="F17" i="9"/>
  <c r="C17" i="9"/>
  <c r="A17" i="9"/>
  <c r="BM16" i="9"/>
  <c r="AO16" i="9"/>
  <c r="AI16" i="9"/>
  <c r="F16" i="9"/>
  <c r="A16" i="9"/>
  <c r="C16" i="9"/>
  <c r="BM15" i="9"/>
  <c r="AI15" i="9"/>
  <c r="F15" i="9"/>
  <c r="C15" i="9"/>
  <c r="A15" i="9"/>
  <c r="BM14" i="9"/>
  <c r="AO14" i="9"/>
  <c r="AI14" i="9"/>
  <c r="F14" i="9"/>
  <c r="A14" i="9"/>
  <c r="C14" i="9"/>
  <c r="BM13" i="9"/>
  <c r="AI13" i="9"/>
  <c r="F13" i="9"/>
  <c r="C13" i="9"/>
  <c r="BM12" i="9"/>
  <c r="AO12" i="9"/>
  <c r="AI12" i="9"/>
  <c r="F12" i="9"/>
  <c r="A12" i="9"/>
  <c r="C12" i="9"/>
  <c r="BM11" i="9"/>
  <c r="AI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9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21" i="9"/>
  <c r="AV21" i="9"/>
  <c r="AF21" i="9"/>
  <c r="AE21" i="9"/>
  <c r="AQ22" i="9"/>
  <c r="AF22" i="9"/>
  <c r="AE22" i="9"/>
  <c r="AG22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19" i="9"/>
  <c r="AF19" i="9"/>
  <c r="AE19" i="9"/>
  <c r="AQ33" i="9"/>
  <c r="AQ11" i="9"/>
  <c r="AQ15" i="9"/>
  <c r="AQ10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7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12" i="9"/>
  <c r="AQ53" i="9"/>
  <c r="AQ8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16" i="9"/>
  <c r="AV16" i="9"/>
  <c r="AF16" i="9"/>
  <c r="AE16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18" i="9"/>
  <c r="AV18" i="9"/>
  <c r="AF18" i="9"/>
  <c r="AE1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20" i="9"/>
  <c r="AQ44" i="9"/>
  <c r="AQ61" i="9"/>
  <c r="AV61" i="9"/>
  <c r="AF61" i="9"/>
  <c r="AE61" i="9"/>
  <c r="AQ41" i="9"/>
  <c r="AQ82" i="9"/>
  <c r="AQ24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Q23" i="9"/>
  <c r="AF502" i="9"/>
  <c r="AE502" i="9"/>
  <c r="AQ54" i="9"/>
  <c r="AQ13" i="9"/>
  <c r="AF13" i="9"/>
  <c r="AE13" i="9"/>
  <c r="AQ14" i="9"/>
  <c r="AF14" i="9"/>
  <c r="AE14" i="9"/>
  <c r="AG1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17" i="9"/>
  <c r="AQ5" i="9"/>
  <c r="AQ26" i="9"/>
  <c r="AQ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8" i="9"/>
  <c r="AF8" i="9"/>
  <c r="AE8" i="9"/>
  <c r="AV12" i="9"/>
  <c r="AF12" i="9"/>
  <c r="AE12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11" i="9"/>
  <c r="AF11" i="9"/>
  <c r="AE11" i="9"/>
  <c r="AV378" i="9"/>
  <c r="AV367" i="9"/>
  <c r="AF367" i="9"/>
  <c r="AE367" i="9"/>
  <c r="AV45" i="9"/>
  <c r="AV20" i="9"/>
  <c r="AV6" i="9"/>
  <c r="AV5" i="9"/>
  <c r="W65" i="9"/>
  <c r="W76" i="9"/>
  <c r="AV32" i="9"/>
  <c r="AF32" i="9"/>
  <c r="AE32" i="9"/>
  <c r="AV376" i="9"/>
  <c r="AF376" i="9"/>
  <c r="AE376" i="9"/>
  <c r="AV23" i="9"/>
  <c r="AV29" i="9"/>
  <c r="W73" i="9"/>
  <c r="W84" i="9"/>
  <c r="AV31" i="9"/>
  <c r="AV17" i="9"/>
  <c r="AV7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AV24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15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0" i="9"/>
  <c r="AE10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9" i="9"/>
  <c r="AE9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5" i="9"/>
  <c r="AE5" i="9"/>
  <c r="AG5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15" i="9"/>
  <c r="AE15" i="9"/>
  <c r="AG15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F23" i="9"/>
  <c r="AE23" i="9"/>
  <c r="AG23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" i="9"/>
  <c r="AE6" i="9"/>
  <c r="AG6" i="9"/>
  <c r="AF24" i="9"/>
  <c r="AE24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7" i="9"/>
  <c r="AE7" i="9"/>
  <c r="AG8" i="9"/>
  <c r="AF20" i="9"/>
  <c r="AE20" i="9"/>
  <c r="AG21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F17" i="9"/>
  <c r="AE17" i="9"/>
  <c r="AG18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9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0" i="9"/>
  <c r="AG183" i="9"/>
  <c r="AG89" i="9"/>
  <c r="AG357" i="9"/>
  <c r="AG435" i="9"/>
  <c r="AG268" i="9"/>
  <c r="AG424" i="9"/>
  <c r="AG11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13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4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12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9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16" i="9"/>
  <c r="AG293" i="9"/>
  <c r="AG220" i="9"/>
  <c r="AG201" i="9"/>
  <c r="AG221" i="9"/>
  <c r="AG74" i="9"/>
  <c r="AG7" i="9"/>
  <c r="AG337" i="9"/>
  <c r="AG339" i="9"/>
  <c r="AG186" i="9"/>
  <c r="AG20" i="9"/>
  <c r="AG41" i="9"/>
  <c r="AG17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<sst xmlns="http://schemas.openxmlformats.org/spreadsheetml/2006/main" count="5505" uniqueCount="1455">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</sst>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0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558</v>
      </c>
    </row>
    <row r="16" spans="1:7" x14ac:dyDescent="0.15">
      <c r="B16" s="43">
        <v>2</v>
      </c>
      <c r="D16" s="43" t="s">
        <v>258</v>
      </c>
      <c r="F16" s="43" t="s">
        <v>559</v>
      </c>
    </row>
    <row r="17" spans="2:6" x14ac:dyDescent="0.15">
      <c r="B17" s="43">
        <v>3</v>
      </c>
      <c r="D17" s="43" t="s">
        <v>257</v>
      </c>
      <c r="F17" s="43" t="s">
        <v>652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576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475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abSelected="1" topLeftCell="A112" zoomScaleNormal="100" workbookViewId="0">
      <pane xSplit="12" topLeftCell="AP1" activePane="topRight" state="frozen"/>
      <selection pane="topRight" activeCell="AT138" sqref="AT138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55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981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1003</v>
      </c>
      <c r="AE1" s="55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982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471</v>
      </c>
      <c r="T2" s="9" t="s">
        <v>493</v>
      </c>
      <c r="U2" s="11" t="s">
        <v>61</v>
      </c>
      <c r="W2" s="11" t="s">
        <v>493</v>
      </c>
      <c r="Y2" s="9" t="s">
        <v>62</v>
      </c>
      <c r="Z2" s="9" t="s">
        <v>61</v>
      </c>
      <c r="AB2" s="11" t="s">
        <v>61</v>
      </c>
      <c r="AC2" s="55" t="s">
        <v>1002</v>
      </c>
      <c r="AE2" s="55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983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473</v>
      </c>
      <c r="T3" s="9" t="s">
        <v>519</v>
      </c>
      <c r="U3" s="11" t="s">
        <v>543</v>
      </c>
      <c r="W3" s="11" t="s">
        <v>494</v>
      </c>
      <c r="Y3" s="9" t="s">
        <v>335</v>
      </c>
      <c r="Z3" s="9" t="s">
        <v>340</v>
      </c>
      <c r="AB3" s="11" t="s">
        <v>411</v>
      </c>
      <c r="AC3" s="55" t="s">
        <v>1001</v>
      </c>
      <c r="AE3" s="55" t="s">
        <v>432</v>
      </c>
      <c r="AI3" s="31" t="s">
        <v>246</v>
      </c>
      <c r="AJ3" s="30"/>
      <c r="AK3" s="31" t="s">
        <v>413</v>
      </c>
      <c r="AL3" s="30"/>
      <c r="AM3" s="31" t="s">
        <v>474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544</v>
      </c>
      <c r="I4" s="27" t="s">
        <v>239</v>
      </c>
      <c r="J4" s="75" t="s">
        <v>352</v>
      </c>
      <c r="K4" s="27" t="s">
        <v>240</v>
      </c>
      <c r="L4" s="27" t="s">
        <v>984</v>
      </c>
      <c r="M4" s="27" t="s">
        <v>342</v>
      </c>
      <c r="N4" s="27" t="s">
        <v>354</v>
      </c>
      <c r="O4" s="27" t="s">
        <v>238</v>
      </c>
      <c r="P4" s="189" t="s">
        <v>323</v>
      </c>
      <c r="Q4" s="9" t="s">
        <v>472</v>
      </c>
      <c r="R4" s="75" t="s">
        <v>541</v>
      </c>
      <c r="S4" s="82" t="s">
        <v>523</v>
      </c>
      <c r="T4" s="27" t="s">
        <v>521</v>
      </c>
      <c r="U4" s="85" t="s">
        <v>551</v>
      </c>
      <c r="V4" s="82" t="s">
        <v>522</v>
      </c>
      <c r="W4" s="85" t="s">
        <v>520</v>
      </c>
      <c r="X4" s="75" t="s">
        <v>540</v>
      </c>
      <c r="Y4" s="27" t="s">
        <v>334</v>
      </c>
      <c r="Z4" s="27" t="s">
        <v>339</v>
      </c>
      <c r="AA4" s="75" t="s">
        <v>410</v>
      </c>
      <c r="AB4" s="85" t="s">
        <v>571</v>
      </c>
      <c r="AC4" s="86" t="s">
        <v>999</v>
      </c>
      <c r="AD4" s="75" t="s">
        <v>542</v>
      </c>
      <c r="AE4" s="86" t="s">
        <v>657</v>
      </c>
      <c r="AF4" s="87" t="s">
        <v>998</v>
      </c>
      <c r="AG4" s="177" t="s">
        <v>570</v>
      </c>
      <c r="AH4" s="75" t="s">
        <v>171</v>
      </c>
      <c r="AI4" s="64" t="s">
        <v>318</v>
      </c>
      <c r="AJ4" s="63" t="s">
        <v>996</v>
      </c>
      <c r="AK4" s="64" t="s">
        <v>412</v>
      </c>
      <c r="AL4" s="63" t="s">
        <v>995</v>
      </c>
      <c r="AM4" s="64" t="s">
        <v>419</v>
      </c>
      <c r="AN4" s="63" t="s">
        <v>997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1329</v>
      </c>
      <c r="L5" s="16">
        <v>1</v>
      </c>
      <c r="M5" s="16">
        <v>1</v>
      </c>
      <c r="N5" s="16">
        <v>15</v>
      </c>
      <c r="O5" s="16" t="s">
        <v>1073</v>
      </c>
      <c r="P5" s="56" t="s">
        <v>1337</v>
      </c>
      <c r="Q5" s="16" t="s">
        <v>669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524</v>
      </c>
      <c r="W5" s="18">
        <f ca="1">IFERROR(OFFSET(ITEM_RES!$A$5,MATCH(BUILDING!V5,ITEM_RES!$J$5:$J$229,0)-1,0),0)</f>
        <v>211010101</v>
      </c>
      <c r="X5" s="76"/>
      <c r="Y5" s="16" t="s">
        <v>495</v>
      </c>
      <c r="Z5" s="16">
        <v>1</v>
      </c>
      <c r="AA5" s="76"/>
      <c r="AB5" s="18">
        <f ca="1">IFERROR(OFFSET(MANOR_LEVEL!$B$1,MATCH(AC5-1,MANOR_LEVEL!$A:$A,0)-1,0),0)</f>
        <v>0</v>
      </c>
      <c r="AC5" s="56">
        <v>1</v>
      </c>
      <c r="AD5" s="76"/>
      <c r="AE5" s="56">
        <f t="shared" ref="AE5:AE24" ca="1" si="3">ROUND(AF5,0)</f>
        <v>1055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1055</v>
      </c>
      <c r="AG5" s="178">
        <f ca="1">AE5</f>
        <v>1055</v>
      </c>
      <c r="AH5" s="76"/>
      <c r="AI5" s="18">
        <f t="shared" ref="AI5:AI68" si="4">ROUND(AJ5,0)</f>
        <v>3</v>
      </c>
      <c r="AJ5" s="17">
        <v>3</v>
      </c>
      <c r="AK5" s="18">
        <f>ROUND(AL5,0)</f>
        <v>5</v>
      </c>
      <c r="AL5" s="17">
        <v>5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420</v>
      </c>
      <c r="AS5" s="18">
        <v>50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441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1329</v>
      </c>
      <c r="M6" s="9">
        <v>1</v>
      </c>
      <c r="N6" s="9">
        <v>15</v>
      </c>
      <c r="O6" s="9" t="s">
        <v>1073</v>
      </c>
      <c r="P6" s="55" t="s">
        <v>1337</v>
      </c>
      <c r="Q6" s="9" t="s">
        <v>664</v>
      </c>
      <c r="T6" s="9">
        <f ca="1">IFERROR(OFFSET(ITEM_RES!$A$5,MATCH(BUILDING!S6,ITEM_RES!$J$5:$J$229,0)-1,0),0)</f>
        <v>0</v>
      </c>
      <c r="V6" s="81" t="s">
        <v>524</v>
      </c>
      <c r="W6" s="11">
        <f ca="1">IFERROR(OFFSET(ITEM_RES!$A$5,MATCH(BUILDING!V6,ITEM_RES!$J$5:$J$229,0)-1,0),0)</f>
        <v>211010101</v>
      </c>
      <c r="Y6" s="9" t="s">
        <v>495</v>
      </c>
      <c r="Z6" s="9">
        <v>2</v>
      </c>
      <c r="AB6" s="11">
        <f ca="1">IFERROR(OFFSET(MANOR_LEVEL!$B$1,MATCH(AC6-1,MANOR_LEVEL!$A:$A,0)-1,0),0)</f>
        <v>0</v>
      </c>
      <c r="AC6" s="55">
        <v>1</v>
      </c>
      <c r="AE6" s="55">
        <f t="shared" ca="1" si="3"/>
        <v>110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110</v>
      </c>
      <c r="AG6" s="176">
        <f ca="1">AE5+AE6</f>
        <v>1165</v>
      </c>
      <c r="AI6" s="11">
        <f t="shared" si="4"/>
        <v>5</v>
      </c>
      <c r="AJ6" s="10">
        <v>5</v>
      </c>
      <c r="AK6" s="11">
        <f t="shared" ref="AK6:AM89" si="6">ROUND(AL6,0)</f>
        <v>10</v>
      </c>
      <c r="AL6" s="10">
        <v>10</v>
      </c>
      <c r="AM6" s="11">
        <f t="shared" si="6"/>
        <v>0</v>
      </c>
      <c r="AN6" s="10">
        <v>0</v>
      </c>
      <c r="AO6" s="55">
        <f t="shared" ref="AO6:AO69" si="7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420</v>
      </c>
      <c r="AS6" s="11">
        <v>100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1329</v>
      </c>
      <c r="M7" s="9">
        <v>1</v>
      </c>
      <c r="N7" s="9">
        <v>15</v>
      </c>
      <c r="O7" s="9" t="s">
        <v>1074</v>
      </c>
      <c r="P7" s="55" t="s">
        <v>1338</v>
      </c>
      <c r="Q7" s="9" t="s">
        <v>664</v>
      </c>
      <c r="T7" s="9">
        <f ca="1">IFERROR(OFFSET(ITEM_RES!$A$5,MATCH(BUILDING!S7,ITEM_RES!$J$5:$J$229,0)-1,0),0)</f>
        <v>0</v>
      </c>
      <c r="V7" s="81" t="s">
        <v>524</v>
      </c>
      <c r="W7" s="11">
        <f ca="1">IFERROR(OFFSET(ITEM_RES!$A$5,MATCH(BUILDING!V7,ITEM_RES!$J$5:$J$229,0)-1,0),0)</f>
        <v>211010101</v>
      </c>
      <c r="Y7" s="9" t="s">
        <v>495</v>
      </c>
      <c r="Z7" s="9">
        <v>3</v>
      </c>
      <c r="AB7" s="11">
        <f ca="1">IFERROR(OFFSET(MANOR_LEVEL!$B$1,MATCH(AC7-1,MANOR_LEVEL!$A:$A,0)-1,0),0)</f>
        <v>310</v>
      </c>
      <c r="AC7" s="55">
        <v>3</v>
      </c>
      <c r="AE7" s="55">
        <f t="shared" ca="1" si="3"/>
        <v>165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165</v>
      </c>
      <c r="AG7" s="176">
        <f t="shared" ref="AG7:AG24" ca="1" si="8">AE6+AE7</f>
        <v>275</v>
      </c>
      <c r="AI7" s="11">
        <f t="shared" si="4"/>
        <v>5</v>
      </c>
      <c r="AJ7" s="10">
        <v>5</v>
      </c>
      <c r="AK7" s="11">
        <f t="shared" si="6"/>
        <v>15</v>
      </c>
      <c r="AL7" s="10">
        <v>15</v>
      </c>
      <c r="AM7" s="11">
        <f t="shared" si="6"/>
        <v>0</v>
      </c>
      <c r="AN7" s="10">
        <v>0</v>
      </c>
      <c r="AO7" s="55">
        <f t="shared" si="7"/>
        <v>1</v>
      </c>
      <c r="AQ7" s="11">
        <f ca="1">IFERROR(OFFSET(ITEM_RES!$A$1,MATCH(AR7,ITEM_RES!$J:$J,0)-1,0),0)</f>
        <v>211010501</v>
      </c>
      <c r="AR7" s="10" t="s">
        <v>420</v>
      </c>
      <c r="AS7" s="11">
        <v>150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1329</v>
      </c>
      <c r="M8" s="9">
        <v>1</v>
      </c>
      <c r="N8" s="9">
        <v>15</v>
      </c>
      <c r="O8" s="9" t="s">
        <v>1075</v>
      </c>
      <c r="P8" s="55" t="s">
        <v>1338</v>
      </c>
      <c r="Q8" s="9" t="s">
        <v>665</v>
      </c>
      <c r="T8" s="9">
        <f ca="1">IFERROR(OFFSET(ITEM_RES!$A$5,MATCH(BUILDING!S8,ITEM_RES!$J$5:$J$229,0)-1,0),0)</f>
        <v>0</v>
      </c>
      <c r="V8" s="81" t="s">
        <v>524</v>
      </c>
      <c r="W8" s="11">
        <f ca="1">IFERROR(OFFSET(ITEM_RES!$A$5,MATCH(BUILDING!V8,ITEM_RES!$J$5:$J$229,0)-1,0),0)</f>
        <v>211010101</v>
      </c>
      <c r="Y8" s="9" t="s">
        <v>495</v>
      </c>
      <c r="Z8" s="9">
        <v>4</v>
      </c>
      <c r="AB8" s="11">
        <f ca="1">IFERROR(OFFSET(MANOR_LEVEL!$B$1,MATCH(AC8-1,MANOR_LEVEL!$A:$A,0)-1,0),0)</f>
        <v>310</v>
      </c>
      <c r="AC8" s="55">
        <v>3</v>
      </c>
      <c r="AE8" s="55">
        <f t="shared" ca="1" si="3"/>
        <v>625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625</v>
      </c>
      <c r="AG8" s="176">
        <f t="shared" ca="1" si="8"/>
        <v>790</v>
      </c>
      <c r="AI8" s="11">
        <f t="shared" si="4"/>
        <v>10</v>
      </c>
      <c r="AJ8" s="10">
        <v>10</v>
      </c>
      <c r="AK8" s="11">
        <f t="shared" si="6"/>
        <v>25</v>
      </c>
      <c r="AL8" s="10">
        <v>25</v>
      </c>
      <c r="AM8" s="11">
        <f t="shared" si="6"/>
        <v>0</v>
      </c>
      <c r="AN8" s="10">
        <v>0</v>
      </c>
      <c r="AO8" s="55">
        <f t="shared" si="7"/>
        <v>1</v>
      </c>
      <c r="AQ8" s="11">
        <f ca="1">IFERROR(OFFSET(ITEM_RES!$A$1,MATCH(AR8,ITEM_RES!$J:$J,0)-1,0),0)</f>
        <v>211010501</v>
      </c>
      <c r="AR8" s="10" t="s">
        <v>420</v>
      </c>
      <c r="AS8" s="11">
        <v>600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1329</v>
      </c>
      <c r="M9" s="9">
        <v>1</v>
      </c>
      <c r="N9" s="9">
        <v>15</v>
      </c>
      <c r="O9" s="9" t="s">
        <v>1076</v>
      </c>
      <c r="P9" s="55" t="s">
        <v>1339</v>
      </c>
      <c r="Q9" s="9" t="s">
        <v>665</v>
      </c>
      <c r="T9" s="9">
        <f ca="1">IFERROR(OFFSET(ITEM_RES!$A$5,MATCH(BUILDING!S9,ITEM_RES!$J$5:$J$229,0)-1,0),0)</f>
        <v>0</v>
      </c>
      <c r="V9" s="81" t="s">
        <v>524</v>
      </c>
      <c r="W9" s="11">
        <f ca="1">IFERROR(OFFSET(ITEM_RES!$A$5,MATCH(BUILDING!V9,ITEM_RES!$J$5:$J$229,0)-1,0),0)</f>
        <v>211010101</v>
      </c>
      <c r="Y9" s="9" t="s">
        <v>495</v>
      </c>
      <c r="Z9" s="9">
        <v>5</v>
      </c>
      <c r="AB9" s="11">
        <f ca="1">IFERROR(OFFSET(MANOR_LEVEL!$B$1,MATCH(AC9-1,MANOR_LEVEL!$A:$A,0)-1,0),0)</f>
        <v>930</v>
      </c>
      <c r="AC9" s="55">
        <v>4</v>
      </c>
      <c r="AE9" s="55">
        <f t="shared" ca="1" si="3"/>
        <v>2740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2740</v>
      </c>
      <c r="AG9" s="176">
        <f t="shared" ca="1" si="8"/>
        <v>3365</v>
      </c>
      <c r="AI9" s="11">
        <f t="shared" si="4"/>
        <v>15</v>
      </c>
      <c r="AJ9" s="10">
        <v>15</v>
      </c>
      <c r="AK9" s="11">
        <f t="shared" si="6"/>
        <v>40</v>
      </c>
      <c r="AL9" s="10">
        <v>40</v>
      </c>
      <c r="AM9" s="11">
        <f t="shared" si="6"/>
        <v>0</v>
      </c>
      <c r="AN9" s="10">
        <v>0</v>
      </c>
      <c r="AO9" s="55">
        <f t="shared" si="7"/>
        <v>1</v>
      </c>
      <c r="AQ9" s="11">
        <f ca="1">IFERROR(OFFSET(ITEM_RES!$A$1,MATCH(AR9,ITEM_RES!$J:$J,0)-1,0),0)</f>
        <v>211010501</v>
      </c>
      <c r="AR9" s="10" t="s">
        <v>420</v>
      </c>
      <c r="AS9" s="11">
        <v>2700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1329</v>
      </c>
      <c r="M10" s="9">
        <v>1</v>
      </c>
      <c r="N10" s="9">
        <v>15</v>
      </c>
      <c r="O10" s="9" t="s">
        <v>1078</v>
      </c>
      <c r="P10" s="55" t="s">
        <v>1339</v>
      </c>
      <c r="Q10" s="9" t="s">
        <v>665</v>
      </c>
      <c r="T10" s="9">
        <f ca="1">IFERROR(OFFSET(ITEM_RES!$A$5,MATCH(BUILDING!S10,ITEM_RES!$J$5:$J$229,0)-1,0),0)</f>
        <v>0</v>
      </c>
      <c r="V10" s="81" t="s">
        <v>524</v>
      </c>
      <c r="W10" s="11">
        <f ca="1">IFERROR(OFFSET(ITEM_RES!$A$5,MATCH(BUILDING!V10,ITEM_RES!$J$5:$J$229,0)-1,0),0)</f>
        <v>211010101</v>
      </c>
      <c r="Y10" s="9" t="s">
        <v>495</v>
      </c>
      <c r="Z10" s="9">
        <v>6</v>
      </c>
      <c r="AB10" s="11">
        <f ca="1">IFERROR(OFFSET(MANOR_LEVEL!$B$1,MATCH(AC10-1,MANOR_LEVEL!$A:$A,0)-1,0),0)</f>
        <v>930</v>
      </c>
      <c r="AC10" s="55">
        <v>4</v>
      </c>
      <c r="AE10" s="55">
        <f t="shared" ca="1" si="3"/>
        <v>9050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9050</v>
      </c>
      <c r="AG10" s="176">
        <f t="shared" ca="1" si="8"/>
        <v>11790</v>
      </c>
      <c r="AI10" s="11">
        <f t="shared" si="4"/>
        <v>30</v>
      </c>
      <c r="AJ10" s="10">
        <v>30</v>
      </c>
      <c r="AK10" s="11">
        <f t="shared" si="6"/>
        <v>50</v>
      </c>
      <c r="AL10" s="10">
        <v>50</v>
      </c>
      <c r="AM10" s="11">
        <f t="shared" si="6"/>
        <v>0</v>
      </c>
      <c r="AN10" s="10">
        <v>0</v>
      </c>
      <c r="AO10" s="55">
        <f t="shared" si="7"/>
        <v>1</v>
      </c>
      <c r="AQ10" s="11">
        <f ca="1">IFERROR(OFFSET(ITEM_RES!$A$1,MATCH(AR10,ITEM_RES!$J:$J,0)-1,0),0)</f>
        <v>211010501</v>
      </c>
      <c r="AR10" s="10" t="s">
        <v>420</v>
      </c>
      <c r="AS10" s="11">
        <v>9000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1329</v>
      </c>
      <c r="M11" s="9">
        <v>1</v>
      </c>
      <c r="N11" s="9">
        <v>15</v>
      </c>
      <c r="O11" s="9" t="s">
        <v>1077</v>
      </c>
      <c r="P11" s="55" t="s">
        <v>1340</v>
      </c>
      <c r="Q11" s="9" t="s">
        <v>665</v>
      </c>
      <c r="T11" s="9">
        <f ca="1">IFERROR(OFFSET(ITEM_RES!$A$5,MATCH(BUILDING!S11,ITEM_RES!$J$5:$J$229,0)-1,0),0)</f>
        <v>0</v>
      </c>
      <c r="V11" s="81" t="s">
        <v>524</v>
      </c>
      <c r="W11" s="11">
        <f ca="1">IFERROR(OFFSET(ITEM_RES!$A$5,MATCH(BUILDING!V11,ITEM_RES!$J$5:$J$229,0)-1,0),0)</f>
        <v>211010101</v>
      </c>
      <c r="Y11" s="9" t="s">
        <v>495</v>
      </c>
      <c r="Z11" s="9">
        <v>7</v>
      </c>
      <c r="AB11" s="11">
        <f ca="1">IFERROR(OFFSET(MANOR_LEVEL!$B$1,MATCH(AC11-1,MANOR_LEVEL!$A:$A,0)-1,0),0)</f>
        <v>930</v>
      </c>
      <c r="AC11" s="55">
        <v>4</v>
      </c>
      <c r="AE11" s="55">
        <f t="shared" ca="1" si="3"/>
        <v>21450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21450</v>
      </c>
      <c r="AG11" s="176">
        <f t="shared" ca="1" si="8"/>
        <v>30500</v>
      </c>
      <c r="AI11" s="11">
        <f t="shared" si="4"/>
        <v>300</v>
      </c>
      <c r="AJ11" s="10">
        <v>300</v>
      </c>
      <c r="AK11" s="11">
        <f t="shared" si="6"/>
        <v>100</v>
      </c>
      <c r="AL11" s="10">
        <v>100</v>
      </c>
      <c r="AM11" s="11">
        <f t="shared" si="6"/>
        <v>0</v>
      </c>
      <c r="AN11" s="10">
        <v>0</v>
      </c>
      <c r="AO11" s="55">
        <f t="shared" si="7"/>
        <v>2</v>
      </c>
      <c r="AQ11" s="11">
        <f ca="1">IFERROR(OFFSET(ITEM_RES!$A$1,MATCH(AR11,ITEM_RES!$J:$J,0)-1,0),0)</f>
        <v>211010501</v>
      </c>
      <c r="AR11" s="10" t="s">
        <v>420</v>
      </c>
      <c r="AS11" s="11">
        <v>20000</v>
      </c>
      <c r="AV11" s="11">
        <f ca="1">IFERROR(OFFSET(ITEM_RES!$A$1,MATCH(AW11,ITEM_RES!$J:$J,0)-1,0),0)</f>
        <v>211020101</v>
      </c>
      <c r="AW11" s="10" t="s">
        <v>437</v>
      </c>
      <c r="AX11" s="11">
        <v>2700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1329</v>
      </c>
      <c r="M12" s="9">
        <v>1</v>
      </c>
      <c r="N12" s="9">
        <v>15</v>
      </c>
      <c r="O12" s="9" t="s">
        <v>1077</v>
      </c>
      <c r="P12" s="55" t="s">
        <v>1340</v>
      </c>
      <c r="Q12" s="9" t="s">
        <v>665</v>
      </c>
      <c r="T12" s="9">
        <f ca="1">IFERROR(OFFSET(ITEM_RES!$A$5,MATCH(BUILDING!S12,ITEM_RES!$J$5:$J$229,0)-1,0),0)</f>
        <v>0</v>
      </c>
      <c r="V12" s="81" t="s">
        <v>524</v>
      </c>
      <c r="W12" s="11">
        <f ca="1">IFERROR(OFFSET(ITEM_RES!$A$5,MATCH(BUILDING!V12,ITEM_RES!$J$5:$J$229,0)-1,0),0)</f>
        <v>211010101</v>
      </c>
      <c r="Y12" s="9" t="s">
        <v>495</v>
      </c>
      <c r="Z12" s="9">
        <v>8</v>
      </c>
      <c r="AB12" s="11">
        <f ca="1">IFERROR(OFFSET(MANOR_LEVEL!$B$1,MATCH(AC12-1,MANOR_LEVEL!$A:$A,0)-1,0),0)</f>
        <v>5475</v>
      </c>
      <c r="AC12" s="55">
        <v>5</v>
      </c>
      <c r="AE12" s="55">
        <f t="shared" ca="1" si="3"/>
        <v>46600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46600</v>
      </c>
      <c r="AG12" s="176">
        <f t="shared" ca="1" si="8"/>
        <v>68050</v>
      </c>
      <c r="AI12" s="11">
        <f t="shared" si="4"/>
        <v>600</v>
      </c>
      <c r="AJ12" s="10">
        <v>600</v>
      </c>
      <c r="AK12" s="11">
        <f t="shared" si="6"/>
        <v>100</v>
      </c>
      <c r="AL12" s="10">
        <v>100</v>
      </c>
      <c r="AM12" s="11">
        <f t="shared" si="6"/>
        <v>0</v>
      </c>
      <c r="AN12" s="10">
        <v>0</v>
      </c>
      <c r="AO12" s="55">
        <f t="shared" si="7"/>
        <v>2</v>
      </c>
      <c r="AQ12" s="11">
        <f ca="1">IFERROR(OFFSET(ITEM_RES!$A$1,MATCH(AR12,ITEM_RES!$J:$J,0)-1,0),0)</f>
        <v>211010501</v>
      </c>
      <c r="AR12" s="10" t="s">
        <v>420</v>
      </c>
      <c r="AS12" s="11">
        <v>42000</v>
      </c>
      <c r="AV12" s="11">
        <f ca="1">IFERROR(OFFSET(ITEM_RES!$A$1,MATCH(AW12,ITEM_RES!$J:$J,0)-1,0),0)</f>
        <v>211020101</v>
      </c>
      <c r="AW12" s="10" t="s">
        <v>437</v>
      </c>
      <c r="AX12" s="11">
        <v>9000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1329</v>
      </c>
      <c r="M13" s="9">
        <v>1</v>
      </c>
      <c r="N13" s="9">
        <v>15</v>
      </c>
      <c r="O13" s="9" t="s">
        <v>1407</v>
      </c>
      <c r="P13" s="55" t="s">
        <v>1409</v>
      </c>
      <c r="Q13" s="9" t="s">
        <v>666</v>
      </c>
      <c r="T13" s="9">
        <f ca="1">IFERROR(OFFSET(ITEM_RES!$A$5,MATCH(BUILDING!S13,ITEM_RES!$J$5:$J$229,0)-1,0),0)</f>
        <v>0</v>
      </c>
      <c r="V13" s="81" t="s">
        <v>524</v>
      </c>
      <c r="W13" s="11">
        <f ca="1">IFERROR(OFFSET(ITEM_RES!$A$5,MATCH(BUILDING!V13,ITEM_RES!$J$5:$J$229,0)-1,0),0)</f>
        <v>211010101</v>
      </c>
      <c r="Y13" s="9" t="s">
        <v>495</v>
      </c>
      <c r="Z13" s="9">
        <v>9</v>
      </c>
      <c r="AB13" s="11">
        <f ca="1">IFERROR(OFFSET(MANOR_LEVEL!$B$1,MATCH(AC13-1,MANOR_LEVEL!$A:$A,0)-1,0),0)</f>
        <v>32560</v>
      </c>
      <c r="AC13" s="55">
        <v>6</v>
      </c>
      <c r="AE13" s="55">
        <f t="shared" ca="1" si="3"/>
        <v>88150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88150</v>
      </c>
      <c r="AG13" s="176">
        <f t="shared" ca="1" si="8"/>
        <v>134750</v>
      </c>
      <c r="AI13" s="11">
        <f t="shared" si="4"/>
        <v>900</v>
      </c>
      <c r="AJ13" s="10">
        <v>900</v>
      </c>
      <c r="AK13" s="11">
        <f t="shared" si="6"/>
        <v>150</v>
      </c>
      <c r="AL13" s="10">
        <v>150</v>
      </c>
      <c r="AM13" s="11">
        <f t="shared" si="6"/>
        <v>0</v>
      </c>
      <c r="AN13" s="10">
        <v>0</v>
      </c>
      <c r="AO13" s="55">
        <f t="shared" si="7"/>
        <v>2</v>
      </c>
      <c r="AQ13" s="11">
        <f ca="1">IFERROR(OFFSET(ITEM_RES!$A$1,MATCH(AR13,ITEM_RES!$J:$J,0)-1,0),0)</f>
        <v>211010501</v>
      </c>
      <c r="AR13" s="10" t="s">
        <v>420</v>
      </c>
      <c r="AS13" s="11">
        <v>78000</v>
      </c>
      <c r="AV13" s="11">
        <f ca="1">IFERROR(OFFSET(ITEM_RES!$A$1,MATCH(AW13,ITEM_RES!$J:$J,0)-1,0),0)</f>
        <v>211020101</v>
      </c>
      <c r="AW13" s="10" t="s">
        <v>437</v>
      </c>
      <c r="AX13" s="11">
        <v>20000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1329</v>
      </c>
      <c r="M14" s="9">
        <v>1</v>
      </c>
      <c r="N14" s="9">
        <v>15</v>
      </c>
      <c r="O14" s="9" t="s">
        <v>1407</v>
      </c>
      <c r="P14" s="55" t="s">
        <v>1409</v>
      </c>
      <c r="Q14" s="9" t="s">
        <v>666</v>
      </c>
      <c r="T14" s="9">
        <f ca="1">IFERROR(OFFSET(ITEM_RES!$A$5,MATCH(BUILDING!S14,ITEM_RES!$J$5:$J$229,0)-1,0),0)</f>
        <v>0</v>
      </c>
      <c r="V14" s="81" t="s">
        <v>524</v>
      </c>
      <c r="W14" s="11">
        <f ca="1">IFERROR(OFFSET(ITEM_RES!$A$5,MATCH(BUILDING!V14,ITEM_RES!$J$5:$J$229,0)-1,0),0)</f>
        <v>211010101</v>
      </c>
      <c r="Y14" s="9" t="s">
        <v>495</v>
      </c>
      <c r="Z14" s="9">
        <v>10</v>
      </c>
      <c r="AB14" s="11">
        <f ca="1">IFERROR(OFFSET(MANOR_LEVEL!$B$1,MATCH(AC14-1,MANOR_LEVEL!$A:$A,0)-1,0),0)</f>
        <v>108200</v>
      </c>
      <c r="AC14" s="55">
        <v>7</v>
      </c>
      <c r="AE14" s="55">
        <f t="shared" ca="1" si="3"/>
        <v>152200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152200</v>
      </c>
      <c r="AG14" s="176">
        <f t="shared" ca="1" si="8"/>
        <v>240350</v>
      </c>
      <c r="AI14" s="11">
        <f t="shared" si="4"/>
        <v>1200</v>
      </c>
      <c r="AJ14" s="10">
        <v>1200</v>
      </c>
      <c r="AK14" s="11">
        <f t="shared" si="6"/>
        <v>200</v>
      </c>
      <c r="AL14" s="10">
        <v>200</v>
      </c>
      <c r="AM14" s="11">
        <f t="shared" si="6"/>
        <v>0</v>
      </c>
      <c r="AN14" s="10">
        <v>0</v>
      </c>
      <c r="AO14" s="55">
        <f t="shared" si="7"/>
        <v>3</v>
      </c>
      <c r="AQ14" s="11">
        <f ca="1">IFERROR(OFFSET(ITEM_RES!$A$1,MATCH(AR14,ITEM_RES!$J:$J,0)-1,0),0)</f>
        <v>211010501</v>
      </c>
      <c r="AR14" s="10" t="s">
        <v>420</v>
      </c>
      <c r="AS14" s="11">
        <v>130000</v>
      </c>
      <c r="AV14" s="11">
        <f ca="1">IFERROR(OFFSET(ITEM_RES!$A$1,MATCH(AW14,ITEM_RES!$J:$J,0)-1,0),0)</f>
        <v>211020101</v>
      </c>
      <c r="AW14" s="10" t="s">
        <v>437</v>
      </c>
      <c r="AX14" s="11">
        <v>42000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448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1329</v>
      </c>
      <c r="M15" s="9">
        <v>1</v>
      </c>
      <c r="N15" s="9">
        <v>15</v>
      </c>
      <c r="O15" s="9" t="s">
        <v>1406</v>
      </c>
      <c r="P15" s="55" t="s">
        <v>1408</v>
      </c>
      <c r="Q15" s="9" t="s">
        <v>666</v>
      </c>
      <c r="T15" s="9">
        <f ca="1">IFERROR(OFFSET(ITEM_RES!$A$5,MATCH(BUILDING!S15,ITEM_RES!$J$5:$J$229,0)-1,0),0)</f>
        <v>0</v>
      </c>
      <c r="V15" s="81" t="s">
        <v>524</v>
      </c>
      <c r="W15" s="11">
        <f ca="1">IFERROR(OFFSET(ITEM_RES!$A$5,MATCH(BUILDING!V15,ITEM_RES!$J$5:$J$229,0)-1,0),0)</f>
        <v>211010101</v>
      </c>
      <c r="Y15" s="9" t="s">
        <v>495</v>
      </c>
      <c r="Z15" s="9">
        <v>11</v>
      </c>
      <c r="AB15" s="11">
        <f ca="1">IFERROR(OFFSET(MANOR_LEVEL!$B$1,MATCH(AC15-1,MANOR_LEVEL!$A:$A,0)-1,0),0)</f>
        <v>240400</v>
      </c>
      <c r="AC15" s="55">
        <v>8</v>
      </c>
      <c r="AE15" s="55">
        <f t="shared" ca="1" si="3"/>
        <v>259250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259250</v>
      </c>
      <c r="AG15" s="176">
        <f t="shared" ca="1" si="8"/>
        <v>411450</v>
      </c>
      <c r="AI15" s="11">
        <f t="shared" si="4"/>
        <v>1500</v>
      </c>
      <c r="AJ15" s="10">
        <v>1500</v>
      </c>
      <c r="AK15" s="11">
        <f t="shared" si="6"/>
        <v>250</v>
      </c>
      <c r="AL15" s="10">
        <v>250</v>
      </c>
      <c r="AM15" s="11">
        <f t="shared" si="6"/>
        <v>0</v>
      </c>
      <c r="AN15" s="10">
        <v>0</v>
      </c>
      <c r="AO15" s="55">
        <f t="shared" si="7"/>
        <v>2</v>
      </c>
      <c r="AQ15" s="11">
        <f ca="1">IFERROR(OFFSET(ITEM_RES!$A$1,MATCH(AR15,ITEM_RES!$J:$J,0)-1,0),0)</f>
        <v>211010501</v>
      </c>
      <c r="AR15" s="10" t="s">
        <v>420</v>
      </c>
      <c r="AS15" s="11">
        <v>220000</v>
      </c>
      <c r="AV15" s="11">
        <f ca="1">IFERROR(OFFSET(ITEM_RES!$A$1,MATCH(AW15,ITEM_RES!$J:$J,0)-1,0),0)</f>
        <v>211020101</v>
      </c>
      <c r="AW15" s="10" t="s">
        <v>437</v>
      </c>
      <c r="AX15" s="11">
        <v>78000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1329</v>
      </c>
      <c r="M16" s="9">
        <v>1</v>
      </c>
      <c r="N16" s="9">
        <v>15</v>
      </c>
      <c r="O16" s="9" t="s">
        <v>1406</v>
      </c>
      <c r="P16" s="55" t="s">
        <v>1408</v>
      </c>
      <c r="Q16" s="9" t="s">
        <v>666</v>
      </c>
      <c r="T16" s="9">
        <f ca="1">IFERROR(OFFSET(ITEM_RES!$A$5,MATCH(BUILDING!S16,ITEM_RES!$J$5:$J$229,0)-1,0),0)</f>
        <v>0</v>
      </c>
      <c r="V16" s="81" t="s">
        <v>524</v>
      </c>
      <c r="W16" s="11">
        <f ca="1">IFERROR(OFFSET(ITEM_RES!$A$5,MATCH(BUILDING!V16,ITEM_RES!$J$5:$J$229,0)-1,0),0)</f>
        <v>211010101</v>
      </c>
      <c r="Y16" s="9" t="s">
        <v>495</v>
      </c>
      <c r="Z16" s="9">
        <v>12</v>
      </c>
      <c r="AB16" s="11">
        <f ca="1">IFERROR(OFFSET(MANOR_LEVEL!$B$1,MATCH(AC16-1,MANOR_LEVEL!$A:$A,0)-1,0),0)</f>
        <v>630500</v>
      </c>
      <c r="AC16" s="55">
        <v>9</v>
      </c>
      <c r="AE16" s="55">
        <f t="shared" ca="1" si="3"/>
        <v>435300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435300</v>
      </c>
      <c r="AG16" s="176">
        <f t="shared" ca="1" si="8"/>
        <v>694550</v>
      </c>
      <c r="AI16" s="11">
        <f t="shared" si="4"/>
        <v>1800</v>
      </c>
      <c r="AJ16" s="10">
        <v>1800</v>
      </c>
      <c r="AK16" s="11">
        <f t="shared" si="6"/>
        <v>300</v>
      </c>
      <c r="AL16" s="10">
        <v>300</v>
      </c>
      <c r="AM16" s="11">
        <f t="shared" si="6"/>
        <v>0</v>
      </c>
      <c r="AN16" s="10">
        <v>0</v>
      </c>
      <c r="AO16" s="55">
        <f t="shared" si="7"/>
        <v>2</v>
      </c>
      <c r="AQ16" s="11">
        <f ca="1">IFERROR(OFFSET(ITEM_RES!$A$1,MATCH(AR16,ITEM_RES!$J:$J,0)-1,0),0)</f>
        <v>211010501</v>
      </c>
      <c r="AR16" s="10" t="s">
        <v>420</v>
      </c>
      <c r="AS16" s="11">
        <v>370000</v>
      </c>
      <c r="AV16" s="11">
        <f ca="1">IFERROR(OFFSET(ITEM_RES!$A$1,MATCH(AW16,ITEM_RES!$J:$J,0)-1,0),0)</f>
        <v>211020101</v>
      </c>
      <c r="AW16" s="10" t="s">
        <v>437</v>
      </c>
      <c r="AX16" s="11">
        <v>130000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1329</v>
      </c>
      <c r="M17" s="9">
        <v>1</v>
      </c>
      <c r="N17" s="9">
        <v>15</v>
      </c>
      <c r="O17" s="9" t="s">
        <v>1406</v>
      </c>
      <c r="P17" s="55" t="s">
        <v>1408</v>
      </c>
      <c r="Q17" s="9" t="s">
        <v>666</v>
      </c>
      <c r="T17" s="9">
        <f ca="1">IFERROR(OFFSET(ITEM_RES!$A$5,MATCH(BUILDING!S17,ITEM_RES!$J$5:$J$229,0)-1,0),0)</f>
        <v>0</v>
      </c>
      <c r="V17" s="81" t="s">
        <v>524</v>
      </c>
      <c r="W17" s="11">
        <f ca="1">IFERROR(OFFSET(ITEM_RES!$A$5,MATCH(BUILDING!V17,ITEM_RES!$J$5:$J$229,0)-1,0),0)</f>
        <v>211010101</v>
      </c>
      <c r="Y17" s="9" t="s">
        <v>495</v>
      </c>
      <c r="Z17" s="9">
        <v>13</v>
      </c>
      <c r="AB17" s="11">
        <f ca="1">IFERROR(OFFSET(MANOR_LEVEL!$B$1,MATCH(AC17-1,MANOR_LEVEL!$A:$A,0)-1,0),0)</f>
        <v>1170750</v>
      </c>
      <c r="AC17" s="55">
        <v>10</v>
      </c>
      <c r="AE17" s="55">
        <f t="shared" ca="1" si="3"/>
        <v>730350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730350</v>
      </c>
      <c r="AG17" s="176">
        <f t="shared" ca="1" si="8"/>
        <v>1165650</v>
      </c>
      <c r="AI17" s="11">
        <f t="shared" si="4"/>
        <v>2100</v>
      </c>
      <c r="AJ17" s="10">
        <v>2100</v>
      </c>
      <c r="AK17" s="11">
        <f t="shared" si="6"/>
        <v>350</v>
      </c>
      <c r="AL17" s="10">
        <v>350</v>
      </c>
      <c r="AM17" s="11">
        <f t="shared" si="6"/>
        <v>0</v>
      </c>
      <c r="AN17" s="10">
        <v>0</v>
      </c>
      <c r="AO17" s="55">
        <f t="shared" si="7"/>
        <v>2</v>
      </c>
      <c r="AQ17" s="11">
        <f ca="1">IFERROR(OFFSET(ITEM_RES!$A$1,MATCH(AR17,ITEM_RES!$J:$J,0)-1,0),0)</f>
        <v>211010501</v>
      </c>
      <c r="AR17" s="10" t="s">
        <v>420</v>
      </c>
      <c r="AS17" s="11">
        <v>620000</v>
      </c>
      <c r="AV17" s="11">
        <f ca="1">IFERROR(OFFSET(ITEM_RES!$A$1,MATCH(AW17,ITEM_RES!$J:$J,0)-1,0),0)</f>
        <v>211020101</v>
      </c>
      <c r="AW17" s="10" t="s">
        <v>437</v>
      </c>
      <c r="AX17" s="11">
        <v>220000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1329</v>
      </c>
      <c r="M18" s="9">
        <v>1</v>
      </c>
      <c r="N18" s="9">
        <v>15</v>
      </c>
      <c r="O18" s="9" t="s">
        <v>1406</v>
      </c>
      <c r="P18" s="55" t="s">
        <v>1408</v>
      </c>
      <c r="Q18" s="9" t="s">
        <v>666</v>
      </c>
      <c r="T18" s="9">
        <f ca="1">IFERROR(OFFSET(ITEM_RES!$A$5,MATCH(BUILDING!S18,ITEM_RES!$J$5:$J$229,0)-1,0),0)</f>
        <v>0</v>
      </c>
      <c r="V18" s="81" t="s">
        <v>524</v>
      </c>
      <c r="W18" s="11">
        <f ca="1">IFERROR(OFFSET(ITEM_RES!$A$5,MATCH(BUILDING!V18,ITEM_RES!$J$5:$J$229,0)-1,0),0)</f>
        <v>211010101</v>
      </c>
      <c r="Y18" s="9" t="s">
        <v>495</v>
      </c>
      <c r="Z18" s="9">
        <v>14</v>
      </c>
      <c r="AB18" s="11">
        <f ca="1">IFERROR(OFFSET(MANOR_LEVEL!$B$1,MATCH(AC18-1,MANOR_LEVEL!$A:$A,0)-1,0),0)</f>
        <v>1956000</v>
      </c>
      <c r="AC18" s="55">
        <v>11</v>
      </c>
      <c r="AE18" s="55">
        <f t="shared" ca="1" si="3"/>
        <v>1155450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1155450</v>
      </c>
      <c r="AG18" s="176">
        <f t="shared" ca="1" si="8"/>
        <v>1885800</v>
      </c>
      <c r="AI18" s="11">
        <f t="shared" si="4"/>
        <v>2400</v>
      </c>
      <c r="AJ18" s="10">
        <v>2400</v>
      </c>
      <c r="AK18" s="11">
        <f t="shared" si="6"/>
        <v>450</v>
      </c>
      <c r="AL18" s="10">
        <v>450</v>
      </c>
      <c r="AM18" s="11">
        <f t="shared" si="6"/>
        <v>0</v>
      </c>
      <c r="AN18" s="10">
        <v>0</v>
      </c>
      <c r="AO18" s="55">
        <f t="shared" si="7"/>
        <v>2</v>
      </c>
      <c r="AQ18" s="11">
        <f ca="1">IFERROR(OFFSET(ITEM_RES!$A$1,MATCH(AR18,ITEM_RES!$J:$J,0)-1,0),0)</f>
        <v>211010501</v>
      </c>
      <c r="AR18" s="10" t="s">
        <v>420</v>
      </c>
      <c r="AS18" s="11">
        <v>970000</v>
      </c>
      <c r="AV18" s="11">
        <f ca="1">IFERROR(OFFSET(ITEM_RES!$A$1,MATCH(AW18,ITEM_RES!$J:$J,0)-1,0),0)</f>
        <v>211020101</v>
      </c>
      <c r="AW18" s="10" t="s">
        <v>437</v>
      </c>
      <c r="AX18" s="11">
        <v>370000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1329</v>
      </c>
      <c r="M19" s="9">
        <v>1</v>
      </c>
      <c r="N19" s="9">
        <v>15</v>
      </c>
      <c r="O19" s="9" t="s">
        <v>1406</v>
      </c>
      <c r="P19" s="55" t="s">
        <v>1408</v>
      </c>
      <c r="Q19" s="9" t="s">
        <v>666</v>
      </c>
      <c r="T19" s="9">
        <f ca="1">IFERROR(OFFSET(ITEM_RES!$A$5,MATCH(BUILDING!S19,ITEM_RES!$J$5:$J$229,0)-1,0),0)</f>
        <v>0</v>
      </c>
      <c r="V19" s="81" t="s">
        <v>524</v>
      </c>
      <c r="W19" s="11">
        <f ca="1">IFERROR(OFFSET(ITEM_RES!$A$5,MATCH(BUILDING!V19,ITEM_RES!$J$5:$J$229,0)-1,0),0)</f>
        <v>211010101</v>
      </c>
      <c r="Y19" s="9" t="s">
        <v>495</v>
      </c>
      <c r="Z19" s="9">
        <v>15</v>
      </c>
      <c r="AB19" s="11">
        <f ca="1">IFERROR(OFFSET(MANOR_LEVEL!$B$1,MATCH(AC19-1,MANOR_LEVEL!$A:$A,0)-1,0),0)</f>
        <v>3961500</v>
      </c>
      <c r="AC19" s="55">
        <v>12</v>
      </c>
      <c r="AE19" s="55">
        <f t="shared" ca="1" si="3"/>
        <v>2410550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2410550</v>
      </c>
      <c r="AG19" s="176">
        <f t="shared" ca="1" si="8"/>
        <v>3566000</v>
      </c>
      <c r="AI19" s="11">
        <f t="shared" si="4"/>
        <v>2700</v>
      </c>
      <c r="AJ19" s="10">
        <v>2700</v>
      </c>
      <c r="AK19" s="11">
        <f t="shared" si="6"/>
        <v>550</v>
      </c>
      <c r="AL19" s="10">
        <v>550</v>
      </c>
      <c r="AM19" s="11">
        <f t="shared" si="6"/>
        <v>0</v>
      </c>
      <c r="AN19" s="10">
        <v>0</v>
      </c>
      <c r="AO19" s="55">
        <f t="shared" si="7"/>
        <v>2</v>
      </c>
      <c r="AQ19" s="11">
        <f ca="1">IFERROR(OFFSET(ITEM_RES!$A$1,MATCH(AR19,ITEM_RES!$J:$J,0)-1,0),0)</f>
        <v>211010501</v>
      </c>
      <c r="AR19" s="10" t="s">
        <v>420</v>
      </c>
      <c r="AS19" s="11">
        <v>2100000</v>
      </c>
      <c r="AV19" s="11">
        <f ca="1">IFERROR(OFFSET(ITEM_RES!$A$1,MATCH(AW19,ITEM_RES!$J:$J,0)-1,0),0)</f>
        <v>211020101</v>
      </c>
      <c r="AW19" s="10" t="s">
        <v>437</v>
      </c>
      <c r="AX19" s="11">
        <v>620000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1329</v>
      </c>
      <c r="M20" s="9">
        <v>0</v>
      </c>
      <c r="N20" s="9">
        <v>15</v>
      </c>
      <c r="O20" s="9" t="s">
        <v>1406</v>
      </c>
      <c r="P20" s="55" t="s">
        <v>1408</v>
      </c>
      <c r="Q20" s="9" t="s">
        <v>667</v>
      </c>
      <c r="T20" s="9">
        <f ca="1">IFERROR(OFFSET(ITEM_RES!$A$5,MATCH(BUILDING!S20,ITEM_RES!$J$5:$J$229,0)-1,0),0)</f>
        <v>0</v>
      </c>
      <c r="V20" s="81" t="s">
        <v>524</v>
      </c>
      <c r="W20" s="11">
        <f ca="1">IFERROR(OFFSET(ITEM_RES!$A$5,MATCH(BUILDING!V20,ITEM_RES!$J$5:$J$229,0)-1,0),0)</f>
        <v>211010101</v>
      </c>
      <c r="Y20" s="9" t="s">
        <v>495</v>
      </c>
      <c r="Z20" s="9">
        <v>16</v>
      </c>
      <c r="AB20" s="11">
        <f ca="1">IFERROR(OFFSET(MANOR_LEVEL!$B$1,MATCH(AC20-1,MANOR_LEVEL!$A:$A,0)-1,0),0)</f>
        <v>7772100</v>
      </c>
      <c r="AC20" s="55">
        <v>13</v>
      </c>
      <c r="AE20" s="55">
        <f t="shared" ca="1" si="3"/>
        <v>5645700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5645700</v>
      </c>
      <c r="AG20" s="176">
        <f t="shared" ca="1" si="8"/>
        <v>8056250</v>
      </c>
      <c r="AI20" s="11">
        <f t="shared" si="4"/>
        <v>3000</v>
      </c>
      <c r="AJ20" s="10">
        <v>3000</v>
      </c>
      <c r="AK20" s="11">
        <f t="shared" si="6"/>
        <v>700</v>
      </c>
      <c r="AL20" s="10">
        <v>700</v>
      </c>
      <c r="AM20" s="11">
        <f t="shared" si="6"/>
        <v>0</v>
      </c>
      <c r="AN20" s="10">
        <v>0</v>
      </c>
      <c r="AO20" s="55">
        <f t="shared" si="7"/>
        <v>2</v>
      </c>
      <c r="AQ20" s="11">
        <f ca="1">IFERROR(OFFSET(ITEM_RES!$A$1,MATCH(AR20,ITEM_RES!$J:$J,0)-1,0),0)</f>
        <v>211010601</v>
      </c>
      <c r="AR20" s="10" t="s">
        <v>433</v>
      </c>
      <c r="AS20" s="11">
        <v>4300000</v>
      </c>
      <c r="AV20" s="11">
        <f ca="1">IFERROR(OFFSET(ITEM_RES!$A$1,MATCH(AW20,ITEM_RES!$J:$J,0)-1,0),0)</f>
        <v>211020101</v>
      </c>
      <c r="AW20" s="10" t="s">
        <v>437</v>
      </c>
      <c r="AX20" s="11">
        <v>970000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1329</v>
      </c>
      <c r="M21" s="9">
        <v>0</v>
      </c>
      <c r="N21" s="9">
        <v>15</v>
      </c>
      <c r="O21" s="9" t="s">
        <v>1406</v>
      </c>
      <c r="P21" s="55" t="s">
        <v>1408</v>
      </c>
      <c r="Q21" s="9" t="s">
        <v>667</v>
      </c>
      <c r="T21" s="9">
        <f ca="1">IFERROR(OFFSET(ITEM_RES!$A$5,MATCH(BUILDING!S21,ITEM_RES!$J$5:$J$229,0)-1,0),0)</f>
        <v>0</v>
      </c>
      <c r="V21" s="81" t="s">
        <v>524</v>
      </c>
      <c r="W21" s="11">
        <f ca="1">IFERROR(OFFSET(ITEM_RES!$A$5,MATCH(BUILDING!V21,ITEM_RES!$J$5:$J$229,0)-1,0),0)</f>
        <v>211010101</v>
      </c>
      <c r="Y21" s="9" t="s">
        <v>495</v>
      </c>
      <c r="Z21" s="9">
        <v>17</v>
      </c>
      <c r="AB21" s="11">
        <f ca="1">IFERROR(OFFSET(MANOR_LEVEL!$B$1,MATCH(AC21-1,MANOR_LEVEL!$A:$A,0)-1,0),0)</f>
        <v>13022450</v>
      </c>
      <c r="AC21" s="55">
        <v>14</v>
      </c>
      <c r="AE21" s="55">
        <f t="shared" ca="1" si="3"/>
        <v>10650850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10650850</v>
      </c>
      <c r="AG21" s="176">
        <f t="shared" ca="1" si="8"/>
        <v>16296550</v>
      </c>
      <c r="AI21" s="11">
        <f t="shared" si="4"/>
        <v>3300</v>
      </c>
      <c r="AJ21" s="10">
        <v>3300</v>
      </c>
      <c r="AK21" s="11">
        <f t="shared" si="6"/>
        <v>850</v>
      </c>
      <c r="AL21" s="10">
        <v>850</v>
      </c>
      <c r="AM21" s="11">
        <f t="shared" si="6"/>
        <v>0</v>
      </c>
      <c r="AN21" s="10">
        <v>0</v>
      </c>
      <c r="AO21" s="55">
        <f t="shared" si="7"/>
        <v>2</v>
      </c>
      <c r="AQ21" s="11">
        <f ca="1">IFERROR(OFFSET(ITEM_RES!$A$1,MATCH(AR21,ITEM_RES!$J:$J,0)-1,0),0)</f>
        <v>211010601</v>
      </c>
      <c r="AR21" s="10" t="s">
        <v>433</v>
      </c>
      <c r="AS21" s="11">
        <v>8000000</v>
      </c>
      <c r="AV21" s="11">
        <f ca="1">IFERROR(OFFSET(ITEM_RES!$A$1,MATCH(AW21,ITEM_RES!$J:$J,0)-1,0),0)</f>
        <v>211020101</v>
      </c>
      <c r="AW21" s="10" t="s">
        <v>437</v>
      </c>
      <c r="AX21" s="11">
        <v>2100000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1329</v>
      </c>
      <c r="M22" s="9">
        <v>0</v>
      </c>
      <c r="N22" s="9">
        <v>15</v>
      </c>
      <c r="O22" s="9" t="s">
        <v>1406</v>
      </c>
      <c r="P22" s="55" t="s">
        <v>1408</v>
      </c>
      <c r="Q22" s="9" t="s">
        <v>667</v>
      </c>
      <c r="T22" s="9">
        <f ca="1">IFERROR(OFFSET(ITEM_RES!$A$5,MATCH(BUILDING!S22,ITEM_RES!$J$5:$J$229,0)-1,0),0)</f>
        <v>0</v>
      </c>
      <c r="V22" s="81" t="s">
        <v>524</v>
      </c>
      <c r="W22" s="11">
        <f ca="1">IFERROR(OFFSET(ITEM_RES!$A$5,MATCH(BUILDING!V22,ITEM_RES!$J$5:$J$229,0)-1,0),0)</f>
        <v>211010101</v>
      </c>
      <c r="Y22" s="9" t="s">
        <v>495</v>
      </c>
      <c r="Z22" s="9">
        <v>18</v>
      </c>
      <c r="AB22" s="11">
        <f ca="1">IFERROR(OFFSET(MANOR_LEVEL!$B$1,MATCH(AC22-1,MANOR_LEVEL!$A:$A,0)-1,0),0)</f>
        <v>23283600</v>
      </c>
      <c r="AC22" s="55">
        <v>15</v>
      </c>
      <c r="AE22" s="55">
        <f t="shared" ca="1" si="3"/>
        <v>17751050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17751050</v>
      </c>
      <c r="AG22" s="176">
        <f t="shared" ca="1" si="8"/>
        <v>28401900</v>
      </c>
      <c r="AI22" s="11">
        <f t="shared" si="4"/>
        <v>3600</v>
      </c>
      <c r="AJ22" s="10">
        <v>3600</v>
      </c>
      <c r="AK22" s="11">
        <f t="shared" si="6"/>
        <v>1050</v>
      </c>
      <c r="AL22" s="10">
        <v>1050</v>
      </c>
      <c r="AM22" s="11">
        <f t="shared" si="6"/>
        <v>0</v>
      </c>
      <c r="AN22" s="10">
        <v>0</v>
      </c>
      <c r="AO22" s="55">
        <f t="shared" si="7"/>
        <v>2</v>
      </c>
      <c r="AQ22" s="11">
        <f ca="1">IFERROR(OFFSET(ITEM_RES!$A$1,MATCH(AR22,ITEM_RES!$J:$J,0)-1,0),0)</f>
        <v>211010601</v>
      </c>
      <c r="AR22" s="10" t="s">
        <v>433</v>
      </c>
      <c r="AS22" s="11">
        <v>13000000</v>
      </c>
      <c r="AV22" s="11">
        <f ca="1">IFERROR(OFFSET(ITEM_RES!$A$1,MATCH(AW22,ITEM_RES!$J:$J,0)-1,0),0)</f>
        <v>211020101</v>
      </c>
      <c r="AW22" s="10" t="s">
        <v>437</v>
      </c>
      <c r="AX22" s="11">
        <v>4300000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1329</v>
      </c>
      <c r="M23" s="9">
        <v>0</v>
      </c>
      <c r="N23" s="9">
        <v>15</v>
      </c>
      <c r="O23" s="9" t="s">
        <v>1406</v>
      </c>
      <c r="P23" s="55" t="s">
        <v>1408</v>
      </c>
      <c r="Q23" s="9" t="s">
        <v>667</v>
      </c>
      <c r="T23" s="9">
        <f ca="1">IFERROR(OFFSET(ITEM_RES!$A$5,MATCH(BUILDING!S23,ITEM_RES!$J$5:$J$229,0)-1,0),0)</f>
        <v>0</v>
      </c>
      <c r="V23" s="81" t="s">
        <v>524</v>
      </c>
      <c r="W23" s="11">
        <f ca="1">IFERROR(OFFSET(ITEM_RES!$A$5,MATCH(BUILDING!V23,ITEM_RES!$J$5:$J$229,0)-1,0),0)</f>
        <v>211010101</v>
      </c>
      <c r="Y23" s="9" t="s">
        <v>495</v>
      </c>
      <c r="Z23" s="9">
        <v>19</v>
      </c>
      <c r="AB23" s="11">
        <f ca="1">IFERROR(OFFSET(MANOR_LEVEL!$B$1,MATCH(AC23-1,MANOR_LEVEL!$A:$A,0)-1,0),0)</f>
        <v>50404400</v>
      </c>
      <c r="AC23" s="55">
        <v>16</v>
      </c>
      <c r="AE23" s="55">
        <f t="shared" ca="1" si="3"/>
        <v>28001250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28001250</v>
      </c>
      <c r="AG23" s="176">
        <f t="shared" ca="1" si="8"/>
        <v>45752300</v>
      </c>
      <c r="AI23" s="11">
        <f t="shared" si="4"/>
        <v>3900</v>
      </c>
      <c r="AJ23" s="10">
        <v>3900</v>
      </c>
      <c r="AK23" s="11">
        <f t="shared" si="6"/>
        <v>1250</v>
      </c>
      <c r="AL23" s="10">
        <v>1250</v>
      </c>
      <c r="AM23" s="11">
        <f t="shared" si="6"/>
        <v>0</v>
      </c>
      <c r="AN23" s="10">
        <v>0</v>
      </c>
      <c r="AO23" s="55">
        <f t="shared" si="7"/>
        <v>2</v>
      </c>
      <c r="AQ23" s="11">
        <f ca="1">IFERROR(OFFSET(ITEM_RES!$A$1,MATCH(AR23,ITEM_RES!$J:$J,0)-1,0),0)</f>
        <v>211010601</v>
      </c>
      <c r="AR23" s="10" t="s">
        <v>433</v>
      </c>
      <c r="AS23" s="11">
        <v>20000000</v>
      </c>
      <c r="AV23" s="11">
        <f ca="1">IFERROR(OFFSET(ITEM_RES!$A$1,MATCH(AW23,ITEM_RES!$J:$J,0)-1,0),0)</f>
        <v>211020101</v>
      </c>
      <c r="AW23" s="10" t="s">
        <v>437</v>
      </c>
      <c r="AX23" s="11">
        <v>8000000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1329</v>
      </c>
      <c r="M24" s="9">
        <v>0</v>
      </c>
      <c r="N24" s="9">
        <v>15</v>
      </c>
      <c r="O24" s="9" t="s">
        <v>1406</v>
      </c>
      <c r="P24" s="55" t="s">
        <v>1408</v>
      </c>
      <c r="Q24" s="9" t="s">
        <v>668</v>
      </c>
      <c r="T24" s="9">
        <f ca="1">IFERROR(OFFSET(ITEM_RES!$A$5,MATCH(BUILDING!S24,ITEM_RES!$J$5:$J$229,0)-1,0),0)</f>
        <v>0</v>
      </c>
      <c r="V24" s="81" t="s">
        <v>524</v>
      </c>
      <c r="W24" s="11">
        <f ca="1">IFERROR(OFFSET(ITEM_RES!$A$5,MATCH(BUILDING!V24,ITEM_RES!$J$5:$J$229,0)-1,0),0)</f>
        <v>211010101</v>
      </c>
      <c r="Y24" s="9" t="s">
        <v>495</v>
      </c>
      <c r="Z24" s="9">
        <v>20</v>
      </c>
      <c r="AB24" s="11">
        <f ca="1">IFERROR(OFFSET(MANOR_LEVEL!$B$1,MATCH(AC24-1,MANOR_LEVEL!$A:$A,0)-1,0),0)</f>
        <v>119976300</v>
      </c>
      <c r="AC24" s="55">
        <v>17</v>
      </c>
      <c r="AE24" s="55">
        <f t="shared" ca="1" si="3"/>
        <v>44901500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44901500</v>
      </c>
      <c r="AG24" s="176">
        <f t="shared" ca="1" si="8"/>
        <v>72902750</v>
      </c>
      <c r="AI24" s="11">
        <f t="shared" si="4"/>
        <v>4200</v>
      </c>
      <c r="AJ24" s="10">
        <v>4200</v>
      </c>
      <c r="AK24" s="11">
        <f t="shared" si="6"/>
        <v>1500</v>
      </c>
      <c r="AL24" s="10">
        <v>1500</v>
      </c>
      <c r="AM24" s="11">
        <f t="shared" si="6"/>
        <v>0</v>
      </c>
      <c r="AN24" s="10">
        <v>0</v>
      </c>
      <c r="AO24" s="55">
        <f t="shared" si="7"/>
        <v>2</v>
      </c>
      <c r="AQ24" s="11">
        <f ca="1">IFERROR(OFFSET(ITEM_RES!$A$1,MATCH(AR24,ITEM_RES!$J:$J,0)-1,0),0)</f>
        <v>211010601</v>
      </c>
      <c r="AR24" s="10" t="s">
        <v>433</v>
      </c>
      <c r="AS24" s="11">
        <v>32000000</v>
      </c>
      <c r="AV24" s="11">
        <f ca="1">IFERROR(OFFSET(ITEM_RES!$A$1,MATCH(AW24,ITEM_RES!$J:$J,0)-1,0),0)</f>
        <v>211020101</v>
      </c>
      <c r="AW24" s="10" t="s">
        <v>437</v>
      </c>
      <c r="AX24" s="11">
        <v>13000000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552</v>
      </c>
      <c r="L25" s="16">
        <v>2</v>
      </c>
      <c r="M25" s="16">
        <v>1</v>
      </c>
      <c r="N25" s="16">
        <v>15</v>
      </c>
      <c r="O25" s="16" t="s">
        <v>1079</v>
      </c>
      <c r="P25" s="56" t="s">
        <v>1341</v>
      </c>
      <c r="Q25" s="16" t="s">
        <v>670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525</v>
      </c>
      <c r="W25" s="18">
        <f ca="1">IFERROR(OFFSET(ITEM_RES!$A$5,MATCH(BUILDING!V25,ITEM_RES!$J$5:$J$229,0)-1,0),0)</f>
        <v>211010201</v>
      </c>
      <c r="X25" s="76"/>
      <c r="Y25" s="16" t="s">
        <v>496</v>
      </c>
      <c r="Z25" s="16">
        <v>1</v>
      </c>
      <c r="AA25" s="76"/>
      <c r="AB25" s="18">
        <f ca="1">IFERROR(OFFSET(MANOR_LEVEL!$B$1,MATCH(AC25-1,MANOR_LEVEL!$A:$A,0)-1,0),0)</f>
        <v>32560</v>
      </c>
      <c r="AC25" s="56">
        <v>6</v>
      </c>
      <c r="AD25" s="76"/>
      <c r="AE25" s="56">
        <f ca="1">ROUND(AF25,0)</f>
        <v>1055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1055</v>
      </c>
      <c r="AG25" s="178">
        <f ca="1">AE25</f>
        <v>1055</v>
      </c>
      <c r="AH25" s="76"/>
      <c r="AI25" s="18">
        <f t="shared" si="4"/>
        <v>3</v>
      </c>
      <c r="AJ25" s="17">
        <v>3</v>
      </c>
      <c r="AK25" s="18">
        <f t="shared" si="6"/>
        <v>5</v>
      </c>
      <c r="AL25" s="17">
        <v>5</v>
      </c>
      <c r="AM25" s="18">
        <f t="shared" si="6"/>
        <v>0</v>
      </c>
      <c r="AN25" s="17">
        <v>0</v>
      </c>
      <c r="AO25" s="56">
        <f t="shared" si="7"/>
        <v>2</v>
      </c>
      <c r="AP25" s="18"/>
      <c r="AQ25" s="18">
        <f ca="1">IFERROR(OFFSET(ITEM_RES!$A$1,MATCH(AR25,ITEM_RES!$J:$J,0)-1,0),0)</f>
        <v>211010501</v>
      </c>
      <c r="AR25" s="17" t="s">
        <v>421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441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1080</v>
      </c>
      <c r="P26" s="55" t="s">
        <v>1341</v>
      </c>
      <c r="Q26" s="9" t="s">
        <v>670</v>
      </c>
      <c r="T26" s="9">
        <f ca="1">IFERROR(OFFSET(ITEM_RES!$A$5,MATCH(BUILDING!S26,ITEM_RES!$J$5:$J$229,0)-1,0),0)</f>
        <v>0</v>
      </c>
      <c r="V26" s="81" t="s">
        <v>525</v>
      </c>
      <c r="W26" s="11">
        <f ca="1">IFERROR(OFFSET(ITEM_RES!$A$5,MATCH(BUILDING!V26,ITEM_RES!$J$5:$J$229,0)-1,0),0)</f>
        <v>211010201</v>
      </c>
      <c r="Y26" s="9" t="s">
        <v>496</v>
      </c>
      <c r="Z26" s="9">
        <v>2</v>
      </c>
      <c r="AB26" s="11">
        <f ca="1">IFERROR(OFFSET(MANOR_LEVEL!$B$1,MATCH(AC26-1,MANOR_LEVEL!$A:$A,0)-1,0),0)</f>
        <v>32560</v>
      </c>
      <c r="AC26" s="55">
        <v>6</v>
      </c>
      <c r="AE26" s="55">
        <f t="shared" ref="AE26:AE89" ca="1" si="9">ROUND(AF26,0)</f>
        <v>110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110</v>
      </c>
      <c r="AG26" s="176">
        <f ca="1">AE25+AE26</f>
        <v>1165</v>
      </c>
      <c r="AI26" s="11">
        <f t="shared" si="4"/>
        <v>5</v>
      </c>
      <c r="AJ26" s="10">
        <v>5</v>
      </c>
      <c r="AK26" s="11">
        <f t="shared" si="6"/>
        <v>10</v>
      </c>
      <c r="AL26" s="10">
        <v>10</v>
      </c>
      <c r="AM26" s="11">
        <f t="shared" si="6"/>
        <v>0</v>
      </c>
      <c r="AN26" s="10">
        <v>0</v>
      </c>
      <c r="AO26" s="55">
        <f t="shared" si="7"/>
        <v>1</v>
      </c>
      <c r="AQ26" s="11">
        <f ca="1">IFERROR(OFFSET(ITEM_RES!$A$1,MATCH(AR26,ITEM_RES!$J:$J,0)-1,0),0)</f>
        <v>211010501</v>
      </c>
      <c r="AR26" s="10" t="s">
        <v>421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1081</v>
      </c>
      <c r="P27" s="55" t="s">
        <v>1342</v>
      </c>
      <c r="Q27" s="9" t="s">
        <v>670</v>
      </c>
      <c r="T27" s="9">
        <f ca="1">IFERROR(OFFSET(ITEM_RES!$A$5,MATCH(BUILDING!S27,ITEM_RES!$J$5:$J$229,0)-1,0),0)</f>
        <v>0</v>
      </c>
      <c r="V27" s="81" t="s">
        <v>525</v>
      </c>
      <c r="W27" s="11">
        <f ca="1">IFERROR(OFFSET(ITEM_RES!$A$5,MATCH(BUILDING!V27,ITEM_RES!$J$5:$J$229,0)-1,0),0)</f>
        <v>211010201</v>
      </c>
      <c r="Y27" s="9" t="s">
        <v>496</v>
      </c>
      <c r="Z27" s="9">
        <v>3</v>
      </c>
      <c r="AB27" s="11">
        <f ca="1">IFERROR(OFFSET(MANOR_LEVEL!$B$1,MATCH(AC27-1,MANOR_LEVEL!$A:$A,0)-1,0),0)</f>
        <v>108200</v>
      </c>
      <c r="AC27" s="55">
        <v>7</v>
      </c>
      <c r="AE27" s="55">
        <f t="shared" ca="1" si="9"/>
        <v>165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165</v>
      </c>
      <c r="AG27" s="176">
        <f t="shared" ref="AG27:AG44" ca="1" si="10">AE26+AE27</f>
        <v>275</v>
      </c>
      <c r="AI27" s="11">
        <f t="shared" si="4"/>
        <v>5</v>
      </c>
      <c r="AJ27" s="10">
        <v>5</v>
      </c>
      <c r="AK27" s="11">
        <f t="shared" si="6"/>
        <v>15</v>
      </c>
      <c r="AL27" s="10">
        <v>15</v>
      </c>
      <c r="AM27" s="11">
        <f t="shared" si="6"/>
        <v>0</v>
      </c>
      <c r="AN27" s="10">
        <v>0</v>
      </c>
      <c r="AO27" s="55">
        <f t="shared" si="7"/>
        <v>1</v>
      </c>
      <c r="AQ27" s="11">
        <f ca="1">IFERROR(OFFSET(ITEM_RES!$A$1,MATCH(AR27,ITEM_RES!$J:$J,0)-1,0),0)</f>
        <v>211010501</v>
      </c>
      <c r="AR27" s="10" t="s">
        <v>421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1081</v>
      </c>
      <c r="P28" s="55" t="s">
        <v>1342</v>
      </c>
      <c r="Q28" s="9" t="s">
        <v>670</v>
      </c>
      <c r="T28" s="9">
        <f ca="1">IFERROR(OFFSET(ITEM_RES!$A$5,MATCH(BUILDING!S28,ITEM_RES!$J$5:$J$229,0)-1,0),0)</f>
        <v>0</v>
      </c>
      <c r="V28" s="81" t="s">
        <v>525</v>
      </c>
      <c r="W28" s="11">
        <f ca="1">IFERROR(OFFSET(ITEM_RES!$A$5,MATCH(BUILDING!V28,ITEM_RES!$J$5:$J$229,0)-1,0),0)</f>
        <v>211010201</v>
      </c>
      <c r="Y28" s="9" t="s">
        <v>496</v>
      </c>
      <c r="Z28" s="9">
        <v>4</v>
      </c>
      <c r="AB28" s="11">
        <f ca="1">IFERROR(OFFSET(MANOR_LEVEL!$B$1,MATCH(AC28-1,MANOR_LEVEL!$A:$A,0)-1,0),0)</f>
        <v>108200</v>
      </c>
      <c r="AC28" s="55">
        <v>7</v>
      </c>
      <c r="AE28" s="55">
        <f t="shared" ca="1" si="9"/>
        <v>625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625</v>
      </c>
      <c r="AG28" s="176">
        <f t="shared" ca="1" si="10"/>
        <v>790</v>
      </c>
      <c r="AI28" s="11">
        <f t="shared" si="4"/>
        <v>10</v>
      </c>
      <c r="AJ28" s="10">
        <v>10</v>
      </c>
      <c r="AK28" s="11">
        <f t="shared" si="6"/>
        <v>25</v>
      </c>
      <c r="AL28" s="10">
        <v>25</v>
      </c>
      <c r="AM28" s="11">
        <f t="shared" si="6"/>
        <v>0</v>
      </c>
      <c r="AN28" s="10">
        <v>0</v>
      </c>
      <c r="AO28" s="55">
        <f t="shared" si="7"/>
        <v>1</v>
      </c>
      <c r="AQ28" s="11">
        <f ca="1">IFERROR(OFFSET(ITEM_RES!$A$1,MATCH(AR28,ITEM_RES!$J:$J,0)-1,0),0)</f>
        <v>211010501</v>
      </c>
      <c r="AR28" s="10" t="s">
        <v>421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1082</v>
      </c>
      <c r="P29" s="55" t="s">
        <v>1343</v>
      </c>
      <c r="Q29" s="9" t="s">
        <v>670</v>
      </c>
      <c r="T29" s="9">
        <f ca="1">IFERROR(OFFSET(ITEM_RES!$A$5,MATCH(BUILDING!S29,ITEM_RES!$J$5:$J$229,0)-1,0),0)</f>
        <v>0</v>
      </c>
      <c r="V29" s="81" t="s">
        <v>525</v>
      </c>
      <c r="W29" s="11">
        <f ca="1">IFERROR(OFFSET(ITEM_RES!$A$5,MATCH(BUILDING!V29,ITEM_RES!$J$5:$J$229,0)-1,0),0)</f>
        <v>211010201</v>
      </c>
      <c r="Y29" s="9" t="s">
        <v>496</v>
      </c>
      <c r="Z29" s="9">
        <v>5</v>
      </c>
      <c r="AB29" s="11">
        <f ca="1">IFERROR(OFFSET(MANOR_LEVEL!$B$1,MATCH(AC29-1,MANOR_LEVEL!$A:$A,0)-1,0),0)</f>
        <v>108200</v>
      </c>
      <c r="AC29" s="55">
        <v>7</v>
      </c>
      <c r="AE29" s="55">
        <f t="shared" ca="1" si="9"/>
        <v>2740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2740</v>
      </c>
      <c r="AG29" s="176">
        <f t="shared" ca="1" si="10"/>
        <v>3365</v>
      </c>
      <c r="AI29" s="11">
        <f t="shared" si="4"/>
        <v>15</v>
      </c>
      <c r="AJ29" s="10">
        <v>15</v>
      </c>
      <c r="AK29" s="11">
        <f t="shared" si="6"/>
        <v>40</v>
      </c>
      <c r="AL29" s="10">
        <v>40</v>
      </c>
      <c r="AM29" s="11">
        <f t="shared" si="6"/>
        <v>0</v>
      </c>
      <c r="AN29" s="10">
        <v>0</v>
      </c>
      <c r="AO29" s="55">
        <f t="shared" si="7"/>
        <v>1</v>
      </c>
      <c r="AQ29" s="11">
        <f ca="1">IFERROR(OFFSET(ITEM_RES!$A$1,MATCH(AR29,ITEM_RES!$J:$J,0)-1,0),0)</f>
        <v>211010501</v>
      </c>
      <c r="AR29" s="10" t="s">
        <v>421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1083</v>
      </c>
      <c r="P30" s="55" t="s">
        <v>1343</v>
      </c>
      <c r="Q30" s="9" t="s">
        <v>670</v>
      </c>
      <c r="T30" s="9">
        <f ca="1">IFERROR(OFFSET(ITEM_RES!$A$5,MATCH(BUILDING!S30,ITEM_RES!$J$5:$J$229,0)-1,0),0)</f>
        <v>0</v>
      </c>
      <c r="V30" s="81" t="s">
        <v>525</v>
      </c>
      <c r="W30" s="11">
        <f ca="1">IFERROR(OFFSET(ITEM_RES!$A$5,MATCH(BUILDING!V30,ITEM_RES!$J$5:$J$229,0)-1,0),0)</f>
        <v>211010201</v>
      </c>
      <c r="Y30" s="9" t="s">
        <v>496</v>
      </c>
      <c r="Z30" s="9">
        <v>6</v>
      </c>
      <c r="AB30" s="11">
        <f ca="1">IFERROR(OFFSET(MANOR_LEVEL!$B$1,MATCH(AC30-1,MANOR_LEVEL!$A:$A,0)-1,0),0)</f>
        <v>108200</v>
      </c>
      <c r="AC30" s="55">
        <v>7</v>
      </c>
      <c r="AE30" s="55">
        <f t="shared" ca="1" si="9"/>
        <v>9350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9350</v>
      </c>
      <c r="AG30" s="176">
        <f t="shared" ca="1" si="10"/>
        <v>12090</v>
      </c>
      <c r="AI30" s="11">
        <f t="shared" si="4"/>
        <v>30</v>
      </c>
      <c r="AJ30" s="10">
        <v>30</v>
      </c>
      <c r="AK30" s="11">
        <f t="shared" si="6"/>
        <v>50</v>
      </c>
      <c r="AL30" s="10">
        <v>50</v>
      </c>
      <c r="AM30" s="11">
        <f t="shared" si="6"/>
        <v>0</v>
      </c>
      <c r="AN30" s="10">
        <v>0</v>
      </c>
      <c r="AO30" s="55">
        <f t="shared" si="7"/>
        <v>2</v>
      </c>
      <c r="AQ30" s="11">
        <f ca="1">IFERROR(OFFSET(ITEM_RES!$A$1,MATCH(AR30,ITEM_RES!$J:$J,0)-1,0),0)</f>
        <v>211010501</v>
      </c>
      <c r="AR30" s="10" t="s">
        <v>421</v>
      </c>
      <c r="AS30" s="11">
        <v>9000</v>
      </c>
      <c r="AV30" s="11">
        <f ca="1">IFERROR(OFFSET(ITEM_RES!$A$1,MATCH(AW30,ITEM_RES!$J:$J,0)-1,0),0)</f>
        <v>211020101</v>
      </c>
      <c r="AW30" s="10" t="s">
        <v>437</v>
      </c>
      <c r="AX30" s="11">
        <v>600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1084</v>
      </c>
      <c r="P31" s="55" t="s">
        <v>1344</v>
      </c>
      <c r="Q31" s="9" t="s">
        <v>670</v>
      </c>
      <c r="T31" s="9">
        <f ca="1">IFERROR(OFFSET(ITEM_RES!$A$5,MATCH(BUILDING!S31,ITEM_RES!$J$5:$J$229,0)-1,0),0)</f>
        <v>0</v>
      </c>
      <c r="V31" s="81" t="s">
        <v>525</v>
      </c>
      <c r="W31" s="11">
        <f ca="1">IFERROR(OFFSET(ITEM_RES!$A$5,MATCH(BUILDING!V31,ITEM_RES!$J$5:$J$229,0)-1,0),0)</f>
        <v>211010201</v>
      </c>
      <c r="Y31" s="9" t="s">
        <v>496</v>
      </c>
      <c r="Z31" s="9">
        <v>7</v>
      </c>
      <c r="AB31" s="11">
        <f ca="1">IFERROR(OFFSET(MANOR_LEVEL!$B$1,MATCH(AC31-1,MANOR_LEVEL!$A:$A,0)-1,0),0)</f>
        <v>108200</v>
      </c>
      <c r="AC31" s="55">
        <v>7</v>
      </c>
      <c r="AE31" s="55">
        <f t="shared" ca="1" si="9"/>
        <v>21450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21450</v>
      </c>
      <c r="AG31" s="176">
        <f t="shared" ca="1" si="10"/>
        <v>30800</v>
      </c>
      <c r="AI31" s="11">
        <f t="shared" si="4"/>
        <v>300</v>
      </c>
      <c r="AJ31" s="10">
        <v>300</v>
      </c>
      <c r="AK31" s="11">
        <f t="shared" si="6"/>
        <v>100</v>
      </c>
      <c r="AL31" s="10">
        <v>100</v>
      </c>
      <c r="AM31" s="11">
        <f t="shared" si="6"/>
        <v>0</v>
      </c>
      <c r="AN31" s="10">
        <v>0</v>
      </c>
      <c r="AO31" s="55">
        <f t="shared" si="7"/>
        <v>2</v>
      </c>
      <c r="AQ31" s="11">
        <f ca="1">IFERROR(OFFSET(ITEM_RES!$A$1,MATCH(AR31,ITEM_RES!$J:$J,0)-1,0),0)</f>
        <v>211010501</v>
      </c>
      <c r="AR31" s="10" t="s">
        <v>421</v>
      </c>
      <c r="AS31" s="11">
        <v>20000</v>
      </c>
      <c r="AV31" s="11">
        <f ca="1">IFERROR(OFFSET(ITEM_RES!$A$1,MATCH(AW31,ITEM_RES!$J:$J,0)-1,0),0)</f>
        <v>211020101</v>
      </c>
      <c r="AW31" s="10" t="s">
        <v>437</v>
      </c>
      <c r="AX31" s="11">
        <v>2700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1084</v>
      </c>
      <c r="P32" s="55" t="s">
        <v>1344</v>
      </c>
      <c r="Q32" s="9" t="s">
        <v>670</v>
      </c>
      <c r="T32" s="9">
        <f ca="1">IFERROR(OFFSET(ITEM_RES!$A$5,MATCH(BUILDING!S32,ITEM_RES!$J$5:$J$229,0)-1,0),0)</f>
        <v>0</v>
      </c>
      <c r="V32" s="81" t="s">
        <v>525</v>
      </c>
      <c r="W32" s="11">
        <f ca="1">IFERROR(OFFSET(ITEM_RES!$A$5,MATCH(BUILDING!V32,ITEM_RES!$J$5:$J$229,0)-1,0),0)</f>
        <v>211010201</v>
      </c>
      <c r="Y32" s="9" t="s">
        <v>496</v>
      </c>
      <c r="Z32" s="9">
        <v>8</v>
      </c>
      <c r="AB32" s="11">
        <f ca="1">IFERROR(OFFSET(MANOR_LEVEL!$B$1,MATCH(AC32-1,MANOR_LEVEL!$A:$A,0)-1,0),0)</f>
        <v>240400</v>
      </c>
      <c r="AC32" s="55">
        <v>8</v>
      </c>
      <c r="AE32" s="55">
        <f t="shared" ca="1" si="9"/>
        <v>46600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46600</v>
      </c>
      <c r="AG32" s="176">
        <f t="shared" ca="1" si="10"/>
        <v>68050</v>
      </c>
      <c r="AI32" s="11">
        <f t="shared" si="4"/>
        <v>600</v>
      </c>
      <c r="AJ32" s="10">
        <v>600</v>
      </c>
      <c r="AK32" s="11">
        <f t="shared" si="6"/>
        <v>100</v>
      </c>
      <c r="AL32" s="10">
        <v>100</v>
      </c>
      <c r="AM32" s="11">
        <f t="shared" si="6"/>
        <v>0</v>
      </c>
      <c r="AN32" s="10">
        <v>0</v>
      </c>
      <c r="AO32" s="55">
        <f t="shared" si="7"/>
        <v>2</v>
      </c>
      <c r="AQ32" s="11">
        <f ca="1">IFERROR(OFFSET(ITEM_RES!$A$1,MATCH(AR32,ITEM_RES!$J:$J,0)-1,0),0)</f>
        <v>211010501</v>
      </c>
      <c r="AR32" s="10" t="s">
        <v>421</v>
      </c>
      <c r="AS32" s="11">
        <v>42000</v>
      </c>
      <c r="AV32" s="11">
        <f ca="1">IFERROR(OFFSET(ITEM_RES!$A$1,MATCH(AW32,ITEM_RES!$J:$J,0)-1,0),0)</f>
        <v>211020101</v>
      </c>
      <c r="AW32" s="10" t="s">
        <v>437</v>
      </c>
      <c r="AX32" s="11">
        <v>9000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1411</v>
      </c>
      <c r="P33" s="55" t="s">
        <v>1413</v>
      </c>
      <c r="Q33" s="9" t="s">
        <v>670</v>
      </c>
      <c r="T33" s="9">
        <f ca="1">IFERROR(OFFSET(ITEM_RES!$A$5,MATCH(BUILDING!S33,ITEM_RES!$J$5:$J$229,0)-1,0),0)</f>
        <v>0</v>
      </c>
      <c r="V33" s="81" t="s">
        <v>525</v>
      </c>
      <c r="W33" s="11">
        <f ca="1">IFERROR(OFFSET(ITEM_RES!$A$5,MATCH(BUILDING!V33,ITEM_RES!$J$5:$J$229,0)-1,0),0)</f>
        <v>211010201</v>
      </c>
      <c r="Y33" s="9" t="s">
        <v>496</v>
      </c>
      <c r="Z33" s="9">
        <v>9</v>
      </c>
      <c r="AB33" s="11">
        <f ca="1">IFERROR(OFFSET(MANOR_LEVEL!$B$1,MATCH(AC33-1,MANOR_LEVEL!$A:$A,0)-1,0),0)</f>
        <v>240400</v>
      </c>
      <c r="AC33" s="55">
        <v>8</v>
      </c>
      <c r="AE33" s="55">
        <f t="shared" ca="1" si="9"/>
        <v>88150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88150</v>
      </c>
      <c r="AG33" s="176">
        <f t="shared" ca="1" si="10"/>
        <v>134750</v>
      </c>
      <c r="AI33" s="11">
        <f t="shared" si="4"/>
        <v>900</v>
      </c>
      <c r="AJ33" s="10">
        <v>900</v>
      </c>
      <c r="AK33" s="11">
        <f t="shared" si="6"/>
        <v>150</v>
      </c>
      <c r="AL33" s="10">
        <v>150</v>
      </c>
      <c r="AM33" s="11">
        <f t="shared" si="6"/>
        <v>0</v>
      </c>
      <c r="AN33" s="10">
        <v>0</v>
      </c>
      <c r="AO33" s="55">
        <f t="shared" si="7"/>
        <v>2</v>
      </c>
      <c r="AQ33" s="11">
        <f ca="1">IFERROR(OFFSET(ITEM_RES!$A$1,MATCH(AR33,ITEM_RES!$J:$J,0)-1,0),0)</f>
        <v>211010501</v>
      </c>
      <c r="AR33" s="10" t="s">
        <v>421</v>
      </c>
      <c r="AS33" s="11">
        <v>78000</v>
      </c>
      <c r="AV33" s="11">
        <f ca="1">IFERROR(OFFSET(ITEM_RES!$A$1,MATCH(AW33,ITEM_RES!$J:$J,0)-1,0),0)</f>
        <v>211020101</v>
      </c>
      <c r="AW33" s="10" t="s">
        <v>437</v>
      </c>
      <c r="AX33" s="11">
        <v>20000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1411</v>
      </c>
      <c r="P34" s="55" t="s">
        <v>1413</v>
      </c>
      <c r="Q34" s="9" t="s">
        <v>670</v>
      </c>
      <c r="T34" s="9">
        <f ca="1">IFERROR(OFFSET(ITEM_RES!$A$5,MATCH(BUILDING!S34,ITEM_RES!$J$5:$J$229,0)-1,0),0)</f>
        <v>0</v>
      </c>
      <c r="V34" s="81" t="s">
        <v>525</v>
      </c>
      <c r="W34" s="11">
        <f ca="1">IFERROR(OFFSET(ITEM_RES!$A$5,MATCH(BUILDING!V34,ITEM_RES!$J$5:$J$229,0)-1,0),0)</f>
        <v>211010201</v>
      </c>
      <c r="Y34" s="9" t="s">
        <v>496</v>
      </c>
      <c r="Z34" s="9">
        <v>10</v>
      </c>
      <c r="AB34" s="11">
        <f ca="1">IFERROR(OFFSET(MANOR_LEVEL!$B$1,MATCH(AC34-1,MANOR_LEVEL!$A:$A,0)-1,0),0)</f>
        <v>240400</v>
      </c>
      <c r="AC34" s="55">
        <v>8</v>
      </c>
      <c r="AE34" s="55">
        <f t="shared" ca="1" si="9"/>
        <v>151200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151200</v>
      </c>
      <c r="AG34" s="176">
        <f t="shared" ca="1" si="10"/>
        <v>239350</v>
      </c>
      <c r="AI34" s="11">
        <f t="shared" si="4"/>
        <v>1200</v>
      </c>
      <c r="AJ34" s="10">
        <v>1200</v>
      </c>
      <c r="AK34" s="11">
        <f t="shared" si="6"/>
        <v>200</v>
      </c>
      <c r="AL34" s="10">
        <v>200</v>
      </c>
      <c r="AM34" s="11">
        <f t="shared" si="6"/>
        <v>0</v>
      </c>
      <c r="AN34" s="10">
        <v>0</v>
      </c>
      <c r="AO34" s="55">
        <f t="shared" si="7"/>
        <v>2</v>
      </c>
      <c r="AQ34" s="11">
        <f ca="1">IFERROR(OFFSET(ITEM_RES!$A$1,MATCH(AR34,ITEM_RES!$J:$J,0)-1,0),0)</f>
        <v>211010501</v>
      </c>
      <c r="AR34" s="10" t="s">
        <v>421</v>
      </c>
      <c r="AS34" s="11">
        <v>130000</v>
      </c>
      <c r="AV34" s="11">
        <f ca="1">IFERROR(OFFSET(ITEM_RES!$A$1,MATCH(AW34,ITEM_RES!$J:$J,0)-1,0),0)</f>
        <v>211020101</v>
      </c>
      <c r="AW34" s="10" t="s">
        <v>437</v>
      </c>
      <c r="AX34" s="11">
        <v>42000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1410</v>
      </c>
      <c r="P35" s="55" t="s">
        <v>1412</v>
      </c>
      <c r="Q35" s="9" t="s">
        <v>670</v>
      </c>
      <c r="T35" s="9">
        <f ca="1">IFERROR(OFFSET(ITEM_RES!$A$5,MATCH(BUILDING!S35,ITEM_RES!$J$5:$J$229,0)-1,0),0)</f>
        <v>0</v>
      </c>
      <c r="V35" s="81" t="s">
        <v>525</v>
      </c>
      <c r="W35" s="11">
        <f ca="1">IFERROR(OFFSET(ITEM_RES!$A$5,MATCH(BUILDING!V35,ITEM_RES!$J$5:$J$229,0)-1,0),0)</f>
        <v>211010201</v>
      </c>
      <c r="Y35" s="9" t="s">
        <v>496</v>
      </c>
      <c r="Z35" s="9">
        <v>11</v>
      </c>
      <c r="AB35" s="11">
        <f ca="1">IFERROR(OFFSET(MANOR_LEVEL!$B$1,MATCH(AC35-1,MANOR_LEVEL!$A:$A,0)-1,0),0)</f>
        <v>240400</v>
      </c>
      <c r="AC35" s="55">
        <v>8</v>
      </c>
      <c r="AE35" s="55">
        <f t="shared" ca="1" si="9"/>
        <v>259250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259250</v>
      </c>
      <c r="AG35" s="176">
        <f t="shared" ca="1" si="10"/>
        <v>410450</v>
      </c>
      <c r="AI35" s="11">
        <f t="shared" si="4"/>
        <v>1500</v>
      </c>
      <c r="AJ35" s="10">
        <v>1500</v>
      </c>
      <c r="AK35" s="11">
        <f t="shared" si="6"/>
        <v>250</v>
      </c>
      <c r="AL35" s="10">
        <v>250</v>
      </c>
      <c r="AM35" s="11">
        <f t="shared" si="6"/>
        <v>0</v>
      </c>
      <c r="AN35" s="10">
        <v>0</v>
      </c>
      <c r="AO35" s="55">
        <f t="shared" si="7"/>
        <v>2</v>
      </c>
      <c r="AQ35" s="11">
        <f ca="1">IFERROR(OFFSET(ITEM_RES!$A$1,MATCH(AR35,ITEM_RES!$J:$J,0)-1,0),0)</f>
        <v>211010501</v>
      </c>
      <c r="AR35" s="10" t="s">
        <v>421</v>
      </c>
      <c r="AS35" s="11">
        <v>220000</v>
      </c>
      <c r="AV35" s="11">
        <f ca="1">IFERROR(OFFSET(ITEM_RES!$A$1,MATCH(AW35,ITEM_RES!$J:$J,0)-1,0),0)</f>
        <v>211020101</v>
      </c>
      <c r="AW35" s="10" t="s">
        <v>437</v>
      </c>
      <c r="AX35" s="11">
        <v>78000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1410</v>
      </c>
      <c r="P36" s="55" t="s">
        <v>1412</v>
      </c>
      <c r="Q36" s="9" t="s">
        <v>670</v>
      </c>
      <c r="T36" s="9">
        <f ca="1">IFERROR(OFFSET(ITEM_RES!$A$5,MATCH(BUILDING!S36,ITEM_RES!$J$5:$J$229,0)-1,0),0)</f>
        <v>0</v>
      </c>
      <c r="V36" s="81" t="s">
        <v>525</v>
      </c>
      <c r="W36" s="11">
        <f ca="1">IFERROR(OFFSET(ITEM_RES!$A$5,MATCH(BUILDING!V36,ITEM_RES!$J$5:$J$229,0)-1,0),0)</f>
        <v>211010201</v>
      </c>
      <c r="Y36" s="9" t="s">
        <v>496</v>
      </c>
      <c r="Z36" s="9">
        <v>12</v>
      </c>
      <c r="AB36" s="11">
        <f ca="1">IFERROR(OFFSET(MANOR_LEVEL!$B$1,MATCH(AC36-1,MANOR_LEVEL!$A:$A,0)-1,0),0)</f>
        <v>240400</v>
      </c>
      <c r="AC36" s="55">
        <v>8</v>
      </c>
      <c r="AE36" s="55">
        <f t="shared" ca="1" si="9"/>
        <v>435300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435300</v>
      </c>
      <c r="AG36" s="176">
        <f t="shared" ca="1" si="10"/>
        <v>694550</v>
      </c>
      <c r="AI36" s="11">
        <f t="shared" si="4"/>
        <v>1800</v>
      </c>
      <c r="AJ36" s="10">
        <v>1800</v>
      </c>
      <c r="AK36" s="11">
        <f t="shared" si="6"/>
        <v>300</v>
      </c>
      <c r="AL36" s="10">
        <v>300</v>
      </c>
      <c r="AM36" s="11">
        <f t="shared" si="6"/>
        <v>0</v>
      </c>
      <c r="AN36" s="10">
        <v>0</v>
      </c>
      <c r="AO36" s="55">
        <f t="shared" si="7"/>
        <v>2</v>
      </c>
      <c r="AQ36" s="11">
        <f ca="1">IFERROR(OFFSET(ITEM_RES!$A$1,MATCH(AR36,ITEM_RES!$J:$J,0)-1,0),0)</f>
        <v>211010501</v>
      </c>
      <c r="AR36" s="10" t="s">
        <v>421</v>
      </c>
      <c r="AS36" s="11">
        <v>370000</v>
      </c>
      <c r="AV36" s="11">
        <f ca="1">IFERROR(OFFSET(ITEM_RES!$A$1,MATCH(AW36,ITEM_RES!$J:$J,0)-1,0),0)</f>
        <v>211020101</v>
      </c>
      <c r="AW36" s="10" t="s">
        <v>437</v>
      </c>
      <c r="AX36" s="11">
        <v>130000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1410</v>
      </c>
      <c r="P37" s="55" t="s">
        <v>1412</v>
      </c>
      <c r="Q37" s="9" t="s">
        <v>670</v>
      </c>
      <c r="T37" s="9">
        <f ca="1">IFERROR(OFFSET(ITEM_RES!$A$5,MATCH(BUILDING!S37,ITEM_RES!$J$5:$J$229,0)-1,0),0)</f>
        <v>0</v>
      </c>
      <c r="V37" s="81" t="s">
        <v>525</v>
      </c>
      <c r="W37" s="11">
        <f ca="1">IFERROR(OFFSET(ITEM_RES!$A$5,MATCH(BUILDING!V37,ITEM_RES!$J$5:$J$229,0)-1,0),0)</f>
        <v>211010201</v>
      </c>
      <c r="Y37" s="9" t="s">
        <v>496</v>
      </c>
      <c r="Z37" s="9">
        <v>13</v>
      </c>
      <c r="AB37" s="11">
        <f ca="1">IFERROR(OFFSET(MANOR_LEVEL!$B$1,MATCH(AC37-1,MANOR_LEVEL!$A:$A,0)-1,0),0)</f>
        <v>240400</v>
      </c>
      <c r="AC37" s="55">
        <v>8</v>
      </c>
      <c r="AE37" s="55">
        <f t="shared" ca="1" si="9"/>
        <v>730350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730350</v>
      </c>
      <c r="AG37" s="176">
        <f t="shared" ca="1" si="10"/>
        <v>1165650</v>
      </c>
      <c r="AI37" s="11">
        <f t="shared" si="4"/>
        <v>2100</v>
      </c>
      <c r="AJ37" s="10">
        <v>2100</v>
      </c>
      <c r="AK37" s="11">
        <f t="shared" si="6"/>
        <v>350</v>
      </c>
      <c r="AL37" s="10">
        <v>350</v>
      </c>
      <c r="AM37" s="11">
        <f t="shared" si="6"/>
        <v>0</v>
      </c>
      <c r="AN37" s="10">
        <v>0</v>
      </c>
      <c r="AO37" s="55">
        <f t="shared" si="7"/>
        <v>2</v>
      </c>
      <c r="AQ37" s="11">
        <f ca="1">IFERROR(OFFSET(ITEM_RES!$A$1,MATCH(AR37,ITEM_RES!$J:$J,0)-1,0),0)</f>
        <v>211010501</v>
      </c>
      <c r="AR37" s="10" t="s">
        <v>421</v>
      </c>
      <c r="AS37" s="11">
        <v>620000</v>
      </c>
      <c r="AV37" s="11">
        <f ca="1">IFERROR(OFFSET(ITEM_RES!$A$1,MATCH(AW37,ITEM_RES!$J:$J,0)-1,0),0)</f>
        <v>211020101</v>
      </c>
      <c r="AW37" s="10" t="s">
        <v>437</v>
      </c>
      <c r="AX37" s="11">
        <v>220000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1410</v>
      </c>
      <c r="P38" s="55" t="s">
        <v>1412</v>
      </c>
      <c r="Q38" s="9" t="s">
        <v>670</v>
      </c>
      <c r="T38" s="9">
        <f ca="1">IFERROR(OFFSET(ITEM_RES!$A$5,MATCH(BUILDING!S38,ITEM_RES!$J$5:$J$229,0)-1,0),0)</f>
        <v>0</v>
      </c>
      <c r="V38" s="81" t="s">
        <v>525</v>
      </c>
      <c r="W38" s="11">
        <f ca="1">IFERROR(OFFSET(ITEM_RES!$A$5,MATCH(BUILDING!V38,ITEM_RES!$J$5:$J$229,0)-1,0),0)</f>
        <v>211010201</v>
      </c>
      <c r="Y38" s="9" t="s">
        <v>496</v>
      </c>
      <c r="Z38" s="9">
        <v>14</v>
      </c>
      <c r="AB38" s="11">
        <f ca="1">IFERROR(OFFSET(MANOR_LEVEL!$B$1,MATCH(AC38-1,MANOR_LEVEL!$A:$A,0)-1,0),0)</f>
        <v>240400</v>
      </c>
      <c r="AC38" s="55">
        <v>8</v>
      </c>
      <c r="AE38" s="55">
        <f t="shared" ca="1" si="9"/>
        <v>1155450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1155450</v>
      </c>
      <c r="AG38" s="176">
        <f t="shared" ca="1" si="10"/>
        <v>1885800</v>
      </c>
      <c r="AI38" s="11">
        <f t="shared" si="4"/>
        <v>2400</v>
      </c>
      <c r="AJ38" s="10">
        <v>2400</v>
      </c>
      <c r="AK38" s="11">
        <f t="shared" si="6"/>
        <v>450</v>
      </c>
      <c r="AL38" s="10">
        <v>450</v>
      </c>
      <c r="AM38" s="11">
        <f t="shared" si="6"/>
        <v>0</v>
      </c>
      <c r="AN38" s="10">
        <v>0</v>
      </c>
      <c r="AO38" s="55">
        <f t="shared" si="7"/>
        <v>2</v>
      </c>
      <c r="AQ38" s="11">
        <f ca="1">IFERROR(OFFSET(ITEM_RES!$A$1,MATCH(AR38,ITEM_RES!$J:$J,0)-1,0),0)</f>
        <v>211010501</v>
      </c>
      <c r="AR38" s="10" t="s">
        <v>421</v>
      </c>
      <c r="AS38" s="11">
        <v>970000</v>
      </c>
      <c r="AV38" s="11">
        <f ca="1">IFERROR(OFFSET(ITEM_RES!$A$1,MATCH(AW38,ITEM_RES!$J:$J,0)-1,0),0)</f>
        <v>211020101</v>
      </c>
      <c r="AW38" s="10" t="s">
        <v>437</v>
      </c>
      <c r="AX38" s="11">
        <v>370000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1410</v>
      </c>
      <c r="P39" s="55" t="s">
        <v>1412</v>
      </c>
      <c r="Q39" s="9" t="s">
        <v>670</v>
      </c>
      <c r="T39" s="9">
        <f ca="1">IFERROR(OFFSET(ITEM_RES!$A$5,MATCH(BUILDING!S39,ITEM_RES!$J$5:$J$229,0)-1,0),0)</f>
        <v>0</v>
      </c>
      <c r="V39" s="81" t="s">
        <v>525</v>
      </c>
      <c r="W39" s="11">
        <f ca="1">IFERROR(OFFSET(ITEM_RES!$A$5,MATCH(BUILDING!V39,ITEM_RES!$J$5:$J$229,0)-1,0),0)</f>
        <v>211010201</v>
      </c>
      <c r="Y39" s="9" t="s">
        <v>496</v>
      </c>
      <c r="Z39" s="9">
        <v>15</v>
      </c>
      <c r="AB39" s="11">
        <f ca="1">IFERROR(OFFSET(MANOR_LEVEL!$B$1,MATCH(AC39-1,MANOR_LEVEL!$A:$A,0)-1,0),0)</f>
        <v>240400</v>
      </c>
      <c r="AC39" s="55">
        <v>8</v>
      </c>
      <c r="AE39" s="55">
        <f t="shared" ca="1" si="9"/>
        <v>2830550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2830550</v>
      </c>
      <c r="AG39" s="176">
        <f t="shared" ca="1" si="10"/>
        <v>3986000</v>
      </c>
      <c r="AI39" s="11">
        <f t="shared" si="4"/>
        <v>2700</v>
      </c>
      <c r="AJ39" s="10">
        <v>2700</v>
      </c>
      <c r="AK39" s="11">
        <f t="shared" si="6"/>
        <v>550</v>
      </c>
      <c r="AL39" s="10">
        <v>550</v>
      </c>
      <c r="AM39" s="11">
        <f t="shared" si="6"/>
        <v>0</v>
      </c>
      <c r="AN39" s="10">
        <v>0</v>
      </c>
      <c r="AO39" s="55">
        <f t="shared" si="7"/>
        <v>2</v>
      </c>
      <c r="AQ39" s="11">
        <f ca="1">IFERROR(OFFSET(ITEM_RES!$A$1,MATCH(AR39,ITEM_RES!$J:$J,0)-1,0),0)</f>
        <v>211010601</v>
      </c>
      <c r="AR39" s="10" t="s">
        <v>433</v>
      </c>
      <c r="AS39" s="11">
        <v>2100000</v>
      </c>
      <c r="AV39" s="11">
        <f ca="1">IFERROR(OFFSET(ITEM_RES!$A$1,MATCH(AW39,ITEM_RES!$J:$J,0)-1,0),0)</f>
        <v>211020101</v>
      </c>
      <c r="AW39" s="10" t="s">
        <v>437</v>
      </c>
      <c r="AX39" s="11">
        <v>620000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1410</v>
      </c>
      <c r="P40" s="55" t="s">
        <v>1412</v>
      </c>
      <c r="Q40" s="9" t="s">
        <v>670</v>
      </c>
      <c r="T40" s="9">
        <f ca="1">IFERROR(OFFSET(ITEM_RES!$A$5,MATCH(BUILDING!S40,ITEM_RES!$J$5:$J$229,0)-1,0),0)</f>
        <v>0</v>
      </c>
      <c r="V40" s="81" t="s">
        <v>525</v>
      </c>
      <c r="W40" s="11">
        <f ca="1">IFERROR(OFFSET(ITEM_RES!$A$5,MATCH(BUILDING!V40,ITEM_RES!$J$5:$J$229,0)-1,0),0)</f>
        <v>211010201</v>
      </c>
      <c r="Y40" s="9" t="s">
        <v>496</v>
      </c>
      <c r="Z40" s="9">
        <v>16</v>
      </c>
      <c r="AB40" s="11">
        <f ca="1">IFERROR(OFFSET(MANOR_LEVEL!$B$1,MATCH(AC40-1,MANOR_LEVEL!$A:$A,0)-1,0),0)</f>
        <v>630500</v>
      </c>
      <c r="AC40" s="55">
        <v>9</v>
      </c>
      <c r="AE40" s="55">
        <f t="shared" ca="1" si="9"/>
        <v>5645700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5645700</v>
      </c>
      <c r="AG40" s="176">
        <f t="shared" ca="1" si="10"/>
        <v>8476250</v>
      </c>
      <c r="AI40" s="11">
        <f t="shared" si="4"/>
        <v>3000</v>
      </c>
      <c r="AJ40" s="10">
        <v>3000</v>
      </c>
      <c r="AK40" s="11">
        <f t="shared" si="6"/>
        <v>700</v>
      </c>
      <c r="AL40" s="10">
        <v>700</v>
      </c>
      <c r="AM40" s="11">
        <f t="shared" si="6"/>
        <v>0</v>
      </c>
      <c r="AN40" s="10">
        <v>0</v>
      </c>
      <c r="AO40" s="55">
        <f t="shared" si="7"/>
        <v>2</v>
      </c>
      <c r="AQ40" s="11">
        <f ca="1">IFERROR(OFFSET(ITEM_RES!$A$1,MATCH(AR40,ITEM_RES!$J:$J,0)-1,0),0)</f>
        <v>211010601</v>
      </c>
      <c r="AR40" s="10" t="s">
        <v>433</v>
      </c>
      <c r="AS40" s="11">
        <v>4300000</v>
      </c>
      <c r="AV40" s="11">
        <f ca="1">IFERROR(OFFSET(ITEM_RES!$A$1,MATCH(AW40,ITEM_RES!$J:$J,0)-1,0),0)</f>
        <v>211020101</v>
      </c>
      <c r="AW40" s="10" t="s">
        <v>437</v>
      </c>
      <c r="AX40" s="11">
        <v>970000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1410</v>
      </c>
      <c r="P41" s="55" t="s">
        <v>1412</v>
      </c>
      <c r="Q41" s="9" t="s">
        <v>670</v>
      </c>
      <c r="T41" s="9">
        <f ca="1">IFERROR(OFFSET(ITEM_RES!$A$5,MATCH(BUILDING!S41,ITEM_RES!$J$5:$J$229,0)-1,0),0)</f>
        <v>0</v>
      </c>
      <c r="V41" s="81" t="s">
        <v>525</v>
      </c>
      <c r="W41" s="11">
        <f ca="1">IFERROR(OFFSET(ITEM_RES!$A$5,MATCH(BUILDING!V41,ITEM_RES!$J$5:$J$229,0)-1,0),0)</f>
        <v>211010201</v>
      </c>
      <c r="Y41" s="9" t="s">
        <v>496</v>
      </c>
      <c r="Z41" s="9">
        <v>17</v>
      </c>
      <c r="AB41" s="11">
        <f ca="1">IFERROR(OFFSET(MANOR_LEVEL!$B$1,MATCH(AC41-1,MANOR_LEVEL!$A:$A,0)-1,0),0)</f>
        <v>1170750</v>
      </c>
      <c r="AC41" s="55">
        <v>10</v>
      </c>
      <c r="AE41" s="55">
        <f t="shared" ca="1" si="9"/>
        <v>10650850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10650850</v>
      </c>
      <c r="AG41" s="176">
        <f t="shared" ca="1" si="10"/>
        <v>16296550</v>
      </c>
      <c r="AI41" s="11">
        <f t="shared" si="4"/>
        <v>3300</v>
      </c>
      <c r="AJ41" s="10">
        <v>3300</v>
      </c>
      <c r="AK41" s="11">
        <f t="shared" si="6"/>
        <v>850</v>
      </c>
      <c r="AL41" s="10">
        <v>850</v>
      </c>
      <c r="AM41" s="11">
        <f t="shared" si="6"/>
        <v>0</v>
      </c>
      <c r="AN41" s="10">
        <v>0</v>
      </c>
      <c r="AO41" s="55">
        <f t="shared" si="7"/>
        <v>2</v>
      </c>
      <c r="AQ41" s="11">
        <f ca="1">IFERROR(OFFSET(ITEM_RES!$A$1,MATCH(AR41,ITEM_RES!$J:$J,0)-1,0),0)</f>
        <v>211010601</v>
      </c>
      <c r="AR41" s="10" t="s">
        <v>433</v>
      </c>
      <c r="AS41" s="11">
        <v>8000000</v>
      </c>
      <c r="AV41" s="11">
        <f ca="1">IFERROR(OFFSET(ITEM_RES!$A$1,MATCH(AW41,ITEM_RES!$J:$J,0)-1,0),0)</f>
        <v>211020101</v>
      </c>
      <c r="AW41" s="10" t="s">
        <v>437</v>
      </c>
      <c r="AX41" s="11">
        <v>2100000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1410</v>
      </c>
      <c r="P42" s="55" t="s">
        <v>1412</v>
      </c>
      <c r="Q42" s="9" t="s">
        <v>670</v>
      </c>
      <c r="T42" s="9">
        <f ca="1">IFERROR(OFFSET(ITEM_RES!$A$5,MATCH(BUILDING!S42,ITEM_RES!$J$5:$J$229,0)-1,0),0)</f>
        <v>0</v>
      </c>
      <c r="V42" s="81" t="s">
        <v>525</v>
      </c>
      <c r="W42" s="11">
        <f ca="1">IFERROR(OFFSET(ITEM_RES!$A$5,MATCH(BUILDING!V42,ITEM_RES!$J$5:$J$229,0)-1,0),0)</f>
        <v>211010201</v>
      </c>
      <c r="Y42" s="9" t="s">
        <v>496</v>
      </c>
      <c r="Z42" s="9">
        <v>18</v>
      </c>
      <c r="AB42" s="11">
        <f ca="1">IFERROR(OFFSET(MANOR_LEVEL!$B$1,MATCH(AC42-1,MANOR_LEVEL!$A:$A,0)-1,0),0)</f>
        <v>1956000</v>
      </c>
      <c r="AC42" s="55">
        <v>11</v>
      </c>
      <c r="AE42" s="55">
        <f t="shared" ca="1" si="9"/>
        <v>17751050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17751050</v>
      </c>
      <c r="AG42" s="176">
        <f t="shared" ca="1" si="10"/>
        <v>28401900</v>
      </c>
      <c r="AI42" s="11">
        <f t="shared" si="4"/>
        <v>3600</v>
      </c>
      <c r="AJ42" s="10">
        <v>3600</v>
      </c>
      <c r="AK42" s="11">
        <f t="shared" si="6"/>
        <v>1050</v>
      </c>
      <c r="AL42" s="10">
        <v>1050</v>
      </c>
      <c r="AM42" s="11">
        <f t="shared" si="6"/>
        <v>0</v>
      </c>
      <c r="AN42" s="10">
        <v>0</v>
      </c>
      <c r="AO42" s="55">
        <f t="shared" si="7"/>
        <v>2</v>
      </c>
      <c r="AQ42" s="11">
        <f ca="1">IFERROR(OFFSET(ITEM_RES!$A$1,MATCH(AR42,ITEM_RES!$J:$J,0)-1,0),0)</f>
        <v>211010601</v>
      </c>
      <c r="AR42" s="10" t="s">
        <v>433</v>
      </c>
      <c r="AS42" s="11">
        <v>13000000</v>
      </c>
      <c r="AV42" s="11">
        <f ca="1">IFERROR(OFFSET(ITEM_RES!$A$1,MATCH(AW42,ITEM_RES!$J:$J,0)-1,0),0)</f>
        <v>211020101</v>
      </c>
      <c r="AW42" s="10" t="s">
        <v>437</v>
      </c>
      <c r="AX42" s="11">
        <v>4300000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1410</v>
      </c>
      <c r="P43" s="55" t="s">
        <v>1412</v>
      </c>
      <c r="Q43" s="9" t="s">
        <v>670</v>
      </c>
      <c r="T43" s="9">
        <f ca="1">IFERROR(OFFSET(ITEM_RES!$A$5,MATCH(BUILDING!S43,ITEM_RES!$J$5:$J$229,0)-1,0),0)</f>
        <v>0</v>
      </c>
      <c r="V43" s="81" t="s">
        <v>525</v>
      </c>
      <c r="W43" s="11">
        <f ca="1">IFERROR(OFFSET(ITEM_RES!$A$5,MATCH(BUILDING!V43,ITEM_RES!$J$5:$J$229,0)-1,0),0)</f>
        <v>211010201</v>
      </c>
      <c r="Y43" s="9" t="s">
        <v>496</v>
      </c>
      <c r="Z43" s="9">
        <v>19</v>
      </c>
      <c r="AB43" s="11">
        <f ca="1">IFERROR(OFFSET(MANOR_LEVEL!$B$1,MATCH(AC43-1,MANOR_LEVEL!$A:$A,0)-1,0),0)</f>
        <v>3961500</v>
      </c>
      <c r="AC43" s="55">
        <v>12</v>
      </c>
      <c r="AE43" s="55">
        <f t="shared" ca="1" si="9"/>
        <v>28001250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28001250</v>
      </c>
      <c r="AG43" s="176">
        <f t="shared" ca="1" si="10"/>
        <v>45752300</v>
      </c>
      <c r="AI43" s="11">
        <f t="shared" si="4"/>
        <v>3900</v>
      </c>
      <c r="AJ43" s="10">
        <v>3900</v>
      </c>
      <c r="AK43" s="11">
        <f t="shared" si="6"/>
        <v>1250</v>
      </c>
      <c r="AL43" s="10">
        <v>1250</v>
      </c>
      <c r="AM43" s="11">
        <f t="shared" si="6"/>
        <v>0</v>
      </c>
      <c r="AN43" s="10">
        <v>0</v>
      </c>
      <c r="AO43" s="55">
        <f t="shared" si="7"/>
        <v>2</v>
      </c>
      <c r="AQ43" s="11">
        <f ca="1">IFERROR(OFFSET(ITEM_RES!$A$1,MATCH(AR43,ITEM_RES!$J:$J,0)-1,0),0)</f>
        <v>211010601</v>
      </c>
      <c r="AR43" s="10" t="s">
        <v>433</v>
      </c>
      <c r="AS43" s="11">
        <v>20000000</v>
      </c>
      <c r="AV43" s="11">
        <f ca="1">IFERROR(OFFSET(ITEM_RES!$A$1,MATCH(AW43,ITEM_RES!$J:$J,0)-1,0),0)</f>
        <v>211020101</v>
      </c>
      <c r="AW43" s="10" t="s">
        <v>437</v>
      </c>
      <c r="AX43" s="11">
        <v>8000000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1410</v>
      </c>
      <c r="P44" s="55" t="s">
        <v>1412</v>
      </c>
      <c r="Q44" s="9" t="s">
        <v>670</v>
      </c>
      <c r="T44" s="9">
        <f ca="1">IFERROR(OFFSET(ITEM_RES!$A$5,MATCH(BUILDING!S44,ITEM_RES!$J$5:$J$229,0)-1,0),0)</f>
        <v>0</v>
      </c>
      <c r="V44" s="81" t="s">
        <v>525</v>
      </c>
      <c r="W44" s="11">
        <f ca="1">IFERROR(OFFSET(ITEM_RES!$A$5,MATCH(BUILDING!V44,ITEM_RES!$J$5:$J$229,0)-1,0),0)</f>
        <v>211010201</v>
      </c>
      <c r="Y44" s="9" t="s">
        <v>496</v>
      </c>
      <c r="Z44" s="9">
        <v>20</v>
      </c>
      <c r="AB44" s="11">
        <f ca="1">IFERROR(OFFSET(MANOR_LEVEL!$B$1,MATCH(AC44-1,MANOR_LEVEL!$A:$A,0)-1,0),0)</f>
        <v>7772100</v>
      </c>
      <c r="AC44" s="55">
        <v>13</v>
      </c>
      <c r="AE44" s="55">
        <f t="shared" ca="1" si="9"/>
        <v>44901500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44901500</v>
      </c>
      <c r="AG44" s="176">
        <f t="shared" ca="1" si="10"/>
        <v>72902750</v>
      </c>
      <c r="AI44" s="11">
        <f t="shared" si="4"/>
        <v>4200</v>
      </c>
      <c r="AJ44" s="10">
        <v>4200</v>
      </c>
      <c r="AK44" s="11">
        <f t="shared" si="6"/>
        <v>1500</v>
      </c>
      <c r="AL44" s="10">
        <v>1500</v>
      </c>
      <c r="AM44" s="11">
        <f t="shared" si="6"/>
        <v>0</v>
      </c>
      <c r="AN44" s="10">
        <v>0</v>
      </c>
      <c r="AO44" s="55">
        <f t="shared" si="7"/>
        <v>2</v>
      </c>
      <c r="AQ44" s="11">
        <f ca="1">IFERROR(OFFSET(ITEM_RES!$A$1,MATCH(AR44,ITEM_RES!$J:$J,0)-1,0),0)</f>
        <v>211010601</v>
      </c>
      <c r="AR44" s="10" t="s">
        <v>433</v>
      </c>
      <c r="AS44" s="11">
        <v>32000000</v>
      </c>
      <c r="AV44" s="11">
        <f ca="1">IFERROR(OFFSET(ITEM_RES!$A$1,MATCH(AW44,ITEM_RES!$J:$J,0)-1,0),0)</f>
        <v>211020101</v>
      </c>
      <c r="AW44" s="10" t="s">
        <v>437</v>
      </c>
      <c r="AX44" s="11">
        <v>13000000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1330</v>
      </c>
      <c r="L45" s="16">
        <v>4</v>
      </c>
      <c r="M45" s="16">
        <v>1</v>
      </c>
      <c r="N45" s="16">
        <v>15</v>
      </c>
      <c r="O45" s="16" t="s">
        <v>1067</v>
      </c>
      <c r="P45" s="56" t="s">
        <v>1345</v>
      </c>
      <c r="Q45" s="16" t="s">
        <v>671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526</v>
      </c>
      <c r="W45" s="18">
        <f ca="1">IFERROR(OFFSET(ITEM_RES!$A$5,MATCH(BUILDING!V45,ITEM_RES!$J$5:$J$229,0)-1,0),0)</f>
        <v>211010301</v>
      </c>
      <c r="X45" s="76"/>
      <c r="Y45" s="16" t="s">
        <v>497</v>
      </c>
      <c r="Z45" s="16">
        <v>1</v>
      </c>
      <c r="AA45" s="76"/>
      <c r="AB45" s="18">
        <f ca="1">IFERROR(OFFSET(MANOR_LEVEL!$B$1,MATCH(AC45-1,MANOR_LEVEL!$A:$A,0)-1,0),0)</f>
        <v>5475</v>
      </c>
      <c r="AC45" s="56">
        <v>5</v>
      </c>
      <c r="AD45" s="76"/>
      <c r="AE45" s="56">
        <f t="shared" ca="1" si="9"/>
        <v>1055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1055</v>
      </c>
      <c r="AG45" s="178">
        <f ca="1">AE45</f>
        <v>1055</v>
      </c>
      <c r="AH45" s="76"/>
      <c r="AI45" s="18">
        <f t="shared" si="4"/>
        <v>3</v>
      </c>
      <c r="AJ45" s="17">
        <v>3</v>
      </c>
      <c r="AK45" s="18">
        <f t="shared" si="6"/>
        <v>5</v>
      </c>
      <c r="AL45" s="17">
        <v>5</v>
      </c>
      <c r="AM45" s="18">
        <f t="shared" si="6"/>
        <v>0</v>
      </c>
      <c r="AN45" s="17">
        <v>0</v>
      </c>
      <c r="AO45" s="56">
        <f t="shared" si="7"/>
        <v>2</v>
      </c>
      <c r="AP45" s="18"/>
      <c r="AQ45" s="18">
        <f ca="1">IFERROR(OFFSET(ITEM_RES!$A$1,MATCH(AR45,ITEM_RES!$J:$J,0)-1,0),0)</f>
        <v>211010501</v>
      </c>
      <c r="AR45" s="17" t="s">
        <v>422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441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1330</v>
      </c>
      <c r="M46" s="9">
        <v>1</v>
      </c>
      <c r="N46" s="9">
        <v>15</v>
      </c>
      <c r="O46" s="9" t="s">
        <v>1068</v>
      </c>
      <c r="P46" s="55" t="s">
        <v>1345</v>
      </c>
      <c r="Q46" s="9" t="s">
        <v>671</v>
      </c>
      <c r="T46" s="9">
        <f ca="1">IFERROR(OFFSET(ITEM_RES!$A$5,MATCH(BUILDING!S46,ITEM_RES!$J$5:$J$229,0)-1,0),0)</f>
        <v>0</v>
      </c>
      <c r="V46" s="81" t="s">
        <v>526</v>
      </c>
      <c r="W46" s="11">
        <f ca="1">IFERROR(OFFSET(ITEM_RES!$A$5,MATCH(BUILDING!V46,ITEM_RES!$J$5:$J$229,0)-1,0),0)</f>
        <v>211010301</v>
      </c>
      <c r="Y46" s="9" t="s">
        <v>497</v>
      </c>
      <c r="Z46" s="9">
        <v>2</v>
      </c>
      <c r="AB46" s="11">
        <f ca="1">IFERROR(OFFSET(MANOR_LEVEL!$B$1,MATCH(AC46-1,MANOR_LEVEL!$A:$A,0)-1,0),0)</f>
        <v>5475</v>
      </c>
      <c r="AC46" s="55">
        <v>5</v>
      </c>
      <c r="AE46" s="55">
        <f t="shared" ca="1" si="9"/>
        <v>110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110</v>
      </c>
      <c r="AG46" s="176">
        <f ca="1">AE45+AE46</f>
        <v>1165</v>
      </c>
      <c r="AI46" s="11">
        <f t="shared" si="4"/>
        <v>5</v>
      </c>
      <c r="AJ46" s="10">
        <v>5</v>
      </c>
      <c r="AK46" s="11">
        <f t="shared" si="6"/>
        <v>10</v>
      </c>
      <c r="AL46" s="10">
        <v>10</v>
      </c>
      <c r="AM46" s="11">
        <f t="shared" si="6"/>
        <v>0</v>
      </c>
      <c r="AN46" s="10">
        <v>0</v>
      </c>
      <c r="AO46" s="55">
        <f t="shared" si="7"/>
        <v>1</v>
      </c>
      <c r="AQ46" s="11">
        <f ca="1">IFERROR(OFFSET(ITEM_RES!$A$1,MATCH(AR46,ITEM_RES!$J:$J,0)-1,0),0)</f>
        <v>211010501</v>
      </c>
      <c r="AR46" s="10" t="s">
        <v>422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1330</v>
      </c>
      <c r="M47" s="9">
        <v>1</v>
      </c>
      <c r="N47" s="9">
        <v>15</v>
      </c>
      <c r="O47" s="9" t="s">
        <v>1069</v>
      </c>
      <c r="P47" s="55" t="s">
        <v>1346</v>
      </c>
      <c r="Q47" s="9" t="s">
        <v>671</v>
      </c>
      <c r="T47" s="9">
        <f ca="1">IFERROR(OFFSET(ITEM_RES!$A$5,MATCH(BUILDING!S47,ITEM_RES!$J$5:$J$229,0)-1,0),0)</f>
        <v>0</v>
      </c>
      <c r="V47" s="81" t="s">
        <v>526</v>
      </c>
      <c r="W47" s="11">
        <f ca="1">IFERROR(OFFSET(ITEM_RES!$A$5,MATCH(BUILDING!V47,ITEM_RES!$J$5:$J$229,0)-1,0),0)</f>
        <v>211010301</v>
      </c>
      <c r="Y47" s="9" t="s">
        <v>497</v>
      </c>
      <c r="Z47" s="9">
        <v>3</v>
      </c>
      <c r="AB47" s="11">
        <f ca="1">IFERROR(OFFSET(MANOR_LEVEL!$B$1,MATCH(AC47-1,MANOR_LEVEL!$A:$A,0)-1,0),0)</f>
        <v>5475</v>
      </c>
      <c r="AC47" s="55">
        <v>5</v>
      </c>
      <c r="AE47" s="55">
        <f t="shared" ca="1" si="9"/>
        <v>165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165</v>
      </c>
      <c r="AG47" s="176">
        <f t="shared" ref="AG47:AG64" ca="1" si="11">AE46+AE47</f>
        <v>275</v>
      </c>
      <c r="AI47" s="11">
        <f t="shared" si="4"/>
        <v>5</v>
      </c>
      <c r="AJ47" s="10">
        <v>5</v>
      </c>
      <c r="AK47" s="11">
        <f t="shared" si="6"/>
        <v>15</v>
      </c>
      <c r="AL47" s="10">
        <v>15</v>
      </c>
      <c r="AM47" s="11">
        <f t="shared" si="6"/>
        <v>0</v>
      </c>
      <c r="AN47" s="10">
        <v>0</v>
      </c>
      <c r="AO47" s="55">
        <f t="shared" si="7"/>
        <v>1</v>
      </c>
      <c r="AQ47" s="11">
        <f ca="1">IFERROR(OFFSET(ITEM_RES!$A$1,MATCH(AR47,ITEM_RES!$J:$J,0)-1,0),0)</f>
        <v>211010501</v>
      </c>
      <c r="AR47" s="10" t="s">
        <v>422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1330</v>
      </c>
      <c r="M48" s="9">
        <v>1</v>
      </c>
      <c r="N48" s="9">
        <v>15</v>
      </c>
      <c r="O48" s="9" t="s">
        <v>1069</v>
      </c>
      <c r="P48" s="55" t="s">
        <v>1346</v>
      </c>
      <c r="Q48" s="9" t="s">
        <v>671</v>
      </c>
      <c r="T48" s="9">
        <f ca="1">IFERROR(OFFSET(ITEM_RES!$A$5,MATCH(BUILDING!S48,ITEM_RES!$J$5:$J$229,0)-1,0),0)</f>
        <v>0</v>
      </c>
      <c r="V48" s="81" t="s">
        <v>526</v>
      </c>
      <c r="W48" s="11">
        <f ca="1">IFERROR(OFFSET(ITEM_RES!$A$5,MATCH(BUILDING!V48,ITEM_RES!$J$5:$J$229,0)-1,0),0)</f>
        <v>211010301</v>
      </c>
      <c r="Y48" s="9" t="s">
        <v>497</v>
      </c>
      <c r="Z48" s="9">
        <v>4</v>
      </c>
      <c r="AB48" s="11">
        <f ca="1">IFERROR(OFFSET(MANOR_LEVEL!$B$1,MATCH(AC48-1,MANOR_LEVEL!$A:$A,0)-1,0),0)</f>
        <v>32560</v>
      </c>
      <c r="AC48" s="55">
        <v>6</v>
      </c>
      <c r="AE48" s="55">
        <f t="shared" ca="1" si="9"/>
        <v>625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625</v>
      </c>
      <c r="AG48" s="176">
        <f t="shared" ca="1" si="11"/>
        <v>790</v>
      </c>
      <c r="AI48" s="11">
        <f t="shared" si="4"/>
        <v>10</v>
      </c>
      <c r="AJ48" s="10">
        <v>10</v>
      </c>
      <c r="AK48" s="11">
        <f t="shared" si="6"/>
        <v>25</v>
      </c>
      <c r="AL48" s="10">
        <v>25</v>
      </c>
      <c r="AM48" s="11">
        <f t="shared" si="6"/>
        <v>0</v>
      </c>
      <c r="AN48" s="10">
        <v>0</v>
      </c>
      <c r="AO48" s="55">
        <f t="shared" si="7"/>
        <v>1</v>
      </c>
      <c r="AQ48" s="11">
        <f ca="1">IFERROR(OFFSET(ITEM_RES!$A$1,MATCH(AR48,ITEM_RES!$J:$J,0)-1,0),0)</f>
        <v>211010501</v>
      </c>
      <c r="AR48" s="10" t="s">
        <v>422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1330</v>
      </c>
      <c r="M49" s="9">
        <v>1</v>
      </c>
      <c r="N49" s="9">
        <v>15</v>
      </c>
      <c r="O49" s="9" t="s">
        <v>1070</v>
      </c>
      <c r="P49" s="55" t="s">
        <v>1347</v>
      </c>
      <c r="Q49" s="9" t="s">
        <v>671</v>
      </c>
      <c r="T49" s="9">
        <f ca="1">IFERROR(OFFSET(ITEM_RES!$A$5,MATCH(BUILDING!S49,ITEM_RES!$J$5:$J$229,0)-1,0),0)</f>
        <v>0</v>
      </c>
      <c r="V49" s="81" t="s">
        <v>526</v>
      </c>
      <c r="W49" s="11">
        <f ca="1">IFERROR(OFFSET(ITEM_RES!$A$5,MATCH(BUILDING!V49,ITEM_RES!$J$5:$J$229,0)-1,0),0)</f>
        <v>211010301</v>
      </c>
      <c r="Y49" s="9" t="s">
        <v>497</v>
      </c>
      <c r="Z49" s="9">
        <v>5</v>
      </c>
      <c r="AB49" s="11">
        <f ca="1">IFERROR(OFFSET(MANOR_LEVEL!$B$1,MATCH(AC49-1,MANOR_LEVEL!$A:$A,0)-1,0),0)</f>
        <v>32560</v>
      </c>
      <c r="AC49" s="55">
        <v>6</v>
      </c>
      <c r="AE49" s="55">
        <f t="shared" ca="1" si="9"/>
        <v>2740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2740</v>
      </c>
      <c r="AG49" s="176">
        <f t="shared" ca="1" si="11"/>
        <v>3365</v>
      </c>
      <c r="AI49" s="11">
        <f t="shared" si="4"/>
        <v>15</v>
      </c>
      <c r="AJ49" s="10">
        <v>15</v>
      </c>
      <c r="AK49" s="11">
        <f t="shared" si="6"/>
        <v>40</v>
      </c>
      <c r="AL49" s="10">
        <v>40</v>
      </c>
      <c r="AM49" s="11">
        <f t="shared" si="6"/>
        <v>0</v>
      </c>
      <c r="AN49" s="10">
        <v>0</v>
      </c>
      <c r="AO49" s="55">
        <f t="shared" si="7"/>
        <v>1</v>
      </c>
      <c r="AQ49" s="11">
        <f ca="1">IFERROR(OFFSET(ITEM_RES!$A$1,MATCH(AR49,ITEM_RES!$J:$J,0)-1,0),0)</f>
        <v>211010501</v>
      </c>
      <c r="AR49" s="10" t="s">
        <v>422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1330</v>
      </c>
      <c r="M50" s="9">
        <v>1</v>
      </c>
      <c r="N50" s="9">
        <v>15</v>
      </c>
      <c r="O50" s="9" t="s">
        <v>1071</v>
      </c>
      <c r="P50" s="55" t="s">
        <v>1347</v>
      </c>
      <c r="Q50" s="9" t="s">
        <v>671</v>
      </c>
      <c r="T50" s="9">
        <f ca="1">IFERROR(OFFSET(ITEM_RES!$A$5,MATCH(BUILDING!S50,ITEM_RES!$J$5:$J$229,0)-1,0),0)</f>
        <v>0</v>
      </c>
      <c r="V50" s="81" t="s">
        <v>526</v>
      </c>
      <c r="W50" s="11">
        <f ca="1">IFERROR(OFFSET(ITEM_RES!$A$5,MATCH(BUILDING!V50,ITEM_RES!$J$5:$J$229,0)-1,0),0)</f>
        <v>211010301</v>
      </c>
      <c r="Y50" s="9" t="s">
        <v>497</v>
      </c>
      <c r="Z50" s="9">
        <v>6</v>
      </c>
      <c r="AB50" s="11">
        <f ca="1">IFERROR(OFFSET(MANOR_LEVEL!$B$1,MATCH(AC50-1,MANOR_LEVEL!$A:$A,0)-1,0),0)</f>
        <v>32560</v>
      </c>
      <c r="AC50" s="55">
        <v>6</v>
      </c>
      <c r="AE50" s="55">
        <f t="shared" ca="1" si="9"/>
        <v>9350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9350</v>
      </c>
      <c r="AG50" s="176">
        <f t="shared" ca="1" si="11"/>
        <v>12090</v>
      </c>
      <c r="AI50" s="11">
        <f t="shared" si="4"/>
        <v>30</v>
      </c>
      <c r="AJ50" s="10">
        <v>30</v>
      </c>
      <c r="AK50" s="11">
        <f t="shared" si="6"/>
        <v>50</v>
      </c>
      <c r="AL50" s="10">
        <v>50</v>
      </c>
      <c r="AM50" s="11">
        <f t="shared" si="6"/>
        <v>0</v>
      </c>
      <c r="AN50" s="10">
        <v>0</v>
      </c>
      <c r="AO50" s="55">
        <f t="shared" si="7"/>
        <v>2</v>
      </c>
      <c r="AQ50" s="11">
        <f ca="1">IFERROR(OFFSET(ITEM_RES!$A$1,MATCH(AR50,ITEM_RES!$J:$J,0)-1,0),0)</f>
        <v>211010501</v>
      </c>
      <c r="AR50" s="10" t="s">
        <v>422</v>
      </c>
      <c r="AS50" s="11">
        <v>9000</v>
      </c>
      <c r="AV50" s="11">
        <f ca="1">IFERROR(OFFSET(ITEM_RES!$A$1,MATCH(AW50,ITEM_RES!$J:$J,0)-1,0),0)</f>
        <v>211020101</v>
      </c>
      <c r="AW50" s="10" t="s">
        <v>437</v>
      </c>
      <c r="AX50" s="11">
        <v>600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1330</v>
      </c>
      <c r="M51" s="9">
        <v>1</v>
      </c>
      <c r="N51" s="9">
        <v>15</v>
      </c>
      <c r="O51" s="9" t="s">
        <v>1072</v>
      </c>
      <c r="P51" s="55" t="s">
        <v>1348</v>
      </c>
      <c r="Q51" s="9" t="s">
        <v>671</v>
      </c>
      <c r="T51" s="9">
        <f ca="1">IFERROR(OFFSET(ITEM_RES!$A$5,MATCH(BUILDING!S51,ITEM_RES!$J$5:$J$229,0)-1,0),0)</f>
        <v>0</v>
      </c>
      <c r="V51" s="81" t="s">
        <v>526</v>
      </c>
      <c r="W51" s="11">
        <f ca="1">IFERROR(OFFSET(ITEM_RES!$A$5,MATCH(BUILDING!V51,ITEM_RES!$J$5:$J$229,0)-1,0),0)</f>
        <v>211010301</v>
      </c>
      <c r="Y51" s="9" t="s">
        <v>497</v>
      </c>
      <c r="Z51" s="9">
        <v>7</v>
      </c>
      <c r="AB51" s="11">
        <f ca="1">IFERROR(OFFSET(MANOR_LEVEL!$B$1,MATCH(AC51-1,MANOR_LEVEL!$A:$A,0)-1,0),0)</f>
        <v>32560</v>
      </c>
      <c r="AC51" s="55">
        <v>6</v>
      </c>
      <c r="AE51" s="55">
        <f t="shared" ca="1" si="9"/>
        <v>21450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21450</v>
      </c>
      <c r="AG51" s="176">
        <f t="shared" ca="1" si="11"/>
        <v>30800</v>
      </c>
      <c r="AI51" s="11">
        <f t="shared" si="4"/>
        <v>300</v>
      </c>
      <c r="AJ51" s="10">
        <v>300</v>
      </c>
      <c r="AK51" s="11">
        <f t="shared" si="6"/>
        <v>100</v>
      </c>
      <c r="AL51" s="10">
        <v>100</v>
      </c>
      <c r="AM51" s="11">
        <f t="shared" si="6"/>
        <v>0</v>
      </c>
      <c r="AN51" s="10">
        <v>0</v>
      </c>
      <c r="AO51" s="55">
        <f t="shared" si="7"/>
        <v>2</v>
      </c>
      <c r="AQ51" s="11">
        <f ca="1">IFERROR(OFFSET(ITEM_RES!$A$1,MATCH(AR51,ITEM_RES!$J:$J,0)-1,0),0)</f>
        <v>211010501</v>
      </c>
      <c r="AR51" s="10" t="s">
        <v>422</v>
      </c>
      <c r="AS51" s="11">
        <v>20000</v>
      </c>
      <c r="AV51" s="11">
        <f ca="1">IFERROR(OFFSET(ITEM_RES!$A$1,MATCH(AW51,ITEM_RES!$J:$J,0)-1,0),0)</f>
        <v>211020101</v>
      </c>
      <c r="AW51" s="10" t="s">
        <v>437</v>
      </c>
      <c r="AX51" s="11">
        <v>2700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1330</v>
      </c>
      <c r="M52" s="9">
        <v>1</v>
      </c>
      <c r="N52" s="9">
        <v>15</v>
      </c>
      <c r="O52" s="9" t="s">
        <v>1072</v>
      </c>
      <c r="P52" s="55" t="s">
        <v>1348</v>
      </c>
      <c r="Q52" s="9" t="s">
        <v>671</v>
      </c>
      <c r="T52" s="9">
        <f ca="1">IFERROR(OFFSET(ITEM_RES!$A$5,MATCH(BUILDING!S52,ITEM_RES!$J$5:$J$229,0)-1,0),0)</f>
        <v>0</v>
      </c>
      <c r="V52" s="81" t="s">
        <v>526</v>
      </c>
      <c r="W52" s="11">
        <f ca="1">IFERROR(OFFSET(ITEM_RES!$A$5,MATCH(BUILDING!V52,ITEM_RES!$J$5:$J$229,0)-1,0),0)</f>
        <v>211010301</v>
      </c>
      <c r="Y52" s="9" t="s">
        <v>497</v>
      </c>
      <c r="Z52" s="9">
        <v>8</v>
      </c>
      <c r="AB52" s="11">
        <f ca="1">IFERROR(OFFSET(MANOR_LEVEL!$B$1,MATCH(AC52-1,MANOR_LEVEL!$A:$A,0)-1,0),0)</f>
        <v>108200</v>
      </c>
      <c r="AC52" s="55">
        <v>7</v>
      </c>
      <c r="AE52" s="55">
        <f t="shared" ca="1" si="9"/>
        <v>46600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46600</v>
      </c>
      <c r="AG52" s="176">
        <f t="shared" ca="1" si="11"/>
        <v>68050</v>
      </c>
      <c r="AI52" s="11">
        <f t="shared" si="4"/>
        <v>600</v>
      </c>
      <c r="AJ52" s="10">
        <v>600</v>
      </c>
      <c r="AK52" s="11">
        <f t="shared" si="6"/>
        <v>100</v>
      </c>
      <c r="AL52" s="10">
        <v>100</v>
      </c>
      <c r="AM52" s="11">
        <f t="shared" si="6"/>
        <v>0</v>
      </c>
      <c r="AN52" s="10">
        <v>0</v>
      </c>
      <c r="AO52" s="55">
        <f t="shared" si="7"/>
        <v>2</v>
      </c>
      <c r="AQ52" s="11">
        <f ca="1">IFERROR(OFFSET(ITEM_RES!$A$1,MATCH(AR52,ITEM_RES!$J:$J,0)-1,0),0)</f>
        <v>211010501</v>
      </c>
      <c r="AR52" s="10" t="s">
        <v>422</v>
      </c>
      <c r="AS52" s="11">
        <v>42000</v>
      </c>
      <c r="AV52" s="11">
        <f ca="1">IFERROR(OFFSET(ITEM_RES!$A$1,MATCH(AW52,ITEM_RES!$J:$J,0)-1,0),0)</f>
        <v>211020101</v>
      </c>
      <c r="AW52" s="10" t="s">
        <v>437</v>
      </c>
      <c r="AX52" s="11">
        <v>9000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1330</v>
      </c>
      <c r="M53" s="9">
        <v>1</v>
      </c>
      <c r="N53" s="9">
        <v>15</v>
      </c>
      <c r="O53" s="9" t="s">
        <v>1415</v>
      </c>
      <c r="P53" s="55" t="s">
        <v>1417</v>
      </c>
      <c r="Q53" s="9" t="s">
        <v>671</v>
      </c>
      <c r="T53" s="9">
        <f ca="1">IFERROR(OFFSET(ITEM_RES!$A$5,MATCH(BUILDING!S53,ITEM_RES!$J$5:$J$229,0)-1,0),0)</f>
        <v>0</v>
      </c>
      <c r="V53" s="81" t="s">
        <v>526</v>
      </c>
      <c r="W53" s="11">
        <f ca="1">IFERROR(OFFSET(ITEM_RES!$A$5,MATCH(BUILDING!V53,ITEM_RES!$J$5:$J$229,0)-1,0),0)</f>
        <v>211010301</v>
      </c>
      <c r="Y53" s="9" t="s">
        <v>497</v>
      </c>
      <c r="Z53" s="9">
        <v>9</v>
      </c>
      <c r="AB53" s="11">
        <f ca="1">IFERROR(OFFSET(MANOR_LEVEL!$B$1,MATCH(AC53-1,MANOR_LEVEL!$A:$A,0)-1,0),0)</f>
        <v>108200</v>
      </c>
      <c r="AC53" s="55">
        <v>7</v>
      </c>
      <c r="AE53" s="55">
        <f t="shared" ca="1" si="9"/>
        <v>88150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88150</v>
      </c>
      <c r="AG53" s="176">
        <f t="shared" ca="1" si="11"/>
        <v>134750</v>
      </c>
      <c r="AI53" s="11">
        <f t="shared" si="4"/>
        <v>900</v>
      </c>
      <c r="AJ53" s="10">
        <v>900</v>
      </c>
      <c r="AK53" s="11">
        <f t="shared" si="6"/>
        <v>150</v>
      </c>
      <c r="AL53" s="10">
        <v>150</v>
      </c>
      <c r="AM53" s="11">
        <f t="shared" si="6"/>
        <v>0</v>
      </c>
      <c r="AN53" s="10">
        <v>0</v>
      </c>
      <c r="AO53" s="55">
        <f t="shared" si="7"/>
        <v>2</v>
      </c>
      <c r="AQ53" s="11">
        <f ca="1">IFERROR(OFFSET(ITEM_RES!$A$1,MATCH(AR53,ITEM_RES!$J:$J,0)-1,0),0)</f>
        <v>211010501</v>
      </c>
      <c r="AR53" s="10" t="s">
        <v>422</v>
      </c>
      <c r="AS53" s="11">
        <v>78000</v>
      </c>
      <c r="AV53" s="11">
        <f ca="1">IFERROR(OFFSET(ITEM_RES!$A$1,MATCH(AW53,ITEM_RES!$J:$J,0)-1,0),0)</f>
        <v>211020101</v>
      </c>
      <c r="AW53" s="10" t="s">
        <v>437</v>
      </c>
      <c r="AX53" s="11">
        <v>20000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1330</v>
      </c>
      <c r="M54" s="9">
        <v>1</v>
      </c>
      <c r="N54" s="9">
        <v>15</v>
      </c>
      <c r="O54" s="9" t="s">
        <v>1415</v>
      </c>
      <c r="P54" s="55" t="s">
        <v>1417</v>
      </c>
      <c r="Q54" s="9" t="s">
        <v>671</v>
      </c>
      <c r="T54" s="9">
        <f ca="1">IFERROR(OFFSET(ITEM_RES!$A$5,MATCH(BUILDING!S54,ITEM_RES!$J$5:$J$229,0)-1,0),0)</f>
        <v>0</v>
      </c>
      <c r="V54" s="81" t="s">
        <v>526</v>
      </c>
      <c r="W54" s="11">
        <f ca="1">IFERROR(OFFSET(ITEM_RES!$A$5,MATCH(BUILDING!V54,ITEM_RES!$J$5:$J$229,0)-1,0),0)</f>
        <v>211010301</v>
      </c>
      <c r="Y54" s="9" t="s">
        <v>497</v>
      </c>
      <c r="Z54" s="9">
        <v>10</v>
      </c>
      <c r="AB54" s="11">
        <f ca="1">IFERROR(OFFSET(MANOR_LEVEL!$B$1,MATCH(AC54-1,MANOR_LEVEL!$A:$A,0)-1,0),0)</f>
        <v>108200</v>
      </c>
      <c r="AC54" s="55">
        <v>7</v>
      </c>
      <c r="AE54" s="55">
        <f t="shared" ca="1" si="9"/>
        <v>151200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151200</v>
      </c>
      <c r="AG54" s="176">
        <f t="shared" ca="1" si="11"/>
        <v>239350</v>
      </c>
      <c r="AI54" s="11">
        <f t="shared" si="4"/>
        <v>1200</v>
      </c>
      <c r="AJ54" s="10">
        <v>1200</v>
      </c>
      <c r="AK54" s="11">
        <f t="shared" si="6"/>
        <v>200</v>
      </c>
      <c r="AL54" s="10">
        <v>200</v>
      </c>
      <c r="AM54" s="11">
        <f t="shared" si="6"/>
        <v>0</v>
      </c>
      <c r="AN54" s="10">
        <v>0</v>
      </c>
      <c r="AO54" s="55">
        <f t="shared" si="7"/>
        <v>2</v>
      </c>
      <c r="AQ54" s="11">
        <f ca="1">IFERROR(OFFSET(ITEM_RES!$A$1,MATCH(AR54,ITEM_RES!$J:$J,0)-1,0),0)</f>
        <v>211010501</v>
      </c>
      <c r="AR54" s="10" t="s">
        <v>422</v>
      </c>
      <c r="AS54" s="11">
        <v>130000</v>
      </c>
      <c r="AV54" s="11">
        <f ca="1">IFERROR(OFFSET(ITEM_RES!$A$1,MATCH(AW54,ITEM_RES!$J:$J,0)-1,0),0)</f>
        <v>211020101</v>
      </c>
      <c r="AW54" s="10" t="s">
        <v>437</v>
      </c>
      <c r="AX54" s="11">
        <v>42000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1330</v>
      </c>
      <c r="M55" s="9">
        <v>1</v>
      </c>
      <c r="N55" s="9">
        <v>15</v>
      </c>
      <c r="O55" s="9" t="s">
        <v>1414</v>
      </c>
      <c r="P55" s="55" t="s">
        <v>1416</v>
      </c>
      <c r="Q55" s="9" t="s">
        <v>671</v>
      </c>
      <c r="T55" s="9">
        <f ca="1">IFERROR(OFFSET(ITEM_RES!$A$5,MATCH(BUILDING!S55,ITEM_RES!$J$5:$J$229,0)-1,0),0)</f>
        <v>0</v>
      </c>
      <c r="V55" s="81" t="s">
        <v>526</v>
      </c>
      <c r="W55" s="11">
        <f ca="1">IFERROR(OFFSET(ITEM_RES!$A$5,MATCH(BUILDING!V55,ITEM_RES!$J$5:$J$229,0)-1,0),0)</f>
        <v>211010301</v>
      </c>
      <c r="Y55" s="9" t="s">
        <v>497</v>
      </c>
      <c r="Z55" s="9">
        <v>11</v>
      </c>
      <c r="AB55" s="11">
        <f ca="1">IFERROR(OFFSET(MANOR_LEVEL!$B$1,MATCH(AC55-1,MANOR_LEVEL!$A:$A,0)-1,0),0)</f>
        <v>108200</v>
      </c>
      <c r="AC55" s="55">
        <v>7</v>
      </c>
      <c r="AE55" s="55">
        <f t="shared" ca="1" si="9"/>
        <v>259250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259250</v>
      </c>
      <c r="AG55" s="176">
        <f t="shared" ca="1" si="11"/>
        <v>410450</v>
      </c>
      <c r="AI55" s="11">
        <f t="shared" si="4"/>
        <v>1500</v>
      </c>
      <c r="AJ55" s="10">
        <v>1500</v>
      </c>
      <c r="AK55" s="11">
        <f t="shared" si="6"/>
        <v>250</v>
      </c>
      <c r="AL55" s="10">
        <v>250</v>
      </c>
      <c r="AM55" s="11">
        <f t="shared" si="6"/>
        <v>0</v>
      </c>
      <c r="AN55" s="10">
        <v>0</v>
      </c>
      <c r="AO55" s="55">
        <f t="shared" si="7"/>
        <v>2</v>
      </c>
      <c r="AQ55" s="11">
        <f ca="1">IFERROR(OFFSET(ITEM_RES!$A$1,MATCH(AR55,ITEM_RES!$J:$J,0)-1,0),0)</f>
        <v>211010501</v>
      </c>
      <c r="AR55" s="10" t="s">
        <v>422</v>
      </c>
      <c r="AS55" s="11">
        <v>220000</v>
      </c>
      <c r="AV55" s="11">
        <f ca="1">IFERROR(OFFSET(ITEM_RES!$A$1,MATCH(AW55,ITEM_RES!$J:$J,0)-1,0),0)</f>
        <v>211020101</v>
      </c>
      <c r="AW55" s="10" t="s">
        <v>437</v>
      </c>
      <c r="AX55" s="11">
        <v>78000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1330</v>
      </c>
      <c r="M56" s="9">
        <v>1</v>
      </c>
      <c r="N56" s="9">
        <v>15</v>
      </c>
      <c r="O56" s="9" t="s">
        <v>1414</v>
      </c>
      <c r="P56" s="55" t="s">
        <v>1416</v>
      </c>
      <c r="Q56" s="9" t="s">
        <v>671</v>
      </c>
      <c r="T56" s="9">
        <f ca="1">IFERROR(OFFSET(ITEM_RES!$A$5,MATCH(BUILDING!S56,ITEM_RES!$J$5:$J$229,0)-1,0),0)</f>
        <v>0</v>
      </c>
      <c r="V56" s="81" t="s">
        <v>526</v>
      </c>
      <c r="W56" s="11">
        <f ca="1">IFERROR(OFFSET(ITEM_RES!$A$5,MATCH(BUILDING!V56,ITEM_RES!$J$5:$J$229,0)-1,0),0)</f>
        <v>211010301</v>
      </c>
      <c r="Y56" s="9" t="s">
        <v>497</v>
      </c>
      <c r="Z56" s="9">
        <v>12</v>
      </c>
      <c r="AB56" s="11">
        <f ca="1">IFERROR(OFFSET(MANOR_LEVEL!$B$1,MATCH(AC56-1,MANOR_LEVEL!$A:$A,0)-1,0),0)</f>
        <v>240400</v>
      </c>
      <c r="AC56" s="55">
        <v>8</v>
      </c>
      <c r="AE56" s="55">
        <f t="shared" ca="1" si="9"/>
        <v>435300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435300</v>
      </c>
      <c r="AG56" s="176">
        <f t="shared" ca="1" si="11"/>
        <v>694550</v>
      </c>
      <c r="AI56" s="11">
        <f t="shared" si="4"/>
        <v>1800</v>
      </c>
      <c r="AJ56" s="10">
        <v>1800</v>
      </c>
      <c r="AK56" s="11">
        <f t="shared" si="6"/>
        <v>300</v>
      </c>
      <c r="AL56" s="10">
        <v>300</v>
      </c>
      <c r="AM56" s="11">
        <f t="shared" si="6"/>
        <v>0</v>
      </c>
      <c r="AN56" s="10">
        <v>0</v>
      </c>
      <c r="AO56" s="55">
        <f t="shared" si="7"/>
        <v>2</v>
      </c>
      <c r="AQ56" s="11">
        <f ca="1">IFERROR(OFFSET(ITEM_RES!$A$1,MATCH(AR56,ITEM_RES!$J:$J,0)-1,0),0)</f>
        <v>211010501</v>
      </c>
      <c r="AR56" s="10" t="s">
        <v>422</v>
      </c>
      <c r="AS56" s="11">
        <v>370000</v>
      </c>
      <c r="AV56" s="11">
        <f ca="1">IFERROR(OFFSET(ITEM_RES!$A$1,MATCH(AW56,ITEM_RES!$J:$J,0)-1,0),0)</f>
        <v>211020101</v>
      </c>
      <c r="AW56" s="10" t="s">
        <v>437</v>
      </c>
      <c r="AX56" s="11">
        <v>130000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1330</v>
      </c>
      <c r="M57" s="9">
        <v>1</v>
      </c>
      <c r="N57" s="9">
        <v>15</v>
      </c>
      <c r="O57" s="9" t="s">
        <v>1414</v>
      </c>
      <c r="P57" s="55" t="s">
        <v>1416</v>
      </c>
      <c r="Q57" s="9" t="s">
        <v>671</v>
      </c>
      <c r="T57" s="9">
        <f ca="1">IFERROR(OFFSET(ITEM_RES!$A$5,MATCH(BUILDING!S57,ITEM_RES!$J$5:$J$229,0)-1,0),0)</f>
        <v>0</v>
      </c>
      <c r="V57" s="81" t="s">
        <v>526</v>
      </c>
      <c r="W57" s="11">
        <f ca="1">IFERROR(OFFSET(ITEM_RES!$A$5,MATCH(BUILDING!V57,ITEM_RES!$J$5:$J$229,0)-1,0),0)</f>
        <v>211010301</v>
      </c>
      <c r="Y57" s="9" t="s">
        <v>497</v>
      </c>
      <c r="Z57" s="9">
        <v>13</v>
      </c>
      <c r="AB57" s="11">
        <f ca="1">IFERROR(OFFSET(MANOR_LEVEL!$B$1,MATCH(AC57-1,MANOR_LEVEL!$A:$A,0)-1,0),0)</f>
        <v>630500</v>
      </c>
      <c r="AC57" s="55">
        <v>9</v>
      </c>
      <c r="AE57" s="55">
        <f t="shared" ca="1" si="9"/>
        <v>730350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730350</v>
      </c>
      <c r="AG57" s="176">
        <f t="shared" ca="1" si="11"/>
        <v>1165650</v>
      </c>
      <c r="AI57" s="11">
        <f t="shared" si="4"/>
        <v>2100</v>
      </c>
      <c r="AJ57" s="10">
        <v>2100</v>
      </c>
      <c r="AK57" s="11">
        <f t="shared" si="6"/>
        <v>350</v>
      </c>
      <c r="AL57" s="10">
        <v>350</v>
      </c>
      <c r="AM57" s="11">
        <f t="shared" si="6"/>
        <v>0</v>
      </c>
      <c r="AN57" s="10">
        <v>0</v>
      </c>
      <c r="AO57" s="55">
        <f t="shared" si="7"/>
        <v>2</v>
      </c>
      <c r="AQ57" s="11">
        <f ca="1">IFERROR(OFFSET(ITEM_RES!$A$1,MATCH(AR57,ITEM_RES!$J:$J,0)-1,0),0)</f>
        <v>211010501</v>
      </c>
      <c r="AR57" s="10" t="s">
        <v>422</v>
      </c>
      <c r="AS57" s="11">
        <v>620000</v>
      </c>
      <c r="AV57" s="11">
        <f ca="1">IFERROR(OFFSET(ITEM_RES!$A$1,MATCH(AW57,ITEM_RES!$J:$J,0)-1,0),0)</f>
        <v>211020101</v>
      </c>
      <c r="AW57" s="10" t="s">
        <v>437</v>
      </c>
      <c r="AX57" s="11">
        <v>220000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1330</v>
      </c>
      <c r="M58" s="9">
        <v>1</v>
      </c>
      <c r="N58" s="9">
        <v>15</v>
      </c>
      <c r="O58" s="9" t="s">
        <v>1414</v>
      </c>
      <c r="P58" s="55" t="s">
        <v>1416</v>
      </c>
      <c r="Q58" s="9" t="s">
        <v>671</v>
      </c>
      <c r="T58" s="9">
        <f ca="1">IFERROR(OFFSET(ITEM_RES!$A$5,MATCH(BUILDING!S58,ITEM_RES!$J$5:$J$229,0)-1,0),0)</f>
        <v>0</v>
      </c>
      <c r="V58" s="81" t="s">
        <v>526</v>
      </c>
      <c r="W58" s="11">
        <f ca="1">IFERROR(OFFSET(ITEM_RES!$A$5,MATCH(BUILDING!V58,ITEM_RES!$J$5:$J$229,0)-1,0),0)</f>
        <v>211010301</v>
      </c>
      <c r="Y58" s="9" t="s">
        <v>497</v>
      </c>
      <c r="Z58" s="9">
        <v>14</v>
      </c>
      <c r="AB58" s="11">
        <f ca="1">IFERROR(OFFSET(MANOR_LEVEL!$B$1,MATCH(AC58-1,MANOR_LEVEL!$A:$A,0)-1,0),0)</f>
        <v>1170750</v>
      </c>
      <c r="AC58" s="55">
        <v>10</v>
      </c>
      <c r="AE58" s="55">
        <f t="shared" ca="1" si="9"/>
        <v>1349450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1349450</v>
      </c>
      <c r="AG58" s="176">
        <f t="shared" ca="1" si="11"/>
        <v>2079800</v>
      </c>
      <c r="AI58" s="11">
        <f t="shared" si="4"/>
        <v>2400</v>
      </c>
      <c r="AJ58" s="10">
        <v>2400</v>
      </c>
      <c r="AK58" s="11">
        <f t="shared" si="6"/>
        <v>450</v>
      </c>
      <c r="AL58" s="10">
        <v>450</v>
      </c>
      <c r="AM58" s="11">
        <f t="shared" si="6"/>
        <v>0</v>
      </c>
      <c r="AN58" s="10">
        <v>0</v>
      </c>
      <c r="AO58" s="55">
        <f t="shared" si="7"/>
        <v>2</v>
      </c>
      <c r="AQ58" s="11">
        <f ca="1">IFERROR(OFFSET(ITEM_RES!$A$1,MATCH(AR58,ITEM_RES!$J:$J,0)-1,0),0)</f>
        <v>211010601</v>
      </c>
      <c r="AR58" s="10" t="s">
        <v>433</v>
      </c>
      <c r="AS58" s="11">
        <v>970000</v>
      </c>
      <c r="AV58" s="11">
        <f ca="1">IFERROR(OFFSET(ITEM_RES!$A$1,MATCH(AW58,ITEM_RES!$J:$J,0)-1,0),0)</f>
        <v>211020101</v>
      </c>
      <c r="AW58" s="10" t="s">
        <v>437</v>
      </c>
      <c r="AX58" s="11">
        <v>370000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1330</v>
      </c>
      <c r="M59" s="9">
        <v>1</v>
      </c>
      <c r="N59" s="9">
        <v>15</v>
      </c>
      <c r="O59" s="9" t="s">
        <v>1414</v>
      </c>
      <c r="P59" s="55" t="s">
        <v>1416</v>
      </c>
      <c r="Q59" s="9" t="s">
        <v>671</v>
      </c>
      <c r="T59" s="9">
        <f ca="1">IFERROR(OFFSET(ITEM_RES!$A$5,MATCH(BUILDING!S59,ITEM_RES!$J$5:$J$229,0)-1,0),0)</f>
        <v>0</v>
      </c>
      <c r="V59" s="81" t="s">
        <v>526</v>
      </c>
      <c r="W59" s="11">
        <f ca="1">IFERROR(OFFSET(ITEM_RES!$A$5,MATCH(BUILDING!V59,ITEM_RES!$J$5:$J$229,0)-1,0),0)</f>
        <v>211010301</v>
      </c>
      <c r="Y59" s="9" t="s">
        <v>497</v>
      </c>
      <c r="Z59" s="9">
        <v>15</v>
      </c>
      <c r="AB59" s="11">
        <f ca="1">IFERROR(OFFSET(MANOR_LEVEL!$B$1,MATCH(AC59-1,MANOR_LEVEL!$A:$A,0)-1,0),0)</f>
        <v>1956000</v>
      </c>
      <c r="AC59" s="55">
        <v>11</v>
      </c>
      <c r="AE59" s="55">
        <f t="shared" ca="1" si="9"/>
        <v>2830550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2830550</v>
      </c>
      <c r="AG59" s="176">
        <f t="shared" ca="1" si="11"/>
        <v>4180000</v>
      </c>
      <c r="AI59" s="11">
        <f t="shared" si="4"/>
        <v>2700</v>
      </c>
      <c r="AJ59" s="10">
        <v>2700</v>
      </c>
      <c r="AK59" s="11">
        <f t="shared" si="6"/>
        <v>550</v>
      </c>
      <c r="AL59" s="10">
        <v>550</v>
      </c>
      <c r="AM59" s="11">
        <f t="shared" si="6"/>
        <v>0</v>
      </c>
      <c r="AN59" s="10">
        <v>0</v>
      </c>
      <c r="AO59" s="55">
        <f t="shared" si="7"/>
        <v>2</v>
      </c>
      <c r="AQ59" s="11">
        <f ca="1">IFERROR(OFFSET(ITEM_RES!$A$1,MATCH(AR59,ITEM_RES!$J:$J,0)-1,0),0)</f>
        <v>211010601</v>
      </c>
      <c r="AR59" s="10" t="s">
        <v>433</v>
      </c>
      <c r="AS59" s="11">
        <v>2100000</v>
      </c>
      <c r="AV59" s="11">
        <f ca="1">IFERROR(OFFSET(ITEM_RES!$A$1,MATCH(AW59,ITEM_RES!$J:$J,0)-1,0),0)</f>
        <v>211020101</v>
      </c>
      <c r="AW59" s="10" t="s">
        <v>437</v>
      </c>
      <c r="AX59" s="11">
        <v>620000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1330</v>
      </c>
      <c r="M60" s="9">
        <v>0</v>
      </c>
      <c r="N60" s="9">
        <v>15</v>
      </c>
      <c r="O60" s="9" t="s">
        <v>1414</v>
      </c>
      <c r="P60" s="55" t="s">
        <v>1416</v>
      </c>
      <c r="Q60" s="9" t="s">
        <v>671</v>
      </c>
      <c r="T60" s="9">
        <f ca="1">IFERROR(OFFSET(ITEM_RES!$A$5,MATCH(BUILDING!S60,ITEM_RES!$J$5:$J$229,0)-1,0),0)</f>
        <v>0</v>
      </c>
      <c r="V60" s="81" t="s">
        <v>526</v>
      </c>
      <c r="W60" s="11">
        <f ca="1">IFERROR(OFFSET(ITEM_RES!$A$5,MATCH(BUILDING!V60,ITEM_RES!$J$5:$J$229,0)-1,0),0)</f>
        <v>211010301</v>
      </c>
      <c r="Y60" s="9" t="s">
        <v>497</v>
      </c>
      <c r="Z60" s="9">
        <v>16</v>
      </c>
      <c r="AB60" s="11">
        <f ca="1">IFERROR(OFFSET(MANOR_LEVEL!$B$1,MATCH(AC60-1,MANOR_LEVEL!$A:$A,0)-1,0),0)</f>
        <v>3961500</v>
      </c>
      <c r="AC60" s="55">
        <v>12</v>
      </c>
      <c r="AE60" s="55">
        <f t="shared" ca="1" si="9"/>
        <v>5645700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5645700</v>
      </c>
      <c r="AG60" s="176">
        <f t="shared" ca="1" si="11"/>
        <v>8476250</v>
      </c>
      <c r="AI60" s="11">
        <f t="shared" si="4"/>
        <v>3000</v>
      </c>
      <c r="AJ60" s="10">
        <v>3000</v>
      </c>
      <c r="AK60" s="11">
        <f t="shared" si="6"/>
        <v>700</v>
      </c>
      <c r="AL60" s="10">
        <v>700</v>
      </c>
      <c r="AM60" s="11">
        <f t="shared" si="6"/>
        <v>0</v>
      </c>
      <c r="AN60" s="10">
        <v>0</v>
      </c>
      <c r="AO60" s="55">
        <f t="shared" si="7"/>
        <v>2</v>
      </c>
      <c r="AQ60" s="11">
        <f ca="1">IFERROR(OFFSET(ITEM_RES!$A$1,MATCH(AR60,ITEM_RES!$J:$J,0)-1,0),0)</f>
        <v>211010601</v>
      </c>
      <c r="AR60" s="10" t="s">
        <v>433</v>
      </c>
      <c r="AS60" s="11">
        <v>4300000</v>
      </c>
      <c r="AV60" s="11">
        <f ca="1">IFERROR(OFFSET(ITEM_RES!$A$1,MATCH(AW60,ITEM_RES!$J:$J,0)-1,0),0)</f>
        <v>211020101</v>
      </c>
      <c r="AW60" s="10" t="s">
        <v>437</v>
      </c>
      <c r="AX60" s="11">
        <v>970000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1330</v>
      </c>
      <c r="M61" s="9">
        <v>0</v>
      </c>
      <c r="N61" s="9">
        <v>15</v>
      </c>
      <c r="O61" s="9" t="s">
        <v>1414</v>
      </c>
      <c r="P61" s="55" t="s">
        <v>1416</v>
      </c>
      <c r="Q61" s="9" t="s">
        <v>671</v>
      </c>
      <c r="T61" s="9">
        <f ca="1">IFERROR(OFFSET(ITEM_RES!$A$5,MATCH(BUILDING!S61,ITEM_RES!$J$5:$J$229,0)-1,0),0)</f>
        <v>0</v>
      </c>
      <c r="V61" s="81" t="s">
        <v>526</v>
      </c>
      <c r="W61" s="11">
        <f ca="1">IFERROR(OFFSET(ITEM_RES!$A$5,MATCH(BUILDING!V61,ITEM_RES!$J$5:$J$229,0)-1,0),0)</f>
        <v>211010301</v>
      </c>
      <c r="Y61" s="9" t="s">
        <v>497</v>
      </c>
      <c r="Z61" s="9">
        <v>17</v>
      </c>
      <c r="AB61" s="11">
        <f ca="1">IFERROR(OFFSET(MANOR_LEVEL!$B$1,MATCH(AC61-1,MANOR_LEVEL!$A:$A,0)-1,0),0)</f>
        <v>7772100</v>
      </c>
      <c r="AC61" s="55">
        <v>13</v>
      </c>
      <c r="AE61" s="55">
        <f t="shared" ca="1" si="9"/>
        <v>10650850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10650850</v>
      </c>
      <c r="AG61" s="176">
        <f t="shared" ca="1" si="11"/>
        <v>16296550</v>
      </c>
      <c r="AI61" s="11">
        <f t="shared" si="4"/>
        <v>3300</v>
      </c>
      <c r="AJ61" s="10">
        <v>3300</v>
      </c>
      <c r="AK61" s="11">
        <f t="shared" si="6"/>
        <v>850</v>
      </c>
      <c r="AL61" s="10">
        <v>850</v>
      </c>
      <c r="AM61" s="11">
        <f t="shared" si="6"/>
        <v>0</v>
      </c>
      <c r="AN61" s="10">
        <v>0</v>
      </c>
      <c r="AO61" s="55">
        <f t="shared" si="7"/>
        <v>2</v>
      </c>
      <c r="AQ61" s="11">
        <f ca="1">IFERROR(OFFSET(ITEM_RES!$A$1,MATCH(AR61,ITEM_RES!$J:$J,0)-1,0),0)</f>
        <v>211010601</v>
      </c>
      <c r="AR61" s="10" t="s">
        <v>433</v>
      </c>
      <c r="AS61" s="11">
        <v>8000000</v>
      </c>
      <c r="AV61" s="11">
        <f ca="1">IFERROR(OFFSET(ITEM_RES!$A$1,MATCH(AW61,ITEM_RES!$J:$J,0)-1,0),0)</f>
        <v>211020101</v>
      </c>
      <c r="AW61" s="10" t="s">
        <v>437</v>
      </c>
      <c r="AX61" s="11">
        <v>2100000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1330</v>
      </c>
      <c r="M62" s="9">
        <v>0</v>
      </c>
      <c r="N62" s="9">
        <v>15</v>
      </c>
      <c r="O62" s="9" t="s">
        <v>1414</v>
      </c>
      <c r="P62" s="55" t="s">
        <v>1416</v>
      </c>
      <c r="Q62" s="9" t="s">
        <v>671</v>
      </c>
      <c r="T62" s="9">
        <f ca="1">IFERROR(OFFSET(ITEM_RES!$A$5,MATCH(BUILDING!S62,ITEM_RES!$J$5:$J$229,0)-1,0),0)</f>
        <v>0</v>
      </c>
      <c r="V62" s="81" t="s">
        <v>526</v>
      </c>
      <c r="W62" s="11">
        <f ca="1">IFERROR(OFFSET(ITEM_RES!$A$5,MATCH(BUILDING!V62,ITEM_RES!$J$5:$J$229,0)-1,0),0)</f>
        <v>211010301</v>
      </c>
      <c r="Y62" s="9" t="s">
        <v>497</v>
      </c>
      <c r="Z62" s="9">
        <v>18</v>
      </c>
      <c r="AB62" s="11">
        <f ca="1">IFERROR(OFFSET(MANOR_LEVEL!$B$1,MATCH(AC62-1,MANOR_LEVEL!$A:$A,0)-1,0),0)</f>
        <v>13022450</v>
      </c>
      <c r="AC62" s="55">
        <v>14</v>
      </c>
      <c r="AE62" s="55">
        <f t="shared" ca="1" si="9"/>
        <v>17751050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17751050</v>
      </c>
      <c r="AG62" s="176">
        <f t="shared" ca="1" si="11"/>
        <v>28401900</v>
      </c>
      <c r="AI62" s="11">
        <f t="shared" si="4"/>
        <v>3600</v>
      </c>
      <c r="AJ62" s="10">
        <v>3600</v>
      </c>
      <c r="AK62" s="11">
        <f t="shared" si="6"/>
        <v>1050</v>
      </c>
      <c r="AL62" s="10">
        <v>1050</v>
      </c>
      <c r="AM62" s="11">
        <f t="shared" si="6"/>
        <v>0</v>
      </c>
      <c r="AN62" s="10">
        <v>0</v>
      </c>
      <c r="AO62" s="55">
        <f t="shared" si="7"/>
        <v>2</v>
      </c>
      <c r="AQ62" s="11">
        <f ca="1">IFERROR(OFFSET(ITEM_RES!$A$1,MATCH(AR62,ITEM_RES!$J:$J,0)-1,0),0)</f>
        <v>211010601</v>
      </c>
      <c r="AR62" s="10" t="s">
        <v>433</v>
      </c>
      <c r="AS62" s="11">
        <v>13000000</v>
      </c>
      <c r="AV62" s="11">
        <f ca="1">IFERROR(OFFSET(ITEM_RES!$A$1,MATCH(AW62,ITEM_RES!$J:$J,0)-1,0),0)</f>
        <v>211020101</v>
      </c>
      <c r="AW62" s="10" t="s">
        <v>437</v>
      </c>
      <c r="AX62" s="11">
        <v>4300000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1330</v>
      </c>
      <c r="M63" s="9">
        <v>0</v>
      </c>
      <c r="N63" s="9">
        <v>15</v>
      </c>
      <c r="O63" s="9" t="s">
        <v>1414</v>
      </c>
      <c r="P63" s="55" t="s">
        <v>1416</v>
      </c>
      <c r="Q63" s="9" t="s">
        <v>671</v>
      </c>
      <c r="T63" s="9">
        <f ca="1">IFERROR(OFFSET(ITEM_RES!$A$5,MATCH(BUILDING!S63,ITEM_RES!$J$5:$J$229,0)-1,0),0)</f>
        <v>0</v>
      </c>
      <c r="V63" s="81" t="s">
        <v>526</v>
      </c>
      <c r="W63" s="11">
        <f ca="1">IFERROR(OFFSET(ITEM_RES!$A$5,MATCH(BUILDING!V63,ITEM_RES!$J$5:$J$229,0)-1,0),0)</f>
        <v>211010301</v>
      </c>
      <c r="Y63" s="9" t="s">
        <v>497</v>
      </c>
      <c r="Z63" s="9">
        <v>19</v>
      </c>
      <c r="AB63" s="11">
        <f ca="1">IFERROR(OFFSET(MANOR_LEVEL!$B$1,MATCH(AC63-1,MANOR_LEVEL!$A:$A,0)-1,0),0)</f>
        <v>23283600</v>
      </c>
      <c r="AC63" s="55">
        <v>15</v>
      </c>
      <c r="AE63" s="55">
        <f t="shared" ca="1" si="9"/>
        <v>28001250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28001250</v>
      </c>
      <c r="AG63" s="176">
        <f t="shared" ca="1" si="11"/>
        <v>45752300</v>
      </c>
      <c r="AI63" s="11">
        <f t="shared" si="4"/>
        <v>3900</v>
      </c>
      <c r="AJ63" s="10">
        <v>3900</v>
      </c>
      <c r="AK63" s="11">
        <f t="shared" si="6"/>
        <v>1250</v>
      </c>
      <c r="AL63" s="10">
        <v>1250</v>
      </c>
      <c r="AM63" s="11">
        <f t="shared" si="6"/>
        <v>0</v>
      </c>
      <c r="AN63" s="10">
        <v>0</v>
      </c>
      <c r="AO63" s="55">
        <f t="shared" si="7"/>
        <v>2</v>
      </c>
      <c r="AQ63" s="11">
        <f ca="1">IFERROR(OFFSET(ITEM_RES!$A$1,MATCH(AR63,ITEM_RES!$J:$J,0)-1,0),0)</f>
        <v>211010601</v>
      </c>
      <c r="AR63" s="10" t="s">
        <v>433</v>
      </c>
      <c r="AS63" s="11">
        <v>20000000</v>
      </c>
      <c r="AV63" s="11">
        <f ca="1">IFERROR(OFFSET(ITEM_RES!$A$1,MATCH(AW63,ITEM_RES!$J:$J,0)-1,0),0)</f>
        <v>211020101</v>
      </c>
      <c r="AW63" s="10" t="s">
        <v>437</v>
      </c>
      <c r="AX63" s="11">
        <v>8000000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1330</v>
      </c>
      <c r="M64" s="9">
        <v>0</v>
      </c>
      <c r="N64" s="9">
        <v>15</v>
      </c>
      <c r="O64" s="9" t="s">
        <v>1414</v>
      </c>
      <c r="P64" s="55" t="s">
        <v>1416</v>
      </c>
      <c r="Q64" s="9" t="s">
        <v>671</v>
      </c>
      <c r="T64" s="9">
        <f ca="1">IFERROR(OFFSET(ITEM_RES!$A$5,MATCH(BUILDING!S64,ITEM_RES!$J$5:$J$229,0)-1,0),0)</f>
        <v>0</v>
      </c>
      <c r="V64" s="81" t="s">
        <v>526</v>
      </c>
      <c r="W64" s="11">
        <f ca="1">IFERROR(OFFSET(ITEM_RES!$A$5,MATCH(BUILDING!V64,ITEM_RES!$J$5:$J$229,0)-1,0),0)</f>
        <v>211010301</v>
      </c>
      <c r="Y64" s="9" t="s">
        <v>497</v>
      </c>
      <c r="Z64" s="9">
        <v>20</v>
      </c>
      <c r="AB64" s="11">
        <f ca="1">IFERROR(OFFSET(MANOR_LEVEL!$B$1,MATCH(AC64-1,MANOR_LEVEL!$A:$A,0)-1,0),0)</f>
        <v>50404400</v>
      </c>
      <c r="AC64" s="55">
        <v>16</v>
      </c>
      <c r="AE64" s="55">
        <f t="shared" ca="1" si="9"/>
        <v>44901500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44901500</v>
      </c>
      <c r="AG64" s="176">
        <f t="shared" ca="1" si="11"/>
        <v>72902750</v>
      </c>
      <c r="AI64" s="11">
        <f t="shared" si="4"/>
        <v>4200</v>
      </c>
      <c r="AJ64" s="10">
        <v>4200</v>
      </c>
      <c r="AK64" s="11">
        <f t="shared" si="6"/>
        <v>1500</v>
      </c>
      <c r="AL64" s="10">
        <v>1500</v>
      </c>
      <c r="AM64" s="11">
        <f t="shared" si="6"/>
        <v>0</v>
      </c>
      <c r="AN64" s="10">
        <v>0</v>
      </c>
      <c r="AO64" s="55">
        <f t="shared" si="7"/>
        <v>2</v>
      </c>
      <c r="AQ64" s="11">
        <f ca="1">IFERROR(OFFSET(ITEM_RES!$A$1,MATCH(AR64,ITEM_RES!$J:$J,0)-1,0),0)</f>
        <v>211010601</v>
      </c>
      <c r="AR64" s="10" t="s">
        <v>433</v>
      </c>
      <c r="AS64" s="11">
        <v>32000000</v>
      </c>
      <c r="AV64" s="11">
        <f ca="1">IFERROR(OFFSET(ITEM_RES!$A$1,MATCH(AW64,ITEM_RES!$J:$J,0)-1,0),0)</f>
        <v>211020101</v>
      </c>
      <c r="AW64" s="10" t="s">
        <v>437</v>
      </c>
      <c r="AX64" s="11">
        <v>13000000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6"/>
      <c r="H65" s="16">
        <v>1</v>
      </c>
      <c r="I65" s="16">
        <v>1</v>
      </c>
      <c r="J65" s="76"/>
      <c r="K65" s="16" t="s">
        <v>430</v>
      </c>
      <c r="L65" s="16">
        <v>1</v>
      </c>
      <c r="M65" s="16">
        <v>1</v>
      </c>
      <c r="N65" s="16">
        <v>15</v>
      </c>
      <c r="O65" s="16" t="s">
        <v>1085</v>
      </c>
      <c r="P65" s="56" t="s">
        <v>1349</v>
      </c>
      <c r="Q65" s="16" t="s">
        <v>672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527</v>
      </c>
      <c r="W65" s="18">
        <f ca="1">IFERROR(OFFSET(ITEM_RES!$A$5,MATCH(BUILDING!V65,ITEM_RES!$J$5:$J$229,0)-1,0),0)</f>
        <v>211020101</v>
      </c>
      <c r="X65" s="76"/>
      <c r="Y65" s="16" t="s">
        <v>498</v>
      </c>
      <c r="Z65" s="16">
        <v>1</v>
      </c>
      <c r="AA65" s="76"/>
      <c r="AB65" s="18">
        <f ca="1">IFERROR(OFFSET(MANOR_LEVEL!$B$1,MATCH(AC65-1,MANOR_LEVEL!$A:$A,0)-1,0),0)</f>
        <v>0</v>
      </c>
      <c r="AC65" s="56">
        <v>1</v>
      </c>
      <c r="AD65" s="76"/>
      <c r="AE65" s="56">
        <f t="shared" ca="1" si="9"/>
        <v>1205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1205</v>
      </c>
      <c r="AG65" s="178">
        <f ca="1">AE65</f>
        <v>1205</v>
      </c>
      <c r="AH65" s="76"/>
      <c r="AI65" s="18">
        <f t="shared" si="4"/>
        <v>3</v>
      </c>
      <c r="AJ65" s="17">
        <v>3</v>
      </c>
      <c r="AK65" s="18">
        <f t="shared" ref="AK65" si="15">ROUND(AL65,0)</f>
        <v>5</v>
      </c>
      <c r="AL65" s="17">
        <v>5</v>
      </c>
      <c r="AM65" s="18"/>
      <c r="AN65" s="17">
        <v>0</v>
      </c>
      <c r="AO65" s="56">
        <f t="shared" si="7"/>
        <v>2</v>
      </c>
      <c r="AP65" s="18"/>
      <c r="AQ65" s="18">
        <f ca="1">IFERROR(OFFSET(ITEM_RES!$A$1,MATCH(AR65,ITEM_RES!$J:$J,0)-1,0),0)</f>
        <v>211020801</v>
      </c>
      <c r="AR65" s="17" t="s">
        <v>428</v>
      </c>
      <c r="AS65" s="18">
        <v>25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441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430</v>
      </c>
      <c r="M66" s="9">
        <v>1</v>
      </c>
      <c r="N66" s="9">
        <v>15</v>
      </c>
      <c r="O66" s="9" t="s">
        <v>1085</v>
      </c>
      <c r="P66" s="55" t="s">
        <v>1349</v>
      </c>
      <c r="Q66" s="9" t="s">
        <v>672</v>
      </c>
      <c r="T66" s="9">
        <f ca="1">IFERROR(OFFSET(ITEM_RES!$A$5,MATCH(BUILDING!S66,ITEM_RES!$J$5:$J$229,0)-1,0),0)</f>
        <v>0</v>
      </c>
      <c r="V66" s="81" t="s">
        <v>527</v>
      </c>
      <c r="W66" s="11">
        <f ca="1">IFERROR(OFFSET(ITEM_RES!$A$5,MATCH(BUILDING!V66,ITEM_RES!$J$5:$J$229,0)-1,0),0)</f>
        <v>211020101</v>
      </c>
      <c r="Y66" s="9" t="s">
        <v>498</v>
      </c>
      <c r="Z66" s="9">
        <v>2</v>
      </c>
      <c r="AB66" s="11">
        <f ca="1">IFERROR(OFFSET(MANOR_LEVEL!$B$1,MATCH(AC66-1,MANOR_LEVEL!$A:$A,0)-1,0),0)</f>
        <v>100</v>
      </c>
      <c r="AC66" s="55">
        <v>2</v>
      </c>
      <c r="AE66" s="55">
        <f t="shared" ca="1" si="9"/>
        <v>410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410</v>
      </c>
      <c r="AG66" s="176">
        <f ca="1">AE65+AE66</f>
        <v>1615</v>
      </c>
      <c r="AI66" s="11">
        <f t="shared" si="4"/>
        <v>5</v>
      </c>
      <c r="AJ66" s="10">
        <v>5</v>
      </c>
      <c r="AK66" s="11">
        <f t="shared" ref="AK66" si="16">ROUND(AL66,0)</f>
        <v>10</v>
      </c>
      <c r="AL66" s="10">
        <v>10</v>
      </c>
      <c r="AN66" s="10">
        <v>0</v>
      </c>
      <c r="AO66" s="55">
        <f t="shared" si="7"/>
        <v>1</v>
      </c>
      <c r="AQ66" s="11">
        <f ca="1">IFERROR(OFFSET(ITEM_RES!$A$1,MATCH(AR66,ITEM_RES!$J:$J,0)-1,0),0)</f>
        <v>211020801</v>
      </c>
      <c r="AR66" s="10" t="s">
        <v>428</v>
      </c>
      <c r="AS66" s="11">
        <v>50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430</v>
      </c>
      <c r="M67" s="9">
        <v>1</v>
      </c>
      <c r="N67" s="9">
        <v>15</v>
      </c>
      <c r="O67" s="9" t="s">
        <v>1086</v>
      </c>
      <c r="P67" s="55" t="s">
        <v>1350</v>
      </c>
      <c r="Q67" s="9" t="s">
        <v>672</v>
      </c>
      <c r="T67" s="9">
        <f ca="1">IFERROR(OFFSET(ITEM_RES!$A$5,MATCH(BUILDING!S67,ITEM_RES!$J$5:$J$229,0)-1,0),0)</f>
        <v>0</v>
      </c>
      <c r="V67" s="81" t="s">
        <v>527</v>
      </c>
      <c r="W67" s="11">
        <f ca="1">IFERROR(OFFSET(ITEM_RES!$A$5,MATCH(BUILDING!V67,ITEM_RES!$J$5:$J$229,0)-1,0),0)</f>
        <v>211020101</v>
      </c>
      <c r="Y67" s="9" t="s">
        <v>498</v>
      </c>
      <c r="Z67" s="9">
        <v>3</v>
      </c>
      <c r="AB67" s="11">
        <f ca="1">IFERROR(OFFSET(MANOR_LEVEL!$B$1,MATCH(AC67-1,MANOR_LEVEL!$A:$A,0)-1,0),0)</f>
        <v>310</v>
      </c>
      <c r="AC67" s="55">
        <v>3</v>
      </c>
      <c r="AE67" s="55">
        <f t="shared" ca="1" si="9"/>
        <v>615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615</v>
      </c>
      <c r="AG67" s="176">
        <f t="shared" ref="AG67:AG84" ca="1" si="17">AE66+AE67</f>
        <v>1025</v>
      </c>
      <c r="AI67" s="11">
        <f t="shared" si="4"/>
        <v>5</v>
      </c>
      <c r="AJ67" s="10">
        <v>5</v>
      </c>
      <c r="AK67" s="11">
        <f t="shared" ref="AK67" si="18">ROUND(AL67,0)</f>
        <v>15</v>
      </c>
      <c r="AL67" s="10">
        <v>15</v>
      </c>
      <c r="AN67" s="10">
        <v>0</v>
      </c>
      <c r="AO67" s="55">
        <f t="shared" si="7"/>
        <v>1</v>
      </c>
      <c r="AQ67" s="11">
        <f ca="1">IFERROR(OFFSET(ITEM_RES!$A$1,MATCH(AR67,ITEM_RES!$J:$J,0)-1,0),0)</f>
        <v>211020801</v>
      </c>
      <c r="AR67" s="10" t="s">
        <v>428</v>
      </c>
      <c r="AS67" s="11">
        <v>75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430</v>
      </c>
      <c r="M68" s="9">
        <v>1</v>
      </c>
      <c r="N68" s="9">
        <v>15</v>
      </c>
      <c r="O68" s="9" t="s">
        <v>1087</v>
      </c>
      <c r="P68" s="55" t="s">
        <v>1350</v>
      </c>
      <c r="Q68" s="9" t="s">
        <v>672</v>
      </c>
      <c r="T68" s="9">
        <f ca="1">IFERROR(OFFSET(ITEM_RES!$A$5,MATCH(BUILDING!S68,ITEM_RES!$J$5:$J$229,0)-1,0),0)</f>
        <v>0</v>
      </c>
      <c r="V68" s="81" t="s">
        <v>527</v>
      </c>
      <c r="W68" s="11">
        <f ca="1">IFERROR(OFFSET(ITEM_RES!$A$5,MATCH(BUILDING!V68,ITEM_RES!$J$5:$J$229,0)-1,0),0)</f>
        <v>211020101</v>
      </c>
      <c r="Y68" s="9" t="s">
        <v>498</v>
      </c>
      <c r="Z68" s="9">
        <v>4</v>
      </c>
      <c r="AB68" s="11">
        <f ca="1">IFERROR(OFFSET(MANOR_LEVEL!$B$1,MATCH(AC68-1,MANOR_LEVEL!$A:$A,0)-1,0),0)</f>
        <v>310</v>
      </c>
      <c r="AC68" s="55">
        <v>3</v>
      </c>
      <c r="AE68" s="55">
        <f t="shared" ca="1" si="9"/>
        <v>2425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2425</v>
      </c>
      <c r="AG68" s="176">
        <f t="shared" ca="1" si="17"/>
        <v>3040</v>
      </c>
      <c r="AI68" s="11">
        <f t="shared" si="4"/>
        <v>10</v>
      </c>
      <c r="AJ68" s="10">
        <v>10</v>
      </c>
      <c r="AK68" s="11">
        <f t="shared" ref="AK68" si="19">ROUND(AL68,0)</f>
        <v>25</v>
      </c>
      <c r="AL68" s="10">
        <v>25</v>
      </c>
      <c r="AN68" s="10">
        <v>0</v>
      </c>
      <c r="AO68" s="55">
        <f t="shared" si="7"/>
        <v>1</v>
      </c>
      <c r="AQ68" s="11">
        <f ca="1">IFERROR(OFFSET(ITEM_RES!$A$1,MATCH(AR68,ITEM_RES!$J:$J,0)-1,0),0)</f>
        <v>211020801</v>
      </c>
      <c r="AR68" s="10" t="s">
        <v>428</v>
      </c>
      <c r="AS68" s="11">
        <v>300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430</v>
      </c>
      <c r="M69" s="9">
        <v>1</v>
      </c>
      <c r="N69" s="9">
        <v>15</v>
      </c>
      <c r="O69" s="9" t="s">
        <v>1088</v>
      </c>
      <c r="P69" s="55" t="s">
        <v>1351</v>
      </c>
      <c r="Q69" s="9" t="s">
        <v>672</v>
      </c>
      <c r="T69" s="9">
        <f ca="1">IFERROR(OFFSET(ITEM_RES!$A$5,MATCH(BUILDING!S69,ITEM_RES!$J$5:$J$229,0)-1,0),0)</f>
        <v>0</v>
      </c>
      <c r="V69" s="81" t="s">
        <v>527</v>
      </c>
      <c r="W69" s="11">
        <f ca="1">IFERROR(OFFSET(ITEM_RES!$A$5,MATCH(BUILDING!V69,ITEM_RES!$J$5:$J$229,0)-1,0),0)</f>
        <v>211020101</v>
      </c>
      <c r="Y69" s="9" t="s">
        <v>498</v>
      </c>
      <c r="Z69" s="9">
        <v>5</v>
      </c>
      <c r="AB69" s="11">
        <f ca="1">IFERROR(OFFSET(MANOR_LEVEL!$B$1,MATCH(AC69-1,MANOR_LEVEL!$A:$A,0)-1,0),0)</f>
        <v>930</v>
      </c>
      <c r="AC69" s="55">
        <v>4</v>
      </c>
      <c r="AE69" s="55">
        <f t="shared" ca="1" si="9"/>
        <v>10840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10840</v>
      </c>
      <c r="AG69" s="176">
        <f t="shared" ca="1" si="17"/>
        <v>13265</v>
      </c>
      <c r="AI69" s="11">
        <f t="shared" ref="AI69:AI132" si="20">ROUND(AJ69,0)</f>
        <v>15</v>
      </c>
      <c r="AJ69" s="10">
        <v>15</v>
      </c>
      <c r="AK69" s="11">
        <f t="shared" ref="AK69" si="21">ROUND(AL69,0)</f>
        <v>40</v>
      </c>
      <c r="AL69" s="10">
        <v>40</v>
      </c>
      <c r="AN69" s="10">
        <v>0</v>
      </c>
      <c r="AO69" s="55">
        <f t="shared" si="7"/>
        <v>1</v>
      </c>
      <c r="AQ69" s="11">
        <f ca="1">IFERROR(OFFSET(ITEM_RES!$A$1,MATCH(AR69,ITEM_RES!$J:$J,0)-1,0),0)</f>
        <v>211020801</v>
      </c>
      <c r="AR69" s="10" t="s">
        <v>428</v>
      </c>
      <c r="AS69" s="11">
        <v>1350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430</v>
      </c>
      <c r="M70" s="9">
        <v>1</v>
      </c>
      <c r="N70" s="9">
        <v>15</v>
      </c>
      <c r="O70" s="9" t="s">
        <v>1089</v>
      </c>
      <c r="P70" s="55" t="s">
        <v>1351</v>
      </c>
      <c r="Q70" s="9" t="s">
        <v>672</v>
      </c>
      <c r="T70" s="9">
        <f ca="1">IFERROR(OFFSET(ITEM_RES!$A$5,MATCH(BUILDING!S70,ITEM_RES!$J$5:$J$229,0)-1,0),0)</f>
        <v>0</v>
      </c>
      <c r="V70" s="81" t="s">
        <v>527</v>
      </c>
      <c r="W70" s="11">
        <f ca="1">IFERROR(OFFSET(ITEM_RES!$A$5,MATCH(BUILDING!V70,ITEM_RES!$J$5:$J$229,0)-1,0),0)</f>
        <v>211020101</v>
      </c>
      <c r="Y70" s="9" t="s">
        <v>498</v>
      </c>
      <c r="Z70" s="9">
        <v>6</v>
      </c>
      <c r="AB70" s="11">
        <f ca="1">IFERROR(OFFSET(MANOR_LEVEL!$B$1,MATCH(AC70-1,MANOR_LEVEL!$A:$A,0)-1,0),0)</f>
        <v>930</v>
      </c>
      <c r="AC70" s="55">
        <v>4</v>
      </c>
      <c r="AE70" s="55">
        <f t="shared" ca="1" si="9"/>
        <v>36050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36050</v>
      </c>
      <c r="AG70" s="176">
        <f t="shared" ca="1" si="17"/>
        <v>46890</v>
      </c>
      <c r="AI70" s="11">
        <f t="shared" si="20"/>
        <v>30</v>
      </c>
      <c r="AJ70" s="10">
        <v>30</v>
      </c>
      <c r="AK70" s="11">
        <f t="shared" ref="AK70" si="22">ROUND(AL70,0)</f>
        <v>50</v>
      </c>
      <c r="AL70" s="10">
        <v>50</v>
      </c>
      <c r="AN70" s="10">
        <v>0</v>
      </c>
      <c r="AO70" s="55">
        <f t="shared" ref="AO70:AO133" si="23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428</v>
      </c>
      <c r="AS70" s="11">
        <v>4500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430</v>
      </c>
      <c r="M71" s="9">
        <v>1</v>
      </c>
      <c r="N71" s="9">
        <v>15</v>
      </c>
      <c r="O71" s="9" t="s">
        <v>1090</v>
      </c>
      <c r="P71" s="55" t="s">
        <v>1352</v>
      </c>
      <c r="Q71" s="9" t="s">
        <v>672</v>
      </c>
      <c r="T71" s="9">
        <f ca="1">IFERROR(OFFSET(ITEM_RES!$A$5,MATCH(BUILDING!S71,ITEM_RES!$J$5:$J$229,0)-1,0),0)</f>
        <v>0</v>
      </c>
      <c r="V71" s="81" t="s">
        <v>527</v>
      </c>
      <c r="W71" s="11">
        <f ca="1">IFERROR(OFFSET(ITEM_RES!$A$5,MATCH(BUILDING!V71,ITEM_RES!$J$5:$J$229,0)-1,0),0)</f>
        <v>211020101</v>
      </c>
      <c r="Y71" s="9" t="s">
        <v>498</v>
      </c>
      <c r="Z71" s="9">
        <v>7</v>
      </c>
      <c r="AB71" s="11">
        <f ca="1">IFERROR(OFFSET(MANOR_LEVEL!$B$1,MATCH(AC71-1,MANOR_LEVEL!$A:$A,0)-1,0),0)</f>
        <v>930</v>
      </c>
      <c r="AC71" s="55">
        <v>4</v>
      </c>
      <c r="AE71" s="55">
        <f t="shared" ca="1" si="9"/>
        <v>80100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80100</v>
      </c>
      <c r="AG71" s="176">
        <f t="shared" ca="1" si="17"/>
        <v>116150</v>
      </c>
      <c r="AI71" s="11">
        <f t="shared" si="20"/>
        <v>300</v>
      </c>
      <c r="AJ71" s="10">
        <v>300</v>
      </c>
      <c r="AK71" s="11">
        <f t="shared" ref="AK71" si="24">ROUND(AL71,0)</f>
        <v>100</v>
      </c>
      <c r="AL71" s="10">
        <v>100</v>
      </c>
      <c r="AN71" s="10">
        <v>0</v>
      </c>
      <c r="AO71" s="55">
        <f t="shared" si="23"/>
        <v>1</v>
      </c>
      <c r="AQ71" s="11">
        <f ca="1">IFERROR(OFFSET(ITEM_RES!$A$1,MATCH(AR71,ITEM_RES!$J:$J,0)-1,0),0)</f>
        <v>211020801</v>
      </c>
      <c r="AR71" s="10" t="s">
        <v>428</v>
      </c>
      <c r="AS71" s="11">
        <v>10000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430</v>
      </c>
      <c r="M72" s="9">
        <v>1</v>
      </c>
      <c r="N72" s="9">
        <v>15</v>
      </c>
      <c r="O72" s="9" t="s">
        <v>1090</v>
      </c>
      <c r="P72" s="55" t="s">
        <v>1352</v>
      </c>
      <c r="Q72" s="9" t="s">
        <v>672</v>
      </c>
      <c r="T72" s="9">
        <f ca="1">IFERROR(OFFSET(ITEM_RES!$A$5,MATCH(BUILDING!S72,ITEM_RES!$J$5:$J$229,0)-1,0),0)</f>
        <v>0</v>
      </c>
      <c r="V72" s="81" t="s">
        <v>527</v>
      </c>
      <c r="W72" s="11">
        <f ca="1">IFERROR(OFFSET(ITEM_RES!$A$5,MATCH(BUILDING!V72,ITEM_RES!$J$5:$J$229,0)-1,0),0)</f>
        <v>211020101</v>
      </c>
      <c r="Y72" s="9" t="s">
        <v>498</v>
      </c>
      <c r="Z72" s="9">
        <v>8</v>
      </c>
      <c r="AB72" s="11">
        <f ca="1">IFERROR(OFFSET(MANOR_LEVEL!$B$1,MATCH(AC72-1,MANOR_LEVEL!$A:$A,0)-1,0),0)</f>
        <v>5475</v>
      </c>
      <c r="AC72" s="55">
        <v>5</v>
      </c>
      <c r="AE72" s="55">
        <f t="shared" ca="1" si="9"/>
        <v>168600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168600</v>
      </c>
      <c r="AG72" s="176">
        <f t="shared" ca="1" si="17"/>
        <v>248700</v>
      </c>
      <c r="AI72" s="11">
        <f t="shared" si="20"/>
        <v>600</v>
      </c>
      <c r="AJ72" s="10">
        <v>600</v>
      </c>
      <c r="AK72" s="11">
        <f t="shared" ref="AK72" si="25">ROUND(AL72,0)</f>
        <v>100</v>
      </c>
      <c r="AL72" s="10">
        <v>100</v>
      </c>
      <c r="AM72" s="11">
        <v>500</v>
      </c>
      <c r="AN72" s="10">
        <v>0</v>
      </c>
      <c r="AO72" s="55">
        <f t="shared" si="23"/>
        <v>1</v>
      </c>
      <c r="AQ72" s="11">
        <f ca="1">IFERROR(OFFSET(ITEM_RES!$A$1,MATCH(AR72,ITEM_RES!$J:$J,0)-1,0),0)</f>
        <v>211020801</v>
      </c>
      <c r="AR72" s="10" t="s">
        <v>428</v>
      </c>
      <c r="AS72" s="11">
        <v>21000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430</v>
      </c>
      <c r="M73" s="9">
        <v>1</v>
      </c>
      <c r="N73" s="9">
        <v>15</v>
      </c>
      <c r="O73" s="9" t="s">
        <v>1090</v>
      </c>
      <c r="P73" s="55" t="s">
        <v>1352</v>
      </c>
      <c r="Q73" s="9" t="s">
        <v>672</v>
      </c>
      <c r="T73" s="9">
        <f ca="1">IFERROR(OFFSET(ITEM_RES!$A$5,MATCH(BUILDING!S73,ITEM_RES!$J$5:$J$229,0)-1,0),0)</f>
        <v>0</v>
      </c>
      <c r="V73" s="81" t="s">
        <v>527</v>
      </c>
      <c r="W73" s="11">
        <f ca="1">IFERROR(OFFSET(ITEM_RES!$A$5,MATCH(BUILDING!V73,ITEM_RES!$J$5:$J$229,0)-1,0),0)</f>
        <v>211020101</v>
      </c>
      <c r="Y73" s="9" t="s">
        <v>498</v>
      </c>
      <c r="Z73" s="9">
        <v>9</v>
      </c>
      <c r="AB73" s="11">
        <f ca="1">IFERROR(OFFSET(MANOR_LEVEL!$B$1,MATCH(AC73-1,MANOR_LEVEL!$A:$A,0)-1,0),0)</f>
        <v>32560</v>
      </c>
      <c r="AC73" s="55">
        <v>6</v>
      </c>
      <c r="AE73" s="55">
        <f t="shared" ca="1" si="9"/>
        <v>318150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318150</v>
      </c>
      <c r="AG73" s="176">
        <f t="shared" ca="1" si="17"/>
        <v>486750</v>
      </c>
      <c r="AI73" s="11">
        <f t="shared" si="20"/>
        <v>900</v>
      </c>
      <c r="AJ73" s="10">
        <v>900</v>
      </c>
      <c r="AK73" s="11">
        <f t="shared" ref="AK73" si="26">ROUND(AL73,0)</f>
        <v>150</v>
      </c>
      <c r="AL73" s="10">
        <v>150</v>
      </c>
      <c r="AM73" s="11">
        <v>6000</v>
      </c>
      <c r="AN73" s="10">
        <v>0</v>
      </c>
      <c r="AO73" s="55">
        <f t="shared" si="23"/>
        <v>1</v>
      </c>
      <c r="AQ73" s="11">
        <f ca="1">IFERROR(OFFSET(ITEM_RES!$A$1,MATCH(AR73,ITEM_RES!$J:$J,0)-1,0),0)</f>
        <v>211020801</v>
      </c>
      <c r="AR73" s="10" t="s">
        <v>428</v>
      </c>
      <c r="AS73" s="11">
        <v>39000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430</v>
      </c>
      <c r="M74" s="9">
        <v>1</v>
      </c>
      <c r="N74" s="9">
        <v>15</v>
      </c>
      <c r="O74" s="9" t="s">
        <v>1090</v>
      </c>
      <c r="P74" s="55" t="s">
        <v>1352</v>
      </c>
      <c r="Q74" s="9" t="s">
        <v>672</v>
      </c>
      <c r="T74" s="9">
        <f ca="1">IFERROR(OFFSET(ITEM_RES!$A$5,MATCH(BUILDING!S74,ITEM_RES!$J$5:$J$229,0)-1,0),0)</f>
        <v>0</v>
      </c>
      <c r="V74" s="81" t="s">
        <v>527</v>
      </c>
      <c r="W74" s="11">
        <f ca="1">IFERROR(OFFSET(ITEM_RES!$A$5,MATCH(BUILDING!V74,ITEM_RES!$J$5:$J$229,0)-1,0),0)</f>
        <v>211020101</v>
      </c>
      <c r="Y74" s="9" t="s">
        <v>498</v>
      </c>
      <c r="Z74" s="9">
        <v>10</v>
      </c>
      <c r="AB74" s="11">
        <f ca="1">IFERROR(OFFSET(MANOR_LEVEL!$B$1,MATCH(AC74-1,MANOR_LEVEL!$A:$A,0)-1,0),0)</f>
        <v>108200</v>
      </c>
      <c r="AC74" s="55">
        <v>7</v>
      </c>
      <c r="AE74" s="55">
        <f t="shared" ca="1" si="9"/>
        <v>559200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559200</v>
      </c>
      <c r="AG74" s="176">
        <f t="shared" ca="1" si="17"/>
        <v>877350</v>
      </c>
      <c r="AI74" s="11">
        <f t="shared" si="20"/>
        <v>1200</v>
      </c>
      <c r="AJ74" s="10">
        <v>1200</v>
      </c>
      <c r="AK74" s="11">
        <f t="shared" ref="AK74" si="27">ROUND(AL74,0)</f>
        <v>200</v>
      </c>
      <c r="AL74" s="10">
        <v>200</v>
      </c>
      <c r="AM74" s="11">
        <v>39000</v>
      </c>
      <c r="AN74" s="10">
        <v>0</v>
      </c>
      <c r="AO74" s="55">
        <f t="shared" si="23"/>
        <v>1</v>
      </c>
      <c r="AQ74" s="11">
        <f ca="1">IFERROR(OFFSET(ITEM_RES!$A$1,MATCH(AR74,ITEM_RES!$J:$J,0)-1,0),0)</f>
        <v>211020801</v>
      </c>
      <c r="AR74" s="10" t="s">
        <v>428</v>
      </c>
      <c r="AS74" s="11">
        <v>65000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430</v>
      </c>
      <c r="M75" s="9">
        <v>1</v>
      </c>
      <c r="N75" s="9">
        <v>15</v>
      </c>
      <c r="O75" s="9" t="s">
        <v>1090</v>
      </c>
      <c r="P75" s="55" t="s">
        <v>1352</v>
      </c>
      <c r="Q75" s="9" t="s">
        <v>672</v>
      </c>
      <c r="T75" s="9">
        <f ca="1">IFERROR(OFFSET(ITEM_RES!$A$5,MATCH(BUILDING!S75,ITEM_RES!$J$5:$J$229,0)-1,0),0)</f>
        <v>0</v>
      </c>
      <c r="V75" s="81" t="s">
        <v>527</v>
      </c>
      <c r="W75" s="11">
        <f ca="1">IFERROR(OFFSET(ITEM_RES!$A$5,MATCH(BUILDING!V75,ITEM_RES!$J$5:$J$229,0)-1,0),0)</f>
        <v>211020101</v>
      </c>
      <c r="Y75" s="9" t="s">
        <v>498</v>
      </c>
      <c r="Z75" s="9">
        <v>11</v>
      </c>
      <c r="AB75" s="11">
        <f ca="1">IFERROR(OFFSET(MANOR_LEVEL!$B$1,MATCH(AC75-1,MANOR_LEVEL!$A:$A,0)-1,0),0)</f>
        <v>240400</v>
      </c>
      <c r="AC75" s="55">
        <v>8</v>
      </c>
      <c r="AE75" s="55">
        <f t="shared" ca="1" si="9"/>
        <v>946250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946250</v>
      </c>
      <c r="AG75" s="176">
        <f t="shared" ca="1" si="17"/>
        <v>1505450</v>
      </c>
      <c r="AI75" s="11">
        <f t="shared" si="20"/>
        <v>1500</v>
      </c>
      <c r="AJ75" s="10">
        <v>1500</v>
      </c>
      <c r="AK75" s="11">
        <f t="shared" ref="AK75" si="28">ROUND(AL75,0)</f>
        <v>250</v>
      </c>
      <c r="AL75" s="10">
        <v>250</v>
      </c>
      <c r="AM75" s="11">
        <v>65000</v>
      </c>
      <c r="AN75" s="10">
        <v>0</v>
      </c>
      <c r="AO75" s="55">
        <f t="shared" si="23"/>
        <v>2</v>
      </c>
      <c r="AQ75" s="11">
        <f ca="1">IFERROR(OFFSET(ITEM_RES!$A$1,MATCH(AR75,ITEM_RES!$J:$J,0)-1,0),0)</f>
        <v>211020801</v>
      </c>
      <c r="AR75" s="10" t="s">
        <v>428</v>
      </c>
      <c r="AS75" s="11">
        <v>110000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449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430</v>
      </c>
      <c r="M76" s="9">
        <v>1</v>
      </c>
      <c r="N76" s="9">
        <v>15</v>
      </c>
      <c r="O76" s="9" t="s">
        <v>1090</v>
      </c>
      <c r="P76" s="55" t="s">
        <v>1352</v>
      </c>
      <c r="Q76" s="9" t="s">
        <v>672</v>
      </c>
      <c r="T76" s="9">
        <f ca="1">IFERROR(OFFSET(ITEM_RES!$A$5,MATCH(BUILDING!S76,ITEM_RES!$J$5:$J$229,0)-1,0),0)</f>
        <v>0</v>
      </c>
      <c r="V76" s="81" t="s">
        <v>527</v>
      </c>
      <c r="W76" s="11">
        <f ca="1">IFERROR(OFFSET(ITEM_RES!$A$5,MATCH(BUILDING!V76,ITEM_RES!$J$5:$J$229,0)-1,0),0)</f>
        <v>211020101</v>
      </c>
      <c r="Y76" s="9" t="s">
        <v>498</v>
      </c>
      <c r="Z76" s="9">
        <v>12</v>
      </c>
      <c r="AB76" s="11">
        <f ca="1">IFERROR(OFFSET(MANOR_LEVEL!$B$1,MATCH(AC76-1,MANOR_LEVEL!$A:$A,0)-1,0),0)</f>
        <v>630500</v>
      </c>
      <c r="AC76" s="55">
        <v>9</v>
      </c>
      <c r="AE76" s="55">
        <f t="shared" ca="1" si="9"/>
        <v>1590300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1590300</v>
      </c>
      <c r="AG76" s="176">
        <f t="shared" ca="1" si="17"/>
        <v>2536550</v>
      </c>
      <c r="AI76" s="11">
        <f t="shared" si="20"/>
        <v>1800</v>
      </c>
      <c r="AJ76" s="10">
        <v>1800</v>
      </c>
      <c r="AK76" s="11">
        <f t="shared" ref="AK76" si="29">ROUND(AL76,0)</f>
        <v>300</v>
      </c>
      <c r="AL76" s="10">
        <v>300</v>
      </c>
      <c r="AM76" s="11">
        <v>110000</v>
      </c>
      <c r="AN76" s="10">
        <v>0</v>
      </c>
      <c r="AO76" s="55">
        <f t="shared" si="23"/>
        <v>1</v>
      </c>
      <c r="AQ76" s="11">
        <f ca="1">IFERROR(OFFSET(ITEM_RES!$A$1,MATCH(AR76,ITEM_RES!$J:$J,0)-1,0),0)</f>
        <v>211020801</v>
      </c>
      <c r="AR76" s="10" t="s">
        <v>428</v>
      </c>
      <c r="AS76" s="11">
        <v>185000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430</v>
      </c>
      <c r="M77" s="9">
        <v>1</v>
      </c>
      <c r="N77" s="9">
        <v>15</v>
      </c>
      <c r="O77" s="9" t="s">
        <v>1090</v>
      </c>
      <c r="P77" s="55" t="s">
        <v>1352</v>
      </c>
      <c r="Q77" s="9" t="s">
        <v>672</v>
      </c>
      <c r="T77" s="9">
        <f ca="1">IFERROR(OFFSET(ITEM_RES!$A$5,MATCH(BUILDING!S77,ITEM_RES!$J$5:$J$229,0)-1,0),0)</f>
        <v>0</v>
      </c>
      <c r="V77" s="81" t="s">
        <v>527</v>
      </c>
      <c r="W77" s="11">
        <f ca="1">IFERROR(OFFSET(ITEM_RES!$A$5,MATCH(BUILDING!V77,ITEM_RES!$J$5:$J$229,0)-1,0),0)</f>
        <v>211020101</v>
      </c>
      <c r="Y77" s="9" t="s">
        <v>498</v>
      </c>
      <c r="Z77" s="9">
        <v>13</v>
      </c>
      <c r="AB77" s="11">
        <f ca="1">IFERROR(OFFSET(MANOR_LEVEL!$B$1,MATCH(AC77-1,MANOR_LEVEL!$A:$A,0)-1,0),0)</f>
        <v>1170750</v>
      </c>
      <c r="AC77" s="55">
        <v>10</v>
      </c>
      <c r="AE77" s="55">
        <f t="shared" ca="1" si="9"/>
        <v>2665350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2665350</v>
      </c>
      <c r="AG77" s="176">
        <f t="shared" ca="1" si="17"/>
        <v>4255650</v>
      </c>
      <c r="AI77" s="11">
        <f t="shared" si="20"/>
        <v>2100</v>
      </c>
      <c r="AJ77" s="10">
        <v>2100</v>
      </c>
      <c r="AK77" s="11">
        <f t="shared" ref="AK77" si="30">ROUND(AL77,0)</f>
        <v>350</v>
      </c>
      <c r="AL77" s="10">
        <v>350</v>
      </c>
      <c r="AM77" s="11">
        <v>185000</v>
      </c>
      <c r="AN77" s="10">
        <v>0</v>
      </c>
      <c r="AO77" s="55">
        <f t="shared" si="23"/>
        <v>1</v>
      </c>
      <c r="AQ77" s="11">
        <f ca="1">IFERROR(OFFSET(ITEM_RES!$A$1,MATCH(AR77,ITEM_RES!$J:$J,0)-1,0),0)</f>
        <v>211020801</v>
      </c>
      <c r="AR77" s="10" t="s">
        <v>428</v>
      </c>
      <c r="AS77" s="11">
        <v>310000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430</v>
      </c>
      <c r="M78" s="9">
        <v>1</v>
      </c>
      <c r="N78" s="9">
        <v>15</v>
      </c>
      <c r="O78" s="9" t="s">
        <v>1090</v>
      </c>
      <c r="P78" s="55" t="s">
        <v>1352</v>
      </c>
      <c r="Q78" s="9" t="s">
        <v>672</v>
      </c>
      <c r="T78" s="9">
        <f ca="1">IFERROR(OFFSET(ITEM_RES!$A$5,MATCH(BUILDING!S78,ITEM_RES!$J$5:$J$229,0)-1,0),0)</f>
        <v>0</v>
      </c>
      <c r="V78" s="81" t="s">
        <v>527</v>
      </c>
      <c r="W78" s="11">
        <f ca="1">IFERROR(OFFSET(ITEM_RES!$A$5,MATCH(BUILDING!V78,ITEM_RES!$J$5:$J$229,0)-1,0),0)</f>
        <v>211020101</v>
      </c>
      <c r="Y78" s="9" t="s">
        <v>498</v>
      </c>
      <c r="Z78" s="9">
        <v>14</v>
      </c>
      <c r="AB78" s="11">
        <f ca="1">IFERROR(OFFSET(MANOR_LEVEL!$B$1,MATCH(AC78-1,MANOR_LEVEL!$A:$A,0)-1,0),0)</f>
        <v>1956000</v>
      </c>
      <c r="AC78" s="55">
        <v>11</v>
      </c>
      <c r="AE78" s="55">
        <f t="shared" ca="1" si="9"/>
        <v>5160450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5160450</v>
      </c>
      <c r="AG78" s="176">
        <f t="shared" ca="1" si="17"/>
        <v>7825800</v>
      </c>
      <c r="AI78" s="11">
        <f t="shared" si="20"/>
        <v>2400</v>
      </c>
      <c r="AJ78" s="10">
        <v>2400</v>
      </c>
      <c r="AK78" s="11">
        <f t="shared" ref="AK78" si="31">ROUND(AL78,0)</f>
        <v>450</v>
      </c>
      <c r="AL78" s="10">
        <v>450</v>
      </c>
      <c r="AM78" s="11">
        <v>310000</v>
      </c>
      <c r="AN78" s="10">
        <v>0</v>
      </c>
      <c r="AO78" s="55">
        <f t="shared" si="23"/>
        <v>1</v>
      </c>
      <c r="AQ78" s="11">
        <f ca="1">IFERROR(OFFSET(ITEM_RES!$A$1,MATCH(AR78,ITEM_RES!$J:$J,0)-1,0),0)</f>
        <v>211020901</v>
      </c>
      <c r="AR78" s="10" t="s">
        <v>435</v>
      </c>
      <c r="AS78" s="11">
        <v>485000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430</v>
      </c>
      <c r="M79" s="9">
        <v>1</v>
      </c>
      <c r="N79" s="9">
        <v>15</v>
      </c>
      <c r="O79" s="9" t="s">
        <v>1090</v>
      </c>
      <c r="P79" s="55" t="s">
        <v>1352</v>
      </c>
      <c r="Q79" s="9" t="s">
        <v>672</v>
      </c>
      <c r="T79" s="9">
        <f ca="1">IFERROR(OFFSET(ITEM_RES!$A$5,MATCH(BUILDING!S79,ITEM_RES!$J$5:$J$229,0)-1,0),0)</f>
        <v>0</v>
      </c>
      <c r="V79" s="81" t="s">
        <v>527</v>
      </c>
      <c r="W79" s="11">
        <f ca="1">IFERROR(OFFSET(ITEM_RES!$A$5,MATCH(BUILDING!V79,ITEM_RES!$J$5:$J$229,0)-1,0),0)</f>
        <v>211020101</v>
      </c>
      <c r="Y79" s="9" t="s">
        <v>498</v>
      </c>
      <c r="Z79" s="9">
        <v>15</v>
      </c>
      <c r="AB79" s="11">
        <f ca="1">IFERROR(OFFSET(MANOR_LEVEL!$B$1,MATCH(AC79-1,MANOR_LEVEL!$A:$A,0)-1,0),0)</f>
        <v>3961500</v>
      </c>
      <c r="AC79" s="55">
        <v>12</v>
      </c>
      <c r="AE79" s="55">
        <f t="shared" ca="1" si="9"/>
        <v>10985550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10985550</v>
      </c>
      <c r="AG79" s="176">
        <f t="shared" ca="1" si="17"/>
        <v>16146000</v>
      </c>
      <c r="AI79" s="11">
        <f t="shared" si="20"/>
        <v>2700</v>
      </c>
      <c r="AJ79" s="10">
        <v>2700</v>
      </c>
      <c r="AK79" s="11">
        <f t="shared" ref="AK79" si="32">ROUND(AL79,0)</f>
        <v>550</v>
      </c>
      <c r="AL79" s="10">
        <v>550</v>
      </c>
      <c r="AM79" s="11">
        <v>485000</v>
      </c>
      <c r="AN79" s="10">
        <v>0</v>
      </c>
      <c r="AO79" s="55">
        <f t="shared" si="23"/>
        <v>1</v>
      </c>
      <c r="AQ79" s="11">
        <f ca="1">IFERROR(OFFSET(ITEM_RES!$A$1,MATCH(AR79,ITEM_RES!$J:$J,0)-1,0),0)</f>
        <v>211020901</v>
      </c>
      <c r="AR79" s="10" t="s">
        <v>435</v>
      </c>
      <c r="AS79" s="11">
        <v>1050000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430</v>
      </c>
      <c r="M80" s="9">
        <v>0</v>
      </c>
      <c r="N80" s="9">
        <v>15</v>
      </c>
      <c r="O80" s="9" t="s">
        <v>1090</v>
      </c>
      <c r="P80" s="55" t="s">
        <v>1352</v>
      </c>
      <c r="Q80" s="9" t="s">
        <v>672</v>
      </c>
      <c r="T80" s="9">
        <f ca="1">IFERROR(OFFSET(ITEM_RES!$A$5,MATCH(BUILDING!S80,ITEM_RES!$J$5:$J$229,0)-1,0),0)</f>
        <v>0</v>
      </c>
      <c r="V80" s="81" t="s">
        <v>527</v>
      </c>
      <c r="W80" s="11">
        <f ca="1">IFERROR(OFFSET(ITEM_RES!$A$5,MATCH(BUILDING!V80,ITEM_RES!$J$5:$J$229,0)-1,0),0)</f>
        <v>211020101</v>
      </c>
      <c r="Y80" s="9" t="s">
        <v>498</v>
      </c>
      <c r="Z80" s="9">
        <v>16</v>
      </c>
      <c r="AB80" s="11">
        <f ca="1">IFERROR(OFFSET(MANOR_LEVEL!$B$1,MATCH(AC80-1,MANOR_LEVEL!$A:$A,0)-1,0),0)</f>
        <v>7772100</v>
      </c>
      <c r="AC80" s="55">
        <v>13</v>
      </c>
      <c r="AE80" s="55">
        <f t="shared" ca="1" si="9"/>
        <v>22550700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22550700</v>
      </c>
      <c r="AG80" s="176">
        <f t="shared" ca="1" si="17"/>
        <v>33536250</v>
      </c>
      <c r="AI80" s="11">
        <f t="shared" si="20"/>
        <v>3000</v>
      </c>
      <c r="AJ80" s="10">
        <v>3000</v>
      </c>
      <c r="AK80" s="11">
        <f t="shared" ref="AK80" si="33">ROUND(AL80,0)</f>
        <v>700</v>
      </c>
      <c r="AL80" s="10">
        <v>700</v>
      </c>
      <c r="AM80" s="11">
        <v>1050000</v>
      </c>
      <c r="AN80" s="10">
        <v>0</v>
      </c>
      <c r="AO80" s="55">
        <f t="shared" si="23"/>
        <v>1</v>
      </c>
      <c r="AQ80" s="11">
        <f ca="1">IFERROR(OFFSET(ITEM_RES!$A$1,MATCH(AR80,ITEM_RES!$J:$J,0)-1,0),0)</f>
        <v>211020901</v>
      </c>
      <c r="AR80" s="10" t="s">
        <v>435</v>
      </c>
      <c r="AS80" s="11">
        <v>2150000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430</v>
      </c>
      <c r="M81" s="9">
        <v>0</v>
      </c>
      <c r="N81" s="9">
        <v>15</v>
      </c>
      <c r="O81" s="9" t="s">
        <v>1090</v>
      </c>
      <c r="P81" s="55" t="s">
        <v>1352</v>
      </c>
      <c r="Q81" s="9" t="s">
        <v>672</v>
      </c>
      <c r="T81" s="9">
        <f ca="1">IFERROR(OFFSET(ITEM_RES!$A$5,MATCH(BUILDING!S81,ITEM_RES!$J$5:$J$229,0)-1,0),0)</f>
        <v>0</v>
      </c>
      <c r="V81" s="81" t="s">
        <v>527</v>
      </c>
      <c r="W81" s="11">
        <f ca="1">IFERROR(OFFSET(ITEM_RES!$A$5,MATCH(BUILDING!V81,ITEM_RES!$J$5:$J$229,0)-1,0),0)</f>
        <v>211020101</v>
      </c>
      <c r="Y81" s="9" t="s">
        <v>498</v>
      </c>
      <c r="Z81" s="9">
        <v>17</v>
      </c>
      <c r="AB81" s="11">
        <f ca="1">IFERROR(OFFSET(MANOR_LEVEL!$B$1,MATCH(AC81-1,MANOR_LEVEL!$A:$A,0)-1,0),0)</f>
        <v>13022450</v>
      </c>
      <c r="AC81" s="55">
        <v>14</v>
      </c>
      <c r="AE81" s="55">
        <f t="shared" ca="1" si="9"/>
        <v>42150850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42150850</v>
      </c>
      <c r="AG81" s="176">
        <f t="shared" ca="1" si="17"/>
        <v>64701550</v>
      </c>
      <c r="AI81" s="11">
        <f t="shared" si="20"/>
        <v>3300</v>
      </c>
      <c r="AJ81" s="10">
        <v>3300</v>
      </c>
      <c r="AK81" s="11">
        <f t="shared" ref="AK81" si="34">ROUND(AL81,0)</f>
        <v>850</v>
      </c>
      <c r="AL81" s="10">
        <v>850</v>
      </c>
      <c r="AM81" s="11">
        <v>2150000</v>
      </c>
      <c r="AN81" s="10">
        <v>0</v>
      </c>
      <c r="AO81" s="55">
        <f t="shared" si="23"/>
        <v>1</v>
      </c>
      <c r="AQ81" s="11">
        <f ca="1">IFERROR(OFFSET(ITEM_RES!$A$1,MATCH(AR81,ITEM_RES!$J:$J,0)-1,0),0)</f>
        <v>211020901</v>
      </c>
      <c r="AR81" s="10" t="s">
        <v>435</v>
      </c>
      <c r="AS81" s="11">
        <v>4000000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430</v>
      </c>
      <c r="M82" s="9">
        <v>0</v>
      </c>
      <c r="N82" s="9">
        <v>15</v>
      </c>
      <c r="O82" s="9" t="s">
        <v>1090</v>
      </c>
      <c r="P82" s="55" t="s">
        <v>1352</v>
      </c>
      <c r="Q82" s="9" t="s">
        <v>672</v>
      </c>
      <c r="T82" s="9">
        <f ca="1">IFERROR(OFFSET(ITEM_RES!$A$5,MATCH(BUILDING!S82,ITEM_RES!$J$5:$J$229,0)-1,0),0)</f>
        <v>0</v>
      </c>
      <c r="V82" s="81" t="s">
        <v>527</v>
      </c>
      <c r="W82" s="11">
        <f ca="1">IFERROR(OFFSET(ITEM_RES!$A$5,MATCH(BUILDING!V82,ITEM_RES!$J$5:$J$229,0)-1,0),0)</f>
        <v>211020101</v>
      </c>
      <c r="Y82" s="9" t="s">
        <v>498</v>
      </c>
      <c r="Z82" s="9">
        <v>18</v>
      </c>
      <c r="AB82" s="11">
        <f ca="1">IFERROR(OFFSET(MANOR_LEVEL!$B$1,MATCH(AC82-1,MANOR_LEVEL!$A:$A,0)-1,0),0)</f>
        <v>23283600</v>
      </c>
      <c r="AC82" s="55">
        <v>15</v>
      </c>
      <c r="AE82" s="55">
        <f t="shared" ca="1" si="9"/>
        <v>69001050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69001050</v>
      </c>
      <c r="AG82" s="176">
        <f t="shared" ca="1" si="17"/>
        <v>111151900</v>
      </c>
      <c r="AI82" s="11">
        <f t="shared" si="20"/>
        <v>3600</v>
      </c>
      <c r="AJ82" s="10">
        <v>3600</v>
      </c>
      <c r="AK82" s="11">
        <f t="shared" ref="AK82" si="35">ROUND(AL82,0)</f>
        <v>1050</v>
      </c>
      <c r="AL82" s="10">
        <v>1050</v>
      </c>
      <c r="AM82" s="11">
        <v>4000000</v>
      </c>
      <c r="AN82" s="10">
        <v>0</v>
      </c>
      <c r="AO82" s="55">
        <f t="shared" si="23"/>
        <v>1</v>
      </c>
      <c r="AQ82" s="11">
        <f ca="1">IFERROR(OFFSET(ITEM_RES!$A$1,MATCH(AR82,ITEM_RES!$J:$J,0)-1,0),0)</f>
        <v>211020901</v>
      </c>
      <c r="AR82" s="10" t="s">
        <v>435</v>
      </c>
      <c r="AS82" s="11">
        <v>6500000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430</v>
      </c>
      <c r="M83" s="9">
        <v>0</v>
      </c>
      <c r="N83" s="9">
        <v>15</v>
      </c>
      <c r="O83" s="9" t="s">
        <v>1090</v>
      </c>
      <c r="P83" s="55" t="s">
        <v>1352</v>
      </c>
      <c r="Q83" s="9" t="s">
        <v>672</v>
      </c>
      <c r="T83" s="9">
        <f ca="1">IFERROR(OFFSET(ITEM_RES!$A$5,MATCH(BUILDING!S83,ITEM_RES!$J$5:$J$229,0)-1,0),0)</f>
        <v>0</v>
      </c>
      <c r="V83" s="81" t="s">
        <v>527</v>
      </c>
      <c r="W83" s="11">
        <f ca="1">IFERROR(OFFSET(ITEM_RES!$A$5,MATCH(BUILDING!V83,ITEM_RES!$J$5:$J$229,0)-1,0),0)</f>
        <v>211020101</v>
      </c>
      <c r="Y83" s="9" t="s">
        <v>498</v>
      </c>
      <c r="Z83" s="9">
        <v>19</v>
      </c>
      <c r="AB83" s="11">
        <f ca="1">IFERROR(OFFSET(MANOR_LEVEL!$B$1,MATCH(AC83-1,MANOR_LEVEL!$A:$A,0)-1,0),0)</f>
        <v>50404400</v>
      </c>
      <c r="AC83" s="55">
        <v>16</v>
      </c>
      <c r="AE83" s="55">
        <f t="shared" ca="1" si="9"/>
        <v>106501250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106501250</v>
      </c>
      <c r="AG83" s="176">
        <f t="shared" ca="1" si="17"/>
        <v>175502300</v>
      </c>
      <c r="AI83" s="11">
        <f t="shared" si="20"/>
        <v>3900</v>
      </c>
      <c r="AJ83" s="10">
        <v>3900</v>
      </c>
      <c r="AK83" s="11">
        <f t="shared" ref="AK83" si="36">ROUND(AL83,0)</f>
        <v>1250</v>
      </c>
      <c r="AL83" s="10">
        <v>1250</v>
      </c>
      <c r="AM83" s="11">
        <v>6500000</v>
      </c>
      <c r="AN83" s="10">
        <v>0</v>
      </c>
      <c r="AO83" s="55">
        <f t="shared" si="23"/>
        <v>1</v>
      </c>
      <c r="AQ83" s="11">
        <f ca="1">IFERROR(OFFSET(ITEM_RES!$A$1,MATCH(AR83,ITEM_RES!$J:$J,0)-1,0),0)</f>
        <v>211020901</v>
      </c>
      <c r="AR83" s="10" t="s">
        <v>435</v>
      </c>
      <c r="AS83" s="11">
        <v>10000000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430</v>
      </c>
      <c r="M84" s="9">
        <v>0</v>
      </c>
      <c r="N84" s="9">
        <v>15</v>
      </c>
      <c r="O84" s="9" t="s">
        <v>1090</v>
      </c>
      <c r="P84" s="55" t="s">
        <v>1352</v>
      </c>
      <c r="Q84" s="9" t="s">
        <v>672</v>
      </c>
      <c r="T84" s="9">
        <f ca="1">IFERROR(OFFSET(ITEM_RES!$A$5,MATCH(BUILDING!S84,ITEM_RES!$J$5:$J$229,0)-1,0),0)</f>
        <v>0</v>
      </c>
      <c r="V84" s="81" t="s">
        <v>527</v>
      </c>
      <c r="W84" s="11">
        <f ca="1">IFERROR(OFFSET(ITEM_RES!$A$5,MATCH(BUILDING!V84,ITEM_RES!$J$5:$J$229,0)-1,0),0)</f>
        <v>211020101</v>
      </c>
      <c r="Y84" s="9" t="s">
        <v>498</v>
      </c>
      <c r="Z84" s="9">
        <v>20</v>
      </c>
      <c r="AB84" s="11">
        <f ca="1">IFERROR(OFFSET(MANOR_LEVEL!$B$1,MATCH(AC84-1,MANOR_LEVEL!$A:$A,0)-1,0),0)</f>
        <v>119976300</v>
      </c>
      <c r="AC84" s="55">
        <v>17</v>
      </c>
      <c r="AE84" s="55">
        <f t="shared" ca="1" si="9"/>
        <v>170001500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170001500</v>
      </c>
      <c r="AG84" s="176">
        <f t="shared" ca="1" si="17"/>
        <v>276502750</v>
      </c>
      <c r="AI84" s="11">
        <f t="shared" si="20"/>
        <v>4200</v>
      </c>
      <c r="AJ84" s="10">
        <v>4200</v>
      </c>
      <c r="AK84" s="11">
        <f t="shared" ref="AK84" si="37">ROUND(AL84,0)</f>
        <v>1500</v>
      </c>
      <c r="AL84" s="10">
        <v>1500</v>
      </c>
      <c r="AM84" s="11">
        <v>10000000</v>
      </c>
      <c r="AN84" s="10">
        <v>0</v>
      </c>
      <c r="AO84" s="55">
        <f t="shared" si="23"/>
        <v>1</v>
      </c>
      <c r="AQ84" s="11">
        <f ca="1">IFERROR(OFFSET(ITEM_RES!$A$1,MATCH(AR84,ITEM_RES!$J:$J,0)-1,0),0)</f>
        <v>211020901</v>
      </c>
      <c r="AR84" s="10" t="s">
        <v>435</v>
      </c>
      <c r="AS84" s="11">
        <v>16000000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5</v>
      </c>
      <c r="M85" s="16">
        <v>1</v>
      </c>
      <c r="N85" s="16">
        <v>15</v>
      </c>
      <c r="O85" s="16" t="s">
        <v>747</v>
      </c>
      <c r="P85" s="56" t="s">
        <v>1353</v>
      </c>
      <c r="Q85" s="16" t="s">
        <v>692</v>
      </c>
      <c r="R85" s="76"/>
      <c r="S85" s="83" t="s">
        <v>529</v>
      </c>
      <c r="T85" s="16">
        <f ca="1">IFERROR(OFFSET(ITEM_RES!$A$5,MATCH(BUILDING!S85,ITEM_RES!$J$5:$J$229,0)-1,0),0)</f>
        <v>211021101</v>
      </c>
      <c r="U85" s="18">
        <v>10</v>
      </c>
      <c r="V85" s="83" t="s">
        <v>528</v>
      </c>
      <c r="W85" s="18">
        <f ca="1">IFERROR(OFFSET(ITEM_RES!$A$5,MATCH(BUILDING!V85,ITEM_RES!$J$5:$J$229,0)-1,0),0)</f>
        <v>211010401</v>
      </c>
      <c r="X85" s="76"/>
      <c r="Y85" s="16" t="s">
        <v>499</v>
      </c>
      <c r="Z85" s="16">
        <v>1</v>
      </c>
      <c r="AA85" s="76"/>
      <c r="AB85" s="18">
        <f ca="1">IFERROR(OFFSET(MANOR_LEVEL!$B$1,MATCH(AC85-1,MANOR_LEVEL!$A:$A,0)-1,0),0)</f>
        <v>1956000</v>
      </c>
      <c r="AC85" s="56">
        <v>11</v>
      </c>
      <c r="AD85" s="76"/>
      <c r="AE85" s="56">
        <f t="shared" ca="1" si="9"/>
        <v>1130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1130</v>
      </c>
      <c r="AG85" s="178">
        <f ca="1">AE85</f>
        <v>1130</v>
      </c>
      <c r="AH85" s="76"/>
      <c r="AI85" s="18">
        <f t="shared" si="20"/>
        <v>3</v>
      </c>
      <c r="AJ85" s="17">
        <v>3</v>
      </c>
      <c r="AK85" s="18">
        <f t="shared" si="6"/>
        <v>5</v>
      </c>
      <c r="AL85" s="17">
        <v>5</v>
      </c>
      <c r="AM85" s="18">
        <f t="shared" si="6"/>
        <v>0</v>
      </c>
      <c r="AN85" s="17">
        <v>0</v>
      </c>
      <c r="AO85" s="56">
        <f t="shared" si="23"/>
        <v>3</v>
      </c>
      <c r="AP85" s="18"/>
      <c r="AQ85" s="18">
        <f ca="1">IFERROR(OFFSET(ITEM_RES!$A$1,MATCH(AR85,ITEM_RES!$J:$J,0)-1,0),0)</f>
        <v>211020201</v>
      </c>
      <c r="AR85" s="17" t="s">
        <v>423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427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441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747</v>
      </c>
      <c r="P86" s="55" t="s">
        <v>1353</v>
      </c>
      <c r="Q86" s="9" t="s">
        <v>692</v>
      </c>
      <c r="S86" s="81" t="s">
        <v>529</v>
      </c>
      <c r="T86" s="9">
        <f ca="1">IFERROR(OFFSET(ITEM_RES!$A$5,MATCH(BUILDING!S86,ITEM_RES!$J$5:$J$229,0)-1,0),0)</f>
        <v>211021101</v>
      </c>
      <c r="U86" s="11">
        <v>10</v>
      </c>
      <c r="V86" s="81" t="s">
        <v>528</v>
      </c>
      <c r="W86" s="11">
        <f ca="1">IFERROR(OFFSET(ITEM_RES!$A$5,MATCH(BUILDING!V86,ITEM_RES!$J$5:$J$229,0)-1,0),0)</f>
        <v>211010401</v>
      </c>
      <c r="Y86" s="9" t="s">
        <v>499</v>
      </c>
      <c r="Z86" s="9">
        <v>2</v>
      </c>
      <c r="AB86" s="11">
        <f ca="1">IFERROR(OFFSET(MANOR_LEVEL!$B$1,MATCH(AC86-1,MANOR_LEVEL!$A:$A,0)-1,0),0)</f>
        <v>1956000</v>
      </c>
      <c r="AC86" s="55">
        <v>11</v>
      </c>
      <c r="AE86" s="55">
        <f t="shared" ca="1" si="9"/>
        <v>260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260</v>
      </c>
      <c r="AG86" s="176">
        <f ca="1">AE85+AE86</f>
        <v>1390</v>
      </c>
      <c r="AI86" s="11">
        <f t="shared" si="20"/>
        <v>5</v>
      </c>
      <c r="AJ86" s="10">
        <v>5</v>
      </c>
      <c r="AK86" s="11">
        <f t="shared" si="6"/>
        <v>10</v>
      </c>
      <c r="AL86" s="10">
        <v>10</v>
      </c>
      <c r="AM86" s="11">
        <f t="shared" si="6"/>
        <v>0</v>
      </c>
      <c r="AN86" s="10">
        <v>0</v>
      </c>
      <c r="AO86" s="55">
        <f t="shared" si="23"/>
        <v>2</v>
      </c>
      <c r="AQ86" s="11">
        <f ca="1">IFERROR(OFFSET(ITEM_RES!$A$1,MATCH(AR86,ITEM_RES!$J:$J,0)-1,0),0)</f>
        <v>211020201</v>
      </c>
      <c r="AR86" s="10" t="s">
        <v>424</v>
      </c>
      <c r="AS86" s="11">
        <v>100</v>
      </c>
      <c r="AV86" s="11">
        <f ca="1">IFERROR(OFFSET(ITEM_RES!$A$1,MATCH(AW86,ITEM_RES!$J:$J,0)-1,0),0)</f>
        <v>211020401</v>
      </c>
      <c r="AW86" s="10" t="s">
        <v>427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747</v>
      </c>
      <c r="P87" s="55" t="s">
        <v>1353</v>
      </c>
      <c r="Q87" s="9" t="s">
        <v>692</v>
      </c>
      <c r="S87" s="81" t="s">
        <v>529</v>
      </c>
      <c r="T87" s="9">
        <f ca="1">IFERROR(OFFSET(ITEM_RES!$A$5,MATCH(BUILDING!S87,ITEM_RES!$J$5:$J$229,0)-1,0),0)</f>
        <v>211021101</v>
      </c>
      <c r="U87" s="11">
        <v>10</v>
      </c>
      <c r="V87" s="81" t="s">
        <v>528</v>
      </c>
      <c r="W87" s="11">
        <f ca="1">IFERROR(OFFSET(ITEM_RES!$A$5,MATCH(BUILDING!V87,ITEM_RES!$J$5:$J$229,0)-1,0),0)</f>
        <v>211010401</v>
      </c>
      <c r="Y87" s="9" t="s">
        <v>499</v>
      </c>
      <c r="Z87" s="9">
        <v>3</v>
      </c>
      <c r="AB87" s="11">
        <f ca="1">IFERROR(OFFSET(MANOR_LEVEL!$B$1,MATCH(AC87-1,MANOR_LEVEL!$A:$A,0)-1,0),0)</f>
        <v>1956000</v>
      </c>
      <c r="AC87" s="55">
        <v>11</v>
      </c>
      <c r="AE87" s="55">
        <f t="shared" ca="1" si="9"/>
        <v>390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390</v>
      </c>
      <c r="AG87" s="176">
        <f t="shared" ref="AG87:AG104" ca="1" si="38">AE86+AE87</f>
        <v>650</v>
      </c>
      <c r="AI87" s="11">
        <f t="shared" si="20"/>
        <v>5</v>
      </c>
      <c r="AJ87" s="10">
        <v>5</v>
      </c>
      <c r="AK87" s="11">
        <f t="shared" si="6"/>
        <v>15</v>
      </c>
      <c r="AL87" s="10">
        <v>15</v>
      </c>
      <c r="AM87" s="11">
        <f t="shared" si="6"/>
        <v>0</v>
      </c>
      <c r="AN87" s="10">
        <v>0</v>
      </c>
      <c r="AO87" s="55">
        <f t="shared" si="23"/>
        <v>2</v>
      </c>
      <c r="AQ87" s="11">
        <f ca="1">IFERROR(OFFSET(ITEM_RES!$A$1,MATCH(AR87,ITEM_RES!$J:$J,0)-1,0),0)</f>
        <v>211020201</v>
      </c>
      <c r="AR87" s="10" t="s">
        <v>423</v>
      </c>
      <c r="AS87" s="11">
        <v>150</v>
      </c>
      <c r="AV87" s="11">
        <f ca="1">IFERROR(OFFSET(ITEM_RES!$A$1,MATCH(AW87,ITEM_RES!$J:$J,0)-1,0),0)</f>
        <v>211020401</v>
      </c>
      <c r="AW87" s="10" t="s">
        <v>427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747</v>
      </c>
      <c r="P88" s="55" t="s">
        <v>1353</v>
      </c>
      <c r="Q88" s="9" t="s">
        <v>692</v>
      </c>
      <c r="S88" s="81" t="s">
        <v>529</v>
      </c>
      <c r="T88" s="9">
        <f ca="1">IFERROR(OFFSET(ITEM_RES!$A$5,MATCH(BUILDING!S88,ITEM_RES!$J$5:$J$229,0)-1,0),0)</f>
        <v>211021101</v>
      </c>
      <c r="U88" s="11">
        <v>10</v>
      </c>
      <c r="V88" s="81" t="s">
        <v>528</v>
      </c>
      <c r="W88" s="11">
        <f ca="1">IFERROR(OFFSET(ITEM_RES!$A$5,MATCH(BUILDING!V88,ITEM_RES!$J$5:$J$229,0)-1,0),0)</f>
        <v>211010401</v>
      </c>
      <c r="Y88" s="9" t="s">
        <v>499</v>
      </c>
      <c r="Z88" s="9">
        <v>4</v>
      </c>
      <c r="AB88" s="11">
        <f ca="1">IFERROR(OFFSET(MANOR_LEVEL!$B$1,MATCH(AC88-1,MANOR_LEVEL!$A:$A,0)-1,0),0)</f>
        <v>3961500</v>
      </c>
      <c r="AC88" s="55">
        <v>12</v>
      </c>
      <c r="AE88" s="55">
        <f t="shared" ca="1" si="9"/>
        <v>1525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1525</v>
      </c>
      <c r="AG88" s="176">
        <f t="shared" ca="1" si="38"/>
        <v>1915</v>
      </c>
      <c r="AI88" s="11">
        <f t="shared" si="20"/>
        <v>10</v>
      </c>
      <c r="AJ88" s="10">
        <v>10</v>
      </c>
      <c r="AK88" s="11">
        <f t="shared" si="6"/>
        <v>25</v>
      </c>
      <c r="AL88" s="10">
        <v>25</v>
      </c>
      <c r="AM88" s="11">
        <f t="shared" si="6"/>
        <v>0</v>
      </c>
      <c r="AN88" s="10">
        <v>0</v>
      </c>
      <c r="AO88" s="55">
        <f t="shared" si="23"/>
        <v>2</v>
      </c>
      <c r="AQ88" s="11">
        <f ca="1">IFERROR(OFFSET(ITEM_RES!$A$1,MATCH(AR88,ITEM_RES!$J:$J,0)-1,0),0)</f>
        <v>211020201</v>
      </c>
      <c r="AR88" s="10" t="s">
        <v>424</v>
      </c>
      <c r="AS88" s="11">
        <v>600</v>
      </c>
      <c r="AV88" s="11">
        <f ca="1">IFERROR(OFFSET(ITEM_RES!$A$1,MATCH(AW88,ITEM_RES!$J:$J,0)-1,0),0)</f>
        <v>211020401</v>
      </c>
      <c r="AW88" s="10" t="s">
        <v>427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39">B89*10000000+C89*1000000+D89*10000+E89*100+F89</f>
        <v>112010005</v>
      </c>
      <c r="B89" s="13">
        <v>11</v>
      </c>
      <c r="C89" s="12">
        <f t="shared" ref="C89:C152" si="40">H89</f>
        <v>2</v>
      </c>
      <c r="D89" s="13">
        <v>1</v>
      </c>
      <c r="E89" s="13">
        <v>0</v>
      </c>
      <c r="F89" s="12">
        <f t="shared" ref="F89:F152" si="41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747</v>
      </c>
      <c r="P89" s="55" t="s">
        <v>1353</v>
      </c>
      <c r="Q89" s="9" t="s">
        <v>692</v>
      </c>
      <c r="S89" s="81" t="s">
        <v>529</v>
      </c>
      <c r="T89" s="9">
        <f ca="1">IFERROR(OFFSET(ITEM_RES!$A$5,MATCH(BUILDING!S89,ITEM_RES!$J$5:$J$229,0)-1,0),0)</f>
        <v>211021101</v>
      </c>
      <c r="U89" s="11">
        <v>10</v>
      </c>
      <c r="V89" s="81" t="s">
        <v>528</v>
      </c>
      <c r="W89" s="11">
        <f ca="1">IFERROR(OFFSET(ITEM_RES!$A$5,MATCH(BUILDING!V89,ITEM_RES!$J$5:$J$229,0)-1,0),0)</f>
        <v>211010401</v>
      </c>
      <c r="Y89" s="9" t="s">
        <v>499</v>
      </c>
      <c r="Z89" s="9">
        <v>5</v>
      </c>
      <c r="AB89" s="11">
        <f ca="1">IFERROR(OFFSET(MANOR_LEVEL!$B$1,MATCH(AC89-1,MANOR_LEVEL!$A:$A,0)-1,0),0)</f>
        <v>3961500</v>
      </c>
      <c r="AC89" s="55">
        <v>12</v>
      </c>
      <c r="AE89" s="55">
        <f t="shared" ca="1" si="9"/>
        <v>6790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6790</v>
      </c>
      <c r="AG89" s="176">
        <f t="shared" ca="1" si="38"/>
        <v>8315</v>
      </c>
      <c r="AI89" s="11">
        <f t="shared" si="20"/>
        <v>15</v>
      </c>
      <c r="AJ89" s="10">
        <v>15</v>
      </c>
      <c r="AK89" s="11">
        <f t="shared" si="6"/>
        <v>40</v>
      </c>
      <c r="AL89" s="10">
        <v>40</v>
      </c>
      <c r="AM89" s="11">
        <f t="shared" si="6"/>
        <v>0</v>
      </c>
      <c r="AN89" s="10">
        <v>0</v>
      </c>
      <c r="AO89" s="55">
        <f t="shared" si="23"/>
        <v>2</v>
      </c>
      <c r="AQ89" s="11">
        <f ca="1">IFERROR(OFFSET(ITEM_RES!$A$1,MATCH(AR89,ITEM_RES!$J:$J,0)-1,0),0)</f>
        <v>211020201</v>
      </c>
      <c r="AR89" s="10" t="s">
        <v>423</v>
      </c>
      <c r="AS89" s="11">
        <v>2700</v>
      </c>
      <c r="AV89" s="11">
        <f ca="1">IFERROR(OFFSET(ITEM_RES!$A$1,MATCH(AW89,ITEM_RES!$J:$J,0)-1,0),0)</f>
        <v>211020401</v>
      </c>
      <c r="AW89" s="10" t="s">
        <v>427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2">IF(BN89&lt;100,ROUND(BN89,1-LEN(ROUND(BN89,0))),ROUND(BN89,2-LEN(ROUND(BN89,0))))</f>
        <v>0</v>
      </c>
    </row>
    <row r="90" spans="1:66" x14ac:dyDescent="0.3">
      <c r="A90" s="14">
        <f t="shared" si="39"/>
        <v>112010006</v>
      </c>
      <c r="B90" s="13">
        <v>11</v>
      </c>
      <c r="C90" s="12">
        <f t="shared" si="40"/>
        <v>2</v>
      </c>
      <c r="D90" s="13">
        <v>1</v>
      </c>
      <c r="E90" s="13">
        <v>0</v>
      </c>
      <c r="F90" s="12">
        <f t="shared" si="41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747</v>
      </c>
      <c r="P90" s="55" t="s">
        <v>1353</v>
      </c>
      <c r="Q90" s="9" t="s">
        <v>692</v>
      </c>
      <c r="S90" s="81" t="s">
        <v>529</v>
      </c>
      <c r="T90" s="9">
        <f ca="1">IFERROR(OFFSET(ITEM_RES!$A$5,MATCH(BUILDING!S90,ITEM_RES!$J$5:$J$229,0)-1,0),0)</f>
        <v>211021101</v>
      </c>
      <c r="U90" s="11">
        <v>10</v>
      </c>
      <c r="V90" s="81" t="s">
        <v>528</v>
      </c>
      <c r="W90" s="11">
        <f ca="1">IFERROR(OFFSET(ITEM_RES!$A$5,MATCH(BUILDING!V90,ITEM_RES!$J$5:$J$229,0)-1,0),0)</f>
        <v>211010401</v>
      </c>
      <c r="Y90" s="9" t="s">
        <v>499</v>
      </c>
      <c r="Z90" s="9">
        <v>6</v>
      </c>
      <c r="AB90" s="11">
        <f ca="1">IFERROR(OFFSET(MANOR_LEVEL!$B$1,MATCH(AC90-1,MANOR_LEVEL!$A:$A,0)-1,0),0)</f>
        <v>3961500</v>
      </c>
      <c r="AC90" s="55">
        <v>12</v>
      </c>
      <c r="AE90" s="55">
        <f t="shared" ref="AE90:AE153" ca="1" si="43">ROUND(AF90,0)</f>
        <v>22550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22550</v>
      </c>
      <c r="AG90" s="176">
        <f t="shared" ca="1" si="38"/>
        <v>29340</v>
      </c>
      <c r="AI90" s="11">
        <f t="shared" si="20"/>
        <v>30</v>
      </c>
      <c r="AJ90" s="10">
        <v>30</v>
      </c>
      <c r="AK90" s="11">
        <f t="shared" ref="AK90:AM153" si="44">ROUND(AL90,0)</f>
        <v>50</v>
      </c>
      <c r="AL90" s="10">
        <v>50</v>
      </c>
      <c r="AM90" s="11">
        <f t="shared" si="44"/>
        <v>0</v>
      </c>
      <c r="AN90" s="10">
        <v>0</v>
      </c>
      <c r="AO90" s="55">
        <f t="shared" si="23"/>
        <v>2</v>
      </c>
      <c r="AQ90" s="11">
        <f ca="1">IFERROR(OFFSET(ITEM_RES!$A$1,MATCH(AR90,ITEM_RES!$J:$J,0)-1,0),0)</f>
        <v>211020201</v>
      </c>
      <c r="AR90" s="10" t="s">
        <v>424</v>
      </c>
      <c r="AS90" s="11">
        <v>9000</v>
      </c>
      <c r="AV90" s="11">
        <f ca="1">IFERROR(OFFSET(ITEM_RES!$A$1,MATCH(AW90,ITEM_RES!$J:$J,0)-1,0),0)</f>
        <v>211020401</v>
      </c>
      <c r="AW90" s="10" t="s">
        <v>427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2"/>
        <v>0</v>
      </c>
    </row>
    <row r="91" spans="1:66" x14ac:dyDescent="0.3">
      <c r="A91" s="14">
        <f t="shared" si="39"/>
        <v>112010007</v>
      </c>
      <c r="B91" s="13">
        <v>11</v>
      </c>
      <c r="C91" s="12">
        <f t="shared" si="40"/>
        <v>2</v>
      </c>
      <c r="D91" s="13">
        <v>1</v>
      </c>
      <c r="E91" s="13">
        <v>0</v>
      </c>
      <c r="F91" s="12">
        <f t="shared" si="41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747</v>
      </c>
      <c r="P91" s="55" t="s">
        <v>1353</v>
      </c>
      <c r="Q91" s="9" t="s">
        <v>692</v>
      </c>
      <c r="S91" s="81" t="s">
        <v>529</v>
      </c>
      <c r="T91" s="9">
        <f ca="1">IFERROR(OFFSET(ITEM_RES!$A$5,MATCH(BUILDING!S91,ITEM_RES!$J$5:$J$229,0)-1,0),0)</f>
        <v>211021101</v>
      </c>
      <c r="U91" s="11">
        <v>10</v>
      </c>
      <c r="V91" s="81" t="s">
        <v>528</v>
      </c>
      <c r="W91" s="11">
        <f ca="1">IFERROR(OFFSET(ITEM_RES!$A$5,MATCH(BUILDING!V91,ITEM_RES!$J$5:$J$229,0)-1,0),0)</f>
        <v>211010401</v>
      </c>
      <c r="Y91" s="9" t="s">
        <v>499</v>
      </c>
      <c r="Z91" s="9">
        <v>7</v>
      </c>
      <c r="AB91" s="11">
        <f ca="1">IFERROR(OFFSET(MANOR_LEVEL!$B$1,MATCH(AC91-1,MANOR_LEVEL!$A:$A,0)-1,0),0)</f>
        <v>3961500</v>
      </c>
      <c r="AC91" s="55">
        <v>12</v>
      </c>
      <c r="AE91" s="55">
        <f t="shared" ca="1" si="43"/>
        <v>54100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54100</v>
      </c>
      <c r="AG91" s="176">
        <f t="shared" ca="1" si="38"/>
        <v>76650</v>
      </c>
      <c r="AI91" s="11">
        <f t="shared" si="20"/>
        <v>300</v>
      </c>
      <c r="AJ91" s="10">
        <v>300</v>
      </c>
      <c r="AK91" s="11">
        <f t="shared" si="44"/>
        <v>100</v>
      </c>
      <c r="AL91" s="10">
        <v>100</v>
      </c>
      <c r="AM91" s="11">
        <f t="shared" si="44"/>
        <v>0</v>
      </c>
      <c r="AN91" s="10">
        <v>0</v>
      </c>
      <c r="AO91" s="55">
        <f t="shared" si="23"/>
        <v>2</v>
      </c>
      <c r="AQ91" s="11">
        <f ca="1">IFERROR(OFFSET(ITEM_RES!$A$1,MATCH(AR91,ITEM_RES!$J:$J,0)-1,0),0)</f>
        <v>211020301</v>
      </c>
      <c r="AR91" s="10" t="s">
        <v>387</v>
      </c>
      <c r="AS91" s="11">
        <v>20000</v>
      </c>
      <c r="AV91" s="11">
        <f ca="1">IFERROR(OFFSET(ITEM_RES!$A$1,MATCH(AW91,ITEM_RES!$J:$J,0)-1,0),0)</f>
        <v>211020401</v>
      </c>
      <c r="AW91" s="10" t="s">
        <v>427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2"/>
        <v>0</v>
      </c>
    </row>
    <row r="92" spans="1:66" x14ac:dyDescent="0.3">
      <c r="A92" s="14">
        <f t="shared" si="39"/>
        <v>112010008</v>
      </c>
      <c r="B92" s="13">
        <v>11</v>
      </c>
      <c r="C92" s="12">
        <f t="shared" si="40"/>
        <v>2</v>
      </c>
      <c r="D92" s="13">
        <v>1</v>
      </c>
      <c r="E92" s="13">
        <v>0</v>
      </c>
      <c r="F92" s="12">
        <f t="shared" si="41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747</v>
      </c>
      <c r="P92" s="55" t="s">
        <v>1353</v>
      </c>
      <c r="Q92" s="9" t="s">
        <v>692</v>
      </c>
      <c r="S92" s="81" t="s">
        <v>529</v>
      </c>
      <c r="T92" s="9">
        <f ca="1">IFERROR(OFFSET(ITEM_RES!$A$5,MATCH(BUILDING!S92,ITEM_RES!$J$5:$J$229,0)-1,0),0)</f>
        <v>211021101</v>
      </c>
      <c r="U92" s="11">
        <v>10</v>
      </c>
      <c r="V92" s="81" t="s">
        <v>528</v>
      </c>
      <c r="W92" s="11">
        <f ca="1">IFERROR(OFFSET(ITEM_RES!$A$5,MATCH(BUILDING!V92,ITEM_RES!$J$5:$J$229,0)-1,0),0)</f>
        <v>211010401</v>
      </c>
      <c r="Y92" s="9" t="s">
        <v>499</v>
      </c>
      <c r="Z92" s="9">
        <v>8</v>
      </c>
      <c r="AB92" s="11">
        <f ca="1">IFERROR(OFFSET(MANOR_LEVEL!$B$1,MATCH(AC92-1,MANOR_LEVEL!$A:$A,0)-1,0),0)</f>
        <v>3961500</v>
      </c>
      <c r="AC92" s="55">
        <v>12</v>
      </c>
      <c r="AE92" s="55">
        <f t="shared" ca="1" si="43"/>
        <v>113500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113500</v>
      </c>
      <c r="AG92" s="176">
        <f t="shared" ca="1" si="38"/>
        <v>167600</v>
      </c>
      <c r="AI92" s="11">
        <f t="shared" si="20"/>
        <v>600</v>
      </c>
      <c r="AJ92" s="10">
        <v>600</v>
      </c>
      <c r="AK92" s="11">
        <f t="shared" si="44"/>
        <v>100</v>
      </c>
      <c r="AL92" s="10">
        <v>100</v>
      </c>
      <c r="AM92" s="11">
        <f t="shared" si="44"/>
        <v>0</v>
      </c>
      <c r="AN92" s="10">
        <v>0</v>
      </c>
      <c r="AO92" s="55">
        <f t="shared" si="23"/>
        <v>2</v>
      </c>
      <c r="AQ92" s="11">
        <f ca="1">IFERROR(OFFSET(ITEM_RES!$A$1,MATCH(AR92,ITEM_RES!$J:$J,0)-1,0),0)</f>
        <v>211020301</v>
      </c>
      <c r="AR92" s="10" t="s">
        <v>387</v>
      </c>
      <c r="AS92" s="11">
        <v>42000</v>
      </c>
      <c r="AV92" s="11">
        <f ca="1">IFERROR(OFFSET(ITEM_RES!$A$1,MATCH(AW92,ITEM_RES!$J:$J,0)-1,0),0)</f>
        <v>211020401</v>
      </c>
      <c r="AW92" s="10" t="s">
        <v>427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2"/>
        <v>0</v>
      </c>
    </row>
    <row r="93" spans="1:66" x14ac:dyDescent="0.3">
      <c r="A93" s="14">
        <f t="shared" si="39"/>
        <v>112010009</v>
      </c>
      <c r="B93" s="13">
        <v>11</v>
      </c>
      <c r="C93" s="12">
        <f t="shared" si="40"/>
        <v>2</v>
      </c>
      <c r="D93" s="13">
        <v>1</v>
      </c>
      <c r="E93" s="13">
        <v>0</v>
      </c>
      <c r="F93" s="12">
        <f t="shared" si="41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747</v>
      </c>
      <c r="P93" s="55" t="s">
        <v>1353</v>
      </c>
      <c r="Q93" s="9" t="s">
        <v>692</v>
      </c>
      <c r="S93" s="81" t="s">
        <v>529</v>
      </c>
      <c r="T93" s="9">
        <f ca="1">IFERROR(OFFSET(ITEM_RES!$A$5,MATCH(BUILDING!S93,ITEM_RES!$J$5:$J$229,0)-1,0),0)</f>
        <v>211021101</v>
      </c>
      <c r="U93" s="11">
        <v>10</v>
      </c>
      <c r="V93" s="81" t="s">
        <v>528</v>
      </c>
      <c r="W93" s="11">
        <f ca="1">IFERROR(OFFSET(ITEM_RES!$A$5,MATCH(BUILDING!V93,ITEM_RES!$J$5:$J$229,0)-1,0),0)</f>
        <v>211010401</v>
      </c>
      <c r="Y93" s="9" t="s">
        <v>499</v>
      </c>
      <c r="Z93" s="9">
        <v>9</v>
      </c>
      <c r="AB93" s="11">
        <f ca="1">IFERROR(OFFSET(MANOR_LEVEL!$B$1,MATCH(AC93-1,MANOR_LEVEL!$A:$A,0)-1,0),0)</f>
        <v>3961500</v>
      </c>
      <c r="AC93" s="55">
        <v>12</v>
      </c>
      <c r="AE93" s="55">
        <f t="shared" ca="1" si="43"/>
        <v>210750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210750</v>
      </c>
      <c r="AG93" s="176">
        <f t="shared" ca="1" si="38"/>
        <v>324250</v>
      </c>
      <c r="AI93" s="11">
        <f t="shared" si="20"/>
        <v>900</v>
      </c>
      <c r="AJ93" s="10">
        <v>900</v>
      </c>
      <c r="AK93" s="11">
        <f t="shared" si="44"/>
        <v>150</v>
      </c>
      <c r="AL93" s="10">
        <v>150</v>
      </c>
      <c r="AM93" s="11">
        <f t="shared" si="44"/>
        <v>0</v>
      </c>
      <c r="AN93" s="10">
        <v>0</v>
      </c>
      <c r="AO93" s="55">
        <f t="shared" si="23"/>
        <v>2</v>
      </c>
      <c r="AQ93" s="11">
        <f ca="1">IFERROR(OFFSET(ITEM_RES!$A$1,MATCH(AR93,ITEM_RES!$J:$J,0)-1,0),0)</f>
        <v>211020301</v>
      </c>
      <c r="AR93" s="10" t="s">
        <v>387</v>
      </c>
      <c r="AS93" s="11">
        <v>78000</v>
      </c>
      <c r="AV93" s="11">
        <f ca="1">IFERROR(OFFSET(ITEM_RES!$A$1,MATCH(AW93,ITEM_RES!$J:$J,0)-1,0),0)</f>
        <v>211020401</v>
      </c>
      <c r="AW93" s="10" t="s">
        <v>427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2"/>
        <v>0</v>
      </c>
    </row>
    <row r="94" spans="1:66" x14ac:dyDescent="0.3">
      <c r="A94" s="14">
        <f t="shared" si="39"/>
        <v>112010010</v>
      </c>
      <c r="B94" s="13">
        <v>11</v>
      </c>
      <c r="C94" s="12">
        <f t="shared" si="40"/>
        <v>2</v>
      </c>
      <c r="D94" s="13">
        <v>1</v>
      </c>
      <c r="E94" s="13">
        <v>0</v>
      </c>
      <c r="F94" s="12">
        <f t="shared" si="41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747</v>
      </c>
      <c r="P94" s="55" t="s">
        <v>1353</v>
      </c>
      <c r="Q94" s="9" t="s">
        <v>692</v>
      </c>
      <c r="S94" s="81" t="s">
        <v>529</v>
      </c>
      <c r="T94" s="9">
        <f ca="1">IFERROR(OFFSET(ITEM_RES!$A$5,MATCH(BUILDING!S94,ITEM_RES!$J$5:$J$229,0)-1,0),0)</f>
        <v>211021101</v>
      </c>
      <c r="U94" s="11">
        <v>10</v>
      </c>
      <c r="V94" s="81" t="s">
        <v>528</v>
      </c>
      <c r="W94" s="11">
        <f ca="1">IFERROR(OFFSET(ITEM_RES!$A$5,MATCH(BUILDING!V94,ITEM_RES!$J$5:$J$229,0)-1,0),0)</f>
        <v>211010401</v>
      </c>
      <c r="Y94" s="9" t="s">
        <v>499</v>
      </c>
      <c r="Z94" s="9">
        <v>10</v>
      </c>
      <c r="AB94" s="11">
        <f ca="1">IFERROR(OFFSET(MANOR_LEVEL!$B$1,MATCH(AC94-1,MANOR_LEVEL!$A:$A,0)-1,0),0)</f>
        <v>3961500</v>
      </c>
      <c r="AC94" s="55">
        <v>12</v>
      </c>
      <c r="AE94" s="55">
        <f t="shared" ca="1" si="43"/>
        <v>351200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351200</v>
      </c>
      <c r="AG94" s="176">
        <f t="shared" ca="1" si="38"/>
        <v>561950</v>
      </c>
      <c r="AI94" s="11">
        <f t="shared" si="20"/>
        <v>1200</v>
      </c>
      <c r="AJ94" s="10">
        <v>1200</v>
      </c>
      <c r="AK94" s="11">
        <f t="shared" si="44"/>
        <v>200</v>
      </c>
      <c r="AL94" s="10">
        <v>200</v>
      </c>
      <c r="AM94" s="11">
        <f t="shared" si="44"/>
        <v>0</v>
      </c>
      <c r="AN94" s="10">
        <v>0</v>
      </c>
      <c r="AO94" s="55">
        <f t="shared" si="23"/>
        <v>2</v>
      </c>
      <c r="AQ94" s="11">
        <f ca="1">IFERROR(OFFSET(ITEM_RES!$A$1,MATCH(AR94,ITEM_RES!$J:$J,0)-1,0),0)</f>
        <v>211020301</v>
      </c>
      <c r="AR94" s="10" t="s">
        <v>387</v>
      </c>
      <c r="AS94" s="11">
        <v>130000</v>
      </c>
      <c r="AV94" s="11">
        <f ca="1">IFERROR(OFFSET(ITEM_RES!$A$1,MATCH(AW94,ITEM_RES!$J:$J,0)-1,0),0)</f>
        <v>211020401</v>
      </c>
      <c r="AW94" s="10" t="s">
        <v>427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2"/>
        <v>0</v>
      </c>
    </row>
    <row r="95" spans="1:66" x14ac:dyDescent="0.3">
      <c r="A95" s="14">
        <f t="shared" si="39"/>
        <v>112010011</v>
      </c>
      <c r="B95" s="13">
        <v>11</v>
      </c>
      <c r="C95" s="12">
        <f t="shared" si="40"/>
        <v>2</v>
      </c>
      <c r="D95" s="13">
        <v>1</v>
      </c>
      <c r="E95" s="13">
        <v>0</v>
      </c>
      <c r="F95" s="12">
        <f t="shared" si="41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747</v>
      </c>
      <c r="P95" s="55" t="s">
        <v>1353</v>
      </c>
      <c r="Q95" s="9" t="s">
        <v>692</v>
      </c>
      <c r="S95" s="81" t="s">
        <v>529</v>
      </c>
      <c r="T95" s="9">
        <f ca="1">IFERROR(OFFSET(ITEM_RES!$A$5,MATCH(BUILDING!S95,ITEM_RES!$J$5:$J$229,0)-1,0),0)</f>
        <v>211021101</v>
      </c>
      <c r="U95" s="11">
        <v>10</v>
      </c>
      <c r="V95" s="81" t="s">
        <v>528</v>
      </c>
      <c r="W95" s="11">
        <f ca="1">IFERROR(OFFSET(ITEM_RES!$A$5,MATCH(BUILDING!V95,ITEM_RES!$J$5:$J$229,0)-1,0),0)</f>
        <v>211010401</v>
      </c>
      <c r="Y95" s="9" t="s">
        <v>499</v>
      </c>
      <c r="Z95" s="9">
        <v>11</v>
      </c>
      <c r="AB95" s="11">
        <f ca="1">IFERROR(OFFSET(MANOR_LEVEL!$B$1,MATCH(AC95-1,MANOR_LEVEL!$A:$A,0)-1,0),0)</f>
        <v>3961500</v>
      </c>
      <c r="AC95" s="55">
        <v>12</v>
      </c>
      <c r="AE95" s="55">
        <f t="shared" ca="1" si="43"/>
        <v>594250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594250</v>
      </c>
      <c r="AG95" s="176">
        <f t="shared" ca="1" si="38"/>
        <v>945450</v>
      </c>
      <c r="AI95" s="11">
        <f t="shared" si="20"/>
        <v>1500</v>
      </c>
      <c r="AJ95" s="10">
        <v>1500</v>
      </c>
      <c r="AK95" s="11">
        <f t="shared" si="44"/>
        <v>250</v>
      </c>
      <c r="AL95" s="10">
        <v>250</v>
      </c>
      <c r="AM95" s="11">
        <f t="shared" si="44"/>
        <v>0</v>
      </c>
      <c r="AN95" s="10">
        <v>0</v>
      </c>
      <c r="AO95" s="55">
        <f t="shared" si="23"/>
        <v>2</v>
      </c>
      <c r="AQ95" s="11">
        <f ca="1">IFERROR(OFFSET(ITEM_RES!$A$1,MATCH(AR95,ITEM_RES!$J:$J,0)-1,0),0)</f>
        <v>211020301</v>
      </c>
      <c r="AR95" s="10" t="s">
        <v>387</v>
      </c>
      <c r="AS95" s="11">
        <v>220000</v>
      </c>
      <c r="AV95" s="11">
        <f ca="1">IFERROR(OFFSET(ITEM_RES!$A$1,MATCH(AW95,ITEM_RES!$J:$J,0)-1,0),0)</f>
        <v>211020401</v>
      </c>
      <c r="AW95" s="10" t="s">
        <v>427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2"/>
        <v>0</v>
      </c>
    </row>
    <row r="96" spans="1:66" x14ac:dyDescent="0.3">
      <c r="A96" s="14">
        <f t="shared" si="39"/>
        <v>112010012</v>
      </c>
      <c r="B96" s="13">
        <v>11</v>
      </c>
      <c r="C96" s="12">
        <f t="shared" si="40"/>
        <v>2</v>
      </c>
      <c r="D96" s="13">
        <v>1</v>
      </c>
      <c r="E96" s="13">
        <v>0</v>
      </c>
      <c r="F96" s="12">
        <f t="shared" si="41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747</v>
      </c>
      <c r="P96" s="55" t="s">
        <v>1353</v>
      </c>
      <c r="Q96" s="9" t="s">
        <v>692</v>
      </c>
      <c r="S96" s="81" t="s">
        <v>529</v>
      </c>
      <c r="T96" s="9">
        <f ca="1">IFERROR(OFFSET(ITEM_RES!$A$5,MATCH(BUILDING!S96,ITEM_RES!$J$5:$J$229,0)-1,0),0)</f>
        <v>211021101</v>
      </c>
      <c r="U96" s="11">
        <v>10</v>
      </c>
      <c r="V96" s="81" t="s">
        <v>528</v>
      </c>
      <c r="W96" s="11">
        <f ca="1">IFERROR(OFFSET(ITEM_RES!$A$5,MATCH(BUILDING!V96,ITEM_RES!$J$5:$J$229,0)-1,0),0)</f>
        <v>211010401</v>
      </c>
      <c r="Y96" s="9" t="s">
        <v>499</v>
      </c>
      <c r="Z96" s="9">
        <v>12</v>
      </c>
      <c r="AB96" s="11">
        <f ca="1">IFERROR(OFFSET(MANOR_LEVEL!$B$1,MATCH(AC96-1,MANOR_LEVEL!$A:$A,0)-1,0),0)</f>
        <v>3961500</v>
      </c>
      <c r="AC96" s="55">
        <v>12</v>
      </c>
      <c r="AE96" s="55">
        <f t="shared" ca="1" si="43"/>
        <v>1004300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1004300</v>
      </c>
      <c r="AG96" s="176">
        <f t="shared" ca="1" si="38"/>
        <v>1598550</v>
      </c>
      <c r="AI96" s="11">
        <f t="shared" si="20"/>
        <v>1800</v>
      </c>
      <c r="AJ96" s="10">
        <v>1800</v>
      </c>
      <c r="AK96" s="11">
        <f t="shared" si="44"/>
        <v>300</v>
      </c>
      <c r="AL96" s="10">
        <v>300</v>
      </c>
      <c r="AM96" s="11">
        <f t="shared" si="44"/>
        <v>0</v>
      </c>
      <c r="AN96" s="10">
        <v>0</v>
      </c>
      <c r="AO96" s="55">
        <f t="shared" si="23"/>
        <v>3</v>
      </c>
      <c r="AQ96" s="11">
        <f ca="1">IFERROR(OFFSET(ITEM_RES!$A$1,MATCH(AR96,ITEM_RES!$J:$J,0)-1,0),0)</f>
        <v>211020301</v>
      </c>
      <c r="AR96" s="10" t="s">
        <v>387</v>
      </c>
      <c r="AS96" s="11">
        <v>370000</v>
      </c>
      <c r="AV96" s="11">
        <f ca="1">IFERROR(OFFSET(ITEM_RES!$A$1,MATCH(AW96,ITEM_RES!$J:$J,0)-1,0),0)</f>
        <v>211020401</v>
      </c>
      <c r="AW96" s="10" t="s">
        <v>427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450</v>
      </c>
      <c r="BH96" s="11">
        <v>1</v>
      </c>
      <c r="BK96" s="11">
        <f ca="1">IFERROR(OFFSET(ITEM_RES!$A$1,MATCH(BL96,ITEM_RES!$J:$J,0)-1,0),0)</f>
        <v>0</v>
      </c>
      <c r="BM96" s="11">
        <f t="shared" si="42"/>
        <v>0</v>
      </c>
    </row>
    <row r="97" spans="1:66" x14ac:dyDescent="0.3">
      <c r="A97" s="14">
        <f t="shared" si="39"/>
        <v>112010013</v>
      </c>
      <c r="B97" s="13">
        <v>11</v>
      </c>
      <c r="C97" s="12">
        <f t="shared" si="40"/>
        <v>2</v>
      </c>
      <c r="D97" s="13">
        <v>1</v>
      </c>
      <c r="E97" s="13">
        <v>0</v>
      </c>
      <c r="F97" s="12">
        <f t="shared" si="41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747</v>
      </c>
      <c r="P97" s="55" t="s">
        <v>1353</v>
      </c>
      <c r="Q97" s="9" t="s">
        <v>692</v>
      </c>
      <c r="S97" s="81" t="s">
        <v>529</v>
      </c>
      <c r="T97" s="9">
        <f ca="1">IFERROR(OFFSET(ITEM_RES!$A$5,MATCH(BUILDING!S97,ITEM_RES!$J$5:$J$229,0)-1,0),0)</f>
        <v>211021101</v>
      </c>
      <c r="U97" s="11">
        <v>10</v>
      </c>
      <c r="V97" s="81" t="s">
        <v>528</v>
      </c>
      <c r="W97" s="11">
        <f ca="1">IFERROR(OFFSET(ITEM_RES!$A$5,MATCH(BUILDING!V97,ITEM_RES!$J$5:$J$229,0)-1,0),0)</f>
        <v>211010401</v>
      </c>
      <c r="Y97" s="9" t="s">
        <v>499</v>
      </c>
      <c r="Z97" s="9">
        <v>13</v>
      </c>
      <c r="AB97" s="11">
        <f ca="1">IFERROR(OFFSET(MANOR_LEVEL!$B$1,MATCH(AC97-1,MANOR_LEVEL!$A:$A,0)-1,0),0)</f>
        <v>3961500</v>
      </c>
      <c r="AC97" s="55">
        <v>12</v>
      </c>
      <c r="AE97" s="55">
        <f t="shared" ca="1" si="43"/>
        <v>1674350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1674350</v>
      </c>
      <c r="AG97" s="176">
        <f t="shared" ca="1" si="38"/>
        <v>2678650</v>
      </c>
      <c r="AI97" s="11">
        <f t="shared" si="20"/>
        <v>2100</v>
      </c>
      <c r="AJ97" s="10">
        <v>2100</v>
      </c>
      <c r="AK97" s="11">
        <f t="shared" si="44"/>
        <v>350</v>
      </c>
      <c r="AL97" s="10">
        <v>350</v>
      </c>
      <c r="AM97" s="11">
        <f t="shared" si="44"/>
        <v>0</v>
      </c>
      <c r="AN97" s="10">
        <v>0</v>
      </c>
      <c r="AO97" s="55">
        <f t="shared" si="23"/>
        <v>2</v>
      </c>
      <c r="AQ97" s="11">
        <f ca="1">IFERROR(OFFSET(ITEM_RES!$A$1,MATCH(AR97,ITEM_RES!$J:$J,0)-1,0),0)</f>
        <v>211020301</v>
      </c>
      <c r="AR97" s="10" t="s">
        <v>387</v>
      </c>
      <c r="AS97" s="11">
        <v>620000</v>
      </c>
      <c r="AV97" s="11">
        <f ca="1">IFERROR(OFFSET(ITEM_RES!$A$1,MATCH(AW97,ITEM_RES!$J:$J,0)-1,0),0)</f>
        <v>211020401</v>
      </c>
      <c r="AW97" s="10" t="s">
        <v>427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2"/>
        <v>0</v>
      </c>
    </row>
    <row r="98" spans="1:66" x14ac:dyDescent="0.3">
      <c r="A98" s="14">
        <f t="shared" si="39"/>
        <v>112010014</v>
      </c>
      <c r="B98" s="13">
        <v>11</v>
      </c>
      <c r="C98" s="12">
        <f t="shared" si="40"/>
        <v>2</v>
      </c>
      <c r="D98" s="13">
        <v>1</v>
      </c>
      <c r="E98" s="13">
        <v>0</v>
      </c>
      <c r="F98" s="12">
        <f t="shared" si="41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747</v>
      </c>
      <c r="P98" s="55" t="s">
        <v>1353</v>
      </c>
      <c r="Q98" s="9" t="s">
        <v>692</v>
      </c>
      <c r="S98" s="81" t="s">
        <v>529</v>
      </c>
      <c r="T98" s="9">
        <f ca="1">IFERROR(OFFSET(ITEM_RES!$A$5,MATCH(BUILDING!S98,ITEM_RES!$J$5:$J$229,0)-1,0),0)</f>
        <v>211021101</v>
      </c>
      <c r="U98" s="11">
        <v>10</v>
      </c>
      <c r="V98" s="81" t="s">
        <v>528</v>
      </c>
      <c r="W98" s="11">
        <f ca="1">IFERROR(OFFSET(ITEM_RES!$A$5,MATCH(BUILDING!V98,ITEM_RES!$J$5:$J$229,0)-1,0),0)</f>
        <v>211010401</v>
      </c>
      <c r="Y98" s="9" t="s">
        <v>499</v>
      </c>
      <c r="Z98" s="9">
        <v>14</v>
      </c>
      <c r="AB98" s="11">
        <f ca="1">IFERROR(OFFSET(MANOR_LEVEL!$B$1,MATCH(AC98-1,MANOR_LEVEL!$A:$A,0)-1,0),0)</f>
        <v>3961500</v>
      </c>
      <c r="AC98" s="55">
        <v>12</v>
      </c>
      <c r="AE98" s="55">
        <f t="shared" ca="1" si="43"/>
        <v>2619450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2619450</v>
      </c>
      <c r="AG98" s="176">
        <f t="shared" ca="1" si="38"/>
        <v>4293800</v>
      </c>
      <c r="AI98" s="11">
        <f t="shared" si="20"/>
        <v>2400</v>
      </c>
      <c r="AJ98" s="10">
        <v>2400</v>
      </c>
      <c r="AK98" s="11">
        <f t="shared" si="44"/>
        <v>450</v>
      </c>
      <c r="AL98" s="10">
        <v>450</v>
      </c>
      <c r="AM98" s="11">
        <f t="shared" si="44"/>
        <v>0</v>
      </c>
      <c r="AN98" s="10">
        <v>0</v>
      </c>
      <c r="AO98" s="55">
        <f t="shared" si="23"/>
        <v>2</v>
      </c>
      <c r="AQ98" s="11">
        <f ca="1">IFERROR(OFFSET(ITEM_RES!$A$1,MATCH(AR98,ITEM_RES!$J:$J,0)-1,0),0)</f>
        <v>211020301</v>
      </c>
      <c r="AR98" s="10" t="s">
        <v>387</v>
      </c>
      <c r="AS98" s="11">
        <v>970000</v>
      </c>
      <c r="AV98" s="11">
        <f ca="1">IFERROR(OFFSET(ITEM_RES!$A$1,MATCH(AW98,ITEM_RES!$J:$J,0)-1,0),0)</f>
        <v>211020401</v>
      </c>
      <c r="AW98" s="10" t="s">
        <v>427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2"/>
        <v>0</v>
      </c>
    </row>
    <row r="99" spans="1:66" x14ac:dyDescent="0.3">
      <c r="A99" s="14">
        <f t="shared" si="39"/>
        <v>112010015</v>
      </c>
      <c r="B99" s="13">
        <v>11</v>
      </c>
      <c r="C99" s="12">
        <f t="shared" si="40"/>
        <v>2</v>
      </c>
      <c r="D99" s="13">
        <v>1</v>
      </c>
      <c r="E99" s="13">
        <v>0</v>
      </c>
      <c r="F99" s="12">
        <f t="shared" si="41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747</v>
      </c>
      <c r="P99" s="55" t="s">
        <v>1353</v>
      </c>
      <c r="Q99" s="9" t="s">
        <v>692</v>
      </c>
      <c r="S99" s="81" t="s">
        <v>529</v>
      </c>
      <c r="T99" s="9">
        <f ca="1">IFERROR(OFFSET(ITEM_RES!$A$5,MATCH(BUILDING!S99,ITEM_RES!$J$5:$J$229,0)-1,0),0)</f>
        <v>211021101</v>
      </c>
      <c r="U99" s="11">
        <v>10</v>
      </c>
      <c r="V99" s="81" t="s">
        <v>528</v>
      </c>
      <c r="W99" s="11">
        <f ca="1">IFERROR(OFFSET(ITEM_RES!$A$5,MATCH(BUILDING!V99,ITEM_RES!$J$5:$J$229,0)-1,0),0)</f>
        <v>211010401</v>
      </c>
      <c r="Y99" s="9" t="s">
        <v>499</v>
      </c>
      <c r="Z99" s="9">
        <v>15</v>
      </c>
      <c r="AB99" s="11">
        <f ca="1">IFERROR(OFFSET(MANOR_LEVEL!$B$1,MATCH(AC99-1,MANOR_LEVEL!$A:$A,0)-1,0),0)</f>
        <v>3961500</v>
      </c>
      <c r="AC99" s="55">
        <v>12</v>
      </c>
      <c r="AE99" s="55">
        <f t="shared" ca="1" si="43"/>
        <v>6300550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6300550</v>
      </c>
      <c r="AG99" s="176">
        <f t="shared" ca="1" si="38"/>
        <v>8920000</v>
      </c>
      <c r="AI99" s="11">
        <f t="shared" si="20"/>
        <v>2700</v>
      </c>
      <c r="AJ99" s="10">
        <v>2700</v>
      </c>
      <c r="AK99" s="11">
        <f t="shared" si="44"/>
        <v>550</v>
      </c>
      <c r="AL99" s="10">
        <v>550</v>
      </c>
      <c r="AM99" s="11">
        <f t="shared" si="44"/>
        <v>0</v>
      </c>
      <c r="AN99" s="10">
        <v>0</v>
      </c>
      <c r="AO99" s="55">
        <f t="shared" si="23"/>
        <v>2</v>
      </c>
      <c r="AQ99" s="11">
        <f ca="1">IFERROR(OFFSET(ITEM_RES!$A$1,MATCH(AR99,ITEM_RES!$J:$J,0)-1,0),0)</f>
        <v>211020301</v>
      </c>
      <c r="AR99" s="10" t="s">
        <v>387</v>
      </c>
      <c r="AS99" s="11">
        <v>2100000</v>
      </c>
      <c r="AV99" s="11">
        <f ca="1">IFERROR(OFFSET(ITEM_RES!$A$1,MATCH(AW99,ITEM_RES!$J:$J,0)-1,0),0)</f>
        <v>211020501</v>
      </c>
      <c r="AW99" s="10" t="s">
        <v>425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2"/>
        <v>0</v>
      </c>
    </row>
    <row r="100" spans="1:66" x14ac:dyDescent="0.3">
      <c r="A100" s="14">
        <f t="shared" si="39"/>
        <v>112010016</v>
      </c>
      <c r="B100" s="13">
        <v>11</v>
      </c>
      <c r="C100" s="12">
        <f t="shared" si="40"/>
        <v>2</v>
      </c>
      <c r="D100" s="13">
        <v>1</v>
      </c>
      <c r="E100" s="13">
        <v>0</v>
      </c>
      <c r="F100" s="12">
        <f t="shared" si="41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747</v>
      </c>
      <c r="P100" s="55" t="s">
        <v>1353</v>
      </c>
      <c r="Q100" s="9" t="s">
        <v>692</v>
      </c>
      <c r="S100" s="81" t="s">
        <v>529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528</v>
      </c>
      <c r="W100" s="11">
        <f ca="1">IFERROR(OFFSET(ITEM_RES!$A$5,MATCH(BUILDING!V100,ITEM_RES!$J$5:$J$229,0)-1,0),0)</f>
        <v>211010401</v>
      </c>
      <c r="Y100" s="9" t="s">
        <v>499</v>
      </c>
      <c r="Z100" s="9">
        <v>16</v>
      </c>
      <c r="AB100" s="11">
        <f ca="1">IFERROR(OFFSET(MANOR_LEVEL!$B$1,MATCH(AC100-1,MANOR_LEVEL!$A:$A,0)-1,0),0)</f>
        <v>3961500</v>
      </c>
      <c r="AC100" s="55">
        <v>12</v>
      </c>
      <c r="AE100" s="55">
        <f t="shared" ca="1" si="43"/>
        <v>12900700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12900700</v>
      </c>
      <c r="AG100" s="176">
        <f t="shared" ca="1" si="38"/>
        <v>19201250</v>
      </c>
      <c r="AI100" s="11">
        <f t="shared" si="20"/>
        <v>3000</v>
      </c>
      <c r="AJ100" s="10">
        <v>3000</v>
      </c>
      <c r="AK100" s="11">
        <f t="shared" si="44"/>
        <v>700</v>
      </c>
      <c r="AL100" s="10">
        <v>700</v>
      </c>
      <c r="AM100" s="11">
        <f t="shared" si="44"/>
        <v>0</v>
      </c>
      <c r="AN100" s="10">
        <v>0</v>
      </c>
      <c r="AO100" s="55">
        <f t="shared" si="23"/>
        <v>2</v>
      </c>
      <c r="AQ100" s="11">
        <f ca="1">IFERROR(OFFSET(ITEM_RES!$A$1,MATCH(AR100,ITEM_RES!$J:$J,0)-1,0),0)</f>
        <v>211020301</v>
      </c>
      <c r="AR100" s="10" t="s">
        <v>387</v>
      </c>
      <c r="AS100" s="11">
        <v>4300000</v>
      </c>
      <c r="AV100" s="11">
        <f ca="1">IFERROR(OFFSET(ITEM_RES!$A$1,MATCH(AW100,ITEM_RES!$J:$J,0)-1,0),0)</f>
        <v>211020501</v>
      </c>
      <c r="AW100" s="10" t="s">
        <v>425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2"/>
        <v>0</v>
      </c>
    </row>
    <row r="101" spans="1:66" x14ac:dyDescent="0.3">
      <c r="A101" s="14">
        <f t="shared" si="39"/>
        <v>112010017</v>
      </c>
      <c r="B101" s="13">
        <v>11</v>
      </c>
      <c r="C101" s="12">
        <f t="shared" si="40"/>
        <v>2</v>
      </c>
      <c r="D101" s="13">
        <v>1</v>
      </c>
      <c r="E101" s="13">
        <v>0</v>
      </c>
      <c r="F101" s="12">
        <f t="shared" si="41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747</v>
      </c>
      <c r="P101" s="55" t="s">
        <v>1353</v>
      </c>
      <c r="Q101" s="9" t="s">
        <v>692</v>
      </c>
      <c r="S101" s="81" t="s">
        <v>529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528</v>
      </c>
      <c r="W101" s="11">
        <f ca="1">IFERROR(OFFSET(ITEM_RES!$A$5,MATCH(BUILDING!V101,ITEM_RES!$J$5:$J$229,0)-1,0),0)</f>
        <v>211010401</v>
      </c>
      <c r="Y101" s="9" t="s">
        <v>499</v>
      </c>
      <c r="Z101" s="9">
        <v>17</v>
      </c>
      <c r="AB101" s="11">
        <f ca="1">IFERROR(OFFSET(MANOR_LEVEL!$B$1,MATCH(AC101-1,MANOR_LEVEL!$A:$A,0)-1,0),0)</f>
        <v>3961500</v>
      </c>
      <c r="AC101" s="55">
        <v>12</v>
      </c>
      <c r="AE101" s="55">
        <f t="shared" ca="1" si="43"/>
        <v>24000850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24000850</v>
      </c>
      <c r="AG101" s="176">
        <f t="shared" ca="1" si="38"/>
        <v>36901550</v>
      </c>
      <c r="AI101" s="11">
        <f t="shared" si="20"/>
        <v>3300</v>
      </c>
      <c r="AJ101" s="10">
        <v>3300</v>
      </c>
      <c r="AK101" s="11">
        <f t="shared" si="44"/>
        <v>850</v>
      </c>
      <c r="AL101" s="10">
        <v>850</v>
      </c>
      <c r="AM101" s="11">
        <f t="shared" si="44"/>
        <v>0</v>
      </c>
      <c r="AN101" s="10">
        <v>0</v>
      </c>
      <c r="AO101" s="55">
        <f t="shared" si="23"/>
        <v>2</v>
      </c>
      <c r="AQ101" s="11">
        <f ca="1">IFERROR(OFFSET(ITEM_RES!$A$1,MATCH(AR101,ITEM_RES!$J:$J,0)-1,0),0)</f>
        <v>211020301</v>
      </c>
      <c r="AR101" s="10" t="s">
        <v>1000</v>
      </c>
      <c r="AS101" s="11">
        <v>8000000</v>
      </c>
      <c r="AV101" s="11">
        <f ca="1">IFERROR(OFFSET(ITEM_RES!$A$1,MATCH(AW101,ITEM_RES!$J:$J,0)-1,0),0)</f>
        <v>211020501</v>
      </c>
      <c r="AW101" s="10" t="s">
        <v>425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2"/>
        <v>0</v>
      </c>
    </row>
    <row r="102" spans="1:66" x14ac:dyDescent="0.3">
      <c r="A102" s="14">
        <f t="shared" si="39"/>
        <v>112010018</v>
      </c>
      <c r="B102" s="13">
        <v>11</v>
      </c>
      <c r="C102" s="12">
        <f t="shared" si="40"/>
        <v>2</v>
      </c>
      <c r="D102" s="13">
        <v>1</v>
      </c>
      <c r="E102" s="13">
        <v>0</v>
      </c>
      <c r="F102" s="12">
        <f t="shared" si="41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747</v>
      </c>
      <c r="P102" s="55" t="s">
        <v>1353</v>
      </c>
      <c r="Q102" s="9" t="s">
        <v>692</v>
      </c>
      <c r="S102" s="81" t="s">
        <v>529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528</v>
      </c>
      <c r="W102" s="11">
        <f ca="1">IFERROR(OFFSET(ITEM_RES!$A$5,MATCH(BUILDING!V102,ITEM_RES!$J$5:$J$229,0)-1,0),0)</f>
        <v>211010401</v>
      </c>
      <c r="Y102" s="9" t="s">
        <v>499</v>
      </c>
      <c r="Z102" s="9">
        <v>18</v>
      </c>
      <c r="AB102" s="11">
        <f ca="1">IFERROR(OFFSET(MANOR_LEVEL!$B$1,MATCH(AC102-1,MANOR_LEVEL!$A:$A,0)-1,0),0)</f>
        <v>3961500</v>
      </c>
      <c r="AC102" s="55">
        <v>12</v>
      </c>
      <c r="AE102" s="55">
        <f t="shared" ca="1" si="43"/>
        <v>39001050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39001050</v>
      </c>
      <c r="AG102" s="176">
        <f t="shared" ca="1" si="38"/>
        <v>63001900</v>
      </c>
      <c r="AI102" s="11">
        <f t="shared" si="20"/>
        <v>3600</v>
      </c>
      <c r="AJ102" s="10">
        <v>3600</v>
      </c>
      <c r="AK102" s="11">
        <f t="shared" si="44"/>
        <v>1050</v>
      </c>
      <c r="AL102" s="10">
        <v>1050</v>
      </c>
      <c r="AM102" s="11">
        <f t="shared" si="44"/>
        <v>0</v>
      </c>
      <c r="AN102" s="10">
        <v>0</v>
      </c>
      <c r="AO102" s="55">
        <f t="shared" si="23"/>
        <v>2</v>
      </c>
      <c r="AQ102" s="11">
        <f ca="1">IFERROR(OFFSET(ITEM_RES!$A$1,MATCH(AR102,ITEM_RES!$J:$J,0)-1,0),0)</f>
        <v>211020301</v>
      </c>
      <c r="AR102" s="10" t="s">
        <v>1000</v>
      </c>
      <c r="AS102" s="11">
        <v>13000000</v>
      </c>
      <c r="AV102" s="11">
        <f ca="1">IFERROR(OFFSET(ITEM_RES!$A$1,MATCH(AW102,ITEM_RES!$J:$J,0)-1,0),0)</f>
        <v>211020501</v>
      </c>
      <c r="AW102" s="10" t="s">
        <v>425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2"/>
        <v>0</v>
      </c>
    </row>
    <row r="103" spans="1:66" x14ac:dyDescent="0.3">
      <c r="A103" s="14">
        <f t="shared" si="39"/>
        <v>112010019</v>
      </c>
      <c r="B103" s="13">
        <v>11</v>
      </c>
      <c r="C103" s="12">
        <f t="shared" si="40"/>
        <v>2</v>
      </c>
      <c r="D103" s="13">
        <v>1</v>
      </c>
      <c r="E103" s="13">
        <v>0</v>
      </c>
      <c r="F103" s="12">
        <f t="shared" si="41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747</v>
      </c>
      <c r="P103" s="55" t="s">
        <v>1353</v>
      </c>
      <c r="Q103" s="9" t="s">
        <v>692</v>
      </c>
      <c r="S103" s="81" t="s">
        <v>529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528</v>
      </c>
      <c r="W103" s="11">
        <f ca="1">IFERROR(OFFSET(ITEM_RES!$A$5,MATCH(BUILDING!V103,ITEM_RES!$J$5:$J$229,0)-1,0),0)</f>
        <v>211010401</v>
      </c>
      <c r="Y103" s="9" t="s">
        <v>499</v>
      </c>
      <c r="Z103" s="9">
        <v>19</v>
      </c>
      <c r="AB103" s="11">
        <f ca="1">IFERROR(OFFSET(MANOR_LEVEL!$B$1,MATCH(AC103-1,MANOR_LEVEL!$A:$A,0)-1,0),0)</f>
        <v>3961500</v>
      </c>
      <c r="AC103" s="55">
        <v>12</v>
      </c>
      <c r="AE103" s="55">
        <f t="shared" ca="1" si="43"/>
        <v>60001250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60001250</v>
      </c>
      <c r="AG103" s="176">
        <f t="shared" ca="1" si="38"/>
        <v>99002300</v>
      </c>
      <c r="AI103" s="11">
        <f t="shared" si="20"/>
        <v>3900</v>
      </c>
      <c r="AJ103" s="10">
        <v>3900</v>
      </c>
      <c r="AK103" s="11">
        <f t="shared" si="44"/>
        <v>1250</v>
      </c>
      <c r="AL103" s="10">
        <v>1250</v>
      </c>
      <c r="AM103" s="11">
        <f t="shared" si="44"/>
        <v>0</v>
      </c>
      <c r="AN103" s="10">
        <v>0</v>
      </c>
      <c r="AO103" s="55">
        <f t="shared" si="23"/>
        <v>2</v>
      </c>
      <c r="AQ103" s="11">
        <f ca="1">IFERROR(OFFSET(ITEM_RES!$A$1,MATCH(AR103,ITEM_RES!$J:$J,0)-1,0),0)</f>
        <v>211020301</v>
      </c>
      <c r="AR103" s="10" t="s">
        <v>1000</v>
      </c>
      <c r="AS103" s="11">
        <v>20000000</v>
      </c>
      <c r="AV103" s="11">
        <f ca="1">IFERROR(OFFSET(ITEM_RES!$A$1,MATCH(AW103,ITEM_RES!$J:$J,0)-1,0),0)</f>
        <v>211020501</v>
      </c>
      <c r="AW103" s="10" t="s">
        <v>425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2"/>
        <v>0</v>
      </c>
    </row>
    <row r="104" spans="1:66" ht="17.25" thickBot="1" x14ac:dyDescent="0.35">
      <c r="A104" s="14">
        <f t="shared" si="39"/>
        <v>112010020</v>
      </c>
      <c r="B104" s="13">
        <v>11</v>
      </c>
      <c r="C104" s="12">
        <f t="shared" si="40"/>
        <v>2</v>
      </c>
      <c r="D104" s="13">
        <v>1</v>
      </c>
      <c r="E104" s="13">
        <v>0</v>
      </c>
      <c r="F104" s="12">
        <f t="shared" si="41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747</v>
      </c>
      <c r="P104" s="55" t="s">
        <v>1353</v>
      </c>
      <c r="Q104" s="9" t="s">
        <v>692</v>
      </c>
      <c r="S104" s="81" t="s">
        <v>529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528</v>
      </c>
      <c r="W104" s="11">
        <f ca="1">IFERROR(OFFSET(ITEM_RES!$A$5,MATCH(BUILDING!V104,ITEM_RES!$J$5:$J$229,0)-1,0),0)</f>
        <v>211010401</v>
      </c>
      <c r="Y104" s="9" t="s">
        <v>499</v>
      </c>
      <c r="Z104" s="9">
        <v>20</v>
      </c>
      <c r="AB104" s="11">
        <f ca="1">IFERROR(OFFSET(MANOR_LEVEL!$B$1,MATCH(AC104-1,MANOR_LEVEL!$A:$A,0)-1,0),0)</f>
        <v>3961500</v>
      </c>
      <c r="AC104" s="55">
        <v>12</v>
      </c>
      <c r="AE104" s="55">
        <f t="shared" ca="1" si="43"/>
        <v>96001500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96001500</v>
      </c>
      <c r="AG104" s="176">
        <f t="shared" ca="1" si="38"/>
        <v>156002750</v>
      </c>
      <c r="AI104" s="11">
        <f t="shared" si="20"/>
        <v>4200</v>
      </c>
      <c r="AJ104" s="10">
        <v>4200</v>
      </c>
      <c r="AK104" s="11">
        <f t="shared" si="44"/>
        <v>1500</v>
      </c>
      <c r="AL104" s="10">
        <v>1500</v>
      </c>
      <c r="AM104" s="11">
        <f t="shared" si="44"/>
        <v>0</v>
      </c>
      <c r="AN104" s="10">
        <v>0</v>
      </c>
      <c r="AO104" s="55">
        <f t="shared" si="23"/>
        <v>2</v>
      </c>
      <c r="AQ104" s="11">
        <f ca="1">IFERROR(OFFSET(ITEM_RES!$A$1,MATCH(AR104,ITEM_RES!$J:$J,0)-1,0),0)</f>
        <v>211020301</v>
      </c>
      <c r="AR104" s="10" t="s">
        <v>1000</v>
      </c>
      <c r="AS104" s="11">
        <v>32000000</v>
      </c>
      <c r="AV104" s="11">
        <f ca="1">IFERROR(OFFSET(ITEM_RES!$A$1,MATCH(AW104,ITEM_RES!$J:$J,0)-1,0),0)</f>
        <v>211020501</v>
      </c>
      <c r="AW104" s="10" t="s">
        <v>425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2"/>
        <v>0</v>
      </c>
    </row>
    <row r="105" spans="1:66" s="15" customFormat="1" x14ac:dyDescent="0.3">
      <c r="A105" s="21">
        <f t="shared" si="39"/>
        <v>112020001</v>
      </c>
      <c r="B105" s="20">
        <v>11</v>
      </c>
      <c r="C105" s="19">
        <f t="shared" si="40"/>
        <v>2</v>
      </c>
      <c r="D105" s="20">
        <v>2</v>
      </c>
      <c r="E105" s="20">
        <v>0</v>
      </c>
      <c r="F105" s="19">
        <f t="shared" si="41"/>
        <v>1</v>
      </c>
      <c r="G105" s="76"/>
      <c r="H105" s="16">
        <v>2</v>
      </c>
      <c r="I105" s="16">
        <v>1</v>
      </c>
      <c r="J105" s="76"/>
      <c r="K105" s="65" t="s">
        <v>744</v>
      </c>
      <c r="L105" s="65">
        <v>5</v>
      </c>
      <c r="M105" s="16">
        <v>1</v>
      </c>
      <c r="N105" s="16">
        <v>15</v>
      </c>
      <c r="O105" s="16" t="s">
        <v>746</v>
      </c>
      <c r="P105" s="56" t="s">
        <v>1354</v>
      </c>
      <c r="Q105" s="16" t="s">
        <v>745</v>
      </c>
      <c r="R105" s="76"/>
      <c r="S105" s="83" t="s">
        <v>536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529</v>
      </c>
      <c r="W105" s="18">
        <f ca="1">IFERROR(OFFSET(ITEM_RES!$A$5,MATCH(BUILDING!V105,ITEM_RES!$J$5:$J$229,0)-1,0),0)</f>
        <v>211021101</v>
      </c>
      <c r="X105" s="76"/>
      <c r="Y105" s="16" t="s">
        <v>500</v>
      </c>
      <c r="Z105" s="16">
        <v>1</v>
      </c>
      <c r="AA105" s="76"/>
      <c r="AB105" s="18">
        <f ca="1">IFERROR(OFFSET(MANOR_LEVEL!$B$1,MATCH(AC105-1,MANOR_LEVEL!$A:$A,0)-1,0),0)</f>
        <v>1956000</v>
      </c>
      <c r="AC105" s="56">
        <v>11</v>
      </c>
      <c r="AD105" s="76"/>
      <c r="AE105" s="56">
        <f t="shared" ca="1" si="43"/>
        <v>1085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1085</v>
      </c>
      <c r="AG105" s="178">
        <f ca="1">AE105</f>
        <v>1085</v>
      </c>
      <c r="AH105" s="76"/>
      <c r="AI105" s="18">
        <f t="shared" si="20"/>
        <v>3</v>
      </c>
      <c r="AJ105" s="17">
        <v>3</v>
      </c>
      <c r="AK105" s="18">
        <f t="shared" si="44"/>
        <v>5</v>
      </c>
      <c r="AL105" s="17">
        <v>5</v>
      </c>
      <c r="AM105" s="18">
        <f t="shared" si="44"/>
        <v>0</v>
      </c>
      <c r="AN105" s="17">
        <v>0</v>
      </c>
      <c r="AO105" s="56">
        <f t="shared" si="23"/>
        <v>3</v>
      </c>
      <c r="AP105" s="18"/>
      <c r="AQ105" s="18">
        <f ca="1">IFERROR(OFFSET(ITEM_RES!$A$1,MATCH(AR105,ITEM_RES!$J:$J,0)-1,0),0)</f>
        <v>211020201</v>
      </c>
      <c r="AR105" s="17" t="s">
        <v>423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416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441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2"/>
        <v>0</v>
      </c>
      <c r="BN105" s="17"/>
    </row>
    <row r="106" spans="1:66" x14ac:dyDescent="0.3">
      <c r="A106" s="14">
        <f t="shared" si="39"/>
        <v>112020002</v>
      </c>
      <c r="B106" s="13">
        <v>11</v>
      </c>
      <c r="C106" s="12">
        <f t="shared" si="40"/>
        <v>2</v>
      </c>
      <c r="D106" s="13">
        <v>2</v>
      </c>
      <c r="E106" s="13">
        <v>0</v>
      </c>
      <c r="F106" s="12">
        <f t="shared" si="41"/>
        <v>2</v>
      </c>
      <c r="H106" s="9">
        <v>2</v>
      </c>
      <c r="I106" s="9">
        <v>2</v>
      </c>
      <c r="K106" s="9" t="s">
        <v>744</v>
      </c>
      <c r="M106" s="9">
        <v>1</v>
      </c>
      <c r="N106" s="9">
        <v>15</v>
      </c>
      <c r="O106" s="9" t="s">
        <v>746</v>
      </c>
      <c r="P106" s="55" t="s">
        <v>1354</v>
      </c>
      <c r="Q106" s="9" t="s">
        <v>745</v>
      </c>
      <c r="S106" s="81" t="s">
        <v>398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529</v>
      </c>
      <c r="W106" s="11">
        <f ca="1">IFERROR(OFFSET(ITEM_RES!$A$5,MATCH(BUILDING!V106,ITEM_RES!$J$5:$J$229,0)-1,0),0)</f>
        <v>211021101</v>
      </c>
      <c r="Y106" s="9" t="s">
        <v>500</v>
      </c>
      <c r="Z106" s="9">
        <v>2</v>
      </c>
      <c r="AB106" s="11">
        <f ca="1">IFERROR(OFFSET(MANOR_LEVEL!$B$1,MATCH(AC106-1,MANOR_LEVEL!$A:$A,0)-1,0),0)</f>
        <v>1956000</v>
      </c>
      <c r="AC106" s="55">
        <v>11</v>
      </c>
      <c r="AE106" s="55">
        <f t="shared" ca="1" si="43"/>
        <v>170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170</v>
      </c>
      <c r="AG106" s="176">
        <f ca="1">AE105+AE106</f>
        <v>1255</v>
      </c>
      <c r="AI106" s="11">
        <f t="shared" si="20"/>
        <v>5</v>
      </c>
      <c r="AJ106" s="10">
        <v>5</v>
      </c>
      <c r="AK106" s="11">
        <f t="shared" si="44"/>
        <v>10</v>
      </c>
      <c r="AL106" s="10">
        <v>10</v>
      </c>
      <c r="AM106" s="11">
        <f t="shared" si="44"/>
        <v>0</v>
      </c>
      <c r="AN106" s="10">
        <v>0</v>
      </c>
      <c r="AO106" s="55">
        <f t="shared" si="23"/>
        <v>2</v>
      </c>
      <c r="AQ106" s="11">
        <f ca="1">IFERROR(OFFSET(ITEM_RES!$A$1,MATCH(AR106,ITEM_RES!$J:$J,0)-1,0),0)</f>
        <v>211020201</v>
      </c>
      <c r="AR106" s="10" t="s">
        <v>424</v>
      </c>
      <c r="AS106" s="11">
        <v>40</v>
      </c>
      <c r="AV106" s="11">
        <f ca="1">IFERROR(OFFSET(ITEM_RES!$A$1,MATCH(AW106,ITEM_RES!$J:$J,0)-1,0),0)</f>
        <v>211020401</v>
      </c>
      <c r="AW106" s="10" t="s">
        <v>416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2"/>
        <v>0</v>
      </c>
    </row>
    <row r="107" spans="1:66" x14ac:dyDescent="0.3">
      <c r="A107" s="14">
        <f t="shared" si="39"/>
        <v>112020003</v>
      </c>
      <c r="B107" s="13">
        <v>11</v>
      </c>
      <c r="C107" s="12">
        <f t="shared" si="40"/>
        <v>2</v>
      </c>
      <c r="D107" s="13">
        <v>2</v>
      </c>
      <c r="E107" s="13">
        <v>0</v>
      </c>
      <c r="F107" s="12">
        <f t="shared" si="41"/>
        <v>3</v>
      </c>
      <c r="H107" s="9">
        <v>2</v>
      </c>
      <c r="I107" s="9">
        <v>3</v>
      </c>
      <c r="K107" s="9" t="s">
        <v>744</v>
      </c>
      <c r="M107" s="9">
        <v>1</v>
      </c>
      <c r="N107" s="9">
        <v>15</v>
      </c>
      <c r="O107" s="9" t="s">
        <v>746</v>
      </c>
      <c r="P107" s="55" t="s">
        <v>1354</v>
      </c>
      <c r="Q107" s="9" t="s">
        <v>745</v>
      </c>
      <c r="S107" s="81" t="s">
        <v>398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529</v>
      </c>
      <c r="W107" s="11">
        <f ca="1">IFERROR(OFFSET(ITEM_RES!$A$5,MATCH(BUILDING!V107,ITEM_RES!$J$5:$J$229,0)-1,0),0)</f>
        <v>211021101</v>
      </c>
      <c r="Y107" s="9" t="s">
        <v>500</v>
      </c>
      <c r="Z107" s="9">
        <v>3</v>
      </c>
      <c r="AB107" s="11">
        <f ca="1">IFERROR(OFFSET(MANOR_LEVEL!$B$1,MATCH(AC107-1,MANOR_LEVEL!$A:$A,0)-1,0),0)</f>
        <v>1956000</v>
      </c>
      <c r="AC107" s="55">
        <v>11</v>
      </c>
      <c r="AE107" s="55">
        <f t="shared" ca="1" si="43"/>
        <v>255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255</v>
      </c>
      <c r="AG107" s="176">
        <f t="shared" ref="AG107:AG124" ca="1" si="45">AE106+AE107</f>
        <v>425</v>
      </c>
      <c r="AI107" s="11">
        <f t="shared" si="20"/>
        <v>5</v>
      </c>
      <c r="AJ107" s="10">
        <v>5</v>
      </c>
      <c r="AK107" s="11">
        <f t="shared" si="44"/>
        <v>15</v>
      </c>
      <c r="AL107" s="10">
        <v>15</v>
      </c>
      <c r="AM107" s="11">
        <f t="shared" si="44"/>
        <v>0</v>
      </c>
      <c r="AN107" s="10">
        <v>0</v>
      </c>
      <c r="AO107" s="55">
        <f t="shared" si="23"/>
        <v>2</v>
      </c>
      <c r="AQ107" s="11">
        <f ca="1">IFERROR(OFFSET(ITEM_RES!$A$1,MATCH(AR107,ITEM_RES!$J:$J,0)-1,0),0)</f>
        <v>211020201</v>
      </c>
      <c r="AR107" s="10" t="s">
        <v>423</v>
      </c>
      <c r="AS107" s="11">
        <v>60</v>
      </c>
      <c r="AV107" s="11">
        <f ca="1">IFERROR(OFFSET(ITEM_RES!$A$1,MATCH(AW107,ITEM_RES!$J:$J,0)-1,0),0)</f>
        <v>211020401</v>
      </c>
      <c r="AW107" s="10" t="s">
        <v>416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2"/>
        <v>0</v>
      </c>
    </row>
    <row r="108" spans="1:66" x14ac:dyDescent="0.3">
      <c r="A108" s="14">
        <f t="shared" si="39"/>
        <v>112020004</v>
      </c>
      <c r="B108" s="13">
        <v>11</v>
      </c>
      <c r="C108" s="12">
        <f t="shared" si="40"/>
        <v>2</v>
      </c>
      <c r="D108" s="13">
        <v>2</v>
      </c>
      <c r="E108" s="13">
        <v>0</v>
      </c>
      <c r="F108" s="12">
        <f t="shared" si="41"/>
        <v>4</v>
      </c>
      <c r="H108" s="9">
        <v>2</v>
      </c>
      <c r="I108" s="9">
        <v>4</v>
      </c>
      <c r="K108" s="9" t="s">
        <v>744</v>
      </c>
      <c r="M108" s="9">
        <v>1</v>
      </c>
      <c r="N108" s="9">
        <v>15</v>
      </c>
      <c r="O108" s="9" t="s">
        <v>746</v>
      </c>
      <c r="P108" s="55" t="s">
        <v>1354</v>
      </c>
      <c r="Q108" s="9" t="s">
        <v>745</v>
      </c>
      <c r="S108" s="81" t="s">
        <v>398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529</v>
      </c>
      <c r="W108" s="11">
        <f ca="1">IFERROR(OFFSET(ITEM_RES!$A$5,MATCH(BUILDING!V108,ITEM_RES!$J$5:$J$229,0)-1,0),0)</f>
        <v>211021101</v>
      </c>
      <c r="Y108" s="9" t="s">
        <v>500</v>
      </c>
      <c r="Z108" s="9">
        <v>4</v>
      </c>
      <c r="AB108" s="11">
        <f ca="1">IFERROR(OFFSET(MANOR_LEVEL!$B$1,MATCH(AC108-1,MANOR_LEVEL!$A:$A,0)-1,0),0)</f>
        <v>3961500</v>
      </c>
      <c r="AC108" s="55">
        <v>12</v>
      </c>
      <c r="AE108" s="55">
        <f t="shared" ca="1" si="43"/>
        <v>985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985</v>
      </c>
      <c r="AG108" s="176">
        <f t="shared" ca="1" si="45"/>
        <v>1240</v>
      </c>
      <c r="AI108" s="11">
        <f t="shared" si="20"/>
        <v>10</v>
      </c>
      <c r="AJ108" s="10">
        <v>10</v>
      </c>
      <c r="AK108" s="11">
        <f t="shared" si="44"/>
        <v>25</v>
      </c>
      <c r="AL108" s="10">
        <v>25</v>
      </c>
      <c r="AM108" s="11">
        <f t="shared" si="44"/>
        <v>0</v>
      </c>
      <c r="AN108" s="10">
        <v>0</v>
      </c>
      <c r="AO108" s="55">
        <f t="shared" si="23"/>
        <v>2</v>
      </c>
      <c r="AQ108" s="11">
        <f ca="1">IFERROR(OFFSET(ITEM_RES!$A$1,MATCH(AR108,ITEM_RES!$J:$J,0)-1,0),0)</f>
        <v>211020201</v>
      </c>
      <c r="AR108" s="10" t="s">
        <v>423</v>
      </c>
      <c r="AS108" s="11">
        <v>240</v>
      </c>
      <c r="AV108" s="11">
        <f ca="1">IFERROR(OFFSET(ITEM_RES!$A$1,MATCH(AW108,ITEM_RES!$J:$J,0)-1,0),0)</f>
        <v>211020401</v>
      </c>
      <c r="AW108" s="10" t="s">
        <v>416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2"/>
        <v>0</v>
      </c>
    </row>
    <row r="109" spans="1:66" x14ac:dyDescent="0.3">
      <c r="A109" s="14">
        <f t="shared" si="39"/>
        <v>112020005</v>
      </c>
      <c r="B109" s="13">
        <v>11</v>
      </c>
      <c r="C109" s="12">
        <f t="shared" si="40"/>
        <v>2</v>
      </c>
      <c r="D109" s="13">
        <v>2</v>
      </c>
      <c r="E109" s="13">
        <v>0</v>
      </c>
      <c r="F109" s="12">
        <f t="shared" si="41"/>
        <v>5</v>
      </c>
      <c r="H109" s="9">
        <v>2</v>
      </c>
      <c r="I109" s="9">
        <v>5</v>
      </c>
      <c r="K109" s="9" t="s">
        <v>744</v>
      </c>
      <c r="M109" s="9">
        <v>1</v>
      </c>
      <c r="N109" s="9">
        <v>15</v>
      </c>
      <c r="O109" s="9" t="s">
        <v>746</v>
      </c>
      <c r="P109" s="55" t="s">
        <v>1354</v>
      </c>
      <c r="Q109" s="9" t="s">
        <v>745</v>
      </c>
      <c r="S109" s="81" t="s">
        <v>398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529</v>
      </c>
      <c r="W109" s="11">
        <f ca="1">IFERROR(OFFSET(ITEM_RES!$A$5,MATCH(BUILDING!V109,ITEM_RES!$J$5:$J$229,0)-1,0),0)</f>
        <v>211021101</v>
      </c>
      <c r="Y109" s="9" t="s">
        <v>500</v>
      </c>
      <c r="Z109" s="9">
        <v>5</v>
      </c>
      <c r="AB109" s="11">
        <f ca="1">IFERROR(OFFSET(MANOR_LEVEL!$B$1,MATCH(AC109-1,MANOR_LEVEL!$A:$A,0)-1,0),0)</f>
        <v>3961500</v>
      </c>
      <c r="AC109" s="55">
        <v>12</v>
      </c>
      <c r="AE109" s="55">
        <f t="shared" ca="1" si="43"/>
        <v>4360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4360</v>
      </c>
      <c r="AG109" s="176">
        <f t="shared" ca="1" si="45"/>
        <v>5345</v>
      </c>
      <c r="AI109" s="11">
        <f t="shared" si="20"/>
        <v>15</v>
      </c>
      <c r="AJ109" s="10">
        <v>15</v>
      </c>
      <c r="AK109" s="11">
        <f t="shared" si="44"/>
        <v>40</v>
      </c>
      <c r="AL109" s="10">
        <v>40</v>
      </c>
      <c r="AM109" s="11">
        <f t="shared" si="44"/>
        <v>0</v>
      </c>
      <c r="AN109" s="10">
        <v>0</v>
      </c>
      <c r="AO109" s="55">
        <f t="shared" si="23"/>
        <v>2</v>
      </c>
      <c r="AQ109" s="11">
        <f ca="1">IFERROR(OFFSET(ITEM_RES!$A$1,MATCH(AR109,ITEM_RES!$J:$J,0)-1,0),0)</f>
        <v>211020201</v>
      </c>
      <c r="AR109" s="10" t="s">
        <v>423</v>
      </c>
      <c r="AS109" s="11">
        <v>1080</v>
      </c>
      <c r="AV109" s="11">
        <f ca="1">IFERROR(OFFSET(ITEM_RES!$A$1,MATCH(AW109,ITEM_RES!$J:$J,0)-1,0),0)</f>
        <v>211020401</v>
      </c>
      <c r="AW109" s="10" t="s">
        <v>416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2"/>
        <v>0</v>
      </c>
    </row>
    <row r="110" spans="1:66" x14ac:dyDescent="0.3">
      <c r="A110" s="14">
        <f t="shared" si="39"/>
        <v>112020006</v>
      </c>
      <c r="B110" s="13">
        <v>11</v>
      </c>
      <c r="C110" s="12">
        <f t="shared" si="40"/>
        <v>2</v>
      </c>
      <c r="D110" s="13">
        <v>2</v>
      </c>
      <c r="E110" s="13">
        <v>0</v>
      </c>
      <c r="F110" s="12">
        <f t="shared" si="41"/>
        <v>6</v>
      </c>
      <c r="H110" s="9">
        <v>2</v>
      </c>
      <c r="I110" s="9">
        <v>6</v>
      </c>
      <c r="K110" s="9" t="s">
        <v>744</v>
      </c>
      <c r="M110" s="9">
        <v>1</v>
      </c>
      <c r="N110" s="9">
        <v>15</v>
      </c>
      <c r="O110" s="9" t="s">
        <v>746</v>
      </c>
      <c r="P110" s="55" t="s">
        <v>1354</v>
      </c>
      <c r="Q110" s="9" t="s">
        <v>745</v>
      </c>
      <c r="S110" s="81" t="s">
        <v>398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529</v>
      </c>
      <c r="W110" s="11">
        <f ca="1">IFERROR(OFFSET(ITEM_RES!$A$5,MATCH(BUILDING!V110,ITEM_RES!$J$5:$J$229,0)-1,0),0)</f>
        <v>211021101</v>
      </c>
      <c r="Y110" s="9" t="s">
        <v>500</v>
      </c>
      <c r="Z110" s="9">
        <v>6</v>
      </c>
      <c r="AB110" s="11">
        <f ca="1">IFERROR(OFFSET(MANOR_LEVEL!$B$1,MATCH(AC110-1,MANOR_LEVEL!$A:$A,0)-1,0),0)</f>
        <v>3961500</v>
      </c>
      <c r="AC110" s="55">
        <v>12</v>
      </c>
      <c r="AE110" s="55">
        <f t="shared" ca="1" si="43"/>
        <v>14450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14450</v>
      </c>
      <c r="AG110" s="176">
        <f t="shared" ca="1" si="45"/>
        <v>18810</v>
      </c>
      <c r="AI110" s="11">
        <f t="shared" si="20"/>
        <v>30</v>
      </c>
      <c r="AJ110" s="10">
        <v>30</v>
      </c>
      <c r="AK110" s="11">
        <f t="shared" si="44"/>
        <v>50</v>
      </c>
      <c r="AL110" s="10">
        <v>50</v>
      </c>
      <c r="AM110" s="11">
        <f t="shared" si="44"/>
        <v>0</v>
      </c>
      <c r="AN110" s="10">
        <v>0</v>
      </c>
      <c r="AO110" s="55">
        <f t="shared" si="23"/>
        <v>2</v>
      </c>
      <c r="AQ110" s="11">
        <f ca="1">IFERROR(OFFSET(ITEM_RES!$A$1,MATCH(AR110,ITEM_RES!$J:$J,0)-1,0),0)</f>
        <v>211020201</v>
      </c>
      <c r="AR110" s="10" t="s">
        <v>423</v>
      </c>
      <c r="AS110" s="11">
        <v>3600</v>
      </c>
      <c r="AV110" s="11">
        <f ca="1">IFERROR(OFFSET(ITEM_RES!$A$1,MATCH(AW110,ITEM_RES!$J:$J,0)-1,0),0)</f>
        <v>211020401</v>
      </c>
      <c r="AW110" s="10" t="s">
        <v>416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2"/>
        <v>0</v>
      </c>
    </row>
    <row r="111" spans="1:66" x14ac:dyDescent="0.3">
      <c r="A111" s="14">
        <f t="shared" si="39"/>
        <v>112020007</v>
      </c>
      <c r="B111" s="13">
        <v>11</v>
      </c>
      <c r="C111" s="12">
        <f t="shared" si="40"/>
        <v>2</v>
      </c>
      <c r="D111" s="13">
        <v>2</v>
      </c>
      <c r="E111" s="13">
        <v>0</v>
      </c>
      <c r="F111" s="12">
        <f t="shared" si="41"/>
        <v>7</v>
      </c>
      <c r="H111" s="9">
        <v>2</v>
      </c>
      <c r="I111" s="9">
        <v>7</v>
      </c>
      <c r="K111" s="9" t="s">
        <v>744</v>
      </c>
      <c r="M111" s="9">
        <v>1</v>
      </c>
      <c r="N111" s="9">
        <v>15</v>
      </c>
      <c r="O111" s="9" t="s">
        <v>746</v>
      </c>
      <c r="P111" s="55" t="s">
        <v>1354</v>
      </c>
      <c r="Q111" s="9" t="s">
        <v>745</v>
      </c>
      <c r="S111" s="81" t="s">
        <v>398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529</v>
      </c>
      <c r="W111" s="11">
        <f ca="1">IFERROR(OFFSET(ITEM_RES!$A$5,MATCH(BUILDING!V111,ITEM_RES!$J$5:$J$229,0)-1,0),0)</f>
        <v>211021101</v>
      </c>
      <c r="Y111" s="9" t="s">
        <v>500</v>
      </c>
      <c r="Z111" s="9">
        <v>7</v>
      </c>
      <c r="AB111" s="11">
        <f ca="1">IFERROR(OFFSET(MANOR_LEVEL!$B$1,MATCH(AC111-1,MANOR_LEVEL!$A:$A,0)-1,0),0)</f>
        <v>3961500</v>
      </c>
      <c r="AC111" s="55">
        <v>12</v>
      </c>
      <c r="AE111" s="55">
        <f t="shared" ca="1" si="43"/>
        <v>32100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32100</v>
      </c>
      <c r="AG111" s="176">
        <f t="shared" ca="1" si="45"/>
        <v>46550</v>
      </c>
      <c r="AI111" s="11">
        <f t="shared" si="20"/>
        <v>300</v>
      </c>
      <c r="AJ111" s="10">
        <v>300</v>
      </c>
      <c r="AK111" s="11">
        <f t="shared" si="44"/>
        <v>100</v>
      </c>
      <c r="AL111" s="10">
        <v>100</v>
      </c>
      <c r="AM111" s="11">
        <f t="shared" si="44"/>
        <v>0</v>
      </c>
      <c r="AN111" s="10">
        <v>0</v>
      </c>
      <c r="AO111" s="55">
        <f t="shared" si="23"/>
        <v>2</v>
      </c>
      <c r="AQ111" s="11">
        <f ca="1">IFERROR(OFFSET(ITEM_RES!$A$1,MATCH(AR111,ITEM_RES!$J:$J,0)-1,0),0)</f>
        <v>211020201</v>
      </c>
      <c r="AR111" s="10" t="s">
        <v>423</v>
      </c>
      <c r="AS111" s="11">
        <v>8000</v>
      </c>
      <c r="AV111" s="11">
        <f ca="1">IFERROR(OFFSET(ITEM_RES!$A$1,MATCH(AW111,ITEM_RES!$J:$J,0)-1,0),0)</f>
        <v>211020401</v>
      </c>
      <c r="AW111" s="10" t="s">
        <v>416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2"/>
        <v>0</v>
      </c>
    </row>
    <row r="112" spans="1:66" x14ac:dyDescent="0.3">
      <c r="A112" s="14">
        <f t="shared" si="39"/>
        <v>112020008</v>
      </c>
      <c r="B112" s="13">
        <v>11</v>
      </c>
      <c r="C112" s="12">
        <f t="shared" si="40"/>
        <v>2</v>
      </c>
      <c r="D112" s="13">
        <v>2</v>
      </c>
      <c r="E112" s="13">
        <v>0</v>
      </c>
      <c r="F112" s="12">
        <f t="shared" si="41"/>
        <v>8</v>
      </c>
      <c r="H112" s="9">
        <v>2</v>
      </c>
      <c r="I112" s="9">
        <v>8</v>
      </c>
      <c r="K112" s="9" t="s">
        <v>744</v>
      </c>
      <c r="M112" s="9">
        <v>1</v>
      </c>
      <c r="N112" s="9">
        <v>15</v>
      </c>
      <c r="O112" s="9" t="s">
        <v>746</v>
      </c>
      <c r="P112" s="55" t="s">
        <v>1354</v>
      </c>
      <c r="Q112" s="9" t="s">
        <v>745</v>
      </c>
      <c r="S112" s="81" t="s">
        <v>398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529</v>
      </c>
      <c r="W112" s="11">
        <f ca="1">IFERROR(OFFSET(ITEM_RES!$A$5,MATCH(BUILDING!V112,ITEM_RES!$J$5:$J$229,0)-1,0),0)</f>
        <v>211021101</v>
      </c>
      <c r="Y112" s="9" t="s">
        <v>500</v>
      </c>
      <c r="Z112" s="9">
        <v>8</v>
      </c>
      <c r="AB112" s="11">
        <f ca="1">IFERROR(OFFSET(MANOR_LEVEL!$B$1,MATCH(AC112-1,MANOR_LEVEL!$A:$A,0)-1,0),0)</f>
        <v>3961500</v>
      </c>
      <c r="AC112" s="55">
        <v>12</v>
      </c>
      <c r="AE112" s="55">
        <f t="shared" ca="1" si="43"/>
        <v>67300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67300</v>
      </c>
      <c r="AG112" s="176">
        <f t="shared" ca="1" si="45"/>
        <v>99400</v>
      </c>
      <c r="AI112" s="11">
        <f t="shared" si="20"/>
        <v>600</v>
      </c>
      <c r="AJ112" s="10">
        <v>600</v>
      </c>
      <c r="AK112" s="11">
        <f t="shared" si="44"/>
        <v>100</v>
      </c>
      <c r="AL112" s="10">
        <v>100</v>
      </c>
      <c r="AM112" s="11">
        <v>0</v>
      </c>
      <c r="AN112" s="10">
        <v>0</v>
      </c>
      <c r="AO112" s="55">
        <f t="shared" si="23"/>
        <v>2</v>
      </c>
      <c r="AQ112" s="11">
        <f ca="1">IFERROR(OFFSET(ITEM_RES!$A$1,MATCH(AR112,ITEM_RES!$J:$J,0)-1,0),0)</f>
        <v>211020201</v>
      </c>
      <c r="AR112" s="10" t="s">
        <v>423</v>
      </c>
      <c r="AS112" s="11">
        <v>16800</v>
      </c>
      <c r="AV112" s="11">
        <f ca="1">IFERROR(OFFSET(ITEM_RES!$A$1,MATCH(AW112,ITEM_RES!$J:$J,0)-1,0),0)</f>
        <v>211020401</v>
      </c>
      <c r="AW112" s="10" t="s">
        <v>416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2"/>
        <v>0</v>
      </c>
    </row>
    <row r="113" spans="1:66" x14ac:dyDescent="0.3">
      <c r="A113" s="14">
        <f t="shared" si="39"/>
        <v>112020009</v>
      </c>
      <c r="B113" s="13">
        <v>11</v>
      </c>
      <c r="C113" s="12">
        <f t="shared" si="40"/>
        <v>2</v>
      </c>
      <c r="D113" s="13">
        <v>2</v>
      </c>
      <c r="E113" s="13">
        <v>0</v>
      </c>
      <c r="F113" s="12">
        <f t="shared" si="41"/>
        <v>9</v>
      </c>
      <c r="H113" s="9">
        <v>2</v>
      </c>
      <c r="I113" s="9">
        <v>9</v>
      </c>
      <c r="K113" s="9" t="s">
        <v>744</v>
      </c>
      <c r="M113" s="9">
        <v>1</v>
      </c>
      <c r="N113" s="9">
        <v>15</v>
      </c>
      <c r="O113" s="9" t="s">
        <v>746</v>
      </c>
      <c r="P113" s="55" t="s">
        <v>1354</v>
      </c>
      <c r="Q113" s="9" t="s">
        <v>745</v>
      </c>
      <c r="S113" s="81" t="s">
        <v>398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529</v>
      </c>
      <c r="W113" s="11">
        <f ca="1">IFERROR(OFFSET(ITEM_RES!$A$5,MATCH(BUILDING!V113,ITEM_RES!$J$5:$J$229,0)-1,0),0)</f>
        <v>211021101</v>
      </c>
      <c r="Y113" s="9" t="s">
        <v>500</v>
      </c>
      <c r="Z113" s="9">
        <v>9</v>
      </c>
      <c r="AB113" s="11">
        <f ca="1">IFERROR(OFFSET(MANOR_LEVEL!$B$1,MATCH(AC113-1,MANOR_LEVEL!$A:$A,0)-1,0),0)</f>
        <v>3961500</v>
      </c>
      <c r="AC113" s="55">
        <v>12</v>
      </c>
      <c r="AE113" s="55">
        <f t="shared" ca="1" si="43"/>
        <v>125450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125450</v>
      </c>
      <c r="AG113" s="176">
        <f t="shared" ca="1" si="45"/>
        <v>192750</v>
      </c>
      <c r="AI113" s="11">
        <f t="shared" si="20"/>
        <v>900</v>
      </c>
      <c r="AJ113" s="10">
        <v>900</v>
      </c>
      <c r="AK113" s="11">
        <f t="shared" si="44"/>
        <v>150</v>
      </c>
      <c r="AL113" s="10">
        <v>150</v>
      </c>
      <c r="AM113" s="11">
        <v>500</v>
      </c>
      <c r="AN113" s="10">
        <v>0</v>
      </c>
      <c r="AO113" s="55">
        <f t="shared" si="23"/>
        <v>2</v>
      </c>
      <c r="AQ113" s="11">
        <f ca="1">IFERROR(OFFSET(ITEM_RES!$A$1,MATCH(AR113,ITEM_RES!$J:$J,0)-1,0),0)</f>
        <v>211020201</v>
      </c>
      <c r="AR113" s="10" t="s">
        <v>423</v>
      </c>
      <c r="AS113" s="11">
        <v>31200</v>
      </c>
      <c r="AV113" s="11">
        <f ca="1">IFERROR(OFFSET(ITEM_RES!$A$1,MATCH(AW113,ITEM_RES!$J:$J,0)-1,0),0)</f>
        <v>211020401</v>
      </c>
      <c r="AW113" s="10" t="s">
        <v>416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2"/>
        <v>0</v>
      </c>
    </row>
    <row r="114" spans="1:66" x14ac:dyDescent="0.3">
      <c r="A114" s="14">
        <f t="shared" si="39"/>
        <v>112020010</v>
      </c>
      <c r="B114" s="13">
        <v>11</v>
      </c>
      <c r="C114" s="12">
        <f t="shared" si="40"/>
        <v>2</v>
      </c>
      <c r="D114" s="13">
        <v>2</v>
      </c>
      <c r="E114" s="13">
        <v>0</v>
      </c>
      <c r="F114" s="12">
        <f t="shared" si="41"/>
        <v>10</v>
      </c>
      <c r="H114" s="9">
        <v>2</v>
      </c>
      <c r="I114" s="9">
        <v>10</v>
      </c>
      <c r="K114" s="9" t="s">
        <v>744</v>
      </c>
      <c r="M114" s="9">
        <v>1</v>
      </c>
      <c r="N114" s="9">
        <v>15</v>
      </c>
      <c r="O114" s="9" t="s">
        <v>746</v>
      </c>
      <c r="P114" s="55" t="s">
        <v>1354</v>
      </c>
      <c r="Q114" s="9" t="s">
        <v>745</v>
      </c>
      <c r="S114" s="81" t="s">
        <v>398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529</v>
      </c>
      <c r="W114" s="11">
        <f ca="1">IFERROR(OFFSET(ITEM_RES!$A$5,MATCH(BUILDING!V114,ITEM_RES!$J$5:$J$229,0)-1,0),0)</f>
        <v>211021101</v>
      </c>
      <c r="Y114" s="9" t="s">
        <v>500</v>
      </c>
      <c r="Z114" s="9">
        <v>10</v>
      </c>
      <c r="AB114" s="11">
        <f ca="1">IFERROR(OFFSET(MANOR_LEVEL!$B$1,MATCH(AC114-1,MANOR_LEVEL!$A:$A,0)-1,0),0)</f>
        <v>3961500</v>
      </c>
      <c r="AC114" s="55">
        <v>12</v>
      </c>
      <c r="AE114" s="55">
        <f t="shared" ca="1" si="43"/>
        <v>214200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214200</v>
      </c>
      <c r="AG114" s="176">
        <f t="shared" ca="1" si="45"/>
        <v>339650</v>
      </c>
      <c r="AI114" s="11">
        <f t="shared" si="20"/>
        <v>1200</v>
      </c>
      <c r="AJ114" s="10">
        <v>1200</v>
      </c>
      <c r="AK114" s="11">
        <f t="shared" si="44"/>
        <v>200</v>
      </c>
      <c r="AL114" s="10">
        <v>200</v>
      </c>
      <c r="AM114" s="11">
        <v>6000</v>
      </c>
      <c r="AN114" s="10">
        <v>0</v>
      </c>
      <c r="AO114" s="55">
        <f t="shared" si="23"/>
        <v>2</v>
      </c>
      <c r="AQ114" s="11">
        <f ca="1">IFERROR(OFFSET(ITEM_RES!$A$1,MATCH(AR114,ITEM_RES!$J:$J,0)-1,0),0)</f>
        <v>211020201</v>
      </c>
      <c r="AR114" s="10" t="s">
        <v>423</v>
      </c>
      <c r="AS114" s="11">
        <v>52000</v>
      </c>
      <c r="AV114" s="11">
        <f ca="1">IFERROR(OFFSET(ITEM_RES!$A$1,MATCH(AW114,ITEM_RES!$J:$J,0)-1,0),0)</f>
        <v>211020401</v>
      </c>
      <c r="AW114" s="10" t="s">
        <v>416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2"/>
        <v>0</v>
      </c>
    </row>
    <row r="115" spans="1:66" x14ac:dyDescent="0.3">
      <c r="A115" s="14">
        <f t="shared" si="39"/>
        <v>112020011</v>
      </c>
      <c r="B115" s="13">
        <v>11</v>
      </c>
      <c r="C115" s="12">
        <f t="shared" si="40"/>
        <v>2</v>
      </c>
      <c r="D115" s="13">
        <v>2</v>
      </c>
      <c r="E115" s="13">
        <v>0</v>
      </c>
      <c r="F115" s="12">
        <f t="shared" si="41"/>
        <v>11</v>
      </c>
      <c r="H115" s="9">
        <v>2</v>
      </c>
      <c r="I115" s="9">
        <v>11</v>
      </c>
      <c r="K115" s="9" t="s">
        <v>744</v>
      </c>
      <c r="M115" s="9">
        <v>1</v>
      </c>
      <c r="N115" s="9">
        <v>15</v>
      </c>
      <c r="O115" s="9" t="s">
        <v>746</v>
      </c>
      <c r="P115" s="55" t="s">
        <v>1354</v>
      </c>
      <c r="Q115" s="9" t="s">
        <v>745</v>
      </c>
      <c r="S115" s="81" t="s">
        <v>398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529</v>
      </c>
      <c r="W115" s="11">
        <f ca="1">IFERROR(OFFSET(ITEM_RES!$A$5,MATCH(BUILDING!V115,ITEM_RES!$J$5:$J$229,0)-1,0),0)</f>
        <v>211021101</v>
      </c>
      <c r="Y115" s="9" t="s">
        <v>500</v>
      </c>
      <c r="Z115" s="9">
        <v>11</v>
      </c>
      <c r="AB115" s="11">
        <f ca="1">IFERROR(OFFSET(MANOR_LEVEL!$B$1,MATCH(AC115-1,MANOR_LEVEL!$A:$A,0)-1,0),0)</f>
        <v>3961500</v>
      </c>
      <c r="AC115" s="55">
        <v>12</v>
      </c>
      <c r="AE115" s="55">
        <f t="shared" ca="1" si="43"/>
        <v>408850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408850</v>
      </c>
      <c r="AG115" s="176">
        <f t="shared" ca="1" si="45"/>
        <v>623050</v>
      </c>
      <c r="AI115" s="11">
        <f t="shared" si="20"/>
        <v>1500</v>
      </c>
      <c r="AJ115" s="10">
        <v>1500</v>
      </c>
      <c r="AK115" s="11">
        <f t="shared" si="44"/>
        <v>250</v>
      </c>
      <c r="AL115" s="10">
        <v>250</v>
      </c>
      <c r="AM115" s="11">
        <v>39000</v>
      </c>
      <c r="AN115" s="10">
        <v>0</v>
      </c>
      <c r="AO115" s="55">
        <f t="shared" si="23"/>
        <v>2</v>
      </c>
      <c r="AQ115" s="11">
        <f ca="1">IFERROR(OFFSET(ITEM_RES!$A$1,MATCH(AR115,ITEM_RES!$J:$J,0)-1,0),0)</f>
        <v>211020301</v>
      </c>
      <c r="AR115" s="10" t="s">
        <v>387</v>
      </c>
      <c r="AS115" s="11">
        <v>88000</v>
      </c>
      <c r="AV115" s="11">
        <f ca="1">IFERROR(OFFSET(ITEM_RES!$A$1,MATCH(AW115,ITEM_RES!$J:$J,0)-1,0),0)</f>
        <v>211020401</v>
      </c>
      <c r="AW115" s="10" t="s">
        <v>416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2"/>
        <v>0</v>
      </c>
    </row>
    <row r="116" spans="1:66" x14ac:dyDescent="0.3">
      <c r="A116" s="14">
        <f t="shared" si="39"/>
        <v>112020012</v>
      </c>
      <c r="B116" s="13">
        <v>11</v>
      </c>
      <c r="C116" s="12">
        <f t="shared" si="40"/>
        <v>2</v>
      </c>
      <c r="D116" s="13">
        <v>2</v>
      </c>
      <c r="E116" s="13">
        <v>0</v>
      </c>
      <c r="F116" s="12">
        <f t="shared" si="41"/>
        <v>12</v>
      </c>
      <c r="H116" s="9">
        <v>2</v>
      </c>
      <c r="I116" s="9">
        <v>12</v>
      </c>
      <c r="K116" s="9" t="s">
        <v>744</v>
      </c>
      <c r="M116" s="9">
        <v>1</v>
      </c>
      <c r="N116" s="9">
        <v>15</v>
      </c>
      <c r="O116" s="9" t="s">
        <v>746</v>
      </c>
      <c r="P116" s="55" t="s">
        <v>1354</v>
      </c>
      <c r="Q116" s="9" t="s">
        <v>745</v>
      </c>
      <c r="S116" s="81" t="s">
        <v>398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529</v>
      </c>
      <c r="W116" s="11">
        <f ca="1">IFERROR(OFFSET(ITEM_RES!$A$5,MATCH(BUILDING!V116,ITEM_RES!$J$5:$J$229,0)-1,0),0)</f>
        <v>211021101</v>
      </c>
      <c r="Y116" s="9" t="s">
        <v>500</v>
      </c>
      <c r="Z116" s="9">
        <v>12</v>
      </c>
      <c r="AB116" s="11">
        <f ca="1">IFERROR(OFFSET(MANOR_LEVEL!$B$1,MATCH(AC116-1,MANOR_LEVEL!$A:$A,0)-1,0),0)</f>
        <v>3961500</v>
      </c>
      <c r="AC116" s="55">
        <v>12</v>
      </c>
      <c r="AE116" s="55">
        <f t="shared" ca="1" si="43"/>
        <v>686900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686900</v>
      </c>
      <c r="AG116" s="176">
        <f t="shared" ca="1" si="45"/>
        <v>1095750</v>
      </c>
      <c r="AI116" s="11">
        <f t="shared" si="20"/>
        <v>1800</v>
      </c>
      <c r="AJ116" s="10">
        <v>1800</v>
      </c>
      <c r="AK116" s="11">
        <f t="shared" si="44"/>
        <v>300</v>
      </c>
      <c r="AL116" s="10">
        <v>300</v>
      </c>
      <c r="AM116" s="11">
        <v>65000</v>
      </c>
      <c r="AN116" s="10">
        <v>0</v>
      </c>
      <c r="AO116" s="55">
        <f t="shared" si="23"/>
        <v>2</v>
      </c>
      <c r="AQ116" s="11">
        <f ca="1">IFERROR(OFFSET(ITEM_RES!$A$1,MATCH(AR116,ITEM_RES!$J:$J,0)-1,0),0)</f>
        <v>211020301</v>
      </c>
      <c r="AR116" s="10" t="s">
        <v>387</v>
      </c>
      <c r="AS116" s="11">
        <v>148000</v>
      </c>
      <c r="AV116" s="11">
        <f ca="1">IFERROR(OFFSET(ITEM_RES!$A$1,MATCH(AW116,ITEM_RES!$J:$J,0)-1,0),0)</f>
        <v>211020401</v>
      </c>
      <c r="AW116" s="10" t="s">
        <v>416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2"/>
        <v>0</v>
      </c>
    </row>
    <row r="117" spans="1:66" x14ac:dyDescent="0.3">
      <c r="A117" s="14">
        <f t="shared" si="39"/>
        <v>112020013</v>
      </c>
      <c r="B117" s="13">
        <v>11</v>
      </c>
      <c r="C117" s="12">
        <f t="shared" si="40"/>
        <v>2</v>
      </c>
      <c r="D117" s="13">
        <v>2</v>
      </c>
      <c r="E117" s="13">
        <v>0</v>
      </c>
      <c r="F117" s="12">
        <f t="shared" si="41"/>
        <v>13</v>
      </c>
      <c r="H117" s="9">
        <v>2</v>
      </c>
      <c r="I117" s="9">
        <v>13</v>
      </c>
      <c r="K117" s="9" t="s">
        <v>744</v>
      </c>
      <c r="M117" s="9">
        <v>1</v>
      </c>
      <c r="N117" s="9">
        <v>15</v>
      </c>
      <c r="O117" s="9" t="s">
        <v>746</v>
      </c>
      <c r="P117" s="55" t="s">
        <v>1354</v>
      </c>
      <c r="Q117" s="9" t="s">
        <v>745</v>
      </c>
      <c r="S117" s="81" t="s">
        <v>398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529</v>
      </c>
      <c r="W117" s="11">
        <f ca="1">IFERROR(OFFSET(ITEM_RES!$A$5,MATCH(BUILDING!V117,ITEM_RES!$J$5:$J$229,0)-1,0),0)</f>
        <v>211021101</v>
      </c>
      <c r="Y117" s="9" t="s">
        <v>500</v>
      </c>
      <c r="Z117" s="9">
        <v>13</v>
      </c>
      <c r="AB117" s="11">
        <f ca="1">IFERROR(OFFSET(MANOR_LEVEL!$B$1,MATCH(AC117-1,MANOR_LEVEL!$A:$A,0)-1,0),0)</f>
        <v>3961500</v>
      </c>
      <c r="AC117" s="55">
        <v>12</v>
      </c>
      <c r="AE117" s="55">
        <f t="shared" ca="1" si="43"/>
        <v>1151950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1151950</v>
      </c>
      <c r="AG117" s="176">
        <f t="shared" ca="1" si="45"/>
        <v>1838850</v>
      </c>
      <c r="AI117" s="11">
        <f t="shared" si="20"/>
        <v>2100</v>
      </c>
      <c r="AJ117" s="10">
        <v>2100</v>
      </c>
      <c r="AK117" s="11">
        <f t="shared" si="44"/>
        <v>350</v>
      </c>
      <c r="AL117" s="10">
        <v>350</v>
      </c>
      <c r="AM117" s="11">
        <v>110000</v>
      </c>
      <c r="AN117" s="10">
        <v>0</v>
      </c>
      <c r="AO117" s="55">
        <f t="shared" si="23"/>
        <v>2</v>
      </c>
      <c r="AQ117" s="11">
        <f ca="1">IFERROR(OFFSET(ITEM_RES!$A$1,MATCH(AR117,ITEM_RES!$J:$J,0)-1,0),0)</f>
        <v>211020301</v>
      </c>
      <c r="AR117" s="10" t="s">
        <v>387</v>
      </c>
      <c r="AS117" s="11">
        <v>248000</v>
      </c>
      <c r="AV117" s="11">
        <f ca="1">IFERROR(OFFSET(ITEM_RES!$A$1,MATCH(AW117,ITEM_RES!$J:$J,0)-1,0),0)</f>
        <v>211020401</v>
      </c>
      <c r="AW117" s="10" t="s">
        <v>416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2"/>
        <v>0</v>
      </c>
    </row>
    <row r="118" spans="1:66" x14ac:dyDescent="0.3">
      <c r="A118" s="14">
        <f t="shared" si="39"/>
        <v>112020014</v>
      </c>
      <c r="B118" s="13">
        <v>11</v>
      </c>
      <c r="C118" s="12">
        <f t="shared" si="40"/>
        <v>2</v>
      </c>
      <c r="D118" s="13">
        <v>2</v>
      </c>
      <c r="E118" s="13">
        <v>0</v>
      </c>
      <c r="F118" s="12">
        <f t="shared" si="41"/>
        <v>14</v>
      </c>
      <c r="H118" s="9">
        <v>2</v>
      </c>
      <c r="I118" s="9">
        <v>14</v>
      </c>
      <c r="K118" s="9" t="s">
        <v>744</v>
      </c>
      <c r="M118" s="9">
        <v>1</v>
      </c>
      <c r="N118" s="9">
        <v>15</v>
      </c>
      <c r="O118" s="9" t="s">
        <v>746</v>
      </c>
      <c r="P118" s="55" t="s">
        <v>1354</v>
      </c>
      <c r="Q118" s="9" t="s">
        <v>745</v>
      </c>
      <c r="S118" s="81" t="s">
        <v>398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529</v>
      </c>
      <c r="W118" s="11">
        <f ca="1">IFERROR(OFFSET(ITEM_RES!$A$5,MATCH(BUILDING!V118,ITEM_RES!$J$5:$J$229,0)-1,0),0)</f>
        <v>211021101</v>
      </c>
      <c r="Y118" s="9" t="s">
        <v>500</v>
      </c>
      <c r="Z118" s="9">
        <v>14</v>
      </c>
      <c r="AB118" s="11">
        <f ca="1">IFERROR(OFFSET(MANOR_LEVEL!$B$1,MATCH(AC118-1,MANOR_LEVEL!$A:$A,0)-1,0),0)</f>
        <v>3961500</v>
      </c>
      <c r="AC118" s="55">
        <v>12</v>
      </c>
      <c r="AE118" s="55">
        <f t="shared" ca="1" si="43"/>
        <v>1815050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1815050</v>
      </c>
      <c r="AG118" s="176">
        <f t="shared" ca="1" si="45"/>
        <v>2967000</v>
      </c>
      <c r="AI118" s="11">
        <f t="shared" si="20"/>
        <v>2400</v>
      </c>
      <c r="AJ118" s="10">
        <v>2400</v>
      </c>
      <c r="AK118" s="11">
        <f t="shared" si="44"/>
        <v>450</v>
      </c>
      <c r="AL118" s="10">
        <v>450</v>
      </c>
      <c r="AM118" s="11">
        <v>185000</v>
      </c>
      <c r="AN118" s="10">
        <v>0</v>
      </c>
      <c r="AO118" s="55">
        <f t="shared" si="23"/>
        <v>2</v>
      </c>
      <c r="AQ118" s="11">
        <f ca="1">IFERROR(OFFSET(ITEM_RES!$A$1,MATCH(AR118,ITEM_RES!$J:$J,0)-1,0),0)</f>
        <v>211020301</v>
      </c>
      <c r="AR118" s="10" t="s">
        <v>387</v>
      </c>
      <c r="AS118" s="11">
        <v>388000</v>
      </c>
      <c r="AV118" s="11">
        <f ca="1">IFERROR(OFFSET(ITEM_RES!$A$1,MATCH(AW118,ITEM_RES!$J:$J,0)-1,0),0)</f>
        <v>211020401</v>
      </c>
      <c r="AW118" s="10" t="s">
        <v>416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2"/>
        <v>0</v>
      </c>
    </row>
    <row r="119" spans="1:66" x14ac:dyDescent="0.3">
      <c r="A119" s="14">
        <f t="shared" si="39"/>
        <v>112020015</v>
      </c>
      <c r="B119" s="13">
        <v>11</v>
      </c>
      <c r="C119" s="12">
        <f t="shared" si="40"/>
        <v>2</v>
      </c>
      <c r="D119" s="13">
        <v>2</v>
      </c>
      <c r="E119" s="13">
        <v>0</v>
      </c>
      <c r="F119" s="12">
        <f t="shared" si="41"/>
        <v>15</v>
      </c>
      <c r="H119" s="9">
        <v>2</v>
      </c>
      <c r="I119" s="9">
        <v>15</v>
      </c>
      <c r="K119" s="9" t="s">
        <v>744</v>
      </c>
      <c r="M119" s="9">
        <v>1</v>
      </c>
      <c r="N119" s="9">
        <v>15</v>
      </c>
      <c r="O119" s="9" t="s">
        <v>746</v>
      </c>
      <c r="P119" s="55" t="s">
        <v>1354</v>
      </c>
      <c r="Q119" s="9" t="s">
        <v>745</v>
      </c>
      <c r="S119" s="81" t="s">
        <v>398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529</v>
      </c>
      <c r="W119" s="11">
        <f ca="1">IFERROR(OFFSET(ITEM_RES!$A$5,MATCH(BUILDING!V119,ITEM_RES!$J$5:$J$229,0)-1,0),0)</f>
        <v>211021101</v>
      </c>
      <c r="Y119" s="9" t="s">
        <v>500</v>
      </c>
      <c r="Z119" s="9">
        <v>15</v>
      </c>
      <c r="AB119" s="11">
        <f ca="1">IFERROR(OFFSET(MANOR_LEVEL!$B$1,MATCH(AC119-1,MANOR_LEVEL!$A:$A,0)-1,0),0)</f>
        <v>3961500</v>
      </c>
      <c r="AC119" s="55">
        <v>12</v>
      </c>
      <c r="AE119" s="55">
        <f t="shared" ca="1" si="43"/>
        <v>4342550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4342550</v>
      </c>
      <c r="AG119" s="176">
        <f t="shared" ca="1" si="45"/>
        <v>6157600</v>
      </c>
      <c r="AI119" s="11">
        <f t="shared" si="20"/>
        <v>2700</v>
      </c>
      <c r="AJ119" s="10">
        <v>2700</v>
      </c>
      <c r="AK119" s="11">
        <f t="shared" si="44"/>
        <v>550</v>
      </c>
      <c r="AL119" s="10">
        <v>550</v>
      </c>
      <c r="AM119" s="11">
        <v>310000</v>
      </c>
      <c r="AN119" s="10">
        <v>0</v>
      </c>
      <c r="AO119" s="55">
        <f t="shared" si="23"/>
        <v>2</v>
      </c>
      <c r="AQ119" s="11">
        <f ca="1">IFERROR(OFFSET(ITEM_RES!$A$1,MATCH(AR119,ITEM_RES!$J:$J,0)-1,0),0)</f>
        <v>211020301</v>
      </c>
      <c r="AR119" s="10" t="s">
        <v>387</v>
      </c>
      <c r="AS119" s="11">
        <v>840000</v>
      </c>
      <c r="AV119" s="11">
        <f ca="1">IFERROR(OFFSET(ITEM_RES!$A$1,MATCH(AW119,ITEM_RES!$J:$J,0)-1,0),0)</f>
        <v>211020501</v>
      </c>
      <c r="AW119" s="10" t="s">
        <v>417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2"/>
        <v>0</v>
      </c>
    </row>
    <row r="120" spans="1:66" x14ac:dyDescent="0.3">
      <c r="A120" s="14">
        <f t="shared" si="39"/>
        <v>112020016</v>
      </c>
      <c r="B120" s="13">
        <v>11</v>
      </c>
      <c r="C120" s="12">
        <f t="shared" si="40"/>
        <v>2</v>
      </c>
      <c r="D120" s="13">
        <v>2</v>
      </c>
      <c r="E120" s="13">
        <v>0</v>
      </c>
      <c r="F120" s="12">
        <f t="shared" si="41"/>
        <v>16</v>
      </c>
      <c r="H120" s="9">
        <v>2</v>
      </c>
      <c r="I120" s="9">
        <v>16</v>
      </c>
      <c r="K120" s="9" t="s">
        <v>744</v>
      </c>
      <c r="M120" s="9">
        <v>0</v>
      </c>
      <c r="N120" s="9">
        <v>15</v>
      </c>
      <c r="O120" s="9" t="s">
        <v>746</v>
      </c>
      <c r="P120" s="55" t="s">
        <v>1354</v>
      </c>
      <c r="Q120" s="9" t="s">
        <v>745</v>
      </c>
      <c r="S120" s="81" t="s">
        <v>398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529</v>
      </c>
      <c r="W120" s="11">
        <f ca="1">IFERROR(OFFSET(ITEM_RES!$A$5,MATCH(BUILDING!V120,ITEM_RES!$J$5:$J$229,0)-1,0),0)</f>
        <v>211021101</v>
      </c>
      <c r="Y120" s="9" t="s">
        <v>500</v>
      </c>
      <c r="Z120" s="9">
        <v>16</v>
      </c>
      <c r="AB120" s="11">
        <f ca="1">IFERROR(OFFSET(MANOR_LEVEL!$B$1,MATCH(AC120-1,MANOR_LEVEL!$A:$A,0)-1,0),0)</f>
        <v>3961500</v>
      </c>
      <c r="AC120" s="55">
        <v>12</v>
      </c>
      <c r="AE120" s="55">
        <f t="shared" ca="1" si="43"/>
        <v>8741700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8741700</v>
      </c>
      <c r="AG120" s="176">
        <f t="shared" ca="1" si="45"/>
        <v>13084250</v>
      </c>
      <c r="AI120" s="11">
        <f t="shared" si="20"/>
        <v>3000</v>
      </c>
      <c r="AJ120" s="10">
        <v>3000</v>
      </c>
      <c r="AK120" s="11">
        <f t="shared" si="44"/>
        <v>700</v>
      </c>
      <c r="AL120" s="10">
        <v>700</v>
      </c>
      <c r="AM120" s="11">
        <v>485000</v>
      </c>
      <c r="AN120" s="10">
        <v>0</v>
      </c>
      <c r="AO120" s="55">
        <f t="shared" si="23"/>
        <v>2</v>
      </c>
      <c r="AQ120" s="11">
        <f ca="1">IFERROR(OFFSET(ITEM_RES!$A$1,MATCH(AR120,ITEM_RES!$J:$J,0)-1,0),0)</f>
        <v>211020301</v>
      </c>
      <c r="AR120" s="10" t="s">
        <v>387</v>
      </c>
      <c r="AS120" s="11">
        <v>1720000</v>
      </c>
      <c r="AV120" s="11">
        <f ca="1">IFERROR(OFFSET(ITEM_RES!$A$1,MATCH(AW120,ITEM_RES!$J:$J,0)-1,0),0)</f>
        <v>211020501</v>
      </c>
      <c r="AW120" s="10" t="s">
        <v>417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2"/>
        <v>0</v>
      </c>
    </row>
    <row r="121" spans="1:66" x14ac:dyDescent="0.3">
      <c r="A121" s="14">
        <f t="shared" si="39"/>
        <v>112020017</v>
      </c>
      <c r="B121" s="13">
        <v>11</v>
      </c>
      <c r="C121" s="12">
        <f t="shared" si="40"/>
        <v>2</v>
      </c>
      <c r="D121" s="13">
        <v>2</v>
      </c>
      <c r="E121" s="13">
        <v>0</v>
      </c>
      <c r="F121" s="12">
        <f t="shared" si="41"/>
        <v>17</v>
      </c>
      <c r="H121" s="9">
        <v>2</v>
      </c>
      <c r="I121" s="9">
        <v>17</v>
      </c>
      <c r="K121" s="9" t="s">
        <v>744</v>
      </c>
      <c r="M121" s="9">
        <v>0</v>
      </c>
      <c r="N121" s="9">
        <v>15</v>
      </c>
      <c r="O121" s="9" t="s">
        <v>746</v>
      </c>
      <c r="P121" s="55" t="s">
        <v>1354</v>
      </c>
      <c r="Q121" s="9" t="s">
        <v>745</v>
      </c>
      <c r="S121" s="81" t="s">
        <v>398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529</v>
      </c>
      <c r="W121" s="11">
        <f ca="1">IFERROR(OFFSET(ITEM_RES!$A$5,MATCH(BUILDING!V121,ITEM_RES!$J$5:$J$229,0)-1,0),0)</f>
        <v>211021101</v>
      </c>
      <c r="Y121" s="9" t="s">
        <v>500</v>
      </c>
      <c r="Z121" s="9">
        <v>17</v>
      </c>
      <c r="AB121" s="11">
        <f ca="1">IFERROR(OFFSET(MANOR_LEVEL!$B$1,MATCH(AC121-1,MANOR_LEVEL!$A:$A,0)-1,0),0)</f>
        <v>3961500</v>
      </c>
      <c r="AC121" s="55">
        <v>12</v>
      </c>
      <c r="AE121" s="55">
        <f t="shared" ca="1" si="43"/>
        <v>16410850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16410850</v>
      </c>
      <c r="AG121" s="176">
        <f t="shared" ca="1" si="45"/>
        <v>25152550</v>
      </c>
      <c r="AI121" s="11">
        <f t="shared" si="20"/>
        <v>3300</v>
      </c>
      <c r="AJ121" s="10">
        <v>3300</v>
      </c>
      <c r="AK121" s="11">
        <f t="shared" si="44"/>
        <v>850</v>
      </c>
      <c r="AL121" s="10">
        <v>850</v>
      </c>
      <c r="AM121" s="11">
        <v>1050000</v>
      </c>
      <c r="AN121" s="10">
        <v>0</v>
      </c>
      <c r="AO121" s="55">
        <f t="shared" si="23"/>
        <v>2</v>
      </c>
      <c r="AQ121" s="11">
        <f ca="1">IFERROR(OFFSET(ITEM_RES!$A$1,MATCH(AR121,ITEM_RES!$J:$J,0)-1,0),0)</f>
        <v>211020301</v>
      </c>
      <c r="AR121" s="10" t="s">
        <v>1000</v>
      </c>
      <c r="AS121" s="11">
        <v>3200000</v>
      </c>
      <c r="AV121" s="11">
        <f ca="1">IFERROR(OFFSET(ITEM_RES!$A$1,MATCH(AW121,ITEM_RES!$J:$J,0)-1,0),0)</f>
        <v>211020501</v>
      </c>
      <c r="AW121" s="10" t="s">
        <v>417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2"/>
        <v>0</v>
      </c>
    </row>
    <row r="122" spans="1:66" x14ac:dyDescent="0.3">
      <c r="A122" s="14">
        <f t="shared" si="39"/>
        <v>112020018</v>
      </c>
      <c r="B122" s="13">
        <v>11</v>
      </c>
      <c r="C122" s="12">
        <f t="shared" si="40"/>
        <v>2</v>
      </c>
      <c r="D122" s="13">
        <v>2</v>
      </c>
      <c r="E122" s="13">
        <v>0</v>
      </c>
      <c r="F122" s="12">
        <f t="shared" si="41"/>
        <v>18</v>
      </c>
      <c r="H122" s="9">
        <v>2</v>
      </c>
      <c r="I122" s="9">
        <v>18</v>
      </c>
      <c r="K122" s="9" t="s">
        <v>744</v>
      </c>
      <c r="M122" s="9">
        <v>0</v>
      </c>
      <c r="N122" s="9">
        <v>15</v>
      </c>
      <c r="O122" s="9" t="s">
        <v>746</v>
      </c>
      <c r="P122" s="55" t="s">
        <v>1354</v>
      </c>
      <c r="Q122" s="9" t="s">
        <v>745</v>
      </c>
      <c r="S122" s="81" t="s">
        <v>398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529</v>
      </c>
      <c r="W122" s="11">
        <f ca="1">IFERROR(OFFSET(ITEM_RES!$A$5,MATCH(BUILDING!V122,ITEM_RES!$J$5:$J$229,0)-1,0),0)</f>
        <v>211021101</v>
      </c>
      <c r="Y122" s="9" t="s">
        <v>500</v>
      </c>
      <c r="Z122" s="9">
        <v>18</v>
      </c>
      <c r="AB122" s="11">
        <f ca="1">IFERROR(OFFSET(MANOR_LEVEL!$B$1,MATCH(AC122-1,MANOR_LEVEL!$A:$A,0)-1,0),0)</f>
        <v>3961500</v>
      </c>
      <c r="AC122" s="55">
        <v>12</v>
      </c>
      <c r="AE122" s="55">
        <f t="shared" ca="1" si="43"/>
        <v>27111050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27111050</v>
      </c>
      <c r="AG122" s="176">
        <f t="shared" ca="1" si="45"/>
        <v>43521900</v>
      </c>
      <c r="AI122" s="11">
        <f t="shared" si="20"/>
        <v>3600</v>
      </c>
      <c r="AJ122" s="10">
        <v>3600</v>
      </c>
      <c r="AK122" s="11">
        <f t="shared" si="44"/>
        <v>1050</v>
      </c>
      <c r="AL122" s="10">
        <v>1050</v>
      </c>
      <c r="AM122" s="11">
        <v>2150000</v>
      </c>
      <c r="AN122" s="10">
        <v>0</v>
      </c>
      <c r="AO122" s="55">
        <f t="shared" si="23"/>
        <v>2</v>
      </c>
      <c r="AQ122" s="11">
        <f ca="1">IFERROR(OFFSET(ITEM_RES!$A$1,MATCH(AR122,ITEM_RES!$J:$J,0)-1,0),0)</f>
        <v>211020301</v>
      </c>
      <c r="AR122" s="10" t="s">
        <v>1000</v>
      </c>
      <c r="AS122" s="11">
        <v>5200000</v>
      </c>
      <c r="AV122" s="11">
        <f ca="1">IFERROR(OFFSET(ITEM_RES!$A$1,MATCH(AW122,ITEM_RES!$J:$J,0)-1,0),0)</f>
        <v>211020501</v>
      </c>
      <c r="AW122" s="10" t="s">
        <v>417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2"/>
        <v>0</v>
      </c>
    </row>
    <row r="123" spans="1:66" x14ac:dyDescent="0.3">
      <c r="A123" s="14">
        <f t="shared" si="39"/>
        <v>112020019</v>
      </c>
      <c r="B123" s="13">
        <v>11</v>
      </c>
      <c r="C123" s="12">
        <f t="shared" si="40"/>
        <v>2</v>
      </c>
      <c r="D123" s="13">
        <v>2</v>
      </c>
      <c r="E123" s="13">
        <v>0</v>
      </c>
      <c r="F123" s="12">
        <f t="shared" si="41"/>
        <v>19</v>
      </c>
      <c r="H123" s="9">
        <v>2</v>
      </c>
      <c r="I123" s="9">
        <v>19</v>
      </c>
      <c r="K123" s="9" t="s">
        <v>744</v>
      </c>
      <c r="M123" s="9">
        <v>0</v>
      </c>
      <c r="N123" s="9">
        <v>15</v>
      </c>
      <c r="O123" s="9" t="s">
        <v>746</v>
      </c>
      <c r="P123" s="55" t="s">
        <v>1354</v>
      </c>
      <c r="Q123" s="9" t="s">
        <v>745</v>
      </c>
      <c r="S123" s="81" t="s">
        <v>398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529</v>
      </c>
      <c r="W123" s="11">
        <f ca="1">IFERROR(OFFSET(ITEM_RES!$A$5,MATCH(BUILDING!V123,ITEM_RES!$J$5:$J$229,0)-1,0),0)</f>
        <v>211021101</v>
      </c>
      <c r="Y123" s="9" t="s">
        <v>500</v>
      </c>
      <c r="Z123" s="9">
        <v>19</v>
      </c>
      <c r="AB123" s="11">
        <f ca="1">IFERROR(OFFSET(MANOR_LEVEL!$B$1,MATCH(AC123-1,MANOR_LEVEL!$A:$A,0)-1,0),0)</f>
        <v>3961500</v>
      </c>
      <c r="AC123" s="55">
        <v>12</v>
      </c>
      <c r="AE123" s="55">
        <f t="shared" ca="1" si="43"/>
        <v>42401250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42401250</v>
      </c>
      <c r="AG123" s="176">
        <f t="shared" ca="1" si="45"/>
        <v>69512300</v>
      </c>
      <c r="AI123" s="11">
        <f t="shared" si="20"/>
        <v>3900</v>
      </c>
      <c r="AJ123" s="10">
        <v>3900</v>
      </c>
      <c r="AK123" s="11">
        <f t="shared" si="44"/>
        <v>1250</v>
      </c>
      <c r="AL123" s="10">
        <v>1250</v>
      </c>
      <c r="AM123" s="11">
        <v>4000000</v>
      </c>
      <c r="AN123" s="10">
        <v>0</v>
      </c>
      <c r="AO123" s="55">
        <f t="shared" si="23"/>
        <v>2</v>
      </c>
      <c r="AQ123" s="11">
        <f ca="1">IFERROR(OFFSET(ITEM_RES!$A$1,MATCH(AR123,ITEM_RES!$J:$J,0)-1,0),0)</f>
        <v>211020301</v>
      </c>
      <c r="AR123" s="10" t="s">
        <v>1000</v>
      </c>
      <c r="AS123" s="11">
        <v>8000000</v>
      </c>
      <c r="AV123" s="11">
        <f ca="1">IFERROR(OFFSET(ITEM_RES!$A$1,MATCH(AW123,ITEM_RES!$J:$J,0)-1,0),0)</f>
        <v>211020501</v>
      </c>
      <c r="AW123" s="10" t="s">
        <v>417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2"/>
        <v>0</v>
      </c>
    </row>
    <row r="124" spans="1:66" ht="17.25" thickBot="1" x14ac:dyDescent="0.35">
      <c r="A124" s="14">
        <f t="shared" si="39"/>
        <v>112020020</v>
      </c>
      <c r="B124" s="13">
        <v>11</v>
      </c>
      <c r="C124" s="12">
        <f t="shared" si="40"/>
        <v>2</v>
      </c>
      <c r="D124" s="13">
        <v>2</v>
      </c>
      <c r="E124" s="13">
        <v>0</v>
      </c>
      <c r="F124" s="12">
        <f t="shared" si="41"/>
        <v>20</v>
      </c>
      <c r="H124" s="9">
        <v>2</v>
      </c>
      <c r="I124" s="9">
        <v>20</v>
      </c>
      <c r="K124" s="9" t="s">
        <v>744</v>
      </c>
      <c r="M124" s="9">
        <v>0</v>
      </c>
      <c r="N124" s="9">
        <v>15</v>
      </c>
      <c r="O124" s="9" t="s">
        <v>746</v>
      </c>
      <c r="P124" s="55" t="s">
        <v>1354</v>
      </c>
      <c r="Q124" s="9" t="s">
        <v>745</v>
      </c>
      <c r="S124" s="81" t="s">
        <v>398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529</v>
      </c>
      <c r="W124" s="11">
        <f ca="1">IFERROR(OFFSET(ITEM_RES!$A$5,MATCH(BUILDING!V124,ITEM_RES!$J$5:$J$229,0)-1,0),0)</f>
        <v>211021101</v>
      </c>
      <c r="Y124" s="9" t="s">
        <v>500</v>
      </c>
      <c r="Z124" s="9">
        <v>20</v>
      </c>
      <c r="AB124" s="11">
        <f ca="1">IFERROR(OFFSET(MANOR_LEVEL!$B$1,MATCH(AC124-1,MANOR_LEVEL!$A:$A,0)-1,0),0)</f>
        <v>3961500</v>
      </c>
      <c r="AC124" s="55">
        <v>12</v>
      </c>
      <c r="AE124" s="55">
        <f t="shared" ca="1" si="43"/>
        <v>67941500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67941500</v>
      </c>
      <c r="AG124" s="176">
        <f t="shared" ca="1" si="45"/>
        <v>110342750</v>
      </c>
      <c r="AI124" s="11">
        <f t="shared" si="20"/>
        <v>4200</v>
      </c>
      <c r="AJ124" s="10">
        <v>4200</v>
      </c>
      <c r="AK124" s="11">
        <f t="shared" si="44"/>
        <v>1500</v>
      </c>
      <c r="AL124" s="10">
        <v>1500</v>
      </c>
      <c r="AM124" s="11">
        <v>6500000</v>
      </c>
      <c r="AN124" s="10">
        <v>0</v>
      </c>
      <c r="AO124" s="55">
        <f t="shared" si="23"/>
        <v>2</v>
      </c>
      <c r="AQ124" s="11">
        <f ca="1">IFERROR(OFFSET(ITEM_RES!$A$1,MATCH(AR124,ITEM_RES!$J:$J,0)-1,0),0)</f>
        <v>211020301</v>
      </c>
      <c r="AR124" s="10" t="s">
        <v>1000</v>
      </c>
      <c r="AS124" s="11">
        <v>12800000</v>
      </c>
      <c r="AV124" s="11">
        <f ca="1">IFERROR(OFFSET(ITEM_RES!$A$1,MATCH(AW124,ITEM_RES!$J:$J,0)-1,0),0)</f>
        <v>211020501</v>
      </c>
      <c r="AW124" s="10" t="s">
        <v>417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2"/>
        <v>0</v>
      </c>
    </row>
    <row r="125" spans="1:66" s="15" customFormat="1" x14ac:dyDescent="0.3">
      <c r="A125" s="21">
        <f t="shared" si="39"/>
        <v>111050001</v>
      </c>
      <c r="B125" s="20">
        <v>11</v>
      </c>
      <c r="C125" s="19">
        <f t="shared" si="40"/>
        <v>1</v>
      </c>
      <c r="D125" s="20">
        <v>5</v>
      </c>
      <c r="E125" s="20">
        <v>0</v>
      </c>
      <c r="F125" s="19">
        <f t="shared" si="41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1091</v>
      </c>
      <c r="P125" s="56" t="s">
        <v>1355</v>
      </c>
      <c r="Q125" s="16" t="s">
        <v>673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530</v>
      </c>
      <c r="W125" s="18">
        <f ca="1">IFERROR(OFFSET(ITEM_RES!$A$5,MATCH(BUILDING!V125,ITEM_RES!$J$5:$J$229,0)-1,0),0)</f>
        <v>211010501</v>
      </c>
      <c r="X125" s="76"/>
      <c r="Y125" s="16" t="s">
        <v>501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56">
        <f t="shared" ca="1" si="43"/>
        <v>1030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1030</v>
      </c>
      <c r="AG125" s="178">
        <f ca="1">AE125</f>
        <v>1030</v>
      </c>
      <c r="AH125" s="76"/>
      <c r="AI125" s="18">
        <f t="shared" si="20"/>
        <v>3</v>
      </c>
      <c r="AJ125" s="17">
        <v>3</v>
      </c>
      <c r="AK125" s="18">
        <f t="shared" si="44"/>
        <v>5</v>
      </c>
      <c r="AL125" s="17">
        <v>5</v>
      </c>
      <c r="AM125" s="18">
        <f t="shared" si="44"/>
        <v>0</v>
      </c>
      <c r="AN125" s="17">
        <v>0</v>
      </c>
      <c r="AO125" s="56">
        <f t="shared" si="23"/>
        <v>2</v>
      </c>
      <c r="AP125" s="18"/>
      <c r="AQ125" s="18">
        <f ca="1">IFERROR(OFFSET(ITEM_RES!$A$1,MATCH(AR125,ITEM_RES!$J:$J,0)-1,0),0)</f>
        <v>211010501</v>
      </c>
      <c r="AR125" s="17" t="s">
        <v>1454</v>
      </c>
      <c r="AS125" s="18">
        <v>25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441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2"/>
        <v>0</v>
      </c>
      <c r="BN125" s="17"/>
    </row>
    <row r="126" spans="1:66" x14ac:dyDescent="0.3">
      <c r="A126" s="14">
        <f t="shared" si="39"/>
        <v>111050002</v>
      </c>
      <c r="B126" s="13">
        <v>11</v>
      </c>
      <c r="C126" s="12">
        <f t="shared" si="40"/>
        <v>1</v>
      </c>
      <c r="D126" s="13">
        <v>5</v>
      </c>
      <c r="E126" s="13">
        <v>0</v>
      </c>
      <c r="F126" s="12">
        <f t="shared" si="41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1092</v>
      </c>
      <c r="P126" s="55" t="s">
        <v>1355</v>
      </c>
      <c r="Q126" s="9" t="s">
        <v>673</v>
      </c>
      <c r="T126" s="9">
        <f ca="1">IFERROR(OFFSET(ITEM_RES!$A$5,MATCH(BUILDING!S126,ITEM_RES!$J$5:$J$229,0)-1,0),0)</f>
        <v>0</v>
      </c>
      <c r="V126" s="81" t="s">
        <v>530</v>
      </c>
      <c r="W126" s="11">
        <f ca="1">IFERROR(OFFSET(ITEM_RES!$A$5,MATCH(BUILDING!V126,ITEM_RES!$J$5:$J$229,0)-1,0),0)</f>
        <v>211010501</v>
      </c>
      <c r="Y126" s="9" t="s">
        <v>501</v>
      </c>
      <c r="Z126" s="9">
        <v>2</v>
      </c>
      <c r="AB126" s="11">
        <f ca="1">IFERROR(OFFSET(MANOR_LEVEL!$B$1,MATCH(AC126-1,MANOR_LEVEL!$A:$A,0)-1,0),0)</f>
        <v>100</v>
      </c>
      <c r="AC126" s="55">
        <v>2</v>
      </c>
      <c r="AE126" s="55">
        <f t="shared" ca="1" si="43"/>
        <v>60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60</v>
      </c>
      <c r="AG126" s="176">
        <f ca="1">AE125+AE126</f>
        <v>1090</v>
      </c>
      <c r="AI126" s="11">
        <f t="shared" si="20"/>
        <v>5</v>
      </c>
      <c r="AJ126" s="10">
        <v>5</v>
      </c>
      <c r="AK126" s="11">
        <f t="shared" si="44"/>
        <v>10</v>
      </c>
      <c r="AL126" s="10">
        <v>10</v>
      </c>
      <c r="AM126" s="11">
        <f t="shared" si="44"/>
        <v>0</v>
      </c>
      <c r="AN126" s="10">
        <v>0</v>
      </c>
      <c r="AO126" s="55">
        <f t="shared" si="23"/>
        <v>1</v>
      </c>
      <c r="AQ126" s="11">
        <f ca="1">IFERROR(OFFSET(ITEM_RES!$A$1,MATCH(AR126,ITEM_RES!$J:$J,0)-1,0),0)</f>
        <v>211010501</v>
      </c>
      <c r="AR126" s="10" t="s">
        <v>1454</v>
      </c>
      <c r="AS126" s="11">
        <v>50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2"/>
        <v>0</v>
      </c>
    </row>
    <row r="127" spans="1:66" x14ac:dyDescent="0.3">
      <c r="A127" s="14">
        <f t="shared" si="39"/>
        <v>111050003</v>
      </c>
      <c r="B127" s="13">
        <v>11</v>
      </c>
      <c r="C127" s="12">
        <f t="shared" si="40"/>
        <v>1</v>
      </c>
      <c r="D127" s="13">
        <v>5</v>
      </c>
      <c r="E127" s="13">
        <v>0</v>
      </c>
      <c r="F127" s="12">
        <f t="shared" si="41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1093</v>
      </c>
      <c r="P127" s="55" t="s">
        <v>1356</v>
      </c>
      <c r="Q127" s="9" t="s">
        <v>673</v>
      </c>
      <c r="T127" s="9">
        <f ca="1">IFERROR(OFFSET(ITEM_RES!$A$5,MATCH(BUILDING!S127,ITEM_RES!$J$5:$J$229,0)-1,0),0)</f>
        <v>0</v>
      </c>
      <c r="V127" s="81" t="s">
        <v>530</v>
      </c>
      <c r="W127" s="11">
        <f ca="1">IFERROR(OFFSET(ITEM_RES!$A$5,MATCH(BUILDING!V127,ITEM_RES!$J$5:$J$229,0)-1,0),0)</f>
        <v>211010501</v>
      </c>
      <c r="Y127" s="9" t="s">
        <v>501</v>
      </c>
      <c r="Z127" s="9">
        <v>3</v>
      </c>
      <c r="AB127" s="11">
        <f ca="1">IFERROR(OFFSET(MANOR_LEVEL!$B$1,MATCH(AC127-1,MANOR_LEVEL!$A:$A,0)-1,0),0)</f>
        <v>310</v>
      </c>
      <c r="AC127" s="55">
        <v>3</v>
      </c>
      <c r="AE127" s="55">
        <f t="shared" ca="1" si="43"/>
        <v>90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90</v>
      </c>
      <c r="AG127" s="176">
        <f t="shared" ref="AG127:AG144" ca="1" si="46">AE126+AE127</f>
        <v>150</v>
      </c>
      <c r="AI127" s="11">
        <f t="shared" si="20"/>
        <v>5</v>
      </c>
      <c r="AJ127" s="10">
        <v>5</v>
      </c>
      <c r="AK127" s="11">
        <f t="shared" si="44"/>
        <v>15</v>
      </c>
      <c r="AL127" s="10">
        <v>15</v>
      </c>
      <c r="AM127" s="11">
        <f t="shared" si="44"/>
        <v>0</v>
      </c>
      <c r="AN127" s="10">
        <v>0</v>
      </c>
      <c r="AO127" s="55">
        <f t="shared" si="23"/>
        <v>1</v>
      </c>
      <c r="AQ127" s="11">
        <f ca="1">IFERROR(OFFSET(ITEM_RES!$A$1,MATCH(AR127,ITEM_RES!$J:$J,0)-1,0),0)</f>
        <v>211010501</v>
      </c>
      <c r="AR127" s="10" t="s">
        <v>1454</v>
      </c>
      <c r="AS127" s="11">
        <v>75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2"/>
        <v>0</v>
      </c>
    </row>
    <row r="128" spans="1:66" x14ac:dyDescent="0.3">
      <c r="A128" s="14">
        <f t="shared" si="39"/>
        <v>111050004</v>
      </c>
      <c r="B128" s="13">
        <v>11</v>
      </c>
      <c r="C128" s="12">
        <f t="shared" si="40"/>
        <v>1</v>
      </c>
      <c r="D128" s="13">
        <v>5</v>
      </c>
      <c r="E128" s="13">
        <v>0</v>
      </c>
      <c r="F128" s="12">
        <f t="shared" si="41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1094</v>
      </c>
      <c r="P128" s="55" t="s">
        <v>1356</v>
      </c>
      <c r="Q128" s="9" t="s">
        <v>673</v>
      </c>
      <c r="T128" s="9">
        <f ca="1">IFERROR(OFFSET(ITEM_RES!$A$5,MATCH(BUILDING!S128,ITEM_RES!$J$5:$J$229,0)-1,0),0)</f>
        <v>0</v>
      </c>
      <c r="V128" s="81" t="s">
        <v>530</v>
      </c>
      <c r="W128" s="11">
        <f ca="1">IFERROR(OFFSET(ITEM_RES!$A$5,MATCH(BUILDING!V128,ITEM_RES!$J$5:$J$229,0)-1,0),0)</f>
        <v>211010501</v>
      </c>
      <c r="Y128" s="9" t="s">
        <v>501</v>
      </c>
      <c r="Z128" s="9">
        <v>4</v>
      </c>
      <c r="AB128" s="11">
        <f ca="1">IFERROR(OFFSET(MANOR_LEVEL!$B$1,MATCH(AC128-1,MANOR_LEVEL!$A:$A,0)-1,0),0)</f>
        <v>310</v>
      </c>
      <c r="AC128" s="55">
        <v>3</v>
      </c>
      <c r="AE128" s="55">
        <f t="shared" ca="1" si="43"/>
        <v>325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325</v>
      </c>
      <c r="AG128" s="176">
        <f t="shared" ca="1" si="46"/>
        <v>415</v>
      </c>
      <c r="AI128" s="11">
        <f t="shared" si="20"/>
        <v>10</v>
      </c>
      <c r="AJ128" s="10">
        <v>10</v>
      </c>
      <c r="AK128" s="11">
        <f t="shared" si="44"/>
        <v>25</v>
      </c>
      <c r="AL128" s="10">
        <v>25</v>
      </c>
      <c r="AM128" s="11">
        <f t="shared" si="44"/>
        <v>0</v>
      </c>
      <c r="AN128" s="10">
        <v>0</v>
      </c>
      <c r="AO128" s="55">
        <f t="shared" si="23"/>
        <v>1</v>
      </c>
      <c r="AQ128" s="11">
        <f ca="1">IFERROR(OFFSET(ITEM_RES!$A$1,MATCH(AR128,ITEM_RES!$J:$J,0)-1,0),0)</f>
        <v>211010501</v>
      </c>
      <c r="AR128" s="10" t="s">
        <v>1454</v>
      </c>
      <c r="AS128" s="11">
        <v>300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2"/>
        <v>0</v>
      </c>
    </row>
    <row r="129" spans="1:65" x14ac:dyDescent="0.3">
      <c r="A129" s="14">
        <f t="shared" si="39"/>
        <v>111050005</v>
      </c>
      <c r="B129" s="13">
        <v>11</v>
      </c>
      <c r="C129" s="12">
        <f t="shared" si="40"/>
        <v>1</v>
      </c>
      <c r="D129" s="13">
        <v>5</v>
      </c>
      <c r="E129" s="13">
        <v>0</v>
      </c>
      <c r="F129" s="12">
        <f t="shared" si="41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1095</v>
      </c>
      <c r="P129" s="55" t="s">
        <v>1357</v>
      </c>
      <c r="Q129" s="9" t="s">
        <v>673</v>
      </c>
      <c r="T129" s="9">
        <f ca="1">IFERROR(OFFSET(ITEM_RES!$A$5,MATCH(BUILDING!S129,ITEM_RES!$J$5:$J$229,0)-1,0),0)</f>
        <v>0</v>
      </c>
      <c r="V129" s="81" t="s">
        <v>530</v>
      </c>
      <c r="W129" s="11">
        <f ca="1">IFERROR(OFFSET(ITEM_RES!$A$5,MATCH(BUILDING!V129,ITEM_RES!$J$5:$J$229,0)-1,0),0)</f>
        <v>211010501</v>
      </c>
      <c r="Y129" s="9" t="s">
        <v>501</v>
      </c>
      <c r="Z129" s="9">
        <v>5</v>
      </c>
      <c r="AB129" s="11">
        <f ca="1">IFERROR(OFFSET(MANOR_LEVEL!$B$1,MATCH(AC129-1,MANOR_LEVEL!$A:$A,0)-1,0),0)</f>
        <v>930</v>
      </c>
      <c r="AC129" s="55">
        <v>4</v>
      </c>
      <c r="AE129" s="55">
        <f t="shared" ca="1" si="43"/>
        <v>1390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1390</v>
      </c>
      <c r="AG129" s="176">
        <f t="shared" ca="1" si="46"/>
        <v>1715</v>
      </c>
      <c r="AI129" s="11">
        <f t="shared" si="20"/>
        <v>15</v>
      </c>
      <c r="AJ129" s="10">
        <v>15</v>
      </c>
      <c r="AK129" s="11">
        <f t="shared" si="44"/>
        <v>40</v>
      </c>
      <c r="AL129" s="10">
        <v>40</v>
      </c>
      <c r="AM129" s="11">
        <f t="shared" si="44"/>
        <v>0</v>
      </c>
      <c r="AN129" s="10">
        <v>0</v>
      </c>
      <c r="AO129" s="55">
        <f t="shared" si="23"/>
        <v>1</v>
      </c>
      <c r="AQ129" s="11">
        <f ca="1">IFERROR(OFFSET(ITEM_RES!$A$1,MATCH(AR129,ITEM_RES!$J:$J,0)-1,0),0)</f>
        <v>211010501</v>
      </c>
      <c r="AR129" s="10" t="s">
        <v>1454</v>
      </c>
      <c r="AS129" s="11">
        <v>1350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2"/>
        <v>0</v>
      </c>
    </row>
    <row r="130" spans="1:65" x14ac:dyDescent="0.3">
      <c r="A130" s="14">
        <f t="shared" si="39"/>
        <v>111050006</v>
      </c>
      <c r="B130" s="13">
        <v>11</v>
      </c>
      <c r="C130" s="12">
        <f t="shared" si="40"/>
        <v>1</v>
      </c>
      <c r="D130" s="13">
        <v>5</v>
      </c>
      <c r="E130" s="13">
        <v>0</v>
      </c>
      <c r="F130" s="12">
        <f t="shared" si="41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1096</v>
      </c>
      <c r="P130" s="55" t="s">
        <v>1357</v>
      </c>
      <c r="Q130" s="9" t="s">
        <v>673</v>
      </c>
      <c r="T130" s="9">
        <f ca="1">IFERROR(OFFSET(ITEM_RES!$A$5,MATCH(BUILDING!S130,ITEM_RES!$J$5:$J$229,0)-1,0),0)</f>
        <v>0</v>
      </c>
      <c r="V130" s="81" t="s">
        <v>530</v>
      </c>
      <c r="W130" s="11">
        <f ca="1">IFERROR(OFFSET(ITEM_RES!$A$5,MATCH(BUILDING!V130,ITEM_RES!$J$5:$J$229,0)-1,0),0)</f>
        <v>211010501</v>
      </c>
      <c r="Y130" s="9" t="s">
        <v>501</v>
      </c>
      <c r="Z130" s="9">
        <v>6</v>
      </c>
      <c r="AB130" s="11">
        <f ca="1">IFERROR(OFFSET(MANOR_LEVEL!$B$1,MATCH(AC130-1,MANOR_LEVEL!$A:$A,0)-1,0),0)</f>
        <v>930</v>
      </c>
      <c r="AC130" s="55">
        <v>4</v>
      </c>
      <c r="AE130" s="55">
        <f t="shared" ca="1" si="43"/>
        <v>4550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4550</v>
      </c>
      <c r="AG130" s="176">
        <f t="shared" ca="1" si="46"/>
        <v>5940</v>
      </c>
      <c r="AI130" s="11">
        <f t="shared" si="20"/>
        <v>30</v>
      </c>
      <c r="AJ130" s="10">
        <v>30</v>
      </c>
      <c r="AK130" s="11">
        <f t="shared" si="44"/>
        <v>50</v>
      </c>
      <c r="AL130" s="10">
        <v>50</v>
      </c>
      <c r="AM130" s="11">
        <f t="shared" si="44"/>
        <v>0</v>
      </c>
      <c r="AN130" s="10">
        <v>0</v>
      </c>
      <c r="AO130" s="55">
        <f t="shared" si="23"/>
        <v>1</v>
      </c>
      <c r="AQ130" s="11">
        <f ca="1">IFERROR(OFFSET(ITEM_RES!$A$1,MATCH(AR130,ITEM_RES!$J:$J,0)-1,0),0)</f>
        <v>211010501</v>
      </c>
      <c r="AR130" s="10" t="s">
        <v>1454</v>
      </c>
      <c r="AS130" s="11">
        <v>4500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2"/>
        <v>0</v>
      </c>
    </row>
    <row r="131" spans="1:65" x14ac:dyDescent="0.3">
      <c r="A131" s="14">
        <f t="shared" si="39"/>
        <v>111050007</v>
      </c>
      <c r="B131" s="13">
        <v>11</v>
      </c>
      <c r="C131" s="12">
        <f t="shared" si="40"/>
        <v>1</v>
      </c>
      <c r="D131" s="13">
        <v>5</v>
      </c>
      <c r="E131" s="13">
        <v>0</v>
      </c>
      <c r="F131" s="12">
        <f t="shared" si="41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1097</v>
      </c>
      <c r="P131" s="55" t="s">
        <v>1358</v>
      </c>
      <c r="Q131" s="9" t="s">
        <v>673</v>
      </c>
      <c r="T131" s="9">
        <f ca="1">IFERROR(OFFSET(ITEM_RES!$A$5,MATCH(BUILDING!S131,ITEM_RES!$J$5:$J$229,0)-1,0),0)</f>
        <v>0</v>
      </c>
      <c r="V131" s="81" t="s">
        <v>530</v>
      </c>
      <c r="W131" s="11">
        <f ca="1">IFERROR(OFFSET(ITEM_RES!$A$5,MATCH(BUILDING!V131,ITEM_RES!$J$5:$J$229,0)-1,0),0)</f>
        <v>211010501</v>
      </c>
      <c r="Y131" s="9" t="s">
        <v>501</v>
      </c>
      <c r="Z131" s="9">
        <v>7</v>
      </c>
      <c r="AB131" s="11">
        <f ca="1">IFERROR(OFFSET(MANOR_LEVEL!$B$1,MATCH(AC131-1,MANOR_LEVEL!$A:$A,0)-1,0),0)</f>
        <v>930</v>
      </c>
      <c r="AC131" s="55">
        <v>4</v>
      </c>
      <c r="AE131" s="55">
        <f t="shared" ca="1" si="43"/>
        <v>10100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10100</v>
      </c>
      <c r="AG131" s="176">
        <f t="shared" ca="1" si="46"/>
        <v>14650</v>
      </c>
      <c r="AI131" s="11">
        <f t="shared" si="20"/>
        <v>300</v>
      </c>
      <c r="AJ131" s="10">
        <v>300</v>
      </c>
      <c r="AK131" s="11">
        <f t="shared" si="44"/>
        <v>100</v>
      </c>
      <c r="AL131" s="10">
        <v>100</v>
      </c>
      <c r="AM131" s="11">
        <f t="shared" si="44"/>
        <v>0</v>
      </c>
      <c r="AN131" s="10">
        <v>0</v>
      </c>
      <c r="AO131" s="55">
        <f t="shared" si="23"/>
        <v>1</v>
      </c>
      <c r="AQ131" s="11">
        <f ca="1">IFERROR(OFFSET(ITEM_RES!$A$1,MATCH(AR131,ITEM_RES!$J:$J,0)-1,0),0)</f>
        <v>211010501</v>
      </c>
      <c r="AR131" s="10" t="s">
        <v>1454</v>
      </c>
      <c r="AS131" s="11">
        <v>10000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2"/>
        <v>0</v>
      </c>
    </row>
    <row r="132" spans="1:65" x14ac:dyDescent="0.3">
      <c r="A132" s="14">
        <f t="shared" si="39"/>
        <v>111050008</v>
      </c>
      <c r="B132" s="13">
        <v>11</v>
      </c>
      <c r="C132" s="12">
        <f t="shared" si="40"/>
        <v>1</v>
      </c>
      <c r="D132" s="13">
        <v>5</v>
      </c>
      <c r="E132" s="13">
        <v>0</v>
      </c>
      <c r="F132" s="12">
        <f t="shared" si="41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1097</v>
      </c>
      <c r="P132" s="55" t="s">
        <v>1358</v>
      </c>
      <c r="Q132" s="9" t="s">
        <v>673</v>
      </c>
      <c r="T132" s="9">
        <f ca="1">IFERROR(OFFSET(ITEM_RES!$A$5,MATCH(BUILDING!S132,ITEM_RES!$J$5:$J$229,0)-1,0),0)</f>
        <v>0</v>
      </c>
      <c r="V132" s="81" t="s">
        <v>530</v>
      </c>
      <c r="W132" s="11">
        <f ca="1">IFERROR(OFFSET(ITEM_RES!$A$5,MATCH(BUILDING!V132,ITEM_RES!$J$5:$J$229,0)-1,0),0)</f>
        <v>211010501</v>
      </c>
      <c r="Y132" s="9" t="s">
        <v>501</v>
      </c>
      <c r="Z132" s="9">
        <v>8</v>
      </c>
      <c r="AB132" s="11">
        <f ca="1">IFERROR(OFFSET(MANOR_LEVEL!$B$1,MATCH(AC132-1,MANOR_LEVEL!$A:$A,0)-1,0),0)</f>
        <v>5475</v>
      </c>
      <c r="AC132" s="55">
        <v>5</v>
      </c>
      <c r="AE132" s="55">
        <f t="shared" ca="1" si="43"/>
        <v>21100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21100</v>
      </c>
      <c r="AG132" s="176">
        <f t="shared" ca="1" si="46"/>
        <v>31200</v>
      </c>
      <c r="AI132" s="11">
        <f t="shared" si="20"/>
        <v>600</v>
      </c>
      <c r="AJ132" s="10">
        <v>600</v>
      </c>
      <c r="AK132" s="11">
        <f t="shared" si="44"/>
        <v>100</v>
      </c>
      <c r="AL132" s="10">
        <v>100</v>
      </c>
      <c r="AM132" s="11">
        <f t="shared" si="44"/>
        <v>0</v>
      </c>
      <c r="AN132" s="10">
        <v>0</v>
      </c>
      <c r="AO132" s="55">
        <f t="shared" si="23"/>
        <v>1</v>
      </c>
      <c r="AQ132" s="11">
        <f ca="1">IFERROR(OFFSET(ITEM_RES!$A$1,MATCH(AR132,ITEM_RES!$J:$J,0)-1,0),0)</f>
        <v>211010501</v>
      </c>
      <c r="AR132" s="10" t="s">
        <v>1454</v>
      </c>
      <c r="AS132" s="11">
        <v>21000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2"/>
        <v>0</v>
      </c>
    </row>
    <row r="133" spans="1:65" x14ac:dyDescent="0.3">
      <c r="A133" s="14">
        <f t="shared" si="39"/>
        <v>111050009</v>
      </c>
      <c r="B133" s="13">
        <v>11</v>
      </c>
      <c r="C133" s="12">
        <f t="shared" si="40"/>
        <v>1</v>
      </c>
      <c r="D133" s="13">
        <v>5</v>
      </c>
      <c r="E133" s="13">
        <v>0</v>
      </c>
      <c r="F133" s="12">
        <f t="shared" si="41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1419</v>
      </c>
      <c r="P133" s="55" t="s">
        <v>1421</v>
      </c>
      <c r="Q133" s="9" t="s">
        <v>673</v>
      </c>
      <c r="T133" s="9">
        <f ca="1">IFERROR(OFFSET(ITEM_RES!$A$5,MATCH(BUILDING!S133,ITEM_RES!$J$5:$J$229,0)-1,0),0)</f>
        <v>0</v>
      </c>
      <c r="V133" s="81" t="s">
        <v>530</v>
      </c>
      <c r="W133" s="11">
        <f ca="1">IFERROR(OFFSET(ITEM_RES!$A$5,MATCH(BUILDING!V133,ITEM_RES!$J$5:$J$229,0)-1,0),0)</f>
        <v>211010501</v>
      </c>
      <c r="Y133" s="9" t="s">
        <v>501</v>
      </c>
      <c r="Z133" s="9">
        <v>9</v>
      </c>
      <c r="AB133" s="11">
        <f ca="1">IFERROR(OFFSET(MANOR_LEVEL!$B$1,MATCH(AC133-1,MANOR_LEVEL!$A:$A,0)-1,0),0)</f>
        <v>32560</v>
      </c>
      <c r="AC133" s="55">
        <v>6</v>
      </c>
      <c r="AE133" s="55">
        <f t="shared" ca="1" si="43"/>
        <v>39150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39150</v>
      </c>
      <c r="AG133" s="176">
        <f t="shared" ca="1" si="46"/>
        <v>60250</v>
      </c>
      <c r="AI133" s="11">
        <f t="shared" ref="AI133:AI236" si="47">ROUND(AJ133,0)</f>
        <v>900</v>
      </c>
      <c r="AJ133" s="10">
        <v>900</v>
      </c>
      <c r="AK133" s="11">
        <f t="shared" si="44"/>
        <v>150</v>
      </c>
      <c r="AL133" s="10">
        <v>150</v>
      </c>
      <c r="AM133" s="11">
        <f t="shared" si="44"/>
        <v>0</v>
      </c>
      <c r="AN133" s="10">
        <v>0</v>
      </c>
      <c r="AO133" s="55">
        <f t="shared" si="23"/>
        <v>1</v>
      </c>
      <c r="AQ133" s="11">
        <f ca="1">IFERROR(OFFSET(ITEM_RES!$A$1,MATCH(AR133,ITEM_RES!$J:$J,0)-1,0),0)</f>
        <v>211010501</v>
      </c>
      <c r="AR133" s="10" t="s">
        <v>1454</v>
      </c>
      <c r="AS133" s="11">
        <v>39000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2"/>
        <v>0</v>
      </c>
    </row>
    <row r="134" spans="1:65" x14ac:dyDescent="0.3">
      <c r="A134" s="14">
        <f t="shared" si="39"/>
        <v>111050010</v>
      </c>
      <c r="B134" s="13">
        <v>11</v>
      </c>
      <c r="C134" s="12">
        <f t="shared" si="40"/>
        <v>1</v>
      </c>
      <c r="D134" s="13">
        <v>5</v>
      </c>
      <c r="E134" s="13">
        <v>0</v>
      </c>
      <c r="F134" s="12">
        <f t="shared" si="41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1419</v>
      </c>
      <c r="P134" s="55" t="s">
        <v>1421</v>
      </c>
      <c r="Q134" s="9" t="s">
        <v>673</v>
      </c>
      <c r="T134" s="9">
        <f ca="1">IFERROR(OFFSET(ITEM_RES!$A$5,MATCH(BUILDING!S134,ITEM_RES!$J$5:$J$229,0)-1,0),0)</f>
        <v>0</v>
      </c>
      <c r="V134" s="81" t="s">
        <v>530</v>
      </c>
      <c r="W134" s="11">
        <f ca="1">IFERROR(OFFSET(ITEM_RES!$A$5,MATCH(BUILDING!V134,ITEM_RES!$J$5:$J$229,0)-1,0),0)</f>
        <v>211010501</v>
      </c>
      <c r="Y134" s="9" t="s">
        <v>501</v>
      </c>
      <c r="Z134" s="9">
        <v>10</v>
      </c>
      <c r="AB134" s="11">
        <f ca="1">IFERROR(OFFSET(MANOR_LEVEL!$B$1,MATCH(AC134-1,MANOR_LEVEL!$A:$A,0)-1,0),0)</f>
        <v>108200</v>
      </c>
      <c r="AC134" s="55">
        <v>7</v>
      </c>
      <c r="AE134" s="55">
        <f t="shared" ca="1" si="43"/>
        <v>65200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65200</v>
      </c>
      <c r="AG134" s="176">
        <f t="shared" ca="1" si="46"/>
        <v>104350</v>
      </c>
      <c r="AI134" s="11">
        <f t="shared" si="47"/>
        <v>1200</v>
      </c>
      <c r="AJ134" s="10">
        <v>1200</v>
      </c>
      <c r="AK134" s="11">
        <f t="shared" si="44"/>
        <v>200</v>
      </c>
      <c r="AL134" s="10">
        <v>200</v>
      </c>
      <c r="AM134" s="11">
        <f t="shared" si="44"/>
        <v>0</v>
      </c>
      <c r="AN134" s="10">
        <v>0</v>
      </c>
      <c r="AO134" s="55">
        <f t="shared" ref="AO134:AO237" si="48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1454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2"/>
        <v>0</v>
      </c>
    </row>
    <row r="135" spans="1:65" x14ac:dyDescent="0.3">
      <c r="A135" s="14">
        <f t="shared" si="39"/>
        <v>111050011</v>
      </c>
      <c r="B135" s="13">
        <v>11</v>
      </c>
      <c r="C135" s="12">
        <f t="shared" si="40"/>
        <v>1</v>
      </c>
      <c r="D135" s="13">
        <v>5</v>
      </c>
      <c r="E135" s="13">
        <v>0</v>
      </c>
      <c r="F135" s="12">
        <f t="shared" si="41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1418</v>
      </c>
      <c r="P135" s="55" t="s">
        <v>1420</v>
      </c>
      <c r="Q135" s="9" t="s">
        <v>673</v>
      </c>
      <c r="T135" s="9">
        <f ca="1">IFERROR(OFFSET(ITEM_RES!$A$5,MATCH(BUILDING!S135,ITEM_RES!$J$5:$J$229,0)-1,0),0)</f>
        <v>0</v>
      </c>
      <c r="V135" s="81" t="s">
        <v>530</v>
      </c>
      <c r="W135" s="11">
        <f ca="1">IFERROR(OFFSET(ITEM_RES!$A$5,MATCH(BUILDING!V135,ITEM_RES!$J$5:$J$229,0)-1,0),0)</f>
        <v>211010501</v>
      </c>
      <c r="Y135" s="9" t="s">
        <v>501</v>
      </c>
      <c r="Z135" s="9">
        <v>11</v>
      </c>
      <c r="AB135" s="11">
        <f ca="1">IFERROR(OFFSET(MANOR_LEVEL!$B$1,MATCH(AC135-1,MANOR_LEVEL!$A:$A,0)-1,0),0)</f>
        <v>240400</v>
      </c>
      <c r="AC135" s="55">
        <v>8</v>
      </c>
      <c r="AE135" s="55">
        <f t="shared" ca="1" si="43"/>
        <v>110250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110250</v>
      </c>
      <c r="AG135" s="176">
        <f t="shared" ca="1" si="46"/>
        <v>175450</v>
      </c>
      <c r="AI135" s="11">
        <f t="shared" si="47"/>
        <v>1500</v>
      </c>
      <c r="AJ135" s="10">
        <v>1500</v>
      </c>
      <c r="AK135" s="11">
        <f t="shared" si="44"/>
        <v>250</v>
      </c>
      <c r="AL135" s="10">
        <v>250</v>
      </c>
      <c r="AM135" s="11">
        <f t="shared" si="44"/>
        <v>0</v>
      </c>
      <c r="AN135" s="10">
        <v>0</v>
      </c>
      <c r="AO135" s="55">
        <f t="shared" si="48"/>
        <v>1</v>
      </c>
      <c r="AQ135" s="11">
        <f ca="1">IFERROR(OFFSET(ITEM_RES!$A$1,MATCH(AR135,ITEM_RES!$J:$J,0)-1,0),0)</f>
        <v>211010501</v>
      </c>
      <c r="AR135" s="10" t="s">
        <v>1454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2"/>
        <v>0</v>
      </c>
    </row>
    <row r="136" spans="1:65" x14ac:dyDescent="0.3">
      <c r="A136" s="14">
        <f t="shared" si="39"/>
        <v>111050012</v>
      </c>
      <c r="B136" s="13">
        <v>11</v>
      </c>
      <c r="C136" s="12">
        <f t="shared" si="40"/>
        <v>1</v>
      </c>
      <c r="D136" s="13">
        <v>5</v>
      </c>
      <c r="E136" s="13">
        <v>0</v>
      </c>
      <c r="F136" s="12">
        <f t="shared" si="41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1418</v>
      </c>
      <c r="P136" s="55" t="s">
        <v>1420</v>
      </c>
      <c r="Q136" s="9" t="s">
        <v>673</v>
      </c>
      <c r="T136" s="9">
        <f ca="1">IFERROR(OFFSET(ITEM_RES!$A$5,MATCH(BUILDING!S136,ITEM_RES!$J$5:$J$229,0)-1,0),0)</f>
        <v>0</v>
      </c>
      <c r="V136" s="81" t="s">
        <v>530</v>
      </c>
      <c r="W136" s="11">
        <f ca="1">IFERROR(OFFSET(ITEM_RES!$A$5,MATCH(BUILDING!V136,ITEM_RES!$J$5:$J$229,0)-1,0),0)</f>
        <v>211010501</v>
      </c>
      <c r="Y136" s="9" t="s">
        <v>501</v>
      </c>
      <c r="Z136" s="9">
        <v>12</v>
      </c>
      <c r="AB136" s="11">
        <f ca="1">IFERROR(OFFSET(MANOR_LEVEL!$B$1,MATCH(AC136-1,MANOR_LEVEL!$A:$A,0)-1,0),0)</f>
        <v>630500</v>
      </c>
      <c r="AC136" s="55">
        <v>9</v>
      </c>
      <c r="AE136" s="55">
        <f t="shared" ca="1" si="43"/>
        <v>185300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185300</v>
      </c>
      <c r="AG136" s="176">
        <f t="shared" ca="1" si="46"/>
        <v>295550</v>
      </c>
      <c r="AI136" s="11">
        <f t="shared" si="47"/>
        <v>1800</v>
      </c>
      <c r="AJ136" s="10">
        <v>1800</v>
      </c>
      <c r="AK136" s="11">
        <f t="shared" si="44"/>
        <v>300</v>
      </c>
      <c r="AL136" s="10">
        <v>300</v>
      </c>
      <c r="AM136" s="11">
        <f t="shared" si="44"/>
        <v>0</v>
      </c>
      <c r="AN136" s="10">
        <v>0</v>
      </c>
      <c r="AO136" s="55">
        <f t="shared" si="48"/>
        <v>1</v>
      </c>
      <c r="AQ136" s="11">
        <f ca="1">IFERROR(OFFSET(ITEM_RES!$A$1,MATCH(AR136,ITEM_RES!$J:$J,0)-1,0),0)</f>
        <v>211010501</v>
      </c>
      <c r="AR136" s="10" t="s">
        <v>1454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2"/>
        <v>0</v>
      </c>
    </row>
    <row r="137" spans="1:65" x14ac:dyDescent="0.3">
      <c r="A137" s="14">
        <f t="shared" si="39"/>
        <v>111050013</v>
      </c>
      <c r="B137" s="13">
        <v>11</v>
      </c>
      <c r="C137" s="12">
        <f t="shared" si="40"/>
        <v>1</v>
      </c>
      <c r="D137" s="13">
        <v>5</v>
      </c>
      <c r="E137" s="13">
        <v>0</v>
      </c>
      <c r="F137" s="12">
        <f t="shared" si="41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1418</v>
      </c>
      <c r="P137" s="55" t="s">
        <v>1420</v>
      </c>
      <c r="Q137" s="9" t="s">
        <v>673</v>
      </c>
      <c r="T137" s="9">
        <f ca="1">IFERROR(OFFSET(ITEM_RES!$A$5,MATCH(BUILDING!S137,ITEM_RES!$J$5:$J$229,0)-1,0),0)</f>
        <v>0</v>
      </c>
      <c r="V137" s="81" t="s">
        <v>530</v>
      </c>
      <c r="W137" s="11">
        <f ca="1">IFERROR(OFFSET(ITEM_RES!$A$5,MATCH(BUILDING!V137,ITEM_RES!$J$5:$J$229,0)-1,0),0)</f>
        <v>211010501</v>
      </c>
      <c r="Y137" s="9" t="s">
        <v>501</v>
      </c>
      <c r="Z137" s="9">
        <v>13</v>
      </c>
      <c r="AB137" s="11">
        <f ca="1">IFERROR(OFFSET(MANOR_LEVEL!$B$1,MATCH(AC137-1,MANOR_LEVEL!$A:$A,0)-1,0),0)</f>
        <v>1170750</v>
      </c>
      <c r="AC137" s="55">
        <v>10</v>
      </c>
      <c r="AE137" s="55">
        <f t="shared" ca="1" si="43"/>
        <v>310350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310350</v>
      </c>
      <c r="AG137" s="176">
        <f t="shared" ca="1" si="46"/>
        <v>495650</v>
      </c>
      <c r="AI137" s="11">
        <f t="shared" si="47"/>
        <v>2100</v>
      </c>
      <c r="AJ137" s="10">
        <v>2100</v>
      </c>
      <c r="AK137" s="11">
        <f t="shared" si="44"/>
        <v>350</v>
      </c>
      <c r="AL137" s="10">
        <v>350</v>
      </c>
      <c r="AM137" s="11">
        <f t="shared" si="44"/>
        <v>0</v>
      </c>
      <c r="AN137" s="10">
        <v>0</v>
      </c>
      <c r="AO137" s="55">
        <f t="shared" si="48"/>
        <v>1</v>
      </c>
      <c r="AQ137" s="11">
        <f ca="1">IFERROR(OFFSET(ITEM_RES!$A$1,MATCH(AR137,ITEM_RES!$J:$J,0)-1,0),0)</f>
        <v>211010501</v>
      </c>
      <c r="AR137" s="10" t="s">
        <v>1454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2"/>
        <v>0</v>
      </c>
    </row>
    <row r="138" spans="1:65" x14ac:dyDescent="0.3">
      <c r="A138" s="14">
        <f t="shared" si="39"/>
        <v>111050014</v>
      </c>
      <c r="B138" s="13">
        <v>11</v>
      </c>
      <c r="C138" s="12">
        <f t="shared" si="40"/>
        <v>1</v>
      </c>
      <c r="D138" s="13">
        <v>5</v>
      </c>
      <c r="E138" s="13">
        <v>0</v>
      </c>
      <c r="F138" s="12">
        <f t="shared" si="41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1418</v>
      </c>
      <c r="P138" s="55" t="s">
        <v>1420</v>
      </c>
      <c r="Q138" s="9" t="s">
        <v>673</v>
      </c>
      <c r="T138" s="9">
        <f ca="1">IFERROR(OFFSET(ITEM_RES!$A$5,MATCH(BUILDING!S138,ITEM_RES!$J$5:$J$229,0)-1,0),0)</f>
        <v>0</v>
      </c>
      <c r="V138" s="81" t="s">
        <v>530</v>
      </c>
      <c r="W138" s="11">
        <f ca="1">IFERROR(OFFSET(ITEM_RES!$A$5,MATCH(BUILDING!V138,ITEM_RES!$J$5:$J$229,0)-1,0),0)</f>
        <v>211010501</v>
      </c>
      <c r="Y138" s="9" t="s">
        <v>501</v>
      </c>
      <c r="Z138" s="9">
        <v>14</v>
      </c>
      <c r="AB138" s="11">
        <f ca="1">IFERROR(OFFSET(MANOR_LEVEL!$B$1,MATCH(AC138-1,MANOR_LEVEL!$A:$A,0)-1,0),0)</f>
        <v>1956000</v>
      </c>
      <c r="AC138" s="55">
        <v>11</v>
      </c>
      <c r="AE138" s="55">
        <f t="shared" ca="1" si="43"/>
        <v>485450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485450</v>
      </c>
      <c r="AG138" s="176">
        <f t="shared" ca="1" si="46"/>
        <v>795800</v>
      </c>
      <c r="AI138" s="11">
        <f t="shared" si="47"/>
        <v>2400</v>
      </c>
      <c r="AJ138" s="10">
        <v>2400</v>
      </c>
      <c r="AK138" s="11">
        <f t="shared" si="44"/>
        <v>450</v>
      </c>
      <c r="AL138" s="10">
        <v>450</v>
      </c>
      <c r="AM138" s="11">
        <f t="shared" si="44"/>
        <v>0</v>
      </c>
      <c r="AN138" s="10">
        <v>0</v>
      </c>
      <c r="AO138" s="55">
        <f t="shared" si="48"/>
        <v>1</v>
      </c>
      <c r="AQ138" s="11">
        <f ca="1">IFERROR(OFFSET(ITEM_RES!$A$1,MATCH(AR138,ITEM_RES!$J:$J,0)-1,0),0)</f>
        <v>211010501</v>
      </c>
      <c r="AR138" s="10" t="s">
        <v>1454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2"/>
        <v>0</v>
      </c>
    </row>
    <row r="139" spans="1:65" x14ac:dyDescent="0.3">
      <c r="A139" s="14">
        <f t="shared" si="39"/>
        <v>111050015</v>
      </c>
      <c r="B139" s="13">
        <v>11</v>
      </c>
      <c r="C139" s="12">
        <f t="shared" si="40"/>
        <v>1</v>
      </c>
      <c r="D139" s="13">
        <v>5</v>
      </c>
      <c r="E139" s="13">
        <v>0</v>
      </c>
      <c r="F139" s="12">
        <f t="shared" si="41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1418</v>
      </c>
      <c r="P139" s="55" t="s">
        <v>1420</v>
      </c>
      <c r="Q139" s="9" t="s">
        <v>673</v>
      </c>
      <c r="T139" s="9">
        <f ca="1">IFERROR(OFFSET(ITEM_RES!$A$5,MATCH(BUILDING!S139,ITEM_RES!$J$5:$J$229,0)-1,0),0)</f>
        <v>0</v>
      </c>
      <c r="V139" s="81" t="s">
        <v>530</v>
      </c>
      <c r="W139" s="11">
        <f ca="1">IFERROR(OFFSET(ITEM_RES!$A$5,MATCH(BUILDING!V139,ITEM_RES!$J$5:$J$229,0)-1,0),0)</f>
        <v>211010501</v>
      </c>
      <c r="Y139" s="9" t="s">
        <v>501</v>
      </c>
      <c r="Z139" s="9">
        <v>15</v>
      </c>
      <c r="AB139" s="11">
        <f ca="1">IFERROR(OFFSET(MANOR_LEVEL!$B$1,MATCH(AC139-1,MANOR_LEVEL!$A:$A,0)-1,0),0)</f>
        <v>3961500</v>
      </c>
      <c r="AC139" s="55">
        <v>12</v>
      </c>
      <c r="AE139" s="55">
        <f t="shared" ca="1" si="43"/>
        <v>1050550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1050550</v>
      </c>
      <c r="AG139" s="176">
        <f t="shared" ca="1" si="46"/>
        <v>1536000</v>
      </c>
      <c r="AI139" s="11">
        <f t="shared" si="47"/>
        <v>2700</v>
      </c>
      <c r="AJ139" s="10">
        <v>2700</v>
      </c>
      <c r="AK139" s="11">
        <f t="shared" si="44"/>
        <v>550</v>
      </c>
      <c r="AL139" s="10">
        <v>550</v>
      </c>
      <c r="AM139" s="11">
        <f t="shared" si="44"/>
        <v>0</v>
      </c>
      <c r="AN139" s="10">
        <v>0</v>
      </c>
      <c r="AO139" s="55">
        <f t="shared" si="48"/>
        <v>1</v>
      </c>
      <c r="AQ139" s="11">
        <f ca="1">IFERROR(OFFSET(ITEM_RES!$A$1,MATCH(AR139,ITEM_RES!$J:$J,0)-1,0),0)</f>
        <v>211010501</v>
      </c>
      <c r="AR139" s="10" t="s">
        <v>1454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2"/>
        <v>0</v>
      </c>
    </row>
    <row r="140" spans="1:65" x14ac:dyDescent="0.3">
      <c r="A140" s="14">
        <f t="shared" si="39"/>
        <v>111050016</v>
      </c>
      <c r="B140" s="13">
        <v>11</v>
      </c>
      <c r="C140" s="12">
        <f t="shared" si="40"/>
        <v>1</v>
      </c>
      <c r="D140" s="13">
        <v>5</v>
      </c>
      <c r="E140" s="13">
        <v>0</v>
      </c>
      <c r="F140" s="12">
        <f t="shared" si="41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1418</v>
      </c>
      <c r="P140" s="55" t="s">
        <v>1420</v>
      </c>
      <c r="Q140" s="9" t="s">
        <v>673</v>
      </c>
      <c r="T140" s="9">
        <f ca="1">IFERROR(OFFSET(ITEM_RES!$A$5,MATCH(BUILDING!S140,ITEM_RES!$J$5:$J$229,0)-1,0),0)</f>
        <v>0</v>
      </c>
      <c r="V140" s="81" t="s">
        <v>530</v>
      </c>
      <c r="W140" s="11">
        <f ca="1">IFERROR(OFFSET(ITEM_RES!$A$5,MATCH(BUILDING!V140,ITEM_RES!$J$5:$J$229,0)-1,0),0)</f>
        <v>211010501</v>
      </c>
      <c r="Y140" s="9" t="s">
        <v>501</v>
      </c>
      <c r="Z140" s="9">
        <v>16</v>
      </c>
      <c r="AB140" s="11">
        <f ca="1">IFERROR(OFFSET(MANOR_LEVEL!$B$1,MATCH(AC140-1,MANOR_LEVEL!$A:$A,0)-1,0),0)</f>
        <v>7772100</v>
      </c>
      <c r="AC140" s="55">
        <v>13</v>
      </c>
      <c r="AE140" s="55">
        <f t="shared" ca="1" si="43"/>
        <v>2150700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2150700</v>
      </c>
      <c r="AG140" s="176">
        <f t="shared" ca="1" si="46"/>
        <v>3201250</v>
      </c>
      <c r="AI140" s="11">
        <f t="shared" si="47"/>
        <v>3000</v>
      </c>
      <c r="AJ140" s="10">
        <v>3000</v>
      </c>
      <c r="AK140" s="11">
        <f t="shared" si="44"/>
        <v>700</v>
      </c>
      <c r="AL140" s="10">
        <v>700</v>
      </c>
      <c r="AM140" s="11">
        <f t="shared" si="44"/>
        <v>0</v>
      </c>
      <c r="AN140" s="10">
        <v>0</v>
      </c>
      <c r="AO140" s="55">
        <f t="shared" si="48"/>
        <v>1</v>
      </c>
      <c r="AQ140" s="11">
        <f ca="1">IFERROR(OFFSET(ITEM_RES!$A$1,MATCH(AR140,ITEM_RES!$J:$J,0)-1,0),0)</f>
        <v>211010501</v>
      </c>
      <c r="AR140" s="10" t="s">
        <v>1454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2"/>
        <v>0</v>
      </c>
    </row>
    <row r="141" spans="1:65" x14ac:dyDescent="0.3">
      <c r="A141" s="14">
        <f t="shared" si="39"/>
        <v>111050017</v>
      </c>
      <c r="B141" s="13">
        <v>11</v>
      </c>
      <c r="C141" s="12">
        <f t="shared" si="40"/>
        <v>1</v>
      </c>
      <c r="D141" s="13">
        <v>5</v>
      </c>
      <c r="E141" s="13">
        <v>0</v>
      </c>
      <c r="F141" s="12">
        <f t="shared" si="41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1418</v>
      </c>
      <c r="P141" s="55" t="s">
        <v>1420</v>
      </c>
      <c r="Q141" s="9" t="s">
        <v>673</v>
      </c>
      <c r="T141" s="9">
        <f ca="1">IFERROR(OFFSET(ITEM_RES!$A$5,MATCH(BUILDING!S141,ITEM_RES!$J$5:$J$229,0)-1,0),0)</f>
        <v>0</v>
      </c>
      <c r="V141" s="81" t="s">
        <v>530</v>
      </c>
      <c r="W141" s="11">
        <f ca="1">IFERROR(OFFSET(ITEM_RES!$A$5,MATCH(BUILDING!V141,ITEM_RES!$J$5:$J$229,0)-1,0),0)</f>
        <v>211010501</v>
      </c>
      <c r="Y141" s="9" t="s">
        <v>501</v>
      </c>
      <c r="Z141" s="9">
        <v>17</v>
      </c>
      <c r="AB141" s="11">
        <f ca="1">IFERROR(OFFSET(MANOR_LEVEL!$B$1,MATCH(AC141-1,MANOR_LEVEL!$A:$A,0)-1,0),0)</f>
        <v>13022450</v>
      </c>
      <c r="AC141" s="55">
        <v>14</v>
      </c>
      <c r="AE141" s="55">
        <f t="shared" ca="1" si="43"/>
        <v>4000850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4000850</v>
      </c>
      <c r="AG141" s="176">
        <f t="shared" ca="1" si="46"/>
        <v>6151550</v>
      </c>
      <c r="AI141" s="11">
        <f t="shared" si="47"/>
        <v>3300</v>
      </c>
      <c r="AJ141" s="10">
        <v>3300</v>
      </c>
      <c r="AK141" s="11">
        <f t="shared" si="44"/>
        <v>850</v>
      </c>
      <c r="AL141" s="10">
        <v>850</v>
      </c>
      <c r="AM141" s="11">
        <f t="shared" si="44"/>
        <v>0</v>
      </c>
      <c r="AN141" s="10">
        <v>0</v>
      </c>
      <c r="AO141" s="55">
        <f t="shared" si="48"/>
        <v>1</v>
      </c>
      <c r="AQ141" s="11">
        <f ca="1">IFERROR(OFFSET(ITEM_RES!$A$1,MATCH(AR141,ITEM_RES!$J:$J,0)-1,0),0)</f>
        <v>211010501</v>
      </c>
      <c r="AR141" s="10" t="s">
        <v>1454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2"/>
        <v>0</v>
      </c>
    </row>
    <row r="142" spans="1:65" x14ac:dyDescent="0.3">
      <c r="A142" s="14">
        <f t="shared" si="39"/>
        <v>111050018</v>
      </c>
      <c r="B142" s="13">
        <v>11</v>
      </c>
      <c r="C142" s="12">
        <f t="shared" si="40"/>
        <v>1</v>
      </c>
      <c r="D142" s="13">
        <v>5</v>
      </c>
      <c r="E142" s="13">
        <v>0</v>
      </c>
      <c r="F142" s="12">
        <f t="shared" si="41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1418</v>
      </c>
      <c r="P142" s="55" t="s">
        <v>1420</v>
      </c>
      <c r="Q142" s="9" t="s">
        <v>673</v>
      </c>
      <c r="T142" s="9">
        <f ca="1">IFERROR(OFFSET(ITEM_RES!$A$5,MATCH(BUILDING!S142,ITEM_RES!$J$5:$J$229,0)-1,0),0)</f>
        <v>0</v>
      </c>
      <c r="V142" s="81" t="s">
        <v>530</v>
      </c>
      <c r="W142" s="11">
        <f ca="1">IFERROR(OFFSET(ITEM_RES!$A$5,MATCH(BUILDING!V142,ITEM_RES!$J$5:$J$229,0)-1,0),0)</f>
        <v>211010501</v>
      </c>
      <c r="Y142" s="9" t="s">
        <v>501</v>
      </c>
      <c r="Z142" s="9">
        <v>18</v>
      </c>
      <c r="AB142" s="11">
        <f ca="1">IFERROR(OFFSET(MANOR_LEVEL!$B$1,MATCH(AC142-1,MANOR_LEVEL!$A:$A,0)-1,0),0)</f>
        <v>23283600</v>
      </c>
      <c r="AC142" s="55">
        <v>15</v>
      </c>
      <c r="AE142" s="55">
        <f t="shared" ca="1" si="43"/>
        <v>6501050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6501050</v>
      </c>
      <c r="AG142" s="176">
        <f t="shared" ca="1" si="46"/>
        <v>10501900</v>
      </c>
      <c r="AI142" s="11">
        <f t="shared" si="47"/>
        <v>3600</v>
      </c>
      <c r="AJ142" s="10">
        <v>3600</v>
      </c>
      <c r="AK142" s="11">
        <f t="shared" si="44"/>
        <v>1050</v>
      </c>
      <c r="AL142" s="10">
        <v>1050</v>
      </c>
      <c r="AM142" s="11">
        <f t="shared" si="44"/>
        <v>0</v>
      </c>
      <c r="AN142" s="10">
        <v>0</v>
      </c>
      <c r="AO142" s="55">
        <f t="shared" si="48"/>
        <v>1</v>
      </c>
      <c r="AQ142" s="11">
        <f ca="1">IFERROR(OFFSET(ITEM_RES!$A$1,MATCH(AR142,ITEM_RES!$J:$J,0)-1,0),0)</f>
        <v>211010501</v>
      </c>
      <c r="AR142" s="10" t="s">
        <v>1454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2"/>
        <v>0</v>
      </c>
    </row>
    <row r="143" spans="1:65" x14ac:dyDescent="0.3">
      <c r="A143" s="14">
        <f t="shared" si="39"/>
        <v>111050019</v>
      </c>
      <c r="B143" s="13">
        <v>11</v>
      </c>
      <c r="C143" s="12">
        <f t="shared" si="40"/>
        <v>1</v>
      </c>
      <c r="D143" s="13">
        <v>5</v>
      </c>
      <c r="E143" s="13">
        <v>0</v>
      </c>
      <c r="F143" s="12">
        <f t="shared" si="41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1418</v>
      </c>
      <c r="P143" s="55" t="s">
        <v>1420</v>
      </c>
      <c r="Q143" s="9" t="s">
        <v>673</v>
      </c>
      <c r="T143" s="9">
        <f ca="1">IFERROR(OFFSET(ITEM_RES!$A$5,MATCH(BUILDING!S143,ITEM_RES!$J$5:$J$229,0)-1,0),0)</f>
        <v>0</v>
      </c>
      <c r="V143" s="81" t="s">
        <v>530</v>
      </c>
      <c r="W143" s="11">
        <f ca="1">IFERROR(OFFSET(ITEM_RES!$A$5,MATCH(BUILDING!V143,ITEM_RES!$J$5:$J$229,0)-1,0),0)</f>
        <v>211010501</v>
      </c>
      <c r="Y143" s="9" t="s">
        <v>501</v>
      </c>
      <c r="Z143" s="9">
        <v>19</v>
      </c>
      <c r="AB143" s="11">
        <f ca="1">IFERROR(OFFSET(MANOR_LEVEL!$B$1,MATCH(AC143-1,MANOR_LEVEL!$A:$A,0)-1,0),0)</f>
        <v>50404400</v>
      </c>
      <c r="AC143" s="55">
        <v>16</v>
      </c>
      <c r="AE143" s="55">
        <f t="shared" ca="1" si="43"/>
        <v>10001250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10001250</v>
      </c>
      <c r="AG143" s="176">
        <f t="shared" ca="1" si="46"/>
        <v>16502300</v>
      </c>
      <c r="AI143" s="11">
        <f t="shared" si="47"/>
        <v>3900</v>
      </c>
      <c r="AJ143" s="10">
        <v>3900</v>
      </c>
      <c r="AK143" s="11">
        <f t="shared" si="44"/>
        <v>1250</v>
      </c>
      <c r="AL143" s="10">
        <v>1250</v>
      </c>
      <c r="AM143" s="11">
        <f t="shared" si="44"/>
        <v>0</v>
      </c>
      <c r="AN143" s="10">
        <v>0</v>
      </c>
      <c r="AO143" s="55">
        <f t="shared" si="48"/>
        <v>1</v>
      </c>
      <c r="AQ143" s="11">
        <f ca="1">IFERROR(OFFSET(ITEM_RES!$A$1,MATCH(AR143,ITEM_RES!$J:$J,0)-1,0),0)</f>
        <v>211010501</v>
      </c>
      <c r="AR143" s="10" t="s">
        <v>1454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2"/>
        <v>0</v>
      </c>
    </row>
    <row r="144" spans="1:65" ht="17.25" thickBot="1" x14ac:dyDescent="0.35">
      <c r="A144" s="14">
        <f t="shared" si="39"/>
        <v>111050020</v>
      </c>
      <c r="B144" s="13">
        <v>11</v>
      </c>
      <c r="C144" s="12">
        <f t="shared" si="40"/>
        <v>1</v>
      </c>
      <c r="D144" s="13">
        <v>5</v>
      </c>
      <c r="E144" s="13">
        <v>0</v>
      </c>
      <c r="F144" s="12">
        <f t="shared" si="41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1418</v>
      </c>
      <c r="P144" s="55" t="s">
        <v>1420</v>
      </c>
      <c r="Q144" s="9" t="s">
        <v>673</v>
      </c>
      <c r="T144" s="9">
        <f ca="1">IFERROR(OFFSET(ITEM_RES!$A$5,MATCH(BUILDING!S144,ITEM_RES!$J$5:$J$229,0)-1,0),0)</f>
        <v>0</v>
      </c>
      <c r="V144" s="81" t="s">
        <v>530</v>
      </c>
      <c r="W144" s="11">
        <f ca="1">IFERROR(OFFSET(ITEM_RES!$A$5,MATCH(BUILDING!V144,ITEM_RES!$J$5:$J$229,0)-1,0),0)</f>
        <v>211010501</v>
      </c>
      <c r="Y144" s="9" t="s">
        <v>501</v>
      </c>
      <c r="Z144" s="9">
        <v>20</v>
      </c>
      <c r="AB144" s="11">
        <f ca="1">IFERROR(OFFSET(MANOR_LEVEL!$B$1,MATCH(AC144-1,MANOR_LEVEL!$A:$A,0)-1,0),0)</f>
        <v>119976300</v>
      </c>
      <c r="AC144" s="55">
        <v>17</v>
      </c>
      <c r="AE144" s="55">
        <f t="shared" ca="1" si="43"/>
        <v>16001500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16001500</v>
      </c>
      <c r="AG144" s="176">
        <f t="shared" ca="1" si="46"/>
        <v>26002750</v>
      </c>
      <c r="AI144" s="11">
        <f t="shared" si="47"/>
        <v>4200</v>
      </c>
      <c r="AJ144" s="10">
        <v>4200</v>
      </c>
      <c r="AK144" s="11">
        <f t="shared" si="44"/>
        <v>1500</v>
      </c>
      <c r="AL144" s="10">
        <v>1500</v>
      </c>
      <c r="AM144" s="11">
        <f t="shared" si="44"/>
        <v>0</v>
      </c>
      <c r="AN144" s="10">
        <v>0</v>
      </c>
      <c r="AO144" s="55">
        <f t="shared" si="48"/>
        <v>1</v>
      </c>
      <c r="AQ144" s="11">
        <f ca="1">IFERROR(OFFSET(ITEM_RES!$A$1,MATCH(AR144,ITEM_RES!$J:$J,0)-1,0),0)</f>
        <v>211010501</v>
      </c>
      <c r="AR144" s="10" t="s">
        <v>1454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2"/>
        <v>0</v>
      </c>
    </row>
    <row r="145" spans="1:66" s="15" customFormat="1" x14ac:dyDescent="0.3">
      <c r="A145" s="21">
        <f t="shared" si="39"/>
        <v>111060001</v>
      </c>
      <c r="B145" s="20">
        <v>11</v>
      </c>
      <c r="C145" s="19">
        <f t="shared" si="40"/>
        <v>1</v>
      </c>
      <c r="D145" s="20">
        <v>6</v>
      </c>
      <c r="E145" s="20">
        <v>0</v>
      </c>
      <c r="F145" s="19">
        <f t="shared" si="41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1098</v>
      </c>
      <c r="P145" s="56" t="s">
        <v>1359</v>
      </c>
      <c r="Q145" s="16" t="s">
        <v>691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530</v>
      </c>
      <c r="W145" s="18">
        <f ca="1">IFERROR(OFFSET(ITEM_RES!$A$5,MATCH(BUILDING!V145,ITEM_RES!$J$5:$J$229,0)-1,0),0)</f>
        <v>211010501</v>
      </c>
      <c r="X145" s="76"/>
      <c r="Y145" s="16" t="s">
        <v>502</v>
      </c>
      <c r="Z145" s="16">
        <v>1</v>
      </c>
      <c r="AA145" s="76"/>
      <c r="AB145" s="18">
        <f ca="1">IFERROR(OFFSET(MANOR_LEVEL!$B$1,MATCH(AC145-1,MANOR_LEVEL!$A:$A,0)-1,0),0)</f>
        <v>630500</v>
      </c>
      <c r="AC145" s="56">
        <v>9</v>
      </c>
      <c r="AD145" s="76"/>
      <c r="AE145" s="56">
        <f t="shared" ca="1" si="43"/>
        <v>1205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1205</v>
      </c>
      <c r="AG145" s="178">
        <f ca="1">AE145</f>
        <v>1205</v>
      </c>
      <c r="AH145" s="76"/>
      <c r="AI145" s="18">
        <f t="shared" si="47"/>
        <v>3</v>
      </c>
      <c r="AJ145" s="17">
        <v>3</v>
      </c>
      <c r="AK145" s="18">
        <f t="shared" si="44"/>
        <v>5</v>
      </c>
      <c r="AL145" s="17">
        <v>5</v>
      </c>
      <c r="AM145" s="18">
        <f t="shared" si="44"/>
        <v>0</v>
      </c>
      <c r="AN145" s="17">
        <v>0</v>
      </c>
      <c r="AO145" s="56">
        <f t="shared" si="48"/>
        <v>2</v>
      </c>
      <c r="AP145" s="18"/>
      <c r="AQ145" s="18">
        <f ca="1">IFERROR(OFFSET(ITEM_RES!$A$1,MATCH(AR145,ITEM_RES!$J:$J,0)-1,0),0)</f>
        <v>211020801</v>
      </c>
      <c r="AR145" s="17" t="s">
        <v>1065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441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2"/>
        <v>0</v>
      </c>
      <c r="BN145" s="17"/>
    </row>
    <row r="146" spans="1:66" x14ac:dyDescent="0.3">
      <c r="A146" s="14">
        <f t="shared" si="39"/>
        <v>111060002</v>
      </c>
      <c r="B146" s="13">
        <v>11</v>
      </c>
      <c r="C146" s="12">
        <f t="shared" si="40"/>
        <v>1</v>
      </c>
      <c r="D146" s="13">
        <v>6</v>
      </c>
      <c r="E146" s="13">
        <v>0</v>
      </c>
      <c r="F146" s="12">
        <f t="shared" si="41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1098</v>
      </c>
      <c r="P146" s="55" t="s">
        <v>1359</v>
      </c>
      <c r="Q146" s="9" t="s">
        <v>691</v>
      </c>
      <c r="T146" s="9">
        <f ca="1">IFERROR(OFFSET(ITEM_RES!$A$5,MATCH(BUILDING!S146,ITEM_RES!$J$5:$J$229,0)-1,0),0)</f>
        <v>0</v>
      </c>
      <c r="V146" s="81" t="s">
        <v>530</v>
      </c>
      <c r="W146" s="11">
        <f ca="1">IFERROR(OFFSET(ITEM_RES!$A$5,MATCH(BUILDING!V146,ITEM_RES!$J$5:$J$229,0)-1,0),0)</f>
        <v>211010501</v>
      </c>
      <c r="Y146" s="9" t="s">
        <v>502</v>
      </c>
      <c r="Z146" s="9">
        <v>2</v>
      </c>
      <c r="AB146" s="11">
        <f ca="1">IFERROR(OFFSET(MANOR_LEVEL!$B$1,MATCH(AC146-1,MANOR_LEVEL!$A:$A,0)-1,0),0)</f>
        <v>630500</v>
      </c>
      <c r="AC146" s="55">
        <v>9</v>
      </c>
      <c r="AE146" s="55">
        <f t="shared" ca="1" si="43"/>
        <v>410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410</v>
      </c>
      <c r="AG146" s="176">
        <f ca="1">AE145+AE146</f>
        <v>1615</v>
      </c>
      <c r="AI146" s="11">
        <f t="shared" si="47"/>
        <v>5</v>
      </c>
      <c r="AJ146" s="10">
        <v>5</v>
      </c>
      <c r="AK146" s="11">
        <f t="shared" si="44"/>
        <v>10</v>
      </c>
      <c r="AL146" s="10">
        <v>10</v>
      </c>
      <c r="AM146" s="11">
        <f t="shared" si="44"/>
        <v>0</v>
      </c>
      <c r="AN146" s="10">
        <v>0</v>
      </c>
      <c r="AO146" s="55">
        <f t="shared" si="48"/>
        <v>1</v>
      </c>
      <c r="AQ146" s="11">
        <f ca="1">IFERROR(OFFSET(ITEM_RES!$A$1,MATCH(AR146,ITEM_RES!$J:$J,0)-1,0),0)</f>
        <v>211020801</v>
      </c>
      <c r="AR146" s="10" t="s">
        <v>1065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2"/>
        <v>0</v>
      </c>
    </row>
    <row r="147" spans="1:66" x14ac:dyDescent="0.3">
      <c r="A147" s="14">
        <f t="shared" si="39"/>
        <v>111060003</v>
      </c>
      <c r="B147" s="13">
        <v>11</v>
      </c>
      <c r="C147" s="12">
        <f t="shared" si="40"/>
        <v>1</v>
      </c>
      <c r="D147" s="13">
        <v>6</v>
      </c>
      <c r="E147" s="13">
        <v>0</v>
      </c>
      <c r="F147" s="12">
        <f t="shared" si="41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1099</v>
      </c>
      <c r="P147" s="55" t="s">
        <v>1360</v>
      </c>
      <c r="Q147" s="9" t="s">
        <v>691</v>
      </c>
      <c r="T147" s="9">
        <f ca="1">IFERROR(OFFSET(ITEM_RES!$A$5,MATCH(BUILDING!S147,ITEM_RES!$J$5:$J$229,0)-1,0),0)</f>
        <v>0</v>
      </c>
      <c r="V147" s="81" t="s">
        <v>530</v>
      </c>
      <c r="W147" s="11">
        <f ca="1">IFERROR(OFFSET(ITEM_RES!$A$5,MATCH(BUILDING!V147,ITEM_RES!$J$5:$J$229,0)-1,0),0)</f>
        <v>211010501</v>
      </c>
      <c r="Y147" s="9" t="s">
        <v>502</v>
      </c>
      <c r="Z147" s="9">
        <v>3</v>
      </c>
      <c r="AB147" s="11">
        <f ca="1">IFERROR(OFFSET(MANOR_LEVEL!$B$1,MATCH(AC147-1,MANOR_LEVEL!$A:$A,0)-1,0),0)</f>
        <v>1170750</v>
      </c>
      <c r="AC147" s="55">
        <v>10</v>
      </c>
      <c r="AE147" s="55">
        <f t="shared" ca="1" si="43"/>
        <v>615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615</v>
      </c>
      <c r="AG147" s="176">
        <f t="shared" ref="AG147:AG164" ca="1" si="49">AE146+AE147</f>
        <v>1025</v>
      </c>
      <c r="AI147" s="11">
        <f t="shared" si="47"/>
        <v>5</v>
      </c>
      <c r="AJ147" s="10">
        <v>5</v>
      </c>
      <c r="AK147" s="11">
        <f t="shared" si="44"/>
        <v>15</v>
      </c>
      <c r="AL147" s="10">
        <v>15</v>
      </c>
      <c r="AM147" s="11">
        <f t="shared" si="44"/>
        <v>0</v>
      </c>
      <c r="AN147" s="10">
        <v>0</v>
      </c>
      <c r="AO147" s="55">
        <f t="shared" si="48"/>
        <v>1</v>
      </c>
      <c r="AQ147" s="11">
        <f ca="1">IFERROR(OFFSET(ITEM_RES!$A$1,MATCH(AR147,ITEM_RES!$J:$J,0)-1,0),0)</f>
        <v>211020801</v>
      </c>
      <c r="AR147" s="10" t="s">
        <v>1065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2"/>
        <v>0</v>
      </c>
    </row>
    <row r="148" spans="1:66" x14ac:dyDescent="0.3">
      <c r="A148" s="14">
        <f t="shared" si="39"/>
        <v>111060004</v>
      </c>
      <c r="B148" s="13">
        <v>11</v>
      </c>
      <c r="C148" s="12">
        <f t="shared" si="40"/>
        <v>1</v>
      </c>
      <c r="D148" s="13">
        <v>6</v>
      </c>
      <c r="E148" s="13">
        <v>0</v>
      </c>
      <c r="F148" s="12">
        <f t="shared" si="41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1100</v>
      </c>
      <c r="P148" s="55" t="s">
        <v>1360</v>
      </c>
      <c r="Q148" s="9" t="s">
        <v>691</v>
      </c>
      <c r="T148" s="9">
        <f ca="1">IFERROR(OFFSET(ITEM_RES!$A$5,MATCH(BUILDING!S148,ITEM_RES!$J$5:$J$229,0)-1,0),0)</f>
        <v>0</v>
      </c>
      <c r="V148" s="81" t="s">
        <v>530</v>
      </c>
      <c r="W148" s="11">
        <f ca="1">IFERROR(OFFSET(ITEM_RES!$A$5,MATCH(BUILDING!V148,ITEM_RES!$J$5:$J$229,0)-1,0),0)</f>
        <v>211010501</v>
      </c>
      <c r="Y148" s="9" t="s">
        <v>502</v>
      </c>
      <c r="Z148" s="9">
        <v>4</v>
      </c>
      <c r="AB148" s="11">
        <f ca="1">IFERROR(OFFSET(MANOR_LEVEL!$B$1,MATCH(AC148-1,MANOR_LEVEL!$A:$A,0)-1,0),0)</f>
        <v>1170750</v>
      </c>
      <c r="AC148" s="55">
        <v>10</v>
      </c>
      <c r="AE148" s="55">
        <f t="shared" ca="1" si="43"/>
        <v>2425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2425</v>
      </c>
      <c r="AG148" s="176">
        <f t="shared" ca="1" si="49"/>
        <v>3040</v>
      </c>
      <c r="AI148" s="11">
        <f t="shared" si="47"/>
        <v>10</v>
      </c>
      <c r="AJ148" s="10">
        <v>10</v>
      </c>
      <c r="AK148" s="11">
        <f t="shared" si="44"/>
        <v>25</v>
      </c>
      <c r="AL148" s="10">
        <v>25</v>
      </c>
      <c r="AM148" s="11">
        <f t="shared" si="44"/>
        <v>0</v>
      </c>
      <c r="AN148" s="10">
        <v>0</v>
      </c>
      <c r="AO148" s="55">
        <f t="shared" si="48"/>
        <v>1</v>
      </c>
      <c r="AQ148" s="11">
        <f ca="1">IFERROR(OFFSET(ITEM_RES!$A$1,MATCH(AR148,ITEM_RES!$J:$J,0)-1,0),0)</f>
        <v>211020801</v>
      </c>
      <c r="AR148" s="10" t="s">
        <v>1065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2"/>
        <v>0</v>
      </c>
    </row>
    <row r="149" spans="1:66" x14ac:dyDescent="0.3">
      <c r="A149" s="14">
        <f t="shared" si="39"/>
        <v>111060005</v>
      </c>
      <c r="B149" s="13">
        <v>11</v>
      </c>
      <c r="C149" s="12">
        <f t="shared" si="40"/>
        <v>1</v>
      </c>
      <c r="D149" s="13">
        <v>6</v>
      </c>
      <c r="E149" s="13">
        <v>0</v>
      </c>
      <c r="F149" s="12">
        <f t="shared" si="41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1101</v>
      </c>
      <c r="P149" s="55" t="s">
        <v>1361</v>
      </c>
      <c r="Q149" s="9" t="s">
        <v>691</v>
      </c>
      <c r="T149" s="9">
        <f ca="1">IFERROR(OFFSET(ITEM_RES!$A$5,MATCH(BUILDING!S149,ITEM_RES!$J$5:$J$229,0)-1,0),0)</f>
        <v>0</v>
      </c>
      <c r="V149" s="81" t="s">
        <v>530</v>
      </c>
      <c r="W149" s="11">
        <f ca="1">IFERROR(OFFSET(ITEM_RES!$A$5,MATCH(BUILDING!V149,ITEM_RES!$J$5:$J$229,0)-1,0),0)</f>
        <v>211010501</v>
      </c>
      <c r="Y149" s="9" t="s">
        <v>502</v>
      </c>
      <c r="Z149" s="9">
        <v>5</v>
      </c>
      <c r="AB149" s="11">
        <f ca="1">IFERROR(OFFSET(MANOR_LEVEL!$B$1,MATCH(AC149-1,MANOR_LEVEL!$A:$A,0)-1,0),0)</f>
        <v>1170750</v>
      </c>
      <c r="AC149" s="55">
        <v>10</v>
      </c>
      <c r="AE149" s="55">
        <f t="shared" ca="1" si="43"/>
        <v>10840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10840</v>
      </c>
      <c r="AG149" s="176">
        <f t="shared" ca="1" si="49"/>
        <v>13265</v>
      </c>
      <c r="AI149" s="11">
        <f t="shared" si="47"/>
        <v>15</v>
      </c>
      <c r="AJ149" s="10">
        <v>15</v>
      </c>
      <c r="AK149" s="11">
        <f t="shared" si="44"/>
        <v>40</v>
      </c>
      <c r="AL149" s="10">
        <v>40</v>
      </c>
      <c r="AM149" s="11">
        <f t="shared" si="44"/>
        <v>0</v>
      </c>
      <c r="AN149" s="10">
        <v>0</v>
      </c>
      <c r="AO149" s="55">
        <f t="shared" si="48"/>
        <v>1</v>
      </c>
      <c r="AQ149" s="11">
        <f ca="1">IFERROR(OFFSET(ITEM_RES!$A$1,MATCH(AR149,ITEM_RES!$J:$J,0)-1,0),0)</f>
        <v>211020801</v>
      </c>
      <c r="AR149" s="10" t="s">
        <v>1065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2"/>
        <v>0</v>
      </c>
    </row>
    <row r="150" spans="1:66" x14ac:dyDescent="0.3">
      <c r="A150" s="14">
        <f t="shared" si="39"/>
        <v>111060006</v>
      </c>
      <c r="B150" s="13">
        <v>11</v>
      </c>
      <c r="C150" s="12">
        <f t="shared" si="40"/>
        <v>1</v>
      </c>
      <c r="D150" s="13">
        <v>6</v>
      </c>
      <c r="E150" s="13">
        <v>0</v>
      </c>
      <c r="F150" s="12">
        <f t="shared" si="41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1102</v>
      </c>
      <c r="P150" s="55" t="s">
        <v>1361</v>
      </c>
      <c r="Q150" s="9" t="s">
        <v>691</v>
      </c>
      <c r="T150" s="9">
        <f ca="1">IFERROR(OFFSET(ITEM_RES!$A$5,MATCH(BUILDING!S150,ITEM_RES!$J$5:$J$229,0)-1,0),0)</f>
        <v>0</v>
      </c>
      <c r="V150" s="81" t="s">
        <v>530</v>
      </c>
      <c r="W150" s="11">
        <f ca="1">IFERROR(OFFSET(ITEM_RES!$A$5,MATCH(BUILDING!V150,ITEM_RES!$J$5:$J$229,0)-1,0),0)</f>
        <v>211010501</v>
      </c>
      <c r="Y150" s="9" t="s">
        <v>502</v>
      </c>
      <c r="Z150" s="9">
        <v>6</v>
      </c>
      <c r="AB150" s="11">
        <f ca="1">IFERROR(OFFSET(MANOR_LEVEL!$B$1,MATCH(AC150-1,MANOR_LEVEL!$A:$A,0)-1,0),0)</f>
        <v>1170750</v>
      </c>
      <c r="AC150" s="55">
        <v>10</v>
      </c>
      <c r="AE150" s="55">
        <f t="shared" ca="1" si="43"/>
        <v>36050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36050</v>
      </c>
      <c r="AG150" s="176">
        <f t="shared" ca="1" si="49"/>
        <v>46890</v>
      </c>
      <c r="AI150" s="11">
        <f t="shared" si="47"/>
        <v>30</v>
      </c>
      <c r="AJ150" s="10">
        <v>30</v>
      </c>
      <c r="AK150" s="11">
        <f t="shared" si="44"/>
        <v>50</v>
      </c>
      <c r="AL150" s="10">
        <v>50</v>
      </c>
      <c r="AM150" s="11">
        <f t="shared" si="44"/>
        <v>0</v>
      </c>
      <c r="AN150" s="10">
        <v>0</v>
      </c>
      <c r="AO150" s="55">
        <f t="shared" si="48"/>
        <v>1</v>
      </c>
      <c r="AQ150" s="11">
        <f ca="1">IFERROR(OFFSET(ITEM_RES!$A$1,MATCH(AR150,ITEM_RES!$J:$J,0)-1,0),0)</f>
        <v>211020801</v>
      </c>
      <c r="AR150" s="10" t="s">
        <v>1065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2"/>
        <v>0</v>
      </c>
    </row>
    <row r="151" spans="1:66" x14ac:dyDescent="0.3">
      <c r="A151" s="14">
        <f t="shared" si="39"/>
        <v>111060007</v>
      </c>
      <c r="B151" s="13">
        <v>11</v>
      </c>
      <c r="C151" s="12">
        <f t="shared" si="40"/>
        <v>1</v>
      </c>
      <c r="D151" s="13">
        <v>6</v>
      </c>
      <c r="E151" s="13">
        <v>0</v>
      </c>
      <c r="F151" s="12">
        <f t="shared" si="41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1103</v>
      </c>
      <c r="P151" s="55" t="s">
        <v>1362</v>
      </c>
      <c r="Q151" s="9" t="s">
        <v>691</v>
      </c>
      <c r="T151" s="9">
        <f ca="1">IFERROR(OFFSET(ITEM_RES!$A$5,MATCH(BUILDING!S151,ITEM_RES!$J$5:$J$229,0)-1,0),0)</f>
        <v>0</v>
      </c>
      <c r="V151" s="81" t="s">
        <v>530</v>
      </c>
      <c r="W151" s="11">
        <f ca="1">IFERROR(OFFSET(ITEM_RES!$A$5,MATCH(BUILDING!V151,ITEM_RES!$J$5:$J$229,0)-1,0),0)</f>
        <v>211010501</v>
      </c>
      <c r="Y151" s="9" t="s">
        <v>502</v>
      </c>
      <c r="Z151" s="9">
        <v>7</v>
      </c>
      <c r="AB151" s="11">
        <f ca="1">IFERROR(OFFSET(MANOR_LEVEL!$B$1,MATCH(AC151-1,MANOR_LEVEL!$A:$A,0)-1,0),0)</f>
        <v>1956000</v>
      </c>
      <c r="AC151" s="55">
        <v>11</v>
      </c>
      <c r="AE151" s="55">
        <f t="shared" ca="1" si="43"/>
        <v>80100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80100</v>
      </c>
      <c r="AG151" s="176">
        <f t="shared" ca="1" si="49"/>
        <v>116150</v>
      </c>
      <c r="AI151" s="11">
        <f t="shared" si="47"/>
        <v>300</v>
      </c>
      <c r="AJ151" s="10">
        <v>300</v>
      </c>
      <c r="AK151" s="11">
        <f t="shared" si="44"/>
        <v>100</v>
      </c>
      <c r="AL151" s="10">
        <v>100</v>
      </c>
      <c r="AM151" s="11">
        <f t="shared" si="44"/>
        <v>0</v>
      </c>
      <c r="AN151" s="10">
        <v>0</v>
      </c>
      <c r="AO151" s="55">
        <f t="shared" si="48"/>
        <v>1</v>
      </c>
      <c r="AQ151" s="11">
        <f ca="1">IFERROR(OFFSET(ITEM_RES!$A$1,MATCH(AR151,ITEM_RES!$J:$J,0)-1,0),0)</f>
        <v>211020801</v>
      </c>
      <c r="AR151" s="10" t="s">
        <v>1065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2"/>
        <v>0</v>
      </c>
    </row>
    <row r="152" spans="1:66" x14ac:dyDescent="0.3">
      <c r="A152" s="14">
        <f t="shared" si="39"/>
        <v>111060008</v>
      </c>
      <c r="B152" s="13">
        <v>11</v>
      </c>
      <c r="C152" s="12">
        <f t="shared" si="40"/>
        <v>1</v>
      </c>
      <c r="D152" s="13">
        <v>6</v>
      </c>
      <c r="E152" s="13">
        <v>0</v>
      </c>
      <c r="F152" s="12">
        <f t="shared" si="41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1103</v>
      </c>
      <c r="P152" s="55" t="s">
        <v>1362</v>
      </c>
      <c r="Q152" s="9" t="s">
        <v>691</v>
      </c>
      <c r="T152" s="9">
        <f ca="1">IFERROR(OFFSET(ITEM_RES!$A$5,MATCH(BUILDING!S152,ITEM_RES!$J$5:$J$229,0)-1,0),0)</f>
        <v>0</v>
      </c>
      <c r="V152" s="81" t="s">
        <v>530</v>
      </c>
      <c r="W152" s="11">
        <f ca="1">IFERROR(OFFSET(ITEM_RES!$A$5,MATCH(BUILDING!V152,ITEM_RES!$J$5:$J$229,0)-1,0),0)</f>
        <v>211010501</v>
      </c>
      <c r="Y152" s="9" t="s">
        <v>502</v>
      </c>
      <c r="Z152" s="9">
        <v>8</v>
      </c>
      <c r="AB152" s="11">
        <f ca="1">IFERROR(OFFSET(MANOR_LEVEL!$B$1,MATCH(AC152-1,MANOR_LEVEL!$A:$A,0)-1,0),0)</f>
        <v>3961500</v>
      </c>
      <c r="AC152" s="55">
        <v>12</v>
      </c>
      <c r="AE152" s="55">
        <f t="shared" ca="1" si="43"/>
        <v>168600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168600</v>
      </c>
      <c r="AG152" s="176">
        <f t="shared" ca="1" si="49"/>
        <v>248700</v>
      </c>
      <c r="AI152" s="11">
        <f t="shared" si="47"/>
        <v>600</v>
      </c>
      <c r="AJ152" s="10">
        <v>600</v>
      </c>
      <c r="AK152" s="11">
        <f t="shared" si="44"/>
        <v>100</v>
      </c>
      <c r="AL152" s="10">
        <v>100</v>
      </c>
      <c r="AM152" s="11">
        <v>500</v>
      </c>
      <c r="AN152" s="10">
        <v>0</v>
      </c>
      <c r="AO152" s="55">
        <f t="shared" si="48"/>
        <v>1</v>
      </c>
      <c r="AQ152" s="11">
        <f ca="1">IFERROR(OFFSET(ITEM_RES!$A$1,MATCH(AR152,ITEM_RES!$J:$J,0)-1,0),0)</f>
        <v>211020801</v>
      </c>
      <c r="AR152" s="10" t="s">
        <v>1065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2"/>
        <v>0</v>
      </c>
    </row>
    <row r="153" spans="1:66" x14ac:dyDescent="0.3">
      <c r="A153" s="14">
        <f t="shared" ref="A153:A256" si="50">B153*10000000+C153*1000000+D153*10000+E153*100+F153</f>
        <v>111060009</v>
      </c>
      <c r="B153" s="13">
        <v>11</v>
      </c>
      <c r="C153" s="12">
        <f t="shared" ref="C153:C256" si="51">H153</f>
        <v>1</v>
      </c>
      <c r="D153" s="13">
        <v>6</v>
      </c>
      <c r="E153" s="13">
        <v>0</v>
      </c>
      <c r="F153" s="12">
        <f t="shared" ref="F153:F256" si="52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1423</v>
      </c>
      <c r="P153" s="55" t="s">
        <v>1425</v>
      </c>
      <c r="Q153" s="9" t="s">
        <v>691</v>
      </c>
      <c r="T153" s="9">
        <f ca="1">IFERROR(OFFSET(ITEM_RES!$A$5,MATCH(BUILDING!S153,ITEM_RES!$J$5:$J$229,0)-1,0),0)</f>
        <v>0</v>
      </c>
      <c r="V153" s="81" t="s">
        <v>530</v>
      </c>
      <c r="W153" s="11">
        <f ca="1">IFERROR(OFFSET(ITEM_RES!$A$5,MATCH(BUILDING!V153,ITEM_RES!$J$5:$J$229,0)-1,0),0)</f>
        <v>211010501</v>
      </c>
      <c r="Y153" s="9" t="s">
        <v>502</v>
      </c>
      <c r="Z153" s="9">
        <v>9</v>
      </c>
      <c r="AB153" s="11">
        <f ca="1">IFERROR(OFFSET(MANOR_LEVEL!$B$1,MATCH(AC153-1,MANOR_LEVEL!$A:$A,0)-1,0),0)</f>
        <v>7772100</v>
      </c>
      <c r="AC153" s="55">
        <v>13</v>
      </c>
      <c r="AE153" s="55">
        <f t="shared" ca="1" si="43"/>
        <v>318150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318150</v>
      </c>
      <c r="AG153" s="176">
        <f t="shared" ca="1" si="49"/>
        <v>486750</v>
      </c>
      <c r="AI153" s="11">
        <f t="shared" si="47"/>
        <v>900</v>
      </c>
      <c r="AJ153" s="10">
        <v>900</v>
      </c>
      <c r="AK153" s="11">
        <f t="shared" si="44"/>
        <v>150</v>
      </c>
      <c r="AL153" s="10">
        <v>150</v>
      </c>
      <c r="AM153" s="11">
        <v>6000</v>
      </c>
      <c r="AN153" s="10">
        <v>0</v>
      </c>
      <c r="AO153" s="55">
        <f t="shared" si="48"/>
        <v>1</v>
      </c>
      <c r="AQ153" s="11">
        <f ca="1">IFERROR(OFFSET(ITEM_RES!$A$1,MATCH(AR153,ITEM_RES!$J:$J,0)-1,0),0)</f>
        <v>211020801</v>
      </c>
      <c r="AR153" s="10" t="s">
        <v>1065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3">IF(BN153&lt;100,ROUND(BN153,1-LEN(ROUND(BN153,0))),ROUND(BN153,2-LEN(ROUND(BN153,0))))</f>
        <v>0</v>
      </c>
    </row>
    <row r="154" spans="1:66" x14ac:dyDescent="0.3">
      <c r="A154" s="14">
        <f t="shared" si="50"/>
        <v>111060010</v>
      </c>
      <c r="B154" s="13">
        <v>11</v>
      </c>
      <c r="C154" s="12">
        <f t="shared" si="51"/>
        <v>1</v>
      </c>
      <c r="D154" s="13">
        <v>6</v>
      </c>
      <c r="E154" s="13">
        <v>0</v>
      </c>
      <c r="F154" s="12">
        <f t="shared" si="52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1423</v>
      </c>
      <c r="P154" s="55" t="s">
        <v>1425</v>
      </c>
      <c r="Q154" s="9" t="s">
        <v>691</v>
      </c>
      <c r="T154" s="9">
        <f ca="1">IFERROR(OFFSET(ITEM_RES!$A$5,MATCH(BUILDING!S154,ITEM_RES!$J$5:$J$229,0)-1,0),0)</f>
        <v>0</v>
      </c>
      <c r="V154" s="81" t="s">
        <v>530</v>
      </c>
      <c r="W154" s="11">
        <f ca="1">IFERROR(OFFSET(ITEM_RES!$A$5,MATCH(BUILDING!V154,ITEM_RES!$J$5:$J$229,0)-1,0),0)</f>
        <v>211010501</v>
      </c>
      <c r="Y154" s="9" t="s">
        <v>502</v>
      </c>
      <c r="Z154" s="9">
        <v>10</v>
      </c>
      <c r="AB154" s="11">
        <f ca="1">IFERROR(OFFSET(MANOR_LEVEL!$B$1,MATCH(AC154-1,MANOR_LEVEL!$A:$A,0)-1,0),0)</f>
        <v>7772100</v>
      </c>
      <c r="AC154" s="55">
        <v>13</v>
      </c>
      <c r="AE154" s="55">
        <f t="shared" ref="AE154:AE217" ca="1" si="54">ROUND(AF154,0)</f>
        <v>559200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559200</v>
      </c>
      <c r="AG154" s="176">
        <f t="shared" ca="1" si="49"/>
        <v>877350</v>
      </c>
      <c r="AI154" s="11">
        <f t="shared" si="47"/>
        <v>1200</v>
      </c>
      <c r="AJ154" s="10">
        <v>1200</v>
      </c>
      <c r="AK154" s="11">
        <f t="shared" ref="AK154:AM257" si="55">ROUND(AL154,0)</f>
        <v>200</v>
      </c>
      <c r="AL154" s="10">
        <v>200</v>
      </c>
      <c r="AM154" s="11">
        <v>39000</v>
      </c>
      <c r="AN154" s="10">
        <v>0</v>
      </c>
      <c r="AO154" s="55">
        <f t="shared" si="48"/>
        <v>1</v>
      </c>
      <c r="AQ154" s="11">
        <f ca="1">IFERROR(OFFSET(ITEM_RES!$A$1,MATCH(AR154,ITEM_RES!$J:$J,0)-1,0),0)</f>
        <v>211020801</v>
      </c>
      <c r="AR154" s="10" t="s">
        <v>1065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3"/>
        <v>0</v>
      </c>
    </row>
    <row r="155" spans="1:66" x14ac:dyDescent="0.3">
      <c r="A155" s="14">
        <f t="shared" si="50"/>
        <v>111060011</v>
      </c>
      <c r="B155" s="13">
        <v>11</v>
      </c>
      <c r="C155" s="12">
        <f t="shared" si="51"/>
        <v>1</v>
      </c>
      <c r="D155" s="13">
        <v>6</v>
      </c>
      <c r="E155" s="13">
        <v>0</v>
      </c>
      <c r="F155" s="12">
        <f t="shared" si="52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1422</v>
      </c>
      <c r="P155" s="55" t="s">
        <v>1424</v>
      </c>
      <c r="Q155" s="9" t="s">
        <v>691</v>
      </c>
      <c r="T155" s="9">
        <f ca="1">IFERROR(OFFSET(ITEM_RES!$A$5,MATCH(BUILDING!S155,ITEM_RES!$J$5:$J$229,0)-1,0),0)</f>
        <v>0</v>
      </c>
      <c r="V155" s="81" t="s">
        <v>530</v>
      </c>
      <c r="W155" s="11">
        <f ca="1">IFERROR(OFFSET(ITEM_RES!$A$5,MATCH(BUILDING!V155,ITEM_RES!$J$5:$J$229,0)-1,0),0)</f>
        <v>211010501</v>
      </c>
      <c r="Y155" s="9" t="s">
        <v>502</v>
      </c>
      <c r="Z155" s="9">
        <v>11</v>
      </c>
      <c r="AB155" s="11">
        <f ca="1">IFERROR(OFFSET(MANOR_LEVEL!$B$1,MATCH(AC155-1,MANOR_LEVEL!$A:$A,0)-1,0),0)</f>
        <v>13022450</v>
      </c>
      <c r="AC155" s="55">
        <v>14</v>
      </c>
      <c r="AE155" s="55">
        <f t="shared" ca="1" si="54"/>
        <v>945250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945250</v>
      </c>
      <c r="AG155" s="176">
        <f t="shared" ca="1" si="49"/>
        <v>1504450</v>
      </c>
      <c r="AI155" s="11">
        <f t="shared" si="47"/>
        <v>1500</v>
      </c>
      <c r="AJ155" s="10">
        <v>1500</v>
      </c>
      <c r="AK155" s="11">
        <f t="shared" si="55"/>
        <v>250</v>
      </c>
      <c r="AL155" s="10">
        <v>250</v>
      </c>
      <c r="AM155" s="11">
        <v>65000</v>
      </c>
      <c r="AN155" s="10">
        <v>0</v>
      </c>
      <c r="AO155" s="55">
        <f t="shared" si="48"/>
        <v>1</v>
      </c>
      <c r="AQ155" s="11">
        <f ca="1">IFERROR(OFFSET(ITEM_RES!$A$1,MATCH(AR155,ITEM_RES!$J:$J,0)-1,0),0)</f>
        <v>211020801</v>
      </c>
      <c r="AR155" s="10" t="s">
        <v>1065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3"/>
        <v>0</v>
      </c>
    </row>
    <row r="156" spans="1:66" x14ac:dyDescent="0.3">
      <c r="A156" s="14">
        <f t="shared" si="50"/>
        <v>111060012</v>
      </c>
      <c r="B156" s="13">
        <v>11</v>
      </c>
      <c r="C156" s="12">
        <f t="shared" si="51"/>
        <v>1</v>
      </c>
      <c r="D156" s="13">
        <v>6</v>
      </c>
      <c r="E156" s="13">
        <v>0</v>
      </c>
      <c r="F156" s="12">
        <f t="shared" si="52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1422</v>
      </c>
      <c r="P156" s="55" t="s">
        <v>1424</v>
      </c>
      <c r="Q156" s="9" t="s">
        <v>691</v>
      </c>
      <c r="T156" s="9">
        <f ca="1">IFERROR(OFFSET(ITEM_RES!$A$5,MATCH(BUILDING!S156,ITEM_RES!$J$5:$J$229,0)-1,0),0)</f>
        <v>0</v>
      </c>
      <c r="V156" s="81" t="s">
        <v>530</v>
      </c>
      <c r="W156" s="11">
        <f ca="1">IFERROR(OFFSET(ITEM_RES!$A$5,MATCH(BUILDING!V156,ITEM_RES!$J$5:$J$229,0)-1,0),0)</f>
        <v>211010501</v>
      </c>
      <c r="Y156" s="9" t="s">
        <v>502</v>
      </c>
      <c r="Z156" s="9">
        <v>12</v>
      </c>
      <c r="AB156" s="11">
        <f ca="1">IFERROR(OFFSET(MANOR_LEVEL!$B$1,MATCH(AC156-1,MANOR_LEVEL!$A:$A,0)-1,0),0)</f>
        <v>23283600</v>
      </c>
      <c r="AC156" s="55">
        <v>15</v>
      </c>
      <c r="AE156" s="55">
        <f t="shared" ca="1" si="54"/>
        <v>1590300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1590300</v>
      </c>
      <c r="AG156" s="176">
        <f t="shared" ca="1" si="49"/>
        <v>2535550</v>
      </c>
      <c r="AI156" s="11">
        <f t="shared" si="47"/>
        <v>1800</v>
      </c>
      <c r="AJ156" s="10">
        <v>1800</v>
      </c>
      <c r="AK156" s="11">
        <f t="shared" si="55"/>
        <v>300</v>
      </c>
      <c r="AL156" s="10">
        <v>300</v>
      </c>
      <c r="AM156" s="11">
        <v>110000</v>
      </c>
      <c r="AN156" s="10">
        <v>0</v>
      </c>
      <c r="AO156" s="55">
        <f t="shared" si="48"/>
        <v>1</v>
      </c>
      <c r="AQ156" s="11">
        <f ca="1">IFERROR(OFFSET(ITEM_RES!$A$1,MATCH(AR156,ITEM_RES!$J:$J,0)-1,0),0)</f>
        <v>211020801</v>
      </c>
      <c r="AR156" s="10" t="s">
        <v>1065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3"/>
        <v>0</v>
      </c>
    </row>
    <row r="157" spans="1:66" x14ac:dyDescent="0.3">
      <c r="A157" s="14">
        <f t="shared" si="50"/>
        <v>111060013</v>
      </c>
      <c r="B157" s="13">
        <v>11</v>
      </c>
      <c r="C157" s="12">
        <f t="shared" si="51"/>
        <v>1</v>
      </c>
      <c r="D157" s="13">
        <v>6</v>
      </c>
      <c r="E157" s="13">
        <v>0</v>
      </c>
      <c r="F157" s="12">
        <f t="shared" si="52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1422</v>
      </c>
      <c r="P157" s="55" t="s">
        <v>1424</v>
      </c>
      <c r="Q157" s="9" t="s">
        <v>691</v>
      </c>
      <c r="T157" s="9">
        <f ca="1">IFERROR(OFFSET(ITEM_RES!$A$5,MATCH(BUILDING!S157,ITEM_RES!$J$5:$J$229,0)-1,0),0)</f>
        <v>0</v>
      </c>
      <c r="V157" s="81" t="s">
        <v>530</v>
      </c>
      <c r="W157" s="11">
        <f ca="1">IFERROR(OFFSET(ITEM_RES!$A$5,MATCH(BUILDING!V157,ITEM_RES!$J$5:$J$229,0)-1,0),0)</f>
        <v>211010501</v>
      </c>
      <c r="Y157" s="9" t="s">
        <v>502</v>
      </c>
      <c r="Z157" s="9">
        <v>13</v>
      </c>
      <c r="AB157" s="11">
        <f ca="1">IFERROR(OFFSET(MANOR_LEVEL!$B$1,MATCH(AC157-1,MANOR_LEVEL!$A:$A,0)-1,0),0)</f>
        <v>50404400</v>
      </c>
      <c r="AC157" s="55">
        <v>16</v>
      </c>
      <c r="AE157" s="55">
        <f t="shared" ca="1" si="54"/>
        <v>3285350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3285350</v>
      </c>
      <c r="AG157" s="176">
        <f t="shared" ca="1" si="49"/>
        <v>4875650</v>
      </c>
      <c r="AI157" s="11">
        <f t="shared" si="47"/>
        <v>2100</v>
      </c>
      <c r="AJ157" s="10">
        <v>2100</v>
      </c>
      <c r="AK157" s="11">
        <f t="shared" si="55"/>
        <v>350</v>
      </c>
      <c r="AL157" s="10">
        <v>350</v>
      </c>
      <c r="AM157" s="11">
        <v>185000</v>
      </c>
      <c r="AN157" s="10">
        <v>0</v>
      </c>
      <c r="AO157" s="55">
        <f t="shared" si="48"/>
        <v>1</v>
      </c>
      <c r="AQ157" s="11">
        <f ca="1">IFERROR(OFFSET(ITEM_RES!$A$1,MATCH(AR157,ITEM_RES!$J:$J,0)-1,0),0)</f>
        <v>211020901</v>
      </c>
      <c r="AR157" s="10" t="s">
        <v>1066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3"/>
        <v>0</v>
      </c>
    </row>
    <row r="158" spans="1:66" x14ac:dyDescent="0.3">
      <c r="A158" s="14">
        <f t="shared" si="50"/>
        <v>111060014</v>
      </c>
      <c r="B158" s="13">
        <v>11</v>
      </c>
      <c r="C158" s="12">
        <f t="shared" si="51"/>
        <v>1</v>
      </c>
      <c r="D158" s="13">
        <v>6</v>
      </c>
      <c r="E158" s="13">
        <v>0</v>
      </c>
      <c r="F158" s="12">
        <f t="shared" si="52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1422</v>
      </c>
      <c r="P158" s="55" t="s">
        <v>1424</v>
      </c>
      <c r="Q158" s="9" t="s">
        <v>691</v>
      </c>
      <c r="T158" s="9">
        <f ca="1">IFERROR(OFFSET(ITEM_RES!$A$5,MATCH(BUILDING!S158,ITEM_RES!$J$5:$J$229,0)-1,0),0)</f>
        <v>0</v>
      </c>
      <c r="V158" s="81" t="s">
        <v>530</v>
      </c>
      <c r="W158" s="11">
        <f ca="1">IFERROR(OFFSET(ITEM_RES!$A$5,MATCH(BUILDING!V158,ITEM_RES!$J$5:$J$229,0)-1,0),0)</f>
        <v>211010501</v>
      </c>
      <c r="Y158" s="9" t="s">
        <v>502</v>
      </c>
      <c r="Z158" s="9">
        <v>14</v>
      </c>
      <c r="AB158" s="11">
        <f ca="1">IFERROR(OFFSET(MANOR_LEVEL!$B$1,MATCH(AC158-1,MANOR_LEVEL!$A:$A,0)-1,0),0)</f>
        <v>119976300</v>
      </c>
      <c r="AC158" s="55">
        <v>17</v>
      </c>
      <c r="AE158" s="55">
        <f t="shared" ca="1" si="54"/>
        <v>5160450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5160450</v>
      </c>
      <c r="AG158" s="176">
        <f t="shared" ca="1" si="49"/>
        <v>8445800</v>
      </c>
      <c r="AI158" s="11">
        <f t="shared" si="47"/>
        <v>2400</v>
      </c>
      <c r="AJ158" s="10">
        <v>2400</v>
      </c>
      <c r="AK158" s="11">
        <f t="shared" si="55"/>
        <v>450</v>
      </c>
      <c r="AL158" s="10">
        <v>450</v>
      </c>
      <c r="AM158" s="11">
        <v>310000</v>
      </c>
      <c r="AN158" s="10">
        <v>0</v>
      </c>
      <c r="AO158" s="55">
        <f t="shared" si="48"/>
        <v>1</v>
      </c>
      <c r="AQ158" s="11">
        <f ca="1">IFERROR(OFFSET(ITEM_RES!$A$1,MATCH(AR158,ITEM_RES!$J:$J,0)-1,0),0)</f>
        <v>211020901</v>
      </c>
      <c r="AR158" s="10" t="s">
        <v>1066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3"/>
        <v>0</v>
      </c>
    </row>
    <row r="159" spans="1:66" x14ac:dyDescent="0.3">
      <c r="A159" s="14">
        <f t="shared" si="50"/>
        <v>111060015</v>
      </c>
      <c r="B159" s="13">
        <v>11</v>
      </c>
      <c r="C159" s="12">
        <f t="shared" si="51"/>
        <v>1</v>
      </c>
      <c r="D159" s="13">
        <v>6</v>
      </c>
      <c r="E159" s="13">
        <v>0</v>
      </c>
      <c r="F159" s="12">
        <f t="shared" si="52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1422</v>
      </c>
      <c r="P159" s="55" t="s">
        <v>1424</v>
      </c>
      <c r="Q159" s="9" t="s">
        <v>691</v>
      </c>
      <c r="T159" s="9">
        <f ca="1">IFERROR(OFFSET(ITEM_RES!$A$5,MATCH(BUILDING!S159,ITEM_RES!$J$5:$J$229,0)-1,0),0)</f>
        <v>0</v>
      </c>
      <c r="V159" s="81" t="s">
        <v>530</v>
      </c>
      <c r="W159" s="11">
        <f ca="1">IFERROR(OFFSET(ITEM_RES!$A$5,MATCH(BUILDING!V159,ITEM_RES!$J$5:$J$229,0)-1,0),0)</f>
        <v>211010501</v>
      </c>
      <c r="Y159" s="9" t="s">
        <v>502</v>
      </c>
      <c r="Z159" s="9">
        <v>15</v>
      </c>
      <c r="AB159" s="11">
        <f ca="1">IFERROR(OFFSET(MANOR_LEVEL!$B$1,MATCH(AC159-1,MANOR_LEVEL!$A:$A,0)-1,0),0)</f>
        <v>223207650</v>
      </c>
      <c r="AC159" s="55">
        <v>18</v>
      </c>
      <c r="AE159" s="55">
        <f t="shared" ca="1" si="54"/>
        <v>10985550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10985550</v>
      </c>
      <c r="AG159" s="176">
        <f t="shared" ca="1" si="49"/>
        <v>16146000</v>
      </c>
      <c r="AI159" s="11">
        <f t="shared" si="47"/>
        <v>2700</v>
      </c>
      <c r="AJ159" s="10">
        <v>2700</v>
      </c>
      <c r="AK159" s="11">
        <f t="shared" si="55"/>
        <v>550</v>
      </c>
      <c r="AL159" s="10">
        <v>550</v>
      </c>
      <c r="AM159" s="11">
        <v>485000</v>
      </c>
      <c r="AN159" s="10">
        <v>0</v>
      </c>
      <c r="AO159" s="55">
        <f t="shared" si="48"/>
        <v>1</v>
      </c>
      <c r="AQ159" s="11">
        <f ca="1">IFERROR(OFFSET(ITEM_RES!$A$1,MATCH(AR159,ITEM_RES!$J:$J,0)-1,0),0)</f>
        <v>211020901</v>
      </c>
      <c r="AR159" s="10" t="s">
        <v>1066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3"/>
        <v>0</v>
      </c>
    </row>
    <row r="160" spans="1:66" x14ac:dyDescent="0.3">
      <c r="A160" s="14">
        <f t="shared" si="50"/>
        <v>111060016</v>
      </c>
      <c r="B160" s="13">
        <v>11</v>
      </c>
      <c r="C160" s="12">
        <f t="shared" si="51"/>
        <v>1</v>
      </c>
      <c r="D160" s="13">
        <v>6</v>
      </c>
      <c r="E160" s="13">
        <v>0</v>
      </c>
      <c r="F160" s="12">
        <f t="shared" si="52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1422</v>
      </c>
      <c r="P160" s="55" t="s">
        <v>1424</v>
      </c>
      <c r="Q160" s="9" t="s">
        <v>691</v>
      </c>
      <c r="T160" s="9">
        <f ca="1">IFERROR(OFFSET(ITEM_RES!$A$5,MATCH(BUILDING!S160,ITEM_RES!$J$5:$J$229,0)-1,0),0)</f>
        <v>0</v>
      </c>
      <c r="V160" s="81" t="s">
        <v>530</v>
      </c>
      <c r="W160" s="11">
        <f ca="1">IFERROR(OFFSET(ITEM_RES!$A$5,MATCH(BUILDING!V160,ITEM_RES!$J$5:$J$229,0)-1,0),0)</f>
        <v>211010501</v>
      </c>
      <c r="Y160" s="9" t="s">
        <v>502</v>
      </c>
      <c r="Z160" s="9">
        <v>16</v>
      </c>
      <c r="AB160" s="11">
        <f ca="1">IFERROR(OFFSET(MANOR_LEVEL!$B$1,MATCH(AC160-1,MANOR_LEVEL!$A:$A,0)-1,0),0)</f>
        <v>223207650</v>
      </c>
      <c r="AC160" s="55">
        <v>18</v>
      </c>
      <c r="AE160" s="55">
        <f t="shared" ca="1" si="54"/>
        <v>22550700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22550700</v>
      </c>
      <c r="AG160" s="176">
        <f t="shared" ca="1" si="49"/>
        <v>33536250</v>
      </c>
      <c r="AI160" s="11">
        <f t="shared" si="47"/>
        <v>3000</v>
      </c>
      <c r="AJ160" s="10">
        <v>3000</v>
      </c>
      <c r="AK160" s="11">
        <f t="shared" si="55"/>
        <v>700</v>
      </c>
      <c r="AL160" s="10">
        <v>700</v>
      </c>
      <c r="AM160" s="11">
        <v>1050000</v>
      </c>
      <c r="AN160" s="10">
        <v>0</v>
      </c>
      <c r="AO160" s="55">
        <f t="shared" si="48"/>
        <v>1</v>
      </c>
      <c r="AQ160" s="11">
        <f ca="1">IFERROR(OFFSET(ITEM_RES!$A$1,MATCH(AR160,ITEM_RES!$J:$J,0)-1,0),0)</f>
        <v>211020901</v>
      </c>
      <c r="AR160" s="10" t="s">
        <v>1066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3"/>
        <v>0</v>
      </c>
    </row>
    <row r="161" spans="1:66" x14ac:dyDescent="0.3">
      <c r="A161" s="14">
        <f t="shared" si="50"/>
        <v>111060017</v>
      </c>
      <c r="B161" s="13">
        <v>11</v>
      </c>
      <c r="C161" s="12">
        <f t="shared" si="51"/>
        <v>1</v>
      </c>
      <c r="D161" s="13">
        <v>6</v>
      </c>
      <c r="E161" s="13">
        <v>0</v>
      </c>
      <c r="F161" s="12">
        <f t="shared" si="52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1422</v>
      </c>
      <c r="P161" s="55" t="s">
        <v>1424</v>
      </c>
      <c r="Q161" s="9" t="s">
        <v>691</v>
      </c>
      <c r="T161" s="9">
        <f ca="1">IFERROR(OFFSET(ITEM_RES!$A$5,MATCH(BUILDING!S161,ITEM_RES!$J$5:$J$229,0)-1,0),0)</f>
        <v>0</v>
      </c>
      <c r="V161" s="81" t="s">
        <v>530</v>
      </c>
      <c r="W161" s="11">
        <f ca="1">IFERROR(OFFSET(ITEM_RES!$A$5,MATCH(BUILDING!V161,ITEM_RES!$J$5:$J$229,0)-1,0),0)</f>
        <v>211010501</v>
      </c>
      <c r="Y161" s="9" t="s">
        <v>502</v>
      </c>
      <c r="Z161" s="9">
        <v>17</v>
      </c>
      <c r="AB161" s="11">
        <f ca="1">IFERROR(OFFSET(MANOR_LEVEL!$B$1,MATCH(AC161-1,MANOR_LEVEL!$A:$A,0)-1,0),0)</f>
        <v>223207650</v>
      </c>
      <c r="AC161" s="55">
        <v>18</v>
      </c>
      <c r="AE161" s="55">
        <f t="shared" ca="1" si="54"/>
        <v>42150850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42150850</v>
      </c>
      <c r="AG161" s="176">
        <f t="shared" ca="1" si="49"/>
        <v>64701550</v>
      </c>
      <c r="AI161" s="11">
        <f t="shared" si="47"/>
        <v>3300</v>
      </c>
      <c r="AJ161" s="10">
        <v>3300</v>
      </c>
      <c r="AK161" s="11">
        <f t="shared" si="55"/>
        <v>850</v>
      </c>
      <c r="AL161" s="10">
        <v>850</v>
      </c>
      <c r="AM161" s="11">
        <v>2150000</v>
      </c>
      <c r="AN161" s="10">
        <v>0</v>
      </c>
      <c r="AO161" s="55">
        <f t="shared" si="48"/>
        <v>1</v>
      </c>
      <c r="AQ161" s="11">
        <f ca="1">IFERROR(OFFSET(ITEM_RES!$A$1,MATCH(AR161,ITEM_RES!$J:$J,0)-1,0),0)</f>
        <v>211020901</v>
      </c>
      <c r="AR161" s="10" t="s">
        <v>1066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3"/>
        <v>0</v>
      </c>
    </row>
    <row r="162" spans="1:66" x14ac:dyDescent="0.3">
      <c r="A162" s="14">
        <f t="shared" si="50"/>
        <v>111060018</v>
      </c>
      <c r="B162" s="13">
        <v>11</v>
      </c>
      <c r="C162" s="12">
        <f t="shared" si="51"/>
        <v>1</v>
      </c>
      <c r="D162" s="13">
        <v>6</v>
      </c>
      <c r="E162" s="13">
        <v>0</v>
      </c>
      <c r="F162" s="12">
        <f t="shared" si="52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1422</v>
      </c>
      <c r="P162" s="55" t="s">
        <v>1424</v>
      </c>
      <c r="Q162" s="9" t="s">
        <v>691</v>
      </c>
      <c r="T162" s="9">
        <f ca="1">IFERROR(OFFSET(ITEM_RES!$A$5,MATCH(BUILDING!S162,ITEM_RES!$J$5:$J$229,0)-1,0),0)</f>
        <v>0</v>
      </c>
      <c r="V162" s="81" t="s">
        <v>530</v>
      </c>
      <c r="W162" s="11">
        <f ca="1">IFERROR(OFFSET(ITEM_RES!$A$5,MATCH(BUILDING!V162,ITEM_RES!$J$5:$J$229,0)-1,0),0)</f>
        <v>211010501</v>
      </c>
      <c r="Y162" s="9" t="s">
        <v>502</v>
      </c>
      <c r="Z162" s="9">
        <v>18</v>
      </c>
      <c r="AB162" s="11">
        <f ca="1">IFERROR(OFFSET(MANOR_LEVEL!$B$1,MATCH(AC162-1,MANOR_LEVEL!$A:$A,0)-1,0),0)</f>
        <v>223207650</v>
      </c>
      <c r="AC162" s="55">
        <v>18</v>
      </c>
      <c r="AE162" s="55">
        <f t="shared" ca="1" si="54"/>
        <v>69001050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69001050</v>
      </c>
      <c r="AG162" s="176">
        <f t="shared" ca="1" si="49"/>
        <v>111151900</v>
      </c>
      <c r="AI162" s="11">
        <f t="shared" si="47"/>
        <v>3600</v>
      </c>
      <c r="AJ162" s="10">
        <v>3600</v>
      </c>
      <c r="AK162" s="11">
        <f t="shared" si="55"/>
        <v>1050</v>
      </c>
      <c r="AL162" s="10">
        <v>1050</v>
      </c>
      <c r="AM162" s="11">
        <v>4000000</v>
      </c>
      <c r="AN162" s="10">
        <v>0</v>
      </c>
      <c r="AO162" s="55">
        <f t="shared" si="48"/>
        <v>1</v>
      </c>
      <c r="AQ162" s="11">
        <f ca="1">IFERROR(OFFSET(ITEM_RES!$A$1,MATCH(AR162,ITEM_RES!$J:$J,0)-1,0),0)</f>
        <v>211020901</v>
      </c>
      <c r="AR162" s="10" t="s">
        <v>1066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3"/>
        <v>0</v>
      </c>
    </row>
    <row r="163" spans="1:66" x14ac:dyDescent="0.3">
      <c r="A163" s="14">
        <f t="shared" si="50"/>
        <v>111060019</v>
      </c>
      <c r="B163" s="13">
        <v>11</v>
      </c>
      <c r="C163" s="12">
        <f t="shared" si="51"/>
        <v>1</v>
      </c>
      <c r="D163" s="13">
        <v>6</v>
      </c>
      <c r="E163" s="13">
        <v>0</v>
      </c>
      <c r="F163" s="12">
        <f t="shared" si="52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1422</v>
      </c>
      <c r="P163" s="55" t="s">
        <v>1424</v>
      </c>
      <c r="Q163" s="9" t="s">
        <v>691</v>
      </c>
      <c r="T163" s="9">
        <f ca="1">IFERROR(OFFSET(ITEM_RES!$A$5,MATCH(BUILDING!S163,ITEM_RES!$J$5:$J$229,0)-1,0),0)</f>
        <v>0</v>
      </c>
      <c r="V163" s="81" t="s">
        <v>530</v>
      </c>
      <c r="W163" s="11">
        <f ca="1">IFERROR(OFFSET(ITEM_RES!$A$5,MATCH(BUILDING!V163,ITEM_RES!$J$5:$J$229,0)-1,0),0)</f>
        <v>211010501</v>
      </c>
      <c r="Y163" s="9" t="s">
        <v>502</v>
      </c>
      <c r="Z163" s="9">
        <v>19</v>
      </c>
      <c r="AB163" s="11">
        <f ca="1">IFERROR(OFFSET(MANOR_LEVEL!$B$1,MATCH(AC163-1,MANOR_LEVEL!$A:$A,0)-1,0),0)</f>
        <v>223207650</v>
      </c>
      <c r="AC163" s="55">
        <v>18</v>
      </c>
      <c r="AE163" s="55">
        <f t="shared" ca="1" si="54"/>
        <v>106501250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106501250</v>
      </c>
      <c r="AG163" s="176">
        <f t="shared" ca="1" si="49"/>
        <v>175502300</v>
      </c>
      <c r="AI163" s="11">
        <f t="shared" si="47"/>
        <v>3900</v>
      </c>
      <c r="AJ163" s="10">
        <v>3900</v>
      </c>
      <c r="AK163" s="11">
        <f t="shared" si="55"/>
        <v>1250</v>
      </c>
      <c r="AL163" s="10">
        <v>1250</v>
      </c>
      <c r="AM163" s="11">
        <v>6500000</v>
      </c>
      <c r="AN163" s="10">
        <v>0</v>
      </c>
      <c r="AO163" s="55">
        <f t="shared" si="48"/>
        <v>1</v>
      </c>
      <c r="AQ163" s="11">
        <f ca="1">IFERROR(OFFSET(ITEM_RES!$A$1,MATCH(AR163,ITEM_RES!$J:$J,0)-1,0),0)</f>
        <v>211020901</v>
      </c>
      <c r="AR163" s="10" t="s">
        <v>1066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3"/>
        <v>0</v>
      </c>
    </row>
    <row r="164" spans="1:66" ht="17.25" thickBot="1" x14ac:dyDescent="0.35">
      <c r="A164" s="14">
        <f t="shared" si="50"/>
        <v>111060020</v>
      </c>
      <c r="B164" s="13">
        <v>11</v>
      </c>
      <c r="C164" s="12">
        <f t="shared" si="51"/>
        <v>1</v>
      </c>
      <c r="D164" s="13">
        <v>6</v>
      </c>
      <c r="E164" s="13">
        <v>0</v>
      </c>
      <c r="F164" s="12">
        <f t="shared" si="52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1422</v>
      </c>
      <c r="P164" s="55" t="s">
        <v>1424</v>
      </c>
      <c r="Q164" s="9" t="s">
        <v>691</v>
      </c>
      <c r="T164" s="9">
        <f ca="1">IFERROR(OFFSET(ITEM_RES!$A$5,MATCH(BUILDING!S164,ITEM_RES!$J$5:$J$229,0)-1,0),0)</f>
        <v>0</v>
      </c>
      <c r="V164" s="81" t="s">
        <v>530</v>
      </c>
      <c r="W164" s="11">
        <f ca="1">IFERROR(OFFSET(ITEM_RES!$A$5,MATCH(BUILDING!V164,ITEM_RES!$J$5:$J$229,0)-1,0),0)</f>
        <v>211010501</v>
      </c>
      <c r="Y164" s="9" t="s">
        <v>502</v>
      </c>
      <c r="Z164" s="9">
        <v>20</v>
      </c>
      <c r="AB164" s="11">
        <f ca="1">IFERROR(OFFSET(MANOR_LEVEL!$B$1,MATCH(AC164-1,MANOR_LEVEL!$A:$A,0)-1,0),0)</f>
        <v>403010500</v>
      </c>
      <c r="AC164" s="55">
        <v>19</v>
      </c>
      <c r="AE164" s="55">
        <f t="shared" ca="1" si="54"/>
        <v>170001500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170001500</v>
      </c>
      <c r="AG164" s="176">
        <f t="shared" ca="1" si="49"/>
        <v>276502750</v>
      </c>
      <c r="AI164" s="11">
        <f t="shared" si="47"/>
        <v>4200</v>
      </c>
      <c r="AJ164" s="10">
        <v>4200</v>
      </c>
      <c r="AK164" s="11">
        <f t="shared" si="55"/>
        <v>1500</v>
      </c>
      <c r="AL164" s="10">
        <v>1500</v>
      </c>
      <c r="AM164" s="11">
        <v>10000000</v>
      </c>
      <c r="AN164" s="10">
        <v>0</v>
      </c>
      <c r="AO164" s="55">
        <f t="shared" si="48"/>
        <v>1</v>
      </c>
      <c r="AQ164" s="11">
        <f ca="1">IFERROR(OFFSET(ITEM_RES!$A$1,MATCH(AR164,ITEM_RES!$J:$J,0)-1,0),0)</f>
        <v>211020901</v>
      </c>
      <c r="AR164" s="10" t="s">
        <v>1066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3"/>
        <v>0</v>
      </c>
    </row>
    <row r="165" spans="1:66" s="15" customFormat="1" x14ac:dyDescent="0.3">
      <c r="A165" s="21">
        <f t="shared" si="50"/>
        <v>112030001</v>
      </c>
      <c r="B165" s="20">
        <v>11</v>
      </c>
      <c r="C165" s="19">
        <f t="shared" si="51"/>
        <v>2</v>
      </c>
      <c r="D165" s="20">
        <v>3</v>
      </c>
      <c r="E165" s="20">
        <v>0</v>
      </c>
      <c r="F165" s="19">
        <f t="shared" si="52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743</v>
      </c>
      <c r="P165" s="56" t="s">
        <v>1363</v>
      </c>
      <c r="Q165" s="16" t="s">
        <v>674</v>
      </c>
      <c r="R165" s="76"/>
      <c r="S165" s="83" t="s">
        <v>530</v>
      </c>
      <c r="T165" s="16">
        <f ca="1">IFERROR(OFFSET(ITEM_RES!$A$5,MATCH(BUILDING!S165,ITEM_RES!$J$5:$J$229,0)-1,0),0)</f>
        <v>211010501</v>
      </c>
      <c r="U165" s="18">
        <v>1</v>
      </c>
      <c r="V165" s="83" t="s">
        <v>531</v>
      </c>
      <c r="W165" s="18">
        <f ca="1">IFERROR(OFFSET(ITEM_RES!$A$5,MATCH(BUILDING!V165,ITEM_RES!$J$5:$J$229,0)-1,0),0)</f>
        <v>211010601</v>
      </c>
      <c r="X165" s="76"/>
      <c r="Y165" s="16" t="s">
        <v>503</v>
      </c>
      <c r="Z165" s="16">
        <v>1</v>
      </c>
      <c r="AA165" s="76"/>
      <c r="AB165" s="18">
        <f ca="1">IFERROR(OFFSET(MANOR_LEVEL!$B$1,MATCH(AC165-1,MANOR_LEVEL!$A:$A,0)-1,0),0)</f>
        <v>3961500</v>
      </c>
      <c r="AC165" s="56">
        <v>12</v>
      </c>
      <c r="AD165" s="76"/>
      <c r="AE165" s="56">
        <f t="shared" ca="1" si="54"/>
        <v>1205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1205</v>
      </c>
      <c r="AG165" s="178">
        <f ca="1">AE165</f>
        <v>1205</v>
      </c>
      <c r="AH165" s="76"/>
      <c r="AI165" s="18">
        <f t="shared" si="47"/>
        <v>3</v>
      </c>
      <c r="AJ165" s="17">
        <v>3</v>
      </c>
      <c r="AK165" s="18">
        <f t="shared" si="55"/>
        <v>5</v>
      </c>
      <c r="AL165" s="17">
        <v>5</v>
      </c>
      <c r="AM165" s="18">
        <f t="shared" si="55"/>
        <v>0</v>
      </c>
      <c r="AN165" s="17">
        <v>0</v>
      </c>
      <c r="AO165" s="56">
        <f t="shared" si="48"/>
        <v>2</v>
      </c>
      <c r="AP165" s="18"/>
      <c r="AQ165" s="18">
        <f ca="1">IFERROR(OFFSET(ITEM_RES!$A$1,MATCH(AR165,ITEM_RES!$J:$J,0)-1,0),0)</f>
        <v>211020801</v>
      </c>
      <c r="AR165" s="17" t="s">
        <v>1065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441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3"/>
        <v>0</v>
      </c>
      <c r="BN165" s="17"/>
    </row>
    <row r="166" spans="1:66" x14ac:dyDescent="0.3">
      <c r="A166" s="14">
        <f t="shared" si="50"/>
        <v>112030002</v>
      </c>
      <c r="B166" s="13">
        <v>11</v>
      </c>
      <c r="C166" s="12">
        <f t="shared" si="51"/>
        <v>2</v>
      </c>
      <c r="D166" s="13">
        <v>3</v>
      </c>
      <c r="E166" s="13">
        <v>0</v>
      </c>
      <c r="F166" s="12">
        <f t="shared" si="52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743</v>
      </c>
      <c r="P166" s="55" t="s">
        <v>1363</v>
      </c>
      <c r="Q166" s="9" t="s">
        <v>674</v>
      </c>
      <c r="S166" s="81" t="s">
        <v>530</v>
      </c>
      <c r="T166" s="9">
        <f ca="1">IFERROR(OFFSET(ITEM_RES!$A$5,MATCH(BUILDING!S166,ITEM_RES!$J$5:$J$229,0)-1,0),0)</f>
        <v>211010501</v>
      </c>
      <c r="U166" s="11">
        <v>1</v>
      </c>
      <c r="V166" s="81" t="s">
        <v>531</v>
      </c>
      <c r="W166" s="11">
        <f ca="1">IFERROR(OFFSET(ITEM_RES!$A$5,MATCH(BUILDING!V166,ITEM_RES!$J$5:$J$229,0)-1,0),0)</f>
        <v>211010601</v>
      </c>
      <c r="Y166" s="9" t="s">
        <v>503</v>
      </c>
      <c r="Z166" s="9">
        <v>2</v>
      </c>
      <c r="AB166" s="11">
        <f ca="1">IFERROR(OFFSET(MANOR_LEVEL!$B$1,MATCH(AC166-1,MANOR_LEVEL!$A:$A,0)-1,0),0)</f>
        <v>3961500</v>
      </c>
      <c r="AC166" s="55">
        <v>12</v>
      </c>
      <c r="AE166" s="55">
        <f t="shared" ca="1" si="54"/>
        <v>410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410</v>
      </c>
      <c r="AG166" s="176">
        <f ca="1">AE165+AE166</f>
        <v>1615</v>
      </c>
      <c r="AI166" s="11">
        <f t="shared" si="47"/>
        <v>5</v>
      </c>
      <c r="AJ166" s="10">
        <v>5</v>
      </c>
      <c r="AK166" s="11">
        <f t="shared" si="55"/>
        <v>10</v>
      </c>
      <c r="AL166" s="10">
        <v>10</v>
      </c>
      <c r="AM166" s="11">
        <f t="shared" si="55"/>
        <v>0</v>
      </c>
      <c r="AN166" s="10">
        <v>0</v>
      </c>
      <c r="AO166" s="55">
        <f t="shared" si="48"/>
        <v>1</v>
      </c>
      <c r="AQ166" s="11">
        <f ca="1">IFERROR(OFFSET(ITEM_RES!$A$1,MATCH(AR166,ITEM_RES!$J:$J,0)-1,0),0)</f>
        <v>211020801</v>
      </c>
      <c r="AR166" s="10" t="s">
        <v>1065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3"/>
        <v>0</v>
      </c>
    </row>
    <row r="167" spans="1:66" x14ac:dyDescent="0.3">
      <c r="A167" s="14">
        <f t="shared" si="50"/>
        <v>112030003</v>
      </c>
      <c r="B167" s="13">
        <v>11</v>
      </c>
      <c r="C167" s="12">
        <f t="shared" si="51"/>
        <v>2</v>
      </c>
      <c r="D167" s="13">
        <v>3</v>
      </c>
      <c r="E167" s="13">
        <v>0</v>
      </c>
      <c r="F167" s="12">
        <f t="shared" si="52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743</v>
      </c>
      <c r="P167" s="55" t="s">
        <v>1363</v>
      </c>
      <c r="Q167" s="9" t="s">
        <v>674</v>
      </c>
      <c r="S167" s="81" t="s">
        <v>530</v>
      </c>
      <c r="T167" s="9">
        <f ca="1">IFERROR(OFFSET(ITEM_RES!$A$5,MATCH(BUILDING!S167,ITEM_RES!$J$5:$J$229,0)-1,0),0)</f>
        <v>211010501</v>
      </c>
      <c r="U167" s="11">
        <v>1</v>
      </c>
      <c r="V167" s="81" t="s">
        <v>531</v>
      </c>
      <c r="W167" s="11">
        <f ca="1">IFERROR(OFFSET(ITEM_RES!$A$5,MATCH(BUILDING!V167,ITEM_RES!$J$5:$J$229,0)-1,0),0)</f>
        <v>211010601</v>
      </c>
      <c r="Y167" s="9" t="s">
        <v>503</v>
      </c>
      <c r="Z167" s="9">
        <v>3</v>
      </c>
      <c r="AB167" s="11">
        <f ca="1">IFERROR(OFFSET(MANOR_LEVEL!$B$1,MATCH(AC167-1,MANOR_LEVEL!$A:$A,0)-1,0),0)</f>
        <v>3961500</v>
      </c>
      <c r="AC167" s="55">
        <v>12</v>
      </c>
      <c r="AE167" s="55">
        <f t="shared" ca="1" si="54"/>
        <v>615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615</v>
      </c>
      <c r="AG167" s="176">
        <f t="shared" ref="AG167:AG184" ca="1" si="56">AE166+AE167</f>
        <v>1025</v>
      </c>
      <c r="AI167" s="11">
        <f t="shared" si="47"/>
        <v>5</v>
      </c>
      <c r="AJ167" s="10">
        <v>5</v>
      </c>
      <c r="AK167" s="11">
        <f t="shared" si="55"/>
        <v>15</v>
      </c>
      <c r="AL167" s="10">
        <v>15</v>
      </c>
      <c r="AM167" s="11">
        <f t="shared" si="55"/>
        <v>0</v>
      </c>
      <c r="AN167" s="10">
        <v>0</v>
      </c>
      <c r="AO167" s="55">
        <f t="shared" si="48"/>
        <v>1</v>
      </c>
      <c r="AQ167" s="11">
        <f ca="1">IFERROR(OFFSET(ITEM_RES!$A$1,MATCH(AR167,ITEM_RES!$J:$J,0)-1,0),0)</f>
        <v>211020801</v>
      </c>
      <c r="AR167" s="10" t="s">
        <v>1065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3"/>
        <v>0</v>
      </c>
    </row>
    <row r="168" spans="1:66" x14ac:dyDescent="0.3">
      <c r="A168" s="14">
        <f t="shared" si="50"/>
        <v>112030004</v>
      </c>
      <c r="B168" s="13">
        <v>11</v>
      </c>
      <c r="C168" s="12">
        <f t="shared" si="51"/>
        <v>2</v>
      </c>
      <c r="D168" s="13">
        <v>3</v>
      </c>
      <c r="E168" s="13">
        <v>0</v>
      </c>
      <c r="F168" s="12">
        <f t="shared" si="52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743</v>
      </c>
      <c r="P168" s="55" t="s">
        <v>1363</v>
      </c>
      <c r="Q168" s="9" t="s">
        <v>674</v>
      </c>
      <c r="S168" s="81" t="s">
        <v>530</v>
      </c>
      <c r="T168" s="9">
        <f ca="1">IFERROR(OFFSET(ITEM_RES!$A$5,MATCH(BUILDING!S168,ITEM_RES!$J$5:$J$229,0)-1,0),0)</f>
        <v>211010501</v>
      </c>
      <c r="U168" s="11">
        <v>1</v>
      </c>
      <c r="V168" s="81" t="s">
        <v>531</v>
      </c>
      <c r="W168" s="11">
        <f ca="1">IFERROR(OFFSET(ITEM_RES!$A$5,MATCH(BUILDING!V168,ITEM_RES!$J$5:$J$229,0)-1,0),0)</f>
        <v>211010601</v>
      </c>
      <c r="Y168" s="9" t="s">
        <v>503</v>
      </c>
      <c r="Z168" s="9">
        <v>4</v>
      </c>
      <c r="AB168" s="11">
        <f ca="1">IFERROR(OFFSET(MANOR_LEVEL!$B$1,MATCH(AC168-1,MANOR_LEVEL!$A:$A,0)-1,0),0)</f>
        <v>3961500</v>
      </c>
      <c r="AC168" s="55">
        <v>12</v>
      </c>
      <c r="AE168" s="55">
        <f t="shared" ca="1" si="54"/>
        <v>2425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2425</v>
      </c>
      <c r="AG168" s="176">
        <f t="shared" ca="1" si="56"/>
        <v>3040</v>
      </c>
      <c r="AI168" s="11">
        <f t="shared" si="47"/>
        <v>10</v>
      </c>
      <c r="AJ168" s="10">
        <v>10</v>
      </c>
      <c r="AK168" s="11">
        <f t="shared" si="55"/>
        <v>25</v>
      </c>
      <c r="AL168" s="10">
        <v>25</v>
      </c>
      <c r="AM168" s="11">
        <f t="shared" si="55"/>
        <v>0</v>
      </c>
      <c r="AN168" s="10">
        <v>0</v>
      </c>
      <c r="AO168" s="55">
        <f t="shared" si="48"/>
        <v>1</v>
      </c>
      <c r="AQ168" s="11">
        <f ca="1">IFERROR(OFFSET(ITEM_RES!$A$1,MATCH(AR168,ITEM_RES!$J:$J,0)-1,0),0)</f>
        <v>211020801</v>
      </c>
      <c r="AR168" s="10" t="s">
        <v>1065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3"/>
        <v>0</v>
      </c>
    </row>
    <row r="169" spans="1:66" x14ac:dyDescent="0.3">
      <c r="A169" s="14">
        <f t="shared" si="50"/>
        <v>112030005</v>
      </c>
      <c r="B169" s="13">
        <v>11</v>
      </c>
      <c r="C169" s="12">
        <f t="shared" si="51"/>
        <v>2</v>
      </c>
      <c r="D169" s="13">
        <v>3</v>
      </c>
      <c r="E169" s="13">
        <v>0</v>
      </c>
      <c r="F169" s="12">
        <f t="shared" si="52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743</v>
      </c>
      <c r="P169" s="55" t="s">
        <v>1363</v>
      </c>
      <c r="Q169" s="9" t="s">
        <v>674</v>
      </c>
      <c r="S169" s="81" t="s">
        <v>530</v>
      </c>
      <c r="T169" s="9">
        <f ca="1">IFERROR(OFFSET(ITEM_RES!$A$5,MATCH(BUILDING!S169,ITEM_RES!$J$5:$J$229,0)-1,0),0)</f>
        <v>211010501</v>
      </c>
      <c r="U169" s="11">
        <v>1</v>
      </c>
      <c r="V169" s="81" t="s">
        <v>531</v>
      </c>
      <c r="W169" s="11">
        <f ca="1">IFERROR(OFFSET(ITEM_RES!$A$5,MATCH(BUILDING!V169,ITEM_RES!$J$5:$J$229,0)-1,0),0)</f>
        <v>211010601</v>
      </c>
      <c r="Y169" s="9" t="s">
        <v>503</v>
      </c>
      <c r="Z169" s="9">
        <v>5</v>
      </c>
      <c r="AB169" s="11">
        <f ca="1">IFERROR(OFFSET(MANOR_LEVEL!$B$1,MATCH(AC169-1,MANOR_LEVEL!$A:$A,0)-1,0),0)</f>
        <v>3961500</v>
      </c>
      <c r="AC169" s="55">
        <v>12</v>
      </c>
      <c r="AE169" s="55">
        <f t="shared" ca="1" si="54"/>
        <v>10840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10840</v>
      </c>
      <c r="AG169" s="176">
        <f t="shared" ca="1" si="56"/>
        <v>13265</v>
      </c>
      <c r="AI169" s="11">
        <f t="shared" si="47"/>
        <v>15</v>
      </c>
      <c r="AJ169" s="10">
        <v>15</v>
      </c>
      <c r="AK169" s="11">
        <f t="shared" si="55"/>
        <v>40</v>
      </c>
      <c r="AL169" s="10">
        <v>40</v>
      </c>
      <c r="AM169" s="11">
        <f t="shared" si="55"/>
        <v>0</v>
      </c>
      <c r="AN169" s="10">
        <v>0</v>
      </c>
      <c r="AO169" s="55">
        <f t="shared" si="48"/>
        <v>1</v>
      </c>
      <c r="AQ169" s="11">
        <f ca="1">IFERROR(OFFSET(ITEM_RES!$A$1,MATCH(AR169,ITEM_RES!$J:$J,0)-1,0),0)</f>
        <v>211020801</v>
      </c>
      <c r="AR169" s="10" t="s">
        <v>1065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3"/>
        <v>0</v>
      </c>
    </row>
    <row r="170" spans="1:66" x14ac:dyDescent="0.3">
      <c r="A170" s="14">
        <f t="shared" si="50"/>
        <v>112030006</v>
      </c>
      <c r="B170" s="13">
        <v>11</v>
      </c>
      <c r="C170" s="12">
        <f t="shared" si="51"/>
        <v>2</v>
      </c>
      <c r="D170" s="13">
        <v>3</v>
      </c>
      <c r="E170" s="13">
        <v>0</v>
      </c>
      <c r="F170" s="12">
        <f t="shared" si="52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743</v>
      </c>
      <c r="P170" s="55" t="s">
        <v>1363</v>
      </c>
      <c r="Q170" s="9" t="s">
        <v>674</v>
      </c>
      <c r="S170" s="81" t="s">
        <v>530</v>
      </c>
      <c r="T170" s="9">
        <f ca="1">IFERROR(OFFSET(ITEM_RES!$A$5,MATCH(BUILDING!S170,ITEM_RES!$J$5:$J$229,0)-1,0),0)</f>
        <v>211010501</v>
      </c>
      <c r="U170" s="11">
        <v>1</v>
      </c>
      <c r="V170" s="81" t="s">
        <v>531</v>
      </c>
      <c r="W170" s="11">
        <f ca="1">IFERROR(OFFSET(ITEM_RES!$A$5,MATCH(BUILDING!V170,ITEM_RES!$J$5:$J$229,0)-1,0),0)</f>
        <v>211010601</v>
      </c>
      <c r="Y170" s="9" t="s">
        <v>503</v>
      </c>
      <c r="Z170" s="9">
        <v>6</v>
      </c>
      <c r="AB170" s="11">
        <f ca="1">IFERROR(OFFSET(MANOR_LEVEL!$B$1,MATCH(AC170-1,MANOR_LEVEL!$A:$A,0)-1,0),0)</f>
        <v>3961500</v>
      </c>
      <c r="AC170" s="55">
        <v>12</v>
      </c>
      <c r="AE170" s="55">
        <f t="shared" ca="1" si="54"/>
        <v>36050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36050</v>
      </c>
      <c r="AG170" s="176">
        <f t="shared" ca="1" si="56"/>
        <v>46890</v>
      </c>
      <c r="AI170" s="11">
        <f t="shared" si="47"/>
        <v>30</v>
      </c>
      <c r="AJ170" s="10">
        <v>30</v>
      </c>
      <c r="AK170" s="11">
        <f t="shared" si="55"/>
        <v>50</v>
      </c>
      <c r="AL170" s="10">
        <v>50</v>
      </c>
      <c r="AM170" s="11">
        <f t="shared" si="55"/>
        <v>0</v>
      </c>
      <c r="AN170" s="10">
        <v>0</v>
      </c>
      <c r="AO170" s="55">
        <f t="shared" si="48"/>
        <v>1</v>
      </c>
      <c r="AQ170" s="11">
        <f ca="1">IFERROR(OFFSET(ITEM_RES!$A$1,MATCH(AR170,ITEM_RES!$J:$J,0)-1,0),0)</f>
        <v>211020801</v>
      </c>
      <c r="AR170" s="10" t="s">
        <v>1065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3"/>
        <v>0</v>
      </c>
    </row>
    <row r="171" spans="1:66" x14ac:dyDescent="0.3">
      <c r="A171" s="14">
        <f t="shared" si="50"/>
        <v>112030007</v>
      </c>
      <c r="B171" s="13">
        <v>11</v>
      </c>
      <c r="C171" s="12">
        <f t="shared" si="51"/>
        <v>2</v>
      </c>
      <c r="D171" s="13">
        <v>3</v>
      </c>
      <c r="E171" s="13">
        <v>0</v>
      </c>
      <c r="F171" s="12">
        <f t="shared" si="52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743</v>
      </c>
      <c r="P171" s="55" t="s">
        <v>1363</v>
      </c>
      <c r="Q171" s="9" t="s">
        <v>674</v>
      </c>
      <c r="S171" s="81" t="s">
        <v>530</v>
      </c>
      <c r="T171" s="9">
        <f ca="1">IFERROR(OFFSET(ITEM_RES!$A$5,MATCH(BUILDING!S171,ITEM_RES!$J$5:$J$229,0)-1,0),0)</f>
        <v>211010501</v>
      </c>
      <c r="U171" s="11">
        <v>1</v>
      </c>
      <c r="V171" s="81" t="s">
        <v>531</v>
      </c>
      <c r="W171" s="11">
        <f ca="1">IFERROR(OFFSET(ITEM_RES!$A$5,MATCH(BUILDING!V171,ITEM_RES!$J$5:$J$229,0)-1,0),0)</f>
        <v>211010601</v>
      </c>
      <c r="Y171" s="9" t="s">
        <v>503</v>
      </c>
      <c r="Z171" s="9">
        <v>7</v>
      </c>
      <c r="AB171" s="11">
        <f ca="1">IFERROR(OFFSET(MANOR_LEVEL!$B$1,MATCH(AC171-1,MANOR_LEVEL!$A:$A,0)-1,0),0)</f>
        <v>3961500</v>
      </c>
      <c r="AC171" s="55">
        <v>12</v>
      </c>
      <c r="AE171" s="55">
        <f t="shared" ca="1" si="54"/>
        <v>80100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80100</v>
      </c>
      <c r="AG171" s="176">
        <f t="shared" ca="1" si="56"/>
        <v>116150</v>
      </c>
      <c r="AI171" s="11">
        <f t="shared" si="47"/>
        <v>300</v>
      </c>
      <c r="AJ171" s="10">
        <v>300</v>
      </c>
      <c r="AK171" s="11">
        <f t="shared" si="55"/>
        <v>100</v>
      </c>
      <c r="AL171" s="10">
        <v>100</v>
      </c>
      <c r="AM171" s="11">
        <f t="shared" si="55"/>
        <v>0</v>
      </c>
      <c r="AN171" s="10">
        <v>0</v>
      </c>
      <c r="AO171" s="55">
        <f t="shared" si="48"/>
        <v>1</v>
      </c>
      <c r="AQ171" s="11">
        <f ca="1">IFERROR(OFFSET(ITEM_RES!$A$1,MATCH(AR171,ITEM_RES!$J:$J,0)-1,0),0)</f>
        <v>211020801</v>
      </c>
      <c r="AR171" s="10" t="s">
        <v>1065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3"/>
        <v>0</v>
      </c>
    </row>
    <row r="172" spans="1:66" x14ac:dyDescent="0.3">
      <c r="A172" s="14">
        <f t="shared" si="50"/>
        <v>112030008</v>
      </c>
      <c r="B172" s="13">
        <v>11</v>
      </c>
      <c r="C172" s="12">
        <f t="shared" si="51"/>
        <v>2</v>
      </c>
      <c r="D172" s="13">
        <v>3</v>
      </c>
      <c r="E172" s="13">
        <v>0</v>
      </c>
      <c r="F172" s="12">
        <f t="shared" si="52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743</v>
      </c>
      <c r="P172" s="55" t="s">
        <v>1363</v>
      </c>
      <c r="Q172" s="9" t="s">
        <v>674</v>
      </c>
      <c r="S172" s="81" t="s">
        <v>530</v>
      </c>
      <c r="T172" s="9">
        <f ca="1">IFERROR(OFFSET(ITEM_RES!$A$5,MATCH(BUILDING!S172,ITEM_RES!$J$5:$J$229,0)-1,0),0)</f>
        <v>211010501</v>
      </c>
      <c r="U172" s="11">
        <v>1</v>
      </c>
      <c r="V172" s="81" t="s">
        <v>531</v>
      </c>
      <c r="W172" s="11">
        <f ca="1">IFERROR(OFFSET(ITEM_RES!$A$5,MATCH(BUILDING!V172,ITEM_RES!$J$5:$J$229,0)-1,0),0)</f>
        <v>211010601</v>
      </c>
      <c r="Y172" s="9" t="s">
        <v>503</v>
      </c>
      <c r="Z172" s="9">
        <v>8</v>
      </c>
      <c r="AB172" s="11">
        <f ca="1">IFERROR(OFFSET(MANOR_LEVEL!$B$1,MATCH(AC172-1,MANOR_LEVEL!$A:$A,0)-1,0),0)</f>
        <v>3961500</v>
      </c>
      <c r="AC172" s="55">
        <v>12</v>
      </c>
      <c r="AE172" s="55">
        <f t="shared" ca="1" si="54"/>
        <v>168600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168600</v>
      </c>
      <c r="AG172" s="176">
        <f t="shared" ca="1" si="56"/>
        <v>248700</v>
      </c>
      <c r="AI172" s="11">
        <f t="shared" si="47"/>
        <v>600</v>
      </c>
      <c r="AJ172" s="10">
        <v>600</v>
      </c>
      <c r="AK172" s="11">
        <f t="shared" si="55"/>
        <v>100</v>
      </c>
      <c r="AL172" s="10">
        <v>100</v>
      </c>
      <c r="AM172" s="11">
        <v>500</v>
      </c>
      <c r="AN172" s="10">
        <v>0</v>
      </c>
      <c r="AO172" s="55">
        <f t="shared" si="48"/>
        <v>1</v>
      </c>
      <c r="AQ172" s="11">
        <f ca="1">IFERROR(OFFSET(ITEM_RES!$A$1,MATCH(AR172,ITEM_RES!$J:$J,0)-1,0),0)</f>
        <v>211020801</v>
      </c>
      <c r="AR172" s="10" t="s">
        <v>1065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3"/>
        <v>0</v>
      </c>
    </row>
    <row r="173" spans="1:66" x14ac:dyDescent="0.3">
      <c r="A173" s="14">
        <f t="shared" si="50"/>
        <v>112030009</v>
      </c>
      <c r="B173" s="13">
        <v>11</v>
      </c>
      <c r="C173" s="12">
        <f t="shared" si="51"/>
        <v>2</v>
      </c>
      <c r="D173" s="13">
        <v>3</v>
      </c>
      <c r="E173" s="13">
        <v>0</v>
      </c>
      <c r="F173" s="12">
        <f t="shared" si="52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743</v>
      </c>
      <c r="P173" s="55" t="s">
        <v>1363</v>
      </c>
      <c r="Q173" s="9" t="s">
        <v>674</v>
      </c>
      <c r="S173" s="81" t="s">
        <v>530</v>
      </c>
      <c r="T173" s="9">
        <f ca="1">IFERROR(OFFSET(ITEM_RES!$A$5,MATCH(BUILDING!S173,ITEM_RES!$J$5:$J$229,0)-1,0),0)</f>
        <v>211010501</v>
      </c>
      <c r="U173" s="11">
        <v>1</v>
      </c>
      <c r="V173" s="81" t="s">
        <v>531</v>
      </c>
      <c r="W173" s="11">
        <f ca="1">IFERROR(OFFSET(ITEM_RES!$A$5,MATCH(BUILDING!V173,ITEM_RES!$J$5:$J$229,0)-1,0),0)</f>
        <v>211010601</v>
      </c>
      <c r="Y173" s="9" t="s">
        <v>503</v>
      </c>
      <c r="Z173" s="9">
        <v>9</v>
      </c>
      <c r="AB173" s="11">
        <f ca="1">IFERROR(OFFSET(MANOR_LEVEL!$B$1,MATCH(AC173-1,MANOR_LEVEL!$A:$A,0)-1,0),0)</f>
        <v>3961500</v>
      </c>
      <c r="AC173" s="55">
        <v>12</v>
      </c>
      <c r="AE173" s="55">
        <f t="shared" ca="1" si="54"/>
        <v>318150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318150</v>
      </c>
      <c r="AG173" s="176">
        <f t="shared" ca="1" si="56"/>
        <v>486750</v>
      </c>
      <c r="AI173" s="11">
        <f t="shared" si="47"/>
        <v>900</v>
      </c>
      <c r="AJ173" s="10">
        <v>900</v>
      </c>
      <c r="AK173" s="11">
        <f t="shared" si="55"/>
        <v>150</v>
      </c>
      <c r="AL173" s="10">
        <v>150</v>
      </c>
      <c r="AM173" s="11">
        <v>6000</v>
      </c>
      <c r="AN173" s="10">
        <v>0</v>
      </c>
      <c r="AO173" s="55">
        <f t="shared" si="48"/>
        <v>1</v>
      </c>
      <c r="AQ173" s="11">
        <f ca="1">IFERROR(OFFSET(ITEM_RES!$A$1,MATCH(AR173,ITEM_RES!$J:$J,0)-1,0),0)</f>
        <v>211020801</v>
      </c>
      <c r="AR173" s="10" t="s">
        <v>1065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3"/>
        <v>0</v>
      </c>
    </row>
    <row r="174" spans="1:66" x14ac:dyDescent="0.3">
      <c r="A174" s="14">
        <f t="shared" si="50"/>
        <v>112030010</v>
      </c>
      <c r="B174" s="13">
        <v>11</v>
      </c>
      <c r="C174" s="12">
        <f t="shared" si="51"/>
        <v>2</v>
      </c>
      <c r="D174" s="13">
        <v>3</v>
      </c>
      <c r="E174" s="13">
        <v>0</v>
      </c>
      <c r="F174" s="12">
        <f t="shared" si="52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743</v>
      </c>
      <c r="P174" s="55" t="s">
        <v>1363</v>
      </c>
      <c r="Q174" s="9" t="s">
        <v>674</v>
      </c>
      <c r="S174" s="81" t="s">
        <v>530</v>
      </c>
      <c r="T174" s="9">
        <f ca="1">IFERROR(OFFSET(ITEM_RES!$A$5,MATCH(BUILDING!S174,ITEM_RES!$J$5:$J$229,0)-1,0),0)</f>
        <v>211010501</v>
      </c>
      <c r="U174" s="11">
        <v>1</v>
      </c>
      <c r="V174" s="81" t="s">
        <v>531</v>
      </c>
      <c r="W174" s="11">
        <f ca="1">IFERROR(OFFSET(ITEM_RES!$A$5,MATCH(BUILDING!V174,ITEM_RES!$J$5:$J$229,0)-1,0),0)</f>
        <v>211010601</v>
      </c>
      <c r="Y174" s="9" t="s">
        <v>503</v>
      </c>
      <c r="Z174" s="9">
        <v>10</v>
      </c>
      <c r="AB174" s="11">
        <f ca="1">IFERROR(OFFSET(MANOR_LEVEL!$B$1,MATCH(AC174-1,MANOR_LEVEL!$A:$A,0)-1,0),0)</f>
        <v>3961500</v>
      </c>
      <c r="AC174" s="55">
        <v>12</v>
      </c>
      <c r="AE174" s="55">
        <f t="shared" ca="1" si="54"/>
        <v>559200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559200</v>
      </c>
      <c r="AG174" s="176">
        <f t="shared" ca="1" si="56"/>
        <v>877350</v>
      </c>
      <c r="AI174" s="11">
        <f t="shared" si="47"/>
        <v>1200</v>
      </c>
      <c r="AJ174" s="10">
        <v>1200</v>
      </c>
      <c r="AK174" s="11">
        <f t="shared" si="55"/>
        <v>200</v>
      </c>
      <c r="AL174" s="10">
        <v>200</v>
      </c>
      <c r="AM174" s="11">
        <v>39000</v>
      </c>
      <c r="AN174" s="10">
        <v>0</v>
      </c>
      <c r="AO174" s="55">
        <f t="shared" si="48"/>
        <v>1</v>
      </c>
      <c r="AQ174" s="11">
        <f ca="1">IFERROR(OFFSET(ITEM_RES!$A$1,MATCH(AR174,ITEM_RES!$J:$J,0)-1,0),0)</f>
        <v>211020801</v>
      </c>
      <c r="AR174" s="10" t="s">
        <v>1065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3"/>
        <v>0</v>
      </c>
    </row>
    <row r="175" spans="1:66" x14ac:dyDescent="0.3">
      <c r="A175" s="14">
        <f t="shared" si="50"/>
        <v>112030011</v>
      </c>
      <c r="B175" s="13">
        <v>11</v>
      </c>
      <c r="C175" s="12">
        <f t="shared" si="51"/>
        <v>2</v>
      </c>
      <c r="D175" s="13">
        <v>3</v>
      </c>
      <c r="E175" s="13">
        <v>0</v>
      </c>
      <c r="F175" s="12">
        <f t="shared" si="52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743</v>
      </c>
      <c r="P175" s="55" t="s">
        <v>1363</v>
      </c>
      <c r="Q175" s="9" t="s">
        <v>674</v>
      </c>
      <c r="S175" s="81" t="s">
        <v>530</v>
      </c>
      <c r="T175" s="9">
        <f ca="1">IFERROR(OFFSET(ITEM_RES!$A$5,MATCH(BUILDING!S175,ITEM_RES!$J$5:$J$229,0)-1,0),0)</f>
        <v>211010501</v>
      </c>
      <c r="U175" s="11">
        <v>1</v>
      </c>
      <c r="V175" s="81" t="s">
        <v>531</v>
      </c>
      <c r="W175" s="11">
        <f ca="1">IFERROR(OFFSET(ITEM_RES!$A$5,MATCH(BUILDING!V175,ITEM_RES!$J$5:$J$229,0)-1,0),0)</f>
        <v>211010601</v>
      </c>
      <c r="Y175" s="9" t="s">
        <v>503</v>
      </c>
      <c r="Z175" s="9">
        <v>11</v>
      </c>
      <c r="AB175" s="11">
        <f ca="1">IFERROR(OFFSET(MANOR_LEVEL!$B$1,MATCH(AC175-1,MANOR_LEVEL!$A:$A,0)-1,0),0)</f>
        <v>3961500</v>
      </c>
      <c r="AC175" s="55">
        <v>12</v>
      </c>
      <c r="AE175" s="55">
        <f t="shared" ca="1" si="54"/>
        <v>945250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945250</v>
      </c>
      <c r="AG175" s="176">
        <f t="shared" ca="1" si="56"/>
        <v>1504450</v>
      </c>
      <c r="AI175" s="11">
        <f t="shared" si="47"/>
        <v>1500</v>
      </c>
      <c r="AJ175" s="10">
        <v>1500</v>
      </c>
      <c r="AK175" s="11">
        <f t="shared" si="55"/>
        <v>250</v>
      </c>
      <c r="AL175" s="10">
        <v>250</v>
      </c>
      <c r="AM175" s="11">
        <v>65000</v>
      </c>
      <c r="AN175" s="10">
        <v>0</v>
      </c>
      <c r="AO175" s="55">
        <f t="shared" si="48"/>
        <v>1</v>
      </c>
      <c r="AQ175" s="11">
        <f ca="1">IFERROR(OFFSET(ITEM_RES!$A$1,MATCH(AR175,ITEM_RES!$J:$J,0)-1,0),0)</f>
        <v>211020801</v>
      </c>
      <c r="AR175" s="10" t="s">
        <v>1065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3"/>
        <v>0</v>
      </c>
    </row>
    <row r="176" spans="1:66" x14ac:dyDescent="0.3">
      <c r="A176" s="14">
        <f t="shared" si="50"/>
        <v>112030012</v>
      </c>
      <c r="B176" s="13">
        <v>11</v>
      </c>
      <c r="C176" s="12">
        <f t="shared" si="51"/>
        <v>2</v>
      </c>
      <c r="D176" s="13">
        <v>3</v>
      </c>
      <c r="E176" s="13">
        <v>0</v>
      </c>
      <c r="F176" s="12">
        <f t="shared" si="52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743</v>
      </c>
      <c r="P176" s="55" t="s">
        <v>1363</v>
      </c>
      <c r="Q176" s="9" t="s">
        <v>674</v>
      </c>
      <c r="S176" s="81" t="s">
        <v>530</v>
      </c>
      <c r="T176" s="9">
        <f ca="1">IFERROR(OFFSET(ITEM_RES!$A$5,MATCH(BUILDING!S176,ITEM_RES!$J$5:$J$229,0)-1,0),0)</f>
        <v>211010501</v>
      </c>
      <c r="U176" s="11">
        <v>1</v>
      </c>
      <c r="V176" s="81" t="s">
        <v>531</v>
      </c>
      <c r="W176" s="11">
        <f ca="1">IFERROR(OFFSET(ITEM_RES!$A$5,MATCH(BUILDING!V176,ITEM_RES!$J$5:$J$229,0)-1,0),0)</f>
        <v>211010601</v>
      </c>
      <c r="Y176" s="9" t="s">
        <v>503</v>
      </c>
      <c r="Z176" s="9">
        <v>12</v>
      </c>
      <c r="AB176" s="11">
        <f ca="1">IFERROR(OFFSET(MANOR_LEVEL!$B$1,MATCH(AC176-1,MANOR_LEVEL!$A:$A,0)-1,0),0)</f>
        <v>3961500</v>
      </c>
      <c r="AC176" s="55">
        <v>12</v>
      </c>
      <c r="AE176" s="55">
        <f t="shared" ca="1" si="54"/>
        <v>1590300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1590300</v>
      </c>
      <c r="AG176" s="176">
        <f t="shared" ca="1" si="56"/>
        <v>2535550</v>
      </c>
      <c r="AI176" s="11">
        <f t="shared" si="47"/>
        <v>1800</v>
      </c>
      <c r="AJ176" s="10">
        <v>1800</v>
      </c>
      <c r="AK176" s="11">
        <f t="shared" si="55"/>
        <v>300</v>
      </c>
      <c r="AL176" s="10">
        <v>300</v>
      </c>
      <c r="AM176" s="11">
        <v>110000</v>
      </c>
      <c r="AN176" s="10">
        <v>0</v>
      </c>
      <c r="AO176" s="55">
        <f t="shared" si="48"/>
        <v>1</v>
      </c>
      <c r="AQ176" s="11">
        <f ca="1">IFERROR(OFFSET(ITEM_RES!$A$1,MATCH(AR176,ITEM_RES!$J:$J,0)-1,0),0)</f>
        <v>211020801</v>
      </c>
      <c r="AR176" s="10" t="s">
        <v>1065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3"/>
        <v>0</v>
      </c>
    </row>
    <row r="177" spans="1:66" x14ac:dyDescent="0.3">
      <c r="A177" s="14">
        <f t="shared" si="50"/>
        <v>112030013</v>
      </c>
      <c r="B177" s="13">
        <v>11</v>
      </c>
      <c r="C177" s="12">
        <f t="shared" si="51"/>
        <v>2</v>
      </c>
      <c r="D177" s="13">
        <v>3</v>
      </c>
      <c r="E177" s="13">
        <v>0</v>
      </c>
      <c r="F177" s="12">
        <f t="shared" si="52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743</v>
      </c>
      <c r="P177" s="55" t="s">
        <v>1363</v>
      </c>
      <c r="Q177" s="9" t="s">
        <v>674</v>
      </c>
      <c r="S177" s="81" t="s">
        <v>530</v>
      </c>
      <c r="T177" s="9">
        <f ca="1">IFERROR(OFFSET(ITEM_RES!$A$5,MATCH(BUILDING!S177,ITEM_RES!$J$5:$J$229,0)-1,0),0)</f>
        <v>211010501</v>
      </c>
      <c r="U177" s="11">
        <v>1</v>
      </c>
      <c r="V177" s="81" t="s">
        <v>531</v>
      </c>
      <c r="W177" s="11">
        <f ca="1">IFERROR(OFFSET(ITEM_RES!$A$5,MATCH(BUILDING!V177,ITEM_RES!$J$5:$J$229,0)-1,0),0)</f>
        <v>211010601</v>
      </c>
      <c r="Y177" s="9" t="s">
        <v>503</v>
      </c>
      <c r="Z177" s="9">
        <v>13</v>
      </c>
      <c r="AB177" s="11">
        <f ca="1">IFERROR(OFFSET(MANOR_LEVEL!$B$1,MATCH(AC177-1,MANOR_LEVEL!$A:$A,0)-1,0),0)</f>
        <v>3961500</v>
      </c>
      <c r="AC177" s="55">
        <v>12</v>
      </c>
      <c r="AE177" s="55">
        <f t="shared" ca="1" si="54"/>
        <v>2665350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2665350</v>
      </c>
      <c r="AG177" s="176">
        <f t="shared" ca="1" si="56"/>
        <v>4255650</v>
      </c>
      <c r="AI177" s="11">
        <f t="shared" si="47"/>
        <v>2100</v>
      </c>
      <c r="AJ177" s="10">
        <v>2100</v>
      </c>
      <c r="AK177" s="11">
        <f t="shared" si="55"/>
        <v>350</v>
      </c>
      <c r="AL177" s="10">
        <v>350</v>
      </c>
      <c r="AM177" s="11">
        <v>185000</v>
      </c>
      <c r="AN177" s="10">
        <v>0</v>
      </c>
      <c r="AO177" s="55">
        <f t="shared" si="48"/>
        <v>1</v>
      </c>
      <c r="AQ177" s="11">
        <f ca="1">IFERROR(OFFSET(ITEM_RES!$A$1,MATCH(AR177,ITEM_RES!$J:$J,0)-1,0),0)</f>
        <v>211020801</v>
      </c>
      <c r="AR177" s="10" t="s">
        <v>1065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3"/>
        <v>0</v>
      </c>
    </row>
    <row r="178" spans="1:66" x14ac:dyDescent="0.3">
      <c r="A178" s="14">
        <f t="shared" si="50"/>
        <v>112030014</v>
      </c>
      <c r="B178" s="13">
        <v>11</v>
      </c>
      <c r="C178" s="12">
        <f t="shared" si="51"/>
        <v>2</v>
      </c>
      <c r="D178" s="13">
        <v>3</v>
      </c>
      <c r="E178" s="13">
        <v>0</v>
      </c>
      <c r="F178" s="12">
        <f t="shared" si="52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743</v>
      </c>
      <c r="P178" s="55" t="s">
        <v>1363</v>
      </c>
      <c r="Q178" s="9" t="s">
        <v>674</v>
      </c>
      <c r="S178" s="81" t="s">
        <v>530</v>
      </c>
      <c r="T178" s="9">
        <f ca="1">IFERROR(OFFSET(ITEM_RES!$A$5,MATCH(BUILDING!S178,ITEM_RES!$J$5:$J$229,0)-1,0),0)</f>
        <v>211010501</v>
      </c>
      <c r="U178" s="11">
        <v>1</v>
      </c>
      <c r="V178" s="81" t="s">
        <v>531</v>
      </c>
      <c r="W178" s="11">
        <f ca="1">IFERROR(OFFSET(ITEM_RES!$A$5,MATCH(BUILDING!V178,ITEM_RES!$J$5:$J$229,0)-1,0),0)</f>
        <v>211010601</v>
      </c>
      <c r="Y178" s="9" t="s">
        <v>503</v>
      </c>
      <c r="Z178" s="9">
        <v>14</v>
      </c>
      <c r="AB178" s="11">
        <f ca="1">IFERROR(OFFSET(MANOR_LEVEL!$B$1,MATCH(AC178-1,MANOR_LEVEL!$A:$A,0)-1,0),0)</f>
        <v>3961500</v>
      </c>
      <c r="AC178" s="55">
        <v>12</v>
      </c>
      <c r="AE178" s="55">
        <f t="shared" ca="1" si="54"/>
        <v>4190450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4190450</v>
      </c>
      <c r="AG178" s="176">
        <f t="shared" ca="1" si="56"/>
        <v>6855800</v>
      </c>
      <c r="AI178" s="11">
        <f t="shared" si="47"/>
        <v>2400</v>
      </c>
      <c r="AJ178" s="10">
        <v>2400</v>
      </c>
      <c r="AK178" s="11">
        <f t="shared" si="55"/>
        <v>450</v>
      </c>
      <c r="AL178" s="10">
        <v>450</v>
      </c>
      <c r="AM178" s="11">
        <v>310000</v>
      </c>
      <c r="AN178" s="10">
        <v>0</v>
      </c>
      <c r="AO178" s="55">
        <f t="shared" si="48"/>
        <v>1</v>
      </c>
      <c r="AQ178" s="11">
        <f ca="1">IFERROR(OFFSET(ITEM_RES!$A$1,MATCH(AR178,ITEM_RES!$J:$J,0)-1,0),0)</f>
        <v>211020801</v>
      </c>
      <c r="AR178" s="10" t="s">
        <v>1065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3"/>
        <v>0</v>
      </c>
    </row>
    <row r="179" spans="1:66" x14ac:dyDescent="0.3">
      <c r="A179" s="14">
        <f t="shared" si="50"/>
        <v>112030015</v>
      </c>
      <c r="B179" s="13">
        <v>11</v>
      </c>
      <c r="C179" s="12">
        <f t="shared" si="51"/>
        <v>2</v>
      </c>
      <c r="D179" s="13">
        <v>3</v>
      </c>
      <c r="E179" s="13">
        <v>0</v>
      </c>
      <c r="F179" s="12">
        <f t="shared" si="52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743</v>
      </c>
      <c r="P179" s="55" t="s">
        <v>1363</v>
      </c>
      <c r="Q179" s="9" t="s">
        <v>674</v>
      </c>
      <c r="S179" s="81" t="s">
        <v>530</v>
      </c>
      <c r="T179" s="9">
        <f ca="1">IFERROR(OFFSET(ITEM_RES!$A$5,MATCH(BUILDING!S179,ITEM_RES!$J$5:$J$229,0)-1,0),0)</f>
        <v>211010501</v>
      </c>
      <c r="U179" s="11">
        <v>1</v>
      </c>
      <c r="V179" s="81" t="s">
        <v>531</v>
      </c>
      <c r="W179" s="11">
        <f ca="1">IFERROR(OFFSET(ITEM_RES!$A$5,MATCH(BUILDING!V179,ITEM_RES!$J$5:$J$229,0)-1,0),0)</f>
        <v>211010601</v>
      </c>
      <c r="Y179" s="9" t="s">
        <v>503</v>
      </c>
      <c r="Z179" s="9">
        <v>15</v>
      </c>
      <c r="AB179" s="11">
        <f ca="1">IFERROR(OFFSET(MANOR_LEVEL!$B$1,MATCH(AC179-1,MANOR_LEVEL!$A:$A,0)-1,0),0)</f>
        <v>3961500</v>
      </c>
      <c r="AC179" s="55">
        <v>12</v>
      </c>
      <c r="AE179" s="55">
        <f t="shared" ca="1" si="54"/>
        <v>8885550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8885550</v>
      </c>
      <c r="AG179" s="176">
        <f t="shared" ca="1" si="56"/>
        <v>13076000</v>
      </c>
      <c r="AI179" s="11">
        <f t="shared" si="47"/>
        <v>2700</v>
      </c>
      <c r="AJ179" s="10">
        <v>2700</v>
      </c>
      <c r="AK179" s="11">
        <f t="shared" si="55"/>
        <v>550</v>
      </c>
      <c r="AL179" s="10">
        <v>550</v>
      </c>
      <c r="AM179" s="11">
        <v>485000</v>
      </c>
      <c r="AN179" s="10">
        <v>0</v>
      </c>
      <c r="AO179" s="55">
        <f t="shared" si="48"/>
        <v>1</v>
      </c>
      <c r="AQ179" s="11">
        <f ca="1">IFERROR(OFFSET(ITEM_RES!$A$1,MATCH(AR179,ITEM_RES!$J:$J,0)-1,0),0)</f>
        <v>211020801</v>
      </c>
      <c r="AR179" s="10" t="s">
        <v>1065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3"/>
        <v>0</v>
      </c>
    </row>
    <row r="180" spans="1:66" x14ac:dyDescent="0.3">
      <c r="A180" s="14">
        <f t="shared" si="50"/>
        <v>112030016</v>
      </c>
      <c r="B180" s="13">
        <v>11</v>
      </c>
      <c r="C180" s="12">
        <f t="shared" si="51"/>
        <v>2</v>
      </c>
      <c r="D180" s="13">
        <v>3</v>
      </c>
      <c r="E180" s="13">
        <v>0</v>
      </c>
      <c r="F180" s="12">
        <f t="shared" si="52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743</v>
      </c>
      <c r="P180" s="55" t="s">
        <v>1363</v>
      </c>
      <c r="Q180" s="9" t="s">
        <v>674</v>
      </c>
      <c r="S180" s="81" t="s">
        <v>530</v>
      </c>
      <c r="T180" s="9">
        <f ca="1">IFERROR(OFFSET(ITEM_RES!$A$5,MATCH(BUILDING!S180,ITEM_RES!$J$5:$J$229,0)-1,0),0)</f>
        <v>211010501</v>
      </c>
      <c r="U180" s="11">
        <v>1</v>
      </c>
      <c r="V180" s="81" t="s">
        <v>531</v>
      </c>
      <c r="W180" s="11">
        <f ca="1">IFERROR(OFFSET(ITEM_RES!$A$5,MATCH(BUILDING!V180,ITEM_RES!$J$5:$J$229,0)-1,0),0)</f>
        <v>211010601</v>
      </c>
      <c r="Y180" s="9" t="s">
        <v>503</v>
      </c>
      <c r="Z180" s="9">
        <v>16</v>
      </c>
      <c r="AB180" s="11">
        <f ca="1">IFERROR(OFFSET(MANOR_LEVEL!$B$1,MATCH(AC180-1,MANOR_LEVEL!$A:$A,0)-1,0),0)</f>
        <v>3961500</v>
      </c>
      <c r="AC180" s="55">
        <v>12</v>
      </c>
      <c r="AE180" s="55">
        <f t="shared" ca="1" si="54"/>
        <v>18250700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18250700</v>
      </c>
      <c r="AG180" s="176">
        <f t="shared" ca="1" si="56"/>
        <v>27136250</v>
      </c>
      <c r="AI180" s="11">
        <f t="shared" si="47"/>
        <v>3000</v>
      </c>
      <c r="AJ180" s="10">
        <v>3000</v>
      </c>
      <c r="AK180" s="11">
        <f t="shared" si="55"/>
        <v>700</v>
      </c>
      <c r="AL180" s="10">
        <v>700</v>
      </c>
      <c r="AM180" s="11">
        <v>1050000</v>
      </c>
      <c r="AN180" s="10">
        <v>0</v>
      </c>
      <c r="AO180" s="55">
        <f t="shared" si="48"/>
        <v>1</v>
      </c>
      <c r="AQ180" s="11">
        <f ca="1">IFERROR(OFFSET(ITEM_RES!$A$1,MATCH(AR180,ITEM_RES!$J:$J,0)-1,0),0)</f>
        <v>211020801</v>
      </c>
      <c r="AR180" s="10" t="s">
        <v>1065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3"/>
        <v>0</v>
      </c>
    </row>
    <row r="181" spans="1:66" x14ac:dyDescent="0.3">
      <c r="A181" s="14">
        <f t="shared" si="50"/>
        <v>112030017</v>
      </c>
      <c r="B181" s="13">
        <v>11</v>
      </c>
      <c r="C181" s="12">
        <f t="shared" si="51"/>
        <v>2</v>
      </c>
      <c r="D181" s="13">
        <v>3</v>
      </c>
      <c r="E181" s="13">
        <v>0</v>
      </c>
      <c r="F181" s="12">
        <f t="shared" si="52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743</v>
      </c>
      <c r="P181" s="55" t="s">
        <v>1363</v>
      </c>
      <c r="Q181" s="9" t="s">
        <v>674</v>
      </c>
      <c r="S181" s="81" t="s">
        <v>530</v>
      </c>
      <c r="T181" s="9">
        <f ca="1">IFERROR(OFFSET(ITEM_RES!$A$5,MATCH(BUILDING!S181,ITEM_RES!$J$5:$J$229,0)-1,0),0)</f>
        <v>211010501</v>
      </c>
      <c r="U181" s="11">
        <v>1</v>
      </c>
      <c r="V181" s="81" t="s">
        <v>531</v>
      </c>
      <c r="W181" s="11">
        <f ca="1">IFERROR(OFFSET(ITEM_RES!$A$5,MATCH(BUILDING!V181,ITEM_RES!$J$5:$J$229,0)-1,0),0)</f>
        <v>211010601</v>
      </c>
      <c r="Y181" s="9" t="s">
        <v>503</v>
      </c>
      <c r="Z181" s="9">
        <v>17</v>
      </c>
      <c r="AB181" s="11">
        <f ca="1">IFERROR(OFFSET(MANOR_LEVEL!$B$1,MATCH(AC181-1,MANOR_LEVEL!$A:$A,0)-1,0),0)</f>
        <v>3961500</v>
      </c>
      <c r="AC181" s="55">
        <v>12</v>
      </c>
      <c r="AE181" s="55">
        <f t="shared" ca="1" si="54"/>
        <v>42150850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42150850</v>
      </c>
      <c r="AG181" s="176">
        <f t="shared" ca="1" si="56"/>
        <v>60401550</v>
      </c>
      <c r="AI181" s="11">
        <f t="shared" si="47"/>
        <v>3300</v>
      </c>
      <c r="AJ181" s="10">
        <v>3300</v>
      </c>
      <c r="AK181" s="11">
        <f t="shared" si="55"/>
        <v>850</v>
      </c>
      <c r="AL181" s="10">
        <v>850</v>
      </c>
      <c r="AM181" s="11">
        <v>2150000</v>
      </c>
      <c r="AN181" s="10">
        <v>0</v>
      </c>
      <c r="AO181" s="55">
        <f t="shared" si="48"/>
        <v>1</v>
      </c>
      <c r="AQ181" s="11">
        <f ca="1">IFERROR(OFFSET(ITEM_RES!$A$1,MATCH(AR181,ITEM_RES!$J:$J,0)-1,0),0)</f>
        <v>211020901</v>
      </c>
      <c r="AR181" s="10" t="s">
        <v>1066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3"/>
        <v>0</v>
      </c>
    </row>
    <row r="182" spans="1:66" x14ac:dyDescent="0.3">
      <c r="A182" s="14">
        <f t="shared" si="50"/>
        <v>112030018</v>
      </c>
      <c r="B182" s="13">
        <v>11</v>
      </c>
      <c r="C182" s="12">
        <f t="shared" si="51"/>
        <v>2</v>
      </c>
      <c r="D182" s="13">
        <v>3</v>
      </c>
      <c r="E182" s="13">
        <v>0</v>
      </c>
      <c r="F182" s="12">
        <f t="shared" si="52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743</v>
      </c>
      <c r="P182" s="55" t="s">
        <v>1363</v>
      </c>
      <c r="Q182" s="9" t="s">
        <v>674</v>
      </c>
      <c r="S182" s="81" t="s">
        <v>530</v>
      </c>
      <c r="T182" s="9">
        <f ca="1">IFERROR(OFFSET(ITEM_RES!$A$5,MATCH(BUILDING!S182,ITEM_RES!$J$5:$J$229,0)-1,0),0)</f>
        <v>211010501</v>
      </c>
      <c r="U182" s="11">
        <v>1</v>
      </c>
      <c r="V182" s="81" t="s">
        <v>531</v>
      </c>
      <c r="W182" s="11">
        <f ca="1">IFERROR(OFFSET(ITEM_RES!$A$5,MATCH(BUILDING!V182,ITEM_RES!$J$5:$J$229,0)-1,0),0)</f>
        <v>211010601</v>
      </c>
      <c r="Y182" s="9" t="s">
        <v>503</v>
      </c>
      <c r="Z182" s="9">
        <v>18</v>
      </c>
      <c r="AB182" s="11">
        <f ca="1">IFERROR(OFFSET(MANOR_LEVEL!$B$1,MATCH(AC182-1,MANOR_LEVEL!$A:$A,0)-1,0),0)</f>
        <v>3961500</v>
      </c>
      <c r="AC182" s="55">
        <v>12</v>
      </c>
      <c r="AE182" s="55">
        <f t="shared" ca="1" si="54"/>
        <v>69001050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69001050</v>
      </c>
      <c r="AG182" s="176">
        <f t="shared" ca="1" si="56"/>
        <v>111151900</v>
      </c>
      <c r="AI182" s="11">
        <f t="shared" si="47"/>
        <v>3600</v>
      </c>
      <c r="AJ182" s="10">
        <v>3600</v>
      </c>
      <c r="AK182" s="11">
        <f t="shared" si="55"/>
        <v>1050</v>
      </c>
      <c r="AL182" s="10">
        <v>1050</v>
      </c>
      <c r="AM182" s="11">
        <v>4000000</v>
      </c>
      <c r="AN182" s="10">
        <v>0</v>
      </c>
      <c r="AO182" s="55">
        <f t="shared" si="48"/>
        <v>1</v>
      </c>
      <c r="AQ182" s="11">
        <f ca="1">IFERROR(OFFSET(ITEM_RES!$A$1,MATCH(AR182,ITEM_RES!$J:$J,0)-1,0),0)</f>
        <v>211020901</v>
      </c>
      <c r="AR182" s="10" t="s">
        <v>1066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3"/>
        <v>0</v>
      </c>
    </row>
    <row r="183" spans="1:66" x14ac:dyDescent="0.3">
      <c r="A183" s="14">
        <f t="shared" si="50"/>
        <v>112030019</v>
      </c>
      <c r="B183" s="13">
        <v>11</v>
      </c>
      <c r="C183" s="12">
        <f t="shared" si="51"/>
        <v>2</v>
      </c>
      <c r="D183" s="13">
        <v>3</v>
      </c>
      <c r="E183" s="13">
        <v>0</v>
      </c>
      <c r="F183" s="12">
        <f t="shared" si="52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743</v>
      </c>
      <c r="P183" s="55" t="s">
        <v>1363</v>
      </c>
      <c r="Q183" s="9" t="s">
        <v>674</v>
      </c>
      <c r="S183" s="81" t="s">
        <v>530</v>
      </c>
      <c r="T183" s="9">
        <f ca="1">IFERROR(OFFSET(ITEM_RES!$A$5,MATCH(BUILDING!S183,ITEM_RES!$J$5:$J$229,0)-1,0),0)</f>
        <v>211010501</v>
      </c>
      <c r="U183" s="11">
        <v>1</v>
      </c>
      <c r="V183" s="81" t="s">
        <v>531</v>
      </c>
      <c r="W183" s="11">
        <f ca="1">IFERROR(OFFSET(ITEM_RES!$A$5,MATCH(BUILDING!V183,ITEM_RES!$J$5:$J$229,0)-1,0),0)</f>
        <v>211010601</v>
      </c>
      <c r="Y183" s="9" t="s">
        <v>503</v>
      </c>
      <c r="Z183" s="9">
        <v>19</v>
      </c>
      <c r="AB183" s="11">
        <f ca="1">IFERROR(OFFSET(MANOR_LEVEL!$B$1,MATCH(AC183-1,MANOR_LEVEL!$A:$A,0)-1,0),0)</f>
        <v>3961500</v>
      </c>
      <c r="AC183" s="55">
        <v>12</v>
      </c>
      <c r="AE183" s="55">
        <f t="shared" ca="1" si="54"/>
        <v>106501250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106501250</v>
      </c>
      <c r="AG183" s="176">
        <f t="shared" ca="1" si="56"/>
        <v>175502300</v>
      </c>
      <c r="AI183" s="11">
        <f t="shared" si="47"/>
        <v>3900</v>
      </c>
      <c r="AJ183" s="10">
        <v>3900</v>
      </c>
      <c r="AK183" s="11">
        <f t="shared" si="55"/>
        <v>1250</v>
      </c>
      <c r="AL183" s="10">
        <v>1250</v>
      </c>
      <c r="AM183" s="11">
        <v>6500000</v>
      </c>
      <c r="AN183" s="10">
        <v>0</v>
      </c>
      <c r="AO183" s="55">
        <f t="shared" si="48"/>
        <v>1</v>
      </c>
      <c r="AQ183" s="11">
        <f ca="1">IFERROR(OFFSET(ITEM_RES!$A$1,MATCH(AR183,ITEM_RES!$J:$J,0)-1,0),0)</f>
        <v>211020901</v>
      </c>
      <c r="AR183" s="10" t="s">
        <v>1066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3"/>
        <v>0</v>
      </c>
    </row>
    <row r="184" spans="1:66" ht="17.25" thickBot="1" x14ac:dyDescent="0.35">
      <c r="A184" s="14">
        <f t="shared" si="50"/>
        <v>112030020</v>
      </c>
      <c r="B184" s="13">
        <v>11</v>
      </c>
      <c r="C184" s="12">
        <f t="shared" si="51"/>
        <v>2</v>
      </c>
      <c r="D184" s="13">
        <v>3</v>
      </c>
      <c r="E184" s="13">
        <v>0</v>
      </c>
      <c r="F184" s="12">
        <f t="shared" si="52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743</v>
      </c>
      <c r="P184" s="55" t="s">
        <v>1363</v>
      </c>
      <c r="Q184" s="9" t="s">
        <v>674</v>
      </c>
      <c r="S184" s="81" t="s">
        <v>530</v>
      </c>
      <c r="T184" s="9">
        <f ca="1">IFERROR(OFFSET(ITEM_RES!$A$5,MATCH(BUILDING!S184,ITEM_RES!$J$5:$J$229,0)-1,0),0)</f>
        <v>211010501</v>
      </c>
      <c r="U184" s="11">
        <v>1</v>
      </c>
      <c r="V184" s="81" t="s">
        <v>531</v>
      </c>
      <c r="W184" s="11">
        <f ca="1">IFERROR(OFFSET(ITEM_RES!$A$5,MATCH(BUILDING!V184,ITEM_RES!$J$5:$J$229,0)-1,0),0)</f>
        <v>211010601</v>
      </c>
      <c r="Y184" s="9" t="s">
        <v>503</v>
      </c>
      <c r="Z184" s="9">
        <v>20</v>
      </c>
      <c r="AB184" s="11">
        <f ca="1">IFERROR(OFFSET(MANOR_LEVEL!$B$1,MATCH(AC184-1,MANOR_LEVEL!$A:$A,0)-1,0),0)</f>
        <v>3961500</v>
      </c>
      <c r="AC184" s="55">
        <v>12</v>
      </c>
      <c r="AE184" s="55">
        <f t="shared" ca="1" si="54"/>
        <v>170001500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170001500</v>
      </c>
      <c r="AG184" s="176">
        <f t="shared" ca="1" si="56"/>
        <v>276502750</v>
      </c>
      <c r="AI184" s="11">
        <f t="shared" si="47"/>
        <v>4200</v>
      </c>
      <c r="AJ184" s="10">
        <v>4200</v>
      </c>
      <c r="AK184" s="11">
        <f t="shared" si="55"/>
        <v>1500</v>
      </c>
      <c r="AL184" s="10">
        <v>1500</v>
      </c>
      <c r="AM184" s="11">
        <v>10000000</v>
      </c>
      <c r="AN184" s="10">
        <v>0</v>
      </c>
      <c r="AO184" s="55">
        <f t="shared" si="48"/>
        <v>1</v>
      </c>
      <c r="AQ184" s="11">
        <f ca="1">IFERROR(OFFSET(ITEM_RES!$A$1,MATCH(AR184,ITEM_RES!$J:$J,0)-1,0),0)</f>
        <v>211020901</v>
      </c>
      <c r="AR184" s="10" t="s">
        <v>1066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3"/>
        <v>0</v>
      </c>
    </row>
    <row r="185" spans="1:66" s="15" customFormat="1" x14ac:dyDescent="0.3">
      <c r="A185" s="21">
        <f t="shared" ref="A185:A204" si="57">B185*10000000+C185*1000000+D185*10000+E185*100+F185</f>
        <v>113010001</v>
      </c>
      <c r="B185" s="20">
        <v>11</v>
      </c>
      <c r="C185" s="19">
        <f t="shared" ref="C185:C204" si="58">H185</f>
        <v>3</v>
      </c>
      <c r="D185" s="20">
        <v>1</v>
      </c>
      <c r="E185" s="20">
        <v>0</v>
      </c>
      <c r="F185" s="19">
        <f t="shared" ref="F185:F204" si="59">I185</f>
        <v>1</v>
      </c>
      <c r="G185" s="76"/>
      <c r="H185" s="16">
        <v>3</v>
      </c>
      <c r="I185" s="16">
        <v>1</v>
      </c>
      <c r="J185" s="76"/>
      <c r="K185" s="62" t="s">
        <v>490</v>
      </c>
      <c r="L185" s="62">
        <v>6</v>
      </c>
      <c r="M185" s="16">
        <v>1</v>
      </c>
      <c r="N185" s="16">
        <v>15</v>
      </c>
      <c r="O185" s="16" t="s">
        <v>1104</v>
      </c>
      <c r="P185" s="56" t="s">
        <v>1364</v>
      </c>
      <c r="Q185" s="16" t="s">
        <v>690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504</v>
      </c>
      <c r="Z185" s="16">
        <v>1</v>
      </c>
      <c r="AA185" s="76"/>
      <c r="AB185" s="18">
        <f ca="1">IFERROR(OFFSET(MANOR_LEVEL!$B$1,MATCH(AC185-1,MANOR_LEVEL!$A:$A,0)-1,0),0)</f>
        <v>32560</v>
      </c>
      <c r="AC185" s="56">
        <v>6</v>
      </c>
      <c r="AD185" s="76"/>
      <c r="AE185" s="56">
        <f t="shared" ca="1" si="54"/>
        <v>1230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1230</v>
      </c>
      <c r="AG185" s="178">
        <f ca="1">AE185</f>
        <v>1230</v>
      </c>
      <c r="AH185" s="76"/>
      <c r="AI185" s="18">
        <f t="shared" ref="AI185:AI204" si="60">ROUND(AJ185,0)</f>
        <v>3</v>
      </c>
      <c r="AJ185" s="17">
        <v>3</v>
      </c>
      <c r="AK185" s="18">
        <f t="shared" ref="AK185:AK204" si="61">ROUND(AL185,0)</f>
        <v>5</v>
      </c>
      <c r="AL185" s="17">
        <v>5</v>
      </c>
      <c r="AM185" s="18">
        <v>25</v>
      </c>
      <c r="AN185" s="17">
        <v>0</v>
      </c>
      <c r="AO185" s="56">
        <f t="shared" ref="AO185:AO204" si="62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385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388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3">IF(BN185&lt;100,ROUND(BN185,1-LEN(ROUND(BN185,0))),ROUND(BN185,2-LEN(ROUND(BN185,0))))</f>
        <v>0</v>
      </c>
      <c r="BN185" s="17"/>
    </row>
    <row r="186" spans="1:66" x14ac:dyDescent="0.3">
      <c r="A186" s="14">
        <f t="shared" si="57"/>
        <v>113010002</v>
      </c>
      <c r="B186" s="13">
        <v>11</v>
      </c>
      <c r="C186" s="12">
        <f t="shared" si="58"/>
        <v>3</v>
      </c>
      <c r="D186" s="13">
        <v>1</v>
      </c>
      <c r="E186" s="13">
        <v>0</v>
      </c>
      <c r="F186" s="12">
        <f t="shared" si="59"/>
        <v>2</v>
      </c>
      <c r="H186" s="9">
        <v>3</v>
      </c>
      <c r="I186" s="9">
        <v>2</v>
      </c>
      <c r="K186" s="55" t="s">
        <v>490</v>
      </c>
      <c r="L186" s="55"/>
      <c r="M186" s="9">
        <v>1</v>
      </c>
      <c r="N186" s="9">
        <v>15</v>
      </c>
      <c r="O186" s="9" t="s">
        <v>1426</v>
      </c>
      <c r="P186" s="55" t="s">
        <v>1364</v>
      </c>
      <c r="Q186" s="9" t="s">
        <v>675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504</v>
      </c>
      <c r="Z186" s="9">
        <v>2</v>
      </c>
      <c r="AB186" s="11">
        <f ca="1">IFERROR(OFFSET(MANOR_LEVEL!$B$1,MATCH(AC186-1,MANOR_LEVEL!$A:$A,0)-1,0),0)</f>
        <v>32560</v>
      </c>
      <c r="AC186" s="55">
        <v>6</v>
      </c>
      <c r="AE186" s="55">
        <f t="shared" ca="1" si="54"/>
        <v>460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460</v>
      </c>
      <c r="AG186" s="176">
        <f ca="1">AE185+AE186</f>
        <v>1690</v>
      </c>
      <c r="AI186" s="11">
        <f t="shared" si="60"/>
        <v>5</v>
      </c>
      <c r="AJ186" s="10">
        <v>5</v>
      </c>
      <c r="AK186" s="11">
        <f t="shared" si="61"/>
        <v>10</v>
      </c>
      <c r="AL186" s="10">
        <v>10</v>
      </c>
      <c r="AM186" s="11">
        <v>50</v>
      </c>
      <c r="AN186" s="10">
        <v>0</v>
      </c>
      <c r="AO186" s="55">
        <f t="shared" si="62"/>
        <v>1</v>
      </c>
      <c r="AQ186" s="11">
        <f ca="1">IFERROR(OFFSET(ITEM_RES!$A$1,MATCH(AR186,ITEM_RES!$J:$J,0)-1,0),0)</f>
        <v>211020801</v>
      </c>
      <c r="AR186" s="10" t="s">
        <v>385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3"/>
        <v>0</v>
      </c>
    </row>
    <row r="187" spans="1:66" x14ac:dyDescent="0.3">
      <c r="A187" s="14">
        <f t="shared" si="57"/>
        <v>113010003</v>
      </c>
      <c r="B187" s="13">
        <v>11</v>
      </c>
      <c r="C187" s="12">
        <f t="shared" si="58"/>
        <v>3</v>
      </c>
      <c r="D187" s="13">
        <v>1</v>
      </c>
      <c r="E187" s="13">
        <v>0</v>
      </c>
      <c r="F187" s="12">
        <f t="shared" si="59"/>
        <v>3</v>
      </c>
      <c r="H187" s="9">
        <v>3</v>
      </c>
      <c r="I187" s="9">
        <v>3</v>
      </c>
      <c r="K187" s="55" t="s">
        <v>490</v>
      </c>
      <c r="L187" s="55"/>
      <c r="M187" s="9">
        <v>1</v>
      </c>
      <c r="N187" s="9">
        <v>15</v>
      </c>
      <c r="O187" s="9" t="s">
        <v>1021</v>
      </c>
      <c r="P187" s="55" t="s">
        <v>1364</v>
      </c>
      <c r="Q187" s="9" t="s">
        <v>675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504</v>
      </c>
      <c r="Z187" s="9">
        <v>3</v>
      </c>
      <c r="AB187" s="11">
        <f ca="1">IFERROR(OFFSET(MANOR_LEVEL!$B$1,MATCH(AC187-1,MANOR_LEVEL!$A:$A,0)-1,0),0)</f>
        <v>240400</v>
      </c>
      <c r="AC187" s="55">
        <v>8</v>
      </c>
      <c r="AE187" s="55">
        <f t="shared" ca="1" si="54"/>
        <v>690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690</v>
      </c>
      <c r="AG187" s="176">
        <f t="shared" ref="AG187:AG204" ca="1" si="64">AE186+AE187</f>
        <v>1150</v>
      </c>
      <c r="AI187" s="11">
        <f t="shared" si="60"/>
        <v>5</v>
      </c>
      <c r="AJ187" s="10">
        <v>5</v>
      </c>
      <c r="AK187" s="11">
        <f t="shared" si="61"/>
        <v>15</v>
      </c>
      <c r="AL187" s="10">
        <v>15</v>
      </c>
      <c r="AM187" s="11">
        <v>75</v>
      </c>
      <c r="AN187" s="10">
        <v>0</v>
      </c>
      <c r="AO187" s="55">
        <f t="shared" si="62"/>
        <v>1</v>
      </c>
      <c r="AQ187" s="11">
        <f ca="1">IFERROR(OFFSET(ITEM_RES!$A$1,MATCH(AR187,ITEM_RES!$J:$J,0)-1,0),0)</f>
        <v>211020801</v>
      </c>
      <c r="AR187" s="10" t="s">
        <v>385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3"/>
        <v>0</v>
      </c>
    </row>
    <row r="188" spans="1:66" x14ac:dyDescent="0.3">
      <c r="A188" s="14">
        <f t="shared" si="57"/>
        <v>113010004</v>
      </c>
      <c r="B188" s="13">
        <v>11</v>
      </c>
      <c r="C188" s="12">
        <f t="shared" si="58"/>
        <v>3</v>
      </c>
      <c r="D188" s="13">
        <v>1</v>
      </c>
      <c r="E188" s="13">
        <v>0</v>
      </c>
      <c r="F188" s="12">
        <f t="shared" si="59"/>
        <v>4</v>
      </c>
      <c r="H188" s="9">
        <v>3</v>
      </c>
      <c r="I188" s="9">
        <v>4</v>
      </c>
      <c r="K188" s="55" t="s">
        <v>490</v>
      </c>
      <c r="L188" s="55"/>
      <c r="M188" s="9">
        <v>1</v>
      </c>
      <c r="N188" s="9">
        <v>15</v>
      </c>
      <c r="O188" s="9" t="s">
        <v>1021</v>
      </c>
      <c r="P188" s="55" t="s">
        <v>1364</v>
      </c>
      <c r="Q188" s="9" t="s">
        <v>675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504</v>
      </c>
      <c r="Z188" s="9">
        <v>4</v>
      </c>
      <c r="AB188" s="11">
        <f ca="1">IFERROR(OFFSET(MANOR_LEVEL!$B$1,MATCH(AC188-1,MANOR_LEVEL!$A:$A,0)-1,0),0)</f>
        <v>240400</v>
      </c>
      <c r="AC188" s="55">
        <v>8</v>
      </c>
      <c r="AE188" s="55">
        <f t="shared" ca="1" si="54"/>
        <v>2725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2725</v>
      </c>
      <c r="AG188" s="176">
        <f t="shared" ca="1" si="64"/>
        <v>3415</v>
      </c>
      <c r="AI188" s="11">
        <f t="shared" si="60"/>
        <v>10</v>
      </c>
      <c r="AJ188" s="10">
        <v>10</v>
      </c>
      <c r="AK188" s="11">
        <f t="shared" si="61"/>
        <v>25</v>
      </c>
      <c r="AL188" s="10">
        <v>25</v>
      </c>
      <c r="AM188" s="11">
        <v>300</v>
      </c>
      <c r="AN188" s="10">
        <v>0</v>
      </c>
      <c r="AO188" s="55">
        <f t="shared" si="62"/>
        <v>1</v>
      </c>
      <c r="AQ188" s="11">
        <f ca="1">IFERROR(OFFSET(ITEM_RES!$A$1,MATCH(AR188,ITEM_RES!$J:$J,0)-1,0),0)</f>
        <v>211020801</v>
      </c>
      <c r="AR188" s="10" t="s">
        <v>385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3"/>
        <v>0</v>
      </c>
    </row>
    <row r="189" spans="1:66" x14ac:dyDescent="0.3">
      <c r="A189" s="14">
        <f t="shared" si="57"/>
        <v>113010005</v>
      </c>
      <c r="B189" s="13">
        <v>11</v>
      </c>
      <c r="C189" s="12">
        <f t="shared" si="58"/>
        <v>3</v>
      </c>
      <c r="D189" s="13">
        <v>1</v>
      </c>
      <c r="E189" s="13">
        <v>0</v>
      </c>
      <c r="F189" s="12">
        <f t="shared" si="59"/>
        <v>5</v>
      </c>
      <c r="H189" s="9">
        <v>3</v>
      </c>
      <c r="I189" s="9">
        <v>5</v>
      </c>
      <c r="K189" s="55" t="s">
        <v>490</v>
      </c>
      <c r="L189" s="55"/>
      <c r="M189" s="9">
        <v>1</v>
      </c>
      <c r="N189" s="9">
        <v>15</v>
      </c>
      <c r="O189" s="9" t="s">
        <v>1021</v>
      </c>
      <c r="P189" s="55" t="s">
        <v>1364</v>
      </c>
      <c r="Q189" s="9" t="s">
        <v>675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504</v>
      </c>
      <c r="Z189" s="9">
        <v>5</v>
      </c>
      <c r="AB189" s="11">
        <f ca="1">IFERROR(OFFSET(MANOR_LEVEL!$B$1,MATCH(AC189-1,MANOR_LEVEL!$A:$A,0)-1,0),0)</f>
        <v>630500</v>
      </c>
      <c r="AC189" s="55">
        <v>9</v>
      </c>
      <c r="AE189" s="55">
        <f t="shared" ca="1" si="54"/>
        <v>12190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12190</v>
      </c>
      <c r="AG189" s="176">
        <f t="shared" ca="1" si="64"/>
        <v>14915</v>
      </c>
      <c r="AI189" s="11">
        <f t="shared" si="60"/>
        <v>15</v>
      </c>
      <c r="AJ189" s="10">
        <v>15</v>
      </c>
      <c r="AK189" s="11">
        <f t="shared" si="61"/>
        <v>40</v>
      </c>
      <c r="AL189" s="10">
        <v>40</v>
      </c>
      <c r="AM189" s="11">
        <v>1350</v>
      </c>
      <c r="AN189" s="10">
        <v>0</v>
      </c>
      <c r="AO189" s="55">
        <f t="shared" si="62"/>
        <v>1</v>
      </c>
      <c r="AQ189" s="11">
        <f ca="1">IFERROR(OFFSET(ITEM_RES!$A$1,MATCH(AR189,ITEM_RES!$J:$J,0)-1,0),0)</f>
        <v>211020801</v>
      </c>
      <c r="AR189" s="10" t="s">
        <v>385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3"/>
        <v>0</v>
      </c>
    </row>
    <row r="190" spans="1:66" x14ac:dyDescent="0.3">
      <c r="A190" s="14">
        <f t="shared" si="57"/>
        <v>113010006</v>
      </c>
      <c r="B190" s="13">
        <v>11</v>
      </c>
      <c r="C190" s="12">
        <f t="shared" si="58"/>
        <v>3</v>
      </c>
      <c r="D190" s="13">
        <v>1</v>
      </c>
      <c r="E190" s="13">
        <v>0</v>
      </c>
      <c r="F190" s="12">
        <f t="shared" si="59"/>
        <v>6</v>
      </c>
      <c r="H190" s="9">
        <v>3</v>
      </c>
      <c r="I190" s="9">
        <v>6</v>
      </c>
      <c r="K190" s="55" t="s">
        <v>490</v>
      </c>
      <c r="L190" s="55"/>
      <c r="M190" s="9">
        <v>1</v>
      </c>
      <c r="N190" s="9">
        <v>15</v>
      </c>
      <c r="O190" s="9" t="s">
        <v>1021</v>
      </c>
      <c r="P190" s="55" t="s">
        <v>1364</v>
      </c>
      <c r="Q190" s="9" t="s">
        <v>675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504</v>
      </c>
      <c r="Z190" s="9">
        <v>6</v>
      </c>
      <c r="AB190" s="11">
        <f ca="1">IFERROR(OFFSET(MANOR_LEVEL!$B$1,MATCH(AC190-1,MANOR_LEVEL!$A:$A,0)-1,0),0)</f>
        <v>630500</v>
      </c>
      <c r="AC190" s="55">
        <v>9</v>
      </c>
      <c r="AE190" s="55">
        <f t="shared" ca="1" si="54"/>
        <v>40550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40550</v>
      </c>
      <c r="AG190" s="176">
        <f t="shared" ca="1" si="64"/>
        <v>52740</v>
      </c>
      <c r="AI190" s="11">
        <f t="shared" si="60"/>
        <v>30</v>
      </c>
      <c r="AJ190" s="10">
        <v>30</v>
      </c>
      <c r="AK190" s="11">
        <f t="shared" si="61"/>
        <v>50</v>
      </c>
      <c r="AL190" s="10">
        <v>50</v>
      </c>
      <c r="AM190" s="11">
        <v>4500</v>
      </c>
      <c r="AN190" s="10">
        <v>0</v>
      </c>
      <c r="AO190" s="55">
        <f t="shared" si="62"/>
        <v>1</v>
      </c>
      <c r="AQ190" s="11">
        <f ca="1">IFERROR(OFFSET(ITEM_RES!$A$1,MATCH(AR190,ITEM_RES!$J:$J,0)-1,0),0)</f>
        <v>211020801</v>
      </c>
      <c r="AR190" s="10" t="s">
        <v>385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3"/>
        <v>0</v>
      </c>
    </row>
    <row r="191" spans="1:66" x14ac:dyDescent="0.3">
      <c r="A191" s="14">
        <f t="shared" si="57"/>
        <v>113010007</v>
      </c>
      <c r="B191" s="13">
        <v>11</v>
      </c>
      <c r="C191" s="12">
        <f t="shared" si="58"/>
        <v>3</v>
      </c>
      <c r="D191" s="13">
        <v>1</v>
      </c>
      <c r="E191" s="13">
        <v>0</v>
      </c>
      <c r="F191" s="12">
        <f t="shared" si="59"/>
        <v>7</v>
      </c>
      <c r="H191" s="9">
        <v>3</v>
      </c>
      <c r="I191" s="9">
        <v>7</v>
      </c>
      <c r="K191" s="55" t="s">
        <v>490</v>
      </c>
      <c r="L191" s="55"/>
      <c r="M191" s="9">
        <v>1</v>
      </c>
      <c r="N191" s="9">
        <v>15</v>
      </c>
      <c r="O191" s="9" t="s">
        <v>1021</v>
      </c>
      <c r="P191" s="55" t="s">
        <v>1364</v>
      </c>
      <c r="Q191" s="9" t="s">
        <v>675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504</v>
      </c>
      <c r="Z191" s="9">
        <v>7</v>
      </c>
      <c r="AB191" s="11">
        <f ca="1">IFERROR(OFFSET(MANOR_LEVEL!$B$1,MATCH(AC191-1,MANOR_LEVEL!$A:$A,0)-1,0),0)</f>
        <v>630500</v>
      </c>
      <c r="AC191" s="55">
        <v>9</v>
      </c>
      <c r="AE191" s="55">
        <f t="shared" ca="1" si="54"/>
        <v>90100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90100</v>
      </c>
      <c r="AG191" s="176">
        <f t="shared" ca="1" si="64"/>
        <v>130650</v>
      </c>
      <c r="AI191" s="11">
        <f t="shared" si="60"/>
        <v>300</v>
      </c>
      <c r="AJ191" s="10">
        <v>300</v>
      </c>
      <c r="AK191" s="11">
        <f t="shared" si="61"/>
        <v>100</v>
      </c>
      <c r="AL191" s="10">
        <v>100</v>
      </c>
      <c r="AM191" s="11">
        <v>10000</v>
      </c>
      <c r="AN191" s="10">
        <v>0</v>
      </c>
      <c r="AO191" s="55">
        <f t="shared" si="62"/>
        <v>1</v>
      </c>
      <c r="AQ191" s="11">
        <f ca="1">IFERROR(OFFSET(ITEM_RES!$A$1,MATCH(AR191,ITEM_RES!$J:$J,0)-1,0),0)</f>
        <v>211020801</v>
      </c>
      <c r="AR191" s="10" t="s">
        <v>385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3"/>
        <v>0</v>
      </c>
    </row>
    <row r="192" spans="1:66" x14ac:dyDescent="0.3">
      <c r="A192" s="14">
        <f t="shared" si="57"/>
        <v>113010008</v>
      </c>
      <c r="B192" s="13">
        <v>11</v>
      </c>
      <c r="C192" s="12">
        <f t="shared" si="58"/>
        <v>3</v>
      </c>
      <c r="D192" s="13">
        <v>1</v>
      </c>
      <c r="E192" s="13">
        <v>0</v>
      </c>
      <c r="F192" s="12">
        <f t="shared" si="59"/>
        <v>8</v>
      </c>
      <c r="H192" s="9">
        <v>3</v>
      </c>
      <c r="I192" s="9">
        <v>8</v>
      </c>
      <c r="K192" s="55" t="s">
        <v>490</v>
      </c>
      <c r="L192" s="55"/>
      <c r="M192" s="9">
        <v>1</v>
      </c>
      <c r="N192" s="9">
        <v>15</v>
      </c>
      <c r="O192" s="9" t="s">
        <v>1021</v>
      </c>
      <c r="P192" s="55" t="s">
        <v>1364</v>
      </c>
      <c r="Q192" s="9" t="s">
        <v>675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504</v>
      </c>
      <c r="Z192" s="9">
        <v>8</v>
      </c>
      <c r="AB192" s="11">
        <f ca="1">IFERROR(OFFSET(MANOR_LEVEL!$B$1,MATCH(AC192-1,MANOR_LEVEL!$A:$A,0)-1,0),0)</f>
        <v>1170750</v>
      </c>
      <c r="AC192" s="55">
        <v>10</v>
      </c>
      <c r="AE192" s="55">
        <f t="shared" ca="1" si="54"/>
        <v>189100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189100</v>
      </c>
      <c r="AG192" s="176">
        <f t="shared" ca="1" si="64"/>
        <v>279200</v>
      </c>
      <c r="AI192" s="11">
        <f t="shared" si="60"/>
        <v>600</v>
      </c>
      <c r="AJ192" s="10">
        <v>600</v>
      </c>
      <c r="AK192" s="11">
        <f t="shared" si="61"/>
        <v>100</v>
      </c>
      <c r="AL192" s="10">
        <v>100</v>
      </c>
      <c r="AM192" s="11">
        <v>21000</v>
      </c>
      <c r="AN192" s="10">
        <v>0</v>
      </c>
      <c r="AO192" s="55">
        <f t="shared" si="62"/>
        <v>1</v>
      </c>
      <c r="AQ192" s="11">
        <f ca="1">IFERROR(OFFSET(ITEM_RES!$A$1,MATCH(AR192,ITEM_RES!$J:$J,0)-1,0),0)</f>
        <v>211020801</v>
      </c>
      <c r="AR192" s="10" t="s">
        <v>385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3"/>
        <v>0</v>
      </c>
    </row>
    <row r="193" spans="1:66" x14ac:dyDescent="0.3">
      <c r="A193" s="14">
        <f t="shared" si="57"/>
        <v>113010009</v>
      </c>
      <c r="B193" s="13">
        <v>11</v>
      </c>
      <c r="C193" s="12">
        <f t="shared" si="58"/>
        <v>3</v>
      </c>
      <c r="D193" s="13">
        <v>1</v>
      </c>
      <c r="E193" s="13">
        <v>0</v>
      </c>
      <c r="F193" s="12">
        <f t="shared" si="59"/>
        <v>9</v>
      </c>
      <c r="H193" s="9">
        <v>3</v>
      </c>
      <c r="I193" s="9">
        <v>9</v>
      </c>
      <c r="K193" s="55" t="s">
        <v>490</v>
      </c>
      <c r="L193" s="55"/>
      <c r="M193" s="9">
        <v>1</v>
      </c>
      <c r="N193" s="9">
        <v>15</v>
      </c>
      <c r="O193" s="9" t="s">
        <v>1021</v>
      </c>
      <c r="P193" s="55" t="s">
        <v>1364</v>
      </c>
      <c r="Q193" s="9" t="s">
        <v>675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504</v>
      </c>
      <c r="Z193" s="9">
        <v>9</v>
      </c>
      <c r="AB193" s="11">
        <f ca="1">IFERROR(OFFSET(MANOR_LEVEL!$B$1,MATCH(AC193-1,MANOR_LEVEL!$A:$A,0)-1,0),0)</f>
        <v>3961500</v>
      </c>
      <c r="AC193" s="55">
        <v>12</v>
      </c>
      <c r="AE193" s="55">
        <f t="shared" ca="1" si="54"/>
        <v>351150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351150</v>
      </c>
      <c r="AG193" s="176">
        <f t="shared" ca="1" si="64"/>
        <v>540250</v>
      </c>
      <c r="AI193" s="11">
        <f t="shared" si="60"/>
        <v>900</v>
      </c>
      <c r="AJ193" s="10">
        <v>900</v>
      </c>
      <c r="AK193" s="11">
        <f t="shared" si="61"/>
        <v>150</v>
      </c>
      <c r="AL193" s="10">
        <v>150</v>
      </c>
      <c r="AM193" s="11">
        <v>39000</v>
      </c>
      <c r="AN193" s="10">
        <v>0</v>
      </c>
      <c r="AO193" s="55">
        <f t="shared" si="62"/>
        <v>1</v>
      </c>
      <c r="AQ193" s="11">
        <f ca="1">IFERROR(OFFSET(ITEM_RES!$A$1,MATCH(AR193,ITEM_RES!$J:$J,0)-1,0),0)</f>
        <v>211020801</v>
      </c>
      <c r="AR193" s="10" t="s">
        <v>385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3"/>
        <v>0</v>
      </c>
    </row>
    <row r="194" spans="1:66" x14ac:dyDescent="0.3">
      <c r="A194" s="14">
        <f t="shared" si="57"/>
        <v>113010010</v>
      </c>
      <c r="B194" s="13">
        <v>11</v>
      </c>
      <c r="C194" s="12">
        <f t="shared" si="58"/>
        <v>3</v>
      </c>
      <c r="D194" s="13">
        <v>1</v>
      </c>
      <c r="E194" s="13">
        <v>0</v>
      </c>
      <c r="F194" s="12">
        <f t="shared" si="59"/>
        <v>10</v>
      </c>
      <c r="H194" s="9">
        <v>3</v>
      </c>
      <c r="I194" s="9">
        <v>10</v>
      </c>
      <c r="K194" s="55" t="s">
        <v>490</v>
      </c>
      <c r="L194" s="55"/>
      <c r="M194" s="9">
        <v>1</v>
      </c>
      <c r="N194" s="9">
        <v>15</v>
      </c>
      <c r="O194" s="9" t="s">
        <v>1021</v>
      </c>
      <c r="P194" s="55" t="s">
        <v>1364</v>
      </c>
      <c r="Q194" s="9" t="s">
        <v>675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504</v>
      </c>
      <c r="Z194" s="9">
        <v>10</v>
      </c>
      <c r="AB194" s="11">
        <f ca="1">IFERROR(OFFSET(MANOR_LEVEL!$B$1,MATCH(AC194-1,MANOR_LEVEL!$A:$A,0)-1,0),0)</f>
        <v>3961500</v>
      </c>
      <c r="AC194" s="55">
        <v>12</v>
      </c>
      <c r="AE194" s="55">
        <f t="shared" ca="1" si="54"/>
        <v>586200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586200</v>
      </c>
      <c r="AG194" s="176">
        <f t="shared" ca="1" si="64"/>
        <v>937350</v>
      </c>
      <c r="AI194" s="11">
        <f t="shared" si="60"/>
        <v>1200</v>
      </c>
      <c r="AJ194" s="10">
        <v>1200</v>
      </c>
      <c r="AK194" s="11">
        <f t="shared" si="61"/>
        <v>200</v>
      </c>
      <c r="AL194" s="10">
        <v>200</v>
      </c>
      <c r="AM194" s="11">
        <v>65000</v>
      </c>
      <c r="AN194" s="10">
        <v>0</v>
      </c>
      <c r="AO194" s="55">
        <f t="shared" si="62"/>
        <v>2</v>
      </c>
      <c r="AQ194" s="11">
        <f ca="1">IFERROR(OFFSET(ITEM_RES!$A$1,MATCH(AR194,ITEM_RES!$J:$J,0)-1,0),0)</f>
        <v>211020801</v>
      </c>
      <c r="AR194" s="10" t="s">
        <v>385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452</v>
      </c>
      <c r="BH194" s="11">
        <v>1</v>
      </c>
      <c r="BK194" s="11">
        <f ca="1">IFERROR(OFFSET(ITEM_RES!$A$1,MATCH(BL194,ITEM_RES!$J:$J,0)-1,0),0)</f>
        <v>0</v>
      </c>
      <c r="BM194" s="11">
        <f t="shared" si="63"/>
        <v>0</v>
      </c>
    </row>
    <row r="195" spans="1:66" x14ac:dyDescent="0.3">
      <c r="A195" s="14">
        <f t="shared" si="57"/>
        <v>113010011</v>
      </c>
      <c r="B195" s="13">
        <v>11</v>
      </c>
      <c r="C195" s="12">
        <f t="shared" si="58"/>
        <v>3</v>
      </c>
      <c r="D195" s="13">
        <v>1</v>
      </c>
      <c r="E195" s="13">
        <v>0</v>
      </c>
      <c r="F195" s="12">
        <f t="shared" si="59"/>
        <v>11</v>
      </c>
      <c r="H195" s="9">
        <v>3</v>
      </c>
      <c r="I195" s="9">
        <v>11</v>
      </c>
      <c r="K195" s="55" t="s">
        <v>490</v>
      </c>
      <c r="L195" s="55"/>
      <c r="M195" s="9">
        <v>1</v>
      </c>
      <c r="N195" s="9">
        <v>15</v>
      </c>
      <c r="O195" s="9" t="s">
        <v>1021</v>
      </c>
      <c r="P195" s="55" t="s">
        <v>1364</v>
      </c>
      <c r="Q195" s="9" t="s">
        <v>675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504</v>
      </c>
      <c r="Z195" s="9">
        <v>11</v>
      </c>
      <c r="AB195" s="11">
        <f ca="1">IFERROR(OFFSET(MANOR_LEVEL!$B$1,MATCH(AC195-1,MANOR_LEVEL!$A:$A,0)-1,0),0)</f>
        <v>3961500</v>
      </c>
      <c r="AC195" s="55">
        <v>12</v>
      </c>
      <c r="AE195" s="55">
        <f t="shared" ca="1" si="54"/>
        <v>990250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990250</v>
      </c>
      <c r="AG195" s="176">
        <f t="shared" ca="1" si="64"/>
        <v>1576450</v>
      </c>
      <c r="AI195" s="11">
        <f t="shared" si="60"/>
        <v>1500</v>
      </c>
      <c r="AJ195" s="10">
        <v>1500</v>
      </c>
      <c r="AK195" s="11">
        <f t="shared" si="61"/>
        <v>250</v>
      </c>
      <c r="AL195" s="10">
        <v>250</v>
      </c>
      <c r="AM195" s="11">
        <v>110000</v>
      </c>
      <c r="AN195" s="10">
        <v>0</v>
      </c>
      <c r="AO195" s="55">
        <f t="shared" si="62"/>
        <v>1</v>
      </c>
      <c r="AQ195" s="11">
        <f ca="1">IFERROR(OFFSET(ITEM_RES!$A$1,MATCH(AR195,ITEM_RES!$J:$J,0)-1,0),0)</f>
        <v>211020801</v>
      </c>
      <c r="AR195" s="10" t="s">
        <v>385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3"/>
        <v>0</v>
      </c>
    </row>
    <row r="196" spans="1:66" x14ac:dyDescent="0.3">
      <c r="A196" s="14">
        <f t="shared" si="57"/>
        <v>113010012</v>
      </c>
      <c r="B196" s="13">
        <v>11</v>
      </c>
      <c r="C196" s="12">
        <f t="shared" si="58"/>
        <v>3</v>
      </c>
      <c r="D196" s="13">
        <v>1</v>
      </c>
      <c r="E196" s="13">
        <v>0</v>
      </c>
      <c r="F196" s="12">
        <f t="shared" si="59"/>
        <v>12</v>
      </c>
      <c r="H196" s="9">
        <v>3</v>
      </c>
      <c r="I196" s="9">
        <v>12</v>
      </c>
      <c r="K196" s="55" t="s">
        <v>490</v>
      </c>
      <c r="L196" s="55"/>
      <c r="M196" s="9">
        <v>1</v>
      </c>
      <c r="N196" s="9">
        <v>15</v>
      </c>
      <c r="O196" s="9" t="s">
        <v>1021</v>
      </c>
      <c r="P196" s="55" t="s">
        <v>1364</v>
      </c>
      <c r="Q196" s="9" t="s">
        <v>675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504</v>
      </c>
      <c r="Z196" s="9">
        <v>12</v>
      </c>
      <c r="AB196" s="11">
        <f ca="1">IFERROR(OFFSET(MANOR_LEVEL!$B$1,MATCH(AC196-1,MANOR_LEVEL!$A:$A,0)-1,0),0)</f>
        <v>223207650</v>
      </c>
      <c r="AC196" s="55">
        <v>18</v>
      </c>
      <c r="AE196" s="55">
        <f t="shared" ca="1" si="54"/>
        <v>3515300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3515300</v>
      </c>
      <c r="AG196" s="176">
        <f t="shared" ca="1" si="64"/>
        <v>4505550</v>
      </c>
      <c r="AI196" s="11">
        <f t="shared" si="60"/>
        <v>1800</v>
      </c>
      <c r="AJ196" s="10">
        <v>1800</v>
      </c>
      <c r="AK196" s="11">
        <f t="shared" si="61"/>
        <v>300</v>
      </c>
      <c r="AL196" s="10">
        <v>300</v>
      </c>
      <c r="AM196" s="11">
        <v>185000</v>
      </c>
      <c r="AN196" s="10">
        <v>0</v>
      </c>
      <c r="AO196" s="55">
        <f t="shared" si="62"/>
        <v>2</v>
      </c>
      <c r="AQ196" s="11">
        <f ca="1">IFERROR(OFFSET(ITEM_RES!$A$1,MATCH(AR196,ITEM_RES!$J:$J,0)-1,0),0)</f>
        <v>211020801</v>
      </c>
      <c r="AR196" s="10" t="s">
        <v>385</v>
      </c>
      <c r="AS196" s="11">
        <v>185000</v>
      </c>
      <c r="AV196" s="11">
        <f ca="1">IFERROR(OFFSET(ITEM_RES!$A$1,MATCH(AW196,ITEM_RES!$J:$J,0)-1,0),0)</f>
        <v>211020901</v>
      </c>
      <c r="AW196" s="10" t="s">
        <v>386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3"/>
        <v>0</v>
      </c>
    </row>
    <row r="197" spans="1:66" x14ac:dyDescent="0.3">
      <c r="A197" s="14">
        <f t="shared" si="57"/>
        <v>113010013</v>
      </c>
      <c r="B197" s="13">
        <v>11</v>
      </c>
      <c r="C197" s="12">
        <f t="shared" si="58"/>
        <v>3</v>
      </c>
      <c r="D197" s="13">
        <v>1</v>
      </c>
      <c r="E197" s="13">
        <v>0</v>
      </c>
      <c r="F197" s="12">
        <f t="shared" si="59"/>
        <v>13</v>
      </c>
      <c r="H197" s="9">
        <v>3</v>
      </c>
      <c r="I197" s="9">
        <v>13</v>
      </c>
      <c r="K197" s="55" t="s">
        <v>490</v>
      </c>
      <c r="L197" s="55"/>
      <c r="M197" s="9">
        <v>1</v>
      </c>
      <c r="N197" s="9">
        <v>15</v>
      </c>
      <c r="O197" s="9" t="s">
        <v>1021</v>
      </c>
      <c r="P197" s="55" t="s">
        <v>1364</v>
      </c>
      <c r="Q197" s="9" t="s">
        <v>675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504</v>
      </c>
      <c r="Z197" s="9">
        <v>13</v>
      </c>
      <c r="AB197" s="11">
        <f ca="1">IFERROR(OFFSET(MANOR_LEVEL!$B$1,MATCH(AC197-1,MANOR_LEVEL!$A:$A,0)-1,0),0)</f>
        <v>223207650</v>
      </c>
      <c r="AC197" s="55">
        <v>18</v>
      </c>
      <c r="AE197" s="55">
        <f t="shared" ca="1" si="54"/>
        <v>5890350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5890350</v>
      </c>
      <c r="AG197" s="176">
        <f t="shared" ca="1" si="64"/>
        <v>9405650</v>
      </c>
      <c r="AI197" s="11">
        <f t="shared" si="60"/>
        <v>2100</v>
      </c>
      <c r="AJ197" s="10">
        <v>2100</v>
      </c>
      <c r="AK197" s="11">
        <f t="shared" si="61"/>
        <v>350</v>
      </c>
      <c r="AL197" s="10">
        <v>350</v>
      </c>
      <c r="AM197" s="11">
        <v>310000</v>
      </c>
      <c r="AN197" s="10">
        <v>0</v>
      </c>
      <c r="AO197" s="55">
        <f t="shared" si="62"/>
        <v>2</v>
      </c>
      <c r="AQ197" s="11">
        <f ca="1">IFERROR(OFFSET(ITEM_RES!$A$1,MATCH(AR197,ITEM_RES!$J:$J,0)-1,0),0)</f>
        <v>211020801</v>
      </c>
      <c r="AR197" s="10" t="s">
        <v>385</v>
      </c>
      <c r="AS197" s="11">
        <v>310000</v>
      </c>
      <c r="AV197" s="11">
        <f ca="1">IFERROR(OFFSET(ITEM_RES!$A$1,MATCH(AW197,ITEM_RES!$J:$J,0)-1,0),0)</f>
        <v>211020901</v>
      </c>
      <c r="AW197" s="10" t="s">
        <v>386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3"/>
        <v>0</v>
      </c>
    </row>
    <row r="198" spans="1:66" x14ac:dyDescent="0.3">
      <c r="A198" s="14">
        <f t="shared" si="57"/>
        <v>113010014</v>
      </c>
      <c r="B198" s="13">
        <v>11</v>
      </c>
      <c r="C198" s="12">
        <f t="shared" si="58"/>
        <v>3</v>
      </c>
      <c r="D198" s="13">
        <v>1</v>
      </c>
      <c r="E198" s="13">
        <v>0</v>
      </c>
      <c r="F198" s="12">
        <f t="shared" si="59"/>
        <v>14</v>
      </c>
      <c r="H198" s="9">
        <v>3</v>
      </c>
      <c r="I198" s="9">
        <v>14</v>
      </c>
      <c r="K198" s="55" t="s">
        <v>490</v>
      </c>
      <c r="L198" s="55"/>
      <c r="M198" s="9">
        <v>1</v>
      </c>
      <c r="N198" s="9">
        <v>15</v>
      </c>
      <c r="O198" s="9" t="s">
        <v>1021</v>
      </c>
      <c r="P198" s="55" t="s">
        <v>1364</v>
      </c>
      <c r="Q198" s="9" t="s">
        <v>675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504</v>
      </c>
      <c r="Z198" s="9">
        <v>14</v>
      </c>
      <c r="AB198" s="11">
        <f ca="1">IFERROR(OFFSET(MANOR_LEVEL!$B$1,MATCH(AC198-1,MANOR_LEVEL!$A:$A,0)-1,0),0)</f>
        <v>223207650</v>
      </c>
      <c r="AC198" s="55">
        <v>18</v>
      </c>
      <c r="AE198" s="55">
        <f t="shared" ca="1" si="54"/>
        <v>9215450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9215450</v>
      </c>
      <c r="AG198" s="176">
        <f t="shared" ca="1" si="64"/>
        <v>15105800</v>
      </c>
      <c r="AI198" s="11">
        <f t="shared" si="60"/>
        <v>2400</v>
      </c>
      <c r="AJ198" s="10">
        <v>2400</v>
      </c>
      <c r="AK198" s="11">
        <f t="shared" si="61"/>
        <v>450</v>
      </c>
      <c r="AL198" s="10">
        <v>450</v>
      </c>
      <c r="AM198" s="11">
        <v>485000</v>
      </c>
      <c r="AN198" s="10">
        <v>0</v>
      </c>
      <c r="AO198" s="55">
        <f t="shared" si="62"/>
        <v>2</v>
      </c>
      <c r="AQ198" s="11">
        <f ca="1">IFERROR(OFFSET(ITEM_RES!$A$1,MATCH(AR198,ITEM_RES!$J:$J,0)-1,0),0)</f>
        <v>211020801</v>
      </c>
      <c r="AR198" s="10" t="s">
        <v>385</v>
      </c>
      <c r="AS198" s="11">
        <v>485000</v>
      </c>
      <c r="AV198" s="11">
        <f ca="1">IFERROR(OFFSET(ITEM_RES!$A$1,MATCH(AW198,ITEM_RES!$J:$J,0)-1,0),0)</f>
        <v>211020901</v>
      </c>
      <c r="AW198" s="10" t="s">
        <v>386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3"/>
        <v>0</v>
      </c>
    </row>
    <row r="199" spans="1:66" x14ac:dyDescent="0.3">
      <c r="A199" s="14">
        <f t="shared" si="57"/>
        <v>113010015</v>
      </c>
      <c r="B199" s="13">
        <v>11</v>
      </c>
      <c r="C199" s="12">
        <f t="shared" si="58"/>
        <v>3</v>
      </c>
      <c r="D199" s="13">
        <v>1</v>
      </c>
      <c r="E199" s="13">
        <v>0</v>
      </c>
      <c r="F199" s="12">
        <f t="shared" si="59"/>
        <v>15</v>
      </c>
      <c r="H199" s="9">
        <v>3</v>
      </c>
      <c r="I199" s="9">
        <v>15</v>
      </c>
      <c r="K199" s="55" t="s">
        <v>490</v>
      </c>
      <c r="L199" s="55"/>
      <c r="M199" s="9">
        <v>1</v>
      </c>
      <c r="N199" s="9">
        <v>15</v>
      </c>
      <c r="O199" s="9" t="s">
        <v>1021</v>
      </c>
      <c r="P199" s="55" t="s">
        <v>1364</v>
      </c>
      <c r="Q199" s="9" t="s">
        <v>675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504</v>
      </c>
      <c r="Z199" s="9">
        <v>15</v>
      </c>
      <c r="AB199" s="11">
        <f ca="1">IFERROR(OFFSET(MANOR_LEVEL!$B$1,MATCH(AC199-1,MANOR_LEVEL!$A:$A,0)-1,0),0)</f>
        <v>223207650</v>
      </c>
      <c r="AC199" s="55">
        <v>18</v>
      </c>
      <c r="AE199" s="55">
        <f t="shared" ca="1" si="54"/>
        <v>19950550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19950550</v>
      </c>
      <c r="AG199" s="176">
        <f t="shared" ca="1" si="64"/>
        <v>29166000</v>
      </c>
      <c r="AI199" s="11">
        <f t="shared" si="60"/>
        <v>2700</v>
      </c>
      <c r="AJ199" s="10">
        <v>2700</v>
      </c>
      <c r="AK199" s="11">
        <f t="shared" si="61"/>
        <v>550</v>
      </c>
      <c r="AL199" s="10">
        <v>550</v>
      </c>
      <c r="AM199" s="11">
        <v>1050000</v>
      </c>
      <c r="AN199" s="10">
        <v>0</v>
      </c>
      <c r="AO199" s="55">
        <f t="shared" si="62"/>
        <v>2</v>
      </c>
      <c r="AQ199" s="11">
        <f ca="1">IFERROR(OFFSET(ITEM_RES!$A$1,MATCH(AR199,ITEM_RES!$J:$J,0)-1,0),0)</f>
        <v>211020801</v>
      </c>
      <c r="AR199" s="10" t="s">
        <v>385</v>
      </c>
      <c r="AS199" s="11">
        <v>1050000</v>
      </c>
      <c r="AV199" s="11">
        <f ca="1">IFERROR(OFFSET(ITEM_RES!$A$1,MATCH(AW199,ITEM_RES!$J:$J,0)-1,0),0)</f>
        <v>211020901</v>
      </c>
      <c r="AW199" s="10" t="s">
        <v>386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3"/>
        <v>0</v>
      </c>
    </row>
    <row r="200" spans="1:66" x14ac:dyDescent="0.3">
      <c r="A200" s="14">
        <f t="shared" si="57"/>
        <v>113010016</v>
      </c>
      <c r="B200" s="13">
        <v>11</v>
      </c>
      <c r="C200" s="12">
        <f t="shared" si="58"/>
        <v>3</v>
      </c>
      <c r="D200" s="13">
        <v>1</v>
      </c>
      <c r="E200" s="13">
        <v>0</v>
      </c>
      <c r="F200" s="12">
        <f t="shared" si="59"/>
        <v>16</v>
      </c>
      <c r="H200" s="9">
        <v>3</v>
      </c>
      <c r="I200" s="9">
        <v>16</v>
      </c>
      <c r="K200" s="55" t="s">
        <v>490</v>
      </c>
      <c r="L200" s="55"/>
      <c r="M200" s="9">
        <v>0</v>
      </c>
      <c r="N200" s="9">
        <v>15</v>
      </c>
      <c r="O200" s="9" t="s">
        <v>1021</v>
      </c>
      <c r="P200" s="55" t="s">
        <v>1364</v>
      </c>
      <c r="Q200" s="9" t="s">
        <v>675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504</v>
      </c>
      <c r="Z200" s="9">
        <v>16</v>
      </c>
      <c r="AB200" s="11">
        <f ca="1">IFERROR(OFFSET(MANOR_LEVEL!$B$1,MATCH(AC200-1,MANOR_LEVEL!$A:$A,0)-1,0),0)</f>
        <v>223207650</v>
      </c>
      <c r="AC200" s="55">
        <v>18</v>
      </c>
      <c r="AE200" s="55">
        <f t="shared" ca="1" si="54"/>
        <v>40850700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40850700</v>
      </c>
      <c r="AG200" s="176">
        <f t="shared" ca="1" si="64"/>
        <v>60801250</v>
      </c>
      <c r="AI200" s="11">
        <f t="shared" si="60"/>
        <v>3000</v>
      </c>
      <c r="AJ200" s="10">
        <v>3000</v>
      </c>
      <c r="AK200" s="11">
        <f t="shared" si="61"/>
        <v>700</v>
      </c>
      <c r="AL200" s="10">
        <v>700</v>
      </c>
      <c r="AM200" s="11">
        <v>2150000</v>
      </c>
      <c r="AN200" s="10">
        <v>0</v>
      </c>
      <c r="AO200" s="55">
        <f t="shared" si="62"/>
        <v>2</v>
      </c>
      <c r="AQ200" s="11">
        <f ca="1">IFERROR(OFFSET(ITEM_RES!$A$1,MATCH(AR200,ITEM_RES!$J:$J,0)-1,0),0)</f>
        <v>211020801</v>
      </c>
      <c r="AR200" s="10" t="s">
        <v>385</v>
      </c>
      <c r="AS200" s="11">
        <v>2150000</v>
      </c>
      <c r="AV200" s="11">
        <f ca="1">IFERROR(OFFSET(ITEM_RES!$A$1,MATCH(AW200,ITEM_RES!$J:$J,0)-1,0),0)</f>
        <v>211020901</v>
      </c>
      <c r="AW200" s="10" t="s">
        <v>386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3"/>
        <v>0</v>
      </c>
    </row>
    <row r="201" spans="1:66" x14ac:dyDescent="0.3">
      <c r="A201" s="14">
        <f t="shared" si="57"/>
        <v>113010017</v>
      </c>
      <c r="B201" s="13">
        <v>11</v>
      </c>
      <c r="C201" s="12">
        <f t="shared" si="58"/>
        <v>3</v>
      </c>
      <c r="D201" s="13">
        <v>1</v>
      </c>
      <c r="E201" s="13">
        <v>0</v>
      </c>
      <c r="F201" s="12">
        <f t="shared" si="59"/>
        <v>17</v>
      </c>
      <c r="H201" s="9">
        <v>3</v>
      </c>
      <c r="I201" s="9">
        <v>17</v>
      </c>
      <c r="K201" s="55" t="s">
        <v>490</v>
      </c>
      <c r="L201" s="55"/>
      <c r="M201" s="9">
        <v>0</v>
      </c>
      <c r="N201" s="9">
        <v>15</v>
      </c>
      <c r="O201" s="9" t="s">
        <v>1021</v>
      </c>
      <c r="P201" s="55" t="s">
        <v>1364</v>
      </c>
      <c r="Q201" s="9" t="s">
        <v>675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504</v>
      </c>
      <c r="Z201" s="9">
        <v>17</v>
      </c>
      <c r="AB201" s="11">
        <f ca="1">IFERROR(OFFSET(MANOR_LEVEL!$B$1,MATCH(AC201-1,MANOR_LEVEL!$A:$A,0)-1,0),0)</f>
        <v>223207650</v>
      </c>
      <c r="AC201" s="55">
        <v>18</v>
      </c>
      <c r="AE201" s="55">
        <f t="shared" ca="1" si="54"/>
        <v>76000850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76000850</v>
      </c>
      <c r="AG201" s="176">
        <f t="shared" ca="1" si="64"/>
        <v>116851550</v>
      </c>
      <c r="AI201" s="11">
        <f t="shared" si="60"/>
        <v>3300</v>
      </c>
      <c r="AJ201" s="10">
        <v>3300</v>
      </c>
      <c r="AK201" s="11">
        <f t="shared" si="61"/>
        <v>850</v>
      </c>
      <c r="AL201" s="10">
        <v>850</v>
      </c>
      <c r="AM201" s="11">
        <v>4000000</v>
      </c>
      <c r="AN201" s="10">
        <v>0</v>
      </c>
      <c r="AO201" s="55">
        <f t="shared" si="62"/>
        <v>2</v>
      </c>
      <c r="AQ201" s="11">
        <f ca="1">IFERROR(OFFSET(ITEM_RES!$A$1,MATCH(AR201,ITEM_RES!$J:$J,0)-1,0),0)</f>
        <v>211020801</v>
      </c>
      <c r="AR201" s="10" t="s">
        <v>385</v>
      </c>
      <c r="AS201" s="11">
        <v>4000000</v>
      </c>
      <c r="AV201" s="11">
        <f ca="1">IFERROR(OFFSET(ITEM_RES!$A$1,MATCH(AW201,ITEM_RES!$J:$J,0)-1,0),0)</f>
        <v>211020901</v>
      </c>
      <c r="AW201" s="10" t="s">
        <v>386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3"/>
        <v>0</v>
      </c>
    </row>
    <row r="202" spans="1:66" x14ac:dyDescent="0.3">
      <c r="A202" s="14">
        <f t="shared" si="57"/>
        <v>113010018</v>
      </c>
      <c r="B202" s="13">
        <v>11</v>
      </c>
      <c r="C202" s="12">
        <f t="shared" si="58"/>
        <v>3</v>
      </c>
      <c r="D202" s="13">
        <v>1</v>
      </c>
      <c r="E202" s="13">
        <v>0</v>
      </c>
      <c r="F202" s="12">
        <f t="shared" si="59"/>
        <v>18</v>
      </c>
      <c r="H202" s="9">
        <v>3</v>
      </c>
      <c r="I202" s="9">
        <v>18</v>
      </c>
      <c r="K202" s="55" t="s">
        <v>490</v>
      </c>
      <c r="L202" s="55"/>
      <c r="M202" s="9">
        <v>0</v>
      </c>
      <c r="N202" s="9">
        <v>15</v>
      </c>
      <c r="O202" s="9" t="s">
        <v>1021</v>
      </c>
      <c r="P202" s="55" t="s">
        <v>1364</v>
      </c>
      <c r="Q202" s="9" t="s">
        <v>675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504</v>
      </c>
      <c r="Z202" s="9">
        <v>18</v>
      </c>
      <c r="AB202" s="11">
        <f ca="1">IFERROR(OFFSET(MANOR_LEVEL!$B$1,MATCH(AC202-1,MANOR_LEVEL!$A:$A,0)-1,0),0)</f>
        <v>223207650</v>
      </c>
      <c r="AC202" s="55">
        <v>18</v>
      </c>
      <c r="AE202" s="55">
        <f t="shared" ca="1" si="54"/>
        <v>123501050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123501050</v>
      </c>
      <c r="AG202" s="176">
        <f t="shared" ca="1" si="64"/>
        <v>199501900</v>
      </c>
      <c r="AI202" s="11">
        <f t="shared" si="60"/>
        <v>3600</v>
      </c>
      <c r="AJ202" s="10">
        <v>3600</v>
      </c>
      <c r="AK202" s="11">
        <f t="shared" si="61"/>
        <v>1050</v>
      </c>
      <c r="AL202" s="10">
        <v>1050</v>
      </c>
      <c r="AM202" s="11">
        <v>6500000</v>
      </c>
      <c r="AN202" s="10">
        <v>0</v>
      </c>
      <c r="AO202" s="55">
        <f t="shared" si="62"/>
        <v>2</v>
      </c>
      <c r="AQ202" s="11">
        <f ca="1">IFERROR(OFFSET(ITEM_RES!$A$1,MATCH(AR202,ITEM_RES!$J:$J,0)-1,0),0)</f>
        <v>211020801</v>
      </c>
      <c r="AR202" s="10" t="s">
        <v>385</v>
      </c>
      <c r="AS202" s="11">
        <v>6500000</v>
      </c>
      <c r="AV202" s="11">
        <f ca="1">IFERROR(OFFSET(ITEM_RES!$A$1,MATCH(AW202,ITEM_RES!$J:$J,0)-1,0),0)</f>
        <v>211020901</v>
      </c>
      <c r="AW202" s="10" t="s">
        <v>386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3"/>
        <v>0</v>
      </c>
    </row>
    <row r="203" spans="1:66" x14ac:dyDescent="0.3">
      <c r="A203" s="14">
        <f t="shared" si="57"/>
        <v>113010019</v>
      </c>
      <c r="B203" s="13">
        <v>11</v>
      </c>
      <c r="C203" s="12">
        <f t="shared" si="58"/>
        <v>3</v>
      </c>
      <c r="D203" s="13">
        <v>1</v>
      </c>
      <c r="E203" s="13">
        <v>0</v>
      </c>
      <c r="F203" s="12">
        <f t="shared" si="59"/>
        <v>19</v>
      </c>
      <c r="H203" s="9">
        <v>3</v>
      </c>
      <c r="I203" s="9">
        <v>19</v>
      </c>
      <c r="K203" s="55" t="s">
        <v>490</v>
      </c>
      <c r="L203" s="55"/>
      <c r="M203" s="9">
        <v>0</v>
      </c>
      <c r="N203" s="9">
        <v>15</v>
      </c>
      <c r="O203" s="9" t="s">
        <v>1021</v>
      </c>
      <c r="P203" s="55" t="s">
        <v>1364</v>
      </c>
      <c r="Q203" s="9" t="s">
        <v>675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504</v>
      </c>
      <c r="Z203" s="9">
        <v>19</v>
      </c>
      <c r="AB203" s="11">
        <f ca="1">IFERROR(OFFSET(MANOR_LEVEL!$B$1,MATCH(AC203-1,MANOR_LEVEL!$A:$A,0)-1,0),0)</f>
        <v>223207650</v>
      </c>
      <c r="AC203" s="55">
        <v>18</v>
      </c>
      <c r="AE203" s="55">
        <f t="shared" ca="1" si="54"/>
        <v>146001250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146001250</v>
      </c>
      <c r="AG203" s="176">
        <f t="shared" ca="1" si="64"/>
        <v>269502300</v>
      </c>
      <c r="AI203" s="11">
        <f t="shared" si="60"/>
        <v>3900</v>
      </c>
      <c r="AJ203" s="10">
        <v>3900</v>
      </c>
      <c r="AK203" s="11">
        <f t="shared" si="61"/>
        <v>1250</v>
      </c>
      <c r="AL203" s="10">
        <v>1250</v>
      </c>
      <c r="AM203" s="11">
        <v>10000000</v>
      </c>
      <c r="AN203" s="10">
        <v>0</v>
      </c>
      <c r="AO203" s="55">
        <f t="shared" si="62"/>
        <v>2</v>
      </c>
      <c r="AQ203" s="11">
        <f ca="1">IFERROR(OFFSET(ITEM_RES!$A$1,MATCH(AR203,ITEM_RES!$J:$J,0)-1,0),0)</f>
        <v>211020901</v>
      </c>
      <c r="AR203" s="10" t="s">
        <v>386</v>
      </c>
      <c r="AS203" s="11">
        <v>10000000</v>
      </c>
      <c r="AV203" s="11">
        <f ca="1">IFERROR(OFFSET(ITEM_RES!$A$1,MATCH(AW203,ITEM_RES!$J:$J,0)-1,0),0)</f>
        <v>211020501</v>
      </c>
      <c r="AW203" s="10" t="s">
        <v>417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3"/>
        <v>0</v>
      </c>
    </row>
    <row r="204" spans="1:66" ht="17.25" thickBot="1" x14ac:dyDescent="0.35">
      <c r="A204" s="14">
        <f t="shared" si="57"/>
        <v>113010020</v>
      </c>
      <c r="B204" s="13">
        <v>11</v>
      </c>
      <c r="C204" s="12">
        <f t="shared" si="58"/>
        <v>3</v>
      </c>
      <c r="D204" s="13">
        <v>1</v>
      </c>
      <c r="E204" s="13">
        <v>0</v>
      </c>
      <c r="F204" s="12">
        <f t="shared" si="59"/>
        <v>20</v>
      </c>
      <c r="H204" s="9">
        <v>3</v>
      </c>
      <c r="I204" s="9">
        <v>20</v>
      </c>
      <c r="K204" s="55" t="s">
        <v>490</v>
      </c>
      <c r="L204" s="55"/>
      <c r="M204" s="9">
        <v>0</v>
      </c>
      <c r="N204" s="9">
        <v>15</v>
      </c>
      <c r="O204" s="9" t="s">
        <v>1021</v>
      </c>
      <c r="P204" s="55" t="s">
        <v>1364</v>
      </c>
      <c r="Q204" s="9" t="s">
        <v>675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504</v>
      </c>
      <c r="Z204" s="9">
        <v>20</v>
      </c>
      <c r="AB204" s="11">
        <f ca="1">IFERROR(OFFSET(MANOR_LEVEL!$B$1,MATCH(AC204-1,MANOR_LEVEL!$A:$A,0)-1,0),0)</f>
        <v>223207650</v>
      </c>
      <c r="AC204" s="55">
        <v>18</v>
      </c>
      <c r="AE204" s="55">
        <f t="shared" ca="1" si="54"/>
        <v>233601500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233601500</v>
      </c>
      <c r="AG204" s="176">
        <f t="shared" ca="1" si="64"/>
        <v>379602750</v>
      </c>
      <c r="AI204" s="11">
        <f t="shared" si="60"/>
        <v>4200</v>
      </c>
      <c r="AJ204" s="10">
        <v>4200</v>
      </c>
      <c r="AK204" s="11">
        <f t="shared" si="61"/>
        <v>1500</v>
      </c>
      <c r="AL204" s="10">
        <v>1500</v>
      </c>
      <c r="AM204" s="11">
        <v>16000000</v>
      </c>
      <c r="AN204" s="10">
        <v>0</v>
      </c>
      <c r="AO204" s="55">
        <f t="shared" si="62"/>
        <v>2</v>
      </c>
      <c r="AQ204" s="11">
        <f ca="1">IFERROR(OFFSET(ITEM_RES!$A$1,MATCH(AR204,ITEM_RES!$J:$J,0)-1,0),0)</f>
        <v>211020901</v>
      </c>
      <c r="AR204" s="10" t="s">
        <v>491</v>
      </c>
      <c r="AS204" s="11">
        <v>16000000</v>
      </c>
      <c r="AV204" s="11">
        <f ca="1">IFERROR(OFFSET(ITEM_RES!$A$1,MATCH(AW204,ITEM_RES!$J:$J,0)-1,0),0)</f>
        <v>211020501</v>
      </c>
      <c r="AW204" s="10" t="s">
        <v>417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3"/>
        <v>0</v>
      </c>
    </row>
    <row r="205" spans="1:66" s="15" customFormat="1" x14ac:dyDescent="0.3">
      <c r="A205" s="21">
        <f t="shared" ref="A205:A224" si="65">B205*10000000+C205*1000000+D205*10000+E205*100+F205</f>
        <v>113020001</v>
      </c>
      <c r="B205" s="20">
        <v>11</v>
      </c>
      <c r="C205" s="19">
        <f t="shared" ref="C205:C224" si="66">H205</f>
        <v>3</v>
      </c>
      <c r="D205" s="20">
        <v>2</v>
      </c>
      <c r="E205" s="20">
        <v>0</v>
      </c>
      <c r="F205" s="19">
        <f t="shared" ref="F205:F224" si="67">I205</f>
        <v>1</v>
      </c>
      <c r="G205" s="76"/>
      <c r="H205" s="16">
        <v>3</v>
      </c>
      <c r="I205" s="16">
        <v>1</v>
      </c>
      <c r="J205" s="76"/>
      <c r="K205" s="62" t="s">
        <v>555</v>
      </c>
      <c r="L205" s="62">
        <v>6</v>
      </c>
      <c r="M205" s="16">
        <v>1</v>
      </c>
      <c r="N205" s="16">
        <v>15</v>
      </c>
      <c r="O205" s="16" t="s">
        <v>1105</v>
      </c>
      <c r="P205" s="56" t="s">
        <v>1365</v>
      </c>
      <c r="Q205" s="16" t="s">
        <v>676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556</v>
      </c>
      <c r="Z205" s="16">
        <v>1</v>
      </c>
      <c r="AA205" s="76"/>
      <c r="AB205" s="18">
        <f ca="1">IFERROR(OFFSET(MANOR_LEVEL!$B$1,MATCH(AC205-1,MANOR_LEVEL!$A:$A,0)-1,0),0)</f>
        <v>5475</v>
      </c>
      <c r="AC205" s="56">
        <v>5</v>
      </c>
      <c r="AD205" s="76"/>
      <c r="AE205" s="56">
        <f t="shared" ca="1" si="54"/>
        <v>1230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1230</v>
      </c>
      <c r="AG205" s="178">
        <f ca="1">AE205</f>
        <v>1230</v>
      </c>
      <c r="AH205" s="76"/>
      <c r="AI205" s="18">
        <f t="shared" ref="AI205:AI224" si="68">ROUND(AJ205,0)</f>
        <v>3</v>
      </c>
      <c r="AJ205" s="17">
        <v>3</v>
      </c>
      <c r="AK205" s="18">
        <f t="shared" ref="AK205:AK224" si="69">ROUND(AL205,0)</f>
        <v>5</v>
      </c>
      <c r="AL205" s="17">
        <v>5</v>
      </c>
      <c r="AM205" s="18">
        <v>25</v>
      </c>
      <c r="AN205" s="17">
        <v>0</v>
      </c>
      <c r="AO205" s="56">
        <f t="shared" ref="AO205:AO224" si="70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385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388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1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5"/>
        <v>113020002</v>
      </c>
      <c r="B206" s="13">
        <v>11</v>
      </c>
      <c r="C206" s="12">
        <f t="shared" si="66"/>
        <v>3</v>
      </c>
      <c r="D206" s="13">
        <v>2</v>
      </c>
      <c r="E206" s="13">
        <v>0</v>
      </c>
      <c r="F206" s="12">
        <f t="shared" si="67"/>
        <v>2</v>
      </c>
      <c r="G206" s="179"/>
      <c r="H206" s="9">
        <v>3</v>
      </c>
      <c r="I206" s="9">
        <v>2</v>
      </c>
      <c r="J206" s="179"/>
      <c r="K206" s="55" t="s">
        <v>555</v>
      </c>
      <c r="L206" s="55"/>
      <c r="M206" s="9">
        <v>1</v>
      </c>
      <c r="N206" s="9">
        <v>15</v>
      </c>
      <c r="O206" s="9" t="s">
        <v>1105</v>
      </c>
      <c r="P206" s="55" t="s">
        <v>1365</v>
      </c>
      <c r="Q206" s="9" t="s">
        <v>676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556</v>
      </c>
      <c r="Z206" s="9">
        <v>2</v>
      </c>
      <c r="AA206" s="179"/>
      <c r="AB206" s="11">
        <f ca="1">IFERROR(OFFSET(MANOR_LEVEL!$B$1,MATCH(AC206-1,MANOR_LEVEL!$A:$A,0)-1,0),0)</f>
        <v>5475</v>
      </c>
      <c r="AC206" s="55">
        <v>5</v>
      </c>
      <c r="AD206" s="179"/>
      <c r="AE206" s="55">
        <f t="shared" ca="1" si="54"/>
        <v>460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460</v>
      </c>
      <c r="AG206" s="176">
        <f ca="1">AE205+AE206</f>
        <v>1690</v>
      </c>
      <c r="AH206" s="179"/>
      <c r="AI206" s="11">
        <f t="shared" si="68"/>
        <v>5</v>
      </c>
      <c r="AJ206" s="10">
        <v>5</v>
      </c>
      <c r="AK206" s="11">
        <f t="shared" si="69"/>
        <v>10</v>
      </c>
      <c r="AL206" s="10">
        <v>10</v>
      </c>
      <c r="AM206" s="11">
        <v>50</v>
      </c>
      <c r="AN206" s="10">
        <v>0</v>
      </c>
      <c r="AO206" s="55">
        <f t="shared" si="70"/>
        <v>1</v>
      </c>
      <c r="AP206" s="11"/>
      <c r="AQ206" s="11">
        <f ca="1">IFERROR(OFFSET(ITEM_RES!$A$1,MATCH(AR206,ITEM_RES!$J:$J,0)-1,0),0)</f>
        <v>211020801</v>
      </c>
      <c r="AR206" s="10" t="s">
        <v>385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1"/>
        <v>0</v>
      </c>
      <c r="BN206" s="10"/>
    </row>
    <row r="207" spans="1:66" x14ac:dyDescent="0.3">
      <c r="A207" s="14">
        <f t="shared" si="65"/>
        <v>113020003</v>
      </c>
      <c r="B207" s="13">
        <v>11</v>
      </c>
      <c r="C207" s="12">
        <f t="shared" si="66"/>
        <v>3</v>
      </c>
      <c r="D207" s="13">
        <v>2</v>
      </c>
      <c r="E207" s="13">
        <v>0</v>
      </c>
      <c r="F207" s="12">
        <f t="shared" si="67"/>
        <v>3</v>
      </c>
      <c r="H207" s="9">
        <v>3</v>
      </c>
      <c r="I207" s="9">
        <v>3</v>
      </c>
      <c r="K207" s="55" t="s">
        <v>555</v>
      </c>
      <c r="L207" s="55"/>
      <c r="M207" s="9">
        <v>1</v>
      </c>
      <c r="N207" s="9">
        <v>15</v>
      </c>
      <c r="O207" s="9" t="s">
        <v>1105</v>
      </c>
      <c r="P207" s="55" t="s">
        <v>1365</v>
      </c>
      <c r="Q207" s="9" t="s">
        <v>676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556</v>
      </c>
      <c r="Z207" s="9">
        <v>3</v>
      </c>
      <c r="AB207" s="11">
        <f ca="1">IFERROR(OFFSET(MANOR_LEVEL!$B$1,MATCH(AC207-1,MANOR_LEVEL!$A:$A,0)-1,0),0)</f>
        <v>5475</v>
      </c>
      <c r="AC207" s="55">
        <v>5</v>
      </c>
      <c r="AE207" s="55">
        <f t="shared" ca="1" si="54"/>
        <v>690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690</v>
      </c>
      <c r="AG207" s="176">
        <f t="shared" ref="AG207:AG224" ca="1" si="72">AE206+AE207</f>
        <v>1150</v>
      </c>
      <c r="AI207" s="11">
        <f t="shared" si="68"/>
        <v>5</v>
      </c>
      <c r="AJ207" s="10">
        <v>5</v>
      </c>
      <c r="AK207" s="11">
        <f t="shared" si="69"/>
        <v>15</v>
      </c>
      <c r="AL207" s="10">
        <v>15</v>
      </c>
      <c r="AM207" s="11">
        <v>75</v>
      </c>
      <c r="AN207" s="10">
        <v>0</v>
      </c>
      <c r="AO207" s="55">
        <f t="shared" si="70"/>
        <v>1</v>
      </c>
      <c r="AQ207" s="11">
        <f ca="1">IFERROR(OFFSET(ITEM_RES!$A$1,MATCH(AR207,ITEM_RES!$J:$J,0)-1,0),0)</f>
        <v>211020801</v>
      </c>
      <c r="AR207" s="10" t="s">
        <v>385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1"/>
        <v>0</v>
      </c>
    </row>
    <row r="208" spans="1:66" x14ac:dyDescent="0.3">
      <c r="A208" s="14">
        <f t="shared" si="65"/>
        <v>113020004</v>
      </c>
      <c r="B208" s="13">
        <v>11</v>
      </c>
      <c r="C208" s="12">
        <f t="shared" si="66"/>
        <v>3</v>
      </c>
      <c r="D208" s="13">
        <v>2</v>
      </c>
      <c r="E208" s="13">
        <v>0</v>
      </c>
      <c r="F208" s="12">
        <f t="shared" si="67"/>
        <v>4</v>
      </c>
      <c r="H208" s="9">
        <v>3</v>
      </c>
      <c r="I208" s="9">
        <v>4</v>
      </c>
      <c r="K208" s="55" t="s">
        <v>555</v>
      </c>
      <c r="L208" s="55"/>
      <c r="M208" s="9">
        <v>1</v>
      </c>
      <c r="N208" s="9">
        <v>15</v>
      </c>
      <c r="O208" s="9" t="s">
        <v>1105</v>
      </c>
      <c r="P208" s="55" t="s">
        <v>1365</v>
      </c>
      <c r="Q208" s="9" t="s">
        <v>676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556</v>
      </c>
      <c r="Z208" s="9">
        <v>4</v>
      </c>
      <c r="AB208" s="11">
        <f ca="1">IFERROR(OFFSET(MANOR_LEVEL!$B$1,MATCH(AC208-1,MANOR_LEVEL!$A:$A,0)-1,0),0)</f>
        <v>32560</v>
      </c>
      <c r="AC208" s="55">
        <v>6</v>
      </c>
      <c r="AE208" s="55">
        <f t="shared" ca="1" si="54"/>
        <v>2725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2725</v>
      </c>
      <c r="AG208" s="176">
        <f t="shared" ca="1" si="72"/>
        <v>3415</v>
      </c>
      <c r="AI208" s="11">
        <f t="shared" si="68"/>
        <v>10</v>
      </c>
      <c r="AJ208" s="10">
        <v>10</v>
      </c>
      <c r="AK208" s="11">
        <f t="shared" si="69"/>
        <v>25</v>
      </c>
      <c r="AL208" s="10">
        <v>25</v>
      </c>
      <c r="AM208" s="11">
        <v>300</v>
      </c>
      <c r="AN208" s="10">
        <v>0</v>
      </c>
      <c r="AO208" s="55">
        <f t="shared" si="70"/>
        <v>1</v>
      </c>
      <c r="AQ208" s="11">
        <f ca="1">IFERROR(OFFSET(ITEM_RES!$A$1,MATCH(AR208,ITEM_RES!$J:$J,0)-1,0),0)</f>
        <v>211020801</v>
      </c>
      <c r="AR208" s="10" t="s">
        <v>385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1"/>
        <v>0</v>
      </c>
    </row>
    <row r="209" spans="1:65" x14ac:dyDescent="0.3">
      <c r="A209" s="14">
        <f t="shared" si="65"/>
        <v>113020005</v>
      </c>
      <c r="B209" s="13">
        <v>11</v>
      </c>
      <c r="C209" s="12">
        <f t="shared" si="66"/>
        <v>3</v>
      </c>
      <c r="D209" s="13">
        <v>2</v>
      </c>
      <c r="E209" s="13">
        <v>0</v>
      </c>
      <c r="F209" s="12">
        <f t="shared" si="67"/>
        <v>5</v>
      </c>
      <c r="H209" s="9">
        <v>3</v>
      </c>
      <c r="I209" s="9">
        <v>5</v>
      </c>
      <c r="K209" s="55" t="s">
        <v>555</v>
      </c>
      <c r="L209" s="55"/>
      <c r="M209" s="9">
        <v>1</v>
      </c>
      <c r="N209" s="9">
        <v>15</v>
      </c>
      <c r="O209" s="9" t="s">
        <v>1105</v>
      </c>
      <c r="P209" s="55" t="s">
        <v>1365</v>
      </c>
      <c r="Q209" s="9" t="s">
        <v>676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556</v>
      </c>
      <c r="Z209" s="9">
        <v>5</v>
      </c>
      <c r="AB209" s="11">
        <f ca="1">IFERROR(OFFSET(MANOR_LEVEL!$B$1,MATCH(AC209-1,MANOR_LEVEL!$A:$A,0)-1,0),0)</f>
        <v>32560</v>
      </c>
      <c r="AC209" s="55">
        <v>6</v>
      </c>
      <c r="AE209" s="55">
        <f t="shared" ca="1" si="54"/>
        <v>12190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12190</v>
      </c>
      <c r="AG209" s="176">
        <f t="shared" ca="1" si="72"/>
        <v>14915</v>
      </c>
      <c r="AI209" s="11">
        <f t="shared" si="68"/>
        <v>15</v>
      </c>
      <c r="AJ209" s="10">
        <v>15</v>
      </c>
      <c r="AK209" s="11">
        <f t="shared" si="69"/>
        <v>40</v>
      </c>
      <c r="AL209" s="10">
        <v>40</v>
      </c>
      <c r="AM209" s="11">
        <v>1350</v>
      </c>
      <c r="AN209" s="10">
        <v>0</v>
      </c>
      <c r="AO209" s="55">
        <f t="shared" si="70"/>
        <v>1</v>
      </c>
      <c r="AQ209" s="11">
        <f ca="1">IFERROR(OFFSET(ITEM_RES!$A$1,MATCH(AR209,ITEM_RES!$J:$J,0)-1,0),0)</f>
        <v>211020801</v>
      </c>
      <c r="AR209" s="10" t="s">
        <v>385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1"/>
        <v>0</v>
      </c>
    </row>
    <row r="210" spans="1:65" x14ac:dyDescent="0.3">
      <c r="A210" s="14">
        <f t="shared" si="65"/>
        <v>113020006</v>
      </c>
      <c r="B210" s="13">
        <v>11</v>
      </c>
      <c r="C210" s="12">
        <f t="shared" si="66"/>
        <v>3</v>
      </c>
      <c r="D210" s="13">
        <v>2</v>
      </c>
      <c r="E210" s="13">
        <v>0</v>
      </c>
      <c r="F210" s="12">
        <f t="shared" si="67"/>
        <v>6</v>
      </c>
      <c r="H210" s="9">
        <v>3</v>
      </c>
      <c r="I210" s="9">
        <v>6</v>
      </c>
      <c r="K210" s="55" t="s">
        <v>555</v>
      </c>
      <c r="L210" s="55"/>
      <c r="M210" s="9">
        <v>1</v>
      </c>
      <c r="N210" s="9">
        <v>15</v>
      </c>
      <c r="O210" s="9" t="s">
        <v>1105</v>
      </c>
      <c r="P210" s="55" t="s">
        <v>1365</v>
      </c>
      <c r="Q210" s="9" t="s">
        <v>676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556</v>
      </c>
      <c r="Z210" s="9">
        <v>6</v>
      </c>
      <c r="AB210" s="11">
        <f ca="1">IFERROR(OFFSET(MANOR_LEVEL!$B$1,MATCH(AC210-1,MANOR_LEVEL!$A:$A,0)-1,0),0)</f>
        <v>32560</v>
      </c>
      <c r="AC210" s="55">
        <v>6</v>
      </c>
      <c r="AE210" s="55">
        <f t="shared" ca="1" si="54"/>
        <v>40550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40550</v>
      </c>
      <c r="AG210" s="176">
        <f t="shared" ca="1" si="72"/>
        <v>52740</v>
      </c>
      <c r="AI210" s="11">
        <f t="shared" si="68"/>
        <v>30</v>
      </c>
      <c r="AJ210" s="10">
        <v>30</v>
      </c>
      <c r="AK210" s="11">
        <f t="shared" si="69"/>
        <v>50</v>
      </c>
      <c r="AL210" s="10">
        <v>50</v>
      </c>
      <c r="AM210" s="11">
        <v>4500</v>
      </c>
      <c r="AN210" s="10">
        <v>0</v>
      </c>
      <c r="AO210" s="55">
        <f t="shared" si="70"/>
        <v>1</v>
      </c>
      <c r="AQ210" s="11">
        <f ca="1">IFERROR(OFFSET(ITEM_RES!$A$1,MATCH(AR210,ITEM_RES!$J:$J,0)-1,0),0)</f>
        <v>211020801</v>
      </c>
      <c r="AR210" s="10" t="s">
        <v>385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1"/>
        <v>0</v>
      </c>
    </row>
    <row r="211" spans="1:65" x14ac:dyDescent="0.3">
      <c r="A211" s="14">
        <f t="shared" si="65"/>
        <v>113020007</v>
      </c>
      <c r="B211" s="13">
        <v>11</v>
      </c>
      <c r="C211" s="12">
        <f t="shared" si="66"/>
        <v>3</v>
      </c>
      <c r="D211" s="13">
        <v>2</v>
      </c>
      <c r="E211" s="13">
        <v>0</v>
      </c>
      <c r="F211" s="12">
        <f t="shared" si="67"/>
        <v>7</v>
      </c>
      <c r="H211" s="9">
        <v>3</v>
      </c>
      <c r="I211" s="9">
        <v>7</v>
      </c>
      <c r="K211" s="55" t="s">
        <v>555</v>
      </c>
      <c r="L211" s="55"/>
      <c r="M211" s="9">
        <v>1</v>
      </c>
      <c r="N211" s="9">
        <v>15</v>
      </c>
      <c r="O211" s="9" t="s">
        <v>1105</v>
      </c>
      <c r="P211" s="55" t="s">
        <v>1365</v>
      </c>
      <c r="Q211" s="9" t="s">
        <v>676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556</v>
      </c>
      <c r="Z211" s="9">
        <v>7</v>
      </c>
      <c r="AB211" s="11">
        <f ca="1">IFERROR(OFFSET(MANOR_LEVEL!$B$1,MATCH(AC211-1,MANOR_LEVEL!$A:$A,0)-1,0),0)</f>
        <v>32560</v>
      </c>
      <c r="AC211" s="55">
        <v>6</v>
      </c>
      <c r="AE211" s="55">
        <f t="shared" ca="1" si="54"/>
        <v>90100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90100</v>
      </c>
      <c r="AG211" s="176">
        <f t="shared" ca="1" si="72"/>
        <v>130650</v>
      </c>
      <c r="AI211" s="11">
        <f t="shared" si="68"/>
        <v>300</v>
      </c>
      <c r="AJ211" s="10">
        <v>300</v>
      </c>
      <c r="AK211" s="11">
        <f t="shared" si="69"/>
        <v>100</v>
      </c>
      <c r="AL211" s="10">
        <v>100</v>
      </c>
      <c r="AM211" s="11">
        <v>10000</v>
      </c>
      <c r="AN211" s="10">
        <v>0</v>
      </c>
      <c r="AO211" s="55">
        <f t="shared" si="70"/>
        <v>1</v>
      </c>
      <c r="AQ211" s="11">
        <f ca="1">IFERROR(OFFSET(ITEM_RES!$A$1,MATCH(AR211,ITEM_RES!$J:$J,0)-1,0),0)</f>
        <v>211020801</v>
      </c>
      <c r="AR211" s="10" t="s">
        <v>385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1"/>
        <v>0</v>
      </c>
    </row>
    <row r="212" spans="1:65" x14ac:dyDescent="0.3">
      <c r="A212" s="14">
        <f t="shared" si="65"/>
        <v>113020008</v>
      </c>
      <c r="B212" s="13">
        <v>11</v>
      </c>
      <c r="C212" s="12">
        <f t="shared" si="66"/>
        <v>3</v>
      </c>
      <c r="D212" s="13">
        <v>2</v>
      </c>
      <c r="E212" s="13">
        <v>0</v>
      </c>
      <c r="F212" s="12">
        <f t="shared" si="67"/>
        <v>8</v>
      </c>
      <c r="H212" s="9">
        <v>3</v>
      </c>
      <c r="I212" s="9">
        <v>8</v>
      </c>
      <c r="K212" s="55" t="s">
        <v>555</v>
      </c>
      <c r="L212" s="55"/>
      <c r="M212" s="9">
        <v>1</v>
      </c>
      <c r="N212" s="9">
        <v>15</v>
      </c>
      <c r="O212" s="9" t="s">
        <v>1106</v>
      </c>
      <c r="P212" s="55" t="s">
        <v>1366</v>
      </c>
      <c r="Q212" s="9" t="s">
        <v>676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556</v>
      </c>
      <c r="Z212" s="9">
        <v>8</v>
      </c>
      <c r="AB212" s="11">
        <f ca="1">IFERROR(OFFSET(MANOR_LEVEL!$B$1,MATCH(AC212-1,MANOR_LEVEL!$A:$A,0)-1,0),0)</f>
        <v>32560</v>
      </c>
      <c r="AC212" s="55">
        <v>6</v>
      </c>
      <c r="AE212" s="55">
        <f t="shared" ca="1" si="54"/>
        <v>189100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189100</v>
      </c>
      <c r="AG212" s="176">
        <f t="shared" ca="1" si="72"/>
        <v>279200</v>
      </c>
      <c r="AI212" s="11">
        <f t="shared" si="68"/>
        <v>600</v>
      </c>
      <c r="AJ212" s="10">
        <v>600</v>
      </c>
      <c r="AK212" s="11">
        <f t="shared" si="69"/>
        <v>100</v>
      </c>
      <c r="AL212" s="10">
        <v>100</v>
      </c>
      <c r="AM212" s="11">
        <v>21000</v>
      </c>
      <c r="AN212" s="10">
        <v>0</v>
      </c>
      <c r="AO212" s="55">
        <f t="shared" si="70"/>
        <v>1</v>
      </c>
      <c r="AQ212" s="11">
        <f ca="1">IFERROR(OFFSET(ITEM_RES!$A$1,MATCH(AR212,ITEM_RES!$J:$J,0)-1,0),0)</f>
        <v>211020801</v>
      </c>
      <c r="AR212" s="10" t="s">
        <v>385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1"/>
        <v>0</v>
      </c>
    </row>
    <row r="213" spans="1:65" x14ac:dyDescent="0.3">
      <c r="A213" s="14">
        <f t="shared" si="65"/>
        <v>113020009</v>
      </c>
      <c r="B213" s="13">
        <v>11</v>
      </c>
      <c r="C213" s="12">
        <f t="shared" si="66"/>
        <v>3</v>
      </c>
      <c r="D213" s="13">
        <v>2</v>
      </c>
      <c r="E213" s="13">
        <v>0</v>
      </c>
      <c r="F213" s="12">
        <f t="shared" si="67"/>
        <v>9</v>
      </c>
      <c r="H213" s="9">
        <v>3</v>
      </c>
      <c r="I213" s="9">
        <v>9</v>
      </c>
      <c r="K213" s="55" t="s">
        <v>555</v>
      </c>
      <c r="L213" s="55"/>
      <c r="M213" s="9">
        <v>1</v>
      </c>
      <c r="N213" s="9">
        <v>15</v>
      </c>
      <c r="O213" s="9" t="s">
        <v>1106</v>
      </c>
      <c r="P213" s="55" t="s">
        <v>1366</v>
      </c>
      <c r="Q213" s="9" t="s">
        <v>676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556</v>
      </c>
      <c r="Z213" s="9">
        <v>9</v>
      </c>
      <c r="AB213" s="11">
        <f ca="1">IFERROR(OFFSET(MANOR_LEVEL!$B$1,MATCH(AC213-1,MANOR_LEVEL!$A:$A,0)-1,0),0)</f>
        <v>32560</v>
      </c>
      <c r="AC213" s="55">
        <v>6</v>
      </c>
      <c r="AE213" s="55">
        <f t="shared" ca="1" si="54"/>
        <v>351150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351150</v>
      </c>
      <c r="AG213" s="176">
        <f t="shared" ca="1" si="72"/>
        <v>540250</v>
      </c>
      <c r="AI213" s="11">
        <f t="shared" si="68"/>
        <v>900</v>
      </c>
      <c r="AJ213" s="10">
        <v>900</v>
      </c>
      <c r="AK213" s="11">
        <f t="shared" si="69"/>
        <v>150</v>
      </c>
      <c r="AL213" s="10">
        <v>150</v>
      </c>
      <c r="AM213" s="11">
        <v>39000</v>
      </c>
      <c r="AN213" s="10">
        <v>0</v>
      </c>
      <c r="AO213" s="55">
        <f t="shared" si="70"/>
        <v>1</v>
      </c>
      <c r="AQ213" s="11">
        <f ca="1">IFERROR(OFFSET(ITEM_RES!$A$1,MATCH(AR213,ITEM_RES!$J:$J,0)-1,0),0)</f>
        <v>211020801</v>
      </c>
      <c r="AR213" s="10" t="s">
        <v>385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1"/>
        <v>0</v>
      </c>
    </row>
    <row r="214" spans="1:65" x14ac:dyDescent="0.3">
      <c r="A214" s="14">
        <f t="shared" si="65"/>
        <v>113020010</v>
      </c>
      <c r="B214" s="13">
        <v>11</v>
      </c>
      <c r="C214" s="12">
        <f t="shared" si="66"/>
        <v>3</v>
      </c>
      <c r="D214" s="13">
        <v>2</v>
      </c>
      <c r="E214" s="13">
        <v>0</v>
      </c>
      <c r="F214" s="12">
        <f t="shared" si="67"/>
        <v>10</v>
      </c>
      <c r="H214" s="9">
        <v>3</v>
      </c>
      <c r="I214" s="9">
        <v>10</v>
      </c>
      <c r="K214" s="55" t="s">
        <v>555</v>
      </c>
      <c r="L214" s="55"/>
      <c r="M214" s="9">
        <v>1</v>
      </c>
      <c r="N214" s="9">
        <v>15</v>
      </c>
      <c r="O214" s="9" t="s">
        <v>1107</v>
      </c>
      <c r="P214" s="55" t="s">
        <v>1367</v>
      </c>
      <c r="Q214" s="9" t="s">
        <v>676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556</v>
      </c>
      <c r="Z214" s="9">
        <v>10</v>
      </c>
      <c r="AB214" s="11">
        <f ca="1">IFERROR(OFFSET(MANOR_LEVEL!$B$1,MATCH(AC214-1,MANOR_LEVEL!$A:$A,0)-1,0),0)</f>
        <v>32560</v>
      </c>
      <c r="AC214" s="55">
        <v>6</v>
      </c>
      <c r="AE214" s="55">
        <f t="shared" ca="1" si="54"/>
        <v>586200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586200</v>
      </c>
      <c r="AG214" s="176">
        <f t="shared" ca="1" si="72"/>
        <v>937350</v>
      </c>
      <c r="AI214" s="11">
        <f t="shared" si="68"/>
        <v>1200</v>
      </c>
      <c r="AJ214" s="10">
        <v>1200</v>
      </c>
      <c r="AK214" s="11">
        <f t="shared" si="69"/>
        <v>200</v>
      </c>
      <c r="AL214" s="10">
        <v>200</v>
      </c>
      <c r="AM214" s="11">
        <v>65000</v>
      </c>
      <c r="AN214" s="10">
        <v>0</v>
      </c>
      <c r="AO214" s="55">
        <f t="shared" si="70"/>
        <v>2</v>
      </c>
      <c r="AQ214" s="11">
        <f ca="1">IFERROR(OFFSET(ITEM_RES!$A$1,MATCH(AR214,ITEM_RES!$J:$J,0)-1,0),0)</f>
        <v>211020801</v>
      </c>
      <c r="AR214" s="10" t="s">
        <v>385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451</v>
      </c>
      <c r="BH214" s="11">
        <v>1</v>
      </c>
      <c r="BK214" s="11">
        <f ca="1">IFERROR(OFFSET(ITEM_RES!$A$1,MATCH(BL214,ITEM_RES!$J:$J,0)-1,0),0)</f>
        <v>0</v>
      </c>
      <c r="BM214" s="11">
        <f t="shared" si="71"/>
        <v>0</v>
      </c>
    </row>
    <row r="215" spans="1:65" x14ac:dyDescent="0.3">
      <c r="A215" s="14">
        <f t="shared" si="65"/>
        <v>113020011</v>
      </c>
      <c r="B215" s="13">
        <v>11</v>
      </c>
      <c r="C215" s="12">
        <f t="shared" si="66"/>
        <v>3</v>
      </c>
      <c r="D215" s="13">
        <v>2</v>
      </c>
      <c r="E215" s="13">
        <v>0</v>
      </c>
      <c r="F215" s="12">
        <f t="shared" si="67"/>
        <v>11</v>
      </c>
      <c r="H215" s="9">
        <v>3</v>
      </c>
      <c r="I215" s="9">
        <v>11</v>
      </c>
      <c r="K215" s="55" t="s">
        <v>555</v>
      </c>
      <c r="L215" s="55"/>
      <c r="M215" s="9">
        <v>1</v>
      </c>
      <c r="N215" s="9">
        <v>15</v>
      </c>
      <c r="O215" s="9" t="s">
        <v>1107</v>
      </c>
      <c r="P215" s="55" t="s">
        <v>1367</v>
      </c>
      <c r="Q215" s="9" t="s">
        <v>676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556</v>
      </c>
      <c r="Z215" s="9">
        <v>11</v>
      </c>
      <c r="AB215" s="11">
        <f ca="1">IFERROR(OFFSET(MANOR_LEVEL!$B$1,MATCH(AC215-1,MANOR_LEVEL!$A:$A,0)-1,0),0)</f>
        <v>240400</v>
      </c>
      <c r="AC215" s="55">
        <v>8</v>
      </c>
      <c r="AE215" s="55">
        <f t="shared" ca="1" si="54"/>
        <v>990250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990250</v>
      </c>
      <c r="AG215" s="176">
        <f t="shared" ca="1" si="72"/>
        <v>1576450</v>
      </c>
      <c r="AI215" s="11">
        <f t="shared" si="68"/>
        <v>1500</v>
      </c>
      <c r="AJ215" s="10">
        <v>1500</v>
      </c>
      <c r="AK215" s="11">
        <f t="shared" si="69"/>
        <v>250</v>
      </c>
      <c r="AL215" s="10">
        <v>250</v>
      </c>
      <c r="AM215" s="11">
        <v>110000</v>
      </c>
      <c r="AN215" s="10">
        <v>0</v>
      </c>
      <c r="AO215" s="55">
        <f t="shared" si="70"/>
        <v>1</v>
      </c>
      <c r="AQ215" s="11">
        <f ca="1">IFERROR(OFFSET(ITEM_RES!$A$1,MATCH(AR215,ITEM_RES!$J:$J,0)-1,0),0)</f>
        <v>211020801</v>
      </c>
      <c r="AR215" s="10" t="s">
        <v>385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1"/>
        <v>0</v>
      </c>
    </row>
    <row r="216" spans="1:65" x14ac:dyDescent="0.3">
      <c r="A216" s="14">
        <f t="shared" si="65"/>
        <v>113020012</v>
      </c>
      <c r="B216" s="13">
        <v>11</v>
      </c>
      <c r="C216" s="12">
        <f t="shared" si="66"/>
        <v>3</v>
      </c>
      <c r="D216" s="13">
        <v>2</v>
      </c>
      <c r="E216" s="13">
        <v>0</v>
      </c>
      <c r="F216" s="12">
        <f t="shared" si="67"/>
        <v>12</v>
      </c>
      <c r="H216" s="9">
        <v>3</v>
      </c>
      <c r="I216" s="9">
        <v>12</v>
      </c>
      <c r="K216" s="55" t="s">
        <v>555</v>
      </c>
      <c r="L216" s="55"/>
      <c r="M216" s="9">
        <v>1</v>
      </c>
      <c r="N216" s="9">
        <v>15</v>
      </c>
      <c r="O216" s="9" t="s">
        <v>1107</v>
      </c>
      <c r="P216" s="55" t="s">
        <v>1367</v>
      </c>
      <c r="Q216" s="9" t="s">
        <v>676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556</v>
      </c>
      <c r="Z216" s="9">
        <v>12</v>
      </c>
      <c r="AB216" s="11">
        <f ca="1">IFERROR(OFFSET(MANOR_LEVEL!$B$1,MATCH(AC216-1,MANOR_LEVEL!$A:$A,0)-1,0),0)</f>
        <v>630500</v>
      </c>
      <c r="AC216" s="55">
        <v>9</v>
      </c>
      <c r="AE216" s="55">
        <f t="shared" ca="1" si="54"/>
        <v>3515300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3515300</v>
      </c>
      <c r="AG216" s="176">
        <f t="shared" ca="1" si="72"/>
        <v>4505550</v>
      </c>
      <c r="AI216" s="11">
        <f t="shared" si="68"/>
        <v>1800</v>
      </c>
      <c r="AJ216" s="10">
        <v>1800</v>
      </c>
      <c r="AK216" s="11">
        <f t="shared" si="69"/>
        <v>300</v>
      </c>
      <c r="AL216" s="10">
        <v>300</v>
      </c>
      <c r="AM216" s="11">
        <v>185000</v>
      </c>
      <c r="AN216" s="10">
        <v>0</v>
      </c>
      <c r="AO216" s="55">
        <f t="shared" si="70"/>
        <v>2</v>
      </c>
      <c r="AQ216" s="11">
        <f ca="1">IFERROR(OFFSET(ITEM_RES!$A$1,MATCH(AR216,ITEM_RES!$J:$J,0)-1,0),0)</f>
        <v>211020801</v>
      </c>
      <c r="AR216" s="10" t="s">
        <v>385</v>
      </c>
      <c r="AS216" s="11">
        <v>185000</v>
      </c>
      <c r="AV216" s="11">
        <f ca="1">IFERROR(OFFSET(ITEM_RES!$A$1,MATCH(AW216,ITEM_RES!$J:$J,0)-1,0),0)</f>
        <v>211020901</v>
      </c>
      <c r="AW216" s="10" t="s">
        <v>386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1"/>
        <v>0</v>
      </c>
    </row>
    <row r="217" spans="1:65" x14ac:dyDescent="0.3">
      <c r="A217" s="14">
        <f t="shared" si="65"/>
        <v>113020013</v>
      </c>
      <c r="B217" s="13">
        <v>11</v>
      </c>
      <c r="C217" s="12">
        <f t="shared" si="66"/>
        <v>3</v>
      </c>
      <c r="D217" s="13">
        <v>2</v>
      </c>
      <c r="E217" s="13">
        <v>0</v>
      </c>
      <c r="F217" s="12">
        <f t="shared" si="67"/>
        <v>13</v>
      </c>
      <c r="H217" s="9">
        <v>3</v>
      </c>
      <c r="I217" s="9">
        <v>13</v>
      </c>
      <c r="K217" s="55" t="s">
        <v>555</v>
      </c>
      <c r="L217" s="55"/>
      <c r="M217" s="9">
        <v>1</v>
      </c>
      <c r="N217" s="9">
        <v>15</v>
      </c>
      <c r="O217" s="9" t="s">
        <v>1107</v>
      </c>
      <c r="P217" s="55" t="s">
        <v>1367</v>
      </c>
      <c r="Q217" s="9" t="s">
        <v>676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556</v>
      </c>
      <c r="Z217" s="9">
        <v>13</v>
      </c>
      <c r="AB217" s="11">
        <f ca="1">IFERROR(OFFSET(MANOR_LEVEL!$B$1,MATCH(AC217-1,MANOR_LEVEL!$A:$A,0)-1,0),0)</f>
        <v>1170750</v>
      </c>
      <c r="AC217" s="55">
        <v>10</v>
      </c>
      <c r="AE217" s="55">
        <f t="shared" ca="1" si="54"/>
        <v>5890350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5890350</v>
      </c>
      <c r="AG217" s="176">
        <f t="shared" ca="1" si="72"/>
        <v>9405650</v>
      </c>
      <c r="AI217" s="11">
        <f t="shared" si="68"/>
        <v>2100</v>
      </c>
      <c r="AJ217" s="10">
        <v>2100</v>
      </c>
      <c r="AK217" s="11">
        <f t="shared" si="69"/>
        <v>350</v>
      </c>
      <c r="AL217" s="10">
        <v>350</v>
      </c>
      <c r="AM217" s="11">
        <v>310000</v>
      </c>
      <c r="AN217" s="10">
        <v>0</v>
      </c>
      <c r="AO217" s="55">
        <f t="shared" si="70"/>
        <v>2</v>
      </c>
      <c r="AQ217" s="11">
        <f ca="1">IFERROR(OFFSET(ITEM_RES!$A$1,MATCH(AR217,ITEM_RES!$J:$J,0)-1,0),0)</f>
        <v>211020801</v>
      </c>
      <c r="AR217" s="10" t="s">
        <v>385</v>
      </c>
      <c r="AS217" s="11">
        <v>310000</v>
      </c>
      <c r="AV217" s="11">
        <f ca="1">IFERROR(OFFSET(ITEM_RES!$A$1,MATCH(AW217,ITEM_RES!$J:$J,0)-1,0),0)</f>
        <v>211020901</v>
      </c>
      <c r="AW217" s="10" t="s">
        <v>386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1"/>
        <v>0</v>
      </c>
    </row>
    <row r="218" spans="1:65" x14ac:dyDescent="0.3">
      <c r="A218" s="14">
        <f t="shared" si="65"/>
        <v>113020014</v>
      </c>
      <c r="B218" s="13">
        <v>11</v>
      </c>
      <c r="C218" s="12">
        <f t="shared" si="66"/>
        <v>3</v>
      </c>
      <c r="D218" s="13">
        <v>2</v>
      </c>
      <c r="E218" s="13">
        <v>0</v>
      </c>
      <c r="F218" s="12">
        <f t="shared" si="67"/>
        <v>14</v>
      </c>
      <c r="H218" s="9">
        <v>3</v>
      </c>
      <c r="I218" s="9">
        <v>14</v>
      </c>
      <c r="K218" s="55" t="s">
        <v>555</v>
      </c>
      <c r="L218" s="55"/>
      <c r="M218" s="9">
        <v>1</v>
      </c>
      <c r="N218" s="9">
        <v>15</v>
      </c>
      <c r="O218" s="9" t="s">
        <v>1107</v>
      </c>
      <c r="P218" s="55" t="s">
        <v>1367</v>
      </c>
      <c r="Q218" s="9" t="s">
        <v>676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556</v>
      </c>
      <c r="Z218" s="9">
        <v>14</v>
      </c>
      <c r="AB218" s="11">
        <f ca="1">IFERROR(OFFSET(MANOR_LEVEL!$B$1,MATCH(AC218-1,MANOR_LEVEL!$A:$A,0)-1,0),0)</f>
        <v>1956000</v>
      </c>
      <c r="AC218" s="55">
        <v>11</v>
      </c>
      <c r="AE218" s="55">
        <f t="shared" ref="AE218:AE281" ca="1" si="73">ROUND(AF218,0)</f>
        <v>9215450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9215450</v>
      </c>
      <c r="AG218" s="176">
        <f t="shared" ca="1" si="72"/>
        <v>15105800</v>
      </c>
      <c r="AI218" s="11">
        <f t="shared" si="68"/>
        <v>2400</v>
      </c>
      <c r="AJ218" s="10">
        <v>2400</v>
      </c>
      <c r="AK218" s="11">
        <f t="shared" si="69"/>
        <v>450</v>
      </c>
      <c r="AL218" s="10">
        <v>450</v>
      </c>
      <c r="AM218" s="11">
        <v>485000</v>
      </c>
      <c r="AN218" s="10">
        <v>0</v>
      </c>
      <c r="AO218" s="55">
        <f t="shared" si="70"/>
        <v>2</v>
      </c>
      <c r="AQ218" s="11">
        <f ca="1">IFERROR(OFFSET(ITEM_RES!$A$1,MATCH(AR218,ITEM_RES!$J:$J,0)-1,0),0)</f>
        <v>211020801</v>
      </c>
      <c r="AR218" s="10" t="s">
        <v>385</v>
      </c>
      <c r="AS218" s="11">
        <v>485000</v>
      </c>
      <c r="AV218" s="11">
        <f ca="1">IFERROR(OFFSET(ITEM_RES!$A$1,MATCH(AW218,ITEM_RES!$J:$J,0)-1,0),0)</f>
        <v>211020901</v>
      </c>
      <c r="AW218" s="10" t="s">
        <v>386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1"/>
        <v>0</v>
      </c>
    </row>
    <row r="219" spans="1:65" x14ac:dyDescent="0.3">
      <c r="A219" s="14">
        <f t="shared" si="65"/>
        <v>113020015</v>
      </c>
      <c r="B219" s="13">
        <v>11</v>
      </c>
      <c r="C219" s="12">
        <f t="shared" si="66"/>
        <v>3</v>
      </c>
      <c r="D219" s="13">
        <v>2</v>
      </c>
      <c r="E219" s="13">
        <v>0</v>
      </c>
      <c r="F219" s="12">
        <f t="shared" si="67"/>
        <v>15</v>
      </c>
      <c r="H219" s="9">
        <v>3</v>
      </c>
      <c r="I219" s="9">
        <v>15</v>
      </c>
      <c r="K219" s="55" t="s">
        <v>555</v>
      </c>
      <c r="L219" s="55"/>
      <c r="M219" s="9">
        <v>1</v>
      </c>
      <c r="N219" s="9">
        <v>15</v>
      </c>
      <c r="O219" s="9" t="s">
        <v>1107</v>
      </c>
      <c r="P219" s="55" t="s">
        <v>1367</v>
      </c>
      <c r="Q219" s="9" t="s">
        <v>676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556</v>
      </c>
      <c r="Z219" s="9">
        <v>15</v>
      </c>
      <c r="AB219" s="11">
        <f ca="1">IFERROR(OFFSET(MANOR_LEVEL!$B$1,MATCH(AC219-1,MANOR_LEVEL!$A:$A,0)-1,0),0)</f>
        <v>3961500</v>
      </c>
      <c r="AC219" s="55">
        <v>12</v>
      </c>
      <c r="AE219" s="55">
        <f t="shared" ca="1" si="73"/>
        <v>19950550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19950550</v>
      </c>
      <c r="AG219" s="176">
        <f t="shared" ca="1" si="72"/>
        <v>29166000</v>
      </c>
      <c r="AI219" s="11">
        <f t="shared" si="68"/>
        <v>2700</v>
      </c>
      <c r="AJ219" s="10">
        <v>2700</v>
      </c>
      <c r="AK219" s="11">
        <f t="shared" si="69"/>
        <v>550</v>
      </c>
      <c r="AL219" s="10">
        <v>550</v>
      </c>
      <c r="AM219" s="11">
        <v>1050000</v>
      </c>
      <c r="AN219" s="10">
        <v>0</v>
      </c>
      <c r="AO219" s="55">
        <f t="shared" si="70"/>
        <v>2</v>
      </c>
      <c r="AQ219" s="11">
        <f ca="1">IFERROR(OFFSET(ITEM_RES!$A$1,MATCH(AR219,ITEM_RES!$J:$J,0)-1,0),0)</f>
        <v>211020801</v>
      </c>
      <c r="AR219" s="10" t="s">
        <v>385</v>
      </c>
      <c r="AS219" s="11">
        <v>1050000</v>
      </c>
      <c r="AV219" s="11">
        <f ca="1">IFERROR(OFFSET(ITEM_RES!$A$1,MATCH(AW219,ITEM_RES!$J:$J,0)-1,0),0)</f>
        <v>211020901</v>
      </c>
      <c r="AW219" s="10" t="s">
        <v>386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1"/>
        <v>0</v>
      </c>
    </row>
    <row r="220" spans="1:65" x14ac:dyDescent="0.3">
      <c r="A220" s="14">
        <f t="shared" si="65"/>
        <v>113020016</v>
      </c>
      <c r="B220" s="13">
        <v>11</v>
      </c>
      <c r="C220" s="12">
        <f t="shared" si="66"/>
        <v>3</v>
      </c>
      <c r="D220" s="13">
        <v>2</v>
      </c>
      <c r="E220" s="13">
        <v>0</v>
      </c>
      <c r="F220" s="12">
        <f t="shared" si="67"/>
        <v>16</v>
      </c>
      <c r="H220" s="9">
        <v>3</v>
      </c>
      <c r="I220" s="9">
        <v>16</v>
      </c>
      <c r="K220" s="55" t="s">
        <v>555</v>
      </c>
      <c r="L220" s="55"/>
      <c r="M220" s="9">
        <v>0</v>
      </c>
      <c r="N220" s="9">
        <v>15</v>
      </c>
      <c r="O220" s="9" t="s">
        <v>1107</v>
      </c>
      <c r="P220" s="55" t="s">
        <v>1367</v>
      </c>
      <c r="Q220" s="9" t="s">
        <v>676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556</v>
      </c>
      <c r="Z220" s="9">
        <v>16</v>
      </c>
      <c r="AB220" s="11">
        <f ca="1">IFERROR(OFFSET(MANOR_LEVEL!$B$1,MATCH(AC220-1,MANOR_LEVEL!$A:$A,0)-1,0),0)</f>
        <v>7772100</v>
      </c>
      <c r="AC220" s="55">
        <v>13</v>
      </c>
      <c r="AE220" s="55">
        <f t="shared" ca="1" si="73"/>
        <v>40850700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40850700</v>
      </c>
      <c r="AG220" s="176">
        <f t="shared" ca="1" si="72"/>
        <v>60801250</v>
      </c>
      <c r="AI220" s="11">
        <f t="shared" si="68"/>
        <v>3000</v>
      </c>
      <c r="AJ220" s="10">
        <v>3000</v>
      </c>
      <c r="AK220" s="11">
        <f t="shared" si="69"/>
        <v>700</v>
      </c>
      <c r="AL220" s="10">
        <v>700</v>
      </c>
      <c r="AM220" s="11">
        <v>2150000</v>
      </c>
      <c r="AN220" s="10">
        <v>0</v>
      </c>
      <c r="AO220" s="55">
        <f t="shared" si="70"/>
        <v>2</v>
      </c>
      <c r="AQ220" s="11">
        <f ca="1">IFERROR(OFFSET(ITEM_RES!$A$1,MATCH(AR220,ITEM_RES!$J:$J,0)-1,0),0)</f>
        <v>211020801</v>
      </c>
      <c r="AR220" s="10" t="s">
        <v>385</v>
      </c>
      <c r="AS220" s="11">
        <v>2150000</v>
      </c>
      <c r="AV220" s="11">
        <f ca="1">IFERROR(OFFSET(ITEM_RES!$A$1,MATCH(AW220,ITEM_RES!$J:$J,0)-1,0),0)</f>
        <v>211020901</v>
      </c>
      <c r="AW220" s="10" t="s">
        <v>386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1"/>
        <v>0</v>
      </c>
    </row>
    <row r="221" spans="1:65" x14ac:dyDescent="0.3">
      <c r="A221" s="14">
        <f t="shared" si="65"/>
        <v>113020017</v>
      </c>
      <c r="B221" s="13">
        <v>11</v>
      </c>
      <c r="C221" s="12">
        <f t="shared" si="66"/>
        <v>3</v>
      </c>
      <c r="D221" s="13">
        <v>2</v>
      </c>
      <c r="E221" s="13">
        <v>0</v>
      </c>
      <c r="F221" s="12">
        <f t="shared" si="67"/>
        <v>17</v>
      </c>
      <c r="H221" s="9">
        <v>3</v>
      </c>
      <c r="I221" s="9">
        <v>17</v>
      </c>
      <c r="K221" s="55" t="s">
        <v>555</v>
      </c>
      <c r="L221" s="55"/>
      <c r="M221" s="9">
        <v>0</v>
      </c>
      <c r="N221" s="9">
        <v>15</v>
      </c>
      <c r="O221" s="9" t="s">
        <v>1107</v>
      </c>
      <c r="P221" s="55" t="s">
        <v>1367</v>
      </c>
      <c r="Q221" s="9" t="s">
        <v>676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556</v>
      </c>
      <c r="Z221" s="9">
        <v>17</v>
      </c>
      <c r="AB221" s="11">
        <f ca="1">IFERROR(OFFSET(MANOR_LEVEL!$B$1,MATCH(AC221-1,MANOR_LEVEL!$A:$A,0)-1,0),0)</f>
        <v>13022450</v>
      </c>
      <c r="AC221" s="55">
        <v>14</v>
      </c>
      <c r="AE221" s="55">
        <f t="shared" ca="1" si="73"/>
        <v>76000850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76000850</v>
      </c>
      <c r="AG221" s="176">
        <f t="shared" ca="1" si="72"/>
        <v>116851550</v>
      </c>
      <c r="AI221" s="11">
        <f t="shared" si="68"/>
        <v>3300</v>
      </c>
      <c r="AJ221" s="10">
        <v>3300</v>
      </c>
      <c r="AK221" s="11">
        <f t="shared" si="69"/>
        <v>850</v>
      </c>
      <c r="AL221" s="10">
        <v>850</v>
      </c>
      <c r="AM221" s="11">
        <v>4000000</v>
      </c>
      <c r="AN221" s="10">
        <v>0</v>
      </c>
      <c r="AO221" s="55">
        <f t="shared" si="70"/>
        <v>2</v>
      </c>
      <c r="AQ221" s="11">
        <f ca="1">IFERROR(OFFSET(ITEM_RES!$A$1,MATCH(AR221,ITEM_RES!$J:$J,0)-1,0),0)</f>
        <v>211020801</v>
      </c>
      <c r="AR221" s="10" t="s">
        <v>385</v>
      </c>
      <c r="AS221" s="11">
        <v>4000000</v>
      </c>
      <c r="AV221" s="11">
        <f ca="1">IFERROR(OFFSET(ITEM_RES!$A$1,MATCH(AW221,ITEM_RES!$J:$J,0)-1,0),0)</f>
        <v>211020901</v>
      </c>
      <c r="AW221" s="10" t="s">
        <v>386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1"/>
        <v>0</v>
      </c>
    </row>
    <row r="222" spans="1:65" x14ac:dyDescent="0.3">
      <c r="A222" s="14">
        <f t="shared" si="65"/>
        <v>113020018</v>
      </c>
      <c r="B222" s="13">
        <v>11</v>
      </c>
      <c r="C222" s="12">
        <f t="shared" si="66"/>
        <v>3</v>
      </c>
      <c r="D222" s="13">
        <v>2</v>
      </c>
      <c r="E222" s="13">
        <v>0</v>
      </c>
      <c r="F222" s="12">
        <f t="shared" si="67"/>
        <v>18</v>
      </c>
      <c r="H222" s="9">
        <v>3</v>
      </c>
      <c r="I222" s="9">
        <v>18</v>
      </c>
      <c r="K222" s="55" t="s">
        <v>555</v>
      </c>
      <c r="L222" s="55"/>
      <c r="M222" s="9">
        <v>0</v>
      </c>
      <c r="N222" s="9">
        <v>15</v>
      </c>
      <c r="O222" s="9" t="s">
        <v>1107</v>
      </c>
      <c r="P222" s="55" t="s">
        <v>1367</v>
      </c>
      <c r="Q222" s="9" t="s">
        <v>676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556</v>
      </c>
      <c r="Z222" s="9">
        <v>18</v>
      </c>
      <c r="AB222" s="11">
        <f ca="1">IFERROR(OFFSET(MANOR_LEVEL!$B$1,MATCH(AC222-1,MANOR_LEVEL!$A:$A,0)-1,0),0)</f>
        <v>23283600</v>
      </c>
      <c r="AC222" s="55">
        <v>15</v>
      </c>
      <c r="AE222" s="55">
        <f t="shared" ca="1" si="73"/>
        <v>123501050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123501050</v>
      </c>
      <c r="AG222" s="176">
        <f t="shared" ca="1" si="72"/>
        <v>199501900</v>
      </c>
      <c r="AI222" s="11">
        <f t="shared" si="68"/>
        <v>3600</v>
      </c>
      <c r="AJ222" s="10">
        <v>3600</v>
      </c>
      <c r="AK222" s="11">
        <f t="shared" si="69"/>
        <v>1050</v>
      </c>
      <c r="AL222" s="10">
        <v>1050</v>
      </c>
      <c r="AM222" s="11">
        <v>6500000</v>
      </c>
      <c r="AN222" s="10">
        <v>0</v>
      </c>
      <c r="AO222" s="55">
        <f t="shared" si="70"/>
        <v>2</v>
      </c>
      <c r="AQ222" s="11">
        <f ca="1">IFERROR(OFFSET(ITEM_RES!$A$1,MATCH(AR222,ITEM_RES!$J:$J,0)-1,0),0)</f>
        <v>211020801</v>
      </c>
      <c r="AR222" s="10" t="s">
        <v>385</v>
      </c>
      <c r="AS222" s="11">
        <v>6500000</v>
      </c>
      <c r="AV222" s="11">
        <f ca="1">IFERROR(OFFSET(ITEM_RES!$A$1,MATCH(AW222,ITEM_RES!$J:$J,0)-1,0),0)</f>
        <v>211020901</v>
      </c>
      <c r="AW222" s="10" t="s">
        <v>386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1"/>
        <v>0</v>
      </c>
    </row>
    <row r="223" spans="1:65" x14ac:dyDescent="0.3">
      <c r="A223" s="14">
        <f t="shared" si="65"/>
        <v>113020019</v>
      </c>
      <c r="B223" s="13">
        <v>11</v>
      </c>
      <c r="C223" s="12">
        <f t="shared" si="66"/>
        <v>3</v>
      </c>
      <c r="D223" s="13">
        <v>2</v>
      </c>
      <c r="E223" s="13">
        <v>0</v>
      </c>
      <c r="F223" s="12">
        <f t="shared" si="67"/>
        <v>19</v>
      </c>
      <c r="H223" s="9">
        <v>3</v>
      </c>
      <c r="I223" s="9">
        <v>19</v>
      </c>
      <c r="K223" s="55" t="s">
        <v>555</v>
      </c>
      <c r="L223" s="55"/>
      <c r="M223" s="9">
        <v>0</v>
      </c>
      <c r="N223" s="9">
        <v>15</v>
      </c>
      <c r="O223" s="9" t="s">
        <v>1107</v>
      </c>
      <c r="P223" s="55" t="s">
        <v>1367</v>
      </c>
      <c r="Q223" s="9" t="s">
        <v>676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556</v>
      </c>
      <c r="Z223" s="9">
        <v>19</v>
      </c>
      <c r="AB223" s="11">
        <f ca="1">IFERROR(OFFSET(MANOR_LEVEL!$B$1,MATCH(AC223-1,MANOR_LEVEL!$A:$A,0)-1,0),0)</f>
        <v>50404400</v>
      </c>
      <c r="AC223" s="55">
        <v>16</v>
      </c>
      <c r="AE223" s="55">
        <f t="shared" ca="1" si="73"/>
        <v>146001250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146001250</v>
      </c>
      <c r="AG223" s="176">
        <f t="shared" ca="1" si="72"/>
        <v>269502300</v>
      </c>
      <c r="AI223" s="11">
        <f t="shared" si="68"/>
        <v>3900</v>
      </c>
      <c r="AJ223" s="10">
        <v>3900</v>
      </c>
      <c r="AK223" s="11">
        <f t="shared" si="69"/>
        <v>1250</v>
      </c>
      <c r="AL223" s="10">
        <v>1250</v>
      </c>
      <c r="AM223" s="11">
        <v>10000000</v>
      </c>
      <c r="AN223" s="10">
        <v>0</v>
      </c>
      <c r="AO223" s="55">
        <f t="shared" si="70"/>
        <v>2</v>
      </c>
      <c r="AQ223" s="11">
        <f ca="1">IFERROR(OFFSET(ITEM_RES!$A$1,MATCH(AR223,ITEM_RES!$J:$J,0)-1,0),0)</f>
        <v>211020901</v>
      </c>
      <c r="AR223" s="10" t="s">
        <v>386</v>
      </c>
      <c r="AS223" s="11">
        <v>10000000</v>
      </c>
      <c r="AV223" s="11">
        <f ca="1">IFERROR(OFFSET(ITEM_RES!$A$1,MATCH(AW223,ITEM_RES!$J:$J,0)-1,0),0)</f>
        <v>211020501</v>
      </c>
      <c r="AW223" s="10" t="s">
        <v>417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1"/>
        <v>0</v>
      </c>
    </row>
    <row r="224" spans="1:65" ht="17.25" thickBot="1" x14ac:dyDescent="0.35">
      <c r="A224" s="14">
        <f t="shared" si="65"/>
        <v>113020020</v>
      </c>
      <c r="B224" s="13">
        <v>11</v>
      </c>
      <c r="C224" s="12">
        <f t="shared" si="66"/>
        <v>3</v>
      </c>
      <c r="D224" s="13">
        <v>2</v>
      </c>
      <c r="E224" s="13">
        <v>0</v>
      </c>
      <c r="F224" s="12">
        <f t="shared" si="67"/>
        <v>20</v>
      </c>
      <c r="H224" s="9">
        <v>3</v>
      </c>
      <c r="I224" s="9">
        <v>20</v>
      </c>
      <c r="K224" s="55" t="s">
        <v>555</v>
      </c>
      <c r="L224" s="55"/>
      <c r="M224" s="9">
        <v>0</v>
      </c>
      <c r="N224" s="9">
        <v>15</v>
      </c>
      <c r="O224" s="9" t="s">
        <v>1107</v>
      </c>
      <c r="P224" s="55" t="s">
        <v>1367</v>
      </c>
      <c r="Q224" s="9" t="s">
        <v>676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556</v>
      </c>
      <c r="Z224" s="9">
        <v>20</v>
      </c>
      <c r="AB224" s="11">
        <f ca="1">IFERROR(OFFSET(MANOR_LEVEL!$B$1,MATCH(AC224-1,MANOR_LEVEL!$A:$A,0)-1,0),0)</f>
        <v>119976300</v>
      </c>
      <c r="AC224" s="55">
        <v>17</v>
      </c>
      <c r="AE224" s="55">
        <f t="shared" ca="1" si="73"/>
        <v>233601500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233601500</v>
      </c>
      <c r="AG224" s="176">
        <f t="shared" ca="1" si="72"/>
        <v>379602750</v>
      </c>
      <c r="AI224" s="11">
        <f t="shared" si="68"/>
        <v>4200</v>
      </c>
      <c r="AJ224" s="10">
        <v>4200</v>
      </c>
      <c r="AK224" s="11">
        <f t="shared" si="69"/>
        <v>1500</v>
      </c>
      <c r="AL224" s="10">
        <v>1500</v>
      </c>
      <c r="AM224" s="11">
        <v>16000000</v>
      </c>
      <c r="AN224" s="10">
        <v>0</v>
      </c>
      <c r="AO224" s="55">
        <f t="shared" si="70"/>
        <v>2</v>
      </c>
      <c r="AQ224" s="11">
        <f ca="1">IFERROR(OFFSET(ITEM_RES!$A$1,MATCH(AR224,ITEM_RES!$J:$J,0)-1,0),0)</f>
        <v>211020901</v>
      </c>
      <c r="AR224" s="10" t="s">
        <v>386</v>
      </c>
      <c r="AS224" s="11">
        <v>16000000</v>
      </c>
      <c r="AV224" s="11">
        <f ca="1">IFERROR(OFFSET(ITEM_RES!$A$1,MATCH(AW224,ITEM_RES!$J:$J,0)-1,0),0)</f>
        <v>211020501</v>
      </c>
      <c r="AW224" s="10" t="s">
        <v>417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1"/>
        <v>0</v>
      </c>
    </row>
    <row r="225" spans="1:66" s="15" customFormat="1" x14ac:dyDescent="0.3">
      <c r="A225" s="21">
        <f t="shared" si="50"/>
        <v>113030001</v>
      </c>
      <c r="B225" s="20">
        <v>11</v>
      </c>
      <c r="C225" s="19">
        <f t="shared" si="51"/>
        <v>3</v>
      </c>
      <c r="D225" s="20">
        <v>3</v>
      </c>
      <c r="E225" s="20">
        <v>0</v>
      </c>
      <c r="F225" s="19">
        <f t="shared" si="52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1274</v>
      </c>
      <c r="P225" s="56" t="s">
        <v>1368</v>
      </c>
      <c r="Q225" s="16" t="s">
        <v>677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505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56">
        <f t="shared" ca="1" si="73"/>
        <v>1105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1105</v>
      </c>
      <c r="AG225" s="178">
        <f ca="1">AE225</f>
        <v>1105</v>
      </c>
      <c r="AH225" s="76"/>
      <c r="AI225" s="18">
        <f t="shared" si="47"/>
        <v>3</v>
      </c>
      <c r="AJ225" s="17">
        <v>3</v>
      </c>
      <c r="AK225" s="18">
        <f t="shared" si="55"/>
        <v>5</v>
      </c>
      <c r="AL225" s="17">
        <v>5</v>
      </c>
      <c r="AM225" s="18">
        <f t="shared" si="55"/>
        <v>0</v>
      </c>
      <c r="AN225" s="17">
        <v>0</v>
      </c>
      <c r="AO225" s="56">
        <f t="shared" si="48"/>
        <v>3</v>
      </c>
      <c r="AP225" s="18"/>
      <c r="AQ225" s="18">
        <f ca="1">IFERROR(OFFSET(ITEM_RES!$A$1,MATCH(AR225,ITEM_RES!$J:$J,0)-1,0),0)</f>
        <v>211020401</v>
      </c>
      <c r="AR225" s="17" t="s">
        <v>416</v>
      </c>
      <c r="AS225" s="18">
        <v>20</v>
      </c>
      <c r="AT225" s="17"/>
      <c r="AU225" s="18"/>
      <c r="AV225" s="18">
        <f ca="1">IFERROR(OFFSET(ITEM_RES!$A$1,MATCH(AW225,ITEM_RES!$J:$J,0)-1,0),0)</f>
        <v>211020801</v>
      </c>
      <c r="AW225" s="17" t="s">
        <v>1065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441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3"/>
        <v>0</v>
      </c>
      <c r="BN225" s="17"/>
    </row>
    <row r="226" spans="1:66" x14ac:dyDescent="0.3">
      <c r="A226" s="14">
        <f t="shared" si="50"/>
        <v>113030002</v>
      </c>
      <c r="B226" s="13">
        <v>11</v>
      </c>
      <c r="C226" s="12">
        <f t="shared" si="51"/>
        <v>3</v>
      </c>
      <c r="D226" s="13">
        <v>3</v>
      </c>
      <c r="E226" s="13">
        <v>0</v>
      </c>
      <c r="F226" s="12">
        <f t="shared" si="52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1274</v>
      </c>
      <c r="P226" s="55" t="s">
        <v>1368</v>
      </c>
      <c r="Q226" s="9" t="s">
        <v>677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505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55">
        <f t="shared" ca="1" si="73"/>
        <v>210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210</v>
      </c>
      <c r="AG226" s="176">
        <f ca="1">AE225+AE226</f>
        <v>1315</v>
      </c>
      <c r="AI226" s="11">
        <f t="shared" si="47"/>
        <v>5</v>
      </c>
      <c r="AJ226" s="10">
        <v>5</v>
      </c>
      <c r="AK226" s="11">
        <f t="shared" si="55"/>
        <v>10</v>
      </c>
      <c r="AL226" s="10">
        <v>10</v>
      </c>
      <c r="AM226" s="11">
        <f t="shared" si="55"/>
        <v>0</v>
      </c>
      <c r="AN226" s="10">
        <v>0</v>
      </c>
      <c r="AO226" s="55">
        <f t="shared" si="48"/>
        <v>2</v>
      </c>
      <c r="AQ226" s="11">
        <f ca="1">IFERROR(OFFSET(ITEM_RES!$A$1,MATCH(AR226,ITEM_RES!$J:$J,0)-1,0),0)</f>
        <v>211020401</v>
      </c>
      <c r="AR226" s="10" t="s">
        <v>416</v>
      </c>
      <c r="AS226" s="11">
        <v>40</v>
      </c>
      <c r="AV226" s="11">
        <f ca="1">IFERROR(OFFSET(ITEM_RES!$A$1,MATCH(AW226,ITEM_RES!$J:$J,0)-1,0),0)</f>
        <v>211020801</v>
      </c>
      <c r="AW226" s="10" t="s">
        <v>1065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3"/>
        <v>0</v>
      </c>
    </row>
    <row r="227" spans="1:66" x14ac:dyDescent="0.3">
      <c r="A227" s="14">
        <f t="shared" si="50"/>
        <v>113030003</v>
      </c>
      <c r="B227" s="13">
        <v>11</v>
      </c>
      <c r="C227" s="12">
        <f t="shared" si="51"/>
        <v>3</v>
      </c>
      <c r="D227" s="13">
        <v>3</v>
      </c>
      <c r="E227" s="13">
        <v>0</v>
      </c>
      <c r="F227" s="12">
        <f t="shared" si="52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1275</v>
      </c>
      <c r="P227" s="55" t="s">
        <v>1369</v>
      </c>
      <c r="Q227" s="9" t="s">
        <v>677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505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55">
        <f t="shared" ca="1" si="73"/>
        <v>315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315</v>
      </c>
      <c r="AG227" s="176">
        <f t="shared" ref="AG227:AG244" ca="1" si="74">AE226+AE227</f>
        <v>525</v>
      </c>
      <c r="AI227" s="11">
        <f t="shared" si="47"/>
        <v>5</v>
      </c>
      <c r="AJ227" s="10">
        <v>5</v>
      </c>
      <c r="AK227" s="11">
        <f t="shared" si="55"/>
        <v>15</v>
      </c>
      <c r="AL227" s="10">
        <v>15</v>
      </c>
      <c r="AM227" s="11">
        <f t="shared" si="55"/>
        <v>0</v>
      </c>
      <c r="AN227" s="10">
        <v>0</v>
      </c>
      <c r="AO227" s="55">
        <f t="shared" si="48"/>
        <v>2</v>
      </c>
      <c r="AQ227" s="11">
        <f ca="1">IFERROR(OFFSET(ITEM_RES!$A$1,MATCH(AR227,ITEM_RES!$J:$J,0)-1,0),0)</f>
        <v>211020401</v>
      </c>
      <c r="AR227" s="10" t="s">
        <v>416</v>
      </c>
      <c r="AS227" s="11">
        <v>60</v>
      </c>
      <c r="AV227" s="11">
        <f ca="1">IFERROR(OFFSET(ITEM_RES!$A$1,MATCH(AW227,ITEM_RES!$J:$J,0)-1,0),0)</f>
        <v>211020801</v>
      </c>
      <c r="AW227" s="10" t="s">
        <v>1065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3"/>
        <v>0</v>
      </c>
    </row>
    <row r="228" spans="1:66" x14ac:dyDescent="0.3">
      <c r="A228" s="14">
        <f t="shared" si="50"/>
        <v>113030004</v>
      </c>
      <c r="B228" s="13">
        <v>11</v>
      </c>
      <c r="C228" s="12">
        <f t="shared" si="51"/>
        <v>3</v>
      </c>
      <c r="D228" s="13">
        <v>3</v>
      </c>
      <c r="E228" s="13">
        <v>0</v>
      </c>
      <c r="F228" s="12">
        <f t="shared" si="52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1275</v>
      </c>
      <c r="P228" s="55" t="s">
        <v>1369</v>
      </c>
      <c r="Q228" s="9" t="s">
        <v>677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505</v>
      </c>
      <c r="Z228" s="9">
        <v>4</v>
      </c>
      <c r="AB228" s="11">
        <f ca="1">IFERROR(OFFSET(MANOR_LEVEL!$B$1,MATCH(AC228-1,MANOR_LEVEL!$A:$A,0)-1,0),0)</f>
        <v>0</v>
      </c>
      <c r="AC228" s="55">
        <v>1</v>
      </c>
      <c r="AE228" s="55">
        <f t="shared" ca="1" si="73"/>
        <v>905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905</v>
      </c>
      <c r="AG228" s="176">
        <f t="shared" ca="1" si="74"/>
        <v>1220</v>
      </c>
      <c r="AI228" s="11">
        <f t="shared" si="47"/>
        <v>10</v>
      </c>
      <c r="AJ228" s="10">
        <v>10</v>
      </c>
      <c r="AK228" s="11">
        <f t="shared" si="55"/>
        <v>25</v>
      </c>
      <c r="AL228" s="10">
        <v>25</v>
      </c>
      <c r="AM228" s="11">
        <f t="shared" si="55"/>
        <v>0</v>
      </c>
      <c r="AN228" s="10">
        <v>0</v>
      </c>
      <c r="AO228" s="55">
        <f t="shared" si="48"/>
        <v>2</v>
      </c>
      <c r="AQ228" s="11">
        <f ca="1">IFERROR(OFFSET(ITEM_RES!$A$1,MATCH(AR228,ITEM_RES!$J:$J,0)-1,0),0)</f>
        <v>211020401</v>
      </c>
      <c r="AR228" s="10" t="s">
        <v>416</v>
      </c>
      <c r="AS228" s="11">
        <v>240</v>
      </c>
      <c r="AV228" s="11">
        <f ca="1">IFERROR(OFFSET(ITEM_RES!$A$1,MATCH(AW228,ITEM_RES!$J:$J,0)-1,0),0)</f>
        <v>211020801</v>
      </c>
      <c r="AW228" s="10" t="s">
        <v>1065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3"/>
        <v>0</v>
      </c>
    </row>
    <row r="229" spans="1:66" x14ac:dyDescent="0.3">
      <c r="A229" s="14">
        <f t="shared" si="50"/>
        <v>113030005</v>
      </c>
      <c r="B229" s="13">
        <v>11</v>
      </c>
      <c r="C229" s="12">
        <f t="shared" si="51"/>
        <v>3</v>
      </c>
      <c r="D229" s="13">
        <v>3</v>
      </c>
      <c r="E229" s="13">
        <v>0</v>
      </c>
      <c r="F229" s="12">
        <f t="shared" si="52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1276</v>
      </c>
      <c r="P229" s="55" t="s">
        <v>1370</v>
      </c>
      <c r="Q229" s="9" t="s">
        <v>677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505</v>
      </c>
      <c r="Z229" s="9">
        <v>5</v>
      </c>
      <c r="AB229" s="11">
        <f ca="1">IFERROR(OFFSET(MANOR_LEVEL!$B$1,MATCH(AC229-1,MANOR_LEVEL!$A:$A,0)-1,0),0)</f>
        <v>0</v>
      </c>
      <c r="AC229" s="55">
        <v>1</v>
      </c>
      <c r="AE229" s="55">
        <f t="shared" ca="1" si="73"/>
        <v>3520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3520</v>
      </c>
      <c r="AG229" s="176">
        <f t="shared" ca="1" si="74"/>
        <v>4425</v>
      </c>
      <c r="AI229" s="11">
        <f t="shared" si="47"/>
        <v>15</v>
      </c>
      <c r="AJ229" s="10">
        <v>15</v>
      </c>
      <c r="AK229" s="11">
        <f t="shared" si="55"/>
        <v>40</v>
      </c>
      <c r="AL229" s="10">
        <v>40</v>
      </c>
      <c r="AM229" s="11">
        <f t="shared" si="55"/>
        <v>0</v>
      </c>
      <c r="AN229" s="10">
        <v>0</v>
      </c>
      <c r="AO229" s="55">
        <f t="shared" si="48"/>
        <v>2</v>
      </c>
      <c r="AQ229" s="11">
        <f ca="1">IFERROR(OFFSET(ITEM_RES!$A$1,MATCH(AR229,ITEM_RES!$J:$J,0)-1,0),0)</f>
        <v>211020401</v>
      </c>
      <c r="AR229" s="10" t="s">
        <v>416</v>
      </c>
      <c r="AS229" s="11">
        <v>1080</v>
      </c>
      <c r="AV229" s="11">
        <f ca="1">IFERROR(OFFSET(ITEM_RES!$A$1,MATCH(AW229,ITEM_RES!$J:$J,0)-1,0),0)</f>
        <v>211020801</v>
      </c>
      <c r="AW229" s="10" t="s">
        <v>1065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3"/>
        <v>0</v>
      </c>
    </row>
    <row r="230" spans="1:66" x14ac:dyDescent="0.3">
      <c r="A230" s="14">
        <f t="shared" si="50"/>
        <v>113030006</v>
      </c>
      <c r="B230" s="13">
        <v>11</v>
      </c>
      <c r="C230" s="12">
        <f t="shared" si="51"/>
        <v>3</v>
      </c>
      <c r="D230" s="13">
        <v>3</v>
      </c>
      <c r="E230" s="13">
        <v>0</v>
      </c>
      <c r="F230" s="12">
        <f t="shared" si="52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1276</v>
      </c>
      <c r="P230" s="55" t="s">
        <v>1370</v>
      </c>
      <c r="Q230" s="9" t="s">
        <v>677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505</v>
      </c>
      <c r="Z230" s="9">
        <v>6</v>
      </c>
      <c r="AB230" s="11">
        <f ca="1">IFERROR(OFFSET(MANOR_LEVEL!$B$1,MATCH(AC230-1,MANOR_LEVEL!$A:$A,0)-1,0),0)</f>
        <v>310</v>
      </c>
      <c r="AC230" s="55">
        <v>3</v>
      </c>
      <c r="AE230" s="55">
        <f t="shared" ca="1" si="73"/>
        <v>11210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11210</v>
      </c>
      <c r="AG230" s="176">
        <f t="shared" ca="1" si="74"/>
        <v>14730</v>
      </c>
      <c r="AI230" s="11">
        <f t="shared" si="47"/>
        <v>30</v>
      </c>
      <c r="AJ230" s="10">
        <v>30</v>
      </c>
      <c r="AK230" s="11">
        <f t="shared" si="55"/>
        <v>50</v>
      </c>
      <c r="AL230" s="10">
        <v>50</v>
      </c>
      <c r="AM230" s="11">
        <f t="shared" si="55"/>
        <v>0</v>
      </c>
      <c r="AN230" s="10">
        <v>0</v>
      </c>
      <c r="AO230" s="55">
        <f t="shared" si="48"/>
        <v>2</v>
      </c>
      <c r="AQ230" s="11">
        <f ca="1">IFERROR(OFFSET(ITEM_RES!$A$1,MATCH(AR230,ITEM_RES!$J:$J,0)-1,0),0)</f>
        <v>211020401</v>
      </c>
      <c r="AR230" s="10" t="s">
        <v>416</v>
      </c>
      <c r="AS230" s="11">
        <v>3600</v>
      </c>
      <c r="AV230" s="11">
        <f ca="1">IFERROR(OFFSET(ITEM_RES!$A$1,MATCH(AW230,ITEM_RES!$J:$J,0)-1,0),0)</f>
        <v>211020801</v>
      </c>
      <c r="AW230" s="10" t="s">
        <v>1065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3"/>
        <v>0</v>
      </c>
    </row>
    <row r="231" spans="1:66" x14ac:dyDescent="0.3">
      <c r="A231" s="14">
        <f t="shared" si="50"/>
        <v>113030007</v>
      </c>
      <c r="B231" s="13">
        <v>11</v>
      </c>
      <c r="C231" s="12">
        <f t="shared" si="51"/>
        <v>3</v>
      </c>
      <c r="D231" s="13">
        <v>3</v>
      </c>
      <c r="E231" s="13">
        <v>0</v>
      </c>
      <c r="F231" s="12">
        <f t="shared" si="52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1277</v>
      </c>
      <c r="P231" s="55" t="s">
        <v>1371</v>
      </c>
      <c r="Q231" s="9" t="s">
        <v>677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505</v>
      </c>
      <c r="Z231" s="9">
        <v>7</v>
      </c>
      <c r="AB231" s="11">
        <f ca="1">IFERROR(OFFSET(MANOR_LEVEL!$B$1,MATCH(AC231-1,MANOR_LEVEL!$A:$A,0)-1,0),0)</f>
        <v>930</v>
      </c>
      <c r="AC231" s="55">
        <v>4</v>
      </c>
      <c r="AE231" s="55">
        <f t="shared" ca="1" si="73"/>
        <v>25540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25540</v>
      </c>
      <c r="AG231" s="176">
        <f t="shared" ca="1" si="74"/>
        <v>36750</v>
      </c>
      <c r="AI231" s="11">
        <f t="shared" si="47"/>
        <v>300</v>
      </c>
      <c r="AJ231" s="10">
        <v>300</v>
      </c>
      <c r="AK231" s="11">
        <f t="shared" si="55"/>
        <v>100</v>
      </c>
      <c r="AL231" s="10">
        <v>100</v>
      </c>
      <c r="AM231" s="11">
        <f t="shared" si="55"/>
        <v>0</v>
      </c>
      <c r="AN231" s="10">
        <v>0</v>
      </c>
      <c r="AO231" s="55">
        <f t="shared" si="48"/>
        <v>2</v>
      </c>
      <c r="AQ231" s="11">
        <f ca="1">IFERROR(OFFSET(ITEM_RES!$A$1,MATCH(AR231,ITEM_RES!$J:$J,0)-1,0),0)</f>
        <v>211020401</v>
      </c>
      <c r="AR231" s="10" t="s">
        <v>416</v>
      </c>
      <c r="AS231" s="11">
        <v>8000</v>
      </c>
      <c r="AV231" s="11">
        <f ca="1">IFERROR(OFFSET(ITEM_RES!$A$1,MATCH(AW231,ITEM_RES!$J:$J,0)-1,0),0)</f>
        <v>211020801</v>
      </c>
      <c r="AW231" s="10" t="s">
        <v>1065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3"/>
        <v>0</v>
      </c>
    </row>
    <row r="232" spans="1:66" x14ac:dyDescent="0.3">
      <c r="A232" s="14">
        <f t="shared" si="50"/>
        <v>113030008</v>
      </c>
      <c r="B232" s="13">
        <v>11</v>
      </c>
      <c r="C232" s="12">
        <f t="shared" si="51"/>
        <v>3</v>
      </c>
      <c r="D232" s="13">
        <v>3</v>
      </c>
      <c r="E232" s="13">
        <v>0</v>
      </c>
      <c r="F232" s="12">
        <f t="shared" si="52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1277</v>
      </c>
      <c r="P232" s="55" t="s">
        <v>1371</v>
      </c>
      <c r="Q232" s="9" t="s">
        <v>677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505</v>
      </c>
      <c r="Z232" s="9">
        <v>8</v>
      </c>
      <c r="AB232" s="11">
        <f ca="1">IFERROR(OFFSET(MANOR_LEVEL!$B$1,MATCH(AC232-1,MANOR_LEVEL!$A:$A,0)-1,0),0)</f>
        <v>5475</v>
      </c>
      <c r="AC232" s="55">
        <v>5</v>
      </c>
      <c r="AE232" s="55">
        <f t="shared" ca="1" si="73"/>
        <v>56980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56980</v>
      </c>
      <c r="AG232" s="176">
        <f t="shared" ca="1" si="74"/>
        <v>82520</v>
      </c>
      <c r="AI232" s="11">
        <f t="shared" si="47"/>
        <v>600</v>
      </c>
      <c r="AJ232" s="10">
        <v>600</v>
      </c>
      <c r="AK232" s="11">
        <f t="shared" si="55"/>
        <v>100</v>
      </c>
      <c r="AL232" s="10">
        <v>100</v>
      </c>
      <c r="AM232" s="11">
        <f t="shared" si="55"/>
        <v>0</v>
      </c>
      <c r="AN232" s="10">
        <v>0</v>
      </c>
      <c r="AO232" s="55">
        <f t="shared" si="48"/>
        <v>2</v>
      </c>
      <c r="AQ232" s="11">
        <f ca="1">IFERROR(OFFSET(ITEM_RES!$A$1,MATCH(AR232,ITEM_RES!$J:$J,0)-1,0),0)</f>
        <v>211020401</v>
      </c>
      <c r="AR232" s="10" t="s">
        <v>416</v>
      </c>
      <c r="AS232" s="11">
        <v>16800</v>
      </c>
      <c r="AV232" s="11">
        <f ca="1">IFERROR(OFFSET(ITEM_RES!$A$1,MATCH(AW232,ITEM_RES!$J:$J,0)-1,0),0)</f>
        <v>211020801</v>
      </c>
      <c r="AW232" s="10" t="s">
        <v>1065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3"/>
        <v>0</v>
      </c>
    </row>
    <row r="233" spans="1:66" x14ac:dyDescent="0.3">
      <c r="A233" s="14">
        <f t="shared" si="50"/>
        <v>113030009</v>
      </c>
      <c r="B233" s="13">
        <v>11</v>
      </c>
      <c r="C233" s="12">
        <f t="shared" si="51"/>
        <v>3</v>
      </c>
      <c r="D233" s="13">
        <v>3</v>
      </c>
      <c r="E233" s="13">
        <v>0</v>
      </c>
      <c r="F233" s="12">
        <f t="shared" si="52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1279</v>
      </c>
      <c r="P233" s="55" t="s">
        <v>1372</v>
      </c>
      <c r="Q233" s="9" t="s">
        <v>677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505</v>
      </c>
      <c r="Z233" s="9">
        <v>9</v>
      </c>
      <c r="AB233" s="11">
        <f ca="1">IFERROR(OFFSET(MANOR_LEVEL!$B$1,MATCH(AC233-1,MANOR_LEVEL!$A:$A,0)-1,0),0)</f>
        <v>32560</v>
      </c>
      <c r="AC233" s="55">
        <v>6</v>
      </c>
      <c r="AE233" s="55">
        <f t="shared" ca="1" si="73"/>
        <v>115350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115350</v>
      </c>
      <c r="AG233" s="176">
        <f t="shared" ca="1" si="74"/>
        <v>172330</v>
      </c>
      <c r="AI233" s="11">
        <f t="shared" si="47"/>
        <v>900</v>
      </c>
      <c r="AJ233" s="10">
        <v>900</v>
      </c>
      <c r="AK233" s="11">
        <f t="shared" si="55"/>
        <v>150</v>
      </c>
      <c r="AL233" s="10">
        <v>150</v>
      </c>
      <c r="AM233" s="11">
        <f t="shared" si="55"/>
        <v>0</v>
      </c>
      <c r="AN233" s="10">
        <v>0</v>
      </c>
      <c r="AO233" s="55">
        <f t="shared" si="48"/>
        <v>2</v>
      </c>
      <c r="AQ233" s="11">
        <f ca="1">IFERROR(OFFSET(ITEM_RES!$A$1,MATCH(AR233,ITEM_RES!$J:$J,0)-1,0),0)</f>
        <v>211020401</v>
      </c>
      <c r="AR233" s="10" t="s">
        <v>416</v>
      </c>
      <c r="AS233" s="11">
        <v>31200</v>
      </c>
      <c r="AV233" s="11">
        <f ca="1">IFERROR(OFFSET(ITEM_RES!$A$1,MATCH(AW233,ITEM_RES!$J:$J,0)-1,0),0)</f>
        <v>211020801</v>
      </c>
      <c r="AW233" s="10" t="s">
        <v>1065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3"/>
        <v>0</v>
      </c>
    </row>
    <row r="234" spans="1:66" x14ac:dyDescent="0.3">
      <c r="A234" s="14">
        <f t="shared" si="50"/>
        <v>113030010</v>
      </c>
      <c r="B234" s="13">
        <v>11</v>
      </c>
      <c r="C234" s="12">
        <f t="shared" si="51"/>
        <v>3</v>
      </c>
      <c r="D234" s="13">
        <v>3</v>
      </c>
      <c r="E234" s="13">
        <v>0</v>
      </c>
      <c r="F234" s="12">
        <f t="shared" si="52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1280</v>
      </c>
      <c r="P234" s="55" t="s">
        <v>1372</v>
      </c>
      <c r="Q234" s="9" t="s">
        <v>677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505</v>
      </c>
      <c r="Z234" s="9">
        <v>10</v>
      </c>
      <c r="AB234" s="11">
        <f ca="1">IFERROR(OFFSET(MANOR_LEVEL!$B$1,MATCH(AC234-1,MANOR_LEVEL!$A:$A,0)-1,0),0)</f>
        <v>108200</v>
      </c>
      <c r="AC234" s="55">
        <v>7</v>
      </c>
      <c r="AE234" s="55">
        <f t="shared" ca="1" si="73"/>
        <v>205200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205200</v>
      </c>
      <c r="AG234" s="176">
        <f t="shared" ca="1" si="74"/>
        <v>320550</v>
      </c>
      <c r="AI234" s="11">
        <f t="shared" si="47"/>
        <v>1200</v>
      </c>
      <c r="AJ234" s="10">
        <v>1200</v>
      </c>
      <c r="AK234" s="11">
        <f t="shared" si="55"/>
        <v>200</v>
      </c>
      <c r="AL234" s="10">
        <v>200</v>
      </c>
      <c r="AM234" s="11">
        <f t="shared" si="55"/>
        <v>0</v>
      </c>
      <c r="AN234" s="10">
        <v>0</v>
      </c>
      <c r="AO234" s="55">
        <f t="shared" si="48"/>
        <v>3</v>
      </c>
      <c r="AQ234" s="11">
        <f ca="1">IFERROR(OFFSET(ITEM_RES!$A$1,MATCH(AR234,ITEM_RES!$J:$J,0)-1,0),0)</f>
        <v>211020401</v>
      </c>
      <c r="AR234" s="10" t="s">
        <v>416</v>
      </c>
      <c r="AS234" s="11">
        <v>52000</v>
      </c>
      <c r="AV234" s="11">
        <f ca="1">IFERROR(OFFSET(ITEM_RES!$A$1,MATCH(AW234,ITEM_RES!$J:$J,0)-1,0),0)</f>
        <v>211020801</v>
      </c>
      <c r="AW234" s="10" t="s">
        <v>1065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492</v>
      </c>
      <c r="BH234" s="11">
        <v>1</v>
      </c>
      <c r="BK234" s="11">
        <f ca="1">IFERROR(OFFSET(ITEM_RES!$A$1,MATCH(BL234,ITEM_RES!$J:$J,0)-1,0),0)</f>
        <v>0</v>
      </c>
      <c r="BM234" s="11">
        <f t="shared" si="53"/>
        <v>0</v>
      </c>
    </row>
    <row r="235" spans="1:66" x14ac:dyDescent="0.3">
      <c r="A235" s="14">
        <f t="shared" si="50"/>
        <v>113030011</v>
      </c>
      <c r="B235" s="13">
        <v>11</v>
      </c>
      <c r="C235" s="12">
        <f t="shared" si="51"/>
        <v>3</v>
      </c>
      <c r="D235" s="13">
        <v>3</v>
      </c>
      <c r="E235" s="13">
        <v>0</v>
      </c>
      <c r="F235" s="12">
        <f t="shared" si="52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1278</v>
      </c>
      <c r="P235" s="55" t="s">
        <v>1372</v>
      </c>
      <c r="Q235" s="9" t="s">
        <v>677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505</v>
      </c>
      <c r="Z235" s="9">
        <v>11</v>
      </c>
      <c r="AB235" s="11">
        <f ca="1">IFERROR(OFFSET(MANOR_LEVEL!$B$1,MATCH(AC235-1,MANOR_LEVEL!$A:$A,0)-1,0),0)</f>
        <v>240400</v>
      </c>
      <c r="AC235" s="55">
        <v>8</v>
      </c>
      <c r="AE235" s="55">
        <f t="shared" ca="1" si="73"/>
        <v>365050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365050</v>
      </c>
      <c r="AG235" s="176">
        <f t="shared" ca="1" si="74"/>
        <v>570250</v>
      </c>
      <c r="AI235" s="11">
        <f t="shared" si="47"/>
        <v>1500</v>
      </c>
      <c r="AJ235" s="10">
        <v>1500</v>
      </c>
      <c r="AK235" s="11">
        <f t="shared" si="55"/>
        <v>250</v>
      </c>
      <c r="AL235" s="10">
        <v>250</v>
      </c>
      <c r="AM235" s="11">
        <f t="shared" si="55"/>
        <v>0</v>
      </c>
      <c r="AN235" s="10">
        <v>0</v>
      </c>
      <c r="AO235" s="55">
        <f t="shared" si="48"/>
        <v>2</v>
      </c>
      <c r="AQ235" s="11">
        <f ca="1">IFERROR(OFFSET(ITEM_RES!$A$1,MATCH(AR235,ITEM_RES!$J:$J,0)-1,0),0)</f>
        <v>211020401</v>
      </c>
      <c r="AR235" s="10" t="s">
        <v>416</v>
      </c>
      <c r="AS235" s="11">
        <v>88000</v>
      </c>
      <c r="AV235" s="11">
        <f ca="1">IFERROR(OFFSET(ITEM_RES!$A$1,MATCH(AW235,ITEM_RES!$J:$J,0)-1,0),0)</f>
        <v>211020801</v>
      </c>
      <c r="AW235" s="10" t="s">
        <v>1065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3"/>
        <v>0</v>
      </c>
    </row>
    <row r="236" spans="1:66" x14ac:dyDescent="0.3">
      <c r="A236" s="14">
        <f t="shared" si="50"/>
        <v>113030012</v>
      </c>
      <c r="B236" s="13">
        <v>11</v>
      </c>
      <c r="C236" s="12">
        <f t="shared" si="51"/>
        <v>3</v>
      </c>
      <c r="D236" s="13">
        <v>3</v>
      </c>
      <c r="E236" s="13">
        <v>0</v>
      </c>
      <c r="F236" s="12">
        <f t="shared" si="52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1278</v>
      </c>
      <c r="P236" s="55" t="s">
        <v>1372</v>
      </c>
      <c r="Q236" s="9" t="s">
        <v>678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505</v>
      </c>
      <c r="Z236" s="9">
        <v>12</v>
      </c>
      <c r="AB236" s="11">
        <f ca="1">IFERROR(OFFSET(MANOR_LEVEL!$B$1,MATCH(AC236-1,MANOR_LEVEL!$A:$A,0)-1,0),0)</f>
        <v>630500</v>
      </c>
      <c r="AC236" s="55">
        <v>9</v>
      </c>
      <c r="AE236" s="55">
        <f t="shared" ca="1" si="73"/>
        <v>631500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631500</v>
      </c>
      <c r="AG236" s="176">
        <f t="shared" ca="1" si="74"/>
        <v>996550</v>
      </c>
      <c r="AI236" s="11">
        <f t="shared" si="47"/>
        <v>1800</v>
      </c>
      <c r="AJ236" s="10">
        <v>1800</v>
      </c>
      <c r="AK236" s="11">
        <f t="shared" si="55"/>
        <v>300</v>
      </c>
      <c r="AL236" s="10">
        <v>300</v>
      </c>
      <c r="AM236" s="11">
        <f t="shared" si="55"/>
        <v>0</v>
      </c>
      <c r="AN236" s="10">
        <v>0</v>
      </c>
      <c r="AO236" s="55">
        <f t="shared" si="48"/>
        <v>2</v>
      </c>
      <c r="AQ236" s="11">
        <f ca="1">IFERROR(OFFSET(ITEM_RES!$A$1,MATCH(AR236,ITEM_RES!$J:$J,0)-1,0),0)</f>
        <v>211020401</v>
      </c>
      <c r="AR236" s="10" t="s">
        <v>416</v>
      </c>
      <c r="AS236" s="11">
        <v>148000</v>
      </c>
      <c r="AV236" s="11">
        <f ca="1">IFERROR(OFFSET(ITEM_RES!$A$1,MATCH(AW236,ITEM_RES!$J:$J,0)-1,0),0)</f>
        <v>211020801</v>
      </c>
      <c r="AW236" s="10" t="s">
        <v>1065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3"/>
        <v>0</v>
      </c>
    </row>
    <row r="237" spans="1:66" x14ac:dyDescent="0.3">
      <c r="A237" s="14">
        <f t="shared" si="50"/>
        <v>113030013</v>
      </c>
      <c r="B237" s="13">
        <v>11</v>
      </c>
      <c r="C237" s="12">
        <f t="shared" si="51"/>
        <v>3</v>
      </c>
      <c r="D237" s="13">
        <v>3</v>
      </c>
      <c r="E237" s="13">
        <v>0</v>
      </c>
      <c r="F237" s="12">
        <f t="shared" si="52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1278</v>
      </c>
      <c r="P237" s="55" t="s">
        <v>1372</v>
      </c>
      <c r="Q237" s="9" t="s">
        <v>678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505</v>
      </c>
      <c r="Z237" s="9">
        <v>13</v>
      </c>
      <c r="AB237" s="11">
        <f ca="1">IFERROR(OFFSET(MANOR_LEVEL!$B$1,MATCH(AC237-1,MANOR_LEVEL!$A:$A,0)-1,0),0)</f>
        <v>1170750</v>
      </c>
      <c r="AC237" s="55">
        <v>10</v>
      </c>
      <c r="AE237" s="55">
        <f t="shared" ca="1" si="73"/>
        <v>1056350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1056350</v>
      </c>
      <c r="AG237" s="176">
        <f t="shared" ca="1" si="74"/>
        <v>1687850</v>
      </c>
      <c r="AI237" s="11">
        <f t="shared" ref="AI237:AI284" si="75">ROUND(AJ237,0)</f>
        <v>2100</v>
      </c>
      <c r="AJ237" s="10">
        <v>2100</v>
      </c>
      <c r="AK237" s="11">
        <f t="shared" si="55"/>
        <v>350</v>
      </c>
      <c r="AL237" s="10">
        <v>350</v>
      </c>
      <c r="AM237" s="11">
        <f t="shared" si="55"/>
        <v>0</v>
      </c>
      <c r="AN237" s="10">
        <v>0</v>
      </c>
      <c r="AO237" s="55">
        <f t="shared" si="48"/>
        <v>2</v>
      </c>
      <c r="AQ237" s="11">
        <f ca="1">IFERROR(OFFSET(ITEM_RES!$A$1,MATCH(AR237,ITEM_RES!$J:$J,0)-1,0),0)</f>
        <v>211020401</v>
      </c>
      <c r="AR237" s="10" t="s">
        <v>416</v>
      </c>
      <c r="AS237" s="11">
        <v>248000</v>
      </c>
      <c r="AV237" s="11">
        <f ca="1">IFERROR(OFFSET(ITEM_RES!$A$1,MATCH(AW237,ITEM_RES!$J:$J,0)-1,0),0)</f>
        <v>211020801</v>
      </c>
      <c r="AW237" s="10" t="s">
        <v>1065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3"/>
        <v>0</v>
      </c>
    </row>
    <row r="238" spans="1:66" x14ac:dyDescent="0.3">
      <c r="A238" s="14">
        <f t="shared" si="50"/>
        <v>113030014</v>
      </c>
      <c r="B238" s="13">
        <v>11</v>
      </c>
      <c r="C238" s="12">
        <f t="shared" si="51"/>
        <v>3</v>
      </c>
      <c r="D238" s="13">
        <v>3</v>
      </c>
      <c r="E238" s="13">
        <v>0</v>
      </c>
      <c r="F238" s="12">
        <f t="shared" si="52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1278</v>
      </c>
      <c r="P238" s="55" t="s">
        <v>1372</v>
      </c>
      <c r="Q238" s="9" t="s">
        <v>678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505</v>
      </c>
      <c r="Z238" s="9">
        <v>14</v>
      </c>
      <c r="AB238" s="11">
        <f ca="1">IFERROR(OFFSET(MANOR_LEVEL!$B$1,MATCH(AC238-1,MANOR_LEVEL!$A:$A,0)-1,0),0)</f>
        <v>1956000</v>
      </c>
      <c r="AC238" s="55">
        <v>11</v>
      </c>
      <c r="AE238" s="55">
        <f t="shared" ca="1" si="73"/>
        <v>1824450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1824450</v>
      </c>
      <c r="AG238" s="176">
        <f t="shared" ca="1" si="74"/>
        <v>2880800</v>
      </c>
      <c r="AI238" s="11">
        <f t="shared" si="75"/>
        <v>2400</v>
      </c>
      <c r="AJ238" s="10">
        <v>2400</v>
      </c>
      <c r="AK238" s="11">
        <f t="shared" si="55"/>
        <v>450</v>
      </c>
      <c r="AL238" s="10">
        <v>450</v>
      </c>
      <c r="AM238" s="11">
        <f t="shared" si="55"/>
        <v>0</v>
      </c>
      <c r="AN238" s="10">
        <v>0</v>
      </c>
      <c r="AO238" s="55">
        <f t="shared" ref="AO238:AO284" si="76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416</v>
      </c>
      <c r="AS238" s="11">
        <v>388000</v>
      </c>
      <c r="AV238" s="11">
        <f ca="1">IFERROR(OFFSET(ITEM_RES!$A$1,MATCH(AW238,ITEM_RES!$J:$J,0)-1,0),0)</f>
        <v>211020901</v>
      </c>
      <c r="AW238" s="10" t="s">
        <v>1066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3"/>
        <v>0</v>
      </c>
    </row>
    <row r="239" spans="1:66" x14ac:dyDescent="0.3">
      <c r="A239" s="14">
        <f t="shared" si="50"/>
        <v>113030015</v>
      </c>
      <c r="B239" s="13">
        <v>11</v>
      </c>
      <c r="C239" s="12">
        <f t="shared" si="51"/>
        <v>3</v>
      </c>
      <c r="D239" s="13">
        <v>3</v>
      </c>
      <c r="E239" s="13">
        <v>0</v>
      </c>
      <c r="F239" s="12">
        <f t="shared" si="52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1278</v>
      </c>
      <c r="P239" s="55" t="s">
        <v>1372</v>
      </c>
      <c r="Q239" s="9" t="s">
        <v>678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505</v>
      </c>
      <c r="Z239" s="9">
        <v>15</v>
      </c>
      <c r="AB239" s="11">
        <f ca="1">IFERROR(OFFSET(MANOR_LEVEL!$B$1,MATCH(AC239-1,MANOR_LEVEL!$A:$A,0)-1,0),0)</f>
        <v>3961500</v>
      </c>
      <c r="AC239" s="55">
        <v>12</v>
      </c>
      <c r="AE239" s="55">
        <f t="shared" ca="1" si="73"/>
        <v>3630550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3630550</v>
      </c>
      <c r="AG239" s="176">
        <f t="shared" ca="1" si="74"/>
        <v>5455000</v>
      </c>
      <c r="AI239" s="11">
        <f t="shared" si="75"/>
        <v>2700</v>
      </c>
      <c r="AJ239" s="10">
        <v>2700</v>
      </c>
      <c r="AK239" s="11">
        <f t="shared" si="55"/>
        <v>550</v>
      </c>
      <c r="AL239" s="10">
        <v>550</v>
      </c>
      <c r="AM239" s="11">
        <f t="shared" si="55"/>
        <v>0</v>
      </c>
      <c r="AN239" s="10">
        <v>0</v>
      </c>
      <c r="AO239" s="55">
        <f t="shared" si="76"/>
        <v>2</v>
      </c>
      <c r="AQ239" s="11">
        <f ca="1">IFERROR(OFFSET(ITEM_RES!$A$1,MATCH(AR239,ITEM_RES!$J:$J,0)-1,0),0)</f>
        <v>211020401</v>
      </c>
      <c r="AR239" s="10" t="s">
        <v>416</v>
      </c>
      <c r="AS239" s="11">
        <v>840000</v>
      </c>
      <c r="AV239" s="11">
        <f ca="1">IFERROR(OFFSET(ITEM_RES!$A$1,MATCH(AW239,ITEM_RES!$J:$J,0)-1,0),0)</f>
        <v>211020901</v>
      </c>
      <c r="AW239" s="10" t="s">
        <v>1066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3"/>
        <v>0</v>
      </c>
    </row>
    <row r="240" spans="1:66" x14ac:dyDescent="0.3">
      <c r="A240" s="14">
        <f t="shared" si="50"/>
        <v>113030016</v>
      </c>
      <c r="B240" s="13">
        <v>11</v>
      </c>
      <c r="C240" s="12">
        <f t="shared" si="51"/>
        <v>3</v>
      </c>
      <c r="D240" s="13">
        <v>3</v>
      </c>
      <c r="E240" s="13">
        <v>0</v>
      </c>
      <c r="F240" s="12">
        <f t="shared" si="52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1278</v>
      </c>
      <c r="P240" s="55" t="s">
        <v>1372</v>
      </c>
      <c r="Q240" s="9" t="s">
        <v>678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505</v>
      </c>
      <c r="Z240" s="9">
        <v>16</v>
      </c>
      <c r="AB240" s="11">
        <f ca="1">IFERROR(OFFSET(MANOR_LEVEL!$B$1,MATCH(AC240-1,MANOR_LEVEL!$A:$A,0)-1,0),0)</f>
        <v>7772100</v>
      </c>
      <c r="AC240" s="55">
        <v>13</v>
      </c>
      <c r="AE240" s="55">
        <f t="shared" ca="1" si="73"/>
        <v>8052700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8052700</v>
      </c>
      <c r="AG240" s="176">
        <f t="shared" ca="1" si="74"/>
        <v>11683250</v>
      </c>
      <c r="AI240" s="11">
        <f t="shared" si="75"/>
        <v>3000</v>
      </c>
      <c r="AJ240" s="10">
        <v>3000</v>
      </c>
      <c r="AK240" s="11">
        <f t="shared" si="55"/>
        <v>700</v>
      </c>
      <c r="AL240" s="10">
        <v>700</v>
      </c>
      <c r="AM240" s="11">
        <f t="shared" si="55"/>
        <v>0</v>
      </c>
      <c r="AN240" s="10">
        <v>0</v>
      </c>
      <c r="AO240" s="55">
        <f t="shared" si="76"/>
        <v>2</v>
      </c>
      <c r="AQ240" s="11">
        <f ca="1">IFERROR(OFFSET(ITEM_RES!$A$1,MATCH(AR240,ITEM_RES!$J:$J,0)-1,0),0)</f>
        <v>211020501</v>
      </c>
      <c r="AR240" s="10" t="s">
        <v>417</v>
      </c>
      <c r="AS240" s="11">
        <v>1720000</v>
      </c>
      <c r="AV240" s="11">
        <f ca="1">IFERROR(OFFSET(ITEM_RES!$A$1,MATCH(AW240,ITEM_RES!$J:$J,0)-1,0),0)</f>
        <v>211020901</v>
      </c>
      <c r="AW240" s="10" t="s">
        <v>1066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3"/>
        <v>0</v>
      </c>
    </row>
    <row r="241" spans="1:66" x14ac:dyDescent="0.3">
      <c r="A241" s="14">
        <f t="shared" si="50"/>
        <v>113030017</v>
      </c>
      <c r="B241" s="13">
        <v>11</v>
      </c>
      <c r="C241" s="12">
        <f t="shared" si="51"/>
        <v>3</v>
      </c>
      <c r="D241" s="13">
        <v>3</v>
      </c>
      <c r="E241" s="13">
        <v>0</v>
      </c>
      <c r="F241" s="12">
        <f t="shared" si="52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1278</v>
      </c>
      <c r="P241" s="55" t="s">
        <v>1372</v>
      </c>
      <c r="Q241" s="9" t="s">
        <v>678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505</v>
      </c>
      <c r="Z241" s="9">
        <v>17</v>
      </c>
      <c r="AB241" s="11">
        <f ca="1">IFERROR(OFFSET(MANOR_LEVEL!$B$1,MATCH(AC241-1,MANOR_LEVEL!$A:$A,0)-1,0),0)</f>
        <v>13022450</v>
      </c>
      <c r="AC241" s="55">
        <v>14</v>
      </c>
      <c r="AE241" s="55">
        <f t="shared" ca="1" si="73"/>
        <v>14430850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14430850</v>
      </c>
      <c r="AG241" s="176">
        <f t="shared" ca="1" si="74"/>
        <v>22483550</v>
      </c>
      <c r="AI241" s="11">
        <f t="shared" si="75"/>
        <v>3300</v>
      </c>
      <c r="AJ241" s="10">
        <v>3300</v>
      </c>
      <c r="AK241" s="11">
        <f t="shared" si="55"/>
        <v>850</v>
      </c>
      <c r="AL241" s="10">
        <v>850</v>
      </c>
      <c r="AM241" s="11">
        <f t="shared" si="55"/>
        <v>0</v>
      </c>
      <c r="AN241" s="10">
        <v>0</v>
      </c>
      <c r="AO241" s="55">
        <f t="shared" si="76"/>
        <v>2</v>
      </c>
      <c r="AQ241" s="11">
        <f ca="1">IFERROR(OFFSET(ITEM_RES!$A$1,MATCH(AR241,ITEM_RES!$J:$J,0)-1,0),0)</f>
        <v>211020501</v>
      </c>
      <c r="AR241" s="10" t="s">
        <v>417</v>
      </c>
      <c r="AS241" s="11">
        <v>3200000</v>
      </c>
      <c r="AV241" s="11">
        <f ca="1">IFERROR(OFFSET(ITEM_RES!$A$1,MATCH(AW241,ITEM_RES!$J:$J,0)-1,0),0)</f>
        <v>211020901</v>
      </c>
      <c r="AW241" s="10" t="s">
        <v>1066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3"/>
        <v>0</v>
      </c>
    </row>
    <row r="242" spans="1:66" x14ac:dyDescent="0.3">
      <c r="A242" s="14">
        <f t="shared" si="50"/>
        <v>113030018</v>
      </c>
      <c r="B242" s="13">
        <v>11</v>
      </c>
      <c r="C242" s="12">
        <f t="shared" si="51"/>
        <v>3</v>
      </c>
      <c r="D242" s="13">
        <v>3</v>
      </c>
      <c r="E242" s="13">
        <v>0</v>
      </c>
      <c r="F242" s="12">
        <f t="shared" si="52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1278</v>
      </c>
      <c r="P242" s="55" t="s">
        <v>1372</v>
      </c>
      <c r="Q242" s="9" t="s">
        <v>678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505</v>
      </c>
      <c r="Z242" s="9">
        <v>18</v>
      </c>
      <c r="AB242" s="11">
        <f ca="1">IFERROR(OFFSET(MANOR_LEVEL!$B$1,MATCH(AC242-1,MANOR_LEVEL!$A:$A,0)-1,0),0)</f>
        <v>23283600</v>
      </c>
      <c r="AC242" s="55">
        <v>15</v>
      </c>
      <c r="AE242" s="55">
        <f t="shared" ca="1" si="73"/>
        <v>25021050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25021050</v>
      </c>
      <c r="AG242" s="176">
        <f t="shared" ca="1" si="74"/>
        <v>39451900</v>
      </c>
      <c r="AI242" s="11">
        <f t="shared" si="75"/>
        <v>3600</v>
      </c>
      <c r="AJ242" s="10">
        <v>3600</v>
      </c>
      <c r="AK242" s="11">
        <f t="shared" si="55"/>
        <v>1050</v>
      </c>
      <c r="AL242" s="10">
        <v>1050</v>
      </c>
      <c r="AM242" s="11">
        <f t="shared" si="55"/>
        <v>0</v>
      </c>
      <c r="AN242" s="10">
        <v>0</v>
      </c>
      <c r="AO242" s="55">
        <f t="shared" si="76"/>
        <v>2</v>
      </c>
      <c r="AQ242" s="11">
        <f ca="1">IFERROR(OFFSET(ITEM_RES!$A$1,MATCH(AR242,ITEM_RES!$J:$J,0)-1,0),0)</f>
        <v>211020501</v>
      </c>
      <c r="AR242" s="10" t="s">
        <v>417</v>
      </c>
      <c r="AS242" s="11">
        <v>5200000</v>
      </c>
      <c r="AV242" s="11">
        <f ca="1">IFERROR(OFFSET(ITEM_RES!$A$1,MATCH(AW242,ITEM_RES!$J:$J,0)-1,0),0)</f>
        <v>211020901</v>
      </c>
      <c r="AW242" s="10" t="s">
        <v>1066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3"/>
        <v>0</v>
      </c>
    </row>
    <row r="243" spans="1:66" x14ac:dyDescent="0.3">
      <c r="A243" s="14">
        <f t="shared" si="50"/>
        <v>113030019</v>
      </c>
      <c r="B243" s="13">
        <v>11</v>
      </c>
      <c r="C243" s="12">
        <f t="shared" si="51"/>
        <v>3</v>
      </c>
      <c r="D243" s="13">
        <v>3</v>
      </c>
      <c r="E243" s="13">
        <v>0</v>
      </c>
      <c r="F243" s="12">
        <f t="shared" si="52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1278</v>
      </c>
      <c r="P243" s="55" t="s">
        <v>1372</v>
      </c>
      <c r="Q243" s="9" t="s">
        <v>678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505</v>
      </c>
      <c r="Z243" s="9">
        <v>19</v>
      </c>
      <c r="AB243" s="11">
        <f ca="1">IFERROR(OFFSET(MANOR_LEVEL!$B$1,MATCH(AC243-1,MANOR_LEVEL!$A:$A,0)-1,0),0)</f>
        <v>50404400</v>
      </c>
      <c r="AC243" s="55">
        <v>16</v>
      </c>
      <c r="AE243" s="55">
        <f t="shared" ca="1" si="73"/>
        <v>41701250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41701250</v>
      </c>
      <c r="AG243" s="176">
        <f t="shared" ca="1" si="74"/>
        <v>66722300</v>
      </c>
      <c r="AI243" s="11">
        <f t="shared" si="75"/>
        <v>3900</v>
      </c>
      <c r="AJ243" s="10">
        <v>3900</v>
      </c>
      <c r="AK243" s="11">
        <f t="shared" si="55"/>
        <v>1250</v>
      </c>
      <c r="AL243" s="10">
        <v>1250</v>
      </c>
      <c r="AM243" s="11">
        <f t="shared" si="55"/>
        <v>0</v>
      </c>
      <c r="AN243" s="10">
        <v>0</v>
      </c>
      <c r="AO243" s="55">
        <f t="shared" si="76"/>
        <v>2</v>
      </c>
      <c r="AQ243" s="11">
        <f ca="1">IFERROR(OFFSET(ITEM_RES!$A$1,MATCH(AR243,ITEM_RES!$J:$J,0)-1,0),0)</f>
        <v>211020501</v>
      </c>
      <c r="AR243" s="10" t="s">
        <v>417</v>
      </c>
      <c r="AS243" s="11">
        <v>8000000</v>
      </c>
      <c r="AV243" s="11">
        <f ca="1">IFERROR(OFFSET(ITEM_RES!$A$1,MATCH(AW243,ITEM_RES!$J:$J,0)-1,0),0)</f>
        <v>211020901</v>
      </c>
      <c r="AW243" s="10" t="s">
        <v>1066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3"/>
        <v>0</v>
      </c>
    </row>
    <row r="244" spans="1:66" ht="17.25" thickBot="1" x14ac:dyDescent="0.35">
      <c r="A244" s="14">
        <f t="shared" si="50"/>
        <v>113030020</v>
      </c>
      <c r="B244" s="13">
        <v>11</v>
      </c>
      <c r="C244" s="12">
        <f t="shared" si="51"/>
        <v>3</v>
      </c>
      <c r="D244" s="13">
        <v>3</v>
      </c>
      <c r="E244" s="13">
        <v>0</v>
      </c>
      <c r="F244" s="12">
        <f t="shared" si="52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1278</v>
      </c>
      <c r="P244" s="55" t="s">
        <v>1372</v>
      </c>
      <c r="Q244" s="9" t="s">
        <v>678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505</v>
      </c>
      <c r="Z244" s="9">
        <v>20</v>
      </c>
      <c r="AB244" s="11">
        <f ca="1">IFERROR(OFFSET(MANOR_LEVEL!$B$1,MATCH(AC244-1,MANOR_LEVEL!$A:$A,0)-1,0),0)</f>
        <v>119976300</v>
      </c>
      <c r="AC244" s="55">
        <v>17</v>
      </c>
      <c r="AE244" s="55">
        <f t="shared" ca="1" si="73"/>
        <v>70081500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70081500</v>
      </c>
      <c r="AG244" s="176">
        <f t="shared" ca="1" si="74"/>
        <v>111782750</v>
      </c>
      <c r="AI244" s="11">
        <f t="shared" si="75"/>
        <v>4200</v>
      </c>
      <c r="AJ244" s="10">
        <v>4200</v>
      </c>
      <c r="AK244" s="11">
        <f t="shared" si="55"/>
        <v>1500</v>
      </c>
      <c r="AL244" s="10">
        <v>1500</v>
      </c>
      <c r="AM244" s="11">
        <f t="shared" si="55"/>
        <v>0</v>
      </c>
      <c r="AN244" s="10">
        <v>0</v>
      </c>
      <c r="AO244" s="55">
        <f t="shared" si="76"/>
        <v>2</v>
      </c>
      <c r="AQ244" s="11">
        <f ca="1">IFERROR(OFFSET(ITEM_RES!$A$1,MATCH(AR244,ITEM_RES!$J:$J,0)-1,0),0)</f>
        <v>211020501</v>
      </c>
      <c r="AR244" s="10" t="s">
        <v>417</v>
      </c>
      <c r="AS244" s="11">
        <v>12800000</v>
      </c>
      <c r="AV244" s="11">
        <f ca="1">IFERROR(OFFSET(ITEM_RES!$A$1,MATCH(AW244,ITEM_RES!$J:$J,0)-1,0),0)</f>
        <v>211020901</v>
      </c>
      <c r="AW244" s="10" t="s">
        <v>1066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3"/>
        <v>0</v>
      </c>
    </row>
    <row r="245" spans="1:66" s="15" customFormat="1" x14ac:dyDescent="0.3">
      <c r="A245" s="21">
        <f t="shared" si="50"/>
        <v>113040001</v>
      </c>
      <c r="B245" s="20">
        <v>11</v>
      </c>
      <c r="C245" s="19">
        <f t="shared" si="51"/>
        <v>3</v>
      </c>
      <c r="D245" s="20">
        <v>4</v>
      </c>
      <c r="E245" s="20">
        <v>0</v>
      </c>
      <c r="F245" s="19">
        <f t="shared" si="52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5</v>
      </c>
      <c r="M245" s="16">
        <v>1</v>
      </c>
      <c r="N245" s="16">
        <v>15</v>
      </c>
      <c r="O245" s="16" t="s">
        <v>1108</v>
      </c>
      <c r="P245" s="56" t="s">
        <v>1373</v>
      </c>
      <c r="Q245" s="16" t="s">
        <v>679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506</v>
      </c>
      <c r="Z245" s="16">
        <v>1</v>
      </c>
      <c r="AA245" s="76"/>
      <c r="AB245" s="18">
        <f ca="1">IFERROR(OFFSET(MANOR_LEVEL!$B$1,MATCH(AC245-1,MANOR_LEVEL!$A:$A,0)-1,0),0)</f>
        <v>108200</v>
      </c>
      <c r="AC245" s="56">
        <v>7</v>
      </c>
      <c r="AD245" s="76"/>
      <c r="AE245" s="56">
        <f t="shared" ca="1" si="73"/>
        <v>1405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1405</v>
      </c>
      <c r="AG245" s="178">
        <f ca="1">AE245</f>
        <v>1405</v>
      </c>
      <c r="AH245" s="76"/>
      <c r="AI245" s="18">
        <f t="shared" si="75"/>
        <v>3</v>
      </c>
      <c r="AJ245" s="17">
        <v>3</v>
      </c>
      <c r="AK245" s="18">
        <f t="shared" si="55"/>
        <v>5</v>
      </c>
      <c r="AL245" s="17">
        <v>5</v>
      </c>
      <c r="AM245" s="18">
        <f t="shared" si="55"/>
        <v>0</v>
      </c>
      <c r="AN245" s="17">
        <v>0</v>
      </c>
      <c r="AO245" s="56">
        <f t="shared" si="76"/>
        <v>2</v>
      </c>
      <c r="AP245" s="18"/>
      <c r="AQ245" s="18">
        <f ca="1">IFERROR(OFFSET(ITEM_RES!$A$1,MATCH(AR245,ITEM_RES!$J:$J,0)-1,0),0)</f>
        <v>211020801</v>
      </c>
      <c r="AR245" s="17" t="s">
        <v>426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441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3"/>
        <v>0</v>
      </c>
      <c r="BN245" s="17"/>
    </row>
    <row r="246" spans="1:66" x14ac:dyDescent="0.3">
      <c r="A246" s="14">
        <f t="shared" si="50"/>
        <v>113040002</v>
      </c>
      <c r="B246" s="13">
        <v>11</v>
      </c>
      <c r="C246" s="12">
        <f t="shared" si="51"/>
        <v>3</v>
      </c>
      <c r="D246" s="13">
        <v>4</v>
      </c>
      <c r="E246" s="13">
        <v>0</v>
      </c>
      <c r="F246" s="12">
        <f t="shared" si="52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1109</v>
      </c>
      <c r="P246" s="55" t="s">
        <v>1373</v>
      </c>
      <c r="Q246" s="9" t="s">
        <v>679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506</v>
      </c>
      <c r="Z246" s="9">
        <v>2</v>
      </c>
      <c r="AB246" s="11">
        <f ca="1">IFERROR(OFFSET(MANOR_LEVEL!$B$1,MATCH(AC246-1,MANOR_LEVEL!$A:$A,0)-1,0),0)</f>
        <v>240400</v>
      </c>
      <c r="AC246" s="55">
        <v>8</v>
      </c>
      <c r="AE246" s="55">
        <f t="shared" ca="1" si="73"/>
        <v>810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810</v>
      </c>
      <c r="AG246" s="176">
        <f ca="1">AE245+AE246</f>
        <v>2215</v>
      </c>
      <c r="AI246" s="11">
        <f t="shared" si="75"/>
        <v>5</v>
      </c>
      <c r="AJ246" s="10">
        <v>5</v>
      </c>
      <c r="AK246" s="11">
        <f t="shared" si="55"/>
        <v>10</v>
      </c>
      <c r="AL246" s="10">
        <v>10</v>
      </c>
      <c r="AM246" s="11">
        <f t="shared" si="55"/>
        <v>0</v>
      </c>
      <c r="AN246" s="10">
        <v>0</v>
      </c>
      <c r="AO246" s="55">
        <f t="shared" si="76"/>
        <v>1</v>
      </c>
      <c r="AQ246" s="11">
        <f ca="1">IFERROR(OFFSET(ITEM_RES!$A$1,MATCH(AR246,ITEM_RES!$J:$J,0)-1,0),0)</f>
        <v>211020801</v>
      </c>
      <c r="AR246" s="10" t="s">
        <v>426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3"/>
        <v>0</v>
      </c>
    </row>
    <row r="247" spans="1:66" x14ac:dyDescent="0.3">
      <c r="A247" s="14">
        <f t="shared" si="50"/>
        <v>113040003</v>
      </c>
      <c r="B247" s="13">
        <v>11</v>
      </c>
      <c r="C247" s="12">
        <f t="shared" si="51"/>
        <v>3</v>
      </c>
      <c r="D247" s="13">
        <v>4</v>
      </c>
      <c r="E247" s="13">
        <v>0</v>
      </c>
      <c r="F247" s="12">
        <f t="shared" si="52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1110</v>
      </c>
      <c r="P247" s="55" t="s">
        <v>1374</v>
      </c>
      <c r="Q247" s="9" t="s">
        <v>679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506</v>
      </c>
      <c r="Z247" s="9">
        <v>3</v>
      </c>
      <c r="AB247" s="11">
        <f ca="1">IFERROR(OFFSET(MANOR_LEVEL!$B$1,MATCH(AC247-1,MANOR_LEVEL!$A:$A,0)-1,0),0)</f>
        <v>630500</v>
      </c>
      <c r="AC247" s="55">
        <v>9</v>
      </c>
      <c r="AE247" s="55">
        <f t="shared" ca="1" si="73"/>
        <v>1215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1215</v>
      </c>
      <c r="AG247" s="176">
        <f t="shared" ref="AG247:AG264" ca="1" si="77">AE246+AE247</f>
        <v>2025</v>
      </c>
      <c r="AI247" s="11">
        <f t="shared" si="75"/>
        <v>5</v>
      </c>
      <c r="AJ247" s="10">
        <v>5</v>
      </c>
      <c r="AK247" s="11">
        <f t="shared" si="55"/>
        <v>15</v>
      </c>
      <c r="AL247" s="10">
        <v>15</v>
      </c>
      <c r="AM247" s="11">
        <f t="shared" si="55"/>
        <v>0</v>
      </c>
      <c r="AN247" s="10">
        <v>0</v>
      </c>
      <c r="AO247" s="55">
        <f t="shared" si="76"/>
        <v>1</v>
      </c>
      <c r="AQ247" s="11">
        <f ca="1">IFERROR(OFFSET(ITEM_RES!$A$1,MATCH(AR247,ITEM_RES!$J:$J,0)-1,0),0)</f>
        <v>211020801</v>
      </c>
      <c r="AR247" s="10" t="s">
        <v>426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3"/>
        <v>0</v>
      </c>
    </row>
    <row r="248" spans="1:66" x14ac:dyDescent="0.3">
      <c r="A248" s="14">
        <f t="shared" si="50"/>
        <v>113040004</v>
      </c>
      <c r="B248" s="13">
        <v>11</v>
      </c>
      <c r="C248" s="12">
        <f t="shared" si="51"/>
        <v>3</v>
      </c>
      <c r="D248" s="13">
        <v>4</v>
      </c>
      <c r="E248" s="13">
        <v>0</v>
      </c>
      <c r="F248" s="12">
        <f t="shared" si="52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1110</v>
      </c>
      <c r="P248" s="55" t="s">
        <v>1374</v>
      </c>
      <c r="Q248" s="9" t="s">
        <v>679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506</v>
      </c>
      <c r="Z248" s="9">
        <v>4</v>
      </c>
      <c r="AB248" s="11">
        <f ca="1">IFERROR(OFFSET(MANOR_LEVEL!$B$1,MATCH(AC248-1,MANOR_LEVEL!$A:$A,0)-1,0),0)</f>
        <v>630500</v>
      </c>
      <c r="AC248" s="55">
        <v>9</v>
      </c>
      <c r="AE248" s="55">
        <f t="shared" ca="1" si="73"/>
        <v>4825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4825</v>
      </c>
      <c r="AG248" s="176">
        <f t="shared" ca="1" si="77"/>
        <v>6040</v>
      </c>
      <c r="AI248" s="11">
        <f t="shared" si="75"/>
        <v>10</v>
      </c>
      <c r="AJ248" s="10">
        <v>10</v>
      </c>
      <c r="AK248" s="11">
        <f t="shared" si="55"/>
        <v>25</v>
      </c>
      <c r="AL248" s="10">
        <v>25</v>
      </c>
      <c r="AM248" s="11">
        <f t="shared" si="55"/>
        <v>0</v>
      </c>
      <c r="AN248" s="10">
        <v>0</v>
      </c>
      <c r="AO248" s="55">
        <f t="shared" si="76"/>
        <v>1</v>
      </c>
      <c r="AQ248" s="11">
        <f ca="1">IFERROR(OFFSET(ITEM_RES!$A$1,MATCH(AR248,ITEM_RES!$J:$J,0)-1,0),0)</f>
        <v>211020801</v>
      </c>
      <c r="AR248" s="10" t="s">
        <v>426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3"/>
        <v>0</v>
      </c>
    </row>
    <row r="249" spans="1:66" x14ac:dyDescent="0.3">
      <c r="A249" s="14">
        <f t="shared" si="50"/>
        <v>113040005</v>
      </c>
      <c r="B249" s="13">
        <v>11</v>
      </c>
      <c r="C249" s="12">
        <f t="shared" si="51"/>
        <v>3</v>
      </c>
      <c r="D249" s="13">
        <v>4</v>
      </c>
      <c r="E249" s="13">
        <v>0</v>
      </c>
      <c r="F249" s="12">
        <f t="shared" si="52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1111</v>
      </c>
      <c r="P249" s="55" t="s">
        <v>1375</v>
      </c>
      <c r="Q249" s="9" t="s">
        <v>679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506</v>
      </c>
      <c r="Z249" s="9">
        <v>5</v>
      </c>
      <c r="AB249" s="11">
        <f ca="1">IFERROR(OFFSET(MANOR_LEVEL!$B$1,MATCH(AC249-1,MANOR_LEVEL!$A:$A,0)-1,0),0)</f>
        <v>1170750</v>
      </c>
      <c r="AC249" s="55">
        <v>10</v>
      </c>
      <c r="AE249" s="55">
        <f t="shared" ca="1" si="73"/>
        <v>21640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21640</v>
      </c>
      <c r="AG249" s="176">
        <f t="shared" ca="1" si="77"/>
        <v>26465</v>
      </c>
      <c r="AI249" s="11">
        <f t="shared" si="75"/>
        <v>15</v>
      </c>
      <c r="AJ249" s="10">
        <v>15</v>
      </c>
      <c r="AK249" s="11">
        <f t="shared" si="55"/>
        <v>40</v>
      </c>
      <c r="AL249" s="10">
        <v>40</v>
      </c>
      <c r="AM249" s="11">
        <f t="shared" si="55"/>
        <v>0</v>
      </c>
      <c r="AN249" s="10">
        <v>0</v>
      </c>
      <c r="AO249" s="55">
        <f t="shared" si="76"/>
        <v>1</v>
      </c>
      <c r="AQ249" s="11">
        <f ca="1">IFERROR(OFFSET(ITEM_RES!$A$1,MATCH(AR249,ITEM_RES!$J:$J,0)-1,0),0)</f>
        <v>211020801</v>
      </c>
      <c r="AR249" s="10" t="s">
        <v>426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3"/>
        <v>0</v>
      </c>
    </row>
    <row r="250" spans="1:66" x14ac:dyDescent="0.3">
      <c r="A250" s="14">
        <f t="shared" si="50"/>
        <v>113040006</v>
      </c>
      <c r="B250" s="13">
        <v>11</v>
      </c>
      <c r="C250" s="12">
        <f t="shared" si="51"/>
        <v>3</v>
      </c>
      <c r="D250" s="13">
        <v>4</v>
      </c>
      <c r="E250" s="13">
        <v>0</v>
      </c>
      <c r="F250" s="12">
        <f t="shared" si="52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1112</v>
      </c>
      <c r="P250" s="55" t="s">
        <v>1375</v>
      </c>
      <c r="Q250" s="9" t="s">
        <v>679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506</v>
      </c>
      <c r="Z250" s="9">
        <v>6</v>
      </c>
      <c r="AB250" s="11">
        <f ca="1">IFERROR(OFFSET(MANOR_LEVEL!$B$1,MATCH(AC250-1,MANOR_LEVEL!$A:$A,0)-1,0),0)</f>
        <v>1170750</v>
      </c>
      <c r="AC250" s="55">
        <v>10</v>
      </c>
      <c r="AE250" s="55">
        <f t="shared" ca="1" si="73"/>
        <v>72050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72050</v>
      </c>
      <c r="AG250" s="176">
        <f t="shared" ca="1" si="77"/>
        <v>93690</v>
      </c>
      <c r="AI250" s="11">
        <f t="shared" si="75"/>
        <v>30</v>
      </c>
      <c r="AJ250" s="10">
        <v>30</v>
      </c>
      <c r="AK250" s="11">
        <f t="shared" si="55"/>
        <v>50</v>
      </c>
      <c r="AL250" s="10">
        <v>50</v>
      </c>
      <c r="AM250" s="11">
        <f t="shared" si="55"/>
        <v>0</v>
      </c>
      <c r="AN250" s="10">
        <v>0</v>
      </c>
      <c r="AO250" s="55">
        <f t="shared" si="76"/>
        <v>1</v>
      </c>
      <c r="AQ250" s="11">
        <f ca="1">IFERROR(OFFSET(ITEM_RES!$A$1,MATCH(AR250,ITEM_RES!$J:$J,0)-1,0),0)</f>
        <v>211020801</v>
      </c>
      <c r="AR250" s="10" t="s">
        <v>426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3"/>
        <v>0</v>
      </c>
    </row>
    <row r="251" spans="1:66" x14ac:dyDescent="0.3">
      <c r="A251" s="14">
        <f t="shared" si="50"/>
        <v>113040007</v>
      </c>
      <c r="B251" s="13">
        <v>11</v>
      </c>
      <c r="C251" s="12">
        <f t="shared" si="51"/>
        <v>3</v>
      </c>
      <c r="D251" s="13">
        <v>4</v>
      </c>
      <c r="E251" s="13">
        <v>0</v>
      </c>
      <c r="F251" s="12">
        <f t="shared" si="52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1113</v>
      </c>
      <c r="P251" s="55" t="s">
        <v>1376</v>
      </c>
      <c r="Q251" s="9" t="s">
        <v>679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506</v>
      </c>
      <c r="Z251" s="9">
        <v>7</v>
      </c>
      <c r="AB251" s="11">
        <f ca="1">IFERROR(OFFSET(MANOR_LEVEL!$B$1,MATCH(AC251-1,MANOR_LEVEL!$A:$A,0)-1,0),0)</f>
        <v>1956000</v>
      </c>
      <c r="AC251" s="55">
        <v>11</v>
      </c>
      <c r="AE251" s="55">
        <f t="shared" ca="1" si="73"/>
        <v>160100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160100</v>
      </c>
      <c r="AG251" s="176">
        <f t="shared" ca="1" si="77"/>
        <v>232150</v>
      </c>
      <c r="AI251" s="11">
        <f t="shared" si="75"/>
        <v>300</v>
      </c>
      <c r="AJ251" s="10">
        <v>300</v>
      </c>
      <c r="AK251" s="11">
        <f t="shared" si="55"/>
        <v>100</v>
      </c>
      <c r="AL251" s="10">
        <v>100</v>
      </c>
      <c r="AM251" s="11">
        <f t="shared" si="55"/>
        <v>0</v>
      </c>
      <c r="AN251" s="10">
        <v>0</v>
      </c>
      <c r="AO251" s="55">
        <f t="shared" si="76"/>
        <v>1</v>
      </c>
      <c r="AQ251" s="11">
        <f ca="1">IFERROR(OFFSET(ITEM_RES!$A$1,MATCH(AR251,ITEM_RES!$J:$J,0)-1,0),0)</f>
        <v>211020801</v>
      </c>
      <c r="AR251" s="10" t="s">
        <v>426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3"/>
        <v>0</v>
      </c>
    </row>
    <row r="252" spans="1:66" x14ac:dyDescent="0.3">
      <c r="A252" s="14">
        <f t="shared" si="50"/>
        <v>113040008</v>
      </c>
      <c r="B252" s="13">
        <v>11</v>
      </c>
      <c r="C252" s="12">
        <f t="shared" si="51"/>
        <v>3</v>
      </c>
      <c r="D252" s="13">
        <v>4</v>
      </c>
      <c r="E252" s="13">
        <v>0</v>
      </c>
      <c r="F252" s="12">
        <f t="shared" si="52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1113</v>
      </c>
      <c r="P252" s="55" t="s">
        <v>1376</v>
      </c>
      <c r="Q252" s="9" t="s">
        <v>679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506</v>
      </c>
      <c r="Z252" s="9">
        <v>8</v>
      </c>
      <c r="AB252" s="11">
        <f ca="1">IFERROR(OFFSET(MANOR_LEVEL!$B$1,MATCH(AC252-1,MANOR_LEVEL!$A:$A,0)-1,0),0)</f>
        <v>3961500</v>
      </c>
      <c r="AC252" s="55">
        <v>12</v>
      </c>
      <c r="AE252" s="55">
        <f t="shared" ca="1" si="73"/>
        <v>336100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336100</v>
      </c>
      <c r="AG252" s="176">
        <f t="shared" ca="1" si="77"/>
        <v>496200</v>
      </c>
      <c r="AI252" s="11">
        <f t="shared" si="75"/>
        <v>600</v>
      </c>
      <c r="AJ252" s="10">
        <v>600</v>
      </c>
      <c r="AK252" s="11">
        <f t="shared" si="55"/>
        <v>100</v>
      </c>
      <c r="AL252" s="10">
        <v>100</v>
      </c>
      <c r="AM252" s="11">
        <v>0</v>
      </c>
      <c r="AN252" s="10">
        <v>0</v>
      </c>
      <c r="AO252" s="55">
        <f t="shared" si="76"/>
        <v>1</v>
      </c>
      <c r="AQ252" s="11">
        <f ca="1">IFERROR(OFFSET(ITEM_RES!$A$1,MATCH(AR252,ITEM_RES!$J:$J,0)-1,0),0)</f>
        <v>211020801</v>
      </c>
      <c r="AR252" s="10" t="s">
        <v>426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3"/>
        <v>0</v>
      </c>
    </row>
    <row r="253" spans="1:66" x14ac:dyDescent="0.3">
      <c r="A253" s="14">
        <f t="shared" si="50"/>
        <v>113040009</v>
      </c>
      <c r="B253" s="13">
        <v>11</v>
      </c>
      <c r="C253" s="12">
        <f t="shared" si="51"/>
        <v>3</v>
      </c>
      <c r="D253" s="13">
        <v>4</v>
      </c>
      <c r="E253" s="13">
        <v>0</v>
      </c>
      <c r="F253" s="12">
        <f t="shared" si="52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1428</v>
      </c>
      <c r="P253" s="55" t="s">
        <v>1430</v>
      </c>
      <c r="Q253" s="9" t="s">
        <v>679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506</v>
      </c>
      <c r="Z253" s="9">
        <v>9</v>
      </c>
      <c r="AB253" s="11">
        <f ca="1">IFERROR(OFFSET(MANOR_LEVEL!$B$1,MATCH(AC253-1,MANOR_LEVEL!$A:$A,0)-1,0),0)</f>
        <v>7772100</v>
      </c>
      <c r="AC253" s="55">
        <v>13</v>
      </c>
      <c r="AE253" s="55">
        <f t="shared" ca="1" si="73"/>
        <v>624150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624150</v>
      </c>
      <c r="AG253" s="176">
        <f t="shared" ca="1" si="77"/>
        <v>960250</v>
      </c>
      <c r="AI253" s="11">
        <f t="shared" si="75"/>
        <v>900</v>
      </c>
      <c r="AJ253" s="10">
        <v>900</v>
      </c>
      <c r="AK253" s="11">
        <f t="shared" si="55"/>
        <v>150</v>
      </c>
      <c r="AL253" s="10">
        <v>150</v>
      </c>
      <c r="AM253" s="11">
        <v>0</v>
      </c>
      <c r="AN253" s="10">
        <v>0</v>
      </c>
      <c r="AO253" s="55">
        <f t="shared" si="76"/>
        <v>1</v>
      </c>
      <c r="AQ253" s="11">
        <f ca="1">IFERROR(OFFSET(ITEM_RES!$A$1,MATCH(AR253,ITEM_RES!$J:$J,0)-1,0),0)</f>
        <v>211020801</v>
      </c>
      <c r="AR253" s="10" t="s">
        <v>426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3"/>
        <v>0</v>
      </c>
    </row>
    <row r="254" spans="1:66" x14ac:dyDescent="0.3">
      <c r="A254" s="14">
        <f t="shared" si="50"/>
        <v>113040010</v>
      </c>
      <c r="B254" s="13">
        <v>11</v>
      </c>
      <c r="C254" s="12">
        <f t="shared" si="51"/>
        <v>3</v>
      </c>
      <c r="D254" s="13">
        <v>4</v>
      </c>
      <c r="E254" s="13">
        <v>0</v>
      </c>
      <c r="F254" s="12">
        <f t="shared" si="52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1428</v>
      </c>
      <c r="P254" s="55" t="s">
        <v>1430</v>
      </c>
      <c r="Q254" s="9" t="s">
        <v>679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506</v>
      </c>
      <c r="Z254" s="9">
        <v>10</v>
      </c>
      <c r="AB254" s="11">
        <f ca="1">IFERROR(OFFSET(MANOR_LEVEL!$B$1,MATCH(AC254-1,MANOR_LEVEL!$A:$A,0)-1,0),0)</f>
        <v>7772100</v>
      </c>
      <c r="AC254" s="55">
        <v>13</v>
      </c>
      <c r="AE254" s="55">
        <f t="shared" ca="1" si="73"/>
        <v>1041200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1041200</v>
      </c>
      <c r="AG254" s="176">
        <f t="shared" ca="1" si="77"/>
        <v>1665350</v>
      </c>
      <c r="AI254" s="11">
        <f t="shared" si="75"/>
        <v>1200</v>
      </c>
      <c r="AJ254" s="10">
        <v>1200</v>
      </c>
      <c r="AK254" s="11">
        <f t="shared" si="55"/>
        <v>200</v>
      </c>
      <c r="AL254" s="10">
        <v>200</v>
      </c>
      <c r="AM254" s="11">
        <v>0</v>
      </c>
      <c r="AN254" s="10">
        <v>0</v>
      </c>
      <c r="AO254" s="55">
        <f t="shared" si="76"/>
        <v>2</v>
      </c>
      <c r="AQ254" s="11">
        <f ca="1">IFERROR(OFFSET(ITEM_RES!$A$1,MATCH(AR254,ITEM_RES!$J:$J,0)-1,0),0)</f>
        <v>211020801</v>
      </c>
      <c r="AR254" s="10" t="s">
        <v>426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453</v>
      </c>
      <c r="BH254" s="11">
        <v>1</v>
      </c>
      <c r="BK254" s="11">
        <f ca="1">IFERROR(OFFSET(ITEM_RES!$A$1,MATCH(BL254,ITEM_RES!$J:$J,0)-1,0),0)</f>
        <v>0</v>
      </c>
      <c r="BM254" s="11">
        <f t="shared" si="53"/>
        <v>0</v>
      </c>
    </row>
    <row r="255" spans="1:66" x14ac:dyDescent="0.3">
      <c r="A255" s="14">
        <f t="shared" si="50"/>
        <v>113040011</v>
      </c>
      <c r="B255" s="13">
        <v>11</v>
      </c>
      <c r="C255" s="12">
        <f t="shared" si="51"/>
        <v>3</v>
      </c>
      <c r="D255" s="13">
        <v>4</v>
      </c>
      <c r="E255" s="13">
        <v>0</v>
      </c>
      <c r="F255" s="12">
        <f t="shared" si="52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1427</v>
      </c>
      <c r="P255" s="55" t="s">
        <v>1429</v>
      </c>
      <c r="Q255" s="9" t="s">
        <v>679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506</v>
      </c>
      <c r="Z255" s="9">
        <v>11</v>
      </c>
      <c r="AB255" s="11">
        <f ca="1">IFERROR(OFFSET(MANOR_LEVEL!$B$1,MATCH(AC255-1,MANOR_LEVEL!$A:$A,0)-1,0),0)</f>
        <v>13022450</v>
      </c>
      <c r="AC255" s="55">
        <v>14</v>
      </c>
      <c r="AE255" s="55">
        <f t="shared" ca="1" si="73"/>
        <v>1760750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1760750</v>
      </c>
      <c r="AG255" s="176">
        <f t="shared" ca="1" si="77"/>
        <v>2801950</v>
      </c>
      <c r="AI255" s="11">
        <f t="shared" si="75"/>
        <v>1500</v>
      </c>
      <c r="AJ255" s="10">
        <v>1500</v>
      </c>
      <c r="AK255" s="11">
        <f t="shared" si="55"/>
        <v>250</v>
      </c>
      <c r="AL255" s="10">
        <v>250</v>
      </c>
      <c r="AM255" s="11">
        <v>500</v>
      </c>
      <c r="AN255" s="10">
        <v>0</v>
      </c>
      <c r="AO255" s="55">
        <f t="shared" si="76"/>
        <v>1</v>
      </c>
      <c r="AQ255" s="11">
        <f ca="1">IFERROR(OFFSET(ITEM_RES!$A$1,MATCH(AR255,ITEM_RES!$J:$J,0)-1,0),0)</f>
        <v>211020801</v>
      </c>
      <c r="AR255" s="10" t="s">
        <v>426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3"/>
        <v>0</v>
      </c>
    </row>
    <row r="256" spans="1:66" x14ac:dyDescent="0.3">
      <c r="A256" s="14">
        <f t="shared" si="50"/>
        <v>113040012</v>
      </c>
      <c r="B256" s="13">
        <v>11</v>
      </c>
      <c r="C256" s="12">
        <f t="shared" si="51"/>
        <v>3</v>
      </c>
      <c r="D256" s="13">
        <v>4</v>
      </c>
      <c r="E256" s="13">
        <v>0</v>
      </c>
      <c r="F256" s="12">
        <f t="shared" si="52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1427</v>
      </c>
      <c r="P256" s="55" t="s">
        <v>1429</v>
      </c>
      <c r="Q256" s="9" t="s">
        <v>679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506</v>
      </c>
      <c r="Z256" s="9">
        <v>12</v>
      </c>
      <c r="AB256" s="11">
        <f ca="1">IFERROR(OFFSET(MANOR_LEVEL!$B$1,MATCH(AC256-1,MANOR_LEVEL!$A:$A,0)-1,0),0)</f>
        <v>23283600</v>
      </c>
      <c r="AC256" s="55">
        <v>15</v>
      </c>
      <c r="AE256" s="55">
        <f t="shared" ca="1" si="73"/>
        <v>2966300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2966300</v>
      </c>
      <c r="AG256" s="176">
        <f t="shared" ca="1" si="77"/>
        <v>4727050</v>
      </c>
      <c r="AI256" s="11">
        <f t="shared" si="75"/>
        <v>1800</v>
      </c>
      <c r="AJ256" s="10">
        <v>1800</v>
      </c>
      <c r="AK256" s="11">
        <f t="shared" si="55"/>
        <v>300</v>
      </c>
      <c r="AL256" s="10">
        <v>300</v>
      </c>
      <c r="AM256" s="11">
        <v>6000</v>
      </c>
      <c r="AN256" s="10">
        <v>0</v>
      </c>
      <c r="AO256" s="55">
        <f t="shared" si="76"/>
        <v>1</v>
      </c>
      <c r="AQ256" s="11">
        <f ca="1">IFERROR(OFFSET(ITEM_RES!$A$1,MATCH(AR256,ITEM_RES!$J:$J,0)-1,0),0)</f>
        <v>211020801</v>
      </c>
      <c r="AR256" s="10" t="s">
        <v>426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3"/>
        <v>0</v>
      </c>
    </row>
    <row r="257" spans="1:66" x14ac:dyDescent="0.3">
      <c r="A257" s="14">
        <f t="shared" ref="A257:A320" si="78">B257*10000000+C257*1000000+D257*10000+E257*100+F257</f>
        <v>113040013</v>
      </c>
      <c r="B257" s="13">
        <v>11</v>
      </c>
      <c r="C257" s="12">
        <f t="shared" ref="C257:C320" si="79">H257</f>
        <v>3</v>
      </c>
      <c r="D257" s="13">
        <v>4</v>
      </c>
      <c r="E257" s="13">
        <v>0</v>
      </c>
      <c r="F257" s="12">
        <f t="shared" ref="F257:F320" si="80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1427</v>
      </c>
      <c r="P257" s="55" t="s">
        <v>1429</v>
      </c>
      <c r="Q257" s="9" t="s">
        <v>679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506</v>
      </c>
      <c r="Z257" s="9">
        <v>13</v>
      </c>
      <c r="AB257" s="11">
        <f ca="1">IFERROR(OFFSET(MANOR_LEVEL!$B$1,MATCH(AC257-1,MANOR_LEVEL!$A:$A,0)-1,0),0)</f>
        <v>50404400</v>
      </c>
      <c r="AC257" s="55">
        <v>16</v>
      </c>
      <c r="AE257" s="55">
        <f t="shared" ca="1" si="73"/>
        <v>6239350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6239350</v>
      </c>
      <c r="AG257" s="176">
        <f t="shared" ca="1" si="77"/>
        <v>9205650</v>
      </c>
      <c r="AI257" s="11">
        <f t="shared" si="75"/>
        <v>2100</v>
      </c>
      <c r="AJ257" s="10">
        <v>2100</v>
      </c>
      <c r="AK257" s="11">
        <f t="shared" si="55"/>
        <v>350</v>
      </c>
      <c r="AL257" s="10">
        <v>350</v>
      </c>
      <c r="AM257" s="11">
        <v>39000</v>
      </c>
      <c r="AN257" s="10">
        <v>0</v>
      </c>
      <c r="AO257" s="55">
        <f t="shared" si="76"/>
        <v>1</v>
      </c>
      <c r="AQ257" s="11">
        <f ca="1">IFERROR(OFFSET(ITEM_RES!$A$1,MATCH(AR257,ITEM_RES!$J:$J,0)-1,0),0)</f>
        <v>211020901</v>
      </c>
      <c r="AR257" s="10" t="s">
        <v>435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1">IF(BN257&lt;100,ROUND(BN257,1-LEN(ROUND(BN257,0))),ROUND(BN257,2-LEN(ROUND(BN257,0))))</f>
        <v>0</v>
      </c>
    </row>
    <row r="258" spans="1:66" x14ac:dyDescent="0.3">
      <c r="A258" s="14">
        <f t="shared" si="78"/>
        <v>113040014</v>
      </c>
      <c r="B258" s="13">
        <v>11</v>
      </c>
      <c r="C258" s="12">
        <f t="shared" si="79"/>
        <v>3</v>
      </c>
      <c r="D258" s="13">
        <v>4</v>
      </c>
      <c r="E258" s="13">
        <v>0</v>
      </c>
      <c r="F258" s="12">
        <f t="shared" si="80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1427</v>
      </c>
      <c r="P258" s="55" t="s">
        <v>1429</v>
      </c>
      <c r="Q258" s="9" t="s">
        <v>679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506</v>
      </c>
      <c r="Z258" s="9">
        <v>14</v>
      </c>
      <c r="AB258" s="11">
        <f ca="1">IFERROR(OFFSET(MANOR_LEVEL!$B$1,MATCH(AC258-1,MANOR_LEVEL!$A:$A,0)-1,0),0)</f>
        <v>119976300</v>
      </c>
      <c r="AC258" s="55">
        <v>17</v>
      </c>
      <c r="AE258" s="55">
        <f t="shared" ca="1" si="73"/>
        <v>10010450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10010450</v>
      </c>
      <c r="AG258" s="176">
        <f t="shared" ca="1" si="77"/>
        <v>16249800</v>
      </c>
      <c r="AI258" s="11">
        <f t="shared" si="75"/>
        <v>2400</v>
      </c>
      <c r="AJ258" s="10">
        <v>2400</v>
      </c>
      <c r="AK258" s="11">
        <f t="shared" ref="AK258:AM321" si="82">ROUND(AL258,0)</f>
        <v>450</v>
      </c>
      <c r="AL258" s="10">
        <v>450</v>
      </c>
      <c r="AM258" s="11">
        <v>310000</v>
      </c>
      <c r="AN258" s="10">
        <v>0</v>
      </c>
      <c r="AO258" s="55">
        <f t="shared" si="76"/>
        <v>1</v>
      </c>
      <c r="AQ258" s="11">
        <f ca="1">IFERROR(OFFSET(ITEM_RES!$A$1,MATCH(AR258,ITEM_RES!$J:$J,0)-1,0),0)</f>
        <v>211020901</v>
      </c>
      <c r="AR258" s="10" t="s">
        <v>435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1"/>
        <v>0</v>
      </c>
    </row>
    <row r="259" spans="1:66" x14ac:dyDescent="0.3">
      <c r="A259" s="14">
        <f t="shared" si="78"/>
        <v>113040015</v>
      </c>
      <c r="B259" s="13">
        <v>11</v>
      </c>
      <c r="C259" s="12">
        <f t="shared" si="79"/>
        <v>3</v>
      </c>
      <c r="D259" s="13">
        <v>4</v>
      </c>
      <c r="E259" s="13">
        <v>0</v>
      </c>
      <c r="F259" s="12">
        <f t="shared" si="80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1427</v>
      </c>
      <c r="P259" s="55" t="s">
        <v>1429</v>
      </c>
      <c r="Q259" s="9" t="s">
        <v>679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506</v>
      </c>
      <c r="Z259" s="9">
        <v>15</v>
      </c>
      <c r="AB259" s="11">
        <f ca="1">IFERROR(OFFSET(MANOR_LEVEL!$B$1,MATCH(AC259-1,MANOR_LEVEL!$A:$A,0)-1,0),0)</f>
        <v>223207650</v>
      </c>
      <c r="AC259" s="55">
        <v>18</v>
      </c>
      <c r="AE259" s="55">
        <f t="shared" ca="1" si="73"/>
        <v>21485550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21485550</v>
      </c>
      <c r="AG259" s="176">
        <f t="shared" ca="1" si="77"/>
        <v>31496000</v>
      </c>
      <c r="AI259" s="11">
        <f t="shared" si="75"/>
        <v>2700</v>
      </c>
      <c r="AJ259" s="10">
        <v>2700</v>
      </c>
      <c r="AK259" s="11">
        <f t="shared" si="82"/>
        <v>550</v>
      </c>
      <c r="AL259" s="10">
        <v>550</v>
      </c>
      <c r="AM259" s="11">
        <v>485000</v>
      </c>
      <c r="AN259" s="10">
        <v>0</v>
      </c>
      <c r="AO259" s="55">
        <f t="shared" si="76"/>
        <v>1</v>
      </c>
      <c r="AQ259" s="11">
        <f ca="1">IFERROR(OFFSET(ITEM_RES!$A$1,MATCH(AR259,ITEM_RES!$J:$J,0)-1,0),0)</f>
        <v>211020901</v>
      </c>
      <c r="AR259" s="10" t="s">
        <v>435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1"/>
        <v>0</v>
      </c>
    </row>
    <row r="260" spans="1:66" x14ac:dyDescent="0.3">
      <c r="A260" s="14">
        <f t="shared" si="78"/>
        <v>113040016</v>
      </c>
      <c r="B260" s="13">
        <v>11</v>
      </c>
      <c r="C260" s="12">
        <f t="shared" si="79"/>
        <v>3</v>
      </c>
      <c r="D260" s="13">
        <v>4</v>
      </c>
      <c r="E260" s="13">
        <v>0</v>
      </c>
      <c r="F260" s="12">
        <f t="shared" si="80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1427</v>
      </c>
      <c r="P260" s="55" t="s">
        <v>1429</v>
      </c>
      <c r="Q260" s="9" t="s">
        <v>679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506</v>
      </c>
      <c r="Z260" s="9">
        <v>16</v>
      </c>
      <c r="AB260" s="11">
        <f ca="1">IFERROR(OFFSET(MANOR_LEVEL!$B$1,MATCH(AC260-1,MANOR_LEVEL!$A:$A,0)-1,0),0)</f>
        <v>223207650</v>
      </c>
      <c r="AC260" s="55">
        <v>18</v>
      </c>
      <c r="AE260" s="55">
        <f t="shared" ca="1" si="73"/>
        <v>44050700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44050700</v>
      </c>
      <c r="AG260" s="176">
        <f t="shared" ca="1" si="77"/>
        <v>65536250</v>
      </c>
      <c r="AI260" s="11">
        <f t="shared" si="75"/>
        <v>3000</v>
      </c>
      <c r="AJ260" s="10">
        <v>3000</v>
      </c>
      <c r="AK260" s="11">
        <f t="shared" si="82"/>
        <v>700</v>
      </c>
      <c r="AL260" s="10">
        <v>700</v>
      </c>
      <c r="AM260" s="11">
        <v>1050000</v>
      </c>
      <c r="AN260" s="10">
        <v>0</v>
      </c>
      <c r="AO260" s="55">
        <f t="shared" si="76"/>
        <v>1</v>
      </c>
      <c r="AQ260" s="11">
        <f ca="1">IFERROR(OFFSET(ITEM_RES!$A$1,MATCH(AR260,ITEM_RES!$J:$J,0)-1,0),0)</f>
        <v>211020901</v>
      </c>
      <c r="AR260" s="10" t="s">
        <v>435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1"/>
        <v>0</v>
      </c>
    </row>
    <row r="261" spans="1:66" x14ac:dyDescent="0.3">
      <c r="A261" s="14">
        <f t="shared" si="78"/>
        <v>113040017</v>
      </c>
      <c r="B261" s="13">
        <v>11</v>
      </c>
      <c r="C261" s="12">
        <f t="shared" si="79"/>
        <v>3</v>
      </c>
      <c r="D261" s="13">
        <v>4</v>
      </c>
      <c r="E261" s="13">
        <v>0</v>
      </c>
      <c r="F261" s="12">
        <f t="shared" si="80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1427</v>
      </c>
      <c r="P261" s="55" t="s">
        <v>1429</v>
      </c>
      <c r="Q261" s="9" t="s">
        <v>679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506</v>
      </c>
      <c r="Z261" s="9">
        <v>17</v>
      </c>
      <c r="AB261" s="11">
        <f ca="1">IFERROR(OFFSET(MANOR_LEVEL!$B$1,MATCH(AC261-1,MANOR_LEVEL!$A:$A,0)-1,0),0)</f>
        <v>223207650</v>
      </c>
      <c r="AC261" s="55">
        <v>18</v>
      </c>
      <c r="AE261" s="55">
        <f t="shared" ca="1" si="73"/>
        <v>82150850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82150850</v>
      </c>
      <c r="AG261" s="176">
        <f t="shared" ca="1" si="77"/>
        <v>126201550</v>
      </c>
      <c r="AI261" s="11">
        <f t="shared" si="75"/>
        <v>3300</v>
      </c>
      <c r="AJ261" s="10">
        <v>3300</v>
      </c>
      <c r="AK261" s="11">
        <f t="shared" si="82"/>
        <v>850</v>
      </c>
      <c r="AL261" s="10">
        <v>850</v>
      </c>
      <c r="AM261" s="11">
        <v>2150000</v>
      </c>
      <c r="AN261" s="10">
        <v>0</v>
      </c>
      <c r="AO261" s="55">
        <f t="shared" si="76"/>
        <v>1</v>
      </c>
      <c r="AQ261" s="11">
        <f ca="1">IFERROR(OFFSET(ITEM_RES!$A$1,MATCH(AR261,ITEM_RES!$J:$J,0)-1,0),0)</f>
        <v>211020901</v>
      </c>
      <c r="AR261" s="10" t="s">
        <v>435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1"/>
        <v>0</v>
      </c>
    </row>
    <row r="262" spans="1:66" x14ac:dyDescent="0.3">
      <c r="A262" s="14">
        <f t="shared" si="78"/>
        <v>113040018</v>
      </c>
      <c r="B262" s="13">
        <v>11</v>
      </c>
      <c r="C262" s="12">
        <f t="shared" si="79"/>
        <v>3</v>
      </c>
      <c r="D262" s="13">
        <v>4</v>
      </c>
      <c r="E262" s="13">
        <v>0</v>
      </c>
      <c r="F262" s="12">
        <f t="shared" si="80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1427</v>
      </c>
      <c r="P262" s="55" t="s">
        <v>1429</v>
      </c>
      <c r="Q262" s="9" t="s">
        <v>679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506</v>
      </c>
      <c r="Z262" s="9">
        <v>18</v>
      </c>
      <c r="AB262" s="11">
        <f ca="1">IFERROR(OFFSET(MANOR_LEVEL!$B$1,MATCH(AC262-1,MANOR_LEVEL!$A:$A,0)-1,0),0)</f>
        <v>223207650</v>
      </c>
      <c r="AC262" s="55">
        <v>18</v>
      </c>
      <c r="AE262" s="55">
        <f t="shared" ca="1" si="73"/>
        <v>134001050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134001050</v>
      </c>
      <c r="AG262" s="176">
        <f t="shared" ca="1" si="77"/>
        <v>216151900</v>
      </c>
      <c r="AI262" s="11">
        <f t="shared" si="75"/>
        <v>3600</v>
      </c>
      <c r="AJ262" s="10">
        <v>3600</v>
      </c>
      <c r="AK262" s="11">
        <f t="shared" si="82"/>
        <v>1050</v>
      </c>
      <c r="AL262" s="10">
        <v>1050</v>
      </c>
      <c r="AM262" s="11">
        <v>4000000</v>
      </c>
      <c r="AN262" s="10">
        <v>0</v>
      </c>
      <c r="AO262" s="55">
        <f t="shared" si="76"/>
        <v>1</v>
      </c>
      <c r="AQ262" s="11">
        <f ca="1">IFERROR(OFFSET(ITEM_RES!$A$1,MATCH(AR262,ITEM_RES!$J:$J,0)-1,0),0)</f>
        <v>211020901</v>
      </c>
      <c r="AR262" s="10" t="s">
        <v>435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1"/>
        <v>0</v>
      </c>
    </row>
    <row r="263" spans="1:66" x14ac:dyDescent="0.3">
      <c r="A263" s="14">
        <f t="shared" si="78"/>
        <v>113040019</v>
      </c>
      <c r="B263" s="13">
        <v>11</v>
      </c>
      <c r="C263" s="12">
        <f t="shared" si="79"/>
        <v>3</v>
      </c>
      <c r="D263" s="13">
        <v>4</v>
      </c>
      <c r="E263" s="13">
        <v>0</v>
      </c>
      <c r="F263" s="12">
        <f t="shared" si="80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1427</v>
      </c>
      <c r="P263" s="55" t="s">
        <v>1429</v>
      </c>
      <c r="Q263" s="9" t="s">
        <v>679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506</v>
      </c>
      <c r="Z263" s="9">
        <v>19</v>
      </c>
      <c r="AB263" s="11">
        <f ca="1">IFERROR(OFFSET(MANOR_LEVEL!$B$1,MATCH(AC263-1,MANOR_LEVEL!$A:$A,0)-1,0),0)</f>
        <v>223207650</v>
      </c>
      <c r="AC263" s="55">
        <v>18</v>
      </c>
      <c r="AE263" s="55">
        <f t="shared" ca="1" si="73"/>
        <v>206501250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206501250</v>
      </c>
      <c r="AG263" s="176">
        <f t="shared" ca="1" si="77"/>
        <v>340502300</v>
      </c>
      <c r="AI263" s="11">
        <f t="shared" si="75"/>
        <v>3900</v>
      </c>
      <c r="AJ263" s="10">
        <v>3900</v>
      </c>
      <c r="AK263" s="11">
        <f t="shared" si="82"/>
        <v>1250</v>
      </c>
      <c r="AL263" s="10">
        <v>1250</v>
      </c>
      <c r="AM263" s="11">
        <v>6500000</v>
      </c>
      <c r="AN263" s="10">
        <v>0</v>
      </c>
      <c r="AO263" s="55">
        <f t="shared" si="76"/>
        <v>1</v>
      </c>
      <c r="AQ263" s="11">
        <f ca="1">IFERROR(OFFSET(ITEM_RES!$A$1,MATCH(AR263,ITEM_RES!$J:$J,0)-1,0),0)</f>
        <v>211020901</v>
      </c>
      <c r="AR263" s="10" t="s">
        <v>435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1"/>
        <v>0</v>
      </c>
    </row>
    <row r="264" spans="1:66" ht="17.25" thickBot="1" x14ac:dyDescent="0.35">
      <c r="A264" s="14">
        <f t="shared" si="78"/>
        <v>113040020</v>
      </c>
      <c r="B264" s="13">
        <v>11</v>
      </c>
      <c r="C264" s="12">
        <f t="shared" si="79"/>
        <v>3</v>
      </c>
      <c r="D264" s="13">
        <v>4</v>
      </c>
      <c r="E264" s="13">
        <v>0</v>
      </c>
      <c r="F264" s="12">
        <f t="shared" si="80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1427</v>
      </c>
      <c r="P264" s="55" t="s">
        <v>1429</v>
      </c>
      <c r="Q264" s="9" t="s">
        <v>679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506</v>
      </c>
      <c r="Z264" s="9">
        <v>20</v>
      </c>
      <c r="AB264" s="11">
        <f ca="1">IFERROR(OFFSET(MANOR_LEVEL!$B$1,MATCH(AC264-1,MANOR_LEVEL!$A:$A,0)-1,0),0)</f>
        <v>223207650</v>
      </c>
      <c r="AC264" s="55">
        <v>18</v>
      </c>
      <c r="AE264" s="55">
        <f t="shared" ca="1" si="73"/>
        <v>330001500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330001500</v>
      </c>
      <c r="AG264" s="176">
        <f t="shared" ca="1" si="77"/>
        <v>536502750</v>
      </c>
      <c r="AI264" s="11">
        <f t="shared" si="75"/>
        <v>4200</v>
      </c>
      <c r="AJ264" s="10">
        <v>4200</v>
      </c>
      <c r="AK264" s="11">
        <f t="shared" si="82"/>
        <v>1500</v>
      </c>
      <c r="AL264" s="10">
        <v>1500</v>
      </c>
      <c r="AM264" s="11">
        <v>10000000</v>
      </c>
      <c r="AN264" s="10">
        <v>0</v>
      </c>
      <c r="AO264" s="55">
        <f t="shared" si="76"/>
        <v>1</v>
      </c>
      <c r="AQ264" s="11">
        <f ca="1">IFERROR(OFFSET(ITEM_RES!$A$1,MATCH(AR264,ITEM_RES!$J:$J,0)-1,0),0)</f>
        <v>211020901</v>
      </c>
      <c r="AR264" s="10" t="s">
        <v>435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1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79"/>
        <v>3</v>
      </c>
      <c r="D265" s="20">
        <v>5</v>
      </c>
      <c r="E265" s="20">
        <v>0</v>
      </c>
      <c r="F265" s="19">
        <f t="shared" si="80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12</v>
      </c>
      <c r="M265" s="16">
        <v>1</v>
      </c>
      <c r="N265" s="16">
        <v>15</v>
      </c>
      <c r="O265" s="137"/>
      <c r="P265" s="56"/>
      <c r="Q265" s="16" t="s">
        <v>680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507</v>
      </c>
      <c r="Z265" s="16">
        <v>1</v>
      </c>
      <c r="AA265" s="76"/>
      <c r="AB265" s="18">
        <f ca="1">IFERROR(OFFSET(MANOR_LEVEL!$B$1,MATCH(AC265-1,MANOR_LEVEL!$A:$A,0)-1,0),0)</f>
        <v>23283600</v>
      </c>
      <c r="AC265" s="56">
        <v>15</v>
      </c>
      <c r="AD265" s="76"/>
      <c r="AE265" s="56">
        <f t="shared" ca="1" si="73"/>
        <v>1580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1580</v>
      </c>
      <c r="AG265" s="178">
        <f ca="1">AE265</f>
        <v>1580</v>
      </c>
      <c r="AH265" s="76"/>
      <c r="AI265" s="18">
        <f t="shared" si="75"/>
        <v>3</v>
      </c>
      <c r="AJ265" s="17">
        <v>3</v>
      </c>
      <c r="AK265" s="18">
        <f t="shared" si="82"/>
        <v>5</v>
      </c>
      <c r="AL265" s="17">
        <v>5</v>
      </c>
      <c r="AM265" s="18">
        <v>25</v>
      </c>
      <c r="AN265" s="17">
        <v>0</v>
      </c>
      <c r="AO265" s="56">
        <f t="shared" si="76"/>
        <v>3</v>
      </c>
      <c r="AP265" s="18"/>
      <c r="AQ265" s="18">
        <f ca="1">IFERROR(OFFSET(ITEM_RES!$A$1,MATCH(AR265,ITEM_RES!$J:$J,0)-1,0),0)</f>
        <v>211020801</v>
      </c>
      <c r="AR265" s="17" t="s">
        <v>426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416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441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1"/>
        <v>0</v>
      </c>
      <c r="BN265" s="17"/>
    </row>
    <row r="266" spans="1:66" x14ac:dyDescent="0.3">
      <c r="A266" s="14">
        <f t="shared" si="78"/>
        <v>113050002</v>
      </c>
      <c r="B266" s="13">
        <v>11</v>
      </c>
      <c r="C266" s="12">
        <f t="shared" si="79"/>
        <v>3</v>
      </c>
      <c r="D266" s="13">
        <v>5</v>
      </c>
      <c r="E266" s="13">
        <v>0</v>
      </c>
      <c r="F266" s="12">
        <f t="shared" si="80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680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507</v>
      </c>
      <c r="Z266" s="9">
        <v>2</v>
      </c>
      <c r="AB266" s="11">
        <f ca="1">IFERROR(OFFSET(MANOR_LEVEL!$B$1,MATCH(AC266-1,MANOR_LEVEL!$A:$A,0)-1,0),0)</f>
        <v>50404400</v>
      </c>
      <c r="AC266" s="55">
        <v>16</v>
      </c>
      <c r="AE266" s="55">
        <f t="shared" ca="1" si="73"/>
        <v>1160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1160</v>
      </c>
      <c r="AG266" s="176">
        <f ca="1">AE265+AE266</f>
        <v>2740</v>
      </c>
      <c r="AI266" s="11">
        <f t="shared" si="75"/>
        <v>5</v>
      </c>
      <c r="AJ266" s="10">
        <v>5</v>
      </c>
      <c r="AK266" s="11">
        <f t="shared" si="82"/>
        <v>10</v>
      </c>
      <c r="AL266" s="10">
        <v>10</v>
      </c>
      <c r="AM266" s="11">
        <v>50</v>
      </c>
      <c r="AN266" s="10">
        <v>0</v>
      </c>
      <c r="AO266" s="55">
        <f t="shared" si="76"/>
        <v>2</v>
      </c>
      <c r="AQ266" s="11">
        <f ca="1">IFERROR(OFFSET(ITEM_RES!$A$1,MATCH(AR266,ITEM_RES!$J:$J,0)-1,0),0)</f>
        <v>211020801</v>
      </c>
      <c r="AR266" s="10" t="s">
        <v>426</v>
      </c>
      <c r="AS266" s="11">
        <v>100</v>
      </c>
      <c r="AV266" s="11">
        <f ca="1">IFERROR(OFFSET(ITEM_RES!$A$1,MATCH(AW266,ITEM_RES!$J:$J,0)-1,0),0)</f>
        <v>211020401</v>
      </c>
      <c r="AW266" s="10" t="s">
        <v>416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1"/>
        <v>0</v>
      </c>
    </row>
    <row r="267" spans="1:66" x14ac:dyDescent="0.3">
      <c r="A267" s="14">
        <f t="shared" si="78"/>
        <v>113050003</v>
      </c>
      <c r="B267" s="13">
        <v>11</v>
      </c>
      <c r="C267" s="12">
        <f t="shared" si="79"/>
        <v>3</v>
      </c>
      <c r="D267" s="13">
        <v>5</v>
      </c>
      <c r="E267" s="13">
        <v>0</v>
      </c>
      <c r="F267" s="12">
        <f t="shared" si="80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680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507</v>
      </c>
      <c r="Z267" s="9">
        <v>3</v>
      </c>
      <c r="AB267" s="11">
        <f ca="1">IFERROR(OFFSET(MANOR_LEVEL!$B$1,MATCH(AC267-1,MANOR_LEVEL!$A:$A,0)-1,0),0)</f>
        <v>50404400</v>
      </c>
      <c r="AC267" s="55">
        <v>16</v>
      </c>
      <c r="AE267" s="55">
        <f t="shared" ca="1" si="73"/>
        <v>1740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1740</v>
      </c>
      <c r="AG267" s="176">
        <f t="shared" ref="AG267:AG284" ca="1" si="83">AE266+AE267</f>
        <v>2900</v>
      </c>
      <c r="AI267" s="11">
        <f t="shared" si="75"/>
        <v>5</v>
      </c>
      <c r="AJ267" s="10">
        <v>5</v>
      </c>
      <c r="AK267" s="11">
        <f t="shared" si="82"/>
        <v>15</v>
      </c>
      <c r="AL267" s="10">
        <v>15</v>
      </c>
      <c r="AM267" s="11">
        <v>75</v>
      </c>
      <c r="AN267" s="10">
        <v>0</v>
      </c>
      <c r="AO267" s="55">
        <f t="shared" si="76"/>
        <v>2</v>
      </c>
      <c r="AQ267" s="11">
        <f ca="1">IFERROR(OFFSET(ITEM_RES!$A$1,MATCH(AR267,ITEM_RES!$J:$J,0)-1,0),0)</f>
        <v>211020801</v>
      </c>
      <c r="AR267" s="10" t="s">
        <v>426</v>
      </c>
      <c r="AS267" s="11">
        <v>150</v>
      </c>
      <c r="AV267" s="11">
        <f ca="1">IFERROR(OFFSET(ITEM_RES!$A$1,MATCH(AW267,ITEM_RES!$J:$J,0)-1,0),0)</f>
        <v>211020401</v>
      </c>
      <c r="AW267" s="10" t="s">
        <v>416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1"/>
        <v>0</v>
      </c>
    </row>
    <row r="268" spans="1:66" x14ac:dyDescent="0.3">
      <c r="A268" s="14">
        <f t="shared" si="78"/>
        <v>113050004</v>
      </c>
      <c r="B268" s="13">
        <v>11</v>
      </c>
      <c r="C268" s="12">
        <f t="shared" si="79"/>
        <v>3</v>
      </c>
      <c r="D268" s="13">
        <v>5</v>
      </c>
      <c r="E268" s="13">
        <v>0</v>
      </c>
      <c r="F268" s="12">
        <f t="shared" si="80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680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507</v>
      </c>
      <c r="Z268" s="9">
        <v>4</v>
      </c>
      <c r="AB268" s="11">
        <f ca="1">IFERROR(OFFSET(MANOR_LEVEL!$B$1,MATCH(AC268-1,MANOR_LEVEL!$A:$A,0)-1,0),0)</f>
        <v>50404400</v>
      </c>
      <c r="AC268" s="55">
        <v>16</v>
      </c>
      <c r="AE268" s="55">
        <f t="shared" ca="1" si="73"/>
        <v>6925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6925</v>
      </c>
      <c r="AG268" s="176">
        <f t="shared" ca="1" si="83"/>
        <v>8665</v>
      </c>
      <c r="AI268" s="11">
        <f t="shared" si="75"/>
        <v>10</v>
      </c>
      <c r="AJ268" s="10">
        <v>10</v>
      </c>
      <c r="AK268" s="11">
        <f t="shared" si="82"/>
        <v>25</v>
      </c>
      <c r="AL268" s="10">
        <v>25</v>
      </c>
      <c r="AM268" s="11">
        <v>300</v>
      </c>
      <c r="AN268" s="10">
        <v>0</v>
      </c>
      <c r="AO268" s="55">
        <f t="shared" si="76"/>
        <v>2</v>
      </c>
      <c r="AQ268" s="11">
        <f ca="1">IFERROR(OFFSET(ITEM_RES!$A$1,MATCH(AR268,ITEM_RES!$J:$J,0)-1,0),0)</f>
        <v>211020801</v>
      </c>
      <c r="AR268" s="10" t="s">
        <v>426</v>
      </c>
      <c r="AS268" s="11">
        <v>600</v>
      </c>
      <c r="AV268" s="11">
        <f ca="1">IFERROR(OFFSET(ITEM_RES!$A$1,MATCH(AW268,ITEM_RES!$J:$J,0)-1,0),0)</f>
        <v>211020401</v>
      </c>
      <c r="AW268" s="10" t="s">
        <v>416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1"/>
        <v>0</v>
      </c>
    </row>
    <row r="269" spans="1:66" x14ac:dyDescent="0.3">
      <c r="A269" s="14">
        <f t="shared" si="78"/>
        <v>113050005</v>
      </c>
      <c r="B269" s="13">
        <v>11</v>
      </c>
      <c r="C269" s="12">
        <f t="shared" si="79"/>
        <v>3</v>
      </c>
      <c r="D269" s="13">
        <v>5</v>
      </c>
      <c r="E269" s="13">
        <v>0</v>
      </c>
      <c r="F269" s="12">
        <f t="shared" si="80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680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507</v>
      </c>
      <c r="Z269" s="9">
        <v>5</v>
      </c>
      <c r="AB269" s="11">
        <f ca="1">IFERROR(OFFSET(MANOR_LEVEL!$B$1,MATCH(AC269-1,MANOR_LEVEL!$A:$A,0)-1,0),0)</f>
        <v>50404400</v>
      </c>
      <c r="AC269" s="55">
        <v>16</v>
      </c>
      <c r="AE269" s="55">
        <f t="shared" ca="1" si="73"/>
        <v>31090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31090</v>
      </c>
      <c r="AG269" s="176">
        <f t="shared" ca="1" si="83"/>
        <v>38015</v>
      </c>
      <c r="AI269" s="11">
        <f t="shared" si="75"/>
        <v>15</v>
      </c>
      <c r="AJ269" s="10">
        <v>15</v>
      </c>
      <c r="AK269" s="11">
        <f t="shared" si="82"/>
        <v>40</v>
      </c>
      <c r="AL269" s="10">
        <v>40</v>
      </c>
      <c r="AM269" s="11">
        <v>1350</v>
      </c>
      <c r="AN269" s="10">
        <v>0</v>
      </c>
      <c r="AO269" s="55">
        <f t="shared" si="76"/>
        <v>2</v>
      </c>
      <c r="AQ269" s="11">
        <f ca="1">IFERROR(OFFSET(ITEM_RES!$A$1,MATCH(AR269,ITEM_RES!$J:$J,0)-1,0),0)</f>
        <v>211020801</v>
      </c>
      <c r="AR269" s="10" t="s">
        <v>426</v>
      </c>
      <c r="AS269" s="11">
        <v>2700</v>
      </c>
      <c r="AV269" s="11">
        <f ca="1">IFERROR(OFFSET(ITEM_RES!$A$1,MATCH(AW269,ITEM_RES!$J:$J,0)-1,0),0)</f>
        <v>211020401</v>
      </c>
      <c r="AW269" s="10" t="s">
        <v>416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1"/>
        <v>0</v>
      </c>
    </row>
    <row r="270" spans="1:66" x14ac:dyDescent="0.3">
      <c r="A270" s="14">
        <f t="shared" si="78"/>
        <v>113050006</v>
      </c>
      <c r="B270" s="13">
        <v>11</v>
      </c>
      <c r="C270" s="12">
        <f t="shared" si="79"/>
        <v>3</v>
      </c>
      <c r="D270" s="13">
        <v>5</v>
      </c>
      <c r="E270" s="13">
        <v>0</v>
      </c>
      <c r="F270" s="12">
        <f t="shared" si="80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680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507</v>
      </c>
      <c r="Z270" s="9">
        <v>6</v>
      </c>
      <c r="AB270" s="11">
        <f ca="1">IFERROR(OFFSET(MANOR_LEVEL!$B$1,MATCH(AC270-1,MANOR_LEVEL!$A:$A,0)-1,0),0)</f>
        <v>50404400</v>
      </c>
      <c r="AC270" s="55">
        <v>16</v>
      </c>
      <c r="AE270" s="55">
        <f t="shared" ca="1" si="73"/>
        <v>103550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103550</v>
      </c>
      <c r="AG270" s="176">
        <f t="shared" ca="1" si="83"/>
        <v>134640</v>
      </c>
      <c r="AI270" s="11">
        <f t="shared" si="75"/>
        <v>30</v>
      </c>
      <c r="AJ270" s="10">
        <v>30</v>
      </c>
      <c r="AK270" s="11">
        <f t="shared" si="82"/>
        <v>50</v>
      </c>
      <c r="AL270" s="10">
        <v>50</v>
      </c>
      <c r="AM270" s="11">
        <v>4500</v>
      </c>
      <c r="AN270" s="10">
        <v>0</v>
      </c>
      <c r="AO270" s="55">
        <f t="shared" si="76"/>
        <v>2</v>
      </c>
      <c r="AQ270" s="11">
        <f ca="1">IFERROR(OFFSET(ITEM_RES!$A$1,MATCH(AR270,ITEM_RES!$J:$J,0)-1,0),0)</f>
        <v>211020801</v>
      </c>
      <c r="AR270" s="10" t="s">
        <v>426</v>
      </c>
      <c r="AS270" s="11">
        <v>9000</v>
      </c>
      <c r="AV270" s="11">
        <f ca="1">IFERROR(OFFSET(ITEM_RES!$A$1,MATCH(AW270,ITEM_RES!$J:$J,0)-1,0),0)</f>
        <v>211020401</v>
      </c>
      <c r="AW270" s="10" t="s">
        <v>416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1"/>
        <v>0</v>
      </c>
    </row>
    <row r="271" spans="1:66" x14ac:dyDescent="0.3">
      <c r="A271" s="14">
        <f t="shared" si="78"/>
        <v>113050007</v>
      </c>
      <c r="B271" s="13">
        <v>11</v>
      </c>
      <c r="C271" s="12">
        <f t="shared" si="79"/>
        <v>3</v>
      </c>
      <c r="D271" s="13">
        <v>5</v>
      </c>
      <c r="E271" s="13">
        <v>0</v>
      </c>
      <c r="F271" s="12">
        <f t="shared" si="80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680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507</v>
      </c>
      <c r="Z271" s="9">
        <v>7</v>
      </c>
      <c r="AB271" s="11">
        <f ca="1">IFERROR(OFFSET(MANOR_LEVEL!$B$1,MATCH(AC271-1,MANOR_LEVEL!$A:$A,0)-1,0),0)</f>
        <v>50404400</v>
      </c>
      <c r="AC271" s="55">
        <v>16</v>
      </c>
      <c r="AE271" s="55">
        <f t="shared" ca="1" si="73"/>
        <v>230100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230100</v>
      </c>
      <c r="AG271" s="176">
        <f t="shared" ca="1" si="83"/>
        <v>333650</v>
      </c>
      <c r="AI271" s="11">
        <f t="shared" si="75"/>
        <v>300</v>
      </c>
      <c r="AJ271" s="10">
        <v>300</v>
      </c>
      <c r="AK271" s="11">
        <f t="shared" si="82"/>
        <v>100</v>
      </c>
      <c r="AL271" s="10">
        <v>100</v>
      </c>
      <c r="AM271" s="11">
        <v>10000</v>
      </c>
      <c r="AN271" s="10">
        <v>0</v>
      </c>
      <c r="AO271" s="55">
        <f t="shared" si="76"/>
        <v>2</v>
      </c>
      <c r="AQ271" s="11">
        <f ca="1">IFERROR(OFFSET(ITEM_RES!$A$1,MATCH(AR271,ITEM_RES!$J:$J,0)-1,0),0)</f>
        <v>211020801</v>
      </c>
      <c r="AR271" s="10" t="s">
        <v>426</v>
      </c>
      <c r="AS271" s="11">
        <v>20000</v>
      </c>
      <c r="AV271" s="11">
        <f ca="1">IFERROR(OFFSET(ITEM_RES!$A$1,MATCH(AW271,ITEM_RES!$J:$J,0)-1,0),0)</f>
        <v>211020401</v>
      </c>
      <c r="AW271" s="10" t="s">
        <v>416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1"/>
        <v>0</v>
      </c>
    </row>
    <row r="272" spans="1:66" x14ac:dyDescent="0.3">
      <c r="A272" s="14">
        <f t="shared" si="78"/>
        <v>113050008</v>
      </c>
      <c r="B272" s="13">
        <v>11</v>
      </c>
      <c r="C272" s="12">
        <f t="shared" si="79"/>
        <v>3</v>
      </c>
      <c r="D272" s="13">
        <v>5</v>
      </c>
      <c r="E272" s="13">
        <v>0</v>
      </c>
      <c r="F272" s="12">
        <f t="shared" si="80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680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507</v>
      </c>
      <c r="Z272" s="9">
        <v>8</v>
      </c>
      <c r="AB272" s="11">
        <f ca="1">IFERROR(OFFSET(MANOR_LEVEL!$B$1,MATCH(AC272-1,MANOR_LEVEL!$A:$A,0)-1,0),0)</f>
        <v>50404400</v>
      </c>
      <c r="AC272" s="55">
        <v>16</v>
      </c>
      <c r="AE272" s="55">
        <f t="shared" ca="1" si="73"/>
        <v>484100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484100</v>
      </c>
      <c r="AG272" s="176">
        <f t="shared" ca="1" si="83"/>
        <v>714200</v>
      </c>
      <c r="AI272" s="11">
        <f t="shared" si="75"/>
        <v>600</v>
      </c>
      <c r="AJ272" s="10">
        <v>600</v>
      </c>
      <c r="AK272" s="11">
        <f t="shared" si="82"/>
        <v>100</v>
      </c>
      <c r="AL272" s="10">
        <v>100</v>
      </c>
      <c r="AM272" s="11">
        <v>21000</v>
      </c>
      <c r="AN272" s="10">
        <v>0</v>
      </c>
      <c r="AO272" s="55">
        <f t="shared" si="76"/>
        <v>3</v>
      </c>
      <c r="AQ272" s="11">
        <f ca="1">IFERROR(OFFSET(ITEM_RES!$A$1,MATCH(AR272,ITEM_RES!$J:$J,0)-1,0),0)</f>
        <v>211020801</v>
      </c>
      <c r="AR272" s="10" t="s">
        <v>426</v>
      </c>
      <c r="AS272" s="11">
        <v>42000</v>
      </c>
      <c r="AV272" s="11">
        <f ca="1">IFERROR(OFFSET(ITEM_RES!$A$1,MATCH(AW272,ITEM_RES!$J:$J,0)-1,0),0)</f>
        <v>211020401</v>
      </c>
      <c r="AW272" s="10" t="s">
        <v>416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453</v>
      </c>
      <c r="BH272" s="11">
        <v>1</v>
      </c>
      <c r="BK272" s="11">
        <f ca="1">IFERROR(OFFSET(ITEM_RES!$A$1,MATCH(BL272,ITEM_RES!$J:$J,0)-1,0),0)</f>
        <v>0</v>
      </c>
      <c r="BM272" s="11">
        <f t="shared" si="81"/>
        <v>0</v>
      </c>
    </row>
    <row r="273" spans="1:66" x14ac:dyDescent="0.3">
      <c r="A273" s="14">
        <f t="shared" si="78"/>
        <v>113050009</v>
      </c>
      <c r="B273" s="13">
        <v>11</v>
      </c>
      <c r="C273" s="12">
        <f t="shared" si="79"/>
        <v>3</v>
      </c>
      <c r="D273" s="13">
        <v>5</v>
      </c>
      <c r="E273" s="13">
        <v>0</v>
      </c>
      <c r="F273" s="12">
        <f t="shared" si="80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680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507</v>
      </c>
      <c r="Z273" s="9">
        <v>9</v>
      </c>
      <c r="AB273" s="11">
        <f ca="1">IFERROR(OFFSET(MANOR_LEVEL!$B$1,MATCH(AC273-1,MANOR_LEVEL!$A:$A,0)-1,0),0)</f>
        <v>50404400</v>
      </c>
      <c r="AC273" s="55">
        <v>16</v>
      </c>
      <c r="AE273" s="55">
        <f t="shared" ca="1" si="73"/>
        <v>897150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897150</v>
      </c>
      <c r="AG273" s="176">
        <f t="shared" ca="1" si="83"/>
        <v>1381250</v>
      </c>
      <c r="AI273" s="11">
        <f t="shared" si="75"/>
        <v>900</v>
      </c>
      <c r="AJ273" s="10">
        <v>900</v>
      </c>
      <c r="AK273" s="11">
        <f t="shared" si="82"/>
        <v>150</v>
      </c>
      <c r="AL273" s="10">
        <v>150</v>
      </c>
      <c r="AM273" s="11">
        <v>39000</v>
      </c>
      <c r="AN273" s="10">
        <v>0</v>
      </c>
      <c r="AO273" s="55">
        <f t="shared" si="76"/>
        <v>2</v>
      </c>
      <c r="AQ273" s="11">
        <f ca="1">IFERROR(OFFSET(ITEM_RES!$A$1,MATCH(AR273,ITEM_RES!$J:$J,0)-1,0),0)</f>
        <v>211020801</v>
      </c>
      <c r="AR273" s="10" t="s">
        <v>426</v>
      </c>
      <c r="AS273" s="11">
        <v>78000</v>
      </c>
      <c r="AV273" s="11">
        <f ca="1">IFERROR(OFFSET(ITEM_RES!$A$1,MATCH(AW273,ITEM_RES!$J:$J,0)-1,0),0)</f>
        <v>211020401</v>
      </c>
      <c r="AW273" s="10" t="s">
        <v>416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1"/>
        <v>0</v>
      </c>
    </row>
    <row r="274" spans="1:66" x14ac:dyDescent="0.3">
      <c r="A274" s="14">
        <f t="shared" si="78"/>
        <v>113050010</v>
      </c>
      <c r="B274" s="13">
        <v>11</v>
      </c>
      <c r="C274" s="12">
        <f t="shared" si="79"/>
        <v>3</v>
      </c>
      <c r="D274" s="13">
        <v>5</v>
      </c>
      <c r="E274" s="13">
        <v>0</v>
      </c>
      <c r="F274" s="12">
        <f t="shared" si="80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680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507</v>
      </c>
      <c r="Z274" s="9">
        <v>10</v>
      </c>
      <c r="AB274" s="11">
        <f ca="1">IFERROR(OFFSET(MANOR_LEVEL!$B$1,MATCH(AC274-1,MANOR_LEVEL!$A:$A,0)-1,0),0)</f>
        <v>50404400</v>
      </c>
      <c r="AC274" s="55">
        <v>16</v>
      </c>
      <c r="AE274" s="55">
        <f t="shared" ca="1" si="73"/>
        <v>1495200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1495200</v>
      </c>
      <c r="AG274" s="176">
        <f t="shared" ca="1" si="83"/>
        <v>2392350</v>
      </c>
      <c r="AI274" s="11">
        <f t="shared" si="75"/>
        <v>1200</v>
      </c>
      <c r="AJ274" s="10">
        <v>1200</v>
      </c>
      <c r="AK274" s="11">
        <f t="shared" si="82"/>
        <v>200</v>
      </c>
      <c r="AL274" s="10">
        <v>200</v>
      </c>
      <c r="AM274" s="11">
        <v>65000</v>
      </c>
      <c r="AN274" s="10">
        <v>0</v>
      </c>
      <c r="AO274" s="55">
        <f t="shared" si="76"/>
        <v>2</v>
      </c>
      <c r="AQ274" s="11">
        <f ca="1">IFERROR(OFFSET(ITEM_RES!$A$1,MATCH(AR274,ITEM_RES!$J:$J,0)-1,0),0)</f>
        <v>211020801</v>
      </c>
      <c r="AR274" s="10" t="s">
        <v>426</v>
      </c>
      <c r="AS274" s="11">
        <v>130000</v>
      </c>
      <c r="AV274" s="11">
        <f ca="1">IFERROR(OFFSET(ITEM_RES!$A$1,MATCH(AW274,ITEM_RES!$J:$J,0)-1,0),0)</f>
        <v>211020401</v>
      </c>
      <c r="AW274" s="10" t="s">
        <v>416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1"/>
        <v>0</v>
      </c>
    </row>
    <row r="275" spans="1:66" x14ac:dyDescent="0.3">
      <c r="A275" s="14">
        <f t="shared" si="78"/>
        <v>113050011</v>
      </c>
      <c r="B275" s="13">
        <v>11</v>
      </c>
      <c r="C275" s="12">
        <f t="shared" si="79"/>
        <v>3</v>
      </c>
      <c r="D275" s="13">
        <v>5</v>
      </c>
      <c r="E275" s="13">
        <v>0</v>
      </c>
      <c r="F275" s="12">
        <f t="shared" si="80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680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507</v>
      </c>
      <c r="Z275" s="9">
        <v>11</v>
      </c>
      <c r="AB275" s="11">
        <f ca="1">IFERROR(OFFSET(MANOR_LEVEL!$B$1,MATCH(AC275-1,MANOR_LEVEL!$A:$A,0)-1,0),0)</f>
        <v>50404400</v>
      </c>
      <c r="AC275" s="55">
        <v>16</v>
      </c>
      <c r="AE275" s="55">
        <f t="shared" ca="1" si="73"/>
        <v>2530250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2530250</v>
      </c>
      <c r="AG275" s="176">
        <f t="shared" ca="1" si="83"/>
        <v>4025450</v>
      </c>
      <c r="AI275" s="11">
        <f t="shared" si="75"/>
        <v>1500</v>
      </c>
      <c r="AJ275" s="10">
        <v>1500</v>
      </c>
      <c r="AK275" s="11">
        <f t="shared" si="82"/>
        <v>250</v>
      </c>
      <c r="AL275" s="10">
        <v>250</v>
      </c>
      <c r="AM275" s="11">
        <v>110000</v>
      </c>
      <c r="AN275" s="10">
        <v>0</v>
      </c>
      <c r="AO275" s="55">
        <f t="shared" si="76"/>
        <v>2</v>
      </c>
      <c r="AQ275" s="11">
        <f ca="1">IFERROR(OFFSET(ITEM_RES!$A$1,MATCH(AR275,ITEM_RES!$J:$J,0)-1,0),0)</f>
        <v>211020801</v>
      </c>
      <c r="AR275" s="10" t="s">
        <v>426</v>
      </c>
      <c r="AS275" s="11">
        <v>220000</v>
      </c>
      <c r="AV275" s="11">
        <f ca="1">IFERROR(OFFSET(ITEM_RES!$A$1,MATCH(AW275,ITEM_RES!$J:$J,0)-1,0),0)</f>
        <v>211020401</v>
      </c>
      <c r="AW275" s="10" t="s">
        <v>416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1"/>
        <v>0</v>
      </c>
    </row>
    <row r="276" spans="1:66" x14ac:dyDescent="0.3">
      <c r="A276" s="14">
        <f t="shared" si="78"/>
        <v>113050012</v>
      </c>
      <c r="B276" s="13">
        <v>11</v>
      </c>
      <c r="C276" s="12">
        <f t="shared" si="79"/>
        <v>3</v>
      </c>
      <c r="D276" s="13">
        <v>5</v>
      </c>
      <c r="E276" s="13">
        <v>0</v>
      </c>
      <c r="F276" s="12">
        <f t="shared" si="80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680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507</v>
      </c>
      <c r="Z276" s="9">
        <v>12</v>
      </c>
      <c r="AB276" s="11">
        <f ca="1">IFERROR(OFFSET(MANOR_LEVEL!$B$1,MATCH(AC276-1,MANOR_LEVEL!$A:$A,0)-1,0),0)</f>
        <v>50404400</v>
      </c>
      <c r="AC276" s="55">
        <v>16</v>
      </c>
      <c r="AE276" s="55">
        <f t="shared" ca="1" si="73"/>
        <v>4255300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4255300</v>
      </c>
      <c r="AG276" s="176">
        <f t="shared" ca="1" si="83"/>
        <v>6785550</v>
      </c>
      <c r="AI276" s="11">
        <f t="shared" si="75"/>
        <v>1800</v>
      </c>
      <c r="AJ276" s="10">
        <v>1800</v>
      </c>
      <c r="AK276" s="11">
        <f t="shared" si="82"/>
        <v>300</v>
      </c>
      <c r="AL276" s="10">
        <v>300</v>
      </c>
      <c r="AM276" s="11">
        <v>185000</v>
      </c>
      <c r="AN276" s="10">
        <v>0</v>
      </c>
      <c r="AO276" s="55">
        <f t="shared" si="76"/>
        <v>2</v>
      </c>
      <c r="AQ276" s="11">
        <f ca="1">IFERROR(OFFSET(ITEM_RES!$A$1,MATCH(AR276,ITEM_RES!$J:$J,0)-1,0),0)</f>
        <v>211020801</v>
      </c>
      <c r="AR276" s="10" t="s">
        <v>426</v>
      </c>
      <c r="AS276" s="11">
        <v>370000</v>
      </c>
      <c r="AV276" s="11">
        <f ca="1">IFERROR(OFFSET(ITEM_RES!$A$1,MATCH(AW276,ITEM_RES!$J:$J,0)-1,0),0)</f>
        <v>211020401</v>
      </c>
      <c r="AW276" s="10" t="s">
        <v>416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1"/>
        <v>0</v>
      </c>
    </row>
    <row r="277" spans="1:66" x14ac:dyDescent="0.3">
      <c r="A277" s="14">
        <f t="shared" si="78"/>
        <v>113050013</v>
      </c>
      <c r="B277" s="13">
        <v>11</v>
      </c>
      <c r="C277" s="12">
        <f t="shared" si="79"/>
        <v>3</v>
      </c>
      <c r="D277" s="13">
        <v>5</v>
      </c>
      <c r="E277" s="13">
        <v>0</v>
      </c>
      <c r="F277" s="12">
        <f t="shared" si="80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680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507</v>
      </c>
      <c r="Z277" s="9">
        <v>13</v>
      </c>
      <c r="AB277" s="11">
        <f ca="1">IFERROR(OFFSET(MANOR_LEVEL!$B$1,MATCH(AC277-1,MANOR_LEVEL!$A:$A,0)-1,0),0)</f>
        <v>50404400</v>
      </c>
      <c r="AC277" s="55">
        <v>16</v>
      </c>
      <c r="AE277" s="55">
        <f t="shared" ca="1" si="73"/>
        <v>7130350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7130350</v>
      </c>
      <c r="AG277" s="176">
        <f t="shared" ca="1" si="83"/>
        <v>11385650</v>
      </c>
      <c r="AI277" s="11">
        <f t="shared" si="75"/>
        <v>2100</v>
      </c>
      <c r="AJ277" s="10">
        <v>2100</v>
      </c>
      <c r="AK277" s="11">
        <f t="shared" si="82"/>
        <v>350</v>
      </c>
      <c r="AL277" s="10">
        <v>350</v>
      </c>
      <c r="AM277" s="11">
        <v>310000</v>
      </c>
      <c r="AN277" s="10">
        <v>0</v>
      </c>
      <c r="AO277" s="55">
        <f t="shared" si="76"/>
        <v>2</v>
      </c>
      <c r="AQ277" s="11">
        <f ca="1">IFERROR(OFFSET(ITEM_RES!$A$1,MATCH(AR277,ITEM_RES!$J:$J,0)-1,0),0)</f>
        <v>211020801</v>
      </c>
      <c r="AR277" s="10" t="s">
        <v>426</v>
      </c>
      <c r="AS277" s="11">
        <v>620000</v>
      </c>
      <c r="AV277" s="11">
        <f ca="1">IFERROR(OFFSET(ITEM_RES!$A$1,MATCH(AW277,ITEM_RES!$J:$J,0)-1,0),0)</f>
        <v>211020401</v>
      </c>
      <c r="AW277" s="10" t="s">
        <v>416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1"/>
        <v>0</v>
      </c>
    </row>
    <row r="278" spans="1:66" x14ac:dyDescent="0.3">
      <c r="A278" s="14">
        <f t="shared" si="78"/>
        <v>113050014</v>
      </c>
      <c r="B278" s="13">
        <v>11</v>
      </c>
      <c r="C278" s="12">
        <f t="shared" si="79"/>
        <v>3</v>
      </c>
      <c r="D278" s="13">
        <v>5</v>
      </c>
      <c r="E278" s="13">
        <v>0</v>
      </c>
      <c r="F278" s="12">
        <f t="shared" si="80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680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507</v>
      </c>
      <c r="Z278" s="9">
        <v>14</v>
      </c>
      <c r="AB278" s="11">
        <f ca="1">IFERROR(OFFSET(MANOR_LEVEL!$B$1,MATCH(AC278-1,MANOR_LEVEL!$A:$A,0)-1,0),0)</f>
        <v>50404400</v>
      </c>
      <c r="AC278" s="55">
        <v>16</v>
      </c>
      <c r="AE278" s="55">
        <f t="shared" ca="1" si="73"/>
        <v>11155450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11155450</v>
      </c>
      <c r="AG278" s="176">
        <f t="shared" ca="1" si="83"/>
        <v>18285800</v>
      </c>
      <c r="AI278" s="11">
        <f t="shared" si="75"/>
        <v>2400</v>
      </c>
      <c r="AJ278" s="10">
        <v>2400</v>
      </c>
      <c r="AK278" s="11">
        <f t="shared" si="82"/>
        <v>450</v>
      </c>
      <c r="AL278" s="10">
        <v>450</v>
      </c>
      <c r="AM278" s="11">
        <v>485000</v>
      </c>
      <c r="AN278" s="10">
        <v>0</v>
      </c>
      <c r="AO278" s="55">
        <f t="shared" si="76"/>
        <v>2</v>
      </c>
      <c r="AQ278" s="11">
        <f ca="1">IFERROR(OFFSET(ITEM_RES!$A$1,MATCH(AR278,ITEM_RES!$J:$J,0)-1,0),0)</f>
        <v>211020801</v>
      </c>
      <c r="AR278" s="10" t="s">
        <v>426</v>
      </c>
      <c r="AS278" s="11">
        <v>970000</v>
      </c>
      <c r="AV278" s="11">
        <f ca="1">IFERROR(OFFSET(ITEM_RES!$A$1,MATCH(AW278,ITEM_RES!$J:$J,0)-1,0),0)</f>
        <v>211020401</v>
      </c>
      <c r="AW278" s="10" t="s">
        <v>416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1"/>
        <v>0</v>
      </c>
    </row>
    <row r="279" spans="1:66" x14ac:dyDescent="0.3">
      <c r="A279" s="14">
        <f t="shared" si="78"/>
        <v>113050015</v>
      </c>
      <c r="B279" s="13">
        <v>11</v>
      </c>
      <c r="C279" s="12">
        <f t="shared" si="79"/>
        <v>3</v>
      </c>
      <c r="D279" s="13">
        <v>5</v>
      </c>
      <c r="E279" s="13">
        <v>0</v>
      </c>
      <c r="F279" s="12">
        <f t="shared" si="80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680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507</v>
      </c>
      <c r="Z279" s="9">
        <v>15</v>
      </c>
      <c r="AB279" s="11">
        <f ca="1">IFERROR(OFFSET(MANOR_LEVEL!$B$1,MATCH(AC279-1,MANOR_LEVEL!$A:$A,0)-1,0),0)</f>
        <v>50404400</v>
      </c>
      <c r="AC279" s="55">
        <v>16</v>
      </c>
      <c r="AE279" s="55">
        <f t="shared" ca="1" si="73"/>
        <v>24150550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24150550</v>
      </c>
      <c r="AG279" s="176">
        <f t="shared" ca="1" si="83"/>
        <v>35306000</v>
      </c>
      <c r="AI279" s="11">
        <f t="shared" si="75"/>
        <v>2700</v>
      </c>
      <c r="AJ279" s="10">
        <v>2700</v>
      </c>
      <c r="AK279" s="11">
        <f t="shared" si="82"/>
        <v>550</v>
      </c>
      <c r="AL279" s="10">
        <v>550</v>
      </c>
      <c r="AM279" s="11">
        <v>1050000</v>
      </c>
      <c r="AN279" s="10">
        <v>0</v>
      </c>
      <c r="AO279" s="55">
        <f t="shared" si="76"/>
        <v>2</v>
      </c>
      <c r="AQ279" s="11">
        <f ca="1">IFERROR(OFFSET(ITEM_RES!$A$1,MATCH(AR279,ITEM_RES!$J:$J,0)-1,0),0)</f>
        <v>211020801</v>
      </c>
      <c r="AR279" s="10" t="s">
        <v>426</v>
      </c>
      <c r="AS279" s="11">
        <v>2100000</v>
      </c>
      <c r="AV279" s="11">
        <f ca="1">IFERROR(OFFSET(ITEM_RES!$A$1,MATCH(AW279,ITEM_RES!$J:$J,0)-1,0),0)</f>
        <v>211020401</v>
      </c>
      <c r="AW279" s="10" t="s">
        <v>427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1"/>
        <v>0</v>
      </c>
    </row>
    <row r="280" spans="1:66" x14ac:dyDescent="0.3">
      <c r="A280" s="14">
        <f t="shared" si="78"/>
        <v>113050016</v>
      </c>
      <c r="B280" s="13">
        <v>11</v>
      </c>
      <c r="C280" s="12">
        <f t="shared" si="79"/>
        <v>3</v>
      </c>
      <c r="D280" s="13">
        <v>5</v>
      </c>
      <c r="E280" s="13">
        <v>0</v>
      </c>
      <c r="F280" s="12">
        <f t="shared" si="80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680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507</v>
      </c>
      <c r="Z280" s="9">
        <v>16</v>
      </c>
      <c r="AB280" s="11">
        <f ca="1">IFERROR(OFFSET(MANOR_LEVEL!$B$1,MATCH(AC280-1,MANOR_LEVEL!$A:$A,0)-1,0),0)</f>
        <v>50404400</v>
      </c>
      <c r="AC280" s="55">
        <v>16</v>
      </c>
      <c r="AE280" s="55">
        <f t="shared" ca="1" si="73"/>
        <v>49450700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49450700</v>
      </c>
      <c r="AG280" s="176">
        <f t="shared" ca="1" si="83"/>
        <v>73601250</v>
      </c>
      <c r="AI280" s="11">
        <f t="shared" si="75"/>
        <v>3000</v>
      </c>
      <c r="AJ280" s="10">
        <v>3000</v>
      </c>
      <c r="AK280" s="11">
        <f t="shared" si="82"/>
        <v>700</v>
      </c>
      <c r="AL280" s="10">
        <v>700</v>
      </c>
      <c r="AM280" s="11">
        <v>2150000</v>
      </c>
      <c r="AN280" s="10">
        <v>0</v>
      </c>
      <c r="AO280" s="55">
        <f t="shared" si="76"/>
        <v>2</v>
      </c>
      <c r="AQ280" s="11">
        <f ca="1">IFERROR(OFFSET(ITEM_RES!$A$1,MATCH(AR280,ITEM_RES!$J:$J,0)-1,0),0)</f>
        <v>211020801</v>
      </c>
      <c r="AR280" s="10" t="s">
        <v>426</v>
      </c>
      <c r="AS280" s="11">
        <v>4300000</v>
      </c>
      <c r="AV280" s="11">
        <f ca="1">IFERROR(OFFSET(ITEM_RES!$A$1,MATCH(AW280,ITEM_RES!$J:$J,0)-1,0),0)</f>
        <v>211020401</v>
      </c>
      <c r="AW280" s="10" t="s">
        <v>427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1"/>
        <v>0</v>
      </c>
    </row>
    <row r="281" spans="1:66" x14ac:dyDescent="0.3">
      <c r="A281" s="14">
        <f t="shared" si="78"/>
        <v>113050017</v>
      </c>
      <c r="B281" s="13">
        <v>11</v>
      </c>
      <c r="C281" s="12">
        <f t="shared" si="79"/>
        <v>3</v>
      </c>
      <c r="D281" s="13">
        <v>5</v>
      </c>
      <c r="E281" s="13">
        <v>0</v>
      </c>
      <c r="F281" s="12">
        <f t="shared" si="80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680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507</v>
      </c>
      <c r="Z281" s="9">
        <v>17</v>
      </c>
      <c r="AB281" s="11">
        <f ca="1">IFERROR(OFFSET(MANOR_LEVEL!$B$1,MATCH(AC281-1,MANOR_LEVEL!$A:$A,0)-1,0),0)</f>
        <v>50404400</v>
      </c>
      <c r="AC281" s="55">
        <v>16</v>
      </c>
      <c r="AE281" s="55">
        <f t="shared" ca="1" si="73"/>
        <v>108000850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108000850</v>
      </c>
      <c r="AG281" s="176">
        <f t="shared" ca="1" si="83"/>
        <v>157451550</v>
      </c>
      <c r="AI281" s="11">
        <f t="shared" si="75"/>
        <v>3300</v>
      </c>
      <c r="AJ281" s="10">
        <v>3300</v>
      </c>
      <c r="AK281" s="11">
        <f t="shared" si="82"/>
        <v>850</v>
      </c>
      <c r="AL281" s="10">
        <v>850</v>
      </c>
      <c r="AM281" s="11">
        <v>4000000</v>
      </c>
      <c r="AN281" s="10">
        <v>0</v>
      </c>
      <c r="AO281" s="55">
        <f t="shared" si="76"/>
        <v>2</v>
      </c>
      <c r="AQ281" s="11">
        <f ca="1">IFERROR(OFFSET(ITEM_RES!$A$1,MATCH(AR281,ITEM_RES!$J:$J,0)-1,0),0)</f>
        <v>211020901</v>
      </c>
      <c r="AR281" s="10" t="s">
        <v>434</v>
      </c>
      <c r="AS281" s="11">
        <v>8000000</v>
      </c>
      <c r="AV281" s="11">
        <f ca="1">IFERROR(OFFSET(ITEM_RES!$A$1,MATCH(AW281,ITEM_RES!$J:$J,0)-1,0),0)</f>
        <v>211020401</v>
      </c>
      <c r="AW281" s="10" t="s">
        <v>427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1"/>
        <v>0</v>
      </c>
    </row>
    <row r="282" spans="1:66" x14ac:dyDescent="0.3">
      <c r="A282" s="14">
        <f t="shared" si="78"/>
        <v>113050018</v>
      </c>
      <c r="B282" s="13">
        <v>11</v>
      </c>
      <c r="C282" s="12">
        <f t="shared" si="79"/>
        <v>3</v>
      </c>
      <c r="D282" s="13">
        <v>5</v>
      </c>
      <c r="E282" s="13">
        <v>0</v>
      </c>
      <c r="F282" s="12">
        <f t="shared" si="80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680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507</v>
      </c>
      <c r="Z282" s="9">
        <v>18</v>
      </c>
      <c r="AB282" s="11">
        <f ca="1">IFERROR(OFFSET(MANOR_LEVEL!$B$1,MATCH(AC282-1,MANOR_LEVEL!$A:$A,0)-1,0),0)</f>
        <v>50404400</v>
      </c>
      <c r="AC282" s="55">
        <v>16</v>
      </c>
      <c r="AE282" s="55">
        <f t="shared" ref="AE282:AE345" ca="1" si="84">ROUND(AF282,0)</f>
        <v>183301050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183301050</v>
      </c>
      <c r="AG282" s="176">
        <f t="shared" ca="1" si="83"/>
        <v>291301900</v>
      </c>
      <c r="AI282" s="11">
        <f t="shared" si="75"/>
        <v>3600</v>
      </c>
      <c r="AJ282" s="10">
        <v>3600</v>
      </c>
      <c r="AK282" s="11">
        <f t="shared" si="82"/>
        <v>1050</v>
      </c>
      <c r="AL282" s="10">
        <v>1050</v>
      </c>
      <c r="AM282" s="11">
        <v>6500000</v>
      </c>
      <c r="AN282" s="10">
        <v>0</v>
      </c>
      <c r="AO282" s="55">
        <f t="shared" si="76"/>
        <v>2</v>
      </c>
      <c r="AQ282" s="11">
        <f ca="1">IFERROR(OFFSET(ITEM_RES!$A$1,MATCH(AR282,ITEM_RES!$J:$J,0)-1,0),0)</f>
        <v>211020901</v>
      </c>
      <c r="AR282" s="10" t="s">
        <v>434</v>
      </c>
      <c r="AS282" s="11">
        <v>13000000</v>
      </c>
      <c r="AV282" s="11">
        <f ca="1">IFERROR(OFFSET(ITEM_RES!$A$1,MATCH(AW282,ITEM_RES!$J:$J,0)-1,0),0)</f>
        <v>211020501</v>
      </c>
      <c r="AW282" s="10" t="s">
        <v>417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1"/>
        <v>0</v>
      </c>
    </row>
    <row r="283" spans="1:66" x14ac:dyDescent="0.3">
      <c r="A283" s="14">
        <f t="shared" si="78"/>
        <v>113050019</v>
      </c>
      <c r="B283" s="13">
        <v>11</v>
      </c>
      <c r="C283" s="12">
        <f t="shared" si="79"/>
        <v>3</v>
      </c>
      <c r="D283" s="13">
        <v>5</v>
      </c>
      <c r="E283" s="13">
        <v>0</v>
      </c>
      <c r="F283" s="12">
        <f t="shared" si="80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680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507</v>
      </c>
      <c r="Z283" s="9">
        <v>19</v>
      </c>
      <c r="AB283" s="11">
        <f ca="1">IFERROR(OFFSET(MANOR_LEVEL!$B$1,MATCH(AC283-1,MANOR_LEVEL!$A:$A,0)-1,0),0)</f>
        <v>50404400</v>
      </c>
      <c r="AC283" s="55">
        <v>16</v>
      </c>
      <c r="AE283" s="55">
        <f t="shared" ca="1" si="84"/>
        <v>282001250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282001250</v>
      </c>
      <c r="AG283" s="176">
        <f t="shared" ca="1" si="83"/>
        <v>465302300</v>
      </c>
      <c r="AI283" s="11">
        <f t="shared" si="75"/>
        <v>3900</v>
      </c>
      <c r="AJ283" s="10">
        <v>3900</v>
      </c>
      <c r="AK283" s="11">
        <f t="shared" si="82"/>
        <v>1250</v>
      </c>
      <c r="AL283" s="10">
        <v>1250</v>
      </c>
      <c r="AM283" s="11">
        <v>10000000</v>
      </c>
      <c r="AN283" s="10">
        <v>0</v>
      </c>
      <c r="AO283" s="55">
        <f t="shared" si="76"/>
        <v>2</v>
      </c>
      <c r="AQ283" s="11">
        <f ca="1">IFERROR(OFFSET(ITEM_RES!$A$1,MATCH(AR283,ITEM_RES!$J:$J,0)-1,0),0)</f>
        <v>211020901</v>
      </c>
      <c r="AR283" s="10" t="s">
        <v>434</v>
      </c>
      <c r="AS283" s="11">
        <v>20000000</v>
      </c>
      <c r="AV283" s="11">
        <f ca="1">IFERROR(OFFSET(ITEM_RES!$A$1,MATCH(AW283,ITEM_RES!$J:$J,0)-1,0),0)</f>
        <v>211020501</v>
      </c>
      <c r="AW283" s="10" t="s">
        <v>417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1"/>
        <v>0</v>
      </c>
    </row>
    <row r="284" spans="1:66" ht="17.25" thickBot="1" x14ac:dyDescent="0.35">
      <c r="A284" s="14">
        <f t="shared" si="78"/>
        <v>113050020</v>
      </c>
      <c r="B284" s="13">
        <v>11</v>
      </c>
      <c r="C284" s="12">
        <f t="shared" si="79"/>
        <v>3</v>
      </c>
      <c r="D284" s="13">
        <v>5</v>
      </c>
      <c r="E284" s="13">
        <v>0</v>
      </c>
      <c r="F284" s="12">
        <f t="shared" si="80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680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507</v>
      </c>
      <c r="Z284" s="9">
        <v>20</v>
      </c>
      <c r="AB284" s="11">
        <f ca="1">IFERROR(OFFSET(MANOR_LEVEL!$B$1,MATCH(AC284-1,MANOR_LEVEL!$A:$A,0)-1,0),0)</f>
        <v>50404400</v>
      </c>
      <c r="AC284" s="55">
        <v>16</v>
      </c>
      <c r="AE284" s="55">
        <f t="shared" ca="1" si="84"/>
        <v>451201500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451201500</v>
      </c>
      <c r="AG284" s="176">
        <f t="shared" ca="1" si="83"/>
        <v>733202750</v>
      </c>
      <c r="AI284" s="11">
        <f t="shared" si="75"/>
        <v>4200</v>
      </c>
      <c r="AJ284" s="10">
        <v>4200</v>
      </c>
      <c r="AK284" s="11">
        <f t="shared" si="82"/>
        <v>1500</v>
      </c>
      <c r="AL284" s="10">
        <v>1500</v>
      </c>
      <c r="AM284" s="11">
        <v>16000000</v>
      </c>
      <c r="AN284" s="10">
        <v>0</v>
      </c>
      <c r="AO284" s="55">
        <f t="shared" si="76"/>
        <v>2</v>
      </c>
      <c r="AQ284" s="11">
        <f ca="1">IFERROR(OFFSET(ITEM_RES!$A$1,MATCH(AR284,ITEM_RES!$J:$J,0)-1,0),0)</f>
        <v>211020901</v>
      </c>
      <c r="AR284" s="10" t="s">
        <v>434</v>
      </c>
      <c r="AS284" s="11">
        <v>32000000</v>
      </c>
      <c r="AV284" s="11">
        <f ca="1">IFERROR(OFFSET(ITEM_RES!$A$1,MATCH(AW284,ITEM_RES!$J:$J,0)-1,0),0)</f>
        <v>211020501</v>
      </c>
      <c r="AW284" s="10" t="s">
        <v>417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1"/>
        <v>0</v>
      </c>
    </row>
    <row r="285" spans="1:66" s="15" customFormat="1" x14ac:dyDescent="0.3">
      <c r="A285" s="21">
        <f t="shared" ref="A285:A304" si="85">B285*10000000+C285*1000000+D285*10000+E285*100+F285</f>
        <v>113060001</v>
      </c>
      <c r="B285" s="20">
        <v>11</v>
      </c>
      <c r="C285" s="19">
        <f t="shared" ref="C285:C304" si="86">H285</f>
        <v>3</v>
      </c>
      <c r="D285" s="20">
        <v>6</v>
      </c>
      <c r="E285" s="20">
        <v>0</v>
      </c>
      <c r="F285" s="19">
        <f t="shared" ref="F285:F304" si="87">I285</f>
        <v>1</v>
      </c>
      <c r="G285" s="76"/>
      <c r="H285" s="16">
        <v>3</v>
      </c>
      <c r="I285" s="16">
        <v>1</v>
      </c>
      <c r="J285" s="76"/>
      <c r="K285" s="16" t="s">
        <v>1024</v>
      </c>
      <c r="L285" s="16">
        <v>10</v>
      </c>
      <c r="M285" s="16">
        <v>1</v>
      </c>
      <c r="N285" s="16">
        <v>15</v>
      </c>
      <c r="O285" s="137" t="s">
        <v>1030</v>
      </c>
      <c r="P285" s="56" t="s">
        <v>1377</v>
      </c>
      <c r="Q285" s="16" t="s">
        <v>1025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1029</v>
      </c>
      <c r="Z285" s="16">
        <v>1</v>
      </c>
      <c r="AA285" s="76"/>
      <c r="AB285" s="18">
        <f ca="1">IFERROR(OFFSET(MANOR_LEVEL!$B$1,MATCH(AC285-1,MANOR_LEVEL!$A:$A,0)-1,0),0)</f>
        <v>1170750</v>
      </c>
      <c r="AC285" s="56">
        <v>10</v>
      </c>
      <c r="AD285" s="76"/>
      <c r="AE285" s="56">
        <f t="shared" ca="1" si="84"/>
        <v>1430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1430</v>
      </c>
      <c r="AG285" s="178">
        <f ca="1">AE285</f>
        <v>1430</v>
      </c>
      <c r="AH285" s="76"/>
      <c r="AI285" s="18">
        <f t="shared" ref="AI285:AI304" si="88">ROUND(AJ285,0)</f>
        <v>3</v>
      </c>
      <c r="AJ285" s="17">
        <v>3</v>
      </c>
      <c r="AK285" s="18">
        <f t="shared" ref="AK285:AK304" si="89">ROUND(AL285,0)</f>
        <v>5</v>
      </c>
      <c r="AL285" s="17">
        <v>5</v>
      </c>
      <c r="AM285" s="18">
        <v>25</v>
      </c>
      <c r="AN285" s="17">
        <v>0</v>
      </c>
      <c r="AO285" s="56">
        <f t="shared" ref="AO285:AO304" si="90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385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388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1">IF(BN285&lt;100,ROUND(BN285,1-LEN(ROUND(BN285,0))),ROUND(BN285,2-LEN(ROUND(BN285,0))))</f>
        <v>0</v>
      </c>
      <c r="BN285" s="17"/>
    </row>
    <row r="286" spans="1:66" x14ac:dyDescent="0.3">
      <c r="A286" s="14">
        <f t="shared" si="85"/>
        <v>113060002</v>
      </c>
      <c r="B286" s="13">
        <v>11</v>
      </c>
      <c r="C286" s="12">
        <f t="shared" si="86"/>
        <v>3</v>
      </c>
      <c r="D286" s="13">
        <v>6</v>
      </c>
      <c r="E286" s="13">
        <v>0</v>
      </c>
      <c r="F286" s="12">
        <f t="shared" si="87"/>
        <v>2</v>
      </c>
      <c r="H286" s="9">
        <v>3</v>
      </c>
      <c r="I286" s="9">
        <v>2</v>
      </c>
      <c r="K286" s="9" t="s">
        <v>1024</v>
      </c>
      <c r="M286" s="9">
        <v>1</v>
      </c>
      <c r="N286" s="9">
        <v>15</v>
      </c>
      <c r="O286" s="138" t="s">
        <v>1030</v>
      </c>
      <c r="P286" s="55" t="s">
        <v>1377</v>
      </c>
      <c r="Q286" s="9" t="s">
        <v>1025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1028</v>
      </c>
      <c r="Z286" s="9">
        <v>2</v>
      </c>
      <c r="AB286" s="11">
        <f ca="1">IFERROR(OFFSET(MANOR_LEVEL!$B$1,MATCH(AC286-1,MANOR_LEVEL!$A:$A,0)-1,0),0)</f>
        <v>1956000</v>
      </c>
      <c r="AC286" s="55">
        <v>11</v>
      </c>
      <c r="AE286" s="55">
        <f t="shared" ca="1" si="84"/>
        <v>860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860</v>
      </c>
      <c r="AG286" s="176">
        <f ca="1">AE285+AE286</f>
        <v>2290</v>
      </c>
      <c r="AI286" s="11">
        <f t="shared" si="88"/>
        <v>5</v>
      </c>
      <c r="AJ286" s="10">
        <v>5</v>
      </c>
      <c r="AK286" s="11">
        <f t="shared" si="89"/>
        <v>10</v>
      </c>
      <c r="AL286" s="10">
        <v>10</v>
      </c>
      <c r="AM286" s="11">
        <v>50</v>
      </c>
      <c r="AN286" s="10">
        <v>0</v>
      </c>
      <c r="AO286" s="55">
        <f t="shared" si="90"/>
        <v>1</v>
      </c>
      <c r="AQ286" s="11">
        <f ca="1">IFERROR(OFFSET(ITEM_RES!$A$1,MATCH(AR286,ITEM_RES!$J:$J,0)-1,0),0)</f>
        <v>211020801</v>
      </c>
      <c r="AR286" s="10" t="s">
        <v>385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1"/>
        <v>0</v>
      </c>
    </row>
    <row r="287" spans="1:66" x14ac:dyDescent="0.3">
      <c r="A287" s="14">
        <f t="shared" si="85"/>
        <v>113060003</v>
      </c>
      <c r="B287" s="13">
        <v>11</v>
      </c>
      <c r="C287" s="12">
        <f t="shared" si="86"/>
        <v>3</v>
      </c>
      <c r="D287" s="13">
        <v>6</v>
      </c>
      <c r="E287" s="13">
        <v>0</v>
      </c>
      <c r="F287" s="12">
        <f t="shared" si="87"/>
        <v>3</v>
      </c>
      <c r="H287" s="9">
        <v>3</v>
      </c>
      <c r="I287" s="9">
        <v>3</v>
      </c>
      <c r="K287" s="9" t="s">
        <v>1024</v>
      </c>
      <c r="M287" s="9">
        <v>1</v>
      </c>
      <c r="N287" s="9">
        <v>15</v>
      </c>
      <c r="O287" s="138" t="s">
        <v>1030</v>
      </c>
      <c r="P287" s="55" t="s">
        <v>1377</v>
      </c>
      <c r="Q287" s="9" t="s">
        <v>1025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1028</v>
      </c>
      <c r="Z287" s="9">
        <v>3</v>
      </c>
      <c r="AB287" s="11">
        <f ca="1">IFERROR(OFFSET(MANOR_LEVEL!$B$1,MATCH(AC287-1,MANOR_LEVEL!$A:$A,0)-1,0),0)</f>
        <v>1956000</v>
      </c>
      <c r="AC287" s="55">
        <v>11</v>
      </c>
      <c r="AE287" s="55">
        <f t="shared" ca="1" si="84"/>
        <v>1290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1290</v>
      </c>
      <c r="AG287" s="176">
        <f t="shared" ref="AG287:AG304" ca="1" si="92">AE286+AE287</f>
        <v>2150</v>
      </c>
      <c r="AI287" s="11">
        <f t="shared" si="88"/>
        <v>5</v>
      </c>
      <c r="AJ287" s="10">
        <v>5</v>
      </c>
      <c r="AK287" s="11">
        <f t="shared" si="89"/>
        <v>15</v>
      </c>
      <c r="AL287" s="10">
        <v>15</v>
      </c>
      <c r="AM287" s="11">
        <v>75</v>
      </c>
      <c r="AN287" s="10">
        <v>0</v>
      </c>
      <c r="AO287" s="55">
        <f t="shared" si="90"/>
        <v>1</v>
      </c>
      <c r="AQ287" s="11">
        <f ca="1">IFERROR(OFFSET(ITEM_RES!$A$1,MATCH(AR287,ITEM_RES!$J:$J,0)-1,0),0)</f>
        <v>211020801</v>
      </c>
      <c r="AR287" s="10" t="s">
        <v>385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1"/>
        <v>0</v>
      </c>
    </row>
    <row r="288" spans="1:66" x14ac:dyDescent="0.3">
      <c r="A288" s="14">
        <f t="shared" si="85"/>
        <v>113060004</v>
      </c>
      <c r="B288" s="13">
        <v>11</v>
      </c>
      <c r="C288" s="12">
        <f t="shared" si="86"/>
        <v>3</v>
      </c>
      <c r="D288" s="13">
        <v>6</v>
      </c>
      <c r="E288" s="13">
        <v>0</v>
      </c>
      <c r="F288" s="12">
        <f t="shared" si="87"/>
        <v>4</v>
      </c>
      <c r="H288" s="9">
        <v>3</v>
      </c>
      <c r="I288" s="9">
        <v>4</v>
      </c>
      <c r="K288" s="9" t="s">
        <v>1024</v>
      </c>
      <c r="M288" s="9">
        <v>1</v>
      </c>
      <c r="N288" s="9">
        <v>15</v>
      </c>
      <c r="O288" s="138" t="s">
        <v>1030</v>
      </c>
      <c r="P288" s="55" t="s">
        <v>1377</v>
      </c>
      <c r="Q288" s="9" t="s">
        <v>1025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1028</v>
      </c>
      <c r="Z288" s="9">
        <v>4</v>
      </c>
      <c r="AB288" s="11">
        <f ca="1">IFERROR(OFFSET(MANOR_LEVEL!$B$1,MATCH(AC288-1,MANOR_LEVEL!$A:$A,0)-1,0),0)</f>
        <v>1956000</v>
      </c>
      <c r="AC288" s="55">
        <v>11</v>
      </c>
      <c r="AE288" s="55">
        <f t="shared" ca="1" si="84"/>
        <v>5125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5125</v>
      </c>
      <c r="AG288" s="176">
        <f t="shared" ca="1" si="92"/>
        <v>6415</v>
      </c>
      <c r="AI288" s="11">
        <f t="shared" si="88"/>
        <v>10</v>
      </c>
      <c r="AJ288" s="10">
        <v>10</v>
      </c>
      <c r="AK288" s="11">
        <f t="shared" si="89"/>
        <v>25</v>
      </c>
      <c r="AL288" s="10">
        <v>25</v>
      </c>
      <c r="AM288" s="11">
        <v>300</v>
      </c>
      <c r="AN288" s="10">
        <v>0</v>
      </c>
      <c r="AO288" s="55">
        <f t="shared" si="90"/>
        <v>1</v>
      </c>
      <c r="AQ288" s="11">
        <f ca="1">IFERROR(OFFSET(ITEM_RES!$A$1,MATCH(AR288,ITEM_RES!$J:$J,0)-1,0),0)</f>
        <v>211020801</v>
      </c>
      <c r="AR288" s="10" t="s">
        <v>385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1"/>
        <v>0</v>
      </c>
    </row>
    <row r="289" spans="1:65" x14ac:dyDescent="0.3">
      <c r="A289" s="14">
        <f t="shared" si="85"/>
        <v>113060005</v>
      </c>
      <c r="B289" s="13">
        <v>11</v>
      </c>
      <c r="C289" s="12">
        <f t="shared" si="86"/>
        <v>3</v>
      </c>
      <c r="D289" s="13">
        <v>6</v>
      </c>
      <c r="E289" s="13">
        <v>0</v>
      </c>
      <c r="F289" s="12">
        <f t="shared" si="87"/>
        <v>5</v>
      </c>
      <c r="H289" s="9">
        <v>3</v>
      </c>
      <c r="I289" s="9">
        <v>5</v>
      </c>
      <c r="K289" s="9" t="s">
        <v>1024</v>
      </c>
      <c r="M289" s="9">
        <v>1</v>
      </c>
      <c r="N289" s="9">
        <v>15</v>
      </c>
      <c r="O289" s="138" t="s">
        <v>1030</v>
      </c>
      <c r="P289" s="55" t="s">
        <v>1377</v>
      </c>
      <c r="Q289" s="9" t="s">
        <v>1025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1028</v>
      </c>
      <c r="Z289" s="9">
        <v>5</v>
      </c>
      <c r="AB289" s="11">
        <f ca="1">IFERROR(OFFSET(MANOR_LEVEL!$B$1,MATCH(AC289-1,MANOR_LEVEL!$A:$A,0)-1,0),0)</f>
        <v>1956000</v>
      </c>
      <c r="AC289" s="55">
        <v>11</v>
      </c>
      <c r="AE289" s="55">
        <f t="shared" ca="1" si="84"/>
        <v>22990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22990</v>
      </c>
      <c r="AG289" s="176">
        <f t="shared" ca="1" si="92"/>
        <v>28115</v>
      </c>
      <c r="AI289" s="11">
        <f t="shared" si="88"/>
        <v>15</v>
      </c>
      <c r="AJ289" s="10">
        <v>15</v>
      </c>
      <c r="AK289" s="11">
        <f t="shared" si="89"/>
        <v>40</v>
      </c>
      <c r="AL289" s="10">
        <v>40</v>
      </c>
      <c r="AM289" s="11">
        <v>1350</v>
      </c>
      <c r="AN289" s="10">
        <v>0</v>
      </c>
      <c r="AO289" s="55">
        <f t="shared" si="90"/>
        <v>1</v>
      </c>
      <c r="AQ289" s="11">
        <f ca="1">IFERROR(OFFSET(ITEM_RES!$A$1,MATCH(AR289,ITEM_RES!$J:$J,0)-1,0),0)</f>
        <v>211020801</v>
      </c>
      <c r="AR289" s="10" t="s">
        <v>385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1"/>
        <v>0</v>
      </c>
    </row>
    <row r="290" spans="1:65" x14ac:dyDescent="0.3">
      <c r="A290" s="14">
        <f t="shared" si="85"/>
        <v>113060006</v>
      </c>
      <c r="B290" s="13">
        <v>11</v>
      </c>
      <c r="C290" s="12">
        <f t="shared" si="86"/>
        <v>3</v>
      </c>
      <c r="D290" s="13">
        <v>6</v>
      </c>
      <c r="E290" s="13">
        <v>0</v>
      </c>
      <c r="F290" s="12">
        <f t="shared" si="87"/>
        <v>6</v>
      </c>
      <c r="H290" s="9">
        <v>3</v>
      </c>
      <c r="I290" s="9">
        <v>6</v>
      </c>
      <c r="K290" s="9" t="s">
        <v>1024</v>
      </c>
      <c r="M290" s="9">
        <v>1</v>
      </c>
      <c r="N290" s="9">
        <v>15</v>
      </c>
      <c r="O290" s="138" t="s">
        <v>1030</v>
      </c>
      <c r="P290" s="55" t="s">
        <v>1377</v>
      </c>
      <c r="Q290" s="9" t="s">
        <v>1025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1028</v>
      </c>
      <c r="Z290" s="9">
        <v>6</v>
      </c>
      <c r="AB290" s="11">
        <f ca="1">IFERROR(OFFSET(MANOR_LEVEL!$B$1,MATCH(AC290-1,MANOR_LEVEL!$A:$A,0)-1,0),0)</f>
        <v>1956000</v>
      </c>
      <c r="AC290" s="55">
        <v>11</v>
      </c>
      <c r="AE290" s="55">
        <f t="shared" ca="1" si="84"/>
        <v>76550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76550</v>
      </c>
      <c r="AG290" s="176">
        <f t="shared" ca="1" si="92"/>
        <v>99540</v>
      </c>
      <c r="AI290" s="11">
        <f t="shared" si="88"/>
        <v>30</v>
      </c>
      <c r="AJ290" s="10">
        <v>30</v>
      </c>
      <c r="AK290" s="11">
        <f t="shared" si="89"/>
        <v>50</v>
      </c>
      <c r="AL290" s="10">
        <v>50</v>
      </c>
      <c r="AM290" s="11">
        <v>4500</v>
      </c>
      <c r="AN290" s="10">
        <v>0</v>
      </c>
      <c r="AO290" s="55">
        <f t="shared" si="90"/>
        <v>1</v>
      </c>
      <c r="AQ290" s="11">
        <f ca="1">IFERROR(OFFSET(ITEM_RES!$A$1,MATCH(AR290,ITEM_RES!$J:$J,0)-1,0),0)</f>
        <v>211020801</v>
      </c>
      <c r="AR290" s="10" t="s">
        <v>385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1"/>
        <v>0</v>
      </c>
    </row>
    <row r="291" spans="1:65" x14ac:dyDescent="0.3">
      <c r="A291" s="14">
        <f t="shared" si="85"/>
        <v>113060007</v>
      </c>
      <c r="B291" s="13">
        <v>11</v>
      </c>
      <c r="C291" s="12">
        <f t="shared" si="86"/>
        <v>3</v>
      </c>
      <c r="D291" s="13">
        <v>6</v>
      </c>
      <c r="E291" s="13">
        <v>0</v>
      </c>
      <c r="F291" s="12">
        <f t="shared" si="87"/>
        <v>7</v>
      </c>
      <c r="H291" s="9">
        <v>3</v>
      </c>
      <c r="I291" s="9">
        <v>7</v>
      </c>
      <c r="K291" s="9" t="s">
        <v>1024</v>
      </c>
      <c r="M291" s="9">
        <v>1</v>
      </c>
      <c r="N291" s="9">
        <v>15</v>
      </c>
      <c r="O291" s="138" t="s">
        <v>1030</v>
      </c>
      <c r="P291" s="55" t="s">
        <v>1377</v>
      </c>
      <c r="Q291" s="9" t="s">
        <v>1025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1028</v>
      </c>
      <c r="Z291" s="9">
        <v>7</v>
      </c>
      <c r="AB291" s="11">
        <f ca="1">IFERROR(OFFSET(MANOR_LEVEL!$B$1,MATCH(AC291-1,MANOR_LEVEL!$A:$A,0)-1,0),0)</f>
        <v>1956000</v>
      </c>
      <c r="AC291" s="55">
        <v>11</v>
      </c>
      <c r="AE291" s="55">
        <f t="shared" ca="1" si="84"/>
        <v>170100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170100</v>
      </c>
      <c r="AG291" s="176">
        <f t="shared" ca="1" si="92"/>
        <v>246650</v>
      </c>
      <c r="AI291" s="11">
        <f t="shared" si="88"/>
        <v>300</v>
      </c>
      <c r="AJ291" s="10">
        <v>300</v>
      </c>
      <c r="AK291" s="11">
        <f t="shared" si="89"/>
        <v>100</v>
      </c>
      <c r="AL291" s="10">
        <v>100</v>
      </c>
      <c r="AM291" s="11">
        <v>10000</v>
      </c>
      <c r="AN291" s="10">
        <v>0</v>
      </c>
      <c r="AO291" s="55">
        <f t="shared" si="90"/>
        <v>1</v>
      </c>
      <c r="AQ291" s="11">
        <f ca="1">IFERROR(OFFSET(ITEM_RES!$A$1,MATCH(AR291,ITEM_RES!$J:$J,0)-1,0),0)</f>
        <v>211020801</v>
      </c>
      <c r="AR291" s="10" t="s">
        <v>385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1"/>
        <v>0</v>
      </c>
    </row>
    <row r="292" spans="1:65" x14ac:dyDescent="0.3">
      <c r="A292" s="14">
        <f t="shared" si="85"/>
        <v>113060008</v>
      </c>
      <c r="B292" s="13">
        <v>11</v>
      </c>
      <c r="C292" s="12">
        <f t="shared" si="86"/>
        <v>3</v>
      </c>
      <c r="D292" s="13">
        <v>6</v>
      </c>
      <c r="E292" s="13">
        <v>0</v>
      </c>
      <c r="F292" s="12">
        <f t="shared" si="87"/>
        <v>8</v>
      </c>
      <c r="H292" s="9">
        <v>3</v>
      </c>
      <c r="I292" s="9">
        <v>8</v>
      </c>
      <c r="K292" s="9" t="s">
        <v>1024</v>
      </c>
      <c r="M292" s="9">
        <v>1</v>
      </c>
      <c r="N292" s="9">
        <v>15</v>
      </c>
      <c r="O292" s="138" t="s">
        <v>1030</v>
      </c>
      <c r="P292" s="55" t="s">
        <v>1377</v>
      </c>
      <c r="Q292" s="9" t="s">
        <v>1025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1028</v>
      </c>
      <c r="Z292" s="9">
        <v>8</v>
      </c>
      <c r="AB292" s="11">
        <f ca="1">IFERROR(OFFSET(MANOR_LEVEL!$B$1,MATCH(AC292-1,MANOR_LEVEL!$A:$A,0)-1,0),0)</f>
        <v>1956000</v>
      </c>
      <c r="AC292" s="55">
        <v>11</v>
      </c>
      <c r="AE292" s="55">
        <f t="shared" ca="1" si="84"/>
        <v>358100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358100</v>
      </c>
      <c r="AG292" s="176">
        <f t="shared" ca="1" si="92"/>
        <v>528200</v>
      </c>
      <c r="AI292" s="11">
        <f t="shared" si="88"/>
        <v>600</v>
      </c>
      <c r="AJ292" s="10">
        <v>600</v>
      </c>
      <c r="AK292" s="11">
        <f t="shared" si="89"/>
        <v>100</v>
      </c>
      <c r="AL292" s="10">
        <v>100</v>
      </c>
      <c r="AM292" s="11">
        <v>21000</v>
      </c>
      <c r="AN292" s="10">
        <v>0</v>
      </c>
      <c r="AO292" s="55">
        <f t="shared" si="90"/>
        <v>2</v>
      </c>
      <c r="AQ292" s="11">
        <f ca="1">IFERROR(OFFSET(ITEM_RES!$A$1,MATCH(AR292,ITEM_RES!$J:$J,0)-1,0),0)</f>
        <v>211020801</v>
      </c>
      <c r="AR292" s="10" t="s">
        <v>385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445</v>
      </c>
      <c r="BH292" s="11">
        <v>1</v>
      </c>
      <c r="BK292" s="11">
        <f ca="1">IFERROR(OFFSET(ITEM_RES!$A$1,MATCH(BL292,ITEM_RES!$J:$J,0)-1,0),0)</f>
        <v>0</v>
      </c>
      <c r="BM292" s="11">
        <f t="shared" si="91"/>
        <v>0</v>
      </c>
    </row>
    <row r="293" spans="1:65" x14ac:dyDescent="0.3">
      <c r="A293" s="14">
        <f t="shared" si="85"/>
        <v>113060009</v>
      </c>
      <c r="B293" s="13">
        <v>11</v>
      </c>
      <c r="C293" s="12">
        <f t="shared" si="86"/>
        <v>3</v>
      </c>
      <c r="D293" s="13">
        <v>6</v>
      </c>
      <c r="E293" s="13">
        <v>0</v>
      </c>
      <c r="F293" s="12">
        <f t="shared" si="87"/>
        <v>9</v>
      </c>
      <c r="H293" s="9">
        <v>3</v>
      </c>
      <c r="I293" s="9">
        <v>9</v>
      </c>
      <c r="K293" s="9" t="s">
        <v>1024</v>
      </c>
      <c r="M293" s="9">
        <v>1</v>
      </c>
      <c r="N293" s="9">
        <v>15</v>
      </c>
      <c r="O293" s="138" t="s">
        <v>1030</v>
      </c>
      <c r="P293" s="55" t="s">
        <v>1377</v>
      </c>
      <c r="Q293" s="9" t="s">
        <v>1025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1028</v>
      </c>
      <c r="Z293" s="9">
        <v>9</v>
      </c>
      <c r="AB293" s="11">
        <f ca="1">IFERROR(OFFSET(MANOR_LEVEL!$B$1,MATCH(AC293-1,MANOR_LEVEL!$A:$A,0)-1,0),0)</f>
        <v>1956000</v>
      </c>
      <c r="AC293" s="55">
        <v>11</v>
      </c>
      <c r="AE293" s="55">
        <f t="shared" ca="1" si="84"/>
        <v>663150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663150</v>
      </c>
      <c r="AG293" s="176">
        <f t="shared" ca="1" si="92"/>
        <v>1021250</v>
      </c>
      <c r="AI293" s="11">
        <f t="shared" si="88"/>
        <v>900</v>
      </c>
      <c r="AJ293" s="10">
        <v>900</v>
      </c>
      <c r="AK293" s="11">
        <f t="shared" si="89"/>
        <v>150</v>
      </c>
      <c r="AL293" s="10">
        <v>150</v>
      </c>
      <c r="AM293" s="11">
        <v>39000</v>
      </c>
      <c r="AN293" s="10">
        <v>0</v>
      </c>
      <c r="AO293" s="55">
        <f t="shared" si="90"/>
        <v>1</v>
      </c>
      <c r="AQ293" s="11">
        <f ca="1">IFERROR(OFFSET(ITEM_RES!$A$1,MATCH(AR293,ITEM_RES!$J:$J,0)-1,0),0)</f>
        <v>211020801</v>
      </c>
      <c r="AR293" s="10" t="s">
        <v>385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1"/>
        <v>0</v>
      </c>
    </row>
    <row r="294" spans="1:65" x14ac:dyDescent="0.3">
      <c r="A294" s="14">
        <f t="shared" si="85"/>
        <v>113060010</v>
      </c>
      <c r="B294" s="13">
        <v>11</v>
      </c>
      <c r="C294" s="12">
        <f t="shared" si="86"/>
        <v>3</v>
      </c>
      <c r="D294" s="13">
        <v>6</v>
      </c>
      <c r="E294" s="13">
        <v>0</v>
      </c>
      <c r="F294" s="12">
        <f t="shared" si="87"/>
        <v>10</v>
      </c>
      <c r="H294" s="9">
        <v>3</v>
      </c>
      <c r="I294" s="9">
        <v>10</v>
      </c>
      <c r="K294" s="9" t="s">
        <v>1024</v>
      </c>
      <c r="M294" s="9">
        <v>1</v>
      </c>
      <c r="N294" s="9">
        <v>15</v>
      </c>
      <c r="O294" s="138" t="s">
        <v>1030</v>
      </c>
      <c r="P294" s="55" t="s">
        <v>1377</v>
      </c>
      <c r="Q294" s="9" t="s">
        <v>1025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1028</v>
      </c>
      <c r="Z294" s="9">
        <v>10</v>
      </c>
      <c r="AB294" s="11">
        <f ca="1">IFERROR(OFFSET(MANOR_LEVEL!$B$1,MATCH(AC294-1,MANOR_LEVEL!$A:$A,0)-1,0),0)</f>
        <v>1956000</v>
      </c>
      <c r="AC294" s="55">
        <v>11</v>
      </c>
      <c r="AE294" s="55">
        <f t="shared" ca="1" si="84"/>
        <v>1105200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1105200</v>
      </c>
      <c r="AG294" s="176">
        <f t="shared" ca="1" si="92"/>
        <v>1768350</v>
      </c>
      <c r="AI294" s="11">
        <f t="shared" si="88"/>
        <v>1200</v>
      </c>
      <c r="AJ294" s="10">
        <v>1200</v>
      </c>
      <c r="AK294" s="11">
        <f t="shared" si="89"/>
        <v>200</v>
      </c>
      <c r="AL294" s="10">
        <v>200</v>
      </c>
      <c r="AM294" s="11">
        <v>65000</v>
      </c>
      <c r="AN294" s="10">
        <v>0</v>
      </c>
      <c r="AO294" s="55">
        <f t="shared" si="90"/>
        <v>1</v>
      </c>
      <c r="AQ294" s="11">
        <f ca="1">IFERROR(OFFSET(ITEM_RES!$A$1,MATCH(AR294,ITEM_RES!$J:$J,0)-1,0),0)</f>
        <v>211020801</v>
      </c>
      <c r="AR294" s="10" t="s">
        <v>385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1"/>
        <v>0</v>
      </c>
    </row>
    <row r="295" spans="1:65" x14ac:dyDescent="0.3">
      <c r="A295" s="14">
        <f t="shared" si="85"/>
        <v>113060011</v>
      </c>
      <c r="B295" s="13">
        <v>11</v>
      </c>
      <c r="C295" s="12">
        <f t="shared" si="86"/>
        <v>3</v>
      </c>
      <c r="D295" s="13">
        <v>6</v>
      </c>
      <c r="E295" s="13">
        <v>0</v>
      </c>
      <c r="F295" s="12">
        <f t="shared" si="87"/>
        <v>11</v>
      </c>
      <c r="H295" s="9">
        <v>3</v>
      </c>
      <c r="I295" s="9">
        <v>11</v>
      </c>
      <c r="K295" s="9" t="s">
        <v>1024</v>
      </c>
      <c r="M295" s="9">
        <v>1</v>
      </c>
      <c r="N295" s="9">
        <v>15</v>
      </c>
      <c r="O295" s="138" t="s">
        <v>1030</v>
      </c>
      <c r="P295" s="55" t="s">
        <v>1377</v>
      </c>
      <c r="Q295" s="9" t="s">
        <v>1025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1028</v>
      </c>
      <c r="Z295" s="9">
        <v>11</v>
      </c>
      <c r="AB295" s="11">
        <f ca="1">IFERROR(OFFSET(MANOR_LEVEL!$B$1,MATCH(AC295-1,MANOR_LEVEL!$A:$A,0)-1,0),0)</f>
        <v>1956000</v>
      </c>
      <c r="AC295" s="55">
        <v>11</v>
      </c>
      <c r="AE295" s="55">
        <f t="shared" ca="1" si="84"/>
        <v>1870250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1870250</v>
      </c>
      <c r="AG295" s="176">
        <f t="shared" ca="1" si="92"/>
        <v>2975450</v>
      </c>
      <c r="AI295" s="11">
        <f t="shared" si="88"/>
        <v>1500</v>
      </c>
      <c r="AJ295" s="10">
        <v>1500</v>
      </c>
      <c r="AK295" s="11">
        <f t="shared" si="89"/>
        <v>250</v>
      </c>
      <c r="AL295" s="10">
        <v>250</v>
      </c>
      <c r="AM295" s="11">
        <v>110000</v>
      </c>
      <c r="AN295" s="10">
        <v>0</v>
      </c>
      <c r="AO295" s="55">
        <f t="shared" si="90"/>
        <v>1</v>
      </c>
      <c r="AQ295" s="11">
        <f ca="1">IFERROR(OFFSET(ITEM_RES!$A$1,MATCH(AR295,ITEM_RES!$J:$J,0)-1,0),0)</f>
        <v>211020801</v>
      </c>
      <c r="AR295" s="10" t="s">
        <v>385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1"/>
        <v>0</v>
      </c>
    </row>
    <row r="296" spans="1:65" x14ac:dyDescent="0.3">
      <c r="A296" s="14">
        <f t="shared" si="85"/>
        <v>113060012</v>
      </c>
      <c r="B296" s="13">
        <v>11</v>
      </c>
      <c r="C296" s="12">
        <f t="shared" si="86"/>
        <v>3</v>
      </c>
      <c r="D296" s="13">
        <v>6</v>
      </c>
      <c r="E296" s="13">
        <v>0</v>
      </c>
      <c r="F296" s="12">
        <f t="shared" si="87"/>
        <v>12</v>
      </c>
      <c r="H296" s="9">
        <v>3</v>
      </c>
      <c r="I296" s="9">
        <v>12</v>
      </c>
      <c r="K296" s="9" t="s">
        <v>1024</v>
      </c>
      <c r="M296" s="9">
        <v>1</v>
      </c>
      <c r="N296" s="9">
        <v>15</v>
      </c>
      <c r="O296" s="138" t="s">
        <v>1030</v>
      </c>
      <c r="P296" s="55" t="s">
        <v>1377</v>
      </c>
      <c r="Q296" s="9" t="s">
        <v>1025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1028</v>
      </c>
      <c r="Z296" s="9">
        <v>12</v>
      </c>
      <c r="AB296" s="11">
        <f ca="1">IFERROR(OFFSET(MANOR_LEVEL!$B$1,MATCH(AC296-1,MANOR_LEVEL!$A:$A,0)-1,0),0)</f>
        <v>1956000</v>
      </c>
      <c r="AC296" s="55">
        <v>11</v>
      </c>
      <c r="AE296" s="55">
        <f t="shared" ca="1" si="84"/>
        <v>3145300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3145300</v>
      </c>
      <c r="AG296" s="176">
        <f t="shared" ca="1" si="92"/>
        <v>5015550</v>
      </c>
      <c r="AI296" s="11">
        <f t="shared" si="88"/>
        <v>1800</v>
      </c>
      <c r="AJ296" s="10">
        <v>1800</v>
      </c>
      <c r="AK296" s="11">
        <f t="shared" si="89"/>
        <v>300</v>
      </c>
      <c r="AL296" s="10">
        <v>300</v>
      </c>
      <c r="AM296" s="11">
        <v>185000</v>
      </c>
      <c r="AN296" s="10">
        <v>0</v>
      </c>
      <c r="AO296" s="55">
        <f t="shared" si="90"/>
        <v>1</v>
      </c>
      <c r="AQ296" s="11">
        <f ca="1">IFERROR(OFFSET(ITEM_RES!$A$1,MATCH(AR296,ITEM_RES!$J:$J,0)-1,0),0)</f>
        <v>211020801</v>
      </c>
      <c r="AR296" s="10" t="s">
        <v>385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1"/>
        <v>0</v>
      </c>
    </row>
    <row r="297" spans="1:65" x14ac:dyDescent="0.3">
      <c r="A297" s="14">
        <f t="shared" si="85"/>
        <v>113060013</v>
      </c>
      <c r="B297" s="13">
        <v>11</v>
      </c>
      <c r="C297" s="12">
        <f t="shared" si="86"/>
        <v>3</v>
      </c>
      <c r="D297" s="13">
        <v>6</v>
      </c>
      <c r="E297" s="13">
        <v>0</v>
      </c>
      <c r="F297" s="12">
        <f t="shared" si="87"/>
        <v>13</v>
      </c>
      <c r="H297" s="9">
        <v>3</v>
      </c>
      <c r="I297" s="9">
        <v>13</v>
      </c>
      <c r="K297" s="9" t="s">
        <v>1024</v>
      </c>
      <c r="M297" s="9">
        <v>1</v>
      </c>
      <c r="N297" s="9">
        <v>15</v>
      </c>
      <c r="O297" s="138" t="s">
        <v>1030</v>
      </c>
      <c r="P297" s="55" t="s">
        <v>1377</v>
      </c>
      <c r="Q297" s="9" t="s">
        <v>1025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1028</v>
      </c>
      <c r="Z297" s="9">
        <v>13</v>
      </c>
      <c r="AB297" s="11">
        <f ca="1">IFERROR(OFFSET(MANOR_LEVEL!$B$1,MATCH(AC297-1,MANOR_LEVEL!$A:$A,0)-1,0),0)</f>
        <v>1956000</v>
      </c>
      <c r="AC297" s="55">
        <v>11</v>
      </c>
      <c r="AE297" s="55">
        <f t="shared" ca="1" si="84"/>
        <v>5270350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5270350</v>
      </c>
      <c r="AG297" s="176">
        <f t="shared" ca="1" si="92"/>
        <v>8415650</v>
      </c>
      <c r="AI297" s="11">
        <f t="shared" si="88"/>
        <v>2100</v>
      </c>
      <c r="AJ297" s="10">
        <v>2100</v>
      </c>
      <c r="AK297" s="11">
        <f t="shared" si="89"/>
        <v>350</v>
      </c>
      <c r="AL297" s="10">
        <v>350</v>
      </c>
      <c r="AM297" s="11">
        <v>310000</v>
      </c>
      <c r="AN297" s="10">
        <v>0</v>
      </c>
      <c r="AO297" s="55">
        <f t="shared" si="90"/>
        <v>1</v>
      </c>
      <c r="AQ297" s="11">
        <f ca="1">IFERROR(OFFSET(ITEM_RES!$A$1,MATCH(AR297,ITEM_RES!$J:$J,0)-1,0),0)</f>
        <v>211020801</v>
      </c>
      <c r="AR297" s="10" t="s">
        <v>385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1"/>
        <v>0</v>
      </c>
    </row>
    <row r="298" spans="1:65" x14ac:dyDescent="0.3">
      <c r="A298" s="14">
        <f t="shared" si="85"/>
        <v>113060014</v>
      </c>
      <c r="B298" s="13">
        <v>11</v>
      </c>
      <c r="C298" s="12">
        <f t="shared" si="86"/>
        <v>3</v>
      </c>
      <c r="D298" s="13">
        <v>6</v>
      </c>
      <c r="E298" s="13">
        <v>0</v>
      </c>
      <c r="F298" s="12">
        <f t="shared" si="87"/>
        <v>14</v>
      </c>
      <c r="H298" s="9">
        <v>3</v>
      </c>
      <c r="I298" s="9">
        <v>14</v>
      </c>
      <c r="K298" s="9" t="s">
        <v>1024</v>
      </c>
      <c r="M298" s="9">
        <v>1</v>
      </c>
      <c r="N298" s="9">
        <v>15</v>
      </c>
      <c r="O298" s="138" t="s">
        <v>1030</v>
      </c>
      <c r="P298" s="55" t="s">
        <v>1377</v>
      </c>
      <c r="Q298" s="9" t="s">
        <v>1025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1028</v>
      </c>
      <c r="Z298" s="9">
        <v>14</v>
      </c>
      <c r="AB298" s="11">
        <f ca="1">IFERROR(OFFSET(MANOR_LEVEL!$B$1,MATCH(AC298-1,MANOR_LEVEL!$A:$A,0)-1,0),0)</f>
        <v>1956000</v>
      </c>
      <c r="AC298" s="55">
        <v>11</v>
      </c>
      <c r="AE298" s="55">
        <f t="shared" ca="1" si="84"/>
        <v>8245450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8245450</v>
      </c>
      <c r="AG298" s="176">
        <f t="shared" ca="1" si="92"/>
        <v>13515800</v>
      </c>
      <c r="AI298" s="11">
        <f t="shared" si="88"/>
        <v>2400</v>
      </c>
      <c r="AJ298" s="10">
        <v>2400</v>
      </c>
      <c r="AK298" s="11">
        <f t="shared" si="89"/>
        <v>450</v>
      </c>
      <c r="AL298" s="10">
        <v>450</v>
      </c>
      <c r="AM298" s="11">
        <v>485000</v>
      </c>
      <c r="AN298" s="10">
        <v>0</v>
      </c>
      <c r="AO298" s="55">
        <f t="shared" si="90"/>
        <v>1</v>
      </c>
      <c r="AQ298" s="11">
        <f ca="1">IFERROR(OFFSET(ITEM_RES!$A$1,MATCH(AR298,ITEM_RES!$J:$J,0)-1,0),0)</f>
        <v>211020801</v>
      </c>
      <c r="AR298" s="10" t="s">
        <v>385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1"/>
        <v>0</v>
      </c>
    </row>
    <row r="299" spans="1:65" x14ac:dyDescent="0.3">
      <c r="A299" s="14">
        <f t="shared" si="85"/>
        <v>113060015</v>
      </c>
      <c r="B299" s="13">
        <v>11</v>
      </c>
      <c r="C299" s="12">
        <f t="shared" si="86"/>
        <v>3</v>
      </c>
      <c r="D299" s="13">
        <v>6</v>
      </c>
      <c r="E299" s="13">
        <v>0</v>
      </c>
      <c r="F299" s="12">
        <f t="shared" si="87"/>
        <v>15</v>
      </c>
      <c r="H299" s="9">
        <v>3</v>
      </c>
      <c r="I299" s="9">
        <v>15</v>
      </c>
      <c r="K299" s="9" t="s">
        <v>1024</v>
      </c>
      <c r="M299" s="9">
        <v>1</v>
      </c>
      <c r="N299" s="9">
        <v>15</v>
      </c>
      <c r="O299" s="138" t="s">
        <v>1030</v>
      </c>
      <c r="P299" s="55" t="s">
        <v>1377</v>
      </c>
      <c r="Q299" s="9" t="s">
        <v>1025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1028</v>
      </c>
      <c r="Z299" s="9">
        <v>15</v>
      </c>
      <c r="AB299" s="11">
        <f ca="1">IFERROR(OFFSET(MANOR_LEVEL!$B$1,MATCH(AC299-1,MANOR_LEVEL!$A:$A,0)-1,0),0)</f>
        <v>1956000</v>
      </c>
      <c r="AC299" s="55">
        <v>11</v>
      </c>
      <c r="AE299" s="55">
        <f t="shared" ca="1" si="84"/>
        <v>17850550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17850550</v>
      </c>
      <c r="AG299" s="176">
        <f t="shared" ca="1" si="92"/>
        <v>26096000</v>
      </c>
      <c r="AI299" s="11">
        <f t="shared" si="88"/>
        <v>2700</v>
      </c>
      <c r="AJ299" s="10">
        <v>2700</v>
      </c>
      <c r="AK299" s="11">
        <f t="shared" si="89"/>
        <v>550</v>
      </c>
      <c r="AL299" s="10">
        <v>550</v>
      </c>
      <c r="AM299" s="11">
        <v>1050000</v>
      </c>
      <c r="AN299" s="10">
        <v>0</v>
      </c>
      <c r="AO299" s="55">
        <f t="shared" si="90"/>
        <v>1</v>
      </c>
      <c r="AQ299" s="11">
        <f ca="1">IFERROR(OFFSET(ITEM_RES!$A$1,MATCH(AR299,ITEM_RES!$J:$J,0)-1,0),0)</f>
        <v>211020801</v>
      </c>
      <c r="AR299" s="10" t="s">
        <v>385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1"/>
        <v>0</v>
      </c>
    </row>
    <row r="300" spans="1:65" x14ac:dyDescent="0.3">
      <c r="A300" s="14">
        <f t="shared" si="85"/>
        <v>113060016</v>
      </c>
      <c r="B300" s="13">
        <v>11</v>
      </c>
      <c r="C300" s="12">
        <f t="shared" si="86"/>
        <v>3</v>
      </c>
      <c r="D300" s="13">
        <v>6</v>
      </c>
      <c r="E300" s="13">
        <v>0</v>
      </c>
      <c r="F300" s="12">
        <f t="shared" si="87"/>
        <v>16</v>
      </c>
      <c r="H300" s="9">
        <v>3</v>
      </c>
      <c r="I300" s="9">
        <v>16</v>
      </c>
      <c r="K300" s="9" t="s">
        <v>1024</v>
      </c>
      <c r="M300" s="9">
        <v>0</v>
      </c>
      <c r="N300" s="9">
        <v>15</v>
      </c>
      <c r="O300" s="138" t="s">
        <v>1030</v>
      </c>
      <c r="P300" s="55" t="s">
        <v>1377</v>
      </c>
      <c r="Q300" s="9" t="s">
        <v>1025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1028</v>
      </c>
      <c r="Z300" s="9">
        <v>16</v>
      </c>
      <c r="AB300" s="11">
        <f ca="1">IFERROR(OFFSET(MANOR_LEVEL!$B$1,MATCH(AC300-1,MANOR_LEVEL!$A:$A,0)-1,0),0)</f>
        <v>3961500</v>
      </c>
      <c r="AC300" s="55">
        <v>12</v>
      </c>
      <c r="AE300" s="55">
        <f t="shared" ca="1" si="84"/>
        <v>36550700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36550700</v>
      </c>
      <c r="AG300" s="176">
        <f t="shared" ca="1" si="92"/>
        <v>54401250</v>
      </c>
      <c r="AI300" s="11">
        <f t="shared" si="88"/>
        <v>3000</v>
      </c>
      <c r="AJ300" s="10">
        <v>3000</v>
      </c>
      <c r="AK300" s="11">
        <f t="shared" si="89"/>
        <v>700</v>
      </c>
      <c r="AL300" s="10">
        <v>700</v>
      </c>
      <c r="AM300" s="11">
        <v>2150000</v>
      </c>
      <c r="AN300" s="10">
        <v>0</v>
      </c>
      <c r="AO300" s="55">
        <f t="shared" si="90"/>
        <v>1</v>
      </c>
      <c r="AQ300" s="11">
        <f ca="1">IFERROR(OFFSET(ITEM_RES!$A$1,MATCH(AR300,ITEM_RES!$J:$J,0)-1,0),0)</f>
        <v>211020801</v>
      </c>
      <c r="AR300" s="10" t="s">
        <v>385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1"/>
        <v>0</v>
      </c>
    </row>
    <row r="301" spans="1:65" x14ac:dyDescent="0.3">
      <c r="A301" s="14">
        <f t="shared" si="85"/>
        <v>113060017</v>
      </c>
      <c r="B301" s="13">
        <v>11</v>
      </c>
      <c r="C301" s="12">
        <f t="shared" si="86"/>
        <v>3</v>
      </c>
      <c r="D301" s="13">
        <v>6</v>
      </c>
      <c r="E301" s="13">
        <v>0</v>
      </c>
      <c r="F301" s="12">
        <f t="shared" si="87"/>
        <v>17</v>
      </c>
      <c r="H301" s="9">
        <v>3</v>
      </c>
      <c r="I301" s="9">
        <v>17</v>
      </c>
      <c r="K301" s="9" t="s">
        <v>1024</v>
      </c>
      <c r="M301" s="9">
        <v>0</v>
      </c>
      <c r="N301" s="9">
        <v>15</v>
      </c>
      <c r="O301" s="138" t="s">
        <v>1030</v>
      </c>
      <c r="P301" s="55" t="s">
        <v>1377</v>
      </c>
      <c r="Q301" s="9" t="s">
        <v>1025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1028</v>
      </c>
      <c r="Z301" s="9">
        <v>17</v>
      </c>
      <c r="AB301" s="11">
        <f ca="1">IFERROR(OFFSET(MANOR_LEVEL!$B$1,MATCH(AC301-1,MANOR_LEVEL!$A:$A,0)-1,0),0)</f>
        <v>23283600</v>
      </c>
      <c r="AC301" s="55">
        <v>15</v>
      </c>
      <c r="AE301" s="55">
        <f t="shared" ca="1" si="84"/>
        <v>84000850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84000850</v>
      </c>
      <c r="AG301" s="176">
        <f t="shared" ca="1" si="92"/>
        <v>120551550</v>
      </c>
      <c r="AI301" s="11">
        <f t="shared" si="88"/>
        <v>3300</v>
      </c>
      <c r="AJ301" s="10">
        <v>3300</v>
      </c>
      <c r="AK301" s="11">
        <f t="shared" si="89"/>
        <v>850</v>
      </c>
      <c r="AL301" s="10">
        <v>850</v>
      </c>
      <c r="AM301" s="11">
        <v>4000000</v>
      </c>
      <c r="AN301" s="10">
        <v>0</v>
      </c>
      <c r="AO301" s="55">
        <f t="shared" si="90"/>
        <v>1</v>
      </c>
      <c r="AQ301" s="11">
        <f ca="1">IFERROR(OFFSET(ITEM_RES!$A$1,MATCH(AR301,ITEM_RES!$J:$J,0)-1,0),0)</f>
        <v>211020901</v>
      </c>
      <c r="AR301" s="10" t="s">
        <v>386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1"/>
        <v>0</v>
      </c>
    </row>
    <row r="302" spans="1:65" x14ac:dyDescent="0.3">
      <c r="A302" s="14">
        <f t="shared" si="85"/>
        <v>113060018</v>
      </c>
      <c r="B302" s="13">
        <v>11</v>
      </c>
      <c r="C302" s="12">
        <f t="shared" si="86"/>
        <v>3</v>
      </c>
      <c r="D302" s="13">
        <v>6</v>
      </c>
      <c r="E302" s="13">
        <v>0</v>
      </c>
      <c r="F302" s="12">
        <f t="shared" si="87"/>
        <v>18</v>
      </c>
      <c r="H302" s="9">
        <v>3</v>
      </c>
      <c r="I302" s="9">
        <v>18</v>
      </c>
      <c r="K302" s="9" t="s">
        <v>1024</v>
      </c>
      <c r="M302" s="9">
        <v>0</v>
      </c>
      <c r="N302" s="9">
        <v>15</v>
      </c>
      <c r="O302" s="138" t="s">
        <v>1030</v>
      </c>
      <c r="P302" s="55" t="s">
        <v>1377</v>
      </c>
      <c r="Q302" s="9" t="s">
        <v>1025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1028</v>
      </c>
      <c r="Z302" s="9">
        <v>18</v>
      </c>
      <c r="AB302" s="11">
        <f ca="1">IFERROR(OFFSET(MANOR_LEVEL!$B$1,MATCH(AC302-1,MANOR_LEVEL!$A:$A,0)-1,0),0)</f>
        <v>119976300</v>
      </c>
      <c r="AC302" s="55">
        <v>17</v>
      </c>
      <c r="AE302" s="55">
        <f t="shared" ref="AE302:AE304" ca="1" si="93">ROUND(AF302,0)</f>
        <v>136501050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136501050</v>
      </c>
      <c r="AG302" s="176">
        <f t="shared" ca="1" si="92"/>
        <v>220501900</v>
      </c>
      <c r="AI302" s="11">
        <f t="shared" si="88"/>
        <v>3600</v>
      </c>
      <c r="AJ302" s="10">
        <v>3600</v>
      </c>
      <c r="AK302" s="11">
        <f t="shared" si="89"/>
        <v>1050</v>
      </c>
      <c r="AL302" s="10">
        <v>1050</v>
      </c>
      <c r="AM302" s="11">
        <v>6500000</v>
      </c>
      <c r="AN302" s="10">
        <v>0</v>
      </c>
      <c r="AO302" s="55">
        <f t="shared" si="90"/>
        <v>1</v>
      </c>
      <c r="AQ302" s="11">
        <f ca="1">IFERROR(OFFSET(ITEM_RES!$A$1,MATCH(AR302,ITEM_RES!$J:$J,0)-1,0),0)</f>
        <v>211020901</v>
      </c>
      <c r="AR302" s="10" t="s">
        <v>386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1"/>
        <v>0</v>
      </c>
    </row>
    <row r="303" spans="1:65" x14ac:dyDescent="0.3">
      <c r="A303" s="14">
        <f t="shared" si="85"/>
        <v>113060019</v>
      </c>
      <c r="B303" s="13">
        <v>11</v>
      </c>
      <c r="C303" s="12">
        <f t="shared" si="86"/>
        <v>3</v>
      </c>
      <c r="D303" s="13">
        <v>6</v>
      </c>
      <c r="E303" s="13">
        <v>0</v>
      </c>
      <c r="F303" s="12">
        <f t="shared" si="87"/>
        <v>19</v>
      </c>
      <c r="H303" s="9">
        <v>3</v>
      </c>
      <c r="I303" s="9">
        <v>19</v>
      </c>
      <c r="K303" s="9" t="s">
        <v>1024</v>
      </c>
      <c r="M303" s="9">
        <v>0</v>
      </c>
      <c r="N303" s="9">
        <v>15</v>
      </c>
      <c r="O303" s="138" t="s">
        <v>1030</v>
      </c>
      <c r="P303" s="55" t="s">
        <v>1377</v>
      </c>
      <c r="Q303" s="9" t="s">
        <v>1025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1028</v>
      </c>
      <c r="Z303" s="9">
        <v>19</v>
      </c>
      <c r="AB303" s="11">
        <f ca="1">IFERROR(OFFSET(MANOR_LEVEL!$B$1,MATCH(AC303-1,MANOR_LEVEL!$A:$A,0)-1,0),0)</f>
        <v>223207650</v>
      </c>
      <c r="AC303" s="55">
        <v>18</v>
      </c>
      <c r="AE303" s="55">
        <f t="shared" ca="1" si="93"/>
        <v>210001250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210001250</v>
      </c>
      <c r="AG303" s="176">
        <f t="shared" ca="1" si="92"/>
        <v>346502300</v>
      </c>
      <c r="AI303" s="11">
        <f t="shared" si="88"/>
        <v>3900</v>
      </c>
      <c r="AJ303" s="10">
        <v>3900</v>
      </c>
      <c r="AK303" s="11">
        <f t="shared" si="89"/>
        <v>1250</v>
      </c>
      <c r="AL303" s="10">
        <v>1250</v>
      </c>
      <c r="AM303" s="11">
        <v>10000000</v>
      </c>
      <c r="AN303" s="10">
        <v>0</v>
      </c>
      <c r="AO303" s="55">
        <f t="shared" si="90"/>
        <v>1</v>
      </c>
      <c r="AQ303" s="11">
        <f ca="1">IFERROR(OFFSET(ITEM_RES!$A$1,MATCH(AR303,ITEM_RES!$J:$J,0)-1,0),0)</f>
        <v>211020901</v>
      </c>
      <c r="AR303" s="10" t="s">
        <v>386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1"/>
        <v>0</v>
      </c>
    </row>
    <row r="304" spans="1:65" ht="17.25" thickBot="1" x14ac:dyDescent="0.35">
      <c r="A304" s="14">
        <f t="shared" si="85"/>
        <v>113060020</v>
      </c>
      <c r="B304" s="13">
        <v>11</v>
      </c>
      <c r="C304" s="12">
        <f t="shared" si="86"/>
        <v>3</v>
      </c>
      <c r="D304" s="13">
        <v>6</v>
      </c>
      <c r="E304" s="13">
        <v>0</v>
      </c>
      <c r="F304" s="12">
        <f t="shared" si="87"/>
        <v>20</v>
      </c>
      <c r="H304" s="9">
        <v>3</v>
      </c>
      <c r="I304" s="9">
        <v>20</v>
      </c>
      <c r="K304" s="9" t="s">
        <v>1024</v>
      </c>
      <c r="M304" s="9">
        <v>0</v>
      </c>
      <c r="N304" s="9">
        <v>15</v>
      </c>
      <c r="O304" s="138" t="s">
        <v>1030</v>
      </c>
      <c r="P304" s="55" t="s">
        <v>1377</v>
      </c>
      <c r="Q304" s="9" t="s">
        <v>1025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1028</v>
      </c>
      <c r="Z304" s="9">
        <v>20</v>
      </c>
      <c r="AB304" s="11">
        <f ca="1">IFERROR(OFFSET(MANOR_LEVEL!$B$1,MATCH(AC304-1,MANOR_LEVEL!$A:$A,0)-1,0),0)</f>
        <v>682013750</v>
      </c>
      <c r="AC304" s="55">
        <v>20</v>
      </c>
      <c r="AE304" s="55">
        <f t="shared" ca="1" si="93"/>
        <v>336001500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336001500</v>
      </c>
      <c r="AG304" s="176">
        <f t="shared" ca="1" si="92"/>
        <v>546002750</v>
      </c>
      <c r="AI304" s="11">
        <f t="shared" si="88"/>
        <v>4200</v>
      </c>
      <c r="AJ304" s="10">
        <v>4200</v>
      </c>
      <c r="AK304" s="11">
        <f t="shared" si="89"/>
        <v>1500</v>
      </c>
      <c r="AL304" s="10">
        <v>1500</v>
      </c>
      <c r="AM304" s="11">
        <v>16000000</v>
      </c>
      <c r="AN304" s="10">
        <v>0</v>
      </c>
      <c r="AO304" s="55">
        <f t="shared" si="90"/>
        <v>1</v>
      </c>
      <c r="AQ304" s="11">
        <f ca="1">IFERROR(OFFSET(ITEM_RES!$A$1,MATCH(AR304,ITEM_RES!$J:$J,0)-1,0),0)</f>
        <v>211020901</v>
      </c>
      <c r="AR304" s="10" t="s">
        <v>386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1"/>
        <v>0</v>
      </c>
    </row>
    <row r="305" spans="1:66" s="15" customFormat="1" x14ac:dyDescent="0.3">
      <c r="A305" s="21">
        <f t="shared" si="78"/>
        <v>111080001</v>
      </c>
      <c r="B305" s="20">
        <v>11</v>
      </c>
      <c r="C305" s="19">
        <f t="shared" si="79"/>
        <v>1</v>
      </c>
      <c r="D305" s="20">
        <v>8</v>
      </c>
      <c r="E305" s="20">
        <v>0</v>
      </c>
      <c r="F305" s="19">
        <f t="shared" si="80"/>
        <v>1</v>
      </c>
      <c r="G305" s="76"/>
      <c r="H305" s="16">
        <v>1</v>
      </c>
      <c r="I305" s="16">
        <v>1</v>
      </c>
      <c r="J305" s="76"/>
      <c r="K305" s="16" t="s">
        <v>890</v>
      </c>
      <c r="L305" s="16">
        <v>4</v>
      </c>
      <c r="M305" s="16">
        <v>1</v>
      </c>
      <c r="N305" s="16">
        <v>15</v>
      </c>
      <c r="O305" s="16" t="s">
        <v>1114</v>
      </c>
      <c r="P305" s="56" t="s">
        <v>1378</v>
      </c>
      <c r="Q305" s="16" t="s">
        <v>681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508</v>
      </c>
      <c r="Z305" s="16">
        <v>1</v>
      </c>
      <c r="AA305" s="76"/>
      <c r="AB305" s="18">
        <f ca="1">IFERROR(OFFSET(MANOR_LEVEL!$B$1,MATCH(AC305-1,MANOR_LEVEL!$A:$A,0)-1,0),0)</f>
        <v>108200</v>
      </c>
      <c r="AC305" s="56">
        <v>7</v>
      </c>
      <c r="AD305" s="76"/>
      <c r="AE305" s="56">
        <f t="shared" ca="1" si="84"/>
        <v>1405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1405</v>
      </c>
      <c r="AG305" s="178">
        <f ca="1">AE305</f>
        <v>1405</v>
      </c>
      <c r="AH305" s="76"/>
      <c r="AI305" s="18">
        <f t="shared" ref="AI305:AI364" si="94">ROUND(AJ305,0)</f>
        <v>3</v>
      </c>
      <c r="AJ305" s="17">
        <v>3</v>
      </c>
      <c r="AK305" s="18">
        <f t="shared" si="82"/>
        <v>5</v>
      </c>
      <c r="AL305" s="17">
        <v>5</v>
      </c>
      <c r="AM305" s="18">
        <f t="shared" si="82"/>
        <v>0</v>
      </c>
      <c r="AN305" s="17">
        <v>0</v>
      </c>
      <c r="AO305" s="56">
        <f t="shared" ref="AO305:AO365" si="95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426</v>
      </c>
      <c r="AS305" s="18">
        <v>50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441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78"/>
        <v>111080002</v>
      </c>
      <c r="B306" s="13">
        <v>11</v>
      </c>
      <c r="C306" s="12">
        <f t="shared" si="79"/>
        <v>1</v>
      </c>
      <c r="D306" s="13">
        <v>8</v>
      </c>
      <c r="E306" s="13">
        <v>0</v>
      </c>
      <c r="F306" s="12">
        <f t="shared" si="80"/>
        <v>2</v>
      </c>
      <c r="H306" s="9">
        <v>1</v>
      </c>
      <c r="I306" s="9">
        <v>2</v>
      </c>
      <c r="K306" s="9" t="s">
        <v>890</v>
      </c>
      <c r="M306" s="9">
        <v>1</v>
      </c>
      <c r="N306" s="9">
        <v>15</v>
      </c>
      <c r="O306" s="9" t="s">
        <v>1115</v>
      </c>
      <c r="P306" s="55" t="s">
        <v>1378</v>
      </c>
      <c r="Q306" s="9" t="s">
        <v>681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508</v>
      </c>
      <c r="Z306" s="9">
        <v>2</v>
      </c>
      <c r="AB306" s="11">
        <f ca="1">IFERROR(OFFSET(MANOR_LEVEL!$B$1,MATCH(AC306-1,MANOR_LEVEL!$A:$A,0)-1,0),0)</f>
        <v>240400</v>
      </c>
      <c r="AC306" s="55">
        <v>8</v>
      </c>
      <c r="AE306" s="55">
        <f t="shared" ca="1" si="84"/>
        <v>810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810</v>
      </c>
      <c r="AG306" s="176">
        <f ca="1">AE305+AE306</f>
        <v>2215</v>
      </c>
      <c r="AI306" s="11">
        <f t="shared" si="94"/>
        <v>5</v>
      </c>
      <c r="AJ306" s="10">
        <v>5</v>
      </c>
      <c r="AK306" s="11">
        <f t="shared" si="82"/>
        <v>10</v>
      </c>
      <c r="AL306" s="10">
        <v>10</v>
      </c>
      <c r="AM306" s="11">
        <f t="shared" si="82"/>
        <v>0</v>
      </c>
      <c r="AN306" s="10">
        <v>0</v>
      </c>
      <c r="AO306" s="55">
        <f t="shared" si="95"/>
        <v>1</v>
      </c>
      <c r="AQ306" s="11">
        <f ca="1">IFERROR(OFFSET(ITEM_RES!$A$1,MATCH(AR306,ITEM_RES!$J:$J,0)-1,0),0)</f>
        <v>211020801</v>
      </c>
      <c r="AR306" s="10" t="s">
        <v>426</v>
      </c>
      <c r="AS306" s="11">
        <v>100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78"/>
        <v>111080003</v>
      </c>
      <c r="B307" s="13">
        <v>11</v>
      </c>
      <c r="C307" s="12">
        <f t="shared" si="79"/>
        <v>1</v>
      </c>
      <c r="D307" s="13">
        <v>8</v>
      </c>
      <c r="E307" s="13">
        <v>0</v>
      </c>
      <c r="F307" s="12">
        <f t="shared" si="80"/>
        <v>3</v>
      </c>
      <c r="H307" s="9">
        <v>1</v>
      </c>
      <c r="I307" s="9">
        <v>3</v>
      </c>
      <c r="K307" s="9" t="s">
        <v>890</v>
      </c>
      <c r="M307" s="9">
        <v>1</v>
      </c>
      <c r="N307" s="9">
        <v>15</v>
      </c>
      <c r="O307" s="9" t="s">
        <v>1116</v>
      </c>
      <c r="P307" s="55" t="s">
        <v>1379</v>
      </c>
      <c r="Q307" s="9" t="s">
        <v>681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508</v>
      </c>
      <c r="Z307" s="9">
        <v>3</v>
      </c>
      <c r="AB307" s="11">
        <f ca="1">IFERROR(OFFSET(MANOR_LEVEL!$B$1,MATCH(AC307-1,MANOR_LEVEL!$A:$A,0)-1,0),0)</f>
        <v>630500</v>
      </c>
      <c r="AC307" s="55">
        <v>9</v>
      </c>
      <c r="AE307" s="55">
        <f t="shared" ca="1" si="84"/>
        <v>1215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1215</v>
      </c>
      <c r="AG307" s="176">
        <f t="shared" ref="AG307:AG324" ca="1" si="96">AE306+AE307</f>
        <v>2025</v>
      </c>
      <c r="AI307" s="11">
        <f t="shared" si="94"/>
        <v>5</v>
      </c>
      <c r="AJ307" s="10">
        <v>5</v>
      </c>
      <c r="AK307" s="11">
        <f t="shared" si="82"/>
        <v>15</v>
      </c>
      <c r="AL307" s="10">
        <v>15</v>
      </c>
      <c r="AM307" s="11">
        <f t="shared" si="82"/>
        <v>0</v>
      </c>
      <c r="AN307" s="10">
        <v>0</v>
      </c>
      <c r="AO307" s="55">
        <f t="shared" si="95"/>
        <v>1</v>
      </c>
      <c r="AQ307" s="11">
        <f ca="1">IFERROR(OFFSET(ITEM_RES!$A$1,MATCH(AR307,ITEM_RES!$J:$J,0)-1,0),0)</f>
        <v>211020801</v>
      </c>
      <c r="AR307" s="10" t="s">
        <v>426</v>
      </c>
      <c r="AS307" s="11">
        <v>150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78"/>
        <v>111080004</v>
      </c>
      <c r="B308" s="13">
        <v>11</v>
      </c>
      <c r="C308" s="12">
        <f t="shared" si="79"/>
        <v>1</v>
      </c>
      <c r="D308" s="13">
        <v>8</v>
      </c>
      <c r="E308" s="13">
        <v>0</v>
      </c>
      <c r="F308" s="12">
        <f t="shared" si="80"/>
        <v>4</v>
      </c>
      <c r="H308" s="9">
        <v>1</v>
      </c>
      <c r="I308" s="9">
        <v>4</v>
      </c>
      <c r="K308" s="9" t="s">
        <v>890</v>
      </c>
      <c r="M308" s="9">
        <v>1</v>
      </c>
      <c r="N308" s="9">
        <v>15</v>
      </c>
      <c r="O308" s="9" t="s">
        <v>1117</v>
      </c>
      <c r="P308" s="55" t="s">
        <v>1379</v>
      </c>
      <c r="Q308" s="9" t="s">
        <v>681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508</v>
      </c>
      <c r="Z308" s="9">
        <v>4</v>
      </c>
      <c r="AB308" s="11">
        <f ca="1">IFERROR(OFFSET(MANOR_LEVEL!$B$1,MATCH(AC308-1,MANOR_LEVEL!$A:$A,0)-1,0),0)</f>
        <v>630500</v>
      </c>
      <c r="AC308" s="55">
        <v>9</v>
      </c>
      <c r="AE308" s="55">
        <f t="shared" ca="1" si="84"/>
        <v>4825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4825</v>
      </c>
      <c r="AG308" s="176">
        <f t="shared" ca="1" si="96"/>
        <v>6040</v>
      </c>
      <c r="AI308" s="11">
        <f t="shared" si="94"/>
        <v>10</v>
      </c>
      <c r="AJ308" s="10">
        <v>10</v>
      </c>
      <c r="AK308" s="11">
        <f t="shared" si="82"/>
        <v>25</v>
      </c>
      <c r="AL308" s="10">
        <v>25</v>
      </c>
      <c r="AM308" s="11">
        <f t="shared" si="82"/>
        <v>0</v>
      </c>
      <c r="AN308" s="10">
        <v>0</v>
      </c>
      <c r="AO308" s="55">
        <f t="shared" si="95"/>
        <v>1</v>
      </c>
      <c r="AQ308" s="11">
        <f ca="1">IFERROR(OFFSET(ITEM_RES!$A$1,MATCH(AR308,ITEM_RES!$J:$J,0)-1,0),0)</f>
        <v>211020801</v>
      </c>
      <c r="AR308" s="10" t="s">
        <v>426</v>
      </c>
      <c r="AS308" s="11">
        <v>600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78"/>
        <v>111080005</v>
      </c>
      <c r="B309" s="13">
        <v>11</v>
      </c>
      <c r="C309" s="12">
        <f t="shared" si="79"/>
        <v>1</v>
      </c>
      <c r="D309" s="13">
        <v>8</v>
      </c>
      <c r="E309" s="13">
        <v>0</v>
      </c>
      <c r="F309" s="12">
        <f t="shared" si="80"/>
        <v>5</v>
      </c>
      <c r="H309" s="9">
        <v>1</v>
      </c>
      <c r="I309" s="9">
        <v>5</v>
      </c>
      <c r="K309" s="9" t="s">
        <v>890</v>
      </c>
      <c r="M309" s="9">
        <v>1</v>
      </c>
      <c r="N309" s="9">
        <v>15</v>
      </c>
      <c r="O309" s="9" t="s">
        <v>1118</v>
      </c>
      <c r="P309" s="55" t="s">
        <v>1380</v>
      </c>
      <c r="Q309" s="9" t="s">
        <v>681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508</v>
      </c>
      <c r="Z309" s="9">
        <v>5</v>
      </c>
      <c r="AB309" s="11">
        <f ca="1">IFERROR(OFFSET(MANOR_LEVEL!$B$1,MATCH(AC309-1,MANOR_LEVEL!$A:$A,0)-1,0),0)</f>
        <v>1170750</v>
      </c>
      <c r="AC309" s="55">
        <v>10</v>
      </c>
      <c r="AE309" s="55">
        <f t="shared" ca="1" si="84"/>
        <v>21640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21640</v>
      </c>
      <c r="AG309" s="176">
        <f t="shared" ca="1" si="96"/>
        <v>26465</v>
      </c>
      <c r="AI309" s="11">
        <f t="shared" si="94"/>
        <v>15</v>
      </c>
      <c r="AJ309" s="10">
        <v>15</v>
      </c>
      <c r="AK309" s="11">
        <f t="shared" si="82"/>
        <v>40</v>
      </c>
      <c r="AL309" s="10">
        <v>40</v>
      </c>
      <c r="AM309" s="11">
        <f t="shared" si="82"/>
        <v>0</v>
      </c>
      <c r="AN309" s="10">
        <v>0</v>
      </c>
      <c r="AO309" s="55">
        <f t="shared" si="95"/>
        <v>1</v>
      </c>
      <c r="AQ309" s="11">
        <f ca="1">IFERROR(OFFSET(ITEM_RES!$A$1,MATCH(AR309,ITEM_RES!$J:$J,0)-1,0),0)</f>
        <v>211020801</v>
      </c>
      <c r="AR309" s="10" t="s">
        <v>426</v>
      </c>
      <c r="AS309" s="11">
        <v>2700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78"/>
        <v>111080006</v>
      </c>
      <c r="B310" s="13">
        <v>11</v>
      </c>
      <c r="C310" s="12">
        <f t="shared" si="79"/>
        <v>1</v>
      </c>
      <c r="D310" s="13">
        <v>8</v>
      </c>
      <c r="E310" s="13">
        <v>0</v>
      </c>
      <c r="F310" s="12">
        <f t="shared" si="80"/>
        <v>6</v>
      </c>
      <c r="H310" s="9">
        <v>1</v>
      </c>
      <c r="I310" s="9">
        <v>6</v>
      </c>
      <c r="K310" s="9" t="s">
        <v>890</v>
      </c>
      <c r="M310" s="9">
        <v>1</v>
      </c>
      <c r="N310" s="9">
        <v>15</v>
      </c>
      <c r="O310" s="9" t="s">
        <v>1119</v>
      </c>
      <c r="P310" s="55" t="s">
        <v>1380</v>
      </c>
      <c r="Q310" s="9" t="s">
        <v>681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508</v>
      </c>
      <c r="Z310" s="9">
        <v>6</v>
      </c>
      <c r="AB310" s="11">
        <f ca="1">IFERROR(OFFSET(MANOR_LEVEL!$B$1,MATCH(AC310-1,MANOR_LEVEL!$A:$A,0)-1,0),0)</f>
        <v>1170750</v>
      </c>
      <c r="AC310" s="55">
        <v>10</v>
      </c>
      <c r="AE310" s="55">
        <f t="shared" ca="1" si="84"/>
        <v>72050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72050</v>
      </c>
      <c r="AG310" s="176">
        <f t="shared" ca="1" si="96"/>
        <v>93690</v>
      </c>
      <c r="AI310" s="11">
        <f t="shared" si="94"/>
        <v>30</v>
      </c>
      <c r="AJ310" s="10">
        <v>30</v>
      </c>
      <c r="AK310" s="11">
        <f t="shared" si="82"/>
        <v>50</v>
      </c>
      <c r="AL310" s="10">
        <v>50</v>
      </c>
      <c r="AM310" s="11">
        <f t="shared" si="82"/>
        <v>0</v>
      </c>
      <c r="AN310" s="10">
        <v>0</v>
      </c>
      <c r="AO310" s="55">
        <f t="shared" si="95"/>
        <v>1</v>
      </c>
      <c r="AQ310" s="11">
        <f ca="1">IFERROR(OFFSET(ITEM_RES!$A$1,MATCH(AR310,ITEM_RES!$J:$J,0)-1,0),0)</f>
        <v>211020801</v>
      </c>
      <c r="AR310" s="10" t="s">
        <v>426</v>
      </c>
      <c r="AS310" s="11">
        <v>9000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78"/>
        <v>111080007</v>
      </c>
      <c r="B311" s="13">
        <v>11</v>
      </c>
      <c r="C311" s="12">
        <f t="shared" si="79"/>
        <v>1</v>
      </c>
      <c r="D311" s="13">
        <v>8</v>
      </c>
      <c r="E311" s="13">
        <v>0</v>
      </c>
      <c r="F311" s="12">
        <f t="shared" si="80"/>
        <v>7</v>
      </c>
      <c r="H311" s="9">
        <v>1</v>
      </c>
      <c r="I311" s="9">
        <v>7</v>
      </c>
      <c r="K311" s="9" t="s">
        <v>890</v>
      </c>
      <c r="M311" s="9">
        <v>1</v>
      </c>
      <c r="N311" s="9">
        <v>15</v>
      </c>
      <c r="O311" s="9" t="s">
        <v>1120</v>
      </c>
      <c r="P311" s="55" t="s">
        <v>1381</v>
      </c>
      <c r="Q311" s="9" t="s">
        <v>681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508</v>
      </c>
      <c r="Z311" s="9">
        <v>7</v>
      </c>
      <c r="AB311" s="11">
        <f ca="1">IFERROR(OFFSET(MANOR_LEVEL!$B$1,MATCH(AC311-1,MANOR_LEVEL!$A:$A,0)-1,0),0)</f>
        <v>1956000</v>
      </c>
      <c r="AC311" s="55">
        <v>11</v>
      </c>
      <c r="AE311" s="55">
        <f t="shared" ca="1" si="84"/>
        <v>160100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160100</v>
      </c>
      <c r="AG311" s="176">
        <f t="shared" ca="1" si="96"/>
        <v>232150</v>
      </c>
      <c r="AI311" s="11">
        <f t="shared" si="94"/>
        <v>300</v>
      </c>
      <c r="AJ311" s="10">
        <v>300</v>
      </c>
      <c r="AK311" s="11">
        <f t="shared" si="82"/>
        <v>100</v>
      </c>
      <c r="AL311" s="10">
        <v>100</v>
      </c>
      <c r="AM311" s="11">
        <f t="shared" si="82"/>
        <v>0</v>
      </c>
      <c r="AN311" s="10">
        <v>0</v>
      </c>
      <c r="AO311" s="55">
        <f t="shared" si="95"/>
        <v>1</v>
      </c>
      <c r="AQ311" s="11">
        <f ca="1">IFERROR(OFFSET(ITEM_RES!$A$1,MATCH(AR311,ITEM_RES!$J:$J,0)-1,0),0)</f>
        <v>211020801</v>
      </c>
      <c r="AR311" s="10" t="s">
        <v>426</v>
      </c>
      <c r="AS311" s="11">
        <v>20000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78"/>
        <v>111080008</v>
      </c>
      <c r="B312" s="13">
        <v>11</v>
      </c>
      <c r="C312" s="12">
        <f t="shared" si="79"/>
        <v>1</v>
      </c>
      <c r="D312" s="13">
        <v>8</v>
      </c>
      <c r="E312" s="13">
        <v>0</v>
      </c>
      <c r="F312" s="12">
        <f t="shared" si="80"/>
        <v>8</v>
      </c>
      <c r="H312" s="9">
        <v>1</v>
      </c>
      <c r="I312" s="9">
        <v>8</v>
      </c>
      <c r="K312" s="9" t="s">
        <v>890</v>
      </c>
      <c r="M312" s="9">
        <v>1</v>
      </c>
      <c r="N312" s="9">
        <v>15</v>
      </c>
      <c r="O312" s="9" t="s">
        <v>1120</v>
      </c>
      <c r="P312" s="55" t="s">
        <v>1381</v>
      </c>
      <c r="Q312" s="9" t="s">
        <v>681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508</v>
      </c>
      <c r="Z312" s="9">
        <v>8</v>
      </c>
      <c r="AB312" s="11">
        <f ca="1">IFERROR(OFFSET(MANOR_LEVEL!$B$1,MATCH(AC312-1,MANOR_LEVEL!$A:$A,0)-1,0),0)</f>
        <v>3961500</v>
      </c>
      <c r="AC312" s="55">
        <v>12</v>
      </c>
      <c r="AE312" s="55">
        <f t="shared" ca="1" si="84"/>
        <v>336100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336100</v>
      </c>
      <c r="AG312" s="176">
        <f t="shared" ca="1" si="96"/>
        <v>496200</v>
      </c>
      <c r="AI312" s="11">
        <f t="shared" si="94"/>
        <v>600</v>
      </c>
      <c r="AJ312" s="10">
        <v>600</v>
      </c>
      <c r="AK312" s="11">
        <f t="shared" si="82"/>
        <v>100</v>
      </c>
      <c r="AL312" s="10">
        <v>100</v>
      </c>
      <c r="AM312" s="11">
        <f t="shared" si="82"/>
        <v>0</v>
      </c>
      <c r="AN312" s="10">
        <v>0</v>
      </c>
      <c r="AO312" s="55">
        <f t="shared" si="95"/>
        <v>1</v>
      </c>
      <c r="AQ312" s="11">
        <f ca="1">IFERROR(OFFSET(ITEM_RES!$A$1,MATCH(AR312,ITEM_RES!$J:$J,0)-1,0),0)</f>
        <v>211020801</v>
      </c>
      <c r="AR312" s="10" t="s">
        <v>426</v>
      </c>
      <c r="AS312" s="11">
        <v>42000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78"/>
        <v>111080009</v>
      </c>
      <c r="B313" s="13">
        <v>11</v>
      </c>
      <c r="C313" s="12">
        <f t="shared" si="79"/>
        <v>1</v>
      </c>
      <c r="D313" s="13">
        <v>8</v>
      </c>
      <c r="E313" s="13">
        <v>0</v>
      </c>
      <c r="F313" s="12">
        <f t="shared" si="80"/>
        <v>9</v>
      </c>
      <c r="H313" s="9">
        <v>1</v>
      </c>
      <c r="I313" s="9">
        <v>9</v>
      </c>
      <c r="K313" s="9" t="s">
        <v>890</v>
      </c>
      <c r="M313" s="9">
        <v>1</v>
      </c>
      <c r="N313" s="9">
        <v>15</v>
      </c>
      <c r="O313" s="9" t="s">
        <v>1432</v>
      </c>
      <c r="P313" s="55" t="s">
        <v>1434</v>
      </c>
      <c r="Q313" s="9" t="s">
        <v>681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508</v>
      </c>
      <c r="Z313" s="9">
        <v>9</v>
      </c>
      <c r="AB313" s="11">
        <f ca="1">IFERROR(OFFSET(MANOR_LEVEL!$B$1,MATCH(AC313-1,MANOR_LEVEL!$A:$A,0)-1,0),0)</f>
        <v>7772100</v>
      </c>
      <c r="AC313" s="55">
        <v>13</v>
      </c>
      <c r="AE313" s="55">
        <f t="shared" ca="1" si="84"/>
        <v>624150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624150</v>
      </c>
      <c r="AG313" s="176">
        <f t="shared" ca="1" si="96"/>
        <v>960250</v>
      </c>
      <c r="AI313" s="11">
        <f t="shared" si="94"/>
        <v>900</v>
      </c>
      <c r="AJ313" s="10">
        <v>900</v>
      </c>
      <c r="AK313" s="11">
        <f t="shared" si="82"/>
        <v>150</v>
      </c>
      <c r="AL313" s="10">
        <v>150</v>
      </c>
      <c r="AM313" s="11">
        <f t="shared" si="82"/>
        <v>0</v>
      </c>
      <c r="AN313" s="10">
        <v>0</v>
      </c>
      <c r="AO313" s="55">
        <f t="shared" si="95"/>
        <v>1</v>
      </c>
      <c r="AQ313" s="11">
        <f ca="1">IFERROR(OFFSET(ITEM_RES!$A$1,MATCH(AR313,ITEM_RES!$J:$J,0)-1,0),0)</f>
        <v>211020801</v>
      </c>
      <c r="AR313" s="10" t="s">
        <v>426</v>
      </c>
      <c r="AS313" s="11">
        <v>78000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78"/>
        <v>111080010</v>
      </c>
      <c r="B314" s="13">
        <v>11</v>
      </c>
      <c r="C314" s="12">
        <f t="shared" si="79"/>
        <v>1</v>
      </c>
      <c r="D314" s="13">
        <v>8</v>
      </c>
      <c r="E314" s="13">
        <v>0</v>
      </c>
      <c r="F314" s="12">
        <f t="shared" si="80"/>
        <v>10</v>
      </c>
      <c r="H314" s="9">
        <v>1</v>
      </c>
      <c r="I314" s="9">
        <v>10</v>
      </c>
      <c r="K314" s="9" t="s">
        <v>890</v>
      </c>
      <c r="M314" s="9">
        <v>1</v>
      </c>
      <c r="N314" s="9">
        <v>15</v>
      </c>
      <c r="O314" s="9" t="s">
        <v>1432</v>
      </c>
      <c r="P314" s="55" t="s">
        <v>1434</v>
      </c>
      <c r="Q314" s="9" t="s">
        <v>681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508</v>
      </c>
      <c r="Z314" s="9">
        <v>10</v>
      </c>
      <c r="AB314" s="11">
        <f ca="1">IFERROR(OFFSET(MANOR_LEVEL!$B$1,MATCH(AC314-1,MANOR_LEVEL!$A:$A,0)-1,0),0)</f>
        <v>7772100</v>
      </c>
      <c r="AC314" s="55">
        <v>13</v>
      </c>
      <c r="AE314" s="55">
        <f t="shared" ca="1" si="84"/>
        <v>1040200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1040200</v>
      </c>
      <c r="AG314" s="176">
        <f t="shared" ca="1" si="96"/>
        <v>1664350</v>
      </c>
      <c r="AI314" s="11">
        <f t="shared" si="94"/>
        <v>1200</v>
      </c>
      <c r="AJ314" s="10">
        <v>1200</v>
      </c>
      <c r="AK314" s="11">
        <f t="shared" si="82"/>
        <v>200</v>
      </c>
      <c r="AL314" s="10">
        <v>200</v>
      </c>
      <c r="AM314" s="11">
        <f t="shared" si="82"/>
        <v>0</v>
      </c>
      <c r="AN314" s="10">
        <v>0</v>
      </c>
      <c r="AO314" s="55">
        <f t="shared" si="95"/>
        <v>1</v>
      </c>
      <c r="AQ314" s="11">
        <f ca="1">IFERROR(OFFSET(ITEM_RES!$A$1,MATCH(AR314,ITEM_RES!$J:$J,0)-1,0),0)</f>
        <v>211020801</v>
      </c>
      <c r="AR314" s="10" t="s">
        <v>426</v>
      </c>
      <c r="AS314" s="11">
        <v>130000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78"/>
        <v>111080011</v>
      </c>
      <c r="B315" s="13">
        <v>11</v>
      </c>
      <c r="C315" s="12">
        <f t="shared" si="79"/>
        <v>1</v>
      </c>
      <c r="D315" s="13">
        <v>8</v>
      </c>
      <c r="E315" s="13">
        <v>0</v>
      </c>
      <c r="F315" s="12">
        <f t="shared" si="80"/>
        <v>11</v>
      </c>
      <c r="H315" s="9">
        <v>1</v>
      </c>
      <c r="I315" s="9">
        <v>11</v>
      </c>
      <c r="K315" s="9" t="s">
        <v>890</v>
      </c>
      <c r="M315" s="9">
        <v>1</v>
      </c>
      <c r="N315" s="9">
        <v>15</v>
      </c>
      <c r="O315" s="9" t="s">
        <v>1431</v>
      </c>
      <c r="P315" s="55" t="s">
        <v>1433</v>
      </c>
      <c r="Q315" s="9" t="s">
        <v>681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508</v>
      </c>
      <c r="Z315" s="9">
        <v>11</v>
      </c>
      <c r="AB315" s="11">
        <f ca="1">IFERROR(OFFSET(MANOR_LEVEL!$B$1,MATCH(AC315-1,MANOR_LEVEL!$A:$A,0)-1,0),0)</f>
        <v>13022450</v>
      </c>
      <c r="AC315" s="55">
        <v>14</v>
      </c>
      <c r="AE315" s="55">
        <f t="shared" ca="1" si="84"/>
        <v>1760750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1760750</v>
      </c>
      <c r="AG315" s="176">
        <f t="shared" ca="1" si="96"/>
        <v>2800950</v>
      </c>
      <c r="AI315" s="11">
        <f t="shared" si="94"/>
        <v>1500</v>
      </c>
      <c r="AJ315" s="10">
        <v>1500</v>
      </c>
      <c r="AK315" s="11">
        <f t="shared" si="82"/>
        <v>250</v>
      </c>
      <c r="AL315" s="10">
        <v>250</v>
      </c>
      <c r="AM315" s="11">
        <v>500</v>
      </c>
      <c r="AN315" s="10">
        <v>0</v>
      </c>
      <c r="AO315" s="55">
        <f t="shared" si="95"/>
        <v>1</v>
      </c>
      <c r="AQ315" s="11">
        <f ca="1">IFERROR(OFFSET(ITEM_RES!$A$1,MATCH(AR315,ITEM_RES!$J:$J,0)-1,0),0)</f>
        <v>211020801</v>
      </c>
      <c r="AR315" s="10" t="s">
        <v>426</v>
      </c>
      <c r="AS315" s="11">
        <v>220000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78"/>
        <v>111080012</v>
      </c>
      <c r="B316" s="13">
        <v>11</v>
      </c>
      <c r="C316" s="12">
        <f t="shared" si="79"/>
        <v>1</v>
      </c>
      <c r="D316" s="13">
        <v>8</v>
      </c>
      <c r="E316" s="13">
        <v>0</v>
      </c>
      <c r="F316" s="12">
        <f t="shared" si="80"/>
        <v>12</v>
      </c>
      <c r="H316" s="9">
        <v>1</v>
      </c>
      <c r="I316" s="9">
        <v>12</v>
      </c>
      <c r="K316" s="9" t="s">
        <v>890</v>
      </c>
      <c r="M316" s="9">
        <v>1</v>
      </c>
      <c r="N316" s="9">
        <v>15</v>
      </c>
      <c r="O316" s="9" t="s">
        <v>1431</v>
      </c>
      <c r="P316" s="55" t="s">
        <v>1433</v>
      </c>
      <c r="Q316" s="9" t="s">
        <v>681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508</v>
      </c>
      <c r="Z316" s="9">
        <v>12</v>
      </c>
      <c r="AB316" s="11">
        <f ca="1">IFERROR(OFFSET(MANOR_LEVEL!$B$1,MATCH(AC316-1,MANOR_LEVEL!$A:$A,0)-1,0),0)</f>
        <v>23283600</v>
      </c>
      <c r="AC316" s="55">
        <v>15</v>
      </c>
      <c r="AE316" s="55">
        <f t="shared" ca="1" si="84"/>
        <v>2966300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2966300</v>
      </c>
      <c r="AG316" s="176">
        <f t="shared" ca="1" si="96"/>
        <v>4727050</v>
      </c>
      <c r="AI316" s="11">
        <f t="shared" si="94"/>
        <v>1800</v>
      </c>
      <c r="AJ316" s="10">
        <v>1800</v>
      </c>
      <c r="AK316" s="11">
        <f t="shared" si="82"/>
        <v>300</v>
      </c>
      <c r="AL316" s="10">
        <v>300</v>
      </c>
      <c r="AM316" s="11">
        <v>6000</v>
      </c>
      <c r="AN316" s="10">
        <v>0</v>
      </c>
      <c r="AO316" s="55">
        <f t="shared" si="95"/>
        <v>1</v>
      </c>
      <c r="AQ316" s="11">
        <f ca="1">IFERROR(OFFSET(ITEM_RES!$A$1,MATCH(AR316,ITEM_RES!$J:$J,0)-1,0),0)</f>
        <v>211020801</v>
      </c>
      <c r="AR316" s="10" t="s">
        <v>426</v>
      </c>
      <c r="AS316" s="11">
        <v>370000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78"/>
        <v>111080013</v>
      </c>
      <c r="B317" s="13">
        <v>11</v>
      </c>
      <c r="C317" s="12">
        <f t="shared" si="79"/>
        <v>1</v>
      </c>
      <c r="D317" s="13">
        <v>8</v>
      </c>
      <c r="E317" s="13">
        <v>0</v>
      </c>
      <c r="F317" s="12">
        <f t="shared" si="80"/>
        <v>13</v>
      </c>
      <c r="H317" s="9">
        <v>1</v>
      </c>
      <c r="I317" s="9">
        <v>13</v>
      </c>
      <c r="K317" s="9" t="s">
        <v>890</v>
      </c>
      <c r="M317" s="9">
        <v>1</v>
      </c>
      <c r="N317" s="9">
        <v>15</v>
      </c>
      <c r="O317" s="9" t="s">
        <v>1431</v>
      </c>
      <c r="P317" s="55" t="s">
        <v>1433</v>
      </c>
      <c r="Q317" s="9" t="s">
        <v>681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508</v>
      </c>
      <c r="Z317" s="9">
        <v>13</v>
      </c>
      <c r="AB317" s="11">
        <f ca="1">IFERROR(OFFSET(MANOR_LEVEL!$B$1,MATCH(AC317-1,MANOR_LEVEL!$A:$A,0)-1,0),0)</f>
        <v>50404400</v>
      </c>
      <c r="AC317" s="55">
        <v>16</v>
      </c>
      <c r="AE317" s="55">
        <f t="shared" ca="1" si="84"/>
        <v>4999350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4999350</v>
      </c>
      <c r="AG317" s="176">
        <f t="shared" ca="1" si="96"/>
        <v>7965650</v>
      </c>
      <c r="AI317" s="11">
        <f t="shared" si="94"/>
        <v>2100</v>
      </c>
      <c r="AJ317" s="10">
        <v>2100</v>
      </c>
      <c r="AK317" s="11">
        <f t="shared" si="82"/>
        <v>350</v>
      </c>
      <c r="AL317" s="10">
        <v>350</v>
      </c>
      <c r="AM317" s="11">
        <v>39000</v>
      </c>
      <c r="AN317" s="10">
        <v>0</v>
      </c>
      <c r="AO317" s="55">
        <f t="shared" si="95"/>
        <v>1</v>
      </c>
      <c r="AQ317" s="11">
        <f ca="1">IFERROR(OFFSET(ITEM_RES!$A$1,MATCH(AR317,ITEM_RES!$J:$J,0)-1,0),0)</f>
        <v>211020801</v>
      </c>
      <c r="AR317" s="10" t="s">
        <v>426</v>
      </c>
      <c r="AS317" s="11">
        <v>620000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78"/>
        <v>111080014</v>
      </c>
      <c r="B318" s="13">
        <v>11</v>
      </c>
      <c r="C318" s="12">
        <f t="shared" si="79"/>
        <v>1</v>
      </c>
      <c r="D318" s="13">
        <v>8</v>
      </c>
      <c r="E318" s="13">
        <v>0</v>
      </c>
      <c r="F318" s="12">
        <f t="shared" si="80"/>
        <v>14</v>
      </c>
      <c r="H318" s="9">
        <v>1</v>
      </c>
      <c r="I318" s="9">
        <v>14</v>
      </c>
      <c r="K318" s="9" t="s">
        <v>890</v>
      </c>
      <c r="M318" s="9">
        <v>1</v>
      </c>
      <c r="N318" s="9">
        <v>15</v>
      </c>
      <c r="O318" s="9" t="s">
        <v>1431</v>
      </c>
      <c r="P318" s="55" t="s">
        <v>1433</v>
      </c>
      <c r="Q318" s="9" t="s">
        <v>681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508</v>
      </c>
      <c r="Z318" s="9">
        <v>14</v>
      </c>
      <c r="AB318" s="11">
        <f ca="1">IFERROR(OFFSET(MANOR_LEVEL!$B$1,MATCH(AC318-1,MANOR_LEVEL!$A:$A,0)-1,0),0)</f>
        <v>119976300</v>
      </c>
      <c r="AC318" s="55">
        <v>17</v>
      </c>
      <c r="AE318" s="55">
        <f t="shared" ca="1" si="84"/>
        <v>8071450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8071450</v>
      </c>
      <c r="AG318" s="176">
        <f t="shared" ca="1" si="96"/>
        <v>13070800</v>
      </c>
      <c r="AI318" s="11">
        <f t="shared" si="94"/>
        <v>2400</v>
      </c>
      <c r="AJ318" s="10">
        <v>2400</v>
      </c>
      <c r="AK318" s="11">
        <f t="shared" si="82"/>
        <v>450</v>
      </c>
      <c r="AL318" s="10">
        <v>450</v>
      </c>
      <c r="AM318" s="11">
        <v>310000</v>
      </c>
      <c r="AN318" s="10">
        <v>0</v>
      </c>
      <c r="AO318" s="55">
        <f t="shared" si="95"/>
        <v>2</v>
      </c>
      <c r="AQ318" s="11">
        <f ca="1">IFERROR(OFFSET(ITEM_RES!$A$1,MATCH(AR318,ITEM_RES!$J:$J,0)-1,0),0)</f>
        <v>211020801</v>
      </c>
      <c r="AR318" s="10" t="s">
        <v>426</v>
      </c>
      <c r="AS318" s="11">
        <v>970000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453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78"/>
        <v>111080015</v>
      </c>
      <c r="B319" s="13">
        <v>11</v>
      </c>
      <c r="C319" s="12">
        <f t="shared" si="79"/>
        <v>1</v>
      </c>
      <c r="D319" s="13">
        <v>8</v>
      </c>
      <c r="E319" s="13">
        <v>0</v>
      </c>
      <c r="F319" s="12">
        <f t="shared" si="80"/>
        <v>15</v>
      </c>
      <c r="H319" s="9">
        <v>1</v>
      </c>
      <c r="I319" s="9">
        <v>15</v>
      </c>
      <c r="K319" s="9" t="s">
        <v>890</v>
      </c>
      <c r="M319" s="9">
        <v>1</v>
      </c>
      <c r="N319" s="9">
        <v>15</v>
      </c>
      <c r="O319" s="9" t="s">
        <v>1431</v>
      </c>
      <c r="P319" s="55" t="s">
        <v>1433</v>
      </c>
      <c r="Q319" s="9" t="s">
        <v>681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508</v>
      </c>
      <c r="Z319" s="9">
        <v>15</v>
      </c>
      <c r="AB319" s="11">
        <f ca="1">IFERROR(OFFSET(MANOR_LEVEL!$B$1,MATCH(AC319-1,MANOR_LEVEL!$A:$A,0)-1,0),0)</f>
        <v>223207650</v>
      </c>
      <c r="AC319" s="55">
        <v>18</v>
      </c>
      <c r="AE319" s="55">
        <f t="shared" ca="1" si="84"/>
        <v>17285550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17285550</v>
      </c>
      <c r="AG319" s="176">
        <f t="shared" ca="1" si="96"/>
        <v>25357000</v>
      </c>
      <c r="AI319" s="11">
        <f t="shared" si="94"/>
        <v>2700</v>
      </c>
      <c r="AJ319" s="10">
        <v>2700</v>
      </c>
      <c r="AK319" s="11">
        <f t="shared" si="82"/>
        <v>550</v>
      </c>
      <c r="AL319" s="10">
        <v>550</v>
      </c>
      <c r="AM319" s="11">
        <v>485000</v>
      </c>
      <c r="AN319" s="10">
        <v>0</v>
      </c>
      <c r="AO319" s="55">
        <f t="shared" si="95"/>
        <v>1</v>
      </c>
      <c r="AQ319" s="11">
        <f ca="1">IFERROR(OFFSET(ITEM_RES!$A$1,MATCH(AR319,ITEM_RES!$J:$J,0)-1,0),0)</f>
        <v>211020801</v>
      </c>
      <c r="AR319" s="10" t="s">
        <v>426</v>
      </c>
      <c r="AS319" s="11">
        <v>2100000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78"/>
        <v>111080016</v>
      </c>
      <c r="B320" s="13">
        <v>11</v>
      </c>
      <c r="C320" s="12">
        <f t="shared" si="79"/>
        <v>1</v>
      </c>
      <c r="D320" s="13">
        <v>8</v>
      </c>
      <c r="E320" s="13">
        <v>0</v>
      </c>
      <c r="F320" s="12">
        <f t="shared" si="80"/>
        <v>16</v>
      </c>
      <c r="H320" s="9">
        <v>1</v>
      </c>
      <c r="I320" s="9">
        <v>16</v>
      </c>
      <c r="K320" s="9" t="s">
        <v>890</v>
      </c>
      <c r="M320" s="9">
        <v>0</v>
      </c>
      <c r="N320" s="9">
        <v>15</v>
      </c>
      <c r="O320" s="9" t="s">
        <v>1431</v>
      </c>
      <c r="P320" s="55" t="s">
        <v>1433</v>
      </c>
      <c r="Q320" s="9" t="s">
        <v>681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508</v>
      </c>
      <c r="Z320" s="9">
        <v>16</v>
      </c>
      <c r="AB320" s="11">
        <f ca="1">IFERROR(OFFSET(MANOR_LEVEL!$B$1,MATCH(AC320-1,MANOR_LEVEL!$A:$A,0)-1,0),0)</f>
        <v>223207650</v>
      </c>
      <c r="AC320" s="55">
        <v>18</v>
      </c>
      <c r="AE320" s="55">
        <f t="shared" ca="1" si="84"/>
        <v>35450700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35450700</v>
      </c>
      <c r="AG320" s="176">
        <f t="shared" ca="1" si="96"/>
        <v>52736250</v>
      </c>
      <c r="AI320" s="11">
        <f t="shared" si="94"/>
        <v>3000</v>
      </c>
      <c r="AJ320" s="10">
        <v>3000</v>
      </c>
      <c r="AK320" s="11">
        <f t="shared" si="82"/>
        <v>700</v>
      </c>
      <c r="AL320" s="10">
        <v>700</v>
      </c>
      <c r="AM320" s="11">
        <v>1050000</v>
      </c>
      <c r="AN320" s="10">
        <v>0</v>
      </c>
      <c r="AO320" s="55">
        <f t="shared" si="95"/>
        <v>1</v>
      </c>
      <c r="AQ320" s="11">
        <f ca="1">IFERROR(OFFSET(ITEM_RES!$A$1,MATCH(AR320,ITEM_RES!$J:$J,0)-1,0),0)</f>
        <v>211020801</v>
      </c>
      <c r="AR320" s="10" t="s">
        <v>426</v>
      </c>
      <c r="AS320" s="11">
        <v>4300000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97">B321*10000000+C321*1000000+D321*10000+E321*100+F321</f>
        <v>111080017</v>
      </c>
      <c r="B321" s="13">
        <v>11</v>
      </c>
      <c r="C321" s="12">
        <f t="shared" ref="C321:C384" si="98">H321</f>
        <v>1</v>
      </c>
      <c r="D321" s="13">
        <v>8</v>
      </c>
      <c r="E321" s="13">
        <v>0</v>
      </c>
      <c r="F321" s="12">
        <f t="shared" ref="F321:F384" si="99">I321</f>
        <v>17</v>
      </c>
      <c r="H321" s="9">
        <v>1</v>
      </c>
      <c r="I321" s="9">
        <v>17</v>
      </c>
      <c r="K321" s="9" t="s">
        <v>890</v>
      </c>
      <c r="M321" s="9">
        <v>0</v>
      </c>
      <c r="N321" s="9">
        <v>15</v>
      </c>
      <c r="O321" s="9" t="s">
        <v>1431</v>
      </c>
      <c r="P321" s="55" t="s">
        <v>1433</v>
      </c>
      <c r="Q321" s="9" t="s">
        <v>681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508</v>
      </c>
      <c r="Z321" s="9">
        <v>17</v>
      </c>
      <c r="AB321" s="11">
        <f ca="1">IFERROR(OFFSET(MANOR_LEVEL!$B$1,MATCH(AC321-1,MANOR_LEVEL!$A:$A,0)-1,0),0)</f>
        <v>223207650</v>
      </c>
      <c r="AC321" s="55">
        <v>18</v>
      </c>
      <c r="AE321" s="55">
        <f t="shared" ca="1" si="84"/>
        <v>66150850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66150850</v>
      </c>
      <c r="AG321" s="176">
        <f t="shared" ca="1" si="96"/>
        <v>101601550</v>
      </c>
      <c r="AI321" s="11">
        <f t="shared" si="94"/>
        <v>3300</v>
      </c>
      <c r="AJ321" s="10">
        <v>3300</v>
      </c>
      <c r="AK321" s="11">
        <f t="shared" si="82"/>
        <v>850</v>
      </c>
      <c r="AL321" s="10">
        <v>850</v>
      </c>
      <c r="AM321" s="11">
        <v>2150000</v>
      </c>
      <c r="AN321" s="10">
        <v>0</v>
      </c>
      <c r="AO321" s="55">
        <f t="shared" si="95"/>
        <v>1</v>
      </c>
      <c r="AQ321" s="11">
        <f ca="1">IFERROR(OFFSET(ITEM_RES!$A$1,MATCH(AR321,ITEM_RES!$J:$J,0)-1,0),0)</f>
        <v>211020801</v>
      </c>
      <c r="AR321" s="10" t="s">
        <v>426</v>
      </c>
      <c r="AS321" s="11">
        <v>8000000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97"/>
        <v>111080018</v>
      </c>
      <c r="B322" s="13">
        <v>11</v>
      </c>
      <c r="C322" s="12">
        <f t="shared" si="98"/>
        <v>1</v>
      </c>
      <c r="D322" s="13">
        <v>8</v>
      </c>
      <c r="E322" s="13">
        <v>0</v>
      </c>
      <c r="F322" s="12">
        <f t="shared" si="99"/>
        <v>18</v>
      </c>
      <c r="H322" s="9">
        <v>1</v>
      </c>
      <c r="I322" s="9">
        <v>18</v>
      </c>
      <c r="K322" s="9" t="s">
        <v>890</v>
      </c>
      <c r="M322" s="9">
        <v>0</v>
      </c>
      <c r="N322" s="9">
        <v>15</v>
      </c>
      <c r="O322" s="9" t="s">
        <v>1431</v>
      </c>
      <c r="P322" s="55" t="s">
        <v>1433</v>
      </c>
      <c r="Q322" s="9" t="s">
        <v>681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508</v>
      </c>
      <c r="Z322" s="9">
        <v>18</v>
      </c>
      <c r="AB322" s="11">
        <f ca="1">IFERROR(OFFSET(MANOR_LEVEL!$B$1,MATCH(AC322-1,MANOR_LEVEL!$A:$A,0)-1,0),0)</f>
        <v>223207650</v>
      </c>
      <c r="AC322" s="55">
        <v>18</v>
      </c>
      <c r="AE322" s="55">
        <f t="shared" ca="1" si="84"/>
        <v>108001050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108001050</v>
      </c>
      <c r="AG322" s="176">
        <f t="shared" ca="1" si="96"/>
        <v>174151900</v>
      </c>
      <c r="AI322" s="11">
        <f t="shared" si="94"/>
        <v>3600</v>
      </c>
      <c r="AJ322" s="10">
        <v>3600</v>
      </c>
      <c r="AK322" s="11">
        <f t="shared" ref="AK322:AM384" si="100">ROUND(AL322,0)</f>
        <v>1050</v>
      </c>
      <c r="AL322" s="10">
        <v>1050</v>
      </c>
      <c r="AM322" s="11">
        <v>4000000</v>
      </c>
      <c r="AN322" s="10">
        <v>0</v>
      </c>
      <c r="AO322" s="55">
        <f t="shared" si="95"/>
        <v>1</v>
      </c>
      <c r="AQ322" s="11">
        <f ca="1">IFERROR(OFFSET(ITEM_RES!$A$1,MATCH(AR322,ITEM_RES!$J:$J,0)-1,0),0)</f>
        <v>211020801</v>
      </c>
      <c r="AR322" s="10" t="s">
        <v>426</v>
      </c>
      <c r="AS322" s="11">
        <v>13000000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97"/>
        <v>111080019</v>
      </c>
      <c r="B323" s="13">
        <v>11</v>
      </c>
      <c r="C323" s="12">
        <f t="shared" si="98"/>
        <v>1</v>
      </c>
      <c r="D323" s="13">
        <v>8</v>
      </c>
      <c r="E323" s="13">
        <v>0</v>
      </c>
      <c r="F323" s="12">
        <f t="shared" si="99"/>
        <v>19</v>
      </c>
      <c r="H323" s="9">
        <v>1</v>
      </c>
      <c r="I323" s="9">
        <v>19</v>
      </c>
      <c r="K323" s="9" t="s">
        <v>890</v>
      </c>
      <c r="M323" s="9">
        <v>0</v>
      </c>
      <c r="N323" s="9">
        <v>15</v>
      </c>
      <c r="O323" s="9" t="s">
        <v>1431</v>
      </c>
      <c r="P323" s="55" t="s">
        <v>1433</v>
      </c>
      <c r="Q323" s="9" t="s">
        <v>681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508</v>
      </c>
      <c r="Z323" s="9">
        <v>19</v>
      </c>
      <c r="AB323" s="11">
        <f ca="1">IFERROR(OFFSET(MANOR_LEVEL!$B$1,MATCH(AC323-1,MANOR_LEVEL!$A:$A,0)-1,0),0)</f>
        <v>223207650</v>
      </c>
      <c r="AC323" s="55">
        <v>18</v>
      </c>
      <c r="AE323" s="55">
        <f t="shared" ca="1" si="84"/>
        <v>206501250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206501250</v>
      </c>
      <c r="AG323" s="176">
        <f t="shared" ca="1" si="96"/>
        <v>314502300</v>
      </c>
      <c r="AI323" s="11">
        <f t="shared" si="94"/>
        <v>3900</v>
      </c>
      <c r="AJ323" s="10">
        <v>3900</v>
      </c>
      <c r="AK323" s="11">
        <f t="shared" si="100"/>
        <v>1250</v>
      </c>
      <c r="AL323" s="10">
        <v>1250</v>
      </c>
      <c r="AM323" s="11">
        <v>6500000</v>
      </c>
      <c r="AN323" s="10">
        <v>0</v>
      </c>
      <c r="AO323" s="55">
        <f t="shared" si="95"/>
        <v>1</v>
      </c>
      <c r="AQ323" s="11">
        <f ca="1">IFERROR(OFFSET(ITEM_RES!$A$1,MATCH(AR323,ITEM_RES!$J:$J,0)-1,0),0)</f>
        <v>211020901</v>
      </c>
      <c r="AR323" s="10" t="s">
        <v>434</v>
      </c>
      <c r="AS323" s="11">
        <v>20000000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97"/>
        <v>111080020</v>
      </c>
      <c r="B324" s="13">
        <v>11</v>
      </c>
      <c r="C324" s="12">
        <f t="shared" si="98"/>
        <v>1</v>
      </c>
      <c r="D324" s="13">
        <v>8</v>
      </c>
      <c r="E324" s="13">
        <v>0</v>
      </c>
      <c r="F324" s="12">
        <f t="shared" si="99"/>
        <v>20</v>
      </c>
      <c r="H324" s="9">
        <v>1</v>
      </c>
      <c r="I324" s="9">
        <v>20</v>
      </c>
      <c r="K324" s="9" t="s">
        <v>890</v>
      </c>
      <c r="M324" s="9">
        <v>0</v>
      </c>
      <c r="N324" s="9">
        <v>15</v>
      </c>
      <c r="O324" s="9" t="s">
        <v>1431</v>
      </c>
      <c r="P324" s="55" t="s">
        <v>1433</v>
      </c>
      <c r="Q324" s="9" t="s">
        <v>681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508</v>
      </c>
      <c r="Z324" s="9">
        <v>20</v>
      </c>
      <c r="AB324" s="11">
        <f ca="1">IFERROR(OFFSET(MANOR_LEVEL!$B$1,MATCH(AC324-1,MANOR_LEVEL!$A:$A,0)-1,0),0)</f>
        <v>223207650</v>
      </c>
      <c r="AC324" s="55">
        <v>18</v>
      </c>
      <c r="AE324" s="55">
        <f t="shared" ca="1" si="84"/>
        <v>330001500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330001500</v>
      </c>
      <c r="AG324" s="176">
        <f t="shared" ca="1" si="96"/>
        <v>536502750</v>
      </c>
      <c r="AI324" s="11">
        <f t="shared" si="94"/>
        <v>4200</v>
      </c>
      <c r="AJ324" s="10">
        <v>4200</v>
      </c>
      <c r="AK324" s="11">
        <f t="shared" si="100"/>
        <v>1500</v>
      </c>
      <c r="AL324" s="10">
        <v>1500</v>
      </c>
      <c r="AM324" s="11">
        <v>10000000</v>
      </c>
      <c r="AN324" s="10">
        <v>0</v>
      </c>
      <c r="AO324" s="55">
        <f t="shared" si="95"/>
        <v>1</v>
      </c>
      <c r="AQ324" s="11">
        <f ca="1">IFERROR(OFFSET(ITEM_RES!$A$1,MATCH(AR324,ITEM_RES!$J:$J,0)-1,0),0)</f>
        <v>211020901</v>
      </c>
      <c r="AR324" s="10" t="s">
        <v>434</v>
      </c>
      <c r="AS324" s="11">
        <v>32000000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97"/>
        <v>112040001</v>
      </c>
      <c r="B325" s="20">
        <v>11</v>
      </c>
      <c r="C325" s="19">
        <f t="shared" si="98"/>
        <v>2</v>
      </c>
      <c r="D325" s="20">
        <v>4</v>
      </c>
      <c r="E325" s="20">
        <v>0</v>
      </c>
      <c r="F325" s="19">
        <f t="shared" si="99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10</v>
      </c>
      <c r="M325" s="16">
        <v>1</v>
      </c>
      <c r="N325" s="16">
        <v>15</v>
      </c>
      <c r="O325" s="16" t="s">
        <v>741</v>
      </c>
      <c r="P325" s="56" t="s">
        <v>1382</v>
      </c>
      <c r="Q325" s="16" t="s">
        <v>682</v>
      </c>
      <c r="R325" s="76"/>
      <c r="S325" s="83" t="s">
        <v>537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532</v>
      </c>
      <c r="W325" s="18">
        <f ca="1">IFERROR(OFFSET(ITEM_RES!$A$5,MATCH(BUILDING!V325,ITEM_RES!$J$5:$J$229,0)-1,0),0)</f>
        <v>211020701</v>
      </c>
      <c r="X325" s="76"/>
      <c r="Y325" s="16" t="s">
        <v>509</v>
      </c>
      <c r="Z325" s="16">
        <v>1</v>
      </c>
      <c r="AA325" s="76"/>
      <c r="AB325" s="18">
        <f ca="1">IFERROR(OFFSET(MANOR_LEVEL!$B$1,MATCH(AC325-1,MANOR_LEVEL!$A:$A,0)-1,0),0)</f>
        <v>1956000</v>
      </c>
      <c r="AC325" s="56">
        <v>11</v>
      </c>
      <c r="AD325" s="76"/>
      <c r="AE325" s="56">
        <f t="shared" ca="1" si="84"/>
        <v>1275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1275</v>
      </c>
      <c r="AG325" s="178">
        <f ca="1">AE325</f>
        <v>1275</v>
      </c>
      <c r="AH325" s="76"/>
      <c r="AI325" s="18">
        <f t="shared" si="94"/>
        <v>3</v>
      </c>
      <c r="AJ325" s="17">
        <v>3</v>
      </c>
      <c r="AK325" s="18">
        <f t="shared" si="100"/>
        <v>5</v>
      </c>
      <c r="AL325" s="17">
        <v>5</v>
      </c>
      <c r="AM325" s="18">
        <v>50</v>
      </c>
      <c r="AN325" s="17">
        <v>0</v>
      </c>
      <c r="AO325" s="56">
        <f t="shared" si="95"/>
        <v>3</v>
      </c>
      <c r="AP325" s="18"/>
      <c r="AQ325" s="18">
        <f ca="1">IFERROR(OFFSET(ITEM_RES!$A$1,MATCH(AR325,ITEM_RES!$J:$J,0)-1,0),0)</f>
        <v>211020401</v>
      </c>
      <c r="AR325" s="17" t="s">
        <v>427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426</v>
      </c>
      <c r="AX325" s="18">
        <v>20</v>
      </c>
      <c r="AY325" s="17"/>
      <c r="AZ325" s="18"/>
      <c r="BA325" s="18">
        <f ca="1">IFERROR(OFFSET(ITEM_RES!$A$1,MATCH(BB325,ITEM_RES!$J:$J,0)-1,0),0)</f>
        <v>213010101</v>
      </c>
      <c r="BB325" s="17" t="s">
        <v>441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97"/>
        <v>112040002</v>
      </c>
      <c r="B326" s="13">
        <v>11</v>
      </c>
      <c r="C326" s="12">
        <f t="shared" si="98"/>
        <v>2</v>
      </c>
      <c r="D326" s="13">
        <v>4</v>
      </c>
      <c r="E326" s="13">
        <v>0</v>
      </c>
      <c r="F326" s="12">
        <f t="shared" si="99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741</v>
      </c>
      <c r="P326" s="55" t="s">
        <v>1382</v>
      </c>
      <c r="Q326" s="9" t="s">
        <v>682</v>
      </c>
      <c r="S326" s="81" t="s">
        <v>537</v>
      </c>
      <c r="T326" s="9">
        <f ca="1">IFERROR(OFFSET(ITEM_RES!$A$5,MATCH(BUILDING!S326,ITEM_RES!$J$5:$J$229,0)-1,0),0)</f>
        <v>211020601</v>
      </c>
      <c r="U326" s="11">
        <v>2</v>
      </c>
      <c r="V326" s="81" t="s">
        <v>532</v>
      </c>
      <c r="W326" s="11">
        <f ca="1">IFERROR(OFFSET(ITEM_RES!$A$5,MATCH(BUILDING!V326,ITEM_RES!$J$5:$J$229,0)-1,0),0)</f>
        <v>211020701</v>
      </c>
      <c r="Y326" s="9" t="s">
        <v>509</v>
      </c>
      <c r="Z326" s="9">
        <v>2</v>
      </c>
      <c r="AB326" s="11">
        <f ca="1">IFERROR(OFFSET(MANOR_LEVEL!$B$1,MATCH(AC326-1,MANOR_LEVEL!$A:$A,0)-1,0),0)</f>
        <v>1956000</v>
      </c>
      <c r="AC326" s="55">
        <v>11</v>
      </c>
      <c r="AE326" s="55">
        <f t="shared" ca="1" si="84"/>
        <v>550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550</v>
      </c>
      <c r="AG326" s="176">
        <f ca="1">AE325+AE326</f>
        <v>1825</v>
      </c>
      <c r="AI326" s="11">
        <f t="shared" si="94"/>
        <v>5</v>
      </c>
      <c r="AJ326" s="10">
        <v>5</v>
      </c>
      <c r="AK326" s="11">
        <f t="shared" si="100"/>
        <v>10</v>
      </c>
      <c r="AL326" s="10">
        <v>10</v>
      </c>
      <c r="AM326" s="11">
        <v>100</v>
      </c>
      <c r="AN326" s="10">
        <v>0</v>
      </c>
      <c r="AO326" s="55">
        <f t="shared" si="95"/>
        <v>2</v>
      </c>
      <c r="AQ326" s="11">
        <f ca="1">IFERROR(OFFSET(ITEM_RES!$A$1,MATCH(AR326,ITEM_RES!$J:$J,0)-1,0),0)</f>
        <v>211020401</v>
      </c>
      <c r="AR326" s="10" t="s">
        <v>427</v>
      </c>
      <c r="AS326" s="11">
        <v>40</v>
      </c>
      <c r="AV326" s="11">
        <f ca="1">IFERROR(OFFSET(ITEM_RES!$A$1,MATCH(AW326,ITEM_RES!$J:$J,0)-1,0),0)</f>
        <v>211020801</v>
      </c>
      <c r="AW326" s="10" t="s">
        <v>426</v>
      </c>
      <c r="AX326" s="11">
        <v>40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97"/>
        <v>112040003</v>
      </c>
      <c r="B327" s="13">
        <v>11</v>
      </c>
      <c r="C327" s="12">
        <f t="shared" si="98"/>
        <v>2</v>
      </c>
      <c r="D327" s="13">
        <v>4</v>
      </c>
      <c r="E327" s="13">
        <v>0</v>
      </c>
      <c r="F327" s="12">
        <f t="shared" si="99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741</v>
      </c>
      <c r="P327" s="55" t="s">
        <v>1382</v>
      </c>
      <c r="Q327" s="9" t="s">
        <v>682</v>
      </c>
      <c r="S327" s="81" t="s">
        <v>537</v>
      </c>
      <c r="T327" s="9">
        <f ca="1">IFERROR(OFFSET(ITEM_RES!$A$5,MATCH(BUILDING!S327,ITEM_RES!$J$5:$J$229,0)-1,0),0)</f>
        <v>211020601</v>
      </c>
      <c r="U327" s="11">
        <v>2</v>
      </c>
      <c r="V327" s="81" t="s">
        <v>532</v>
      </c>
      <c r="W327" s="11">
        <f ca="1">IFERROR(OFFSET(ITEM_RES!$A$5,MATCH(BUILDING!V327,ITEM_RES!$J$5:$J$229,0)-1,0),0)</f>
        <v>211020701</v>
      </c>
      <c r="Y327" s="9" t="s">
        <v>509</v>
      </c>
      <c r="Z327" s="9">
        <v>3</v>
      </c>
      <c r="AB327" s="11">
        <f ca="1">IFERROR(OFFSET(MANOR_LEVEL!$B$1,MATCH(AC327-1,MANOR_LEVEL!$A:$A,0)-1,0),0)</f>
        <v>3961500</v>
      </c>
      <c r="AC327" s="55">
        <v>12</v>
      </c>
      <c r="AE327" s="55">
        <f t="shared" ca="1" si="84"/>
        <v>825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825</v>
      </c>
      <c r="AG327" s="176">
        <f t="shared" ref="AG327:AG344" ca="1" si="101">AE326+AE327</f>
        <v>1375</v>
      </c>
      <c r="AI327" s="11">
        <f t="shared" si="94"/>
        <v>5</v>
      </c>
      <c r="AJ327" s="10">
        <v>5</v>
      </c>
      <c r="AK327" s="11">
        <f t="shared" si="100"/>
        <v>15</v>
      </c>
      <c r="AL327" s="10">
        <v>15</v>
      </c>
      <c r="AM327" s="11">
        <v>150</v>
      </c>
      <c r="AN327" s="10">
        <v>0</v>
      </c>
      <c r="AO327" s="55">
        <f t="shared" si="95"/>
        <v>2</v>
      </c>
      <c r="AQ327" s="11">
        <f ca="1">IFERROR(OFFSET(ITEM_RES!$A$1,MATCH(AR327,ITEM_RES!$J:$J,0)-1,0),0)</f>
        <v>211020401</v>
      </c>
      <c r="AR327" s="10" t="s">
        <v>427</v>
      </c>
      <c r="AS327" s="11">
        <v>60</v>
      </c>
      <c r="AV327" s="11">
        <f ca="1">IFERROR(OFFSET(ITEM_RES!$A$1,MATCH(AW327,ITEM_RES!$J:$J,0)-1,0),0)</f>
        <v>211020801</v>
      </c>
      <c r="AW327" s="10" t="s">
        <v>426</v>
      </c>
      <c r="AX327" s="11">
        <v>60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97"/>
        <v>112040004</v>
      </c>
      <c r="B328" s="13">
        <v>11</v>
      </c>
      <c r="C328" s="12">
        <f t="shared" si="98"/>
        <v>2</v>
      </c>
      <c r="D328" s="13">
        <v>4</v>
      </c>
      <c r="E328" s="13">
        <v>0</v>
      </c>
      <c r="F328" s="12">
        <f t="shared" si="99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741</v>
      </c>
      <c r="P328" s="55" t="s">
        <v>1382</v>
      </c>
      <c r="Q328" s="9" t="s">
        <v>682</v>
      </c>
      <c r="S328" s="81" t="s">
        <v>537</v>
      </c>
      <c r="T328" s="9">
        <f ca="1">IFERROR(OFFSET(ITEM_RES!$A$5,MATCH(BUILDING!S328,ITEM_RES!$J$5:$J$229,0)-1,0),0)</f>
        <v>211020601</v>
      </c>
      <c r="U328" s="11">
        <v>2</v>
      </c>
      <c r="V328" s="81" t="s">
        <v>532</v>
      </c>
      <c r="W328" s="11">
        <f ca="1">IFERROR(OFFSET(ITEM_RES!$A$5,MATCH(BUILDING!V328,ITEM_RES!$J$5:$J$229,0)-1,0),0)</f>
        <v>211020701</v>
      </c>
      <c r="Y328" s="9" t="s">
        <v>509</v>
      </c>
      <c r="Z328" s="9">
        <v>4</v>
      </c>
      <c r="AB328" s="11">
        <f ca="1">IFERROR(OFFSET(MANOR_LEVEL!$B$1,MATCH(AC328-1,MANOR_LEVEL!$A:$A,0)-1,0),0)</f>
        <v>7772100</v>
      </c>
      <c r="AC328" s="55">
        <v>13</v>
      </c>
      <c r="AE328" s="55">
        <f t="shared" ca="1" si="84"/>
        <v>3265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3265</v>
      </c>
      <c r="AG328" s="176">
        <f t="shared" ca="1" si="101"/>
        <v>4090</v>
      </c>
      <c r="AI328" s="11">
        <f t="shared" si="94"/>
        <v>10</v>
      </c>
      <c r="AJ328" s="10">
        <v>10</v>
      </c>
      <c r="AK328" s="11">
        <f t="shared" si="100"/>
        <v>25</v>
      </c>
      <c r="AL328" s="10">
        <v>25</v>
      </c>
      <c r="AM328" s="11">
        <v>600</v>
      </c>
      <c r="AN328" s="10">
        <v>0</v>
      </c>
      <c r="AO328" s="55">
        <f t="shared" si="95"/>
        <v>2</v>
      </c>
      <c r="AQ328" s="11">
        <f ca="1">IFERROR(OFFSET(ITEM_RES!$A$1,MATCH(AR328,ITEM_RES!$J:$J,0)-1,0),0)</f>
        <v>211020401</v>
      </c>
      <c r="AR328" s="10" t="s">
        <v>427</v>
      </c>
      <c r="AS328" s="11">
        <v>240</v>
      </c>
      <c r="AV328" s="11">
        <f ca="1">IFERROR(OFFSET(ITEM_RES!$A$1,MATCH(AW328,ITEM_RES!$J:$J,0)-1,0),0)</f>
        <v>211020801</v>
      </c>
      <c r="AW328" s="10" t="s">
        <v>426</v>
      </c>
      <c r="AX328" s="11">
        <v>240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97"/>
        <v>112040005</v>
      </c>
      <c r="B329" s="13">
        <v>11</v>
      </c>
      <c r="C329" s="12">
        <f t="shared" si="98"/>
        <v>2</v>
      </c>
      <c r="D329" s="13">
        <v>4</v>
      </c>
      <c r="E329" s="13">
        <v>0</v>
      </c>
      <c r="F329" s="12">
        <f t="shared" si="99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741</v>
      </c>
      <c r="P329" s="55" t="s">
        <v>1382</v>
      </c>
      <c r="Q329" s="9" t="s">
        <v>682</v>
      </c>
      <c r="S329" s="81" t="s">
        <v>537</v>
      </c>
      <c r="T329" s="9">
        <f ca="1">IFERROR(OFFSET(ITEM_RES!$A$5,MATCH(BUILDING!S329,ITEM_RES!$J$5:$J$229,0)-1,0),0)</f>
        <v>211020601</v>
      </c>
      <c r="U329" s="11">
        <v>2</v>
      </c>
      <c r="V329" s="81" t="s">
        <v>532</v>
      </c>
      <c r="W329" s="11">
        <f ca="1">IFERROR(OFFSET(ITEM_RES!$A$5,MATCH(BUILDING!V329,ITEM_RES!$J$5:$J$229,0)-1,0),0)</f>
        <v>211020701</v>
      </c>
      <c r="Y329" s="9" t="s">
        <v>509</v>
      </c>
      <c r="Z329" s="9">
        <v>5</v>
      </c>
      <c r="AB329" s="11">
        <f ca="1">IFERROR(OFFSET(MANOR_LEVEL!$B$1,MATCH(AC329-1,MANOR_LEVEL!$A:$A,0)-1,0),0)</f>
        <v>7772100</v>
      </c>
      <c r="AC329" s="55">
        <v>13</v>
      </c>
      <c r="AE329" s="55">
        <f t="shared" ca="1" si="84"/>
        <v>14620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14620</v>
      </c>
      <c r="AG329" s="176">
        <f t="shared" ca="1" si="101"/>
        <v>17885</v>
      </c>
      <c r="AI329" s="11">
        <f t="shared" si="94"/>
        <v>15</v>
      </c>
      <c r="AJ329" s="10">
        <v>15</v>
      </c>
      <c r="AK329" s="11">
        <f t="shared" si="100"/>
        <v>40</v>
      </c>
      <c r="AL329" s="10">
        <v>40</v>
      </c>
      <c r="AM329" s="11">
        <v>2700</v>
      </c>
      <c r="AN329" s="10">
        <v>0</v>
      </c>
      <c r="AO329" s="55">
        <f t="shared" si="95"/>
        <v>2</v>
      </c>
      <c r="AQ329" s="11">
        <f ca="1">IFERROR(OFFSET(ITEM_RES!$A$1,MATCH(AR329,ITEM_RES!$J:$J,0)-1,0),0)</f>
        <v>211020401</v>
      </c>
      <c r="AR329" s="10" t="s">
        <v>427</v>
      </c>
      <c r="AS329" s="11">
        <v>1080</v>
      </c>
      <c r="AV329" s="11">
        <f ca="1">IFERROR(OFFSET(ITEM_RES!$A$1,MATCH(AW329,ITEM_RES!$J:$J,0)-1,0),0)</f>
        <v>211020801</v>
      </c>
      <c r="AW329" s="10" t="s">
        <v>426</v>
      </c>
      <c r="AX329" s="11">
        <v>1080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97"/>
        <v>112040006</v>
      </c>
      <c r="B330" s="13">
        <v>11</v>
      </c>
      <c r="C330" s="12">
        <f t="shared" si="98"/>
        <v>2</v>
      </c>
      <c r="D330" s="13">
        <v>4</v>
      </c>
      <c r="E330" s="13">
        <v>0</v>
      </c>
      <c r="F330" s="12">
        <f t="shared" si="99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741</v>
      </c>
      <c r="P330" s="55" t="s">
        <v>1382</v>
      </c>
      <c r="Q330" s="9" t="s">
        <v>682</v>
      </c>
      <c r="S330" s="81" t="s">
        <v>537</v>
      </c>
      <c r="T330" s="9">
        <f ca="1">IFERROR(OFFSET(ITEM_RES!$A$5,MATCH(BUILDING!S330,ITEM_RES!$J$5:$J$229,0)-1,0),0)</f>
        <v>211020601</v>
      </c>
      <c r="U330" s="11">
        <v>2</v>
      </c>
      <c r="V330" s="81" t="s">
        <v>532</v>
      </c>
      <c r="W330" s="11">
        <f ca="1">IFERROR(OFFSET(ITEM_RES!$A$5,MATCH(BUILDING!V330,ITEM_RES!$J$5:$J$229,0)-1,0),0)</f>
        <v>211020701</v>
      </c>
      <c r="Y330" s="9" t="s">
        <v>509</v>
      </c>
      <c r="Z330" s="9">
        <v>6</v>
      </c>
      <c r="AB330" s="11">
        <f ca="1">IFERROR(OFFSET(MANOR_LEVEL!$B$1,MATCH(AC330-1,MANOR_LEVEL!$A:$A,0)-1,0),0)</f>
        <v>50404400</v>
      </c>
      <c r="AC330" s="55">
        <v>16</v>
      </c>
      <c r="AE330" s="55">
        <f t="shared" ca="1" si="84"/>
        <v>48650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48650</v>
      </c>
      <c r="AG330" s="176">
        <f t="shared" ca="1" si="101"/>
        <v>63270</v>
      </c>
      <c r="AI330" s="11">
        <f t="shared" si="94"/>
        <v>30</v>
      </c>
      <c r="AJ330" s="10">
        <v>30</v>
      </c>
      <c r="AK330" s="11">
        <f t="shared" si="100"/>
        <v>50</v>
      </c>
      <c r="AL330" s="10">
        <v>50</v>
      </c>
      <c r="AM330" s="11">
        <v>9000</v>
      </c>
      <c r="AN330" s="10">
        <v>0</v>
      </c>
      <c r="AO330" s="55">
        <f t="shared" si="95"/>
        <v>2</v>
      </c>
      <c r="AQ330" s="11">
        <f ca="1">IFERROR(OFFSET(ITEM_RES!$A$1,MATCH(AR330,ITEM_RES!$J:$J,0)-1,0),0)</f>
        <v>211020401</v>
      </c>
      <c r="AR330" s="10" t="s">
        <v>427</v>
      </c>
      <c r="AS330" s="11">
        <v>3600</v>
      </c>
      <c r="AV330" s="11">
        <f ca="1">IFERROR(OFFSET(ITEM_RES!$A$1,MATCH(AW330,ITEM_RES!$J:$J,0)-1,0),0)</f>
        <v>211020801</v>
      </c>
      <c r="AW330" s="10" t="s">
        <v>426</v>
      </c>
      <c r="AX330" s="11">
        <v>3600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97"/>
        <v>112040007</v>
      </c>
      <c r="B331" s="13">
        <v>11</v>
      </c>
      <c r="C331" s="12">
        <f t="shared" si="98"/>
        <v>2</v>
      </c>
      <c r="D331" s="13">
        <v>4</v>
      </c>
      <c r="E331" s="13">
        <v>0</v>
      </c>
      <c r="F331" s="12">
        <f t="shared" si="99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741</v>
      </c>
      <c r="P331" s="55" t="s">
        <v>1382</v>
      </c>
      <c r="Q331" s="9" t="s">
        <v>682</v>
      </c>
      <c r="S331" s="81" t="s">
        <v>537</v>
      </c>
      <c r="T331" s="9">
        <f ca="1">IFERROR(OFFSET(ITEM_RES!$A$5,MATCH(BUILDING!S331,ITEM_RES!$J$5:$J$229,0)-1,0),0)</f>
        <v>211020601</v>
      </c>
      <c r="U331" s="11">
        <v>2</v>
      </c>
      <c r="V331" s="81" t="s">
        <v>532</v>
      </c>
      <c r="W331" s="11">
        <f ca="1">IFERROR(OFFSET(ITEM_RES!$A$5,MATCH(BUILDING!V331,ITEM_RES!$J$5:$J$229,0)-1,0),0)</f>
        <v>211020701</v>
      </c>
      <c r="Y331" s="9" t="s">
        <v>509</v>
      </c>
      <c r="Z331" s="9">
        <v>7</v>
      </c>
      <c r="AB331" s="11">
        <f ca="1">IFERROR(OFFSET(MANOR_LEVEL!$B$1,MATCH(AC331-1,MANOR_LEVEL!$A:$A,0)-1,0),0)</f>
        <v>50404400</v>
      </c>
      <c r="AC331" s="55">
        <v>16</v>
      </c>
      <c r="AE331" s="55">
        <f t="shared" ca="1" si="84"/>
        <v>108100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108100</v>
      </c>
      <c r="AG331" s="176">
        <f t="shared" ca="1" si="101"/>
        <v>156750</v>
      </c>
      <c r="AI331" s="11">
        <f t="shared" si="94"/>
        <v>300</v>
      </c>
      <c r="AJ331" s="10">
        <v>300</v>
      </c>
      <c r="AK331" s="11">
        <f t="shared" si="100"/>
        <v>100</v>
      </c>
      <c r="AL331" s="10">
        <v>100</v>
      </c>
      <c r="AM331" s="11">
        <v>20000</v>
      </c>
      <c r="AN331" s="10">
        <v>0</v>
      </c>
      <c r="AO331" s="55">
        <f t="shared" si="95"/>
        <v>2</v>
      </c>
      <c r="AQ331" s="11">
        <f ca="1">IFERROR(OFFSET(ITEM_RES!$A$1,MATCH(AR331,ITEM_RES!$J:$J,0)-1,0),0)</f>
        <v>211020401</v>
      </c>
      <c r="AR331" s="10" t="s">
        <v>427</v>
      </c>
      <c r="AS331" s="11">
        <v>8000</v>
      </c>
      <c r="AV331" s="11">
        <f ca="1">IFERROR(OFFSET(ITEM_RES!$A$1,MATCH(AW331,ITEM_RES!$J:$J,0)-1,0),0)</f>
        <v>211020801</v>
      </c>
      <c r="AW331" s="10" t="s">
        <v>426</v>
      </c>
      <c r="AX331" s="11">
        <v>8000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97"/>
        <v>112040008</v>
      </c>
      <c r="B332" s="13">
        <v>11</v>
      </c>
      <c r="C332" s="12">
        <f t="shared" si="98"/>
        <v>2</v>
      </c>
      <c r="D332" s="13">
        <v>4</v>
      </c>
      <c r="E332" s="13">
        <v>0</v>
      </c>
      <c r="F332" s="12">
        <f t="shared" si="99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741</v>
      </c>
      <c r="P332" s="55" t="s">
        <v>1382</v>
      </c>
      <c r="Q332" s="9" t="s">
        <v>682</v>
      </c>
      <c r="S332" s="81" t="s">
        <v>537</v>
      </c>
      <c r="T332" s="9">
        <f ca="1">IFERROR(OFFSET(ITEM_RES!$A$5,MATCH(BUILDING!S332,ITEM_RES!$J$5:$J$229,0)-1,0),0)</f>
        <v>211020601</v>
      </c>
      <c r="U332" s="11">
        <v>2</v>
      </c>
      <c r="V332" s="81" t="s">
        <v>532</v>
      </c>
      <c r="W332" s="11">
        <f ca="1">IFERROR(OFFSET(ITEM_RES!$A$5,MATCH(BUILDING!V332,ITEM_RES!$J$5:$J$229,0)-1,0),0)</f>
        <v>211020701</v>
      </c>
      <c r="Y332" s="9" t="s">
        <v>509</v>
      </c>
      <c r="Z332" s="9">
        <v>8</v>
      </c>
      <c r="AB332" s="11">
        <f ca="1">IFERROR(OFFSET(MANOR_LEVEL!$B$1,MATCH(AC332-1,MANOR_LEVEL!$A:$A,0)-1,0),0)</f>
        <v>50404400</v>
      </c>
      <c r="AC332" s="55">
        <v>16</v>
      </c>
      <c r="AE332" s="55">
        <f t="shared" ca="1" si="84"/>
        <v>231900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231900</v>
      </c>
      <c r="AG332" s="176">
        <f t="shared" ca="1" si="101"/>
        <v>340000</v>
      </c>
      <c r="AI332" s="11">
        <f t="shared" si="94"/>
        <v>600</v>
      </c>
      <c r="AJ332" s="10">
        <v>600</v>
      </c>
      <c r="AK332" s="11">
        <f t="shared" si="100"/>
        <v>100</v>
      </c>
      <c r="AL332" s="10">
        <v>100</v>
      </c>
      <c r="AM332" s="11">
        <v>42000</v>
      </c>
      <c r="AN332" s="10">
        <v>0</v>
      </c>
      <c r="AO332" s="55">
        <f t="shared" si="95"/>
        <v>3</v>
      </c>
      <c r="AQ332" s="11">
        <f ca="1">IFERROR(OFFSET(ITEM_RES!$A$1,MATCH(AR332,ITEM_RES!$J:$J,0)-1,0),0)</f>
        <v>211020401</v>
      </c>
      <c r="AR332" s="10" t="s">
        <v>427</v>
      </c>
      <c r="AS332" s="11">
        <v>16800</v>
      </c>
      <c r="AV332" s="11">
        <f ca="1">IFERROR(OFFSET(ITEM_RES!$A$1,MATCH(AW332,ITEM_RES!$J:$J,0)-1,0),0)</f>
        <v>211020801</v>
      </c>
      <c r="AW332" s="10" t="s">
        <v>426</v>
      </c>
      <c r="AX332" s="11">
        <v>16800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454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97"/>
        <v>112040009</v>
      </c>
      <c r="B333" s="13">
        <v>11</v>
      </c>
      <c r="C333" s="12">
        <f t="shared" si="98"/>
        <v>2</v>
      </c>
      <c r="D333" s="13">
        <v>4</v>
      </c>
      <c r="E333" s="13">
        <v>0</v>
      </c>
      <c r="F333" s="12">
        <f t="shared" si="99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741</v>
      </c>
      <c r="P333" s="55" t="s">
        <v>1382</v>
      </c>
      <c r="Q333" s="9" t="s">
        <v>682</v>
      </c>
      <c r="S333" s="81" t="s">
        <v>537</v>
      </c>
      <c r="T333" s="9">
        <f ca="1">IFERROR(OFFSET(ITEM_RES!$A$5,MATCH(BUILDING!S333,ITEM_RES!$J$5:$J$229,0)-1,0),0)</f>
        <v>211020601</v>
      </c>
      <c r="U333" s="11">
        <v>2</v>
      </c>
      <c r="V333" s="81" t="s">
        <v>532</v>
      </c>
      <c r="W333" s="11">
        <f ca="1">IFERROR(OFFSET(ITEM_RES!$A$5,MATCH(BUILDING!V333,ITEM_RES!$J$5:$J$229,0)-1,0),0)</f>
        <v>211020701</v>
      </c>
      <c r="Y333" s="9" t="s">
        <v>509</v>
      </c>
      <c r="Z333" s="9">
        <v>9</v>
      </c>
      <c r="AB333" s="11">
        <f ca="1">IFERROR(OFFSET(MANOR_LEVEL!$B$1,MATCH(AC333-1,MANOR_LEVEL!$A:$A,0)-1,0),0)</f>
        <v>50404400</v>
      </c>
      <c r="AC333" s="55">
        <v>16</v>
      </c>
      <c r="AE333" s="55">
        <f t="shared" ca="1" si="84"/>
        <v>440070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440070</v>
      </c>
      <c r="AG333" s="176">
        <f t="shared" ca="1" si="101"/>
        <v>671970</v>
      </c>
      <c r="AI333" s="11">
        <f t="shared" si="94"/>
        <v>900</v>
      </c>
      <c r="AJ333" s="10">
        <v>900</v>
      </c>
      <c r="AK333" s="11">
        <f t="shared" si="100"/>
        <v>150</v>
      </c>
      <c r="AL333" s="10">
        <v>150</v>
      </c>
      <c r="AM333" s="11">
        <v>78000</v>
      </c>
      <c r="AN333" s="10">
        <v>0</v>
      </c>
      <c r="AO333" s="55">
        <f t="shared" si="95"/>
        <v>2</v>
      </c>
      <c r="AQ333" s="11">
        <f ca="1">IFERROR(OFFSET(ITEM_RES!$A$1,MATCH(AR333,ITEM_RES!$J:$J,0)-1,0),0)</f>
        <v>211020501</v>
      </c>
      <c r="AR333" s="10" t="s">
        <v>425</v>
      </c>
      <c r="AS333" s="11">
        <v>31200</v>
      </c>
      <c r="AV333" s="11">
        <f ca="1">IFERROR(OFFSET(ITEM_RES!$A$1,MATCH(AW333,ITEM_RES!$J:$J,0)-1,0),0)</f>
        <v>211020801</v>
      </c>
      <c r="AW333" s="10" t="s">
        <v>426</v>
      </c>
      <c r="AX333" s="11">
        <v>31200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97"/>
        <v>112040010</v>
      </c>
      <c r="B334" s="13">
        <v>11</v>
      </c>
      <c r="C334" s="12">
        <f t="shared" si="98"/>
        <v>2</v>
      </c>
      <c r="D334" s="13">
        <v>4</v>
      </c>
      <c r="E334" s="13">
        <v>0</v>
      </c>
      <c r="F334" s="12">
        <f t="shared" si="99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741</v>
      </c>
      <c r="P334" s="55" t="s">
        <v>1382</v>
      </c>
      <c r="Q334" s="9" t="s">
        <v>682</v>
      </c>
      <c r="S334" s="81" t="s">
        <v>537</v>
      </c>
      <c r="T334" s="9">
        <f ca="1">IFERROR(OFFSET(ITEM_RES!$A$5,MATCH(BUILDING!S334,ITEM_RES!$J$5:$J$229,0)-1,0),0)</f>
        <v>211020601</v>
      </c>
      <c r="U334" s="11">
        <v>2</v>
      </c>
      <c r="V334" s="81" t="s">
        <v>532</v>
      </c>
      <c r="W334" s="11">
        <f ca="1">IFERROR(OFFSET(ITEM_RES!$A$5,MATCH(BUILDING!V334,ITEM_RES!$J$5:$J$229,0)-1,0),0)</f>
        <v>211020701</v>
      </c>
      <c r="Y334" s="9" t="s">
        <v>509</v>
      </c>
      <c r="Z334" s="9">
        <v>10</v>
      </c>
      <c r="AB334" s="11">
        <f ca="1">IFERROR(OFFSET(MANOR_LEVEL!$B$1,MATCH(AC334-1,MANOR_LEVEL!$A:$A,0)-1,0),0)</f>
        <v>50404400</v>
      </c>
      <c r="AC334" s="55">
        <v>16</v>
      </c>
      <c r="AE334" s="55">
        <f t="shared" ca="1" si="84"/>
        <v>733400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733400</v>
      </c>
      <c r="AG334" s="176">
        <f t="shared" ca="1" si="101"/>
        <v>1173470</v>
      </c>
      <c r="AI334" s="11">
        <f t="shared" si="94"/>
        <v>1200</v>
      </c>
      <c r="AJ334" s="10">
        <v>1200</v>
      </c>
      <c r="AK334" s="11">
        <f t="shared" si="100"/>
        <v>200</v>
      </c>
      <c r="AL334" s="10">
        <v>200</v>
      </c>
      <c r="AM334" s="11">
        <v>130000</v>
      </c>
      <c r="AN334" s="10">
        <v>0</v>
      </c>
      <c r="AO334" s="55">
        <f t="shared" si="95"/>
        <v>2</v>
      </c>
      <c r="AQ334" s="11">
        <f ca="1">IFERROR(OFFSET(ITEM_RES!$A$1,MATCH(AR334,ITEM_RES!$J:$J,0)-1,0),0)</f>
        <v>211020501</v>
      </c>
      <c r="AR334" s="10" t="s">
        <v>425</v>
      </c>
      <c r="AS334" s="11">
        <v>52000</v>
      </c>
      <c r="AV334" s="11">
        <f ca="1">IFERROR(OFFSET(ITEM_RES!$A$1,MATCH(AW334,ITEM_RES!$J:$J,0)-1,0),0)</f>
        <v>211020801</v>
      </c>
      <c r="AW334" s="10" t="s">
        <v>426</v>
      </c>
      <c r="AX334" s="11">
        <v>52000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97"/>
        <v>112040011</v>
      </c>
      <c r="B335" s="13">
        <v>11</v>
      </c>
      <c r="C335" s="12">
        <f t="shared" si="98"/>
        <v>2</v>
      </c>
      <c r="D335" s="13">
        <v>4</v>
      </c>
      <c r="E335" s="13">
        <v>0</v>
      </c>
      <c r="F335" s="12">
        <f t="shared" si="99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741</v>
      </c>
      <c r="P335" s="55" t="s">
        <v>1382</v>
      </c>
      <c r="Q335" s="9" t="s">
        <v>682</v>
      </c>
      <c r="S335" s="81" t="s">
        <v>537</v>
      </c>
      <c r="T335" s="9">
        <f ca="1">IFERROR(OFFSET(ITEM_RES!$A$5,MATCH(BUILDING!S335,ITEM_RES!$J$5:$J$229,0)-1,0),0)</f>
        <v>211020601</v>
      </c>
      <c r="U335" s="11">
        <v>2</v>
      </c>
      <c r="V335" s="81" t="s">
        <v>532</v>
      </c>
      <c r="W335" s="11">
        <f ca="1">IFERROR(OFFSET(ITEM_RES!$A$5,MATCH(BUILDING!V335,ITEM_RES!$J$5:$J$229,0)-1,0),0)</f>
        <v>211020701</v>
      </c>
      <c r="Y335" s="9" t="s">
        <v>509</v>
      </c>
      <c r="Z335" s="9">
        <v>11</v>
      </c>
      <c r="AB335" s="11">
        <f ca="1">IFERROR(OFFSET(MANOR_LEVEL!$B$1,MATCH(AC335-1,MANOR_LEVEL!$A:$A,0)-1,0),0)</f>
        <v>50404400</v>
      </c>
      <c r="AC335" s="55">
        <v>16</v>
      </c>
      <c r="AE335" s="55">
        <f t="shared" ca="1" si="84"/>
        <v>1241050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1241050</v>
      </c>
      <c r="AG335" s="176">
        <f t="shared" ca="1" si="101"/>
        <v>1974450</v>
      </c>
      <c r="AI335" s="11">
        <f t="shared" si="94"/>
        <v>1500</v>
      </c>
      <c r="AJ335" s="10">
        <v>1500</v>
      </c>
      <c r="AK335" s="11">
        <f t="shared" si="100"/>
        <v>250</v>
      </c>
      <c r="AL335" s="10">
        <v>250</v>
      </c>
      <c r="AM335" s="11">
        <v>220000</v>
      </c>
      <c r="AN335" s="10">
        <v>0</v>
      </c>
      <c r="AO335" s="55">
        <f t="shared" si="95"/>
        <v>2</v>
      </c>
      <c r="AQ335" s="11">
        <f ca="1">IFERROR(OFFSET(ITEM_RES!$A$1,MATCH(AR335,ITEM_RES!$J:$J,0)-1,0),0)</f>
        <v>211020501</v>
      </c>
      <c r="AR335" s="10" t="s">
        <v>425</v>
      </c>
      <c r="AS335" s="11">
        <v>88000</v>
      </c>
      <c r="AV335" s="11">
        <f ca="1">IFERROR(OFFSET(ITEM_RES!$A$1,MATCH(AW335,ITEM_RES!$J:$J,0)-1,0),0)</f>
        <v>211020801</v>
      </c>
      <c r="AW335" s="10" t="s">
        <v>426</v>
      </c>
      <c r="AX335" s="11">
        <v>88000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97"/>
        <v>112040012</v>
      </c>
      <c r="B336" s="13">
        <v>11</v>
      </c>
      <c r="C336" s="12">
        <f t="shared" si="98"/>
        <v>2</v>
      </c>
      <c r="D336" s="13">
        <v>4</v>
      </c>
      <c r="E336" s="13">
        <v>0</v>
      </c>
      <c r="F336" s="12">
        <f t="shared" si="99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741</v>
      </c>
      <c r="P336" s="55" t="s">
        <v>1382</v>
      </c>
      <c r="Q336" s="9" t="s">
        <v>682</v>
      </c>
      <c r="S336" s="81" t="s">
        <v>537</v>
      </c>
      <c r="T336" s="9">
        <f ca="1">IFERROR(OFFSET(ITEM_RES!$A$5,MATCH(BUILDING!S336,ITEM_RES!$J$5:$J$229,0)-1,0),0)</f>
        <v>211020601</v>
      </c>
      <c r="U336" s="11">
        <v>2</v>
      </c>
      <c r="V336" s="81" t="s">
        <v>532</v>
      </c>
      <c r="W336" s="11">
        <f ca="1">IFERROR(OFFSET(ITEM_RES!$A$5,MATCH(BUILDING!V336,ITEM_RES!$J$5:$J$229,0)-1,0),0)</f>
        <v>211020701</v>
      </c>
      <c r="Y336" s="9" t="s">
        <v>509</v>
      </c>
      <c r="Z336" s="9">
        <v>12</v>
      </c>
      <c r="AB336" s="11">
        <f ca="1">IFERROR(OFFSET(MANOR_LEVEL!$B$1,MATCH(AC336-1,MANOR_LEVEL!$A:$A,0)-1,0),0)</f>
        <v>50404400</v>
      </c>
      <c r="AC336" s="55">
        <v>16</v>
      </c>
      <c r="AE336" s="55">
        <f t="shared" ca="1" si="84"/>
        <v>2087100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2087100</v>
      </c>
      <c r="AG336" s="176">
        <f t="shared" ca="1" si="101"/>
        <v>3328150</v>
      </c>
      <c r="AI336" s="11">
        <f t="shared" si="94"/>
        <v>1800</v>
      </c>
      <c r="AJ336" s="10">
        <v>1800</v>
      </c>
      <c r="AK336" s="11">
        <f t="shared" si="100"/>
        <v>300</v>
      </c>
      <c r="AL336" s="10">
        <v>300</v>
      </c>
      <c r="AM336" s="11">
        <v>370000</v>
      </c>
      <c r="AN336" s="10">
        <v>0</v>
      </c>
      <c r="AO336" s="55">
        <f t="shared" si="95"/>
        <v>2</v>
      </c>
      <c r="AQ336" s="11">
        <f ca="1">IFERROR(OFFSET(ITEM_RES!$A$1,MATCH(AR336,ITEM_RES!$J:$J,0)-1,0),0)</f>
        <v>211020501</v>
      </c>
      <c r="AR336" s="10" t="s">
        <v>425</v>
      </c>
      <c r="AS336" s="11">
        <v>148000</v>
      </c>
      <c r="AV336" s="11">
        <f ca="1">IFERROR(OFFSET(ITEM_RES!$A$1,MATCH(AW336,ITEM_RES!$J:$J,0)-1,0),0)</f>
        <v>211020801</v>
      </c>
      <c r="AW336" s="10" t="s">
        <v>426</v>
      </c>
      <c r="AX336" s="11">
        <v>148000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97"/>
        <v>112040013</v>
      </c>
      <c r="B337" s="13">
        <v>11</v>
      </c>
      <c r="C337" s="12">
        <f t="shared" si="98"/>
        <v>2</v>
      </c>
      <c r="D337" s="13">
        <v>4</v>
      </c>
      <c r="E337" s="13">
        <v>0</v>
      </c>
      <c r="F337" s="12">
        <f t="shared" si="99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741</v>
      </c>
      <c r="P337" s="55" t="s">
        <v>1382</v>
      </c>
      <c r="Q337" s="9" t="s">
        <v>682</v>
      </c>
      <c r="S337" s="81" t="s">
        <v>537</v>
      </c>
      <c r="T337" s="9">
        <f ca="1">IFERROR(OFFSET(ITEM_RES!$A$5,MATCH(BUILDING!S337,ITEM_RES!$J$5:$J$229,0)-1,0),0)</f>
        <v>211020601</v>
      </c>
      <c r="U337" s="11">
        <v>2</v>
      </c>
      <c r="V337" s="81" t="s">
        <v>532</v>
      </c>
      <c r="W337" s="11">
        <f ca="1">IFERROR(OFFSET(ITEM_RES!$A$5,MATCH(BUILDING!V337,ITEM_RES!$J$5:$J$229,0)-1,0),0)</f>
        <v>211020701</v>
      </c>
      <c r="Y337" s="9" t="s">
        <v>509</v>
      </c>
      <c r="Z337" s="9">
        <v>13</v>
      </c>
      <c r="AB337" s="11">
        <f ca="1">IFERROR(OFFSET(MANOR_LEVEL!$B$1,MATCH(AC337-1,MANOR_LEVEL!$A:$A,0)-1,0),0)</f>
        <v>50404400</v>
      </c>
      <c r="AC337" s="55">
        <v>16</v>
      </c>
      <c r="AE337" s="55">
        <f t="shared" ca="1" si="84"/>
        <v>3497150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3497150</v>
      </c>
      <c r="AG337" s="176">
        <f t="shared" ca="1" si="101"/>
        <v>5584250</v>
      </c>
      <c r="AI337" s="11">
        <f t="shared" si="94"/>
        <v>2100</v>
      </c>
      <c r="AJ337" s="10">
        <v>2100</v>
      </c>
      <c r="AK337" s="11">
        <f t="shared" si="100"/>
        <v>350</v>
      </c>
      <c r="AL337" s="10">
        <v>350</v>
      </c>
      <c r="AM337" s="11">
        <v>620000</v>
      </c>
      <c r="AN337" s="10">
        <v>0</v>
      </c>
      <c r="AO337" s="55">
        <f t="shared" si="95"/>
        <v>2</v>
      </c>
      <c r="AQ337" s="11">
        <f ca="1">IFERROR(OFFSET(ITEM_RES!$A$1,MATCH(AR337,ITEM_RES!$J:$J,0)-1,0),0)</f>
        <v>211020501</v>
      </c>
      <c r="AR337" s="10" t="s">
        <v>425</v>
      </c>
      <c r="AS337" s="11">
        <v>248000</v>
      </c>
      <c r="AV337" s="11">
        <f ca="1">IFERROR(OFFSET(ITEM_RES!$A$1,MATCH(AW337,ITEM_RES!$J:$J,0)-1,0),0)</f>
        <v>211020801</v>
      </c>
      <c r="AW337" s="10" t="s">
        <v>426</v>
      </c>
      <c r="AX337" s="11">
        <v>248000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97"/>
        <v>112040014</v>
      </c>
      <c r="B338" s="13">
        <v>11</v>
      </c>
      <c r="C338" s="12">
        <f t="shared" si="98"/>
        <v>2</v>
      </c>
      <c r="D338" s="13">
        <v>4</v>
      </c>
      <c r="E338" s="13">
        <v>0</v>
      </c>
      <c r="F338" s="12">
        <f t="shared" si="99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741</v>
      </c>
      <c r="P338" s="55" t="s">
        <v>1382</v>
      </c>
      <c r="Q338" s="9" t="s">
        <v>682</v>
      </c>
      <c r="S338" s="81" t="s">
        <v>537</v>
      </c>
      <c r="T338" s="9">
        <f ca="1">IFERROR(OFFSET(ITEM_RES!$A$5,MATCH(BUILDING!S338,ITEM_RES!$J$5:$J$229,0)-1,0),0)</f>
        <v>211020601</v>
      </c>
      <c r="U338" s="11">
        <v>2</v>
      </c>
      <c r="V338" s="81" t="s">
        <v>532</v>
      </c>
      <c r="W338" s="11">
        <f ca="1">IFERROR(OFFSET(ITEM_RES!$A$5,MATCH(BUILDING!V338,ITEM_RES!$J$5:$J$229,0)-1,0),0)</f>
        <v>211020701</v>
      </c>
      <c r="Y338" s="9" t="s">
        <v>509</v>
      </c>
      <c r="Z338" s="9">
        <v>14</v>
      </c>
      <c r="AB338" s="11">
        <f ca="1">IFERROR(OFFSET(MANOR_LEVEL!$B$1,MATCH(AC338-1,MANOR_LEVEL!$A:$A,0)-1,0),0)</f>
        <v>50404400</v>
      </c>
      <c r="AC338" s="55">
        <v>16</v>
      </c>
      <c r="AE338" s="55">
        <f t="shared" ca="1" si="84"/>
        <v>5471250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5471250</v>
      </c>
      <c r="AG338" s="176">
        <f t="shared" ca="1" si="101"/>
        <v>8968400</v>
      </c>
      <c r="AI338" s="11">
        <f t="shared" si="94"/>
        <v>2400</v>
      </c>
      <c r="AJ338" s="10">
        <v>2400</v>
      </c>
      <c r="AK338" s="11">
        <f t="shared" si="100"/>
        <v>450</v>
      </c>
      <c r="AL338" s="10">
        <v>450</v>
      </c>
      <c r="AM338" s="11">
        <v>970000</v>
      </c>
      <c r="AN338" s="10">
        <v>0</v>
      </c>
      <c r="AO338" s="55">
        <f t="shared" si="95"/>
        <v>2</v>
      </c>
      <c r="AQ338" s="11">
        <f ca="1">IFERROR(OFFSET(ITEM_RES!$A$1,MATCH(AR338,ITEM_RES!$J:$J,0)-1,0),0)</f>
        <v>211020501</v>
      </c>
      <c r="AR338" s="10" t="s">
        <v>425</v>
      </c>
      <c r="AS338" s="11">
        <v>388000</v>
      </c>
      <c r="AV338" s="11">
        <f ca="1">IFERROR(OFFSET(ITEM_RES!$A$1,MATCH(AW338,ITEM_RES!$J:$J,0)-1,0),0)</f>
        <v>211020801</v>
      </c>
      <c r="AW338" s="10" t="s">
        <v>426</v>
      </c>
      <c r="AX338" s="11">
        <v>388000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97"/>
        <v>112040015</v>
      </c>
      <c r="B339" s="13">
        <v>11</v>
      </c>
      <c r="C339" s="12">
        <f t="shared" si="98"/>
        <v>2</v>
      </c>
      <c r="D339" s="13">
        <v>4</v>
      </c>
      <c r="E339" s="13">
        <v>0</v>
      </c>
      <c r="F339" s="12">
        <f t="shared" si="99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741</v>
      </c>
      <c r="P339" s="55" t="s">
        <v>1382</v>
      </c>
      <c r="Q339" s="9" t="s">
        <v>682</v>
      </c>
      <c r="S339" s="81" t="s">
        <v>537</v>
      </c>
      <c r="T339" s="9">
        <f ca="1">IFERROR(OFFSET(ITEM_RES!$A$5,MATCH(BUILDING!S339,ITEM_RES!$J$5:$J$229,0)-1,0),0)</f>
        <v>211020601</v>
      </c>
      <c r="U339" s="11">
        <v>2</v>
      </c>
      <c r="V339" s="81" t="s">
        <v>532</v>
      </c>
      <c r="W339" s="11">
        <f ca="1">IFERROR(OFFSET(ITEM_RES!$A$5,MATCH(BUILDING!V339,ITEM_RES!$J$5:$J$229,0)-1,0),0)</f>
        <v>211020701</v>
      </c>
      <c r="Y339" s="9" t="s">
        <v>509</v>
      </c>
      <c r="Z339" s="9">
        <v>15</v>
      </c>
      <c r="AB339" s="11">
        <f ca="1">IFERROR(OFFSET(MANOR_LEVEL!$B$1,MATCH(AC339-1,MANOR_LEVEL!$A:$A,0)-1,0),0)</f>
        <v>50404400</v>
      </c>
      <c r="AC339" s="55">
        <v>16</v>
      </c>
      <c r="AE339" s="55">
        <f t="shared" ca="1" si="84"/>
        <v>11844550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11844550</v>
      </c>
      <c r="AG339" s="176">
        <f t="shared" ca="1" si="101"/>
        <v>17315800</v>
      </c>
      <c r="AI339" s="11">
        <f t="shared" si="94"/>
        <v>2700</v>
      </c>
      <c r="AJ339" s="10">
        <v>2700</v>
      </c>
      <c r="AK339" s="11">
        <f t="shared" si="100"/>
        <v>550</v>
      </c>
      <c r="AL339" s="10">
        <v>550</v>
      </c>
      <c r="AM339" s="11">
        <v>2100000</v>
      </c>
      <c r="AN339" s="10">
        <v>0</v>
      </c>
      <c r="AO339" s="55">
        <f t="shared" si="95"/>
        <v>2</v>
      </c>
      <c r="AQ339" s="11">
        <f ca="1">IFERROR(OFFSET(ITEM_RES!$A$1,MATCH(AR339,ITEM_RES!$J:$J,0)-1,0),0)</f>
        <v>211020501</v>
      </c>
      <c r="AR339" s="10" t="s">
        <v>425</v>
      </c>
      <c r="AS339" s="11">
        <v>840000</v>
      </c>
      <c r="AV339" s="11">
        <f ca="1">IFERROR(OFFSET(ITEM_RES!$A$1,MATCH(AW339,ITEM_RES!$J:$J,0)-1,0),0)</f>
        <v>211020801</v>
      </c>
      <c r="AW339" s="10" t="s">
        <v>426</v>
      </c>
      <c r="AX339" s="11">
        <v>840000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97"/>
        <v>112040016</v>
      </c>
      <c r="B340" s="13">
        <v>11</v>
      </c>
      <c r="C340" s="12">
        <f t="shared" si="98"/>
        <v>2</v>
      </c>
      <c r="D340" s="13">
        <v>4</v>
      </c>
      <c r="E340" s="13">
        <v>0</v>
      </c>
      <c r="F340" s="12">
        <f t="shared" si="99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741</v>
      </c>
      <c r="P340" s="55" t="s">
        <v>1382</v>
      </c>
      <c r="Q340" s="9" t="s">
        <v>682</v>
      </c>
      <c r="S340" s="81" t="s">
        <v>537</v>
      </c>
      <c r="T340" s="9">
        <f ca="1">IFERROR(OFFSET(ITEM_RES!$A$5,MATCH(BUILDING!S340,ITEM_RES!$J$5:$J$229,0)-1,0),0)</f>
        <v>211020601</v>
      </c>
      <c r="U340" s="11">
        <v>2</v>
      </c>
      <c r="V340" s="81" t="s">
        <v>532</v>
      </c>
      <c r="W340" s="11">
        <f ca="1">IFERROR(OFFSET(ITEM_RES!$A$5,MATCH(BUILDING!V340,ITEM_RES!$J$5:$J$229,0)-1,0),0)</f>
        <v>211020701</v>
      </c>
      <c r="Y340" s="9" t="s">
        <v>509</v>
      </c>
      <c r="Z340" s="9">
        <v>16</v>
      </c>
      <c r="AB340" s="11">
        <f ca="1">IFERROR(OFFSET(MANOR_LEVEL!$B$1,MATCH(AC340-1,MANOR_LEVEL!$A:$A,0)-1,0),0)</f>
        <v>50404400</v>
      </c>
      <c r="AC340" s="55">
        <v>16</v>
      </c>
      <c r="AE340" s="55">
        <f t="shared" ca="1" si="84"/>
        <v>24252700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24252700</v>
      </c>
      <c r="AG340" s="176">
        <f t="shared" ca="1" si="101"/>
        <v>36097250</v>
      </c>
      <c r="AI340" s="11">
        <f t="shared" si="94"/>
        <v>3000</v>
      </c>
      <c r="AJ340" s="10">
        <v>3000</v>
      </c>
      <c r="AK340" s="11">
        <f t="shared" si="100"/>
        <v>700</v>
      </c>
      <c r="AL340" s="10">
        <v>700</v>
      </c>
      <c r="AM340" s="11">
        <v>4300000</v>
      </c>
      <c r="AN340" s="10">
        <v>0</v>
      </c>
      <c r="AO340" s="55">
        <f t="shared" si="95"/>
        <v>2</v>
      </c>
      <c r="AQ340" s="11">
        <f ca="1">IFERROR(OFFSET(ITEM_RES!$A$1,MATCH(AR340,ITEM_RES!$J:$J,0)-1,0),0)</f>
        <v>211020501</v>
      </c>
      <c r="AR340" s="10" t="s">
        <v>425</v>
      </c>
      <c r="AS340" s="11">
        <v>1720000</v>
      </c>
      <c r="AV340" s="11">
        <f ca="1">IFERROR(OFFSET(ITEM_RES!$A$1,MATCH(AW340,ITEM_RES!$J:$J,0)-1,0),0)</f>
        <v>211020801</v>
      </c>
      <c r="AW340" s="10" t="s">
        <v>426</v>
      </c>
      <c r="AX340" s="11">
        <v>1720000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97"/>
        <v>112040017</v>
      </c>
      <c r="B341" s="13">
        <v>11</v>
      </c>
      <c r="C341" s="12">
        <f t="shared" si="98"/>
        <v>2</v>
      </c>
      <c r="D341" s="13">
        <v>4</v>
      </c>
      <c r="E341" s="13">
        <v>0</v>
      </c>
      <c r="F341" s="12">
        <f t="shared" si="99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741</v>
      </c>
      <c r="P341" s="55" t="s">
        <v>1382</v>
      </c>
      <c r="Q341" s="9" t="s">
        <v>682</v>
      </c>
      <c r="S341" s="81" t="s">
        <v>537</v>
      </c>
      <c r="T341" s="9">
        <f ca="1">IFERROR(OFFSET(ITEM_RES!$A$5,MATCH(BUILDING!S341,ITEM_RES!$J$5:$J$229,0)-1,0),0)</f>
        <v>211020601</v>
      </c>
      <c r="U341" s="11">
        <v>2</v>
      </c>
      <c r="V341" s="81" t="s">
        <v>532</v>
      </c>
      <c r="W341" s="11">
        <f ca="1">IFERROR(OFFSET(ITEM_RES!$A$5,MATCH(BUILDING!V341,ITEM_RES!$J$5:$J$229,0)-1,0),0)</f>
        <v>211020701</v>
      </c>
      <c r="Y341" s="9" t="s">
        <v>509</v>
      </c>
      <c r="Z341" s="9">
        <v>17</v>
      </c>
      <c r="AB341" s="11">
        <f ca="1">IFERROR(OFFSET(MANOR_LEVEL!$B$1,MATCH(AC341-1,MANOR_LEVEL!$A:$A,0)-1,0),0)</f>
        <v>50404400</v>
      </c>
      <c r="AC341" s="55">
        <v>16</v>
      </c>
      <c r="AE341" s="55">
        <f t="shared" ca="1" si="84"/>
        <v>45120850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45120850</v>
      </c>
      <c r="AG341" s="176">
        <f t="shared" ca="1" si="101"/>
        <v>69373550</v>
      </c>
      <c r="AI341" s="11">
        <f t="shared" si="94"/>
        <v>3300</v>
      </c>
      <c r="AJ341" s="10">
        <v>3300</v>
      </c>
      <c r="AK341" s="11">
        <f t="shared" si="100"/>
        <v>850</v>
      </c>
      <c r="AL341" s="10">
        <v>850</v>
      </c>
      <c r="AM341" s="11">
        <v>8000000</v>
      </c>
      <c r="AN341" s="10">
        <v>0</v>
      </c>
      <c r="AO341" s="55">
        <f t="shared" si="95"/>
        <v>2</v>
      </c>
      <c r="AQ341" s="11">
        <f ca="1">IFERROR(OFFSET(ITEM_RES!$A$1,MATCH(AR341,ITEM_RES!$J:$J,0)-1,0),0)</f>
        <v>211020501</v>
      </c>
      <c r="AR341" s="10" t="s">
        <v>425</v>
      </c>
      <c r="AS341" s="11">
        <v>3200000</v>
      </c>
      <c r="AV341" s="11">
        <f ca="1">IFERROR(OFFSET(ITEM_RES!$A$1,MATCH(AW341,ITEM_RES!$J:$J,0)-1,0),0)</f>
        <v>211020801</v>
      </c>
      <c r="AW341" s="10" t="s">
        <v>426</v>
      </c>
      <c r="AX341" s="11">
        <v>3200000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97"/>
        <v>112040018</v>
      </c>
      <c r="B342" s="13">
        <v>11</v>
      </c>
      <c r="C342" s="12">
        <f t="shared" si="98"/>
        <v>2</v>
      </c>
      <c r="D342" s="13">
        <v>4</v>
      </c>
      <c r="E342" s="13">
        <v>0</v>
      </c>
      <c r="F342" s="12">
        <f t="shared" si="99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741</v>
      </c>
      <c r="P342" s="55" t="s">
        <v>1382</v>
      </c>
      <c r="Q342" s="9" t="s">
        <v>682</v>
      </c>
      <c r="S342" s="81" t="s">
        <v>537</v>
      </c>
      <c r="T342" s="9">
        <f ca="1">IFERROR(OFFSET(ITEM_RES!$A$5,MATCH(BUILDING!S342,ITEM_RES!$J$5:$J$229,0)-1,0),0)</f>
        <v>211020601</v>
      </c>
      <c r="U342" s="11">
        <v>2</v>
      </c>
      <c r="V342" s="81" t="s">
        <v>532</v>
      </c>
      <c r="W342" s="11">
        <f ca="1">IFERROR(OFFSET(ITEM_RES!$A$5,MATCH(BUILDING!V342,ITEM_RES!$J$5:$J$229,0)-1,0),0)</f>
        <v>211020701</v>
      </c>
      <c r="Y342" s="9" t="s">
        <v>509</v>
      </c>
      <c r="Z342" s="9">
        <v>18</v>
      </c>
      <c r="AB342" s="11">
        <f ca="1">IFERROR(OFFSET(MANOR_LEVEL!$B$1,MATCH(AC342-1,MANOR_LEVEL!$A:$A,0)-1,0),0)</f>
        <v>50404400</v>
      </c>
      <c r="AC342" s="55">
        <v>16</v>
      </c>
      <c r="AE342" s="55">
        <f t="shared" ca="1" si="84"/>
        <v>73321050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73321050</v>
      </c>
      <c r="AG342" s="176">
        <f t="shared" ca="1" si="101"/>
        <v>118441900</v>
      </c>
      <c r="AI342" s="11">
        <f t="shared" si="94"/>
        <v>3600</v>
      </c>
      <c r="AJ342" s="10">
        <v>3600</v>
      </c>
      <c r="AK342" s="11">
        <f t="shared" si="100"/>
        <v>1050</v>
      </c>
      <c r="AL342" s="10">
        <v>1050</v>
      </c>
      <c r="AM342" s="11">
        <v>13000000</v>
      </c>
      <c r="AN342" s="10">
        <v>0</v>
      </c>
      <c r="AO342" s="55">
        <f t="shared" si="95"/>
        <v>2</v>
      </c>
      <c r="AQ342" s="11">
        <f ca="1">IFERROR(OFFSET(ITEM_RES!$A$1,MATCH(AR342,ITEM_RES!$J:$J,0)-1,0),0)</f>
        <v>211020501</v>
      </c>
      <c r="AR342" s="10" t="s">
        <v>425</v>
      </c>
      <c r="AS342" s="11">
        <v>5200000</v>
      </c>
      <c r="AV342" s="11">
        <f ca="1">IFERROR(OFFSET(ITEM_RES!$A$1,MATCH(AW342,ITEM_RES!$J:$J,0)-1,0),0)</f>
        <v>211020801</v>
      </c>
      <c r="AW342" s="10" t="s">
        <v>426</v>
      </c>
      <c r="AX342" s="11">
        <v>5200000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97"/>
        <v>112040019</v>
      </c>
      <c r="B343" s="13">
        <v>11</v>
      </c>
      <c r="C343" s="12">
        <f t="shared" si="98"/>
        <v>2</v>
      </c>
      <c r="D343" s="13">
        <v>4</v>
      </c>
      <c r="E343" s="13">
        <v>0</v>
      </c>
      <c r="F343" s="12">
        <f t="shared" si="99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741</v>
      </c>
      <c r="P343" s="55" t="s">
        <v>1382</v>
      </c>
      <c r="Q343" s="9" t="s">
        <v>682</v>
      </c>
      <c r="S343" s="81" t="s">
        <v>537</v>
      </c>
      <c r="T343" s="9">
        <f ca="1">IFERROR(OFFSET(ITEM_RES!$A$5,MATCH(BUILDING!S343,ITEM_RES!$J$5:$J$229,0)-1,0),0)</f>
        <v>211020601</v>
      </c>
      <c r="U343" s="11">
        <v>2</v>
      </c>
      <c r="V343" s="81" t="s">
        <v>532</v>
      </c>
      <c r="W343" s="11">
        <f ca="1">IFERROR(OFFSET(ITEM_RES!$A$5,MATCH(BUILDING!V343,ITEM_RES!$J$5:$J$229,0)-1,0),0)</f>
        <v>211020701</v>
      </c>
      <c r="Y343" s="9" t="s">
        <v>509</v>
      </c>
      <c r="Z343" s="9">
        <v>19</v>
      </c>
      <c r="AB343" s="11">
        <f ca="1">IFERROR(OFFSET(MANOR_LEVEL!$B$1,MATCH(AC343-1,MANOR_LEVEL!$A:$A,0)-1,0),0)</f>
        <v>50404400</v>
      </c>
      <c r="AC343" s="55">
        <v>16</v>
      </c>
      <c r="AE343" s="55">
        <f t="shared" ca="1" si="84"/>
        <v>112801250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112801250</v>
      </c>
      <c r="AG343" s="176">
        <f t="shared" ca="1" si="101"/>
        <v>186122300</v>
      </c>
      <c r="AI343" s="11">
        <f t="shared" si="94"/>
        <v>3900</v>
      </c>
      <c r="AJ343" s="10">
        <v>3900</v>
      </c>
      <c r="AK343" s="11">
        <f t="shared" si="100"/>
        <v>1250</v>
      </c>
      <c r="AL343" s="10">
        <v>1250</v>
      </c>
      <c r="AM343" s="11">
        <v>20000000</v>
      </c>
      <c r="AN343" s="10">
        <v>0</v>
      </c>
      <c r="AO343" s="55">
        <f t="shared" si="95"/>
        <v>2</v>
      </c>
      <c r="AQ343" s="11">
        <f ca="1">IFERROR(OFFSET(ITEM_RES!$A$1,MATCH(AR343,ITEM_RES!$J:$J,0)-1,0),0)</f>
        <v>211020501</v>
      </c>
      <c r="AR343" s="10" t="s">
        <v>425</v>
      </c>
      <c r="AS343" s="11">
        <v>8000000</v>
      </c>
      <c r="AV343" s="11">
        <f ca="1">IFERROR(OFFSET(ITEM_RES!$A$1,MATCH(AW343,ITEM_RES!$J:$J,0)-1,0),0)</f>
        <v>211020801</v>
      </c>
      <c r="AW343" s="10" t="s">
        <v>426</v>
      </c>
      <c r="AX343" s="11">
        <v>8000000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97"/>
        <v>112040020</v>
      </c>
      <c r="B344" s="13">
        <v>11</v>
      </c>
      <c r="C344" s="12">
        <f t="shared" si="98"/>
        <v>2</v>
      </c>
      <c r="D344" s="13">
        <v>4</v>
      </c>
      <c r="E344" s="13">
        <v>0</v>
      </c>
      <c r="F344" s="12">
        <f t="shared" si="99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741</v>
      </c>
      <c r="P344" s="55" t="s">
        <v>1382</v>
      </c>
      <c r="Q344" s="9" t="s">
        <v>682</v>
      </c>
      <c r="S344" s="81" t="s">
        <v>537</v>
      </c>
      <c r="T344" s="9">
        <f ca="1">IFERROR(OFFSET(ITEM_RES!$A$5,MATCH(BUILDING!S344,ITEM_RES!$J$5:$J$229,0)-1,0),0)</f>
        <v>211020601</v>
      </c>
      <c r="U344" s="11">
        <v>2</v>
      </c>
      <c r="V344" s="81" t="s">
        <v>532</v>
      </c>
      <c r="W344" s="11">
        <f ca="1">IFERROR(OFFSET(ITEM_RES!$A$5,MATCH(BUILDING!V344,ITEM_RES!$J$5:$J$229,0)-1,0),0)</f>
        <v>211020701</v>
      </c>
      <c r="Y344" s="9" t="s">
        <v>509</v>
      </c>
      <c r="Z344" s="9">
        <v>20</v>
      </c>
      <c r="AB344" s="11">
        <f ca="1">IFERROR(OFFSET(MANOR_LEVEL!$B$1,MATCH(AC344-1,MANOR_LEVEL!$A:$A,0)-1,0),0)</f>
        <v>50404400</v>
      </c>
      <c r="AC344" s="55">
        <v>16</v>
      </c>
      <c r="AE344" s="55">
        <f t="shared" ca="1" si="84"/>
        <v>180481500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180481500</v>
      </c>
      <c r="AG344" s="176">
        <f t="shared" ca="1" si="101"/>
        <v>293282750</v>
      </c>
      <c r="AI344" s="11">
        <f t="shared" si="94"/>
        <v>4200</v>
      </c>
      <c r="AJ344" s="10">
        <v>4200</v>
      </c>
      <c r="AK344" s="11">
        <f t="shared" si="100"/>
        <v>1500</v>
      </c>
      <c r="AL344" s="10">
        <v>1500</v>
      </c>
      <c r="AM344" s="11">
        <v>32000000</v>
      </c>
      <c r="AN344" s="10">
        <v>0</v>
      </c>
      <c r="AO344" s="55">
        <f t="shared" si="95"/>
        <v>2</v>
      </c>
      <c r="AQ344" s="11">
        <f ca="1">IFERROR(OFFSET(ITEM_RES!$A$1,MATCH(AR344,ITEM_RES!$J:$J,0)-1,0),0)</f>
        <v>211020501</v>
      </c>
      <c r="AR344" s="10" t="s">
        <v>425</v>
      </c>
      <c r="AS344" s="11">
        <v>12800000</v>
      </c>
      <c r="AV344" s="11">
        <f ca="1">IFERROR(OFFSET(ITEM_RES!$A$1,MATCH(AW344,ITEM_RES!$J:$J,0)-1,0),0)</f>
        <v>211020801</v>
      </c>
      <c r="AW344" s="10" t="s">
        <v>426</v>
      </c>
      <c r="AX344" s="11">
        <v>12800000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97"/>
        <v>112050001</v>
      </c>
      <c r="B345" s="20">
        <v>11</v>
      </c>
      <c r="C345" s="19">
        <f t="shared" si="98"/>
        <v>2</v>
      </c>
      <c r="D345" s="20">
        <v>5</v>
      </c>
      <c r="E345" s="20">
        <v>0</v>
      </c>
      <c r="F345" s="19">
        <f t="shared" si="99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10</v>
      </c>
      <c r="M345" s="16">
        <v>1</v>
      </c>
      <c r="N345" s="16">
        <v>15</v>
      </c>
      <c r="O345" s="16" t="s">
        <v>742</v>
      </c>
      <c r="P345" s="56" t="s">
        <v>1383</v>
      </c>
      <c r="Q345" s="16" t="s">
        <v>683</v>
      </c>
      <c r="R345" s="76"/>
      <c r="S345" s="83" t="s">
        <v>538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386</v>
      </c>
      <c r="W345" s="18">
        <f ca="1">IFERROR(OFFSET(ITEM_RES!$A$5,MATCH(BUILDING!V345,ITEM_RES!$J$5:$J$229,0)-1,0),0)</f>
        <v>211020901</v>
      </c>
      <c r="X345" s="76"/>
      <c r="Y345" s="16" t="s">
        <v>510</v>
      </c>
      <c r="Z345" s="16">
        <v>1</v>
      </c>
      <c r="AA345" s="76"/>
      <c r="AB345" s="18">
        <f ca="1">IFERROR(OFFSET(MANOR_LEVEL!$B$1,MATCH(AC345-1,MANOR_LEVEL!$A:$A,0)-1,0),0)</f>
        <v>1956000</v>
      </c>
      <c r="AC345" s="56">
        <v>11</v>
      </c>
      <c r="AD345" s="76"/>
      <c r="AE345" s="56">
        <f t="shared" ca="1" si="84"/>
        <v>1275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1275</v>
      </c>
      <c r="AG345" s="178">
        <f ca="1">AE345</f>
        <v>1275</v>
      </c>
      <c r="AH345" s="76"/>
      <c r="AI345" s="18">
        <f t="shared" si="94"/>
        <v>3</v>
      </c>
      <c r="AJ345" s="17">
        <v>3</v>
      </c>
      <c r="AK345" s="18">
        <f t="shared" si="100"/>
        <v>5</v>
      </c>
      <c r="AL345" s="17">
        <v>5</v>
      </c>
      <c r="AM345" s="18">
        <v>50</v>
      </c>
      <c r="AN345" s="17">
        <v>0</v>
      </c>
      <c r="AO345" s="56">
        <f t="shared" si="95"/>
        <v>3</v>
      </c>
      <c r="AP345" s="18"/>
      <c r="AQ345" s="18">
        <f ca="1">IFERROR(OFFSET(ITEM_RES!$A$1,MATCH(AR345,ITEM_RES!$J:$J,0)-1,0),0)</f>
        <v>211020401</v>
      </c>
      <c r="AR345" s="17" t="s">
        <v>427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426</v>
      </c>
      <c r="AX345" s="18">
        <v>20</v>
      </c>
      <c r="AY345" s="17"/>
      <c r="AZ345" s="18"/>
      <c r="BA345" s="18">
        <f ca="1">IFERROR(OFFSET(ITEM_RES!$A$1,MATCH(BB345,ITEM_RES!$J:$J,0)-1,0),0)</f>
        <v>213010101</v>
      </c>
      <c r="BB345" s="17" t="s">
        <v>441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97"/>
        <v>112050002</v>
      </c>
      <c r="B346" s="13">
        <v>11</v>
      </c>
      <c r="C346" s="12">
        <f t="shared" si="98"/>
        <v>2</v>
      </c>
      <c r="D346" s="13">
        <v>5</v>
      </c>
      <c r="E346" s="13">
        <v>0</v>
      </c>
      <c r="F346" s="12">
        <f t="shared" si="99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742</v>
      </c>
      <c r="P346" s="55" t="s">
        <v>1383</v>
      </c>
      <c r="Q346" s="9" t="s">
        <v>683</v>
      </c>
      <c r="S346" s="81" t="s">
        <v>538</v>
      </c>
      <c r="T346" s="9">
        <f ca="1">IFERROR(OFFSET(ITEM_RES!$A$5,MATCH(BUILDING!S346,ITEM_RES!$J$5:$J$229,0)-1,0),0)</f>
        <v>211020801</v>
      </c>
      <c r="U346" s="11">
        <v>1</v>
      </c>
      <c r="V346" s="81" t="s">
        <v>386</v>
      </c>
      <c r="W346" s="11">
        <f ca="1">IFERROR(OFFSET(ITEM_RES!$A$5,MATCH(BUILDING!V346,ITEM_RES!$J$5:$J$229,0)-1,0),0)</f>
        <v>211020901</v>
      </c>
      <c r="Y346" s="9" t="s">
        <v>510</v>
      </c>
      <c r="Z346" s="9">
        <v>2</v>
      </c>
      <c r="AB346" s="11">
        <f ca="1">IFERROR(OFFSET(MANOR_LEVEL!$B$1,MATCH(AC346-1,MANOR_LEVEL!$A:$A,0)-1,0),0)</f>
        <v>1956000</v>
      </c>
      <c r="AC346" s="55">
        <v>11</v>
      </c>
      <c r="AE346" s="55">
        <f t="shared" ref="AE346:AE409" ca="1" si="102">ROUND(AF346,0)</f>
        <v>550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550</v>
      </c>
      <c r="AG346" s="176">
        <f ca="1">AE345+AE346</f>
        <v>1825</v>
      </c>
      <c r="AI346" s="11">
        <f t="shared" si="94"/>
        <v>5</v>
      </c>
      <c r="AJ346" s="10">
        <v>5</v>
      </c>
      <c r="AK346" s="11">
        <f t="shared" si="100"/>
        <v>10</v>
      </c>
      <c r="AL346" s="10">
        <v>10</v>
      </c>
      <c r="AM346" s="11">
        <v>100</v>
      </c>
      <c r="AN346" s="10">
        <v>0</v>
      </c>
      <c r="AO346" s="55">
        <f t="shared" si="95"/>
        <v>2</v>
      </c>
      <c r="AQ346" s="11">
        <f ca="1">IFERROR(OFFSET(ITEM_RES!$A$1,MATCH(AR346,ITEM_RES!$J:$J,0)-1,0),0)</f>
        <v>211020401</v>
      </c>
      <c r="AR346" s="10" t="s">
        <v>427</v>
      </c>
      <c r="AS346" s="11">
        <v>40</v>
      </c>
      <c r="AV346" s="11">
        <f ca="1">IFERROR(OFFSET(ITEM_RES!$A$1,MATCH(AW346,ITEM_RES!$J:$J,0)-1,0),0)</f>
        <v>211020801</v>
      </c>
      <c r="AW346" s="10" t="s">
        <v>426</v>
      </c>
      <c r="AX346" s="11">
        <v>40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97"/>
        <v>112050003</v>
      </c>
      <c r="B347" s="13">
        <v>11</v>
      </c>
      <c r="C347" s="12">
        <f t="shared" si="98"/>
        <v>2</v>
      </c>
      <c r="D347" s="13">
        <v>5</v>
      </c>
      <c r="E347" s="13">
        <v>0</v>
      </c>
      <c r="F347" s="12">
        <f t="shared" si="99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742</v>
      </c>
      <c r="P347" s="55" t="s">
        <v>1383</v>
      </c>
      <c r="Q347" s="9" t="s">
        <v>683</v>
      </c>
      <c r="S347" s="81" t="s">
        <v>538</v>
      </c>
      <c r="T347" s="9">
        <f ca="1">IFERROR(OFFSET(ITEM_RES!$A$5,MATCH(BUILDING!S347,ITEM_RES!$J$5:$J$229,0)-1,0),0)</f>
        <v>211020801</v>
      </c>
      <c r="U347" s="11">
        <v>1</v>
      </c>
      <c r="V347" s="81" t="s">
        <v>386</v>
      </c>
      <c r="W347" s="11">
        <f ca="1">IFERROR(OFFSET(ITEM_RES!$A$5,MATCH(BUILDING!V347,ITEM_RES!$J$5:$J$229,0)-1,0),0)</f>
        <v>211020901</v>
      </c>
      <c r="Y347" s="9" t="s">
        <v>510</v>
      </c>
      <c r="Z347" s="9">
        <v>3</v>
      </c>
      <c r="AB347" s="11">
        <f ca="1">IFERROR(OFFSET(MANOR_LEVEL!$B$1,MATCH(AC347-1,MANOR_LEVEL!$A:$A,0)-1,0),0)</f>
        <v>3961500</v>
      </c>
      <c r="AC347" s="55">
        <v>12</v>
      </c>
      <c r="AE347" s="55">
        <f t="shared" ca="1" si="102"/>
        <v>825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825</v>
      </c>
      <c r="AG347" s="176">
        <f t="shared" ref="AG347:AG364" ca="1" si="103">AE346+AE347</f>
        <v>1375</v>
      </c>
      <c r="AI347" s="11">
        <f t="shared" si="94"/>
        <v>5</v>
      </c>
      <c r="AJ347" s="10">
        <v>5</v>
      </c>
      <c r="AK347" s="11">
        <f t="shared" si="100"/>
        <v>15</v>
      </c>
      <c r="AL347" s="10">
        <v>15</v>
      </c>
      <c r="AM347" s="11">
        <v>150</v>
      </c>
      <c r="AN347" s="10">
        <v>0</v>
      </c>
      <c r="AO347" s="55">
        <f t="shared" si="95"/>
        <v>2</v>
      </c>
      <c r="AQ347" s="11">
        <f ca="1">IFERROR(OFFSET(ITEM_RES!$A$1,MATCH(AR347,ITEM_RES!$J:$J,0)-1,0),0)</f>
        <v>211020401</v>
      </c>
      <c r="AR347" s="10" t="s">
        <v>427</v>
      </c>
      <c r="AS347" s="11">
        <v>60</v>
      </c>
      <c r="AV347" s="11">
        <f ca="1">IFERROR(OFFSET(ITEM_RES!$A$1,MATCH(AW347,ITEM_RES!$J:$J,0)-1,0),0)</f>
        <v>211020801</v>
      </c>
      <c r="AW347" s="10" t="s">
        <v>426</v>
      </c>
      <c r="AX347" s="11">
        <v>60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97"/>
        <v>112050004</v>
      </c>
      <c r="B348" s="13">
        <v>11</v>
      </c>
      <c r="C348" s="12">
        <f t="shared" si="98"/>
        <v>2</v>
      </c>
      <c r="D348" s="13">
        <v>5</v>
      </c>
      <c r="E348" s="13">
        <v>0</v>
      </c>
      <c r="F348" s="12">
        <f t="shared" si="99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742</v>
      </c>
      <c r="P348" s="55" t="s">
        <v>1383</v>
      </c>
      <c r="Q348" s="9" t="s">
        <v>683</v>
      </c>
      <c r="S348" s="81" t="s">
        <v>538</v>
      </c>
      <c r="T348" s="9">
        <f ca="1">IFERROR(OFFSET(ITEM_RES!$A$5,MATCH(BUILDING!S348,ITEM_RES!$J$5:$J$229,0)-1,0),0)</f>
        <v>211020801</v>
      </c>
      <c r="U348" s="11">
        <v>1</v>
      </c>
      <c r="V348" s="81" t="s">
        <v>386</v>
      </c>
      <c r="W348" s="11">
        <f ca="1">IFERROR(OFFSET(ITEM_RES!$A$5,MATCH(BUILDING!V348,ITEM_RES!$J$5:$J$229,0)-1,0),0)</f>
        <v>211020901</v>
      </c>
      <c r="Y348" s="9" t="s">
        <v>510</v>
      </c>
      <c r="Z348" s="9">
        <v>4</v>
      </c>
      <c r="AB348" s="11">
        <f ca="1">IFERROR(OFFSET(MANOR_LEVEL!$B$1,MATCH(AC348-1,MANOR_LEVEL!$A:$A,0)-1,0),0)</f>
        <v>7772100</v>
      </c>
      <c r="AC348" s="55">
        <v>13</v>
      </c>
      <c r="AE348" s="55">
        <f t="shared" ca="1" si="102"/>
        <v>3265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3265</v>
      </c>
      <c r="AG348" s="176">
        <f t="shared" ca="1" si="103"/>
        <v>4090</v>
      </c>
      <c r="AI348" s="11">
        <f t="shared" si="94"/>
        <v>10</v>
      </c>
      <c r="AJ348" s="10">
        <v>10</v>
      </c>
      <c r="AK348" s="11">
        <f t="shared" si="100"/>
        <v>25</v>
      </c>
      <c r="AL348" s="10">
        <v>25</v>
      </c>
      <c r="AM348" s="11">
        <v>600</v>
      </c>
      <c r="AN348" s="10">
        <v>0</v>
      </c>
      <c r="AO348" s="55">
        <f t="shared" si="95"/>
        <v>2</v>
      </c>
      <c r="AQ348" s="11">
        <f ca="1">IFERROR(OFFSET(ITEM_RES!$A$1,MATCH(AR348,ITEM_RES!$J:$J,0)-1,0),0)</f>
        <v>211020401</v>
      </c>
      <c r="AR348" s="10" t="s">
        <v>427</v>
      </c>
      <c r="AS348" s="11">
        <v>240</v>
      </c>
      <c r="AV348" s="11">
        <f ca="1">IFERROR(OFFSET(ITEM_RES!$A$1,MATCH(AW348,ITEM_RES!$J:$J,0)-1,0),0)</f>
        <v>211020801</v>
      </c>
      <c r="AW348" s="10" t="s">
        <v>426</v>
      </c>
      <c r="AX348" s="11">
        <v>240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97"/>
        <v>112050005</v>
      </c>
      <c r="B349" s="13">
        <v>11</v>
      </c>
      <c r="C349" s="12">
        <f t="shared" si="98"/>
        <v>2</v>
      </c>
      <c r="D349" s="13">
        <v>5</v>
      </c>
      <c r="E349" s="13">
        <v>0</v>
      </c>
      <c r="F349" s="12">
        <f t="shared" si="99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742</v>
      </c>
      <c r="P349" s="55" t="s">
        <v>1383</v>
      </c>
      <c r="Q349" s="9" t="s">
        <v>683</v>
      </c>
      <c r="S349" s="81" t="s">
        <v>538</v>
      </c>
      <c r="T349" s="9">
        <f ca="1">IFERROR(OFFSET(ITEM_RES!$A$5,MATCH(BUILDING!S349,ITEM_RES!$J$5:$J$229,0)-1,0),0)</f>
        <v>211020801</v>
      </c>
      <c r="U349" s="11">
        <v>1</v>
      </c>
      <c r="V349" s="81" t="s">
        <v>386</v>
      </c>
      <c r="W349" s="11">
        <f ca="1">IFERROR(OFFSET(ITEM_RES!$A$5,MATCH(BUILDING!V349,ITEM_RES!$J$5:$J$229,0)-1,0),0)</f>
        <v>211020901</v>
      </c>
      <c r="Y349" s="9" t="s">
        <v>510</v>
      </c>
      <c r="Z349" s="9">
        <v>5</v>
      </c>
      <c r="AB349" s="11">
        <f ca="1">IFERROR(OFFSET(MANOR_LEVEL!$B$1,MATCH(AC349-1,MANOR_LEVEL!$A:$A,0)-1,0),0)</f>
        <v>7772100</v>
      </c>
      <c r="AC349" s="55">
        <v>13</v>
      </c>
      <c r="AE349" s="55">
        <f t="shared" ca="1" si="102"/>
        <v>14620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14620</v>
      </c>
      <c r="AG349" s="176">
        <f t="shared" ca="1" si="103"/>
        <v>17885</v>
      </c>
      <c r="AI349" s="11">
        <f t="shared" si="94"/>
        <v>15</v>
      </c>
      <c r="AJ349" s="10">
        <v>15</v>
      </c>
      <c r="AK349" s="11">
        <f t="shared" si="100"/>
        <v>40</v>
      </c>
      <c r="AL349" s="10">
        <v>40</v>
      </c>
      <c r="AM349" s="11">
        <v>2700</v>
      </c>
      <c r="AN349" s="10">
        <v>0</v>
      </c>
      <c r="AO349" s="55">
        <f t="shared" si="95"/>
        <v>2</v>
      </c>
      <c r="AQ349" s="11">
        <f ca="1">IFERROR(OFFSET(ITEM_RES!$A$1,MATCH(AR349,ITEM_RES!$J:$J,0)-1,0),0)</f>
        <v>211020401</v>
      </c>
      <c r="AR349" s="10" t="s">
        <v>427</v>
      </c>
      <c r="AS349" s="11">
        <v>1080</v>
      </c>
      <c r="AV349" s="11">
        <f ca="1">IFERROR(OFFSET(ITEM_RES!$A$1,MATCH(AW349,ITEM_RES!$J:$J,0)-1,0),0)</f>
        <v>211020801</v>
      </c>
      <c r="AW349" s="10" t="s">
        <v>426</v>
      </c>
      <c r="AX349" s="11">
        <v>1080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97"/>
        <v>112050006</v>
      </c>
      <c r="B350" s="13">
        <v>11</v>
      </c>
      <c r="C350" s="12">
        <f t="shared" si="98"/>
        <v>2</v>
      </c>
      <c r="D350" s="13">
        <v>5</v>
      </c>
      <c r="E350" s="13">
        <v>0</v>
      </c>
      <c r="F350" s="12">
        <f t="shared" si="99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742</v>
      </c>
      <c r="P350" s="55" t="s">
        <v>1383</v>
      </c>
      <c r="Q350" s="9" t="s">
        <v>683</v>
      </c>
      <c r="S350" s="81" t="s">
        <v>538</v>
      </c>
      <c r="T350" s="9">
        <f ca="1">IFERROR(OFFSET(ITEM_RES!$A$5,MATCH(BUILDING!S350,ITEM_RES!$J$5:$J$229,0)-1,0),0)</f>
        <v>211020801</v>
      </c>
      <c r="U350" s="11">
        <v>1</v>
      </c>
      <c r="V350" s="81" t="s">
        <v>386</v>
      </c>
      <c r="W350" s="11">
        <f ca="1">IFERROR(OFFSET(ITEM_RES!$A$5,MATCH(BUILDING!V350,ITEM_RES!$J$5:$J$229,0)-1,0),0)</f>
        <v>211020901</v>
      </c>
      <c r="Y350" s="9" t="s">
        <v>510</v>
      </c>
      <c r="Z350" s="9">
        <v>6</v>
      </c>
      <c r="AB350" s="11">
        <f ca="1">IFERROR(OFFSET(MANOR_LEVEL!$B$1,MATCH(AC350-1,MANOR_LEVEL!$A:$A,0)-1,0),0)</f>
        <v>50404400</v>
      </c>
      <c r="AC350" s="55">
        <v>16</v>
      </c>
      <c r="AE350" s="55">
        <f t="shared" ca="1" si="102"/>
        <v>48650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48650</v>
      </c>
      <c r="AG350" s="176">
        <f t="shared" ca="1" si="103"/>
        <v>63270</v>
      </c>
      <c r="AI350" s="11">
        <f t="shared" si="94"/>
        <v>30</v>
      </c>
      <c r="AJ350" s="10">
        <v>30</v>
      </c>
      <c r="AK350" s="11">
        <f t="shared" si="100"/>
        <v>50</v>
      </c>
      <c r="AL350" s="10">
        <v>50</v>
      </c>
      <c r="AM350" s="11">
        <v>9000</v>
      </c>
      <c r="AN350" s="10">
        <v>0</v>
      </c>
      <c r="AO350" s="55">
        <f t="shared" si="95"/>
        <v>2</v>
      </c>
      <c r="AQ350" s="11">
        <f ca="1">IFERROR(OFFSET(ITEM_RES!$A$1,MATCH(AR350,ITEM_RES!$J:$J,0)-1,0),0)</f>
        <v>211020401</v>
      </c>
      <c r="AR350" s="10" t="s">
        <v>427</v>
      </c>
      <c r="AS350" s="11">
        <v>3600</v>
      </c>
      <c r="AV350" s="11">
        <f ca="1">IFERROR(OFFSET(ITEM_RES!$A$1,MATCH(AW350,ITEM_RES!$J:$J,0)-1,0),0)</f>
        <v>211020801</v>
      </c>
      <c r="AW350" s="10" t="s">
        <v>426</v>
      </c>
      <c r="AX350" s="11">
        <v>3600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97"/>
        <v>112050007</v>
      </c>
      <c r="B351" s="13">
        <v>11</v>
      </c>
      <c r="C351" s="12">
        <f t="shared" si="98"/>
        <v>2</v>
      </c>
      <c r="D351" s="13">
        <v>5</v>
      </c>
      <c r="E351" s="13">
        <v>0</v>
      </c>
      <c r="F351" s="12">
        <f t="shared" si="99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742</v>
      </c>
      <c r="P351" s="55" t="s">
        <v>1383</v>
      </c>
      <c r="Q351" s="9" t="s">
        <v>683</v>
      </c>
      <c r="S351" s="81" t="s">
        <v>538</v>
      </c>
      <c r="T351" s="9">
        <f ca="1">IFERROR(OFFSET(ITEM_RES!$A$5,MATCH(BUILDING!S351,ITEM_RES!$J$5:$J$229,0)-1,0),0)</f>
        <v>211020801</v>
      </c>
      <c r="U351" s="11">
        <v>1</v>
      </c>
      <c r="V351" s="81" t="s">
        <v>386</v>
      </c>
      <c r="W351" s="11">
        <f ca="1">IFERROR(OFFSET(ITEM_RES!$A$5,MATCH(BUILDING!V351,ITEM_RES!$J$5:$J$229,0)-1,0),0)</f>
        <v>211020901</v>
      </c>
      <c r="Y351" s="9" t="s">
        <v>510</v>
      </c>
      <c r="Z351" s="9">
        <v>7</v>
      </c>
      <c r="AB351" s="11">
        <f ca="1">IFERROR(OFFSET(MANOR_LEVEL!$B$1,MATCH(AC351-1,MANOR_LEVEL!$A:$A,0)-1,0),0)</f>
        <v>50404400</v>
      </c>
      <c r="AC351" s="55">
        <v>16</v>
      </c>
      <c r="AE351" s="55">
        <f t="shared" ca="1" si="102"/>
        <v>118100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118100</v>
      </c>
      <c r="AG351" s="176">
        <f t="shared" ca="1" si="103"/>
        <v>166750</v>
      </c>
      <c r="AI351" s="11">
        <f t="shared" si="94"/>
        <v>300</v>
      </c>
      <c r="AJ351" s="10">
        <v>300</v>
      </c>
      <c r="AK351" s="11">
        <f t="shared" si="100"/>
        <v>100</v>
      </c>
      <c r="AL351" s="10">
        <v>100</v>
      </c>
      <c r="AM351" s="11">
        <v>20000</v>
      </c>
      <c r="AN351" s="10">
        <v>0</v>
      </c>
      <c r="AO351" s="55">
        <f t="shared" si="95"/>
        <v>3</v>
      </c>
      <c r="AQ351" s="11">
        <f ca="1">IFERROR(OFFSET(ITEM_RES!$A$1,MATCH(AR351,ITEM_RES!$J:$J,0)-1,0),0)</f>
        <v>211020401</v>
      </c>
      <c r="AR351" s="10" t="s">
        <v>427</v>
      </c>
      <c r="AS351" s="11">
        <v>8000</v>
      </c>
      <c r="AV351" s="11">
        <f ca="1">IFERROR(OFFSET(ITEM_RES!$A$1,MATCH(AW351,ITEM_RES!$J:$J,0)-1,0),0)</f>
        <v>211020801</v>
      </c>
      <c r="AW351" s="10" t="s">
        <v>426</v>
      </c>
      <c r="AX351" s="11">
        <v>8000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455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97"/>
        <v>112050008</v>
      </c>
      <c r="B352" s="13">
        <v>11</v>
      </c>
      <c r="C352" s="12">
        <f t="shared" si="98"/>
        <v>2</v>
      </c>
      <c r="D352" s="13">
        <v>5</v>
      </c>
      <c r="E352" s="13">
        <v>0</v>
      </c>
      <c r="F352" s="12">
        <f t="shared" si="99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742</v>
      </c>
      <c r="P352" s="55" t="s">
        <v>1383</v>
      </c>
      <c r="Q352" s="9" t="s">
        <v>683</v>
      </c>
      <c r="S352" s="81" t="s">
        <v>538</v>
      </c>
      <c r="T352" s="9">
        <f ca="1">IFERROR(OFFSET(ITEM_RES!$A$5,MATCH(BUILDING!S352,ITEM_RES!$J$5:$J$229,0)-1,0),0)</f>
        <v>211020801</v>
      </c>
      <c r="U352" s="11">
        <v>1</v>
      </c>
      <c r="V352" s="81" t="s">
        <v>386</v>
      </c>
      <c r="W352" s="11">
        <f ca="1">IFERROR(OFFSET(ITEM_RES!$A$5,MATCH(BUILDING!V352,ITEM_RES!$J$5:$J$229,0)-1,0),0)</f>
        <v>211020901</v>
      </c>
      <c r="Y352" s="9" t="s">
        <v>510</v>
      </c>
      <c r="Z352" s="9">
        <v>8</v>
      </c>
      <c r="AB352" s="11">
        <f ca="1">IFERROR(OFFSET(MANOR_LEVEL!$B$1,MATCH(AC352-1,MANOR_LEVEL!$A:$A,0)-1,0),0)</f>
        <v>50404400</v>
      </c>
      <c r="AC352" s="55">
        <v>16</v>
      </c>
      <c r="AE352" s="55">
        <f t="shared" ca="1" si="102"/>
        <v>226900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226900</v>
      </c>
      <c r="AG352" s="176">
        <f t="shared" ca="1" si="103"/>
        <v>345000</v>
      </c>
      <c r="AI352" s="11">
        <f t="shared" si="94"/>
        <v>600</v>
      </c>
      <c r="AJ352" s="10">
        <v>600</v>
      </c>
      <c r="AK352" s="11">
        <f t="shared" si="100"/>
        <v>100</v>
      </c>
      <c r="AL352" s="10">
        <v>100</v>
      </c>
      <c r="AM352" s="11">
        <v>42000</v>
      </c>
      <c r="AN352" s="10">
        <v>0</v>
      </c>
      <c r="AO352" s="55">
        <f t="shared" si="95"/>
        <v>2</v>
      </c>
      <c r="AQ352" s="11">
        <f ca="1">IFERROR(OFFSET(ITEM_RES!$A$1,MATCH(AR352,ITEM_RES!$J:$J,0)-1,0),0)</f>
        <v>211020401</v>
      </c>
      <c r="AR352" s="10" t="s">
        <v>427</v>
      </c>
      <c r="AS352" s="11">
        <v>16800</v>
      </c>
      <c r="AV352" s="11">
        <f ca="1">IFERROR(OFFSET(ITEM_RES!$A$1,MATCH(AW352,ITEM_RES!$J:$J,0)-1,0),0)</f>
        <v>211020801</v>
      </c>
      <c r="AW352" s="10" t="s">
        <v>426</v>
      </c>
      <c r="AX352" s="11">
        <v>16800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97"/>
        <v>112050009</v>
      </c>
      <c r="B353" s="13">
        <v>11</v>
      </c>
      <c r="C353" s="12">
        <f t="shared" si="98"/>
        <v>2</v>
      </c>
      <c r="D353" s="13">
        <v>5</v>
      </c>
      <c r="E353" s="13">
        <v>0</v>
      </c>
      <c r="F353" s="12">
        <f t="shared" si="99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742</v>
      </c>
      <c r="P353" s="55" t="s">
        <v>1383</v>
      </c>
      <c r="Q353" s="9" t="s">
        <v>683</v>
      </c>
      <c r="S353" s="81" t="s">
        <v>538</v>
      </c>
      <c r="T353" s="9">
        <f ca="1">IFERROR(OFFSET(ITEM_RES!$A$5,MATCH(BUILDING!S353,ITEM_RES!$J$5:$J$229,0)-1,0),0)</f>
        <v>211020801</v>
      </c>
      <c r="U353" s="11">
        <v>1</v>
      </c>
      <c r="V353" s="81" t="s">
        <v>386</v>
      </c>
      <c r="W353" s="11">
        <f ca="1">IFERROR(OFFSET(ITEM_RES!$A$5,MATCH(BUILDING!V353,ITEM_RES!$J$5:$J$229,0)-1,0),0)</f>
        <v>211020901</v>
      </c>
      <c r="Y353" s="9" t="s">
        <v>510</v>
      </c>
      <c r="Z353" s="9">
        <v>9</v>
      </c>
      <c r="AB353" s="11">
        <f ca="1">IFERROR(OFFSET(MANOR_LEVEL!$B$1,MATCH(AC353-1,MANOR_LEVEL!$A:$A,0)-1,0),0)</f>
        <v>50404400</v>
      </c>
      <c r="AC353" s="55">
        <v>16</v>
      </c>
      <c r="AE353" s="55">
        <f t="shared" ca="1" si="102"/>
        <v>421350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421350</v>
      </c>
      <c r="AG353" s="176">
        <f t="shared" ca="1" si="103"/>
        <v>648250</v>
      </c>
      <c r="AI353" s="11">
        <f t="shared" si="94"/>
        <v>900</v>
      </c>
      <c r="AJ353" s="10">
        <v>900</v>
      </c>
      <c r="AK353" s="11">
        <f t="shared" si="100"/>
        <v>150</v>
      </c>
      <c r="AL353" s="10">
        <v>150</v>
      </c>
      <c r="AM353" s="11">
        <v>78000</v>
      </c>
      <c r="AN353" s="10">
        <v>0</v>
      </c>
      <c r="AO353" s="55">
        <f t="shared" si="95"/>
        <v>2</v>
      </c>
      <c r="AQ353" s="11">
        <f ca="1">IFERROR(OFFSET(ITEM_RES!$A$1,MATCH(AR353,ITEM_RES!$J:$J,0)-1,0),0)</f>
        <v>211020401</v>
      </c>
      <c r="AR353" s="10" t="s">
        <v>427</v>
      </c>
      <c r="AS353" s="11">
        <v>31200</v>
      </c>
      <c r="AV353" s="11">
        <f ca="1">IFERROR(OFFSET(ITEM_RES!$A$1,MATCH(AW353,ITEM_RES!$J:$J,0)-1,0),0)</f>
        <v>211020801</v>
      </c>
      <c r="AW353" s="10" t="s">
        <v>426</v>
      </c>
      <c r="AX353" s="11">
        <v>31200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97"/>
        <v>112050010</v>
      </c>
      <c r="B354" s="13">
        <v>11</v>
      </c>
      <c r="C354" s="12">
        <f t="shared" si="98"/>
        <v>2</v>
      </c>
      <c r="D354" s="13">
        <v>5</v>
      </c>
      <c r="E354" s="13">
        <v>0</v>
      </c>
      <c r="F354" s="12">
        <f t="shared" si="99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742</v>
      </c>
      <c r="P354" s="55" t="s">
        <v>1383</v>
      </c>
      <c r="Q354" s="9" t="s">
        <v>683</v>
      </c>
      <c r="S354" s="81" t="s">
        <v>538</v>
      </c>
      <c r="T354" s="9">
        <f ca="1">IFERROR(OFFSET(ITEM_RES!$A$5,MATCH(BUILDING!S354,ITEM_RES!$J$5:$J$229,0)-1,0),0)</f>
        <v>211020801</v>
      </c>
      <c r="U354" s="11">
        <v>1</v>
      </c>
      <c r="V354" s="81" t="s">
        <v>386</v>
      </c>
      <c r="W354" s="11">
        <f ca="1">IFERROR(OFFSET(ITEM_RES!$A$5,MATCH(BUILDING!V354,ITEM_RES!$J$5:$J$229,0)-1,0),0)</f>
        <v>211020901</v>
      </c>
      <c r="Y354" s="9" t="s">
        <v>510</v>
      </c>
      <c r="Z354" s="9">
        <v>10</v>
      </c>
      <c r="AB354" s="11">
        <f ca="1">IFERROR(OFFSET(MANOR_LEVEL!$B$1,MATCH(AC354-1,MANOR_LEVEL!$A:$A,0)-1,0),0)</f>
        <v>50404400</v>
      </c>
      <c r="AC354" s="55">
        <v>16</v>
      </c>
      <c r="AE354" s="55">
        <f t="shared" ca="1" si="102"/>
        <v>702200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702200</v>
      </c>
      <c r="AG354" s="176">
        <f t="shared" ca="1" si="103"/>
        <v>1123550</v>
      </c>
      <c r="AI354" s="11">
        <f t="shared" si="94"/>
        <v>1200</v>
      </c>
      <c r="AJ354" s="10">
        <v>1200</v>
      </c>
      <c r="AK354" s="11">
        <f t="shared" si="100"/>
        <v>200</v>
      </c>
      <c r="AL354" s="10">
        <v>200</v>
      </c>
      <c r="AM354" s="11">
        <v>130000</v>
      </c>
      <c r="AN354" s="10">
        <v>0</v>
      </c>
      <c r="AO354" s="55">
        <f t="shared" si="95"/>
        <v>2</v>
      </c>
      <c r="AQ354" s="11">
        <f ca="1">IFERROR(OFFSET(ITEM_RES!$A$1,MATCH(AR354,ITEM_RES!$J:$J,0)-1,0),0)</f>
        <v>211020401</v>
      </c>
      <c r="AR354" s="10" t="s">
        <v>427</v>
      </c>
      <c r="AS354" s="11">
        <v>52000</v>
      </c>
      <c r="AV354" s="11">
        <f ca="1">IFERROR(OFFSET(ITEM_RES!$A$1,MATCH(AW354,ITEM_RES!$J:$J,0)-1,0),0)</f>
        <v>211020801</v>
      </c>
      <c r="AW354" s="10" t="s">
        <v>426</v>
      </c>
      <c r="AX354" s="11">
        <v>52000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97"/>
        <v>112050011</v>
      </c>
      <c r="B355" s="13">
        <v>11</v>
      </c>
      <c r="C355" s="12">
        <f t="shared" si="98"/>
        <v>2</v>
      </c>
      <c r="D355" s="13">
        <v>5</v>
      </c>
      <c r="E355" s="13">
        <v>0</v>
      </c>
      <c r="F355" s="12">
        <f t="shared" si="99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742</v>
      </c>
      <c r="P355" s="55" t="s">
        <v>1383</v>
      </c>
      <c r="Q355" s="9" t="s">
        <v>683</v>
      </c>
      <c r="S355" s="81" t="s">
        <v>538</v>
      </c>
      <c r="T355" s="9">
        <f ca="1">IFERROR(OFFSET(ITEM_RES!$A$5,MATCH(BUILDING!S355,ITEM_RES!$J$5:$J$229,0)-1,0),0)</f>
        <v>211020801</v>
      </c>
      <c r="U355" s="11">
        <v>1</v>
      </c>
      <c r="V355" s="81" t="s">
        <v>386</v>
      </c>
      <c r="W355" s="11">
        <f ca="1">IFERROR(OFFSET(ITEM_RES!$A$5,MATCH(BUILDING!V355,ITEM_RES!$J$5:$J$229,0)-1,0),0)</f>
        <v>211020901</v>
      </c>
      <c r="Y355" s="9" t="s">
        <v>510</v>
      </c>
      <c r="Z355" s="9">
        <v>11</v>
      </c>
      <c r="AB355" s="11">
        <f ca="1">IFERROR(OFFSET(MANOR_LEVEL!$B$1,MATCH(AC355-1,MANOR_LEVEL!$A:$A,0)-1,0),0)</f>
        <v>50404400</v>
      </c>
      <c r="AC355" s="55">
        <v>16</v>
      </c>
      <c r="AE355" s="55">
        <f t="shared" ca="1" si="102"/>
        <v>1188250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1188250</v>
      </c>
      <c r="AG355" s="176">
        <f t="shared" ca="1" si="103"/>
        <v>1890450</v>
      </c>
      <c r="AI355" s="11">
        <f t="shared" si="94"/>
        <v>1500</v>
      </c>
      <c r="AJ355" s="10">
        <v>1500</v>
      </c>
      <c r="AK355" s="11">
        <f t="shared" si="100"/>
        <v>250</v>
      </c>
      <c r="AL355" s="10">
        <v>250</v>
      </c>
      <c r="AM355" s="11">
        <v>220000</v>
      </c>
      <c r="AN355" s="10">
        <v>0</v>
      </c>
      <c r="AO355" s="55">
        <f t="shared" si="95"/>
        <v>2</v>
      </c>
      <c r="AQ355" s="11">
        <f ca="1">IFERROR(OFFSET(ITEM_RES!$A$1,MATCH(AR355,ITEM_RES!$J:$J,0)-1,0),0)</f>
        <v>211020401</v>
      </c>
      <c r="AR355" s="10" t="s">
        <v>427</v>
      </c>
      <c r="AS355" s="11">
        <v>88000</v>
      </c>
      <c r="AV355" s="11">
        <f ca="1">IFERROR(OFFSET(ITEM_RES!$A$1,MATCH(AW355,ITEM_RES!$J:$J,0)-1,0),0)</f>
        <v>211020801</v>
      </c>
      <c r="AW355" s="10" t="s">
        <v>426</v>
      </c>
      <c r="AX355" s="11">
        <v>88000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97"/>
        <v>112050012</v>
      </c>
      <c r="B356" s="13">
        <v>11</v>
      </c>
      <c r="C356" s="12">
        <f t="shared" si="98"/>
        <v>2</v>
      </c>
      <c r="D356" s="13">
        <v>5</v>
      </c>
      <c r="E356" s="13">
        <v>0</v>
      </c>
      <c r="F356" s="12">
        <f t="shared" si="99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742</v>
      </c>
      <c r="P356" s="55" t="s">
        <v>1383</v>
      </c>
      <c r="Q356" s="9" t="s">
        <v>683</v>
      </c>
      <c r="S356" s="81" t="s">
        <v>538</v>
      </c>
      <c r="T356" s="9">
        <f ca="1">IFERROR(OFFSET(ITEM_RES!$A$5,MATCH(BUILDING!S356,ITEM_RES!$J$5:$J$229,0)-1,0),0)</f>
        <v>211020801</v>
      </c>
      <c r="U356" s="11">
        <v>1</v>
      </c>
      <c r="V356" s="81" t="s">
        <v>386</v>
      </c>
      <c r="W356" s="11">
        <f ca="1">IFERROR(OFFSET(ITEM_RES!$A$5,MATCH(BUILDING!V356,ITEM_RES!$J$5:$J$229,0)-1,0),0)</f>
        <v>211020901</v>
      </c>
      <c r="Y356" s="9" t="s">
        <v>510</v>
      </c>
      <c r="Z356" s="9">
        <v>12</v>
      </c>
      <c r="AB356" s="11">
        <f ca="1">IFERROR(OFFSET(MANOR_LEVEL!$B$1,MATCH(AC356-1,MANOR_LEVEL!$A:$A,0)-1,0),0)</f>
        <v>50404400</v>
      </c>
      <c r="AC356" s="55">
        <v>16</v>
      </c>
      <c r="AE356" s="55">
        <f t="shared" ca="1" si="102"/>
        <v>2087100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2087100</v>
      </c>
      <c r="AG356" s="176">
        <f t="shared" ca="1" si="103"/>
        <v>3275350</v>
      </c>
      <c r="AI356" s="11">
        <f t="shared" si="94"/>
        <v>1800</v>
      </c>
      <c r="AJ356" s="10">
        <v>1800</v>
      </c>
      <c r="AK356" s="11">
        <f t="shared" si="100"/>
        <v>300</v>
      </c>
      <c r="AL356" s="10">
        <v>300</v>
      </c>
      <c r="AM356" s="11">
        <v>370000</v>
      </c>
      <c r="AN356" s="10">
        <v>0</v>
      </c>
      <c r="AO356" s="55">
        <f t="shared" si="95"/>
        <v>2</v>
      </c>
      <c r="AQ356" s="11">
        <f ca="1">IFERROR(OFFSET(ITEM_RES!$A$1,MATCH(AR356,ITEM_RES!$J:$J,0)-1,0),0)</f>
        <v>211020501</v>
      </c>
      <c r="AR356" s="10" t="s">
        <v>425</v>
      </c>
      <c r="AS356" s="11">
        <v>148000</v>
      </c>
      <c r="AV356" s="11">
        <f ca="1">IFERROR(OFFSET(ITEM_RES!$A$1,MATCH(AW356,ITEM_RES!$J:$J,0)-1,0),0)</f>
        <v>211020801</v>
      </c>
      <c r="AW356" s="10" t="s">
        <v>426</v>
      </c>
      <c r="AX356" s="11">
        <v>148000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97"/>
        <v>112050013</v>
      </c>
      <c r="B357" s="13">
        <v>11</v>
      </c>
      <c r="C357" s="12">
        <f t="shared" si="98"/>
        <v>2</v>
      </c>
      <c r="D357" s="13">
        <v>5</v>
      </c>
      <c r="E357" s="13">
        <v>0</v>
      </c>
      <c r="F357" s="12">
        <f t="shared" si="99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742</v>
      </c>
      <c r="P357" s="55" t="s">
        <v>1383</v>
      </c>
      <c r="Q357" s="9" t="s">
        <v>683</v>
      </c>
      <c r="S357" s="81" t="s">
        <v>538</v>
      </c>
      <c r="T357" s="9">
        <f ca="1">IFERROR(OFFSET(ITEM_RES!$A$5,MATCH(BUILDING!S357,ITEM_RES!$J$5:$J$229,0)-1,0),0)</f>
        <v>211020801</v>
      </c>
      <c r="U357" s="11">
        <v>1</v>
      </c>
      <c r="V357" s="81" t="s">
        <v>386</v>
      </c>
      <c r="W357" s="11">
        <f ca="1">IFERROR(OFFSET(ITEM_RES!$A$5,MATCH(BUILDING!V357,ITEM_RES!$J$5:$J$229,0)-1,0),0)</f>
        <v>211020901</v>
      </c>
      <c r="Y357" s="9" t="s">
        <v>510</v>
      </c>
      <c r="Z357" s="9">
        <v>13</v>
      </c>
      <c r="AB357" s="11">
        <f ca="1">IFERROR(OFFSET(MANOR_LEVEL!$B$1,MATCH(AC357-1,MANOR_LEVEL!$A:$A,0)-1,0),0)</f>
        <v>50404400</v>
      </c>
      <c r="AC357" s="55">
        <v>16</v>
      </c>
      <c r="AE357" s="55">
        <f t="shared" ca="1" si="102"/>
        <v>3497150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3497150</v>
      </c>
      <c r="AG357" s="176">
        <f t="shared" ca="1" si="103"/>
        <v>5584250</v>
      </c>
      <c r="AI357" s="11">
        <f t="shared" si="94"/>
        <v>2100</v>
      </c>
      <c r="AJ357" s="10">
        <v>2100</v>
      </c>
      <c r="AK357" s="11">
        <f t="shared" si="100"/>
        <v>350</v>
      </c>
      <c r="AL357" s="10">
        <v>350</v>
      </c>
      <c r="AM357" s="11">
        <v>620000</v>
      </c>
      <c r="AN357" s="10">
        <v>0</v>
      </c>
      <c r="AO357" s="55">
        <f t="shared" si="95"/>
        <v>2</v>
      </c>
      <c r="AQ357" s="11">
        <f ca="1">IFERROR(OFFSET(ITEM_RES!$A$1,MATCH(AR357,ITEM_RES!$J:$J,0)-1,0),0)</f>
        <v>211020501</v>
      </c>
      <c r="AR357" s="10" t="s">
        <v>425</v>
      </c>
      <c r="AS357" s="11">
        <v>248000</v>
      </c>
      <c r="AV357" s="11">
        <f ca="1">IFERROR(OFFSET(ITEM_RES!$A$1,MATCH(AW357,ITEM_RES!$J:$J,0)-1,0),0)</f>
        <v>211020801</v>
      </c>
      <c r="AW357" s="10" t="s">
        <v>426</v>
      </c>
      <c r="AX357" s="11">
        <v>248000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97"/>
        <v>112050014</v>
      </c>
      <c r="B358" s="13">
        <v>11</v>
      </c>
      <c r="C358" s="12">
        <f t="shared" si="98"/>
        <v>2</v>
      </c>
      <c r="D358" s="13">
        <v>5</v>
      </c>
      <c r="E358" s="13">
        <v>0</v>
      </c>
      <c r="F358" s="12">
        <f t="shared" si="99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742</v>
      </c>
      <c r="P358" s="55" t="s">
        <v>1383</v>
      </c>
      <c r="Q358" s="9" t="s">
        <v>683</v>
      </c>
      <c r="S358" s="81" t="s">
        <v>538</v>
      </c>
      <c r="T358" s="9">
        <f ca="1">IFERROR(OFFSET(ITEM_RES!$A$5,MATCH(BUILDING!S358,ITEM_RES!$J$5:$J$229,0)-1,0),0)</f>
        <v>211020801</v>
      </c>
      <c r="U358" s="11">
        <v>1</v>
      </c>
      <c r="V358" s="81" t="s">
        <v>386</v>
      </c>
      <c r="W358" s="11">
        <f ca="1">IFERROR(OFFSET(ITEM_RES!$A$5,MATCH(BUILDING!V358,ITEM_RES!$J$5:$J$229,0)-1,0),0)</f>
        <v>211020901</v>
      </c>
      <c r="Y358" s="9" t="s">
        <v>510</v>
      </c>
      <c r="Z358" s="9">
        <v>14</v>
      </c>
      <c r="AB358" s="11">
        <f ca="1">IFERROR(OFFSET(MANOR_LEVEL!$B$1,MATCH(AC358-1,MANOR_LEVEL!$A:$A,0)-1,0),0)</f>
        <v>50404400</v>
      </c>
      <c r="AC358" s="55">
        <v>16</v>
      </c>
      <c r="AE358" s="55">
        <f t="shared" ca="1" si="102"/>
        <v>5471250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5471250</v>
      </c>
      <c r="AG358" s="176">
        <f t="shared" ca="1" si="103"/>
        <v>8968400</v>
      </c>
      <c r="AI358" s="11">
        <f t="shared" si="94"/>
        <v>2400</v>
      </c>
      <c r="AJ358" s="10">
        <v>2400</v>
      </c>
      <c r="AK358" s="11">
        <f t="shared" si="100"/>
        <v>450</v>
      </c>
      <c r="AL358" s="10">
        <v>450</v>
      </c>
      <c r="AM358" s="11">
        <v>970000</v>
      </c>
      <c r="AN358" s="10">
        <v>0</v>
      </c>
      <c r="AO358" s="55">
        <f t="shared" si="95"/>
        <v>2</v>
      </c>
      <c r="AQ358" s="11">
        <f ca="1">IFERROR(OFFSET(ITEM_RES!$A$1,MATCH(AR358,ITEM_RES!$J:$J,0)-1,0),0)</f>
        <v>211020501</v>
      </c>
      <c r="AR358" s="10" t="s">
        <v>425</v>
      </c>
      <c r="AS358" s="11">
        <v>388000</v>
      </c>
      <c r="AV358" s="11">
        <f ca="1">IFERROR(OFFSET(ITEM_RES!$A$1,MATCH(AW358,ITEM_RES!$J:$J,0)-1,0),0)</f>
        <v>211020801</v>
      </c>
      <c r="AW358" s="10" t="s">
        <v>426</v>
      </c>
      <c r="AX358" s="11">
        <v>388000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97"/>
        <v>112050015</v>
      </c>
      <c r="B359" s="13">
        <v>11</v>
      </c>
      <c r="C359" s="12">
        <f t="shared" si="98"/>
        <v>2</v>
      </c>
      <c r="D359" s="13">
        <v>5</v>
      </c>
      <c r="E359" s="13">
        <v>0</v>
      </c>
      <c r="F359" s="12">
        <f t="shared" si="99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742</v>
      </c>
      <c r="P359" s="55" t="s">
        <v>1383</v>
      </c>
      <c r="Q359" s="9" t="s">
        <v>683</v>
      </c>
      <c r="S359" s="81" t="s">
        <v>538</v>
      </c>
      <c r="T359" s="9">
        <f ca="1">IFERROR(OFFSET(ITEM_RES!$A$5,MATCH(BUILDING!S359,ITEM_RES!$J$5:$J$229,0)-1,0),0)</f>
        <v>211020801</v>
      </c>
      <c r="U359" s="11">
        <v>1</v>
      </c>
      <c r="V359" s="81" t="s">
        <v>386</v>
      </c>
      <c r="W359" s="11">
        <f ca="1">IFERROR(OFFSET(ITEM_RES!$A$5,MATCH(BUILDING!V359,ITEM_RES!$J$5:$J$229,0)-1,0),0)</f>
        <v>211020901</v>
      </c>
      <c r="Y359" s="9" t="s">
        <v>510</v>
      </c>
      <c r="Z359" s="9">
        <v>15</v>
      </c>
      <c r="AB359" s="11">
        <f ca="1">IFERROR(OFFSET(MANOR_LEVEL!$B$1,MATCH(AC359-1,MANOR_LEVEL!$A:$A,0)-1,0),0)</f>
        <v>50404400</v>
      </c>
      <c r="AC359" s="55">
        <v>16</v>
      </c>
      <c r="AE359" s="55">
        <f t="shared" ca="1" si="102"/>
        <v>11844550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11844550</v>
      </c>
      <c r="AG359" s="176">
        <f t="shared" ca="1" si="103"/>
        <v>17315800</v>
      </c>
      <c r="AI359" s="11">
        <f t="shared" si="94"/>
        <v>2700</v>
      </c>
      <c r="AJ359" s="10">
        <v>2700</v>
      </c>
      <c r="AK359" s="11">
        <f t="shared" si="100"/>
        <v>550</v>
      </c>
      <c r="AL359" s="10">
        <v>550</v>
      </c>
      <c r="AM359" s="11">
        <v>2100000</v>
      </c>
      <c r="AN359" s="10">
        <v>0</v>
      </c>
      <c r="AO359" s="55">
        <f t="shared" si="95"/>
        <v>2</v>
      </c>
      <c r="AQ359" s="11">
        <f ca="1">IFERROR(OFFSET(ITEM_RES!$A$1,MATCH(AR359,ITEM_RES!$J:$J,0)-1,0),0)</f>
        <v>211020501</v>
      </c>
      <c r="AR359" s="10" t="s">
        <v>425</v>
      </c>
      <c r="AS359" s="11">
        <v>840000</v>
      </c>
      <c r="AV359" s="11">
        <f ca="1">IFERROR(OFFSET(ITEM_RES!$A$1,MATCH(AW359,ITEM_RES!$J:$J,0)-1,0),0)</f>
        <v>211020801</v>
      </c>
      <c r="AW359" s="10" t="s">
        <v>426</v>
      </c>
      <c r="AX359" s="11">
        <v>840000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97"/>
        <v>112050016</v>
      </c>
      <c r="B360" s="13">
        <v>11</v>
      </c>
      <c r="C360" s="12">
        <f t="shared" si="98"/>
        <v>2</v>
      </c>
      <c r="D360" s="13">
        <v>5</v>
      </c>
      <c r="E360" s="13">
        <v>0</v>
      </c>
      <c r="F360" s="12">
        <f t="shared" si="99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742</v>
      </c>
      <c r="P360" s="55" t="s">
        <v>1383</v>
      </c>
      <c r="Q360" s="9" t="s">
        <v>683</v>
      </c>
      <c r="S360" s="81" t="s">
        <v>538</v>
      </c>
      <c r="T360" s="9">
        <f ca="1">IFERROR(OFFSET(ITEM_RES!$A$5,MATCH(BUILDING!S360,ITEM_RES!$J$5:$J$229,0)-1,0),0)</f>
        <v>211020801</v>
      </c>
      <c r="U360" s="11">
        <v>1</v>
      </c>
      <c r="V360" s="81" t="s">
        <v>386</v>
      </c>
      <c r="W360" s="11">
        <f ca="1">IFERROR(OFFSET(ITEM_RES!$A$5,MATCH(BUILDING!V360,ITEM_RES!$J$5:$J$229,0)-1,0),0)</f>
        <v>211020901</v>
      </c>
      <c r="Y360" s="9" t="s">
        <v>510</v>
      </c>
      <c r="Z360" s="9">
        <v>16</v>
      </c>
      <c r="AB360" s="11">
        <f ca="1">IFERROR(OFFSET(MANOR_LEVEL!$B$1,MATCH(AC360-1,MANOR_LEVEL!$A:$A,0)-1,0),0)</f>
        <v>50404400</v>
      </c>
      <c r="AC360" s="55">
        <v>16</v>
      </c>
      <c r="AE360" s="55">
        <f t="shared" ca="1" si="102"/>
        <v>24252700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24252700</v>
      </c>
      <c r="AG360" s="176">
        <f t="shared" ca="1" si="103"/>
        <v>36097250</v>
      </c>
      <c r="AI360" s="11">
        <f t="shared" si="94"/>
        <v>3000</v>
      </c>
      <c r="AJ360" s="10">
        <v>3000</v>
      </c>
      <c r="AK360" s="11">
        <f t="shared" si="100"/>
        <v>700</v>
      </c>
      <c r="AL360" s="10">
        <v>700</v>
      </c>
      <c r="AM360" s="11">
        <v>4300000</v>
      </c>
      <c r="AN360" s="10">
        <v>0</v>
      </c>
      <c r="AO360" s="55">
        <f t="shared" si="95"/>
        <v>2</v>
      </c>
      <c r="AQ360" s="11">
        <f ca="1">IFERROR(OFFSET(ITEM_RES!$A$1,MATCH(AR360,ITEM_RES!$J:$J,0)-1,0),0)</f>
        <v>211020501</v>
      </c>
      <c r="AR360" s="10" t="s">
        <v>425</v>
      </c>
      <c r="AS360" s="11">
        <v>1720000</v>
      </c>
      <c r="AV360" s="11">
        <f ca="1">IFERROR(OFFSET(ITEM_RES!$A$1,MATCH(AW360,ITEM_RES!$J:$J,0)-1,0),0)</f>
        <v>211020801</v>
      </c>
      <c r="AW360" s="10" t="s">
        <v>426</v>
      </c>
      <c r="AX360" s="11">
        <v>1720000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97"/>
        <v>112050017</v>
      </c>
      <c r="B361" s="13">
        <v>11</v>
      </c>
      <c r="C361" s="12">
        <f t="shared" si="98"/>
        <v>2</v>
      </c>
      <c r="D361" s="13">
        <v>5</v>
      </c>
      <c r="E361" s="13">
        <v>0</v>
      </c>
      <c r="F361" s="12">
        <f t="shared" si="99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742</v>
      </c>
      <c r="P361" s="55" t="s">
        <v>1383</v>
      </c>
      <c r="Q361" s="9" t="s">
        <v>683</v>
      </c>
      <c r="S361" s="81" t="s">
        <v>538</v>
      </c>
      <c r="T361" s="9">
        <f ca="1">IFERROR(OFFSET(ITEM_RES!$A$5,MATCH(BUILDING!S361,ITEM_RES!$J$5:$J$229,0)-1,0),0)</f>
        <v>211020801</v>
      </c>
      <c r="U361" s="11">
        <v>1</v>
      </c>
      <c r="V361" s="81" t="s">
        <v>386</v>
      </c>
      <c r="W361" s="11">
        <f ca="1">IFERROR(OFFSET(ITEM_RES!$A$5,MATCH(BUILDING!V361,ITEM_RES!$J$5:$J$229,0)-1,0),0)</f>
        <v>211020901</v>
      </c>
      <c r="Y361" s="9" t="s">
        <v>510</v>
      </c>
      <c r="Z361" s="9">
        <v>17</v>
      </c>
      <c r="AB361" s="11">
        <f ca="1">IFERROR(OFFSET(MANOR_LEVEL!$B$1,MATCH(AC361-1,MANOR_LEVEL!$A:$A,0)-1,0),0)</f>
        <v>50404400</v>
      </c>
      <c r="AC361" s="55">
        <v>16</v>
      </c>
      <c r="AE361" s="55">
        <f t="shared" ca="1" si="102"/>
        <v>45120850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45120850</v>
      </c>
      <c r="AG361" s="176">
        <f t="shared" ca="1" si="103"/>
        <v>69373550</v>
      </c>
      <c r="AI361" s="11">
        <f t="shared" si="94"/>
        <v>3300</v>
      </c>
      <c r="AJ361" s="10">
        <v>3300</v>
      </c>
      <c r="AK361" s="11">
        <f t="shared" si="100"/>
        <v>850</v>
      </c>
      <c r="AL361" s="10">
        <v>850</v>
      </c>
      <c r="AM361" s="11">
        <v>8000000</v>
      </c>
      <c r="AN361" s="10">
        <v>0</v>
      </c>
      <c r="AO361" s="55">
        <f t="shared" si="95"/>
        <v>2</v>
      </c>
      <c r="AQ361" s="11">
        <f ca="1">IFERROR(OFFSET(ITEM_RES!$A$1,MATCH(AR361,ITEM_RES!$J:$J,0)-1,0),0)</f>
        <v>211020501</v>
      </c>
      <c r="AR361" s="10" t="s">
        <v>425</v>
      </c>
      <c r="AS361" s="11">
        <v>3200000</v>
      </c>
      <c r="AV361" s="11">
        <f ca="1">IFERROR(OFFSET(ITEM_RES!$A$1,MATCH(AW361,ITEM_RES!$J:$J,0)-1,0),0)</f>
        <v>211020801</v>
      </c>
      <c r="AW361" s="10" t="s">
        <v>426</v>
      </c>
      <c r="AX361" s="11">
        <v>3200000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97"/>
        <v>112050018</v>
      </c>
      <c r="B362" s="13">
        <v>11</v>
      </c>
      <c r="C362" s="12">
        <f t="shared" si="98"/>
        <v>2</v>
      </c>
      <c r="D362" s="13">
        <v>5</v>
      </c>
      <c r="E362" s="13">
        <v>0</v>
      </c>
      <c r="F362" s="12">
        <f t="shared" si="99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742</v>
      </c>
      <c r="P362" s="55" t="s">
        <v>1383</v>
      </c>
      <c r="Q362" s="9" t="s">
        <v>683</v>
      </c>
      <c r="S362" s="81" t="s">
        <v>538</v>
      </c>
      <c r="T362" s="9">
        <f ca="1">IFERROR(OFFSET(ITEM_RES!$A$5,MATCH(BUILDING!S362,ITEM_RES!$J$5:$J$229,0)-1,0),0)</f>
        <v>211020801</v>
      </c>
      <c r="U362" s="11">
        <v>1</v>
      </c>
      <c r="V362" s="81" t="s">
        <v>386</v>
      </c>
      <c r="W362" s="11">
        <f ca="1">IFERROR(OFFSET(ITEM_RES!$A$5,MATCH(BUILDING!V362,ITEM_RES!$J$5:$J$229,0)-1,0),0)</f>
        <v>211020901</v>
      </c>
      <c r="Y362" s="9" t="s">
        <v>510</v>
      </c>
      <c r="Z362" s="9">
        <v>18</v>
      </c>
      <c r="AB362" s="11">
        <f ca="1">IFERROR(OFFSET(MANOR_LEVEL!$B$1,MATCH(AC362-1,MANOR_LEVEL!$A:$A,0)-1,0),0)</f>
        <v>50404400</v>
      </c>
      <c r="AC362" s="55">
        <v>16</v>
      </c>
      <c r="AE362" s="55">
        <f t="shared" ca="1" si="102"/>
        <v>73321050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73321050</v>
      </c>
      <c r="AG362" s="176">
        <f t="shared" ca="1" si="103"/>
        <v>118441900</v>
      </c>
      <c r="AI362" s="11">
        <f t="shared" si="94"/>
        <v>3600</v>
      </c>
      <c r="AJ362" s="10">
        <v>3600</v>
      </c>
      <c r="AK362" s="11">
        <f t="shared" si="100"/>
        <v>1050</v>
      </c>
      <c r="AL362" s="10">
        <v>1050</v>
      </c>
      <c r="AM362" s="11">
        <v>13000000</v>
      </c>
      <c r="AN362" s="10">
        <v>0</v>
      </c>
      <c r="AO362" s="55">
        <f t="shared" si="95"/>
        <v>2</v>
      </c>
      <c r="AQ362" s="11">
        <f ca="1">IFERROR(OFFSET(ITEM_RES!$A$1,MATCH(AR362,ITEM_RES!$J:$J,0)-1,0),0)</f>
        <v>211020501</v>
      </c>
      <c r="AR362" s="10" t="s">
        <v>425</v>
      </c>
      <c r="AS362" s="11">
        <v>5200000</v>
      </c>
      <c r="AV362" s="11">
        <f ca="1">IFERROR(OFFSET(ITEM_RES!$A$1,MATCH(AW362,ITEM_RES!$J:$J,0)-1,0),0)</f>
        <v>211020801</v>
      </c>
      <c r="AW362" s="10" t="s">
        <v>426</v>
      </c>
      <c r="AX362" s="11">
        <v>5200000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97"/>
        <v>112050019</v>
      </c>
      <c r="B363" s="13">
        <v>11</v>
      </c>
      <c r="C363" s="12">
        <f t="shared" si="98"/>
        <v>2</v>
      </c>
      <c r="D363" s="13">
        <v>5</v>
      </c>
      <c r="E363" s="13">
        <v>0</v>
      </c>
      <c r="F363" s="12">
        <f t="shared" si="99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742</v>
      </c>
      <c r="P363" s="55" t="s">
        <v>1383</v>
      </c>
      <c r="Q363" s="9" t="s">
        <v>683</v>
      </c>
      <c r="S363" s="81" t="s">
        <v>538</v>
      </c>
      <c r="T363" s="9">
        <f ca="1">IFERROR(OFFSET(ITEM_RES!$A$5,MATCH(BUILDING!S363,ITEM_RES!$J$5:$J$229,0)-1,0),0)</f>
        <v>211020801</v>
      </c>
      <c r="U363" s="11">
        <v>1</v>
      </c>
      <c r="V363" s="81" t="s">
        <v>386</v>
      </c>
      <c r="W363" s="11">
        <f ca="1">IFERROR(OFFSET(ITEM_RES!$A$5,MATCH(BUILDING!V363,ITEM_RES!$J$5:$J$229,0)-1,0),0)</f>
        <v>211020901</v>
      </c>
      <c r="Y363" s="9" t="s">
        <v>510</v>
      </c>
      <c r="Z363" s="9">
        <v>19</v>
      </c>
      <c r="AB363" s="11">
        <f ca="1">IFERROR(OFFSET(MANOR_LEVEL!$B$1,MATCH(AC363-1,MANOR_LEVEL!$A:$A,0)-1,0),0)</f>
        <v>50404400</v>
      </c>
      <c r="AC363" s="55">
        <v>16</v>
      </c>
      <c r="AE363" s="55">
        <f t="shared" ca="1" si="102"/>
        <v>112801250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112801250</v>
      </c>
      <c r="AG363" s="176">
        <f t="shared" ca="1" si="103"/>
        <v>186122300</v>
      </c>
      <c r="AI363" s="11">
        <f t="shared" si="94"/>
        <v>3900</v>
      </c>
      <c r="AJ363" s="10">
        <v>3900</v>
      </c>
      <c r="AK363" s="11">
        <f t="shared" si="100"/>
        <v>1250</v>
      </c>
      <c r="AL363" s="10">
        <v>1250</v>
      </c>
      <c r="AM363" s="11">
        <v>20000000</v>
      </c>
      <c r="AN363" s="10">
        <v>0</v>
      </c>
      <c r="AO363" s="55">
        <f t="shared" si="95"/>
        <v>2</v>
      </c>
      <c r="AQ363" s="11">
        <f ca="1">IFERROR(OFFSET(ITEM_RES!$A$1,MATCH(AR363,ITEM_RES!$J:$J,0)-1,0),0)</f>
        <v>211020501</v>
      </c>
      <c r="AR363" s="10" t="s">
        <v>425</v>
      </c>
      <c r="AS363" s="11">
        <v>8000000</v>
      </c>
      <c r="AV363" s="11">
        <f ca="1">IFERROR(OFFSET(ITEM_RES!$A$1,MATCH(AW363,ITEM_RES!$J:$J,0)-1,0),0)</f>
        <v>211020801</v>
      </c>
      <c r="AW363" s="10" t="s">
        <v>426</v>
      </c>
      <c r="AX363" s="11">
        <v>8000000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97"/>
        <v>112050020</v>
      </c>
      <c r="B364" s="13">
        <v>11</v>
      </c>
      <c r="C364" s="12">
        <f t="shared" si="98"/>
        <v>2</v>
      </c>
      <c r="D364" s="13">
        <v>5</v>
      </c>
      <c r="E364" s="13">
        <v>0</v>
      </c>
      <c r="F364" s="12">
        <f t="shared" si="99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742</v>
      </c>
      <c r="P364" s="55" t="s">
        <v>1383</v>
      </c>
      <c r="Q364" s="9" t="s">
        <v>683</v>
      </c>
      <c r="S364" s="81" t="s">
        <v>538</v>
      </c>
      <c r="T364" s="9">
        <f ca="1">IFERROR(OFFSET(ITEM_RES!$A$5,MATCH(BUILDING!S364,ITEM_RES!$J$5:$J$229,0)-1,0),0)</f>
        <v>211020801</v>
      </c>
      <c r="U364" s="11">
        <v>1</v>
      </c>
      <c r="V364" s="81" t="s">
        <v>386</v>
      </c>
      <c r="W364" s="11">
        <f ca="1">IFERROR(OFFSET(ITEM_RES!$A$5,MATCH(BUILDING!V364,ITEM_RES!$J$5:$J$229,0)-1,0),0)</f>
        <v>211020901</v>
      </c>
      <c r="Y364" s="9" t="s">
        <v>510</v>
      </c>
      <c r="Z364" s="9">
        <v>20</v>
      </c>
      <c r="AB364" s="11">
        <f ca="1">IFERROR(OFFSET(MANOR_LEVEL!$B$1,MATCH(AC364-1,MANOR_LEVEL!$A:$A,0)-1,0),0)</f>
        <v>50404400</v>
      </c>
      <c r="AC364" s="55">
        <v>16</v>
      </c>
      <c r="AE364" s="55">
        <f t="shared" ca="1" si="102"/>
        <v>180481500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180481500</v>
      </c>
      <c r="AG364" s="176">
        <f t="shared" ca="1" si="103"/>
        <v>293282750</v>
      </c>
      <c r="AI364" s="11">
        <f t="shared" si="94"/>
        <v>4200</v>
      </c>
      <c r="AJ364" s="10">
        <v>4200</v>
      </c>
      <c r="AK364" s="11">
        <f t="shared" si="100"/>
        <v>1500</v>
      </c>
      <c r="AL364" s="10">
        <v>1500</v>
      </c>
      <c r="AM364" s="11">
        <v>32000000</v>
      </c>
      <c r="AN364" s="10">
        <v>0</v>
      </c>
      <c r="AO364" s="55">
        <f t="shared" si="95"/>
        <v>2</v>
      </c>
      <c r="AQ364" s="11">
        <f ca="1">IFERROR(OFFSET(ITEM_RES!$A$1,MATCH(AR364,ITEM_RES!$J:$J,0)-1,0),0)</f>
        <v>211020501</v>
      </c>
      <c r="AR364" s="10" t="s">
        <v>425</v>
      </c>
      <c r="AS364" s="11">
        <v>12800000</v>
      </c>
      <c r="AV364" s="11">
        <f ca="1">IFERROR(OFFSET(ITEM_RES!$A$1,MATCH(AW364,ITEM_RES!$J:$J,0)-1,0),0)</f>
        <v>211020801</v>
      </c>
      <c r="AW364" s="10" t="s">
        <v>426</v>
      </c>
      <c r="AX364" s="11">
        <v>12800000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97"/>
        <v>111090001</v>
      </c>
      <c r="B365" s="20">
        <v>11</v>
      </c>
      <c r="C365" s="19">
        <f t="shared" si="98"/>
        <v>1</v>
      </c>
      <c r="D365" s="20">
        <v>9</v>
      </c>
      <c r="E365" s="20">
        <v>0</v>
      </c>
      <c r="F365" s="19">
        <f t="shared" si="99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1</v>
      </c>
      <c r="M365" s="16">
        <v>1</v>
      </c>
      <c r="N365" s="16">
        <v>15</v>
      </c>
      <c r="O365" s="16" t="s">
        <v>1121</v>
      </c>
      <c r="P365" s="56" t="s">
        <v>1384</v>
      </c>
      <c r="Q365" s="16" t="s">
        <v>689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533</v>
      </c>
      <c r="W365" s="18">
        <f ca="1">IFERROR(OFFSET(ITEM_RES!$A$5,MATCH(BUILDING!V365,ITEM_RES!$J$5:$J$229,0)-1,0),0)</f>
        <v>211020201</v>
      </c>
      <c r="X365" s="76"/>
      <c r="Y365" s="16" t="s">
        <v>511</v>
      </c>
      <c r="Z365" s="16">
        <v>1</v>
      </c>
      <c r="AA365" s="76"/>
      <c r="AB365" s="18">
        <f ca="1">IFERROR(OFFSET(MANOR_LEVEL!$B$1,MATCH(AC365-1,MANOR_LEVEL!$A:$A,0)-1,0),0)</f>
        <v>0</v>
      </c>
      <c r="AC365" s="56">
        <v>1</v>
      </c>
      <c r="AD365" s="76"/>
      <c r="AE365" s="56">
        <f t="shared" ca="1" si="102"/>
        <v>1025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1025</v>
      </c>
      <c r="AG365" s="178">
        <f ca="1">AE365</f>
        <v>1025</v>
      </c>
      <c r="AH365" s="76"/>
      <c r="AI365" s="18">
        <f t="shared" ref="AI365:AI408" si="104">ROUND(AJ365,0)</f>
        <v>3</v>
      </c>
      <c r="AJ365" s="17">
        <v>3</v>
      </c>
      <c r="AK365" s="18">
        <f t="shared" si="100"/>
        <v>5</v>
      </c>
      <c r="AL365" s="17">
        <v>5</v>
      </c>
      <c r="AM365" s="18">
        <f t="shared" si="100"/>
        <v>0</v>
      </c>
      <c r="AN365" s="17">
        <v>0</v>
      </c>
      <c r="AO365" s="56">
        <f t="shared" si="95"/>
        <v>2</v>
      </c>
      <c r="AP365" s="18"/>
      <c r="AQ365" s="18">
        <f ca="1">IFERROR(OFFSET(ITEM_RES!$A$1,MATCH(AR365,ITEM_RES!$J:$J,0)-1,0),0)</f>
        <v>211010501</v>
      </c>
      <c r="AR365" s="17" t="s">
        <v>420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441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97"/>
        <v>111090002</v>
      </c>
      <c r="B366" s="13">
        <v>11</v>
      </c>
      <c r="C366" s="12">
        <f t="shared" si="98"/>
        <v>1</v>
      </c>
      <c r="D366" s="13">
        <v>9</v>
      </c>
      <c r="E366" s="13">
        <v>0</v>
      </c>
      <c r="F366" s="12">
        <f t="shared" si="99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1122</v>
      </c>
      <c r="P366" s="55" t="s">
        <v>1384</v>
      </c>
      <c r="Q366" s="9" t="s">
        <v>689</v>
      </c>
      <c r="T366" s="9">
        <f ca="1">IFERROR(OFFSET(ITEM_RES!$A$5,MATCH(BUILDING!S366,ITEM_RES!$J$5:$J$229,0)-1,0),0)</f>
        <v>0</v>
      </c>
      <c r="V366" s="81" t="s">
        <v>533</v>
      </c>
      <c r="W366" s="11">
        <f ca="1">IFERROR(OFFSET(ITEM_RES!$A$5,MATCH(BUILDING!V366,ITEM_RES!$J$5:$J$229,0)-1,0),0)</f>
        <v>211020201</v>
      </c>
      <c r="Y366" s="9" t="s">
        <v>511</v>
      </c>
      <c r="Z366" s="9">
        <v>2</v>
      </c>
      <c r="AB366" s="11">
        <f ca="1">IFERROR(OFFSET(MANOR_LEVEL!$B$1,MATCH(AC366-1,MANOR_LEVEL!$A:$A,0)-1,0),0)</f>
        <v>100</v>
      </c>
      <c r="AC366" s="55">
        <v>2</v>
      </c>
      <c r="AE366" s="55">
        <f t="shared" ca="1" si="102"/>
        <v>50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50</v>
      </c>
      <c r="AG366" s="176">
        <f ca="1">AE365+AE366</f>
        <v>1075</v>
      </c>
      <c r="AI366" s="11">
        <f t="shared" si="104"/>
        <v>5</v>
      </c>
      <c r="AJ366" s="10">
        <v>5</v>
      </c>
      <c r="AK366" s="11">
        <f t="shared" si="100"/>
        <v>10</v>
      </c>
      <c r="AL366" s="10">
        <v>10</v>
      </c>
      <c r="AM366" s="11">
        <f t="shared" si="100"/>
        <v>0</v>
      </c>
      <c r="AN366" s="10">
        <v>0</v>
      </c>
      <c r="AO366" s="55">
        <f t="shared" ref="AO366:AO409" si="105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420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97"/>
        <v>111090003</v>
      </c>
      <c r="B367" s="13">
        <v>11</v>
      </c>
      <c r="C367" s="12">
        <f t="shared" si="98"/>
        <v>1</v>
      </c>
      <c r="D367" s="13">
        <v>9</v>
      </c>
      <c r="E367" s="13">
        <v>0</v>
      </c>
      <c r="F367" s="12">
        <f t="shared" si="99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1123</v>
      </c>
      <c r="P367" s="55" t="s">
        <v>1385</v>
      </c>
      <c r="Q367" s="9" t="s">
        <v>689</v>
      </c>
      <c r="T367" s="9">
        <f ca="1">IFERROR(OFFSET(ITEM_RES!$A$5,MATCH(BUILDING!S367,ITEM_RES!$J$5:$J$229,0)-1,0),0)</f>
        <v>0</v>
      </c>
      <c r="V367" s="81" t="s">
        <v>533</v>
      </c>
      <c r="W367" s="11">
        <f ca="1">IFERROR(OFFSET(ITEM_RES!$A$5,MATCH(BUILDING!V367,ITEM_RES!$J$5:$J$229,0)-1,0),0)</f>
        <v>211020201</v>
      </c>
      <c r="Y367" s="9" t="s">
        <v>511</v>
      </c>
      <c r="Z367" s="9">
        <v>3</v>
      </c>
      <c r="AB367" s="11">
        <f ca="1">IFERROR(OFFSET(MANOR_LEVEL!$B$1,MATCH(AC367-1,MANOR_LEVEL!$A:$A,0)-1,0),0)</f>
        <v>310</v>
      </c>
      <c r="AC367" s="55">
        <v>3</v>
      </c>
      <c r="AE367" s="55">
        <f t="shared" ca="1" si="102"/>
        <v>75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75</v>
      </c>
      <c r="AG367" s="176">
        <f t="shared" ref="AG367:AG384" ca="1" si="106">AE366+AE367</f>
        <v>125</v>
      </c>
      <c r="AI367" s="11">
        <f t="shared" si="104"/>
        <v>5</v>
      </c>
      <c r="AJ367" s="10">
        <v>5</v>
      </c>
      <c r="AK367" s="11">
        <f t="shared" si="100"/>
        <v>15</v>
      </c>
      <c r="AL367" s="10">
        <v>15</v>
      </c>
      <c r="AM367" s="11">
        <f t="shared" si="100"/>
        <v>0</v>
      </c>
      <c r="AN367" s="10">
        <v>0</v>
      </c>
      <c r="AO367" s="55">
        <f t="shared" si="105"/>
        <v>1</v>
      </c>
      <c r="AQ367" s="11">
        <f ca="1">IFERROR(OFFSET(ITEM_RES!$A$1,MATCH(AR367,ITEM_RES!$J:$J,0)-1,0),0)</f>
        <v>211010501</v>
      </c>
      <c r="AR367" s="10" t="s">
        <v>420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97"/>
        <v>111090004</v>
      </c>
      <c r="B368" s="13">
        <v>11</v>
      </c>
      <c r="C368" s="12">
        <f t="shared" si="98"/>
        <v>1</v>
      </c>
      <c r="D368" s="13">
        <v>9</v>
      </c>
      <c r="E368" s="13">
        <v>0</v>
      </c>
      <c r="F368" s="12">
        <f t="shared" si="99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1124</v>
      </c>
      <c r="P368" s="55" t="s">
        <v>1385</v>
      </c>
      <c r="Q368" s="9" t="s">
        <v>689</v>
      </c>
      <c r="T368" s="9">
        <f ca="1">IFERROR(OFFSET(ITEM_RES!$A$5,MATCH(BUILDING!S368,ITEM_RES!$J$5:$J$229,0)-1,0),0)</f>
        <v>0</v>
      </c>
      <c r="V368" s="81" t="s">
        <v>533</v>
      </c>
      <c r="W368" s="11">
        <f ca="1">IFERROR(OFFSET(ITEM_RES!$A$5,MATCH(BUILDING!V368,ITEM_RES!$J$5:$J$229,0)-1,0),0)</f>
        <v>211020201</v>
      </c>
      <c r="Y368" s="9" t="s">
        <v>511</v>
      </c>
      <c r="Z368" s="9">
        <v>4</v>
      </c>
      <c r="AB368" s="11">
        <f ca="1">IFERROR(OFFSET(MANOR_LEVEL!$B$1,MATCH(AC368-1,MANOR_LEVEL!$A:$A,0)-1,0),0)</f>
        <v>310</v>
      </c>
      <c r="AC368" s="55">
        <v>3</v>
      </c>
      <c r="AE368" s="55">
        <f t="shared" ca="1" si="102"/>
        <v>265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265</v>
      </c>
      <c r="AG368" s="176">
        <f t="shared" ca="1" si="106"/>
        <v>340</v>
      </c>
      <c r="AI368" s="11">
        <f t="shared" si="104"/>
        <v>10</v>
      </c>
      <c r="AJ368" s="10">
        <v>10</v>
      </c>
      <c r="AK368" s="11">
        <f t="shared" si="100"/>
        <v>25</v>
      </c>
      <c r="AL368" s="10">
        <v>25</v>
      </c>
      <c r="AM368" s="11">
        <f t="shared" si="100"/>
        <v>0</v>
      </c>
      <c r="AN368" s="10">
        <v>0</v>
      </c>
      <c r="AO368" s="55">
        <f t="shared" si="105"/>
        <v>1</v>
      </c>
      <c r="AQ368" s="11">
        <f ca="1">IFERROR(OFFSET(ITEM_RES!$A$1,MATCH(AR368,ITEM_RES!$J:$J,0)-1,0),0)</f>
        <v>211010501</v>
      </c>
      <c r="AR368" s="10" t="s">
        <v>420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97"/>
        <v>111090005</v>
      </c>
      <c r="B369" s="13">
        <v>11</v>
      </c>
      <c r="C369" s="12">
        <f t="shared" si="98"/>
        <v>1</v>
      </c>
      <c r="D369" s="13">
        <v>9</v>
      </c>
      <c r="E369" s="13">
        <v>0</v>
      </c>
      <c r="F369" s="12">
        <f t="shared" si="99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1125</v>
      </c>
      <c r="P369" s="55" t="s">
        <v>1386</v>
      </c>
      <c r="Q369" s="9" t="s">
        <v>689</v>
      </c>
      <c r="T369" s="9">
        <f ca="1">IFERROR(OFFSET(ITEM_RES!$A$5,MATCH(BUILDING!S369,ITEM_RES!$J$5:$J$229,0)-1,0),0)</f>
        <v>0</v>
      </c>
      <c r="V369" s="81" t="s">
        <v>533</v>
      </c>
      <c r="W369" s="11">
        <f ca="1">IFERROR(OFFSET(ITEM_RES!$A$5,MATCH(BUILDING!V369,ITEM_RES!$J$5:$J$229,0)-1,0),0)</f>
        <v>211020201</v>
      </c>
      <c r="Y369" s="9" t="s">
        <v>511</v>
      </c>
      <c r="Z369" s="9">
        <v>5</v>
      </c>
      <c r="AB369" s="11">
        <f ca="1">IFERROR(OFFSET(MANOR_LEVEL!$B$1,MATCH(AC369-1,MANOR_LEVEL!$A:$A,0)-1,0),0)</f>
        <v>930</v>
      </c>
      <c r="AC369" s="55">
        <v>4</v>
      </c>
      <c r="AE369" s="55">
        <f t="shared" ca="1" si="102"/>
        <v>1660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1660</v>
      </c>
      <c r="AG369" s="176">
        <f t="shared" ca="1" si="106"/>
        <v>1925</v>
      </c>
      <c r="AI369" s="11">
        <f t="shared" si="104"/>
        <v>15</v>
      </c>
      <c r="AJ369" s="10">
        <v>15</v>
      </c>
      <c r="AK369" s="11">
        <f t="shared" si="100"/>
        <v>40</v>
      </c>
      <c r="AL369" s="10">
        <v>40</v>
      </c>
      <c r="AM369" s="11">
        <f t="shared" si="100"/>
        <v>0</v>
      </c>
      <c r="AN369" s="10">
        <v>0</v>
      </c>
      <c r="AO369" s="55">
        <f t="shared" si="105"/>
        <v>2</v>
      </c>
      <c r="AQ369" s="11">
        <f ca="1">IFERROR(OFFSET(ITEM_RES!$A$1,MATCH(AR369,ITEM_RES!$J:$J,0)-1,0),0)</f>
        <v>211010501</v>
      </c>
      <c r="AR369" s="10" t="s">
        <v>420</v>
      </c>
      <c r="AS369" s="11">
        <v>1080</v>
      </c>
      <c r="AV369" s="11">
        <f ca="1">IFERROR(OFFSET(ITEM_RES!$A$1,MATCH(AW369,ITEM_RES!$J:$J,0)-1,0),0)</f>
        <v>211020101</v>
      </c>
      <c r="AW369" s="10" t="s">
        <v>437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97"/>
        <v>111090006</v>
      </c>
      <c r="B370" s="13">
        <v>11</v>
      </c>
      <c r="C370" s="12">
        <f t="shared" si="98"/>
        <v>1</v>
      </c>
      <c r="D370" s="13">
        <v>9</v>
      </c>
      <c r="E370" s="13">
        <v>0</v>
      </c>
      <c r="F370" s="12">
        <f t="shared" si="99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1126</v>
      </c>
      <c r="P370" s="55" t="s">
        <v>1386</v>
      </c>
      <c r="Q370" s="9" t="s">
        <v>689</v>
      </c>
      <c r="T370" s="9">
        <f ca="1">IFERROR(OFFSET(ITEM_RES!$A$5,MATCH(BUILDING!S370,ITEM_RES!$J$5:$J$229,0)-1,0),0)</f>
        <v>0</v>
      </c>
      <c r="V370" s="81" t="s">
        <v>533</v>
      </c>
      <c r="W370" s="11">
        <f ca="1">IFERROR(OFFSET(ITEM_RES!$A$5,MATCH(BUILDING!V370,ITEM_RES!$J$5:$J$229,0)-1,0),0)</f>
        <v>211020201</v>
      </c>
      <c r="Y370" s="9" t="s">
        <v>511</v>
      </c>
      <c r="Z370" s="9">
        <v>6</v>
      </c>
      <c r="AB370" s="11">
        <f ca="1">IFERROR(OFFSET(MANOR_LEVEL!$B$1,MATCH(AC370-1,MANOR_LEVEL!$A:$A,0)-1,0),0)</f>
        <v>930</v>
      </c>
      <c r="AC370" s="55">
        <v>4</v>
      </c>
      <c r="AE370" s="55">
        <f t="shared" ca="1" si="102"/>
        <v>5450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5450</v>
      </c>
      <c r="AG370" s="176">
        <f t="shared" ca="1" si="106"/>
        <v>7110</v>
      </c>
      <c r="AI370" s="11">
        <f t="shared" si="104"/>
        <v>30</v>
      </c>
      <c r="AJ370" s="10">
        <v>30</v>
      </c>
      <c r="AK370" s="11">
        <f t="shared" si="100"/>
        <v>50</v>
      </c>
      <c r="AL370" s="10">
        <v>50</v>
      </c>
      <c r="AM370" s="11">
        <f t="shared" si="100"/>
        <v>0</v>
      </c>
      <c r="AN370" s="10">
        <v>0</v>
      </c>
      <c r="AO370" s="55">
        <f t="shared" si="105"/>
        <v>2</v>
      </c>
      <c r="AQ370" s="11">
        <f ca="1">IFERROR(OFFSET(ITEM_RES!$A$1,MATCH(AR370,ITEM_RES!$J:$J,0)-1,0),0)</f>
        <v>211010501</v>
      </c>
      <c r="AR370" s="10" t="s">
        <v>420</v>
      </c>
      <c r="AS370" s="11">
        <v>3600</v>
      </c>
      <c r="AV370" s="11">
        <f ca="1">IFERROR(OFFSET(ITEM_RES!$A$1,MATCH(AW370,ITEM_RES!$J:$J,0)-1,0),0)</f>
        <v>211020101</v>
      </c>
      <c r="AW370" s="10" t="s">
        <v>437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97"/>
        <v>111090007</v>
      </c>
      <c r="B371" s="13">
        <v>11</v>
      </c>
      <c r="C371" s="12">
        <f t="shared" si="98"/>
        <v>1</v>
      </c>
      <c r="D371" s="13">
        <v>9</v>
      </c>
      <c r="E371" s="13">
        <v>0</v>
      </c>
      <c r="F371" s="12">
        <f t="shared" si="99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1127</v>
      </c>
      <c r="P371" s="55" t="s">
        <v>1387</v>
      </c>
      <c r="Q371" s="9" t="s">
        <v>689</v>
      </c>
      <c r="T371" s="9">
        <f ca="1">IFERROR(OFFSET(ITEM_RES!$A$5,MATCH(BUILDING!S371,ITEM_RES!$J$5:$J$229,0)-1,0),0)</f>
        <v>0</v>
      </c>
      <c r="V371" s="81" t="s">
        <v>533</v>
      </c>
      <c r="W371" s="11">
        <f ca="1">IFERROR(OFFSET(ITEM_RES!$A$5,MATCH(BUILDING!V371,ITEM_RES!$J$5:$J$229,0)-1,0),0)</f>
        <v>211020201</v>
      </c>
      <c r="Y371" s="9" t="s">
        <v>511</v>
      </c>
      <c r="Z371" s="9">
        <v>7</v>
      </c>
      <c r="AB371" s="11">
        <f ca="1">IFERROR(OFFSET(MANOR_LEVEL!$B$1,MATCH(AC371-1,MANOR_LEVEL!$A:$A,0)-1,0),0)</f>
        <v>930</v>
      </c>
      <c r="AC371" s="55">
        <v>4</v>
      </c>
      <c r="AE371" s="55">
        <f t="shared" ca="1" si="102"/>
        <v>12100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12100</v>
      </c>
      <c r="AG371" s="176">
        <f t="shared" ca="1" si="106"/>
        <v>17550</v>
      </c>
      <c r="AI371" s="11">
        <f t="shared" si="104"/>
        <v>300</v>
      </c>
      <c r="AJ371" s="10">
        <v>300</v>
      </c>
      <c r="AK371" s="11">
        <f t="shared" si="100"/>
        <v>100</v>
      </c>
      <c r="AL371" s="10">
        <v>100</v>
      </c>
      <c r="AM371" s="11">
        <f t="shared" si="100"/>
        <v>0</v>
      </c>
      <c r="AN371" s="10">
        <v>0</v>
      </c>
      <c r="AO371" s="55">
        <f t="shared" si="105"/>
        <v>2</v>
      </c>
      <c r="AQ371" s="11">
        <f ca="1">IFERROR(OFFSET(ITEM_RES!$A$1,MATCH(AR371,ITEM_RES!$J:$J,0)-1,0),0)</f>
        <v>211010501</v>
      </c>
      <c r="AR371" s="10" t="s">
        <v>420</v>
      </c>
      <c r="AS371" s="11">
        <v>8000</v>
      </c>
      <c r="AV371" s="11">
        <f ca="1">IFERROR(OFFSET(ITEM_RES!$A$1,MATCH(AW371,ITEM_RES!$J:$J,0)-1,0),0)</f>
        <v>211020101</v>
      </c>
      <c r="AW371" s="10" t="s">
        <v>437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97"/>
        <v>111090008</v>
      </c>
      <c r="B372" s="13">
        <v>11</v>
      </c>
      <c r="C372" s="12">
        <f t="shared" si="98"/>
        <v>1</v>
      </c>
      <c r="D372" s="13">
        <v>9</v>
      </c>
      <c r="E372" s="13">
        <v>0</v>
      </c>
      <c r="F372" s="12">
        <f t="shared" si="99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1127</v>
      </c>
      <c r="P372" s="55" t="s">
        <v>1387</v>
      </c>
      <c r="Q372" s="9" t="s">
        <v>689</v>
      </c>
      <c r="T372" s="9">
        <f ca="1">IFERROR(OFFSET(ITEM_RES!$A$5,MATCH(BUILDING!S372,ITEM_RES!$J$5:$J$229,0)-1,0),0)</f>
        <v>0</v>
      </c>
      <c r="V372" s="81" t="s">
        <v>533</v>
      </c>
      <c r="W372" s="11">
        <f ca="1">IFERROR(OFFSET(ITEM_RES!$A$5,MATCH(BUILDING!V372,ITEM_RES!$J$5:$J$229,0)-1,0),0)</f>
        <v>211020201</v>
      </c>
      <c r="Y372" s="9" t="s">
        <v>511</v>
      </c>
      <c r="Z372" s="9">
        <v>8</v>
      </c>
      <c r="AB372" s="11">
        <f ca="1">IFERROR(OFFSET(MANOR_LEVEL!$B$1,MATCH(AC372-1,MANOR_LEVEL!$A:$A,0)-1,0),0)</f>
        <v>5475</v>
      </c>
      <c r="AC372" s="55">
        <v>5</v>
      </c>
      <c r="AE372" s="55">
        <f t="shared" ca="1" si="102"/>
        <v>25300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25300</v>
      </c>
      <c r="AG372" s="176">
        <f t="shared" ca="1" si="106"/>
        <v>37400</v>
      </c>
      <c r="AI372" s="11">
        <f t="shared" si="104"/>
        <v>600</v>
      </c>
      <c r="AJ372" s="10">
        <v>600</v>
      </c>
      <c r="AK372" s="11">
        <f t="shared" si="100"/>
        <v>100</v>
      </c>
      <c r="AL372" s="10">
        <v>100</v>
      </c>
      <c r="AM372" s="11">
        <f t="shared" si="100"/>
        <v>0</v>
      </c>
      <c r="AN372" s="10">
        <v>0</v>
      </c>
      <c r="AO372" s="55">
        <f t="shared" si="105"/>
        <v>2</v>
      </c>
      <c r="AQ372" s="11">
        <f ca="1">IFERROR(OFFSET(ITEM_RES!$A$1,MATCH(AR372,ITEM_RES!$J:$J,0)-1,0),0)</f>
        <v>211010501</v>
      </c>
      <c r="AR372" s="10" t="s">
        <v>420</v>
      </c>
      <c r="AS372" s="11">
        <v>16800</v>
      </c>
      <c r="AV372" s="11">
        <f ca="1">IFERROR(OFFSET(ITEM_RES!$A$1,MATCH(AW372,ITEM_RES!$J:$J,0)-1,0),0)</f>
        <v>211020101</v>
      </c>
      <c r="AW372" s="10" t="s">
        <v>437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97"/>
        <v>111090009</v>
      </c>
      <c r="B373" s="13">
        <v>11</v>
      </c>
      <c r="C373" s="12">
        <f t="shared" si="98"/>
        <v>1</v>
      </c>
      <c r="D373" s="13">
        <v>9</v>
      </c>
      <c r="E373" s="13">
        <v>0</v>
      </c>
      <c r="F373" s="12">
        <f t="shared" si="99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1436</v>
      </c>
      <c r="P373" s="55" t="s">
        <v>1438</v>
      </c>
      <c r="Q373" s="9" t="s">
        <v>689</v>
      </c>
      <c r="T373" s="9">
        <f ca="1">IFERROR(OFFSET(ITEM_RES!$A$5,MATCH(BUILDING!S373,ITEM_RES!$J$5:$J$229,0)-1,0),0)</f>
        <v>0</v>
      </c>
      <c r="V373" s="81" t="s">
        <v>533</v>
      </c>
      <c r="W373" s="11">
        <f ca="1">IFERROR(OFFSET(ITEM_RES!$A$5,MATCH(BUILDING!V373,ITEM_RES!$J$5:$J$229,0)-1,0),0)</f>
        <v>211020201</v>
      </c>
      <c r="Y373" s="9" t="s">
        <v>511</v>
      </c>
      <c r="Z373" s="9">
        <v>9</v>
      </c>
      <c r="AB373" s="11">
        <f ca="1">IFERROR(OFFSET(MANOR_LEVEL!$B$1,MATCH(AC373-1,MANOR_LEVEL!$A:$A,0)-1,0),0)</f>
        <v>32560</v>
      </c>
      <c r="AC373" s="55">
        <v>6</v>
      </c>
      <c r="AE373" s="55">
        <f t="shared" ca="1" si="102"/>
        <v>46950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46950</v>
      </c>
      <c r="AG373" s="176">
        <f t="shared" ca="1" si="106"/>
        <v>72250</v>
      </c>
      <c r="AI373" s="11">
        <f t="shared" si="104"/>
        <v>900</v>
      </c>
      <c r="AJ373" s="10">
        <v>900</v>
      </c>
      <c r="AK373" s="11">
        <f t="shared" si="100"/>
        <v>150</v>
      </c>
      <c r="AL373" s="10">
        <v>150</v>
      </c>
      <c r="AM373" s="11">
        <f t="shared" si="100"/>
        <v>0</v>
      </c>
      <c r="AN373" s="10">
        <v>0</v>
      </c>
      <c r="AO373" s="55">
        <f t="shared" si="105"/>
        <v>2</v>
      </c>
      <c r="AQ373" s="11">
        <f ca="1">IFERROR(OFFSET(ITEM_RES!$A$1,MATCH(AR373,ITEM_RES!$J:$J,0)-1,0),0)</f>
        <v>211010501</v>
      </c>
      <c r="AR373" s="10" t="s">
        <v>420</v>
      </c>
      <c r="AS373" s="11">
        <v>31200</v>
      </c>
      <c r="AV373" s="11">
        <f ca="1">IFERROR(OFFSET(ITEM_RES!$A$1,MATCH(AW373,ITEM_RES!$J:$J,0)-1,0),0)</f>
        <v>211020101</v>
      </c>
      <c r="AW373" s="10" t="s">
        <v>437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97"/>
        <v>111090010</v>
      </c>
      <c r="B374" s="13">
        <v>11</v>
      </c>
      <c r="C374" s="12">
        <f t="shared" si="98"/>
        <v>1</v>
      </c>
      <c r="D374" s="13">
        <v>9</v>
      </c>
      <c r="E374" s="13">
        <v>0</v>
      </c>
      <c r="F374" s="12">
        <f t="shared" si="99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1436</v>
      </c>
      <c r="P374" s="55" t="s">
        <v>1438</v>
      </c>
      <c r="Q374" s="9" t="s">
        <v>689</v>
      </c>
      <c r="T374" s="9">
        <f ca="1">IFERROR(OFFSET(ITEM_RES!$A$5,MATCH(BUILDING!S374,ITEM_RES!$J$5:$J$229,0)-1,0),0)</f>
        <v>0</v>
      </c>
      <c r="V374" s="81" t="s">
        <v>533</v>
      </c>
      <c r="W374" s="11">
        <f ca="1">IFERROR(OFFSET(ITEM_RES!$A$5,MATCH(BUILDING!V374,ITEM_RES!$J$5:$J$229,0)-1,0),0)</f>
        <v>211020201</v>
      </c>
      <c r="Y374" s="9" t="s">
        <v>511</v>
      </c>
      <c r="Z374" s="9">
        <v>10</v>
      </c>
      <c r="AB374" s="11">
        <f ca="1">IFERROR(OFFSET(MANOR_LEVEL!$B$1,MATCH(AC374-1,MANOR_LEVEL!$A:$A,0)-1,0),0)</f>
        <v>108200</v>
      </c>
      <c r="AC374" s="55">
        <v>7</v>
      </c>
      <c r="AE374" s="55">
        <f t="shared" ca="1" si="102"/>
        <v>78200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78200</v>
      </c>
      <c r="AG374" s="176">
        <f t="shared" ca="1" si="106"/>
        <v>125150</v>
      </c>
      <c r="AI374" s="11">
        <f t="shared" si="104"/>
        <v>1200</v>
      </c>
      <c r="AJ374" s="10">
        <v>1200</v>
      </c>
      <c r="AK374" s="11">
        <f t="shared" si="100"/>
        <v>200</v>
      </c>
      <c r="AL374" s="10">
        <v>200</v>
      </c>
      <c r="AM374" s="11">
        <f t="shared" si="100"/>
        <v>0</v>
      </c>
      <c r="AN374" s="10">
        <v>0</v>
      </c>
      <c r="AO374" s="55">
        <f t="shared" si="105"/>
        <v>2</v>
      </c>
      <c r="AQ374" s="11">
        <f ca="1">IFERROR(OFFSET(ITEM_RES!$A$1,MATCH(AR374,ITEM_RES!$J:$J,0)-1,0),0)</f>
        <v>211010501</v>
      </c>
      <c r="AR374" s="10" t="s">
        <v>420</v>
      </c>
      <c r="AS374" s="11">
        <v>52000</v>
      </c>
      <c r="AV374" s="11">
        <f ca="1">IFERROR(OFFSET(ITEM_RES!$A$1,MATCH(AW374,ITEM_RES!$J:$J,0)-1,0),0)</f>
        <v>211020101</v>
      </c>
      <c r="AW374" s="10" t="s">
        <v>437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97"/>
        <v>111090011</v>
      </c>
      <c r="B375" s="13">
        <v>11</v>
      </c>
      <c r="C375" s="12">
        <f t="shared" si="98"/>
        <v>1</v>
      </c>
      <c r="D375" s="13">
        <v>9</v>
      </c>
      <c r="E375" s="13">
        <v>0</v>
      </c>
      <c r="F375" s="12">
        <f t="shared" si="99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1435</v>
      </c>
      <c r="P375" s="55" t="s">
        <v>1437</v>
      </c>
      <c r="Q375" s="9" t="s">
        <v>689</v>
      </c>
      <c r="T375" s="9">
        <f ca="1">IFERROR(OFFSET(ITEM_RES!$A$5,MATCH(BUILDING!S375,ITEM_RES!$J$5:$J$229,0)-1,0),0)</f>
        <v>0</v>
      </c>
      <c r="V375" s="81" t="s">
        <v>533</v>
      </c>
      <c r="W375" s="11">
        <f ca="1">IFERROR(OFFSET(ITEM_RES!$A$5,MATCH(BUILDING!V375,ITEM_RES!$J$5:$J$229,0)-1,0),0)</f>
        <v>211020201</v>
      </c>
      <c r="Y375" s="9" t="s">
        <v>511</v>
      </c>
      <c r="Z375" s="9">
        <v>11</v>
      </c>
      <c r="AB375" s="11">
        <f ca="1">IFERROR(OFFSET(MANOR_LEVEL!$B$1,MATCH(AC375-1,MANOR_LEVEL!$A:$A,0)-1,0),0)</f>
        <v>240400</v>
      </c>
      <c r="AC375" s="55">
        <v>8</v>
      </c>
      <c r="AE375" s="55">
        <f t="shared" ca="1" si="102"/>
        <v>132250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132250</v>
      </c>
      <c r="AG375" s="176">
        <f t="shared" ca="1" si="106"/>
        <v>210450</v>
      </c>
      <c r="AI375" s="11">
        <f t="shared" si="104"/>
        <v>1500</v>
      </c>
      <c r="AJ375" s="10">
        <v>1500</v>
      </c>
      <c r="AK375" s="11">
        <f t="shared" si="100"/>
        <v>250</v>
      </c>
      <c r="AL375" s="10">
        <v>250</v>
      </c>
      <c r="AM375" s="11">
        <f t="shared" si="100"/>
        <v>0</v>
      </c>
      <c r="AN375" s="10">
        <v>0</v>
      </c>
      <c r="AO375" s="55">
        <f t="shared" si="105"/>
        <v>2</v>
      </c>
      <c r="AQ375" s="11">
        <f ca="1">IFERROR(OFFSET(ITEM_RES!$A$1,MATCH(AR375,ITEM_RES!$J:$J,0)-1,0),0)</f>
        <v>211010501</v>
      </c>
      <c r="AR375" s="10" t="s">
        <v>420</v>
      </c>
      <c r="AS375" s="11">
        <v>88000</v>
      </c>
      <c r="AV375" s="11">
        <f ca="1">IFERROR(OFFSET(ITEM_RES!$A$1,MATCH(AW375,ITEM_RES!$J:$J,0)-1,0),0)</f>
        <v>211020101</v>
      </c>
      <c r="AW375" s="10" t="s">
        <v>437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97"/>
        <v>111090012</v>
      </c>
      <c r="B376" s="13">
        <v>11</v>
      </c>
      <c r="C376" s="12">
        <f t="shared" si="98"/>
        <v>1</v>
      </c>
      <c r="D376" s="13">
        <v>9</v>
      </c>
      <c r="E376" s="13">
        <v>0</v>
      </c>
      <c r="F376" s="12">
        <f t="shared" si="99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1435</v>
      </c>
      <c r="P376" s="55" t="s">
        <v>1437</v>
      </c>
      <c r="Q376" s="9" t="s">
        <v>689</v>
      </c>
      <c r="T376" s="9">
        <f ca="1">IFERROR(OFFSET(ITEM_RES!$A$5,MATCH(BUILDING!S376,ITEM_RES!$J$5:$J$229,0)-1,0),0)</f>
        <v>0</v>
      </c>
      <c r="V376" s="81" t="s">
        <v>533</v>
      </c>
      <c r="W376" s="11">
        <f ca="1">IFERROR(OFFSET(ITEM_RES!$A$5,MATCH(BUILDING!V376,ITEM_RES!$J$5:$J$229,0)-1,0),0)</f>
        <v>211020201</v>
      </c>
      <c r="Y376" s="9" t="s">
        <v>511</v>
      </c>
      <c r="Z376" s="9">
        <v>12</v>
      </c>
      <c r="AB376" s="11">
        <f ca="1">IFERROR(OFFSET(MANOR_LEVEL!$B$1,MATCH(AC376-1,MANOR_LEVEL!$A:$A,0)-1,0),0)</f>
        <v>630500</v>
      </c>
      <c r="AC376" s="55">
        <v>9</v>
      </c>
      <c r="AE376" s="55">
        <f t="shared" ca="1" si="102"/>
        <v>222300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222300</v>
      </c>
      <c r="AG376" s="176">
        <f t="shared" ca="1" si="106"/>
        <v>354550</v>
      </c>
      <c r="AI376" s="11">
        <f t="shared" si="104"/>
        <v>1800</v>
      </c>
      <c r="AJ376" s="10">
        <v>1800</v>
      </c>
      <c r="AK376" s="11">
        <f t="shared" si="100"/>
        <v>300</v>
      </c>
      <c r="AL376" s="10">
        <v>300</v>
      </c>
      <c r="AM376" s="11">
        <f t="shared" si="100"/>
        <v>0</v>
      </c>
      <c r="AN376" s="10">
        <v>0</v>
      </c>
      <c r="AO376" s="55">
        <f t="shared" si="105"/>
        <v>2</v>
      </c>
      <c r="AQ376" s="11">
        <f ca="1">IFERROR(OFFSET(ITEM_RES!$A$1,MATCH(AR376,ITEM_RES!$J:$J,0)-1,0),0)</f>
        <v>211010501</v>
      </c>
      <c r="AR376" s="10" t="s">
        <v>420</v>
      </c>
      <c r="AS376" s="11">
        <v>148000</v>
      </c>
      <c r="AV376" s="11">
        <f ca="1">IFERROR(OFFSET(ITEM_RES!$A$1,MATCH(AW376,ITEM_RES!$J:$J,0)-1,0),0)</f>
        <v>211020101</v>
      </c>
      <c r="AW376" s="10" t="s">
        <v>437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97"/>
        <v>111090013</v>
      </c>
      <c r="B377" s="13">
        <v>11</v>
      </c>
      <c r="C377" s="12">
        <f t="shared" si="98"/>
        <v>1</v>
      </c>
      <c r="D377" s="13">
        <v>9</v>
      </c>
      <c r="E377" s="13">
        <v>0</v>
      </c>
      <c r="F377" s="12">
        <f t="shared" si="99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1435</v>
      </c>
      <c r="P377" s="55" t="s">
        <v>1437</v>
      </c>
      <c r="Q377" s="9" t="s">
        <v>689</v>
      </c>
      <c r="T377" s="9">
        <f ca="1">IFERROR(OFFSET(ITEM_RES!$A$5,MATCH(BUILDING!S377,ITEM_RES!$J$5:$J$229,0)-1,0),0)</f>
        <v>0</v>
      </c>
      <c r="V377" s="81" t="s">
        <v>533</v>
      </c>
      <c r="W377" s="11">
        <f ca="1">IFERROR(OFFSET(ITEM_RES!$A$5,MATCH(BUILDING!V377,ITEM_RES!$J$5:$J$229,0)-1,0),0)</f>
        <v>211020201</v>
      </c>
      <c r="Y377" s="9" t="s">
        <v>511</v>
      </c>
      <c r="Z377" s="9">
        <v>13</v>
      </c>
      <c r="AB377" s="11">
        <f ca="1">IFERROR(OFFSET(MANOR_LEVEL!$B$1,MATCH(AC377-1,MANOR_LEVEL!$A:$A,0)-1,0),0)</f>
        <v>1170750</v>
      </c>
      <c r="AC377" s="55">
        <v>10</v>
      </c>
      <c r="AE377" s="55">
        <f t="shared" ca="1" si="102"/>
        <v>372350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372350</v>
      </c>
      <c r="AG377" s="176">
        <f t="shared" ca="1" si="106"/>
        <v>594650</v>
      </c>
      <c r="AI377" s="11">
        <f t="shared" si="104"/>
        <v>2100</v>
      </c>
      <c r="AJ377" s="10">
        <v>2100</v>
      </c>
      <c r="AK377" s="11">
        <f t="shared" si="100"/>
        <v>350</v>
      </c>
      <c r="AL377" s="10">
        <v>350</v>
      </c>
      <c r="AM377" s="11">
        <f t="shared" si="100"/>
        <v>0</v>
      </c>
      <c r="AN377" s="10">
        <v>0</v>
      </c>
      <c r="AO377" s="55">
        <f t="shared" si="105"/>
        <v>2</v>
      </c>
      <c r="AQ377" s="11">
        <f ca="1">IFERROR(OFFSET(ITEM_RES!$A$1,MATCH(AR377,ITEM_RES!$J:$J,0)-1,0),0)</f>
        <v>211010501</v>
      </c>
      <c r="AR377" s="10" t="s">
        <v>420</v>
      </c>
      <c r="AS377" s="11">
        <v>248000</v>
      </c>
      <c r="AV377" s="11">
        <f ca="1">IFERROR(OFFSET(ITEM_RES!$A$1,MATCH(AW377,ITEM_RES!$J:$J,0)-1,0),0)</f>
        <v>211020101</v>
      </c>
      <c r="AW377" s="10" t="s">
        <v>437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97"/>
        <v>111090014</v>
      </c>
      <c r="B378" s="13">
        <v>11</v>
      </c>
      <c r="C378" s="12">
        <f t="shared" si="98"/>
        <v>1</v>
      </c>
      <c r="D378" s="13">
        <v>9</v>
      </c>
      <c r="E378" s="13">
        <v>0</v>
      </c>
      <c r="F378" s="12">
        <f t="shared" si="99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1435</v>
      </c>
      <c r="P378" s="55" t="s">
        <v>1437</v>
      </c>
      <c r="Q378" s="9" t="s">
        <v>689</v>
      </c>
      <c r="T378" s="9">
        <f ca="1">IFERROR(OFFSET(ITEM_RES!$A$5,MATCH(BUILDING!S378,ITEM_RES!$J$5:$J$229,0)-1,0),0)</f>
        <v>0</v>
      </c>
      <c r="V378" s="81" t="s">
        <v>533</v>
      </c>
      <c r="W378" s="11">
        <f ca="1">IFERROR(OFFSET(ITEM_RES!$A$5,MATCH(BUILDING!V378,ITEM_RES!$J$5:$J$229,0)-1,0),0)</f>
        <v>211020201</v>
      </c>
      <c r="Y378" s="9" t="s">
        <v>511</v>
      </c>
      <c r="Z378" s="9">
        <v>14</v>
      </c>
      <c r="AB378" s="11">
        <f ca="1">IFERROR(OFFSET(MANOR_LEVEL!$B$1,MATCH(AC378-1,MANOR_LEVEL!$A:$A,0)-1,0),0)</f>
        <v>1956000</v>
      </c>
      <c r="AC378" s="55">
        <v>11</v>
      </c>
      <c r="AE378" s="55">
        <f t="shared" ca="1" si="102"/>
        <v>582450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582450</v>
      </c>
      <c r="AG378" s="176">
        <f t="shared" ca="1" si="106"/>
        <v>954800</v>
      </c>
      <c r="AI378" s="11">
        <f t="shared" si="104"/>
        <v>2400</v>
      </c>
      <c r="AJ378" s="10">
        <v>2400</v>
      </c>
      <c r="AK378" s="11">
        <f t="shared" si="100"/>
        <v>450</v>
      </c>
      <c r="AL378" s="10">
        <v>450</v>
      </c>
      <c r="AM378" s="11">
        <f t="shared" si="100"/>
        <v>0</v>
      </c>
      <c r="AN378" s="10">
        <v>0</v>
      </c>
      <c r="AO378" s="55">
        <f t="shared" si="105"/>
        <v>2</v>
      </c>
      <c r="AQ378" s="11">
        <f ca="1">IFERROR(OFFSET(ITEM_RES!$A$1,MATCH(AR378,ITEM_RES!$J:$J,0)-1,0),0)</f>
        <v>211010501</v>
      </c>
      <c r="AR378" s="10" t="s">
        <v>420</v>
      </c>
      <c r="AS378" s="11">
        <v>388000</v>
      </c>
      <c r="AV378" s="11">
        <f ca="1">IFERROR(OFFSET(ITEM_RES!$A$1,MATCH(AW378,ITEM_RES!$J:$J,0)-1,0),0)</f>
        <v>211020101</v>
      </c>
      <c r="AW378" s="10" t="s">
        <v>437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97"/>
        <v>111090015</v>
      </c>
      <c r="B379" s="13">
        <v>11</v>
      </c>
      <c r="C379" s="12">
        <f t="shared" si="98"/>
        <v>1</v>
      </c>
      <c r="D379" s="13">
        <v>9</v>
      </c>
      <c r="E379" s="13">
        <v>0</v>
      </c>
      <c r="F379" s="12">
        <f t="shared" si="99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1435</v>
      </c>
      <c r="P379" s="55" t="s">
        <v>1437</v>
      </c>
      <c r="Q379" s="9" t="s">
        <v>689</v>
      </c>
      <c r="T379" s="9">
        <f ca="1">IFERROR(OFFSET(ITEM_RES!$A$5,MATCH(BUILDING!S379,ITEM_RES!$J$5:$J$229,0)-1,0),0)</f>
        <v>0</v>
      </c>
      <c r="V379" s="81" t="s">
        <v>533</v>
      </c>
      <c r="W379" s="11">
        <f ca="1">IFERROR(OFFSET(ITEM_RES!$A$5,MATCH(BUILDING!V379,ITEM_RES!$J$5:$J$229,0)-1,0),0)</f>
        <v>211020201</v>
      </c>
      <c r="Y379" s="9" t="s">
        <v>511</v>
      </c>
      <c r="Z379" s="9">
        <v>15</v>
      </c>
      <c r="AB379" s="11">
        <f ca="1">IFERROR(OFFSET(MANOR_LEVEL!$B$1,MATCH(AC379-1,MANOR_LEVEL!$A:$A,0)-1,0),0)</f>
        <v>3961500</v>
      </c>
      <c r="AC379" s="55">
        <v>12</v>
      </c>
      <c r="AE379" s="55">
        <f t="shared" ca="1" si="102"/>
        <v>1428550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1428550</v>
      </c>
      <c r="AG379" s="176">
        <f t="shared" ca="1" si="106"/>
        <v>2011000</v>
      </c>
      <c r="AI379" s="11">
        <f t="shared" si="104"/>
        <v>2700</v>
      </c>
      <c r="AJ379" s="10">
        <v>2700</v>
      </c>
      <c r="AK379" s="11">
        <f t="shared" si="100"/>
        <v>550</v>
      </c>
      <c r="AL379" s="10">
        <v>550</v>
      </c>
      <c r="AM379" s="11">
        <f t="shared" si="100"/>
        <v>0</v>
      </c>
      <c r="AN379" s="10">
        <v>0</v>
      </c>
      <c r="AO379" s="55">
        <f t="shared" si="105"/>
        <v>2</v>
      </c>
      <c r="AQ379" s="11">
        <f ca="1">IFERROR(OFFSET(ITEM_RES!$A$1,MATCH(AR379,ITEM_RES!$J:$J,0)-1,0),0)</f>
        <v>211010601</v>
      </c>
      <c r="AR379" s="10" t="s">
        <v>433</v>
      </c>
      <c r="AS379" s="11">
        <v>840000</v>
      </c>
      <c r="AV379" s="11">
        <f ca="1">IFERROR(OFFSET(ITEM_RES!$A$1,MATCH(AW379,ITEM_RES!$J:$J,0)-1,0),0)</f>
        <v>211020101</v>
      </c>
      <c r="AW379" s="10" t="s">
        <v>437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97"/>
        <v>111090016</v>
      </c>
      <c r="B380" s="13">
        <v>11</v>
      </c>
      <c r="C380" s="12">
        <f t="shared" si="98"/>
        <v>1</v>
      </c>
      <c r="D380" s="13">
        <v>9</v>
      </c>
      <c r="E380" s="13">
        <v>0</v>
      </c>
      <c r="F380" s="12">
        <f t="shared" si="99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1435</v>
      </c>
      <c r="P380" s="55" t="s">
        <v>1437</v>
      </c>
      <c r="Q380" s="9" t="s">
        <v>689</v>
      </c>
      <c r="T380" s="9">
        <f ca="1">IFERROR(OFFSET(ITEM_RES!$A$5,MATCH(BUILDING!S380,ITEM_RES!$J$5:$J$229,0)-1,0),0)</f>
        <v>0</v>
      </c>
      <c r="V380" s="81" t="s">
        <v>533</v>
      </c>
      <c r="W380" s="11">
        <f ca="1">IFERROR(OFFSET(ITEM_RES!$A$5,MATCH(BUILDING!V380,ITEM_RES!$J$5:$J$229,0)-1,0),0)</f>
        <v>211020201</v>
      </c>
      <c r="Y380" s="9" t="s">
        <v>511</v>
      </c>
      <c r="Z380" s="9">
        <v>16</v>
      </c>
      <c r="AB380" s="11">
        <f ca="1">IFERROR(OFFSET(MANOR_LEVEL!$B$1,MATCH(AC380-1,MANOR_LEVEL!$A:$A,0)-1,0),0)</f>
        <v>7772100</v>
      </c>
      <c r="AC380" s="55">
        <v>13</v>
      </c>
      <c r="AE380" s="55">
        <f t="shared" ca="1" si="102"/>
        <v>2924700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2924700</v>
      </c>
      <c r="AG380" s="176">
        <f t="shared" ca="1" si="106"/>
        <v>4353250</v>
      </c>
      <c r="AI380" s="11">
        <f t="shared" si="104"/>
        <v>3000</v>
      </c>
      <c r="AJ380" s="10">
        <v>3000</v>
      </c>
      <c r="AK380" s="11">
        <f t="shared" si="100"/>
        <v>700</v>
      </c>
      <c r="AL380" s="10">
        <v>700</v>
      </c>
      <c r="AM380" s="11">
        <f t="shared" si="100"/>
        <v>0</v>
      </c>
      <c r="AN380" s="10">
        <v>0</v>
      </c>
      <c r="AO380" s="55">
        <f t="shared" si="105"/>
        <v>2</v>
      </c>
      <c r="AQ380" s="11">
        <f ca="1">IFERROR(OFFSET(ITEM_RES!$A$1,MATCH(AR380,ITEM_RES!$J:$J,0)-1,0),0)</f>
        <v>211010601</v>
      </c>
      <c r="AR380" s="10" t="s">
        <v>433</v>
      </c>
      <c r="AS380" s="11">
        <v>1720000</v>
      </c>
      <c r="AV380" s="11">
        <f ca="1">IFERROR(OFFSET(ITEM_RES!$A$1,MATCH(AW380,ITEM_RES!$J:$J,0)-1,0),0)</f>
        <v>211020101</v>
      </c>
      <c r="AW380" s="10" t="s">
        <v>437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97"/>
        <v>111090017</v>
      </c>
      <c r="B381" s="13">
        <v>11</v>
      </c>
      <c r="C381" s="12">
        <f t="shared" si="98"/>
        <v>1</v>
      </c>
      <c r="D381" s="13">
        <v>9</v>
      </c>
      <c r="E381" s="13">
        <v>0</v>
      </c>
      <c r="F381" s="12">
        <f t="shared" si="99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1435</v>
      </c>
      <c r="P381" s="55" t="s">
        <v>1437</v>
      </c>
      <c r="Q381" s="9" t="s">
        <v>689</v>
      </c>
      <c r="T381" s="9">
        <f ca="1">IFERROR(OFFSET(ITEM_RES!$A$5,MATCH(BUILDING!S381,ITEM_RES!$J$5:$J$229,0)-1,0),0)</f>
        <v>0</v>
      </c>
      <c r="V381" s="81" t="s">
        <v>533</v>
      </c>
      <c r="W381" s="11">
        <f ca="1">IFERROR(OFFSET(ITEM_RES!$A$5,MATCH(BUILDING!V381,ITEM_RES!$J$5:$J$229,0)-1,0),0)</f>
        <v>211020201</v>
      </c>
      <c r="Y381" s="9" t="s">
        <v>511</v>
      </c>
      <c r="Z381" s="9">
        <v>17</v>
      </c>
      <c r="AB381" s="11">
        <f ca="1">IFERROR(OFFSET(MANOR_LEVEL!$B$1,MATCH(AC381-1,MANOR_LEVEL!$A:$A,0)-1,0),0)</f>
        <v>13022450</v>
      </c>
      <c r="AC381" s="55">
        <v>14</v>
      </c>
      <c r="AE381" s="55">
        <f t="shared" ca="1" si="102"/>
        <v>5440850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5440850</v>
      </c>
      <c r="AG381" s="176">
        <f t="shared" ca="1" si="106"/>
        <v>8365550</v>
      </c>
      <c r="AI381" s="11">
        <f t="shared" si="104"/>
        <v>3300</v>
      </c>
      <c r="AJ381" s="10">
        <v>3300</v>
      </c>
      <c r="AK381" s="11">
        <f t="shared" si="100"/>
        <v>850</v>
      </c>
      <c r="AL381" s="10">
        <v>850</v>
      </c>
      <c r="AM381" s="11">
        <f t="shared" si="100"/>
        <v>0</v>
      </c>
      <c r="AN381" s="10">
        <v>0</v>
      </c>
      <c r="AO381" s="55">
        <f t="shared" si="105"/>
        <v>2</v>
      </c>
      <c r="AQ381" s="11">
        <f ca="1">IFERROR(OFFSET(ITEM_RES!$A$1,MATCH(AR381,ITEM_RES!$J:$J,0)-1,0),0)</f>
        <v>211010601</v>
      </c>
      <c r="AR381" s="10" t="s">
        <v>433</v>
      </c>
      <c r="AS381" s="11">
        <v>3200000</v>
      </c>
      <c r="AV381" s="11">
        <f ca="1">IFERROR(OFFSET(ITEM_RES!$A$1,MATCH(AW381,ITEM_RES!$J:$J,0)-1,0),0)</f>
        <v>211020101</v>
      </c>
      <c r="AW381" s="10" t="s">
        <v>437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97"/>
        <v>111090018</v>
      </c>
      <c r="B382" s="13">
        <v>11</v>
      </c>
      <c r="C382" s="12">
        <f t="shared" si="98"/>
        <v>1</v>
      </c>
      <c r="D382" s="13">
        <v>9</v>
      </c>
      <c r="E382" s="13">
        <v>0</v>
      </c>
      <c r="F382" s="12">
        <f t="shared" si="99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1435</v>
      </c>
      <c r="P382" s="55" t="s">
        <v>1437</v>
      </c>
      <c r="Q382" s="9" t="s">
        <v>689</v>
      </c>
      <c r="T382" s="9">
        <f ca="1">IFERROR(OFFSET(ITEM_RES!$A$5,MATCH(BUILDING!S382,ITEM_RES!$J$5:$J$229,0)-1,0),0)</f>
        <v>0</v>
      </c>
      <c r="V382" s="81" t="s">
        <v>533</v>
      </c>
      <c r="W382" s="11">
        <f ca="1">IFERROR(OFFSET(ITEM_RES!$A$5,MATCH(BUILDING!V382,ITEM_RES!$J$5:$J$229,0)-1,0),0)</f>
        <v>211020201</v>
      </c>
      <c r="Y382" s="9" t="s">
        <v>511</v>
      </c>
      <c r="Z382" s="9">
        <v>18</v>
      </c>
      <c r="AB382" s="11">
        <f ca="1">IFERROR(OFFSET(MANOR_LEVEL!$B$1,MATCH(AC382-1,MANOR_LEVEL!$A:$A,0)-1,0),0)</f>
        <v>23283600</v>
      </c>
      <c r="AC382" s="55">
        <v>15</v>
      </c>
      <c r="AE382" s="55">
        <f t="shared" ca="1" si="102"/>
        <v>8841050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8841050</v>
      </c>
      <c r="AG382" s="176">
        <f t="shared" ca="1" si="106"/>
        <v>14281900</v>
      </c>
      <c r="AI382" s="11">
        <f t="shared" si="104"/>
        <v>3600</v>
      </c>
      <c r="AJ382" s="10">
        <v>3600</v>
      </c>
      <c r="AK382" s="11">
        <f t="shared" si="100"/>
        <v>1050</v>
      </c>
      <c r="AL382" s="10">
        <v>1050</v>
      </c>
      <c r="AM382" s="11">
        <f t="shared" si="100"/>
        <v>0</v>
      </c>
      <c r="AN382" s="10">
        <v>0</v>
      </c>
      <c r="AO382" s="55">
        <f t="shared" si="105"/>
        <v>2</v>
      </c>
      <c r="AQ382" s="11">
        <f ca="1">IFERROR(OFFSET(ITEM_RES!$A$1,MATCH(AR382,ITEM_RES!$J:$J,0)-1,0),0)</f>
        <v>211010601</v>
      </c>
      <c r="AR382" s="10" t="s">
        <v>433</v>
      </c>
      <c r="AS382" s="11">
        <v>5200000</v>
      </c>
      <c r="AV382" s="11">
        <f ca="1">IFERROR(OFFSET(ITEM_RES!$A$1,MATCH(AW382,ITEM_RES!$J:$J,0)-1,0),0)</f>
        <v>211020101</v>
      </c>
      <c r="AW382" s="10" t="s">
        <v>437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97"/>
        <v>111090019</v>
      </c>
      <c r="B383" s="13">
        <v>11</v>
      </c>
      <c r="C383" s="12">
        <f t="shared" si="98"/>
        <v>1</v>
      </c>
      <c r="D383" s="13">
        <v>9</v>
      </c>
      <c r="E383" s="13">
        <v>0</v>
      </c>
      <c r="F383" s="12">
        <f t="shared" si="99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1435</v>
      </c>
      <c r="P383" s="55" t="s">
        <v>1437</v>
      </c>
      <c r="Q383" s="9" t="s">
        <v>689</v>
      </c>
      <c r="T383" s="9">
        <f ca="1">IFERROR(OFFSET(ITEM_RES!$A$5,MATCH(BUILDING!S383,ITEM_RES!$J$5:$J$229,0)-1,0),0)</f>
        <v>0</v>
      </c>
      <c r="V383" s="81" t="s">
        <v>533</v>
      </c>
      <c r="W383" s="11">
        <f ca="1">IFERROR(OFFSET(ITEM_RES!$A$5,MATCH(BUILDING!V383,ITEM_RES!$J$5:$J$229,0)-1,0),0)</f>
        <v>211020201</v>
      </c>
      <c r="Y383" s="9" t="s">
        <v>511</v>
      </c>
      <c r="Z383" s="9">
        <v>19</v>
      </c>
      <c r="AB383" s="11">
        <f ca="1">IFERROR(OFFSET(MANOR_LEVEL!$B$1,MATCH(AC383-1,MANOR_LEVEL!$A:$A,0)-1,0),0)</f>
        <v>50404400</v>
      </c>
      <c r="AC383" s="55">
        <v>16</v>
      </c>
      <c r="AE383" s="55">
        <f t="shared" ca="1" si="102"/>
        <v>13601250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13601250</v>
      </c>
      <c r="AG383" s="176">
        <f t="shared" ca="1" si="106"/>
        <v>22442300</v>
      </c>
      <c r="AI383" s="11">
        <f t="shared" si="104"/>
        <v>3900</v>
      </c>
      <c r="AJ383" s="10">
        <v>3900</v>
      </c>
      <c r="AK383" s="11">
        <f t="shared" si="100"/>
        <v>1250</v>
      </c>
      <c r="AL383" s="10">
        <v>1250</v>
      </c>
      <c r="AM383" s="11">
        <f t="shared" si="100"/>
        <v>0</v>
      </c>
      <c r="AN383" s="10">
        <v>0</v>
      </c>
      <c r="AO383" s="55">
        <f t="shared" si="105"/>
        <v>2</v>
      </c>
      <c r="AQ383" s="11">
        <f ca="1">IFERROR(OFFSET(ITEM_RES!$A$1,MATCH(AR383,ITEM_RES!$J:$J,0)-1,0),0)</f>
        <v>211010601</v>
      </c>
      <c r="AR383" s="10" t="s">
        <v>433</v>
      </c>
      <c r="AS383" s="11">
        <v>8000000</v>
      </c>
      <c r="AV383" s="11">
        <f ca="1">IFERROR(OFFSET(ITEM_RES!$A$1,MATCH(AW383,ITEM_RES!$J:$J,0)-1,0),0)</f>
        <v>211020101</v>
      </c>
      <c r="AW383" s="10" t="s">
        <v>437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97"/>
        <v>111090020</v>
      </c>
      <c r="B384" s="13">
        <v>11</v>
      </c>
      <c r="C384" s="12">
        <f t="shared" si="98"/>
        <v>1</v>
      </c>
      <c r="D384" s="13">
        <v>9</v>
      </c>
      <c r="E384" s="13">
        <v>0</v>
      </c>
      <c r="F384" s="12">
        <f t="shared" si="99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1435</v>
      </c>
      <c r="P384" s="55" t="s">
        <v>1437</v>
      </c>
      <c r="Q384" s="9" t="s">
        <v>689</v>
      </c>
      <c r="T384" s="9">
        <f ca="1">IFERROR(OFFSET(ITEM_RES!$A$5,MATCH(BUILDING!S384,ITEM_RES!$J$5:$J$229,0)-1,0),0)</f>
        <v>0</v>
      </c>
      <c r="V384" s="81" t="s">
        <v>533</v>
      </c>
      <c r="W384" s="11">
        <f ca="1">IFERROR(OFFSET(ITEM_RES!$A$5,MATCH(BUILDING!V384,ITEM_RES!$J$5:$J$229,0)-1,0),0)</f>
        <v>211020201</v>
      </c>
      <c r="Y384" s="9" t="s">
        <v>511</v>
      </c>
      <c r="Z384" s="9">
        <v>20</v>
      </c>
      <c r="AB384" s="11">
        <f ca="1">IFERROR(OFFSET(MANOR_LEVEL!$B$1,MATCH(AC384-1,MANOR_LEVEL!$A:$A,0)-1,0),0)</f>
        <v>119976300</v>
      </c>
      <c r="AC384" s="55">
        <v>17</v>
      </c>
      <c r="AE384" s="55">
        <f t="shared" ca="1" si="102"/>
        <v>21761500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21761500</v>
      </c>
      <c r="AG384" s="176">
        <f t="shared" ca="1" si="106"/>
        <v>35362750</v>
      </c>
      <c r="AI384" s="11">
        <f t="shared" si="104"/>
        <v>4200</v>
      </c>
      <c r="AJ384" s="10">
        <v>4200</v>
      </c>
      <c r="AK384" s="11">
        <f t="shared" si="100"/>
        <v>1500</v>
      </c>
      <c r="AL384" s="10">
        <v>1500</v>
      </c>
      <c r="AM384" s="11">
        <f t="shared" si="100"/>
        <v>0</v>
      </c>
      <c r="AN384" s="10">
        <v>0</v>
      </c>
      <c r="AO384" s="55">
        <f t="shared" si="105"/>
        <v>2</v>
      </c>
      <c r="AQ384" s="11">
        <f ca="1">IFERROR(OFFSET(ITEM_RES!$A$1,MATCH(AR384,ITEM_RES!$J:$J,0)-1,0),0)</f>
        <v>211010601</v>
      </c>
      <c r="AR384" s="10" t="s">
        <v>433</v>
      </c>
      <c r="AS384" s="11">
        <v>12800000</v>
      </c>
      <c r="AV384" s="11">
        <f ca="1">IFERROR(OFFSET(ITEM_RES!$A$1,MATCH(AW384,ITEM_RES!$J:$J,0)-1,0),0)</f>
        <v>211020101</v>
      </c>
      <c r="AW384" s="10" t="s">
        <v>437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07">B385*10000000+C385*1000000+D385*10000+E385*100+F385</f>
        <v>112060001</v>
      </c>
      <c r="B385" s="20">
        <v>11</v>
      </c>
      <c r="C385" s="19">
        <f t="shared" ref="C385:C428" si="108">H385</f>
        <v>2</v>
      </c>
      <c r="D385" s="20">
        <v>6</v>
      </c>
      <c r="E385" s="20">
        <v>0</v>
      </c>
      <c r="F385" s="19">
        <f t="shared" ref="F385:F428" si="109">I385</f>
        <v>1</v>
      </c>
      <c r="G385" s="76"/>
      <c r="H385" s="16">
        <v>2</v>
      </c>
      <c r="I385" s="16">
        <v>1</v>
      </c>
      <c r="J385" s="76"/>
      <c r="K385" s="16" t="s">
        <v>415</v>
      </c>
      <c r="L385" s="16">
        <v>7</v>
      </c>
      <c r="M385" s="16">
        <v>1</v>
      </c>
      <c r="N385" s="16">
        <v>15</v>
      </c>
      <c r="O385" s="16" t="s">
        <v>1022</v>
      </c>
      <c r="P385" s="56" t="s">
        <v>1388</v>
      </c>
      <c r="Q385" s="16" t="s">
        <v>688</v>
      </c>
      <c r="R385" s="76"/>
      <c r="S385" s="83" t="s">
        <v>539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534</v>
      </c>
      <c r="W385" s="18">
        <f ca="1">IFERROR(OFFSET(ITEM_RES!$A$5,MATCH(BUILDING!V385,ITEM_RES!$J$5:$J$229,0)-1,0),0)</f>
        <v>211020501</v>
      </c>
      <c r="X385" s="76"/>
      <c r="Y385" s="16" t="s">
        <v>512</v>
      </c>
      <c r="Z385" s="16">
        <v>1</v>
      </c>
      <c r="AA385" s="76"/>
      <c r="AB385" s="18">
        <f ca="1">IFERROR(OFFSET(MANOR_LEVEL!$B$1,MATCH(AC385-1,MANOR_LEVEL!$A:$A,0)-1,0),0)</f>
        <v>1170750</v>
      </c>
      <c r="AC385" s="56">
        <v>10</v>
      </c>
      <c r="AD385" s="76"/>
      <c r="AE385" s="56">
        <f t="shared" ca="1" si="102"/>
        <v>1215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1215</v>
      </c>
      <c r="AG385" s="178">
        <f ca="1">AE385</f>
        <v>1215</v>
      </c>
      <c r="AH385" s="76"/>
      <c r="AI385" s="18">
        <f t="shared" si="104"/>
        <v>3</v>
      </c>
      <c r="AJ385" s="17">
        <v>3</v>
      </c>
      <c r="AK385" s="18">
        <f t="shared" ref="AK385:AM429" si="110">ROUND(AL385,0)</f>
        <v>5</v>
      </c>
      <c r="AL385" s="17">
        <v>5</v>
      </c>
      <c r="AM385" s="18">
        <v>50</v>
      </c>
      <c r="AN385" s="17">
        <v>0</v>
      </c>
      <c r="AO385" s="56">
        <f t="shared" si="105"/>
        <v>2</v>
      </c>
      <c r="AP385" s="18"/>
      <c r="AQ385" s="18">
        <f ca="1">IFERROR(OFFSET(ITEM_RES!$A$1,MATCH(AR385,ITEM_RES!$J:$J,0)-1,0),0)</f>
        <v>211020801</v>
      </c>
      <c r="AR385" s="17" t="s">
        <v>428</v>
      </c>
      <c r="AS385" s="18">
        <v>20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441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07"/>
        <v>112060002</v>
      </c>
      <c r="B386" s="13">
        <v>11</v>
      </c>
      <c r="C386" s="12">
        <f t="shared" si="108"/>
        <v>2</v>
      </c>
      <c r="D386" s="13">
        <v>6</v>
      </c>
      <c r="E386" s="13">
        <v>0</v>
      </c>
      <c r="F386" s="12">
        <f t="shared" si="109"/>
        <v>2</v>
      </c>
      <c r="H386" s="9">
        <v>2</v>
      </c>
      <c r="I386" s="9">
        <v>2</v>
      </c>
      <c r="K386" s="9" t="s">
        <v>415</v>
      </c>
      <c r="M386" s="9">
        <v>1</v>
      </c>
      <c r="N386" s="9">
        <v>15</v>
      </c>
      <c r="O386" s="9" t="s">
        <v>1022</v>
      </c>
      <c r="P386" s="55" t="s">
        <v>1388</v>
      </c>
      <c r="Q386" s="9" t="s">
        <v>688</v>
      </c>
      <c r="S386" s="81" t="s">
        <v>539</v>
      </c>
      <c r="T386" s="9">
        <f ca="1">IFERROR(OFFSET(ITEM_RES!$A$5,MATCH(BUILDING!S386,ITEM_RES!$J$5:$J$229,0)-1,0),0)</f>
        <v>211020401</v>
      </c>
      <c r="U386" s="11">
        <v>1</v>
      </c>
      <c r="V386" s="81" t="s">
        <v>534</v>
      </c>
      <c r="W386" s="11">
        <f ca="1">IFERROR(OFFSET(ITEM_RES!$A$5,MATCH(BUILDING!V386,ITEM_RES!$J$5:$J$229,0)-1,0),0)</f>
        <v>211020501</v>
      </c>
      <c r="Y386" s="9" t="s">
        <v>512</v>
      </c>
      <c r="Z386" s="9">
        <v>2</v>
      </c>
      <c r="AB386" s="11">
        <f ca="1">IFERROR(OFFSET(MANOR_LEVEL!$B$1,MATCH(AC386-1,MANOR_LEVEL!$A:$A,0)-1,0),0)</f>
        <v>1170750</v>
      </c>
      <c r="AC386" s="55">
        <v>10</v>
      </c>
      <c r="AE386" s="55">
        <f t="shared" ca="1" si="102"/>
        <v>430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430</v>
      </c>
      <c r="AG386" s="176">
        <f ca="1">AE385+AE386</f>
        <v>1645</v>
      </c>
      <c r="AI386" s="11">
        <f t="shared" si="104"/>
        <v>5</v>
      </c>
      <c r="AJ386" s="10">
        <v>5</v>
      </c>
      <c r="AK386" s="11">
        <f t="shared" si="110"/>
        <v>10</v>
      </c>
      <c r="AL386" s="10">
        <v>10</v>
      </c>
      <c r="AM386" s="11">
        <v>100</v>
      </c>
      <c r="AN386" s="10">
        <v>0</v>
      </c>
      <c r="AO386" s="55">
        <f t="shared" si="105"/>
        <v>1</v>
      </c>
      <c r="AQ386" s="11">
        <f ca="1">IFERROR(OFFSET(ITEM_RES!$A$1,MATCH(AR386,ITEM_RES!$J:$J,0)-1,0),0)</f>
        <v>211020801</v>
      </c>
      <c r="AR386" s="10" t="s">
        <v>428</v>
      </c>
      <c r="AS386" s="11">
        <v>40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07"/>
        <v>112060003</v>
      </c>
      <c r="B387" s="13">
        <v>11</v>
      </c>
      <c r="C387" s="12">
        <f t="shared" si="108"/>
        <v>2</v>
      </c>
      <c r="D387" s="13">
        <v>6</v>
      </c>
      <c r="E387" s="13">
        <v>0</v>
      </c>
      <c r="F387" s="12">
        <f t="shared" si="109"/>
        <v>3</v>
      </c>
      <c r="H387" s="9">
        <v>2</v>
      </c>
      <c r="I387" s="9">
        <v>3</v>
      </c>
      <c r="K387" s="9" t="s">
        <v>415</v>
      </c>
      <c r="M387" s="9">
        <v>1</v>
      </c>
      <c r="N387" s="9">
        <v>15</v>
      </c>
      <c r="O387" s="9" t="s">
        <v>1022</v>
      </c>
      <c r="P387" s="55" t="s">
        <v>1388</v>
      </c>
      <c r="Q387" s="9" t="s">
        <v>688</v>
      </c>
      <c r="S387" s="81" t="s">
        <v>539</v>
      </c>
      <c r="T387" s="9">
        <f ca="1">IFERROR(OFFSET(ITEM_RES!$A$5,MATCH(BUILDING!S387,ITEM_RES!$J$5:$J$229,0)-1,0),0)</f>
        <v>211020401</v>
      </c>
      <c r="U387" s="11">
        <v>1</v>
      </c>
      <c r="V387" s="81" t="s">
        <v>534</v>
      </c>
      <c r="W387" s="11">
        <f ca="1">IFERROR(OFFSET(ITEM_RES!$A$5,MATCH(BUILDING!V387,ITEM_RES!$J$5:$J$229,0)-1,0),0)</f>
        <v>211020501</v>
      </c>
      <c r="Y387" s="9" t="s">
        <v>512</v>
      </c>
      <c r="Z387" s="9">
        <v>3</v>
      </c>
      <c r="AB387" s="11">
        <f ca="1">IFERROR(OFFSET(MANOR_LEVEL!$B$1,MATCH(AC387-1,MANOR_LEVEL!$A:$A,0)-1,0),0)</f>
        <v>1170750</v>
      </c>
      <c r="AC387" s="55">
        <v>10</v>
      </c>
      <c r="AE387" s="55">
        <f t="shared" ca="1" si="102"/>
        <v>645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645</v>
      </c>
      <c r="AG387" s="176">
        <f t="shared" ref="AG387:AG404" ca="1" si="111">AE386+AE387</f>
        <v>1075</v>
      </c>
      <c r="AI387" s="11">
        <f t="shared" si="104"/>
        <v>5</v>
      </c>
      <c r="AJ387" s="10">
        <v>5</v>
      </c>
      <c r="AK387" s="11">
        <f t="shared" si="110"/>
        <v>15</v>
      </c>
      <c r="AL387" s="10">
        <v>15</v>
      </c>
      <c r="AM387" s="11">
        <v>150</v>
      </c>
      <c r="AN387" s="10">
        <v>0</v>
      </c>
      <c r="AO387" s="55">
        <f t="shared" si="105"/>
        <v>1</v>
      </c>
      <c r="AQ387" s="11">
        <f ca="1">IFERROR(OFFSET(ITEM_RES!$A$1,MATCH(AR387,ITEM_RES!$J:$J,0)-1,0),0)</f>
        <v>211020801</v>
      </c>
      <c r="AR387" s="10" t="s">
        <v>428</v>
      </c>
      <c r="AS387" s="11">
        <v>60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07"/>
        <v>112060004</v>
      </c>
      <c r="B388" s="13">
        <v>11</v>
      </c>
      <c r="C388" s="12">
        <f t="shared" si="108"/>
        <v>2</v>
      </c>
      <c r="D388" s="13">
        <v>6</v>
      </c>
      <c r="E388" s="13">
        <v>0</v>
      </c>
      <c r="F388" s="12">
        <f t="shared" si="109"/>
        <v>4</v>
      </c>
      <c r="H388" s="9">
        <v>2</v>
      </c>
      <c r="I388" s="9">
        <v>4</v>
      </c>
      <c r="K388" s="9" t="s">
        <v>415</v>
      </c>
      <c r="M388" s="9">
        <v>1</v>
      </c>
      <c r="N388" s="9">
        <v>15</v>
      </c>
      <c r="O388" s="9" t="s">
        <v>1022</v>
      </c>
      <c r="P388" s="55" t="s">
        <v>1388</v>
      </c>
      <c r="Q388" s="9" t="s">
        <v>688</v>
      </c>
      <c r="S388" s="81" t="s">
        <v>539</v>
      </c>
      <c r="T388" s="9">
        <f ca="1">IFERROR(OFFSET(ITEM_RES!$A$5,MATCH(BUILDING!S388,ITEM_RES!$J$5:$J$229,0)-1,0),0)</f>
        <v>211020401</v>
      </c>
      <c r="U388" s="11">
        <v>1</v>
      </c>
      <c r="V388" s="81" t="s">
        <v>534</v>
      </c>
      <c r="W388" s="11">
        <f ca="1">IFERROR(OFFSET(ITEM_RES!$A$5,MATCH(BUILDING!V388,ITEM_RES!$J$5:$J$229,0)-1,0),0)</f>
        <v>211020501</v>
      </c>
      <c r="Y388" s="9" t="s">
        <v>512</v>
      </c>
      <c r="Z388" s="9">
        <v>4</v>
      </c>
      <c r="AB388" s="11">
        <f ca="1">IFERROR(OFFSET(MANOR_LEVEL!$B$1,MATCH(AC388-1,MANOR_LEVEL!$A:$A,0)-1,0),0)</f>
        <v>1170750</v>
      </c>
      <c r="AC388" s="55">
        <v>10</v>
      </c>
      <c r="AE388" s="55">
        <f t="shared" ca="1" si="102"/>
        <v>2545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2545</v>
      </c>
      <c r="AG388" s="176">
        <f t="shared" ca="1" si="111"/>
        <v>3190</v>
      </c>
      <c r="AI388" s="11">
        <f t="shared" si="104"/>
        <v>10</v>
      </c>
      <c r="AJ388" s="10">
        <v>10</v>
      </c>
      <c r="AK388" s="11">
        <f t="shared" si="110"/>
        <v>25</v>
      </c>
      <c r="AL388" s="10">
        <v>25</v>
      </c>
      <c r="AM388" s="11">
        <v>600</v>
      </c>
      <c r="AN388" s="10">
        <v>0</v>
      </c>
      <c r="AO388" s="55">
        <f t="shared" si="105"/>
        <v>1</v>
      </c>
      <c r="AQ388" s="11">
        <f ca="1">IFERROR(OFFSET(ITEM_RES!$A$1,MATCH(AR388,ITEM_RES!$J:$J,0)-1,0),0)</f>
        <v>211020801</v>
      </c>
      <c r="AR388" s="10" t="s">
        <v>428</v>
      </c>
      <c r="AS388" s="11">
        <v>240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07"/>
        <v>112060005</v>
      </c>
      <c r="B389" s="13">
        <v>11</v>
      </c>
      <c r="C389" s="12">
        <f t="shared" si="108"/>
        <v>2</v>
      </c>
      <c r="D389" s="13">
        <v>6</v>
      </c>
      <c r="E389" s="13">
        <v>0</v>
      </c>
      <c r="F389" s="12">
        <f t="shared" si="109"/>
        <v>5</v>
      </c>
      <c r="H389" s="9">
        <v>2</v>
      </c>
      <c r="I389" s="9">
        <v>5</v>
      </c>
      <c r="K389" s="9" t="s">
        <v>415</v>
      </c>
      <c r="M389" s="9">
        <v>1</v>
      </c>
      <c r="N389" s="9">
        <v>15</v>
      </c>
      <c r="O389" s="9" t="s">
        <v>1022</v>
      </c>
      <c r="P389" s="55" t="s">
        <v>1388</v>
      </c>
      <c r="Q389" s="9" t="s">
        <v>688</v>
      </c>
      <c r="S389" s="81" t="s">
        <v>539</v>
      </c>
      <c r="T389" s="9">
        <f ca="1">IFERROR(OFFSET(ITEM_RES!$A$5,MATCH(BUILDING!S389,ITEM_RES!$J$5:$J$229,0)-1,0),0)</f>
        <v>211020401</v>
      </c>
      <c r="U389" s="11">
        <v>1</v>
      </c>
      <c r="V389" s="81" t="s">
        <v>534</v>
      </c>
      <c r="W389" s="11">
        <f ca="1">IFERROR(OFFSET(ITEM_RES!$A$5,MATCH(BUILDING!V389,ITEM_RES!$J$5:$J$229,0)-1,0),0)</f>
        <v>211020501</v>
      </c>
      <c r="Y389" s="9" t="s">
        <v>512</v>
      </c>
      <c r="Z389" s="9">
        <v>5</v>
      </c>
      <c r="AB389" s="11">
        <f ca="1">IFERROR(OFFSET(MANOR_LEVEL!$B$1,MATCH(AC389-1,MANOR_LEVEL!$A:$A,0)-1,0),0)</f>
        <v>1170750</v>
      </c>
      <c r="AC389" s="55">
        <v>10</v>
      </c>
      <c r="AE389" s="55">
        <f t="shared" ca="1" si="102"/>
        <v>11380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11380</v>
      </c>
      <c r="AG389" s="176">
        <f t="shared" ca="1" si="111"/>
        <v>13925</v>
      </c>
      <c r="AI389" s="11">
        <f t="shared" si="104"/>
        <v>15</v>
      </c>
      <c r="AJ389" s="10">
        <v>15</v>
      </c>
      <c r="AK389" s="11">
        <f t="shared" si="110"/>
        <v>40</v>
      </c>
      <c r="AL389" s="10">
        <v>40</v>
      </c>
      <c r="AM389" s="11">
        <v>2700</v>
      </c>
      <c r="AN389" s="10">
        <v>0</v>
      </c>
      <c r="AO389" s="55">
        <f t="shared" si="105"/>
        <v>1</v>
      </c>
      <c r="AQ389" s="11">
        <f ca="1">IFERROR(OFFSET(ITEM_RES!$A$1,MATCH(AR389,ITEM_RES!$J:$J,0)-1,0),0)</f>
        <v>211020801</v>
      </c>
      <c r="AR389" s="10" t="s">
        <v>428</v>
      </c>
      <c r="AS389" s="11">
        <v>1080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07"/>
        <v>112060006</v>
      </c>
      <c r="B390" s="13">
        <v>11</v>
      </c>
      <c r="C390" s="12">
        <f t="shared" si="108"/>
        <v>2</v>
      </c>
      <c r="D390" s="13">
        <v>6</v>
      </c>
      <c r="E390" s="13">
        <v>0</v>
      </c>
      <c r="F390" s="12">
        <f t="shared" si="109"/>
        <v>6</v>
      </c>
      <c r="H390" s="9">
        <v>2</v>
      </c>
      <c r="I390" s="9">
        <v>6</v>
      </c>
      <c r="K390" s="9" t="s">
        <v>415</v>
      </c>
      <c r="M390" s="9">
        <v>1</v>
      </c>
      <c r="N390" s="9">
        <v>15</v>
      </c>
      <c r="O390" s="9" t="s">
        <v>1022</v>
      </c>
      <c r="P390" s="55" t="s">
        <v>1388</v>
      </c>
      <c r="Q390" s="9" t="s">
        <v>688</v>
      </c>
      <c r="S390" s="81" t="s">
        <v>539</v>
      </c>
      <c r="T390" s="9">
        <f ca="1">IFERROR(OFFSET(ITEM_RES!$A$5,MATCH(BUILDING!S390,ITEM_RES!$J$5:$J$229,0)-1,0),0)</f>
        <v>211020401</v>
      </c>
      <c r="U390" s="11">
        <v>1</v>
      </c>
      <c r="V390" s="81" t="s">
        <v>534</v>
      </c>
      <c r="W390" s="11">
        <f ca="1">IFERROR(OFFSET(ITEM_RES!$A$5,MATCH(BUILDING!V390,ITEM_RES!$J$5:$J$229,0)-1,0),0)</f>
        <v>211020501</v>
      </c>
      <c r="Y390" s="9" t="s">
        <v>512</v>
      </c>
      <c r="Z390" s="9">
        <v>6</v>
      </c>
      <c r="AB390" s="11">
        <f ca="1">IFERROR(OFFSET(MANOR_LEVEL!$B$1,MATCH(AC390-1,MANOR_LEVEL!$A:$A,0)-1,0),0)</f>
        <v>1170750</v>
      </c>
      <c r="AC390" s="55">
        <v>10</v>
      </c>
      <c r="AE390" s="55">
        <f t="shared" ca="1" si="102"/>
        <v>42850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42850</v>
      </c>
      <c r="AG390" s="176">
        <f t="shared" ca="1" si="111"/>
        <v>54230</v>
      </c>
      <c r="AI390" s="11">
        <f t="shared" si="104"/>
        <v>30</v>
      </c>
      <c r="AJ390" s="10">
        <v>30</v>
      </c>
      <c r="AK390" s="11">
        <f t="shared" si="110"/>
        <v>50</v>
      </c>
      <c r="AL390" s="10">
        <v>50</v>
      </c>
      <c r="AM390" s="11">
        <v>9000</v>
      </c>
      <c r="AN390" s="10">
        <v>0</v>
      </c>
      <c r="AO390" s="55">
        <f t="shared" si="105"/>
        <v>2</v>
      </c>
      <c r="AQ390" s="11">
        <f ca="1">IFERROR(OFFSET(ITEM_RES!$A$1,MATCH(AR390,ITEM_RES!$J:$J,0)-1,0),0)</f>
        <v>211020801</v>
      </c>
      <c r="AR390" s="10" t="s">
        <v>428</v>
      </c>
      <c r="AS390" s="11">
        <v>3600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458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07"/>
        <v>112060007</v>
      </c>
      <c r="B391" s="13">
        <v>11</v>
      </c>
      <c r="C391" s="12">
        <f t="shared" si="108"/>
        <v>2</v>
      </c>
      <c r="D391" s="13">
        <v>6</v>
      </c>
      <c r="E391" s="13">
        <v>0</v>
      </c>
      <c r="F391" s="12">
        <f t="shared" si="109"/>
        <v>7</v>
      </c>
      <c r="H391" s="9">
        <v>2</v>
      </c>
      <c r="I391" s="9">
        <v>7</v>
      </c>
      <c r="K391" s="9" t="s">
        <v>415</v>
      </c>
      <c r="M391" s="9">
        <v>1</v>
      </c>
      <c r="N391" s="9">
        <v>15</v>
      </c>
      <c r="O391" s="9" t="s">
        <v>1022</v>
      </c>
      <c r="P391" s="55" t="s">
        <v>1388</v>
      </c>
      <c r="Q391" s="9" t="s">
        <v>688</v>
      </c>
      <c r="S391" s="81" t="s">
        <v>539</v>
      </c>
      <c r="T391" s="9">
        <f ca="1">IFERROR(OFFSET(ITEM_RES!$A$5,MATCH(BUILDING!S391,ITEM_RES!$J$5:$J$229,0)-1,0),0)</f>
        <v>211020401</v>
      </c>
      <c r="U391" s="11">
        <v>1</v>
      </c>
      <c r="V391" s="81" t="s">
        <v>534</v>
      </c>
      <c r="W391" s="11">
        <f ca="1">IFERROR(OFFSET(ITEM_RES!$A$5,MATCH(BUILDING!V391,ITEM_RES!$J$5:$J$229,0)-1,0),0)</f>
        <v>211020501</v>
      </c>
      <c r="Y391" s="9" t="s">
        <v>512</v>
      </c>
      <c r="Z391" s="9">
        <v>7</v>
      </c>
      <c r="AB391" s="11">
        <f ca="1">IFERROR(OFFSET(MANOR_LEVEL!$B$1,MATCH(AC391-1,MANOR_LEVEL!$A:$A,0)-1,0),0)</f>
        <v>1956000</v>
      </c>
      <c r="AC391" s="55">
        <v>11</v>
      </c>
      <c r="AE391" s="55">
        <f t="shared" ca="1" si="102"/>
        <v>84100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84100</v>
      </c>
      <c r="AG391" s="176">
        <f t="shared" ca="1" si="111"/>
        <v>126950</v>
      </c>
      <c r="AI391" s="11">
        <f t="shared" si="104"/>
        <v>300</v>
      </c>
      <c r="AJ391" s="10">
        <v>300</v>
      </c>
      <c r="AK391" s="11">
        <f t="shared" si="110"/>
        <v>100</v>
      </c>
      <c r="AL391" s="10">
        <v>100</v>
      </c>
      <c r="AM391" s="11">
        <v>20000</v>
      </c>
      <c r="AN391" s="10">
        <v>0</v>
      </c>
      <c r="AO391" s="55">
        <f t="shared" si="105"/>
        <v>1</v>
      </c>
      <c r="AQ391" s="11">
        <f ca="1">IFERROR(OFFSET(ITEM_RES!$A$1,MATCH(AR391,ITEM_RES!$J:$J,0)-1,0),0)</f>
        <v>211020801</v>
      </c>
      <c r="AR391" s="10" t="s">
        <v>428</v>
      </c>
      <c r="AS391" s="11">
        <v>8000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07"/>
        <v>112060008</v>
      </c>
      <c r="B392" s="13">
        <v>11</v>
      </c>
      <c r="C392" s="12">
        <f t="shared" si="108"/>
        <v>2</v>
      </c>
      <c r="D392" s="13">
        <v>6</v>
      </c>
      <c r="E392" s="13">
        <v>0</v>
      </c>
      <c r="F392" s="12">
        <f t="shared" si="109"/>
        <v>8</v>
      </c>
      <c r="H392" s="9">
        <v>2</v>
      </c>
      <c r="I392" s="9">
        <v>8</v>
      </c>
      <c r="K392" s="9" t="s">
        <v>415</v>
      </c>
      <c r="M392" s="9">
        <v>1</v>
      </c>
      <c r="N392" s="9">
        <v>15</v>
      </c>
      <c r="O392" s="9" t="s">
        <v>1022</v>
      </c>
      <c r="P392" s="55" t="s">
        <v>1388</v>
      </c>
      <c r="Q392" s="9" t="s">
        <v>688</v>
      </c>
      <c r="S392" s="81" t="s">
        <v>539</v>
      </c>
      <c r="T392" s="9">
        <f ca="1">IFERROR(OFFSET(ITEM_RES!$A$5,MATCH(BUILDING!S392,ITEM_RES!$J$5:$J$229,0)-1,0),0)</f>
        <v>211020401</v>
      </c>
      <c r="U392" s="11">
        <v>1</v>
      </c>
      <c r="V392" s="81" t="s">
        <v>534</v>
      </c>
      <c r="W392" s="11">
        <f ca="1">IFERROR(OFFSET(ITEM_RES!$A$5,MATCH(BUILDING!V392,ITEM_RES!$J$5:$J$229,0)-1,0),0)</f>
        <v>211020501</v>
      </c>
      <c r="Y392" s="9" t="s">
        <v>512</v>
      </c>
      <c r="Z392" s="9">
        <v>8</v>
      </c>
      <c r="AB392" s="11">
        <f ca="1">IFERROR(OFFSET(MANOR_LEVEL!$B$1,MATCH(AC392-1,MANOR_LEVEL!$A:$A,0)-1,0),0)</f>
        <v>3961500</v>
      </c>
      <c r="AC392" s="55">
        <v>12</v>
      </c>
      <c r="AE392" s="55">
        <f t="shared" ca="1" si="102"/>
        <v>176500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176500</v>
      </c>
      <c r="AG392" s="176">
        <f t="shared" ca="1" si="111"/>
        <v>260600</v>
      </c>
      <c r="AI392" s="11">
        <f t="shared" si="104"/>
        <v>600</v>
      </c>
      <c r="AJ392" s="10">
        <v>600</v>
      </c>
      <c r="AK392" s="11">
        <f t="shared" si="110"/>
        <v>100</v>
      </c>
      <c r="AL392" s="10">
        <v>100</v>
      </c>
      <c r="AM392" s="11">
        <v>42000</v>
      </c>
      <c r="AN392" s="10">
        <v>0</v>
      </c>
      <c r="AO392" s="55">
        <f t="shared" si="105"/>
        <v>1</v>
      </c>
      <c r="AQ392" s="11">
        <f ca="1">IFERROR(OFFSET(ITEM_RES!$A$1,MATCH(AR392,ITEM_RES!$J:$J,0)-1,0),0)</f>
        <v>211020801</v>
      </c>
      <c r="AR392" s="10" t="s">
        <v>428</v>
      </c>
      <c r="AS392" s="11">
        <v>16800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07"/>
        <v>112060009</v>
      </c>
      <c r="B393" s="13">
        <v>11</v>
      </c>
      <c r="C393" s="12">
        <f t="shared" si="108"/>
        <v>2</v>
      </c>
      <c r="D393" s="13">
        <v>6</v>
      </c>
      <c r="E393" s="13">
        <v>0</v>
      </c>
      <c r="F393" s="12">
        <f t="shared" si="109"/>
        <v>9</v>
      </c>
      <c r="H393" s="9">
        <v>2</v>
      </c>
      <c r="I393" s="9">
        <v>9</v>
      </c>
      <c r="K393" s="9" t="s">
        <v>415</v>
      </c>
      <c r="M393" s="9">
        <v>1</v>
      </c>
      <c r="N393" s="9">
        <v>15</v>
      </c>
      <c r="O393" s="9" t="s">
        <v>1022</v>
      </c>
      <c r="P393" s="55" t="s">
        <v>1388</v>
      </c>
      <c r="Q393" s="9" t="s">
        <v>688</v>
      </c>
      <c r="S393" s="81" t="s">
        <v>539</v>
      </c>
      <c r="T393" s="9">
        <f ca="1">IFERROR(OFFSET(ITEM_RES!$A$5,MATCH(BUILDING!S393,ITEM_RES!$J$5:$J$229,0)-1,0),0)</f>
        <v>211020401</v>
      </c>
      <c r="U393" s="11">
        <v>1</v>
      </c>
      <c r="V393" s="81" t="s">
        <v>534</v>
      </c>
      <c r="W393" s="11">
        <f ca="1">IFERROR(OFFSET(ITEM_RES!$A$5,MATCH(BUILDING!V393,ITEM_RES!$J$5:$J$229,0)-1,0),0)</f>
        <v>211020501</v>
      </c>
      <c r="Y393" s="9" t="s">
        <v>512</v>
      </c>
      <c r="Z393" s="9">
        <v>9</v>
      </c>
      <c r="AB393" s="11">
        <f ca="1">IFERROR(OFFSET(MANOR_LEVEL!$B$1,MATCH(AC393-1,MANOR_LEVEL!$A:$A,0)-1,0),0)</f>
        <v>7772100</v>
      </c>
      <c r="AC393" s="55">
        <v>13</v>
      </c>
      <c r="AE393" s="55">
        <f t="shared" ca="1" si="102"/>
        <v>327750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327750</v>
      </c>
      <c r="AG393" s="176">
        <f t="shared" ca="1" si="111"/>
        <v>504250</v>
      </c>
      <c r="AI393" s="11">
        <f t="shared" si="104"/>
        <v>900</v>
      </c>
      <c r="AJ393" s="10">
        <v>900</v>
      </c>
      <c r="AK393" s="11">
        <f t="shared" si="110"/>
        <v>150</v>
      </c>
      <c r="AL393" s="10">
        <v>150</v>
      </c>
      <c r="AM393" s="11">
        <v>78000</v>
      </c>
      <c r="AN393" s="10">
        <v>0</v>
      </c>
      <c r="AO393" s="55">
        <f t="shared" si="105"/>
        <v>1</v>
      </c>
      <c r="AQ393" s="11">
        <f ca="1">IFERROR(OFFSET(ITEM_RES!$A$1,MATCH(AR393,ITEM_RES!$J:$J,0)-1,0),0)</f>
        <v>211020801</v>
      </c>
      <c r="AR393" s="10" t="s">
        <v>428</v>
      </c>
      <c r="AS393" s="11">
        <v>31200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07"/>
        <v>112060010</v>
      </c>
      <c r="B394" s="13">
        <v>11</v>
      </c>
      <c r="C394" s="12">
        <f t="shared" si="108"/>
        <v>2</v>
      </c>
      <c r="D394" s="13">
        <v>6</v>
      </c>
      <c r="E394" s="13">
        <v>0</v>
      </c>
      <c r="F394" s="12">
        <f t="shared" si="109"/>
        <v>10</v>
      </c>
      <c r="H394" s="9">
        <v>2</v>
      </c>
      <c r="I394" s="9">
        <v>10</v>
      </c>
      <c r="K394" s="9" t="s">
        <v>415</v>
      </c>
      <c r="M394" s="9">
        <v>1</v>
      </c>
      <c r="N394" s="9">
        <v>15</v>
      </c>
      <c r="O394" s="9" t="s">
        <v>1022</v>
      </c>
      <c r="P394" s="55" t="s">
        <v>1388</v>
      </c>
      <c r="Q394" s="9" t="s">
        <v>688</v>
      </c>
      <c r="S394" s="81" t="s">
        <v>539</v>
      </c>
      <c r="T394" s="9">
        <f ca="1">IFERROR(OFFSET(ITEM_RES!$A$5,MATCH(BUILDING!S394,ITEM_RES!$J$5:$J$229,0)-1,0),0)</f>
        <v>211020401</v>
      </c>
      <c r="U394" s="11">
        <v>1</v>
      </c>
      <c r="V394" s="81" t="s">
        <v>534</v>
      </c>
      <c r="W394" s="11">
        <f ca="1">IFERROR(OFFSET(ITEM_RES!$A$5,MATCH(BUILDING!V394,ITEM_RES!$J$5:$J$229,0)-1,0),0)</f>
        <v>211020501</v>
      </c>
      <c r="Y394" s="9" t="s">
        <v>512</v>
      </c>
      <c r="Z394" s="9">
        <v>10</v>
      </c>
      <c r="AB394" s="11">
        <f ca="1">IFERROR(OFFSET(MANOR_LEVEL!$B$1,MATCH(AC394-1,MANOR_LEVEL!$A:$A,0)-1,0),0)</f>
        <v>7772100</v>
      </c>
      <c r="AC394" s="55">
        <v>13</v>
      </c>
      <c r="AE394" s="55">
        <f t="shared" ca="1" si="102"/>
        <v>546200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546200</v>
      </c>
      <c r="AG394" s="176">
        <f t="shared" ca="1" si="111"/>
        <v>873950</v>
      </c>
      <c r="AI394" s="11">
        <f t="shared" si="104"/>
        <v>1200</v>
      </c>
      <c r="AJ394" s="10">
        <v>1200</v>
      </c>
      <c r="AK394" s="11">
        <f t="shared" si="110"/>
        <v>200</v>
      </c>
      <c r="AL394" s="10">
        <v>200</v>
      </c>
      <c r="AM394" s="11">
        <v>130000</v>
      </c>
      <c r="AN394" s="10">
        <v>0</v>
      </c>
      <c r="AO394" s="55">
        <f t="shared" si="105"/>
        <v>1</v>
      </c>
      <c r="AQ394" s="11">
        <f ca="1">IFERROR(OFFSET(ITEM_RES!$A$1,MATCH(AR394,ITEM_RES!$J:$J,0)-1,0),0)</f>
        <v>211020801</v>
      </c>
      <c r="AR394" s="10" t="s">
        <v>428</v>
      </c>
      <c r="AS394" s="11">
        <v>52000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07"/>
        <v>112060011</v>
      </c>
      <c r="B395" s="13">
        <v>11</v>
      </c>
      <c r="C395" s="12">
        <f t="shared" si="108"/>
        <v>2</v>
      </c>
      <c r="D395" s="13">
        <v>6</v>
      </c>
      <c r="E395" s="13">
        <v>0</v>
      </c>
      <c r="F395" s="12">
        <f t="shared" si="109"/>
        <v>11</v>
      </c>
      <c r="H395" s="9">
        <v>2</v>
      </c>
      <c r="I395" s="9">
        <v>11</v>
      </c>
      <c r="K395" s="9" t="s">
        <v>415</v>
      </c>
      <c r="M395" s="9">
        <v>1</v>
      </c>
      <c r="N395" s="9">
        <v>15</v>
      </c>
      <c r="O395" s="9" t="s">
        <v>1022</v>
      </c>
      <c r="P395" s="55" t="s">
        <v>1388</v>
      </c>
      <c r="Q395" s="9" t="s">
        <v>688</v>
      </c>
      <c r="S395" s="81" t="s">
        <v>539</v>
      </c>
      <c r="T395" s="9">
        <f ca="1">IFERROR(OFFSET(ITEM_RES!$A$5,MATCH(BUILDING!S395,ITEM_RES!$J$5:$J$229,0)-1,0),0)</f>
        <v>211020401</v>
      </c>
      <c r="U395" s="11">
        <v>1</v>
      </c>
      <c r="V395" s="81" t="s">
        <v>534</v>
      </c>
      <c r="W395" s="11">
        <f ca="1">IFERROR(OFFSET(ITEM_RES!$A$5,MATCH(BUILDING!V395,ITEM_RES!$J$5:$J$229,0)-1,0),0)</f>
        <v>211020501</v>
      </c>
      <c r="Y395" s="9" t="s">
        <v>512</v>
      </c>
      <c r="Z395" s="9">
        <v>11</v>
      </c>
      <c r="AB395" s="11">
        <f ca="1">IFERROR(OFFSET(MANOR_LEVEL!$B$1,MATCH(AC395-1,MANOR_LEVEL!$A:$A,0)-1,0),0)</f>
        <v>13022450</v>
      </c>
      <c r="AC395" s="55">
        <v>14</v>
      </c>
      <c r="AE395" s="55">
        <f t="shared" ca="1" si="102"/>
        <v>924250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924250</v>
      </c>
      <c r="AG395" s="176">
        <f t="shared" ca="1" si="111"/>
        <v>1470450</v>
      </c>
      <c r="AI395" s="11">
        <f t="shared" si="104"/>
        <v>1500</v>
      </c>
      <c r="AJ395" s="10">
        <v>1500</v>
      </c>
      <c r="AK395" s="11">
        <f t="shared" si="110"/>
        <v>250</v>
      </c>
      <c r="AL395" s="10">
        <v>250</v>
      </c>
      <c r="AM395" s="11">
        <v>220000</v>
      </c>
      <c r="AN395" s="10">
        <v>0</v>
      </c>
      <c r="AO395" s="55">
        <f t="shared" si="105"/>
        <v>1</v>
      </c>
      <c r="AQ395" s="11">
        <f ca="1">IFERROR(OFFSET(ITEM_RES!$A$1,MATCH(AR395,ITEM_RES!$J:$J,0)-1,0),0)</f>
        <v>211020801</v>
      </c>
      <c r="AR395" s="10" t="s">
        <v>428</v>
      </c>
      <c r="AS395" s="11">
        <v>88000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07"/>
        <v>112060012</v>
      </c>
      <c r="B396" s="13">
        <v>11</v>
      </c>
      <c r="C396" s="12">
        <f t="shared" si="108"/>
        <v>2</v>
      </c>
      <c r="D396" s="13">
        <v>6</v>
      </c>
      <c r="E396" s="13">
        <v>0</v>
      </c>
      <c r="F396" s="12">
        <f t="shared" si="109"/>
        <v>12</v>
      </c>
      <c r="H396" s="9">
        <v>2</v>
      </c>
      <c r="I396" s="9">
        <v>12</v>
      </c>
      <c r="K396" s="9" t="s">
        <v>415</v>
      </c>
      <c r="M396" s="9">
        <v>1</v>
      </c>
      <c r="N396" s="9">
        <v>15</v>
      </c>
      <c r="O396" s="9" t="s">
        <v>1022</v>
      </c>
      <c r="P396" s="55" t="s">
        <v>1388</v>
      </c>
      <c r="Q396" s="9" t="s">
        <v>688</v>
      </c>
      <c r="S396" s="81" t="s">
        <v>539</v>
      </c>
      <c r="T396" s="9">
        <f ca="1">IFERROR(OFFSET(ITEM_RES!$A$5,MATCH(BUILDING!S396,ITEM_RES!$J$5:$J$229,0)-1,0),0)</f>
        <v>211020401</v>
      </c>
      <c r="U396" s="11">
        <v>1</v>
      </c>
      <c r="V396" s="81" t="s">
        <v>534</v>
      </c>
      <c r="W396" s="11">
        <f ca="1">IFERROR(OFFSET(ITEM_RES!$A$5,MATCH(BUILDING!V396,ITEM_RES!$J$5:$J$229,0)-1,0),0)</f>
        <v>211020501</v>
      </c>
      <c r="Y396" s="9" t="s">
        <v>512</v>
      </c>
      <c r="Z396" s="9">
        <v>12</v>
      </c>
      <c r="AB396" s="11">
        <f ca="1">IFERROR(OFFSET(MANOR_LEVEL!$B$1,MATCH(AC396-1,MANOR_LEVEL!$A:$A,0)-1,0),0)</f>
        <v>23283600</v>
      </c>
      <c r="AC396" s="55">
        <v>15</v>
      </c>
      <c r="AE396" s="55">
        <f t="shared" ca="1" si="102"/>
        <v>1554300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1554300</v>
      </c>
      <c r="AG396" s="176">
        <f t="shared" ca="1" si="111"/>
        <v>2478550</v>
      </c>
      <c r="AI396" s="11">
        <f t="shared" si="104"/>
        <v>1800</v>
      </c>
      <c r="AJ396" s="10">
        <v>1800</v>
      </c>
      <c r="AK396" s="11">
        <f t="shared" si="110"/>
        <v>300</v>
      </c>
      <c r="AL396" s="10">
        <v>300</v>
      </c>
      <c r="AM396" s="11">
        <v>370000</v>
      </c>
      <c r="AN396" s="10">
        <v>0</v>
      </c>
      <c r="AO396" s="55">
        <f t="shared" si="105"/>
        <v>1</v>
      </c>
      <c r="AQ396" s="11">
        <f ca="1">IFERROR(OFFSET(ITEM_RES!$A$1,MATCH(AR396,ITEM_RES!$J:$J,0)-1,0),0)</f>
        <v>211020801</v>
      </c>
      <c r="AR396" s="10" t="s">
        <v>428</v>
      </c>
      <c r="AS396" s="11">
        <v>148000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07"/>
        <v>112060013</v>
      </c>
      <c r="B397" s="13">
        <v>11</v>
      </c>
      <c r="C397" s="12">
        <f t="shared" si="108"/>
        <v>2</v>
      </c>
      <c r="D397" s="13">
        <v>6</v>
      </c>
      <c r="E397" s="13">
        <v>0</v>
      </c>
      <c r="F397" s="12">
        <f t="shared" si="109"/>
        <v>13</v>
      </c>
      <c r="H397" s="9">
        <v>2</v>
      </c>
      <c r="I397" s="9">
        <v>13</v>
      </c>
      <c r="K397" s="9" t="s">
        <v>415</v>
      </c>
      <c r="M397" s="9">
        <v>1</v>
      </c>
      <c r="N397" s="9">
        <v>15</v>
      </c>
      <c r="O397" s="9" t="s">
        <v>1022</v>
      </c>
      <c r="P397" s="55" t="s">
        <v>1388</v>
      </c>
      <c r="Q397" s="9" t="s">
        <v>688</v>
      </c>
      <c r="S397" s="81" t="s">
        <v>539</v>
      </c>
      <c r="T397" s="9">
        <f ca="1">IFERROR(OFFSET(ITEM_RES!$A$5,MATCH(BUILDING!S397,ITEM_RES!$J$5:$J$229,0)-1,0),0)</f>
        <v>211020401</v>
      </c>
      <c r="U397" s="11">
        <v>1</v>
      </c>
      <c r="V397" s="81" t="s">
        <v>534</v>
      </c>
      <c r="W397" s="11">
        <f ca="1">IFERROR(OFFSET(ITEM_RES!$A$5,MATCH(BUILDING!V397,ITEM_RES!$J$5:$J$229,0)-1,0),0)</f>
        <v>211020501</v>
      </c>
      <c r="Y397" s="9" t="s">
        <v>512</v>
      </c>
      <c r="Z397" s="9">
        <v>13</v>
      </c>
      <c r="AB397" s="11">
        <f ca="1">IFERROR(OFFSET(MANOR_LEVEL!$B$1,MATCH(AC397-1,MANOR_LEVEL!$A:$A,0)-1,0),0)</f>
        <v>50404400</v>
      </c>
      <c r="AC397" s="55">
        <v>16</v>
      </c>
      <c r="AE397" s="55">
        <f t="shared" ca="1" si="102"/>
        <v>2604350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2604350</v>
      </c>
      <c r="AG397" s="176">
        <f t="shared" ca="1" si="111"/>
        <v>4158650</v>
      </c>
      <c r="AI397" s="11">
        <f t="shared" si="104"/>
        <v>2100</v>
      </c>
      <c r="AJ397" s="10">
        <v>2100</v>
      </c>
      <c r="AK397" s="11">
        <f t="shared" si="110"/>
        <v>350</v>
      </c>
      <c r="AL397" s="10">
        <v>350</v>
      </c>
      <c r="AM397" s="11">
        <v>620000</v>
      </c>
      <c r="AN397" s="10">
        <v>0</v>
      </c>
      <c r="AO397" s="55">
        <f t="shared" si="105"/>
        <v>1</v>
      </c>
      <c r="AQ397" s="11">
        <f ca="1">IFERROR(OFFSET(ITEM_RES!$A$1,MATCH(AR397,ITEM_RES!$J:$J,0)-1,0),0)</f>
        <v>211020801</v>
      </c>
      <c r="AR397" s="10" t="s">
        <v>428</v>
      </c>
      <c r="AS397" s="11">
        <v>248000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07"/>
        <v>112060014</v>
      </c>
      <c r="B398" s="13">
        <v>11</v>
      </c>
      <c r="C398" s="12">
        <f t="shared" si="108"/>
        <v>2</v>
      </c>
      <c r="D398" s="13">
        <v>6</v>
      </c>
      <c r="E398" s="13">
        <v>0</v>
      </c>
      <c r="F398" s="12">
        <f t="shared" si="109"/>
        <v>14</v>
      </c>
      <c r="H398" s="9">
        <v>2</v>
      </c>
      <c r="I398" s="9">
        <v>14</v>
      </c>
      <c r="K398" s="9" t="s">
        <v>415</v>
      </c>
      <c r="M398" s="9">
        <v>1</v>
      </c>
      <c r="N398" s="9">
        <v>15</v>
      </c>
      <c r="O398" s="9" t="s">
        <v>1022</v>
      </c>
      <c r="P398" s="55" t="s">
        <v>1388</v>
      </c>
      <c r="Q398" s="9" t="s">
        <v>688</v>
      </c>
      <c r="S398" s="81" t="s">
        <v>539</v>
      </c>
      <c r="T398" s="9">
        <f ca="1">IFERROR(OFFSET(ITEM_RES!$A$5,MATCH(BUILDING!S398,ITEM_RES!$J$5:$J$229,0)-1,0),0)</f>
        <v>211020401</v>
      </c>
      <c r="U398" s="11">
        <v>1</v>
      </c>
      <c r="V398" s="81" t="s">
        <v>534</v>
      </c>
      <c r="W398" s="11">
        <f ca="1">IFERROR(OFFSET(ITEM_RES!$A$5,MATCH(BUILDING!V398,ITEM_RES!$J$5:$J$229,0)-1,0),0)</f>
        <v>211020501</v>
      </c>
      <c r="Y398" s="9" t="s">
        <v>512</v>
      </c>
      <c r="Z398" s="9">
        <v>14</v>
      </c>
      <c r="AB398" s="11">
        <f ca="1">IFERROR(OFFSET(MANOR_LEVEL!$B$1,MATCH(AC398-1,MANOR_LEVEL!$A:$A,0)-1,0),0)</f>
        <v>119976300</v>
      </c>
      <c r="AC398" s="55">
        <v>17</v>
      </c>
      <c r="AE398" s="55">
        <f t="shared" ca="1" si="102"/>
        <v>4074450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4074450</v>
      </c>
      <c r="AG398" s="176">
        <f t="shared" ca="1" si="111"/>
        <v>6678800</v>
      </c>
      <c r="AI398" s="11">
        <f t="shared" si="104"/>
        <v>2400</v>
      </c>
      <c r="AJ398" s="10">
        <v>2400</v>
      </c>
      <c r="AK398" s="11">
        <f t="shared" si="110"/>
        <v>450</v>
      </c>
      <c r="AL398" s="10">
        <v>450</v>
      </c>
      <c r="AM398" s="11">
        <v>970000</v>
      </c>
      <c r="AN398" s="10">
        <v>0</v>
      </c>
      <c r="AO398" s="55">
        <f t="shared" si="105"/>
        <v>1</v>
      </c>
      <c r="AQ398" s="11">
        <f ca="1">IFERROR(OFFSET(ITEM_RES!$A$1,MATCH(AR398,ITEM_RES!$J:$J,0)-1,0),0)</f>
        <v>211020801</v>
      </c>
      <c r="AR398" s="10" t="s">
        <v>428</v>
      </c>
      <c r="AS398" s="11">
        <v>388000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07"/>
        <v>112060015</v>
      </c>
      <c r="B399" s="13">
        <v>11</v>
      </c>
      <c r="C399" s="12">
        <f t="shared" si="108"/>
        <v>2</v>
      </c>
      <c r="D399" s="13">
        <v>6</v>
      </c>
      <c r="E399" s="13">
        <v>0</v>
      </c>
      <c r="F399" s="12">
        <f t="shared" si="109"/>
        <v>15</v>
      </c>
      <c r="H399" s="9">
        <v>2</v>
      </c>
      <c r="I399" s="9">
        <v>15</v>
      </c>
      <c r="K399" s="9" t="s">
        <v>415</v>
      </c>
      <c r="M399" s="9">
        <v>1</v>
      </c>
      <c r="N399" s="9">
        <v>15</v>
      </c>
      <c r="O399" s="9" t="s">
        <v>1022</v>
      </c>
      <c r="P399" s="55" t="s">
        <v>1388</v>
      </c>
      <c r="Q399" s="9" t="s">
        <v>688</v>
      </c>
      <c r="S399" s="81" t="s">
        <v>539</v>
      </c>
      <c r="T399" s="9">
        <f ca="1">IFERROR(OFFSET(ITEM_RES!$A$5,MATCH(BUILDING!S399,ITEM_RES!$J$5:$J$229,0)-1,0),0)</f>
        <v>211020401</v>
      </c>
      <c r="U399" s="11">
        <v>1</v>
      </c>
      <c r="V399" s="81" t="s">
        <v>534</v>
      </c>
      <c r="W399" s="11">
        <f ca="1">IFERROR(OFFSET(ITEM_RES!$A$5,MATCH(BUILDING!V399,ITEM_RES!$J$5:$J$229,0)-1,0),0)</f>
        <v>211020501</v>
      </c>
      <c r="Y399" s="9" t="s">
        <v>512</v>
      </c>
      <c r="Z399" s="9">
        <v>15</v>
      </c>
      <c r="AB399" s="11">
        <f ca="1">IFERROR(OFFSET(MANOR_LEVEL!$B$1,MATCH(AC399-1,MANOR_LEVEL!$A:$A,0)-1,0),0)</f>
        <v>223207650</v>
      </c>
      <c r="AC399" s="55">
        <v>18</v>
      </c>
      <c r="AE399" s="55">
        <f t="shared" ca="1" si="102"/>
        <v>8820550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8820550</v>
      </c>
      <c r="AG399" s="176">
        <f t="shared" ca="1" si="111"/>
        <v>12895000</v>
      </c>
      <c r="AI399" s="11">
        <f t="shared" si="104"/>
        <v>2700</v>
      </c>
      <c r="AJ399" s="10">
        <v>2700</v>
      </c>
      <c r="AK399" s="11">
        <f t="shared" si="110"/>
        <v>550</v>
      </c>
      <c r="AL399" s="10">
        <v>550</v>
      </c>
      <c r="AM399" s="11">
        <v>2100000</v>
      </c>
      <c r="AN399" s="10">
        <v>0</v>
      </c>
      <c r="AO399" s="55">
        <f t="shared" si="105"/>
        <v>1</v>
      </c>
      <c r="AQ399" s="11">
        <f ca="1">IFERROR(OFFSET(ITEM_RES!$A$1,MATCH(AR399,ITEM_RES!$J:$J,0)-1,0),0)</f>
        <v>211020801</v>
      </c>
      <c r="AR399" s="10" t="s">
        <v>428</v>
      </c>
      <c r="AS399" s="11">
        <v>840000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07"/>
        <v>112060016</v>
      </c>
      <c r="B400" s="13">
        <v>11</v>
      </c>
      <c r="C400" s="12">
        <f t="shared" si="108"/>
        <v>2</v>
      </c>
      <c r="D400" s="13">
        <v>6</v>
      </c>
      <c r="E400" s="13">
        <v>0</v>
      </c>
      <c r="F400" s="12">
        <f t="shared" si="109"/>
        <v>16</v>
      </c>
      <c r="H400" s="9">
        <v>2</v>
      </c>
      <c r="I400" s="9">
        <v>16</v>
      </c>
      <c r="K400" s="9" t="s">
        <v>415</v>
      </c>
      <c r="M400" s="9">
        <v>0</v>
      </c>
      <c r="N400" s="9">
        <v>15</v>
      </c>
      <c r="O400" s="9" t="s">
        <v>1022</v>
      </c>
      <c r="P400" s="55" t="s">
        <v>1388</v>
      </c>
      <c r="Q400" s="9" t="s">
        <v>688</v>
      </c>
      <c r="S400" s="81" t="s">
        <v>539</v>
      </c>
      <c r="T400" s="9">
        <f ca="1">IFERROR(OFFSET(ITEM_RES!$A$5,MATCH(BUILDING!S400,ITEM_RES!$J$5:$J$229,0)-1,0),0)</f>
        <v>211020401</v>
      </c>
      <c r="U400" s="11">
        <v>1</v>
      </c>
      <c r="V400" s="81" t="s">
        <v>534</v>
      </c>
      <c r="W400" s="11">
        <f ca="1">IFERROR(OFFSET(ITEM_RES!$A$5,MATCH(BUILDING!V400,ITEM_RES!$J$5:$J$229,0)-1,0),0)</f>
        <v>211020501</v>
      </c>
      <c r="Y400" s="9" t="s">
        <v>512</v>
      </c>
      <c r="Z400" s="9">
        <v>16</v>
      </c>
      <c r="AB400" s="11">
        <f ca="1">IFERROR(OFFSET(MANOR_LEVEL!$B$1,MATCH(AC400-1,MANOR_LEVEL!$A:$A,0)-1,0),0)</f>
        <v>223207650</v>
      </c>
      <c r="AC400" s="55">
        <v>18</v>
      </c>
      <c r="AE400" s="55">
        <f t="shared" ca="1" si="102"/>
        <v>18060700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18060700</v>
      </c>
      <c r="AG400" s="176">
        <f t="shared" ca="1" si="111"/>
        <v>26881250</v>
      </c>
      <c r="AI400" s="11">
        <f t="shared" si="104"/>
        <v>3000</v>
      </c>
      <c r="AJ400" s="10">
        <v>3000</v>
      </c>
      <c r="AK400" s="11">
        <f t="shared" si="110"/>
        <v>700</v>
      </c>
      <c r="AL400" s="10">
        <v>700</v>
      </c>
      <c r="AM400" s="11">
        <v>4300000</v>
      </c>
      <c r="AN400" s="10">
        <v>0</v>
      </c>
      <c r="AO400" s="55">
        <f t="shared" si="105"/>
        <v>1</v>
      </c>
      <c r="AQ400" s="11">
        <f ca="1">IFERROR(OFFSET(ITEM_RES!$A$1,MATCH(AR400,ITEM_RES!$J:$J,0)-1,0),0)</f>
        <v>211020801</v>
      </c>
      <c r="AR400" s="10" t="s">
        <v>428</v>
      </c>
      <c r="AS400" s="11">
        <v>1720000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07"/>
        <v>112060017</v>
      </c>
      <c r="B401" s="13">
        <v>11</v>
      </c>
      <c r="C401" s="12">
        <f t="shared" si="108"/>
        <v>2</v>
      </c>
      <c r="D401" s="13">
        <v>6</v>
      </c>
      <c r="E401" s="13">
        <v>0</v>
      </c>
      <c r="F401" s="12">
        <f t="shared" si="109"/>
        <v>17</v>
      </c>
      <c r="H401" s="9">
        <v>2</v>
      </c>
      <c r="I401" s="9">
        <v>17</v>
      </c>
      <c r="K401" s="9" t="s">
        <v>415</v>
      </c>
      <c r="M401" s="9">
        <v>0</v>
      </c>
      <c r="N401" s="9">
        <v>15</v>
      </c>
      <c r="O401" s="9" t="s">
        <v>1022</v>
      </c>
      <c r="P401" s="55" t="s">
        <v>1388</v>
      </c>
      <c r="Q401" s="9" t="s">
        <v>688</v>
      </c>
      <c r="S401" s="81" t="s">
        <v>539</v>
      </c>
      <c r="T401" s="9">
        <f ca="1">IFERROR(OFFSET(ITEM_RES!$A$5,MATCH(BUILDING!S401,ITEM_RES!$J$5:$J$229,0)-1,0),0)</f>
        <v>211020401</v>
      </c>
      <c r="U401" s="11">
        <v>1</v>
      </c>
      <c r="V401" s="81" t="s">
        <v>534</v>
      </c>
      <c r="W401" s="11">
        <f ca="1">IFERROR(OFFSET(ITEM_RES!$A$5,MATCH(BUILDING!V401,ITEM_RES!$J$5:$J$229,0)-1,0),0)</f>
        <v>211020501</v>
      </c>
      <c r="Y401" s="9" t="s">
        <v>512</v>
      </c>
      <c r="Z401" s="9">
        <v>17</v>
      </c>
      <c r="AB401" s="11">
        <f ca="1">IFERROR(OFFSET(MANOR_LEVEL!$B$1,MATCH(AC401-1,MANOR_LEVEL!$A:$A,0)-1,0),0)</f>
        <v>223207650</v>
      </c>
      <c r="AC401" s="55">
        <v>18</v>
      </c>
      <c r="AE401" s="55">
        <f t="shared" ca="1" si="102"/>
        <v>33600850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33600850</v>
      </c>
      <c r="AG401" s="176">
        <f t="shared" ca="1" si="111"/>
        <v>51661550</v>
      </c>
      <c r="AI401" s="11">
        <f t="shared" si="104"/>
        <v>3300</v>
      </c>
      <c r="AJ401" s="10">
        <v>3300</v>
      </c>
      <c r="AK401" s="11">
        <f t="shared" si="110"/>
        <v>850</v>
      </c>
      <c r="AL401" s="10">
        <v>850</v>
      </c>
      <c r="AM401" s="11">
        <v>8000000</v>
      </c>
      <c r="AN401" s="10">
        <v>0</v>
      </c>
      <c r="AO401" s="55">
        <f t="shared" si="105"/>
        <v>1</v>
      </c>
      <c r="AQ401" s="11">
        <f ca="1">IFERROR(OFFSET(ITEM_RES!$A$1,MATCH(AR401,ITEM_RES!$J:$J,0)-1,0),0)</f>
        <v>211020801</v>
      </c>
      <c r="AR401" s="10" t="s">
        <v>428</v>
      </c>
      <c r="AS401" s="11">
        <v>3200000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07"/>
        <v>112060018</v>
      </c>
      <c r="B402" s="13">
        <v>11</v>
      </c>
      <c r="C402" s="12">
        <f t="shared" si="108"/>
        <v>2</v>
      </c>
      <c r="D402" s="13">
        <v>6</v>
      </c>
      <c r="E402" s="13">
        <v>0</v>
      </c>
      <c r="F402" s="12">
        <f t="shared" si="109"/>
        <v>18</v>
      </c>
      <c r="H402" s="9">
        <v>2</v>
      </c>
      <c r="I402" s="9">
        <v>18</v>
      </c>
      <c r="K402" s="9" t="s">
        <v>415</v>
      </c>
      <c r="M402" s="9">
        <v>0</v>
      </c>
      <c r="N402" s="9">
        <v>15</v>
      </c>
      <c r="O402" s="9" t="s">
        <v>1022</v>
      </c>
      <c r="P402" s="55" t="s">
        <v>1388</v>
      </c>
      <c r="Q402" s="9" t="s">
        <v>688</v>
      </c>
      <c r="S402" s="81" t="s">
        <v>539</v>
      </c>
      <c r="T402" s="9">
        <f ca="1">IFERROR(OFFSET(ITEM_RES!$A$5,MATCH(BUILDING!S402,ITEM_RES!$J$5:$J$229,0)-1,0),0)</f>
        <v>211020401</v>
      </c>
      <c r="U402" s="11">
        <v>1</v>
      </c>
      <c r="V402" s="81" t="s">
        <v>534</v>
      </c>
      <c r="W402" s="11">
        <f ca="1">IFERROR(OFFSET(ITEM_RES!$A$5,MATCH(BUILDING!V402,ITEM_RES!$J$5:$J$229,0)-1,0),0)</f>
        <v>211020501</v>
      </c>
      <c r="Y402" s="9" t="s">
        <v>512</v>
      </c>
      <c r="Z402" s="9">
        <v>18</v>
      </c>
      <c r="AB402" s="11">
        <f ca="1">IFERROR(OFFSET(MANOR_LEVEL!$B$1,MATCH(AC402-1,MANOR_LEVEL!$A:$A,0)-1,0),0)</f>
        <v>223207650</v>
      </c>
      <c r="AC402" s="55">
        <v>18</v>
      </c>
      <c r="AE402" s="55">
        <f t="shared" ca="1" si="102"/>
        <v>54601050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54601050</v>
      </c>
      <c r="AG402" s="176">
        <f t="shared" ca="1" si="111"/>
        <v>88201900</v>
      </c>
      <c r="AI402" s="11">
        <f t="shared" si="104"/>
        <v>3600</v>
      </c>
      <c r="AJ402" s="10">
        <v>3600</v>
      </c>
      <c r="AK402" s="11">
        <f t="shared" si="110"/>
        <v>1050</v>
      </c>
      <c r="AL402" s="10">
        <v>1050</v>
      </c>
      <c r="AM402" s="11">
        <v>13000000</v>
      </c>
      <c r="AN402" s="10">
        <v>0</v>
      </c>
      <c r="AO402" s="55">
        <f t="shared" si="105"/>
        <v>1</v>
      </c>
      <c r="AQ402" s="11">
        <f ca="1">IFERROR(OFFSET(ITEM_RES!$A$1,MATCH(AR402,ITEM_RES!$J:$J,0)-1,0),0)</f>
        <v>211020801</v>
      </c>
      <c r="AR402" s="10" t="s">
        <v>428</v>
      </c>
      <c r="AS402" s="11">
        <v>5200000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07"/>
        <v>112060019</v>
      </c>
      <c r="B403" s="13">
        <v>11</v>
      </c>
      <c r="C403" s="12">
        <f t="shared" si="108"/>
        <v>2</v>
      </c>
      <c r="D403" s="13">
        <v>6</v>
      </c>
      <c r="E403" s="13">
        <v>0</v>
      </c>
      <c r="F403" s="12">
        <f t="shared" si="109"/>
        <v>19</v>
      </c>
      <c r="H403" s="9">
        <v>2</v>
      </c>
      <c r="I403" s="9">
        <v>19</v>
      </c>
      <c r="K403" s="9" t="s">
        <v>415</v>
      </c>
      <c r="M403" s="9">
        <v>0</v>
      </c>
      <c r="N403" s="9">
        <v>15</v>
      </c>
      <c r="O403" s="9" t="s">
        <v>1022</v>
      </c>
      <c r="P403" s="55" t="s">
        <v>1388</v>
      </c>
      <c r="Q403" s="9" t="s">
        <v>688</v>
      </c>
      <c r="S403" s="81" t="s">
        <v>539</v>
      </c>
      <c r="T403" s="9">
        <f ca="1">IFERROR(OFFSET(ITEM_RES!$A$5,MATCH(BUILDING!S403,ITEM_RES!$J$5:$J$229,0)-1,0),0)</f>
        <v>211020401</v>
      </c>
      <c r="U403" s="11">
        <v>1</v>
      </c>
      <c r="V403" s="81" t="s">
        <v>534</v>
      </c>
      <c r="W403" s="11">
        <f ca="1">IFERROR(OFFSET(ITEM_RES!$A$5,MATCH(BUILDING!V403,ITEM_RES!$J$5:$J$229,0)-1,0),0)</f>
        <v>211020501</v>
      </c>
      <c r="Y403" s="9" t="s">
        <v>512</v>
      </c>
      <c r="Z403" s="9">
        <v>19</v>
      </c>
      <c r="AB403" s="11">
        <f ca="1">IFERROR(OFFSET(MANOR_LEVEL!$B$1,MATCH(AC403-1,MANOR_LEVEL!$A:$A,0)-1,0),0)</f>
        <v>223207650</v>
      </c>
      <c r="AC403" s="55">
        <v>18</v>
      </c>
      <c r="AE403" s="55">
        <f t="shared" ca="1" si="102"/>
        <v>84001250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84001250</v>
      </c>
      <c r="AG403" s="176">
        <f t="shared" ca="1" si="111"/>
        <v>138602300</v>
      </c>
      <c r="AI403" s="11">
        <f t="shared" si="104"/>
        <v>3900</v>
      </c>
      <c r="AJ403" s="10">
        <v>3900</v>
      </c>
      <c r="AK403" s="11">
        <f t="shared" si="110"/>
        <v>1250</v>
      </c>
      <c r="AL403" s="10">
        <v>1250</v>
      </c>
      <c r="AM403" s="11">
        <v>20000000</v>
      </c>
      <c r="AN403" s="10">
        <v>0</v>
      </c>
      <c r="AO403" s="55">
        <f t="shared" si="105"/>
        <v>1</v>
      </c>
      <c r="AQ403" s="11">
        <f ca="1">IFERROR(OFFSET(ITEM_RES!$A$1,MATCH(AR403,ITEM_RES!$J:$J,0)-1,0),0)</f>
        <v>211020801</v>
      </c>
      <c r="AR403" s="10" t="s">
        <v>428</v>
      </c>
      <c r="AS403" s="11">
        <v>8000000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07"/>
        <v>112060020</v>
      </c>
      <c r="B404" s="13">
        <v>11</v>
      </c>
      <c r="C404" s="12">
        <f t="shared" si="108"/>
        <v>2</v>
      </c>
      <c r="D404" s="13">
        <v>6</v>
      </c>
      <c r="E404" s="13">
        <v>0</v>
      </c>
      <c r="F404" s="12">
        <f t="shared" si="109"/>
        <v>20</v>
      </c>
      <c r="H404" s="9">
        <v>2</v>
      </c>
      <c r="I404" s="9">
        <v>20</v>
      </c>
      <c r="K404" s="9" t="s">
        <v>415</v>
      </c>
      <c r="M404" s="9">
        <v>0</v>
      </c>
      <c r="N404" s="9">
        <v>15</v>
      </c>
      <c r="O404" s="9" t="s">
        <v>1022</v>
      </c>
      <c r="P404" s="55" t="s">
        <v>1388</v>
      </c>
      <c r="Q404" s="9" t="s">
        <v>688</v>
      </c>
      <c r="S404" s="81" t="s">
        <v>539</v>
      </c>
      <c r="T404" s="9">
        <f ca="1">IFERROR(OFFSET(ITEM_RES!$A$5,MATCH(BUILDING!S404,ITEM_RES!$J$5:$J$229,0)-1,0),0)</f>
        <v>211020401</v>
      </c>
      <c r="U404" s="11">
        <v>1</v>
      </c>
      <c r="V404" s="81" t="s">
        <v>534</v>
      </c>
      <c r="W404" s="11">
        <f ca="1">IFERROR(OFFSET(ITEM_RES!$A$5,MATCH(BUILDING!V404,ITEM_RES!$J$5:$J$229,0)-1,0),0)</f>
        <v>211020501</v>
      </c>
      <c r="Y404" s="9" t="s">
        <v>512</v>
      </c>
      <c r="Z404" s="9">
        <v>20</v>
      </c>
      <c r="AB404" s="11">
        <f ca="1">IFERROR(OFFSET(MANOR_LEVEL!$B$1,MATCH(AC404-1,MANOR_LEVEL!$A:$A,0)-1,0),0)</f>
        <v>223207650</v>
      </c>
      <c r="AC404" s="55">
        <v>18</v>
      </c>
      <c r="AE404" s="55">
        <f t="shared" ca="1" si="102"/>
        <v>134401500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134401500</v>
      </c>
      <c r="AG404" s="176">
        <f t="shared" ca="1" si="111"/>
        <v>218402750</v>
      </c>
      <c r="AI404" s="11">
        <f t="shared" si="104"/>
        <v>4200</v>
      </c>
      <c r="AJ404" s="10">
        <v>4200</v>
      </c>
      <c r="AK404" s="11">
        <f t="shared" si="110"/>
        <v>1500</v>
      </c>
      <c r="AL404" s="10">
        <v>1500</v>
      </c>
      <c r="AM404" s="11">
        <v>32000000</v>
      </c>
      <c r="AN404" s="10">
        <v>0</v>
      </c>
      <c r="AO404" s="55">
        <f t="shared" si="105"/>
        <v>1</v>
      </c>
      <c r="AQ404" s="11">
        <f ca="1">IFERROR(OFFSET(ITEM_RES!$A$1,MATCH(AR404,ITEM_RES!$J:$J,0)-1,0),0)</f>
        <v>211020801</v>
      </c>
      <c r="AR404" s="10" t="s">
        <v>428</v>
      </c>
      <c r="AS404" s="11">
        <v>12800000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07"/>
        <v>112070001</v>
      </c>
      <c r="B405" s="20">
        <v>11</v>
      </c>
      <c r="C405" s="19">
        <f t="shared" si="108"/>
        <v>2</v>
      </c>
      <c r="D405" s="20">
        <v>7</v>
      </c>
      <c r="E405" s="20">
        <v>0</v>
      </c>
      <c r="F405" s="19">
        <f t="shared" si="109"/>
        <v>1</v>
      </c>
      <c r="G405" s="76"/>
      <c r="H405" s="16">
        <v>2</v>
      </c>
      <c r="I405" s="16">
        <v>1</v>
      </c>
      <c r="J405" s="76"/>
      <c r="K405" s="16" t="s">
        <v>518</v>
      </c>
      <c r="L405" s="16">
        <v>3</v>
      </c>
      <c r="M405" s="16">
        <v>1</v>
      </c>
      <c r="N405" s="16">
        <v>15</v>
      </c>
      <c r="O405" s="16" t="s">
        <v>1128</v>
      </c>
      <c r="P405" s="56" t="s">
        <v>1389</v>
      </c>
      <c r="Q405" s="16" t="s">
        <v>684</v>
      </c>
      <c r="R405" s="76"/>
      <c r="S405" s="83" t="s">
        <v>533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535</v>
      </c>
      <c r="W405" s="18">
        <f ca="1">IFERROR(OFFSET(ITEM_RES!$A$5,MATCH(BUILDING!V405,ITEM_RES!$J$5:$J$229,0)-1,0),0)</f>
        <v>211020301</v>
      </c>
      <c r="X405" s="76"/>
      <c r="Y405" s="16" t="s">
        <v>513</v>
      </c>
      <c r="Z405" s="16">
        <v>1</v>
      </c>
      <c r="AA405" s="76"/>
      <c r="AB405" s="18">
        <f ca="1">IFERROR(OFFSET(MANOR_LEVEL!$B$1,MATCH(AC405-1,MANOR_LEVEL!$A:$A,0)-1,0),0)</f>
        <v>108200</v>
      </c>
      <c r="AC405" s="56">
        <v>7</v>
      </c>
      <c r="AD405" s="76"/>
      <c r="AE405" s="56">
        <f t="shared" ca="1" si="102"/>
        <v>1225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1225</v>
      </c>
      <c r="AG405" s="178">
        <f ca="1">AE405</f>
        <v>1225</v>
      </c>
      <c r="AH405" s="76"/>
      <c r="AI405" s="18">
        <f t="shared" si="104"/>
        <v>3</v>
      </c>
      <c r="AJ405" s="17">
        <v>3</v>
      </c>
      <c r="AK405" s="18">
        <f t="shared" si="110"/>
        <v>5</v>
      </c>
      <c r="AL405" s="17">
        <v>5</v>
      </c>
      <c r="AM405" s="18">
        <f t="shared" ref="AM405:AM411" si="112">ROUND(AN405,0)</f>
        <v>0</v>
      </c>
      <c r="AN405" s="17">
        <v>0</v>
      </c>
      <c r="AO405" s="56">
        <f t="shared" si="105"/>
        <v>3</v>
      </c>
      <c r="AP405" s="18"/>
      <c r="AQ405" s="18">
        <f ca="1">IFERROR(OFFSET(ITEM_RES!$A$1,MATCH(AR405,ITEM_RES!$J:$J,0)-1,0),0)</f>
        <v>211020801</v>
      </c>
      <c r="AR405" s="17" t="s">
        <v>1447</v>
      </c>
      <c r="AS405" s="18">
        <v>20</v>
      </c>
      <c r="AT405" s="17"/>
      <c r="AU405" s="18"/>
      <c r="AV405" s="18">
        <f ca="1">IFERROR(OFFSET(ITEM_RES!$A$1,MATCH(AW405,ITEM_RES!$J:$J,0)-1,0),0)</f>
        <v>211020401</v>
      </c>
      <c r="AW405" s="17" t="s">
        <v>427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441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07"/>
        <v>112070002</v>
      </c>
      <c r="B406" s="13">
        <v>11</v>
      </c>
      <c r="C406" s="12">
        <f t="shared" si="108"/>
        <v>2</v>
      </c>
      <c r="D406" s="13">
        <v>7</v>
      </c>
      <c r="E406" s="13">
        <v>0</v>
      </c>
      <c r="F406" s="12">
        <f t="shared" si="109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1128</v>
      </c>
      <c r="P406" s="55" t="s">
        <v>1389</v>
      </c>
      <c r="Q406" s="9" t="s">
        <v>684</v>
      </c>
      <c r="S406" s="81" t="s">
        <v>533</v>
      </c>
      <c r="T406" s="9">
        <f ca="1">IFERROR(OFFSET(ITEM_RES!$A$5,MATCH(BUILDING!S406,ITEM_RES!$J$5:$J$229,0)-1,0),0)</f>
        <v>211020201</v>
      </c>
      <c r="U406" s="11">
        <v>1</v>
      </c>
      <c r="V406" s="81" t="s">
        <v>535</v>
      </c>
      <c r="W406" s="11">
        <f ca="1">IFERROR(OFFSET(ITEM_RES!$A$5,MATCH(BUILDING!V406,ITEM_RES!$J$5:$J$229,0)-1,0),0)</f>
        <v>211020301</v>
      </c>
      <c r="Y406" s="9" t="s">
        <v>513</v>
      </c>
      <c r="Z406" s="9">
        <v>2</v>
      </c>
      <c r="AB406" s="11">
        <f ca="1">IFERROR(OFFSET(MANOR_LEVEL!$B$1,MATCH(AC406-1,MANOR_LEVEL!$A:$A,0)-1,0),0)</f>
        <v>240400</v>
      </c>
      <c r="AC406" s="55">
        <v>8</v>
      </c>
      <c r="AE406" s="55">
        <f t="shared" ca="1" si="102"/>
        <v>450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450</v>
      </c>
      <c r="AG406" s="176">
        <f ca="1">AE405+AE406</f>
        <v>1675</v>
      </c>
      <c r="AI406" s="11">
        <f t="shared" si="104"/>
        <v>5</v>
      </c>
      <c r="AJ406" s="10">
        <v>5</v>
      </c>
      <c r="AK406" s="11">
        <f t="shared" si="110"/>
        <v>10</v>
      </c>
      <c r="AL406" s="10">
        <v>10</v>
      </c>
      <c r="AM406" s="11">
        <f t="shared" si="112"/>
        <v>0</v>
      </c>
      <c r="AN406" s="10">
        <v>0</v>
      </c>
      <c r="AO406" s="55">
        <f t="shared" si="105"/>
        <v>2</v>
      </c>
      <c r="AQ406" s="11">
        <f ca="1">IFERROR(OFFSET(ITEM_RES!$A$1,MATCH(AR406,ITEM_RES!$J:$J,0)-1,0),0)</f>
        <v>211020801</v>
      </c>
      <c r="AR406" s="10" t="s">
        <v>1447</v>
      </c>
      <c r="AS406" s="11">
        <v>40</v>
      </c>
      <c r="AV406" s="11">
        <f ca="1">IFERROR(OFFSET(ITEM_RES!$A$1,MATCH(AW406,ITEM_RES!$J:$J,0)-1,0),0)</f>
        <v>211020401</v>
      </c>
      <c r="AW406" s="10" t="s">
        <v>427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07"/>
        <v>112070003</v>
      </c>
      <c r="B407" s="13">
        <v>11</v>
      </c>
      <c r="C407" s="12">
        <f t="shared" si="108"/>
        <v>2</v>
      </c>
      <c r="D407" s="13">
        <v>7</v>
      </c>
      <c r="E407" s="13">
        <v>0</v>
      </c>
      <c r="F407" s="12">
        <f t="shared" si="109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1129</v>
      </c>
      <c r="P407" s="55" t="s">
        <v>1390</v>
      </c>
      <c r="Q407" s="9" t="s">
        <v>684</v>
      </c>
      <c r="S407" s="81" t="s">
        <v>533</v>
      </c>
      <c r="T407" s="9">
        <f ca="1">IFERROR(OFFSET(ITEM_RES!$A$5,MATCH(BUILDING!S407,ITEM_RES!$J$5:$J$229,0)-1,0),0)</f>
        <v>211020201</v>
      </c>
      <c r="U407" s="11">
        <v>1</v>
      </c>
      <c r="V407" s="81" t="s">
        <v>535</v>
      </c>
      <c r="W407" s="11">
        <f ca="1">IFERROR(OFFSET(ITEM_RES!$A$5,MATCH(BUILDING!V407,ITEM_RES!$J$5:$J$229,0)-1,0),0)</f>
        <v>211020301</v>
      </c>
      <c r="Y407" s="9" t="s">
        <v>513</v>
      </c>
      <c r="Z407" s="9">
        <v>3</v>
      </c>
      <c r="AB407" s="11">
        <f ca="1">IFERROR(OFFSET(MANOR_LEVEL!$B$1,MATCH(AC407-1,MANOR_LEVEL!$A:$A,0)-1,0),0)</f>
        <v>630500</v>
      </c>
      <c r="AC407" s="55">
        <v>9</v>
      </c>
      <c r="AE407" s="55">
        <f t="shared" ca="1" si="102"/>
        <v>675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675</v>
      </c>
      <c r="AG407" s="176">
        <f t="shared" ref="AG407:AG424" ca="1" si="113">AE406+AE407</f>
        <v>1125</v>
      </c>
      <c r="AI407" s="11">
        <f t="shared" si="104"/>
        <v>5</v>
      </c>
      <c r="AJ407" s="10">
        <v>5</v>
      </c>
      <c r="AK407" s="11">
        <f t="shared" si="110"/>
        <v>15</v>
      </c>
      <c r="AL407" s="10">
        <v>15</v>
      </c>
      <c r="AM407" s="11">
        <f t="shared" si="112"/>
        <v>0</v>
      </c>
      <c r="AN407" s="10">
        <v>0</v>
      </c>
      <c r="AO407" s="55">
        <f t="shared" si="105"/>
        <v>2</v>
      </c>
      <c r="AQ407" s="11">
        <f ca="1">IFERROR(OFFSET(ITEM_RES!$A$1,MATCH(AR407,ITEM_RES!$J:$J,0)-1,0),0)</f>
        <v>211020801</v>
      </c>
      <c r="AR407" s="10" t="s">
        <v>1447</v>
      </c>
      <c r="AS407" s="11">
        <v>60</v>
      </c>
      <c r="AV407" s="11">
        <f ca="1">IFERROR(OFFSET(ITEM_RES!$A$1,MATCH(AW407,ITEM_RES!$J:$J,0)-1,0),0)</f>
        <v>211020401</v>
      </c>
      <c r="AW407" s="10" t="s">
        <v>427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07"/>
        <v>112070004</v>
      </c>
      <c r="B408" s="13">
        <v>11</v>
      </c>
      <c r="C408" s="12">
        <f t="shared" si="108"/>
        <v>2</v>
      </c>
      <c r="D408" s="13">
        <v>7</v>
      </c>
      <c r="E408" s="13">
        <v>0</v>
      </c>
      <c r="F408" s="12">
        <f t="shared" si="109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1130</v>
      </c>
      <c r="P408" s="55" t="s">
        <v>1390</v>
      </c>
      <c r="Q408" s="9" t="s">
        <v>684</v>
      </c>
      <c r="S408" s="81" t="s">
        <v>533</v>
      </c>
      <c r="T408" s="9">
        <f ca="1">IFERROR(OFFSET(ITEM_RES!$A$5,MATCH(BUILDING!S408,ITEM_RES!$J$5:$J$229,0)-1,0),0)</f>
        <v>211020201</v>
      </c>
      <c r="U408" s="11">
        <v>1</v>
      </c>
      <c r="V408" s="81" t="s">
        <v>535</v>
      </c>
      <c r="W408" s="11">
        <f ca="1">IFERROR(OFFSET(ITEM_RES!$A$5,MATCH(BUILDING!V408,ITEM_RES!$J$5:$J$229,0)-1,0),0)</f>
        <v>211020301</v>
      </c>
      <c r="Y408" s="9" t="s">
        <v>513</v>
      </c>
      <c r="Z408" s="9">
        <v>4</v>
      </c>
      <c r="AB408" s="11">
        <f ca="1">IFERROR(OFFSET(MANOR_LEVEL!$B$1,MATCH(AC408-1,MANOR_LEVEL!$A:$A,0)-1,0),0)</f>
        <v>630500</v>
      </c>
      <c r="AC408" s="55">
        <v>9</v>
      </c>
      <c r="AE408" s="55">
        <f t="shared" ca="1" si="102"/>
        <v>2665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2665</v>
      </c>
      <c r="AG408" s="176">
        <f t="shared" ca="1" si="113"/>
        <v>3340</v>
      </c>
      <c r="AI408" s="11">
        <f t="shared" si="104"/>
        <v>10</v>
      </c>
      <c r="AJ408" s="10">
        <v>10</v>
      </c>
      <c r="AK408" s="11">
        <f t="shared" si="110"/>
        <v>25</v>
      </c>
      <c r="AL408" s="10">
        <v>25</v>
      </c>
      <c r="AM408" s="11">
        <f t="shared" si="112"/>
        <v>0</v>
      </c>
      <c r="AN408" s="10">
        <v>0</v>
      </c>
      <c r="AO408" s="55">
        <f t="shared" si="105"/>
        <v>2</v>
      </c>
      <c r="AQ408" s="11">
        <f ca="1">IFERROR(OFFSET(ITEM_RES!$A$1,MATCH(AR408,ITEM_RES!$J:$J,0)-1,0),0)</f>
        <v>211020801</v>
      </c>
      <c r="AR408" s="10" t="s">
        <v>1447</v>
      </c>
      <c r="AS408" s="11">
        <v>240</v>
      </c>
      <c r="AV408" s="11">
        <f ca="1">IFERROR(OFFSET(ITEM_RES!$A$1,MATCH(AW408,ITEM_RES!$J:$J,0)-1,0),0)</f>
        <v>211020401</v>
      </c>
      <c r="AW408" s="10" t="s">
        <v>427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07"/>
        <v>112070005</v>
      </c>
      <c r="B409" s="13">
        <v>11</v>
      </c>
      <c r="C409" s="12">
        <f t="shared" si="108"/>
        <v>2</v>
      </c>
      <c r="D409" s="13">
        <v>7</v>
      </c>
      <c r="E409" s="13">
        <v>0</v>
      </c>
      <c r="F409" s="12">
        <f t="shared" si="109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1131</v>
      </c>
      <c r="P409" s="55" t="s">
        <v>1391</v>
      </c>
      <c r="Q409" s="9" t="s">
        <v>684</v>
      </c>
      <c r="S409" s="81" t="s">
        <v>533</v>
      </c>
      <c r="T409" s="9">
        <f ca="1">IFERROR(OFFSET(ITEM_RES!$A$5,MATCH(BUILDING!S409,ITEM_RES!$J$5:$J$229,0)-1,0),0)</f>
        <v>211020201</v>
      </c>
      <c r="U409" s="11">
        <v>1</v>
      </c>
      <c r="V409" s="81" t="s">
        <v>535</v>
      </c>
      <c r="W409" s="11">
        <f ca="1">IFERROR(OFFSET(ITEM_RES!$A$5,MATCH(BUILDING!V409,ITEM_RES!$J$5:$J$229,0)-1,0),0)</f>
        <v>211020301</v>
      </c>
      <c r="Y409" s="9" t="s">
        <v>513</v>
      </c>
      <c r="Z409" s="9">
        <v>5</v>
      </c>
      <c r="AB409" s="11">
        <f ca="1">IFERROR(OFFSET(MANOR_LEVEL!$B$1,MATCH(AC409-1,MANOR_LEVEL!$A:$A,0)-1,0),0)</f>
        <v>1170750</v>
      </c>
      <c r="AC409" s="55">
        <v>10</v>
      </c>
      <c r="AE409" s="55">
        <f t="shared" ca="1" si="102"/>
        <v>11920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11920</v>
      </c>
      <c r="AG409" s="176">
        <f t="shared" ca="1" si="113"/>
        <v>14585</v>
      </c>
      <c r="AI409" s="11">
        <f t="shared" ref="AI409:AI472" si="114">ROUND(AJ409,0)</f>
        <v>15</v>
      </c>
      <c r="AJ409" s="10">
        <v>15</v>
      </c>
      <c r="AK409" s="11">
        <f t="shared" si="110"/>
        <v>40</v>
      </c>
      <c r="AL409" s="10">
        <v>40</v>
      </c>
      <c r="AM409" s="11">
        <f t="shared" si="112"/>
        <v>0</v>
      </c>
      <c r="AN409" s="10">
        <v>0</v>
      </c>
      <c r="AO409" s="55">
        <f t="shared" si="105"/>
        <v>2</v>
      </c>
      <c r="AQ409" s="11">
        <f ca="1">IFERROR(OFFSET(ITEM_RES!$A$1,MATCH(AR409,ITEM_RES!$J:$J,0)-1,0),0)</f>
        <v>211020801</v>
      </c>
      <c r="AR409" s="10" t="s">
        <v>1447</v>
      </c>
      <c r="AS409" s="11">
        <v>1080</v>
      </c>
      <c r="AV409" s="11">
        <f ca="1">IFERROR(OFFSET(ITEM_RES!$A$1,MATCH(AW409,ITEM_RES!$J:$J,0)-1,0),0)</f>
        <v>211020401</v>
      </c>
      <c r="AW409" s="10" t="s">
        <v>427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07"/>
        <v>112070006</v>
      </c>
      <c r="B410" s="13">
        <v>11</v>
      </c>
      <c r="C410" s="12">
        <f t="shared" si="108"/>
        <v>2</v>
      </c>
      <c r="D410" s="13">
        <v>7</v>
      </c>
      <c r="E410" s="13">
        <v>0</v>
      </c>
      <c r="F410" s="12">
        <f t="shared" si="109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1132</v>
      </c>
      <c r="P410" s="55" t="s">
        <v>1391</v>
      </c>
      <c r="Q410" s="9" t="s">
        <v>684</v>
      </c>
      <c r="S410" s="81" t="s">
        <v>533</v>
      </c>
      <c r="T410" s="9">
        <f ca="1">IFERROR(OFFSET(ITEM_RES!$A$5,MATCH(BUILDING!S410,ITEM_RES!$J$5:$J$229,0)-1,0),0)</f>
        <v>211020201</v>
      </c>
      <c r="U410" s="11">
        <v>1</v>
      </c>
      <c r="V410" s="81" t="s">
        <v>535</v>
      </c>
      <c r="W410" s="11">
        <f ca="1">IFERROR(OFFSET(ITEM_RES!$A$5,MATCH(BUILDING!V410,ITEM_RES!$J$5:$J$229,0)-1,0),0)</f>
        <v>211020301</v>
      </c>
      <c r="Y410" s="9" t="s">
        <v>513</v>
      </c>
      <c r="Z410" s="9">
        <v>6</v>
      </c>
      <c r="AB410" s="11">
        <f ca="1">IFERROR(OFFSET(MANOR_LEVEL!$B$1,MATCH(AC410-1,MANOR_LEVEL!$A:$A,0)-1,0),0)</f>
        <v>1170750</v>
      </c>
      <c r="AC410" s="55">
        <v>10</v>
      </c>
      <c r="AE410" s="55">
        <f t="shared" ref="AE410:AE473" ca="1" si="115">ROUND(AF410,0)</f>
        <v>39650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39650</v>
      </c>
      <c r="AG410" s="176">
        <f t="shared" ca="1" si="113"/>
        <v>51570</v>
      </c>
      <c r="AI410" s="11">
        <f t="shared" si="114"/>
        <v>30</v>
      </c>
      <c r="AJ410" s="10">
        <v>30</v>
      </c>
      <c r="AK410" s="11">
        <f t="shared" si="110"/>
        <v>50</v>
      </c>
      <c r="AL410" s="10">
        <v>50</v>
      </c>
      <c r="AM410" s="11">
        <f t="shared" si="112"/>
        <v>0</v>
      </c>
      <c r="AN410" s="10">
        <v>0</v>
      </c>
      <c r="AO410" s="55">
        <f t="shared" ref="AO410:AO473" si="116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1447</v>
      </c>
      <c r="AS410" s="11">
        <v>3600</v>
      </c>
      <c r="AV410" s="11">
        <f ca="1">IFERROR(OFFSET(ITEM_RES!$A$1,MATCH(AW410,ITEM_RES!$J:$J,0)-1,0),0)</f>
        <v>211020401</v>
      </c>
      <c r="AW410" s="10" t="s">
        <v>427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07"/>
        <v>112070007</v>
      </c>
      <c r="B411" s="13">
        <v>11</v>
      </c>
      <c r="C411" s="12">
        <f t="shared" si="108"/>
        <v>2</v>
      </c>
      <c r="D411" s="13">
        <v>7</v>
      </c>
      <c r="E411" s="13">
        <v>0</v>
      </c>
      <c r="F411" s="12">
        <f t="shared" si="109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1133</v>
      </c>
      <c r="P411" s="55" t="s">
        <v>1392</v>
      </c>
      <c r="Q411" s="9" t="s">
        <v>684</v>
      </c>
      <c r="S411" s="81" t="s">
        <v>533</v>
      </c>
      <c r="T411" s="9">
        <f ca="1">IFERROR(OFFSET(ITEM_RES!$A$5,MATCH(BUILDING!S411,ITEM_RES!$J$5:$J$229,0)-1,0),0)</f>
        <v>211020201</v>
      </c>
      <c r="U411" s="11">
        <v>1</v>
      </c>
      <c r="V411" s="81" t="s">
        <v>535</v>
      </c>
      <c r="W411" s="11">
        <f ca="1">IFERROR(OFFSET(ITEM_RES!$A$5,MATCH(BUILDING!V411,ITEM_RES!$J$5:$J$229,0)-1,0),0)</f>
        <v>211020301</v>
      </c>
      <c r="Y411" s="9" t="s">
        <v>513</v>
      </c>
      <c r="Z411" s="9">
        <v>7</v>
      </c>
      <c r="AB411" s="11">
        <f ca="1">IFERROR(OFFSET(MANOR_LEVEL!$B$1,MATCH(AC411-1,MANOR_LEVEL!$A:$A,0)-1,0),0)</f>
        <v>1956000</v>
      </c>
      <c r="AC411" s="55">
        <v>11</v>
      </c>
      <c r="AE411" s="55">
        <f t="shared" ca="1" si="115"/>
        <v>88100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88100</v>
      </c>
      <c r="AG411" s="176">
        <f t="shared" ca="1" si="113"/>
        <v>127750</v>
      </c>
      <c r="AI411" s="11">
        <f t="shared" si="114"/>
        <v>300</v>
      </c>
      <c r="AJ411" s="10">
        <v>300</v>
      </c>
      <c r="AK411" s="11">
        <f t="shared" si="110"/>
        <v>100</v>
      </c>
      <c r="AL411" s="10">
        <v>100</v>
      </c>
      <c r="AM411" s="11">
        <f t="shared" si="112"/>
        <v>0</v>
      </c>
      <c r="AN411" s="10">
        <v>0</v>
      </c>
      <c r="AO411" s="55">
        <f t="shared" si="116"/>
        <v>2</v>
      </c>
      <c r="AQ411" s="11">
        <f ca="1">IFERROR(OFFSET(ITEM_RES!$A$1,MATCH(AR411,ITEM_RES!$J:$J,0)-1,0),0)</f>
        <v>211020801</v>
      </c>
      <c r="AR411" s="10" t="s">
        <v>1447</v>
      </c>
      <c r="AS411" s="11">
        <v>8000</v>
      </c>
      <c r="AV411" s="11">
        <f ca="1">IFERROR(OFFSET(ITEM_RES!$A$1,MATCH(AW411,ITEM_RES!$J:$J,0)-1,0),0)</f>
        <v>211020401</v>
      </c>
      <c r="AW411" s="10" t="s">
        <v>427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07"/>
        <v>112070008</v>
      </c>
      <c r="B412" s="13">
        <v>11</v>
      </c>
      <c r="C412" s="12">
        <f t="shared" si="108"/>
        <v>2</v>
      </c>
      <c r="D412" s="13">
        <v>7</v>
      </c>
      <c r="E412" s="13">
        <v>0</v>
      </c>
      <c r="F412" s="12">
        <f t="shared" si="109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1133</v>
      </c>
      <c r="P412" s="55" t="s">
        <v>1392</v>
      </c>
      <c r="Q412" s="9" t="s">
        <v>684</v>
      </c>
      <c r="S412" s="81" t="s">
        <v>533</v>
      </c>
      <c r="T412" s="9">
        <f ca="1">IFERROR(OFFSET(ITEM_RES!$A$5,MATCH(BUILDING!S412,ITEM_RES!$J$5:$J$229,0)-1,0),0)</f>
        <v>211020201</v>
      </c>
      <c r="U412" s="11">
        <v>1</v>
      </c>
      <c r="V412" s="81" t="s">
        <v>535</v>
      </c>
      <c r="W412" s="11">
        <f ca="1">IFERROR(OFFSET(ITEM_RES!$A$5,MATCH(BUILDING!V412,ITEM_RES!$J$5:$J$229,0)-1,0),0)</f>
        <v>211020301</v>
      </c>
      <c r="Y412" s="9" t="s">
        <v>513</v>
      </c>
      <c r="Z412" s="9">
        <v>8</v>
      </c>
      <c r="AB412" s="11">
        <f ca="1">IFERROR(OFFSET(MANOR_LEVEL!$B$1,MATCH(AC412-1,MANOR_LEVEL!$A:$A,0)-1,0),0)</f>
        <v>3961500</v>
      </c>
      <c r="AC412" s="55">
        <v>12</v>
      </c>
      <c r="AE412" s="55">
        <f t="shared" ca="1" si="115"/>
        <v>185400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185400</v>
      </c>
      <c r="AG412" s="176">
        <f t="shared" ca="1" si="113"/>
        <v>273500</v>
      </c>
      <c r="AI412" s="11">
        <f t="shared" si="114"/>
        <v>600</v>
      </c>
      <c r="AJ412" s="10">
        <v>600</v>
      </c>
      <c r="AK412" s="11">
        <f t="shared" si="110"/>
        <v>100</v>
      </c>
      <c r="AL412" s="10">
        <v>100</v>
      </c>
      <c r="AM412" s="11">
        <v>500</v>
      </c>
      <c r="AN412" s="10">
        <v>0</v>
      </c>
      <c r="AO412" s="55">
        <f t="shared" si="116"/>
        <v>2</v>
      </c>
      <c r="AQ412" s="11">
        <f ca="1">IFERROR(OFFSET(ITEM_RES!$A$1,MATCH(AR412,ITEM_RES!$J:$J,0)-1,0),0)</f>
        <v>211020801</v>
      </c>
      <c r="AR412" s="10" t="s">
        <v>1447</v>
      </c>
      <c r="AS412" s="11">
        <v>16800</v>
      </c>
      <c r="AV412" s="11">
        <f ca="1">IFERROR(OFFSET(ITEM_RES!$A$1,MATCH(AW412,ITEM_RES!$J:$J,0)-1,0),0)</f>
        <v>211020401</v>
      </c>
      <c r="AW412" s="10" t="s">
        <v>427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07"/>
        <v>112070009</v>
      </c>
      <c r="B413" s="13">
        <v>11</v>
      </c>
      <c r="C413" s="12">
        <f t="shared" si="108"/>
        <v>2</v>
      </c>
      <c r="D413" s="13">
        <v>7</v>
      </c>
      <c r="E413" s="13">
        <v>0</v>
      </c>
      <c r="F413" s="12">
        <f t="shared" si="109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1440</v>
      </c>
      <c r="P413" s="55" t="s">
        <v>1442</v>
      </c>
      <c r="Q413" s="9" t="s">
        <v>684</v>
      </c>
      <c r="S413" s="81" t="s">
        <v>533</v>
      </c>
      <c r="T413" s="9">
        <f ca="1">IFERROR(OFFSET(ITEM_RES!$A$5,MATCH(BUILDING!S413,ITEM_RES!$J$5:$J$229,0)-1,0),0)</f>
        <v>211020201</v>
      </c>
      <c r="U413" s="11">
        <v>1</v>
      </c>
      <c r="V413" s="81" t="s">
        <v>535</v>
      </c>
      <c r="W413" s="11">
        <f ca="1">IFERROR(OFFSET(ITEM_RES!$A$5,MATCH(BUILDING!V413,ITEM_RES!$J$5:$J$229,0)-1,0),0)</f>
        <v>211020301</v>
      </c>
      <c r="Y413" s="9" t="s">
        <v>513</v>
      </c>
      <c r="Z413" s="9">
        <v>9</v>
      </c>
      <c r="AB413" s="11">
        <f ca="1">IFERROR(OFFSET(MANOR_LEVEL!$B$1,MATCH(AC413-1,MANOR_LEVEL!$A:$A,0)-1,0),0)</f>
        <v>7772100</v>
      </c>
      <c r="AC413" s="55">
        <v>13</v>
      </c>
      <c r="AE413" s="55">
        <f t="shared" ca="1" si="115"/>
        <v>349350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349350</v>
      </c>
      <c r="AG413" s="176">
        <f t="shared" ca="1" si="113"/>
        <v>534750</v>
      </c>
      <c r="AI413" s="11">
        <f t="shared" si="114"/>
        <v>900</v>
      </c>
      <c r="AJ413" s="10">
        <v>900</v>
      </c>
      <c r="AK413" s="11">
        <f t="shared" si="110"/>
        <v>150</v>
      </c>
      <c r="AL413" s="10">
        <v>150</v>
      </c>
      <c r="AM413" s="11">
        <v>6000</v>
      </c>
      <c r="AN413" s="10">
        <v>0</v>
      </c>
      <c r="AO413" s="55">
        <f t="shared" si="116"/>
        <v>2</v>
      </c>
      <c r="AQ413" s="11">
        <f ca="1">IFERROR(OFFSET(ITEM_RES!$A$1,MATCH(AR413,ITEM_RES!$J:$J,0)-1,0),0)</f>
        <v>211020801</v>
      </c>
      <c r="AR413" s="10" t="s">
        <v>1447</v>
      </c>
      <c r="AS413" s="11">
        <v>31200</v>
      </c>
      <c r="AV413" s="11">
        <f ca="1">IFERROR(OFFSET(ITEM_RES!$A$1,MATCH(AW413,ITEM_RES!$J:$J,0)-1,0),0)</f>
        <v>211020401</v>
      </c>
      <c r="AW413" s="10" t="s">
        <v>427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07"/>
        <v>112070010</v>
      </c>
      <c r="B414" s="13">
        <v>11</v>
      </c>
      <c r="C414" s="12">
        <f t="shared" si="108"/>
        <v>2</v>
      </c>
      <c r="D414" s="13">
        <v>7</v>
      </c>
      <c r="E414" s="13">
        <v>0</v>
      </c>
      <c r="F414" s="12">
        <f t="shared" si="109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1440</v>
      </c>
      <c r="P414" s="55" t="s">
        <v>1442</v>
      </c>
      <c r="Q414" s="9" t="s">
        <v>684</v>
      </c>
      <c r="S414" s="81" t="s">
        <v>533</v>
      </c>
      <c r="T414" s="9">
        <f ca="1">IFERROR(OFFSET(ITEM_RES!$A$5,MATCH(BUILDING!S414,ITEM_RES!$J$5:$J$229,0)-1,0),0)</f>
        <v>211020201</v>
      </c>
      <c r="U414" s="11">
        <v>1</v>
      </c>
      <c r="V414" s="81" t="s">
        <v>535</v>
      </c>
      <c r="W414" s="11">
        <f ca="1">IFERROR(OFFSET(ITEM_RES!$A$5,MATCH(BUILDING!V414,ITEM_RES!$J$5:$J$229,0)-1,0),0)</f>
        <v>211020301</v>
      </c>
      <c r="Y414" s="9" t="s">
        <v>513</v>
      </c>
      <c r="Z414" s="9">
        <v>10</v>
      </c>
      <c r="AB414" s="11">
        <f ca="1">IFERROR(OFFSET(MANOR_LEVEL!$B$1,MATCH(AC414-1,MANOR_LEVEL!$A:$A,0)-1,0),0)</f>
        <v>7772100</v>
      </c>
      <c r="AC414" s="55">
        <v>13</v>
      </c>
      <c r="AE414" s="55">
        <f t="shared" ca="1" si="115"/>
        <v>611200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611200</v>
      </c>
      <c r="AG414" s="176">
        <f t="shared" ca="1" si="113"/>
        <v>960550</v>
      </c>
      <c r="AI414" s="11">
        <f t="shared" si="114"/>
        <v>1200</v>
      </c>
      <c r="AJ414" s="10">
        <v>1200</v>
      </c>
      <c r="AK414" s="11">
        <f t="shared" si="110"/>
        <v>200</v>
      </c>
      <c r="AL414" s="10">
        <v>200</v>
      </c>
      <c r="AM414" s="11">
        <v>39000</v>
      </c>
      <c r="AN414" s="10">
        <v>0</v>
      </c>
      <c r="AO414" s="55">
        <f t="shared" si="116"/>
        <v>2</v>
      </c>
      <c r="AQ414" s="11">
        <f ca="1">IFERROR(OFFSET(ITEM_RES!$A$1,MATCH(AR414,ITEM_RES!$J:$J,0)-1,0),0)</f>
        <v>211020801</v>
      </c>
      <c r="AR414" s="10" t="s">
        <v>1447</v>
      </c>
      <c r="AS414" s="11">
        <v>52000</v>
      </c>
      <c r="AV414" s="11">
        <f ca="1">IFERROR(OFFSET(ITEM_RES!$A$1,MATCH(AW414,ITEM_RES!$J:$J,0)-1,0),0)</f>
        <v>211020401</v>
      </c>
      <c r="AW414" s="10" t="s">
        <v>427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07"/>
        <v>112070011</v>
      </c>
      <c r="B415" s="13">
        <v>11</v>
      </c>
      <c r="C415" s="12">
        <f t="shared" si="108"/>
        <v>2</v>
      </c>
      <c r="D415" s="13">
        <v>7</v>
      </c>
      <c r="E415" s="13">
        <v>0</v>
      </c>
      <c r="F415" s="12">
        <f t="shared" si="109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1439</v>
      </c>
      <c r="P415" s="55" t="s">
        <v>1441</v>
      </c>
      <c r="Q415" s="9" t="s">
        <v>684</v>
      </c>
      <c r="S415" s="81" t="s">
        <v>533</v>
      </c>
      <c r="T415" s="9">
        <f ca="1">IFERROR(OFFSET(ITEM_RES!$A$5,MATCH(BUILDING!S415,ITEM_RES!$J$5:$J$229,0)-1,0),0)</f>
        <v>211020201</v>
      </c>
      <c r="U415" s="11">
        <v>1</v>
      </c>
      <c r="V415" s="81" t="s">
        <v>535</v>
      </c>
      <c r="W415" s="11">
        <f ca="1">IFERROR(OFFSET(ITEM_RES!$A$5,MATCH(BUILDING!V415,ITEM_RES!$J$5:$J$229,0)-1,0),0)</f>
        <v>211020301</v>
      </c>
      <c r="Y415" s="9" t="s">
        <v>513</v>
      </c>
      <c r="Z415" s="9">
        <v>11</v>
      </c>
      <c r="AB415" s="11">
        <f ca="1">IFERROR(OFFSET(MANOR_LEVEL!$B$1,MATCH(AC415-1,MANOR_LEVEL!$A:$A,0)-1,0),0)</f>
        <v>13022450</v>
      </c>
      <c r="AC415" s="55">
        <v>14</v>
      </c>
      <c r="AE415" s="55">
        <f t="shared" ca="1" si="115"/>
        <v>1036250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1036250</v>
      </c>
      <c r="AG415" s="176">
        <f t="shared" ca="1" si="113"/>
        <v>1647450</v>
      </c>
      <c r="AI415" s="11">
        <f t="shared" si="114"/>
        <v>1500</v>
      </c>
      <c r="AJ415" s="10">
        <v>1500</v>
      </c>
      <c r="AK415" s="11">
        <f t="shared" si="110"/>
        <v>250</v>
      </c>
      <c r="AL415" s="10">
        <v>250</v>
      </c>
      <c r="AM415" s="11">
        <v>65000</v>
      </c>
      <c r="AN415" s="10">
        <v>0</v>
      </c>
      <c r="AO415" s="55">
        <f t="shared" si="116"/>
        <v>3</v>
      </c>
      <c r="AQ415" s="11">
        <f ca="1">IFERROR(OFFSET(ITEM_RES!$A$1,MATCH(AR415,ITEM_RES!$J:$J,0)-1,0),0)</f>
        <v>211020801</v>
      </c>
      <c r="AR415" s="10" t="s">
        <v>1447</v>
      </c>
      <c r="AS415" s="11">
        <v>88000</v>
      </c>
      <c r="AV415" s="11">
        <f ca="1">IFERROR(OFFSET(ITEM_RES!$A$1,MATCH(AW415,ITEM_RES!$J:$J,0)-1,0),0)</f>
        <v>211020401</v>
      </c>
      <c r="AW415" s="10" t="s">
        <v>427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456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07"/>
        <v>112070012</v>
      </c>
      <c r="B416" s="13">
        <v>11</v>
      </c>
      <c r="C416" s="12">
        <f t="shared" si="108"/>
        <v>2</v>
      </c>
      <c r="D416" s="13">
        <v>7</v>
      </c>
      <c r="E416" s="13">
        <v>0</v>
      </c>
      <c r="F416" s="12">
        <f t="shared" si="109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1439</v>
      </c>
      <c r="P416" s="55" t="s">
        <v>1441</v>
      </c>
      <c r="Q416" s="9" t="s">
        <v>684</v>
      </c>
      <c r="S416" s="81" t="s">
        <v>533</v>
      </c>
      <c r="T416" s="9">
        <f ca="1">IFERROR(OFFSET(ITEM_RES!$A$5,MATCH(BUILDING!S416,ITEM_RES!$J$5:$J$229,0)-1,0),0)</f>
        <v>211020201</v>
      </c>
      <c r="U416" s="11">
        <v>1</v>
      </c>
      <c r="V416" s="81" t="s">
        <v>535</v>
      </c>
      <c r="W416" s="11">
        <f ca="1">IFERROR(OFFSET(ITEM_RES!$A$5,MATCH(BUILDING!V416,ITEM_RES!$J$5:$J$229,0)-1,0),0)</f>
        <v>211020301</v>
      </c>
      <c r="Y416" s="9" t="s">
        <v>513</v>
      </c>
      <c r="Z416" s="9">
        <v>12</v>
      </c>
      <c r="AB416" s="11">
        <f ca="1">IFERROR(OFFSET(MANOR_LEVEL!$B$1,MATCH(AC416-1,MANOR_LEVEL!$A:$A,0)-1,0),0)</f>
        <v>23283600</v>
      </c>
      <c r="AC416" s="55">
        <v>15</v>
      </c>
      <c r="AE416" s="55">
        <f t="shared" ca="1" si="115"/>
        <v>1738300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1738300</v>
      </c>
      <c r="AG416" s="176">
        <f t="shared" ca="1" si="113"/>
        <v>2774550</v>
      </c>
      <c r="AI416" s="11">
        <f t="shared" si="114"/>
        <v>1800</v>
      </c>
      <c r="AJ416" s="10">
        <v>1800</v>
      </c>
      <c r="AK416" s="11">
        <f t="shared" si="110"/>
        <v>300</v>
      </c>
      <c r="AL416" s="10">
        <v>300</v>
      </c>
      <c r="AM416" s="11">
        <v>110000</v>
      </c>
      <c r="AN416" s="10">
        <v>0</v>
      </c>
      <c r="AO416" s="55">
        <f t="shared" si="116"/>
        <v>2</v>
      </c>
      <c r="AQ416" s="11">
        <f ca="1">IFERROR(OFFSET(ITEM_RES!$A$1,MATCH(AR416,ITEM_RES!$J:$J,0)-1,0),0)</f>
        <v>211020801</v>
      </c>
      <c r="AR416" s="10" t="s">
        <v>1447</v>
      </c>
      <c r="AS416" s="11">
        <v>148000</v>
      </c>
      <c r="AV416" s="11">
        <f ca="1">IFERROR(OFFSET(ITEM_RES!$A$1,MATCH(AW416,ITEM_RES!$J:$J,0)-1,0),0)</f>
        <v>211020401</v>
      </c>
      <c r="AW416" s="10" t="s">
        <v>427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07"/>
        <v>112070013</v>
      </c>
      <c r="B417" s="13">
        <v>11</v>
      </c>
      <c r="C417" s="12">
        <f t="shared" si="108"/>
        <v>2</v>
      </c>
      <c r="D417" s="13">
        <v>7</v>
      </c>
      <c r="E417" s="13">
        <v>0</v>
      </c>
      <c r="F417" s="12">
        <f t="shared" si="109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1439</v>
      </c>
      <c r="P417" s="55" t="s">
        <v>1441</v>
      </c>
      <c r="Q417" s="9" t="s">
        <v>684</v>
      </c>
      <c r="S417" s="81" t="s">
        <v>533</v>
      </c>
      <c r="T417" s="9">
        <f ca="1">IFERROR(OFFSET(ITEM_RES!$A$5,MATCH(BUILDING!S417,ITEM_RES!$J$5:$J$229,0)-1,0),0)</f>
        <v>211020201</v>
      </c>
      <c r="U417" s="11">
        <v>1</v>
      </c>
      <c r="V417" s="81" t="s">
        <v>535</v>
      </c>
      <c r="W417" s="11">
        <f ca="1">IFERROR(OFFSET(ITEM_RES!$A$5,MATCH(BUILDING!V417,ITEM_RES!$J$5:$J$229,0)-1,0),0)</f>
        <v>211020301</v>
      </c>
      <c r="Y417" s="9" t="s">
        <v>513</v>
      </c>
      <c r="Z417" s="9">
        <v>13</v>
      </c>
      <c r="AB417" s="11">
        <f ca="1">IFERROR(OFFSET(MANOR_LEVEL!$B$1,MATCH(AC417-1,MANOR_LEVEL!$A:$A,0)-1,0),0)</f>
        <v>50404400</v>
      </c>
      <c r="AC417" s="55">
        <v>16</v>
      </c>
      <c r="AE417" s="55">
        <f t="shared" ca="1" si="115"/>
        <v>2913350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2913350</v>
      </c>
      <c r="AG417" s="176">
        <f t="shared" ca="1" si="113"/>
        <v>4651650</v>
      </c>
      <c r="AI417" s="11">
        <f t="shared" si="114"/>
        <v>2100</v>
      </c>
      <c r="AJ417" s="10">
        <v>2100</v>
      </c>
      <c r="AK417" s="11">
        <f t="shared" si="110"/>
        <v>350</v>
      </c>
      <c r="AL417" s="10">
        <v>350</v>
      </c>
      <c r="AM417" s="11">
        <v>185000</v>
      </c>
      <c r="AN417" s="10">
        <v>0</v>
      </c>
      <c r="AO417" s="55">
        <f t="shared" si="116"/>
        <v>2</v>
      </c>
      <c r="AQ417" s="11">
        <f ca="1">IFERROR(OFFSET(ITEM_RES!$A$1,MATCH(AR417,ITEM_RES!$J:$J,0)-1,0),0)</f>
        <v>211020801</v>
      </c>
      <c r="AR417" s="10" t="s">
        <v>1447</v>
      </c>
      <c r="AS417" s="11">
        <v>248000</v>
      </c>
      <c r="AV417" s="11">
        <f ca="1">IFERROR(OFFSET(ITEM_RES!$A$1,MATCH(AW417,ITEM_RES!$J:$J,0)-1,0),0)</f>
        <v>211020401</v>
      </c>
      <c r="AW417" s="10" t="s">
        <v>427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07"/>
        <v>112070014</v>
      </c>
      <c r="B418" s="13">
        <v>11</v>
      </c>
      <c r="C418" s="12">
        <f t="shared" si="108"/>
        <v>2</v>
      </c>
      <c r="D418" s="13">
        <v>7</v>
      </c>
      <c r="E418" s="13">
        <v>0</v>
      </c>
      <c r="F418" s="12">
        <f t="shared" si="109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1439</v>
      </c>
      <c r="P418" s="55" t="s">
        <v>1441</v>
      </c>
      <c r="Q418" s="9" t="s">
        <v>684</v>
      </c>
      <c r="S418" s="81" t="s">
        <v>533</v>
      </c>
      <c r="T418" s="9">
        <f ca="1">IFERROR(OFFSET(ITEM_RES!$A$5,MATCH(BUILDING!S418,ITEM_RES!$J$5:$J$229,0)-1,0),0)</f>
        <v>211020201</v>
      </c>
      <c r="U418" s="11">
        <v>1</v>
      </c>
      <c r="V418" s="81" t="s">
        <v>535</v>
      </c>
      <c r="W418" s="11">
        <f ca="1">IFERROR(OFFSET(ITEM_RES!$A$5,MATCH(BUILDING!V418,ITEM_RES!$J$5:$J$229,0)-1,0),0)</f>
        <v>211020301</v>
      </c>
      <c r="Y418" s="9" t="s">
        <v>513</v>
      </c>
      <c r="Z418" s="9">
        <v>14</v>
      </c>
      <c r="AB418" s="11">
        <f ca="1">IFERROR(OFFSET(MANOR_LEVEL!$B$1,MATCH(AC418-1,MANOR_LEVEL!$A:$A,0)-1,0),0)</f>
        <v>119976300</v>
      </c>
      <c r="AC418" s="55">
        <v>17</v>
      </c>
      <c r="AE418" s="55">
        <f t="shared" ca="1" si="115"/>
        <v>5354450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5354450</v>
      </c>
      <c r="AG418" s="176">
        <f t="shared" ca="1" si="113"/>
        <v>8267800</v>
      </c>
      <c r="AI418" s="11">
        <f t="shared" si="114"/>
        <v>2400</v>
      </c>
      <c r="AJ418" s="10">
        <v>2400</v>
      </c>
      <c r="AK418" s="11">
        <f t="shared" si="110"/>
        <v>450</v>
      </c>
      <c r="AL418" s="10">
        <v>450</v>
      </c>
      <c r="AM418" s="11">
        <v>310000</v>
      </c>
      <c r="AN418" s="10">
        <v>0</v>
      </c>
      <c r="AO418" s="55">
        <f t="shared" si="116"/>
        <v>2</v>
      </c>
      <c r="AQ418" s="11">
        <f ca="1">IFERROR(OFFSET(ITEM_RES!$A$1,MATCH(AR418,ITEM_RES!$J:$J,0)-1,0),0)</f>
        <v>211020901</v>
      </c>
      <c r="AR418" s="10" t="s">
        <v>1448</v>
      </c>
      <c r="AS418" s="11">
        <v>388000</v>
      </c>
      <c r="AV418" s="11">
        <f ca="1">IFERROR(OFFSET(ITEM_RES!$A$1,MATCH(AW418,ITEM_RES!$J:$J,0)-1,0),0)</f>
        <v>211020401</v>
      </c>
      <c r="AW418" s="10" t="s">
        <v>427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07"/>
        <v>112070015</v>
      </c>
      <c r="B419" s="13">
        <v>11</v>
      </c>
      <c r="C419" s="12">
        <f t="shared" si="108"/>
        <v>2</v>
      </c>
      <c r="D419" s="13">
        <v>7</v>
      </c>
      <c r="E419" s="13">
        <v>0</v>
      </c>
      <c r="F419" s="12">
        <f t="shared" si="109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1439</v>
      </c>
      <c r="P419" s="55" t="s">
        <v>1441</v>
      </c>
      <c r="Q419" s="9" t="s">
        <v>684</v>
      </c>
      <c r="S419" s="81" t="s">
        <v>533</v>
      </c>
      <c r="T419" s="9">
        <f ca="1">IFERROR(OFFSET(ITEM_RES!$A$5,MATCH(BUILDING!S419,ITEM_RES!$J$5:$J$229,0)-1,0),0)</f>
        <v>211020201</v>
      </c>
      <c r="U419" s="11">
        <v>1</v>
      </c>
      <c r="V419" s="81" t="s">
        <v>535</v>
      </c>
      <c r="W419" s="11">
        <f ca="1">IFERROR(OFFSET(ITEM_RES!$A$5,MATCH(BUILDING!V419,ITEM_RES!$J$5:$J$229,0)-1,0),0)</f>
        <v>211020301</v>
      </c>
      <c r="Y419" s="9" t="s">
        <v>513</v>
      </c>
      <c r="Z419" s="9">
        <v>15</v>
      </c>
      <c r="AB419" s="11">
        <f ca="1">IFERROR(OFFSET(MANOR_LEVEL!$B$1,MATCH(AC419-1,MANOR_LEVEL!$A:$A,0)-1,0),0)</f>
        <v>223207650</v>
      </c>
      <c r="AC419" s="55">
        <v>18</v>
      </c>
      <c r="AE419" s="55">
        <f t="shared" ca="1" si="115"/>
        <v>11909550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11909550</v>
      </c>
      <c r="AG419" s="176">
        <f t="shared" ca="1" si="113"/>
        <v>17264000</v>
      </c>
      <c r="AI419" s="11">
        <f t="shared" si="114"/>
        <v>2700</v>
      </c>
      <c r="AJ419" s="10">
        <v>2700</v>
      </c>
      <c r="AK419" s="11">
        <f t="shared" si="110"/>
        <v>550</v>
      </c>
      <c r="AL419" s="10">
        <v>550</v>
      </c>
      <c r="AM419" s="11">
        <v>485000</v>
      </c>
      <c r="AN419" s="10">
        <v>0</v>
      </c>
      <c r="AO419" s="55">
        <f t="shared" si="116"/>
        <v>2</v>
      </c>
      <c r="AQ419" s="11">
        <f ca="1">IFERROR(OFFSET(ITEM_RES!$A$1,MATCH(AR419,ITEM_RES!$J:$J,0)-1,0),0)</f>
        <v>211020901</v>
      </c>
      <c r="AR419" s="10" t="s">
        <v>1448</v>
      </c>
      <c r="AS419" s="11">
        <v>840000</v>
      </c>
      <c r="AV419" s="11">
        <f ca="1">IFERROR(OFFSET(ITEM_RES!$A$1,MATCH(AW419,ITEM_RES!$J:$J,0)-1,0),0)</f>
        <v>211020501</v>
      </c>
      <c r="AW419" s="10" t="s">
        <v>418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07"/>
        <v>112070016</v>
      </c>
      <c r="B420" s="13">
        <v>11</v>
      </c>
      <c r="C420" s="12">
        <f t="shared" si="108"/>
        <v>2</v>
      </c>
      <c r="D420" s="13">
        <v>7</v>
      </c>
      <c r="E420" s="13">
        <v>0</v>
      </c>
      <c r="F420" s="12">
        <f t="shared" si="109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1439</v>
      </c>
      <c r="P420" s="55" t="s">
        <v>1441</v>
      </c>
      <c r="Q420" s="9" t="s">
        <v>684</v>
      </c>
      <c r="S420" s="81" t="s">
        <v>533</v>
      </c>
      <c r="T420" s="9">
        <f ca="1">IFERROR(OFFSET(ITEM_RES!$A$5,MATCH(BUILDING!S420,ITEM_RES!$J$5:$J$229,0)-1,0),0)</f>
        <v>211020201</v>
      </c>
      <c r="U420" s="11">
        <v>1</v>
      </c>
      <c r="V420" s="81" t="s">
        <v>535</v>
      </c>
      <c r="W420" s="11">
        <f ca="1">IFERROR(OFFSET(ITEM_RES!$A$5,MATCH(BUILDING!V420,ITEM_RES!$J$5:$J$229,0)-1,0),0)</f>
        <v>211020301</v>
      </c>
      <c r="Y420" s="9" t="s">
        <v>513</v>
      </c>
      <c r="Z420" s="9">
        <v>16</v>
      </c>
      <c r="AB420" s="11">
        <f ca="1">IFERROR(OFFSET(MANOR_LEVEL!$B$1,MATCH(AC420-1,MANOR_LEVEL!$A:$A,0)-1,0),0)</f>
        <v>223207650</v>
      </c>
      <c r="AC420" s="55">
        <v>18</v>
      </c>
      <c r="AE420" s="55">
        <f t="shared" ca="1" si="115"/>
        <v>24442700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24442700</v>
      </c>
      <c r="AG420" s="176">
        <f t="shared" ca="1" si="113"/>
        <v>36352250</v>
      </c>
      <c r="AI420" s="11">
        <f t="shared" si="114"/>
        <v>3000</v>
      </c>
      <c r="AJ420" s="10">
        <v>3000</v>
      </c>
      <c r="AK420" s="11">
        <f t="shared" si="110"/>
        <v>700</v>
      </c>
      <c r="AL420" s="10">
        <v>700</v>
      </c>
      <c r="AM420" s="11">
        <v>1050000</v>
      </c>
      <c r="AN420" s="10">
        <v>0</v>
      </c>
      <c r="AO420" s="55">
        <f t="shared" si="116"/>
        <v>2</v>
      </c>
      <c r="AQ420" s="11">
        <f ca="1">IFERROR(OFFSET(ITEM_RES!$A$1,MATCH(AR420,ITEM_RES!$J:$J,0)-1,0),0)</f>
        <v>211020901</v>
      </c>
      <c r="AR420" s="10" t="s">
        <v>1448</v>
      </c>
      <c r="AS420" s="11">
        <v>1720000</v>
      </c>
      <c r="AV420" s="11">
        <f ca="1">IFERROR(OFFSET(ITEM_RES!$A$1,MATCH(AW420,ITEM_RES!$J:$J,0)-1,0),0)</f>
        <v>211020501</v>
      </c>
      <c r="AW420" s="10" t="s">
        <v>418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07"/>
        <v>112070017</v>
      </c>
      <c r="B421" s="13">
        <v>11</v>
      </c>
      <c r="C421" s="12">
        <f t="shared" si="108"/>
        <v>2</v>
      </c>
      <c r="D421" s="13">
        <v>7</v>
      </c>
      <c r="E421" s="13">
        <v>0</v>
      </c>
      <c r="F421" s="12">
        <f t="shared" si="109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1439</v>
      </c>
      <c r="P421" s="55" t="s">
        <v>1441</v>
      </c>
      <c r="Q421" s="9" t="s">
        <v>684</v>
      </c>
      <c r="S421" s="81" t="s">
        <v>533</v>
      </c>
      <c r="T421" s="9">
        <f ca="1">IFERROR(OFFSET(ITEM_RES!$A$5,MATCH(BUILDING!S421,ITEM_RES!$J$5:$J$229,0)-1,0),0)</f>
        <v>211020201</v>
      </c>
      <c r="U421" s="11">
        <v>1</v>
      </c>
      <c r="V421" s="81" t="s">
        <v>535</v>
      </c>
      <c r="W421" s="11">
        <f ca="1">IFERROR(OFFSET(ITEM_RES!$A$5,MATCH(BUILDING!V421,ITEM_RES!$J$5:$J$229,0)-1,0),0)</f>
        <v>211020301</v>
      </c>
      <c r="Y421" s="9" t="s">
        <v>513</v>
      </c>
      <c r="Z421" s="9">
        <v>17</v>
      </c>
      <c r="AB421" s="11">
        <f ca="1">IFERROR(OFFSET(MANOR_LEVEL!$B$1,MATCH(AC421-1,MANOR_LEVEL!$A:$A,0)-1,0),0)</f>
        <v>223207650</v>
      </c>
      <c r="AC421" s="55">
        <v>18</v>
      </c>
      <c r="AE421" s="55">
        <f t="shared" ca="1" si="115"/>
        <v>45670850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45670850</v>
      </c>
      <c r="AG421" s="176">
        <f t="shared" ca="1" si="113"/>
        <v>70113550</v>
      </c>
      <c r="AI421" s="11">
        <f t="shared" si="114"/>
        <v>3300</v>
      </c>
      <c r="AJ421" s="10">
        <v>3300</v>
      </c>
      <c r="AK421" s="11">
        <f t="shared" si="110"/>
        <v>850</v>
      </c>
      <c r="AL421" s="10">
        <v>850</v>
      </c>
      <c r="AM421" s="11">
        <v>2150000</v>
      </c>
      <c r="AN421" s="10">
        <v>0</v>
      </c>
      <c r="AO421" s="55">
        <f t="shared" si="116"/>
        <v>2</v>
      </c>
      <c r="AQ421" s="11">
        <f ca="1">IFERROR(OFFSET(ITEM_RES!$A$1,MATCH(AR421,ITEM_RES!$J:$J,0)-1,0),0)</f>
        <v>211020901</v>
      </c>
      <c r="AR421" s="10" t="s">
        <v>1448</v>
      </c>
      <c r="AS421" s="11">
        <v>3200000</v>
      </c>
      <c r="AV421" s="11">
        <f ca="1">IFERROR(OFFSET(ITEM_RES!$A$1,MATCH(AW421,ITEM_RES!$J:$J,0)-1,0),0)</f>
        <v>211020501</v>
      </c>
      <c r="AW421" s="10" t="s">
        <v>418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07"/>
        <v>112070018</v>
      </c>
      <c r="B422" s="13">
        <v>11</v>
      </c>
      <c r="C422" s="12">
        <f t="shared" si="108"/>
        <v>2</v>
      </c>
      <c r="D422" s="13">
        <v>7</v>
      </c>
      <c r="E422" s="13">
        <v>0</v>
      </c>
      <c r="F422" s="12">
        <f t="shared" si="109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1439</v>
      </c>
      <c r="P422" s="55" t="s">
        <v>1441</v>
      </c>
      <c r="Q422" s="9" t="s">
        <v>684</v>
      </c>
      <c r="S422" s="81" t="s">
        <v>533</v>
      </c>
      <c r="T422" s="9">
        <f ca="1">IFERROR(OFFSET(ITEM_RES!$A$5,MATCH(BUILDING!S422,ITEM_RES!$J$5:$J$229,0)-1,0),0)</f>
        <v>211020201</v>
      </c>
      <c r="U422" s="11">
        <v>1</v>
      </c>
      <c r="V422" s="81" t="s">
        <v>535</v>
      </c>
      <c r="W422" s="11">
        <f ca="1">IFERROR(OFFSET(ITEM_RES!$A$5,MATCH(BUILDING!V422,ITEM_RES!$J$5:$J$229,0)-1,0),0)</f>
        <v>211020301</v>
      </c>
      <c r="Y422" s="9" t="s">
        <v>513</v>
      </c>
      <c r="Z422" s="9">
        <v>18</v>
      </c>
      <c r="AB422" s="11">
        <f ca="1">IFERROR(OFFSET(MANOR_LEVEL!$B$1,MATCH(AC422-1,MANOR_LEVEL!$A:$A,0)-1,0),0)</f>
        <v>223207650</v>
      </c>
      <c r="AC422" s="55">
        <v>18</v>
      </c>
      <c r="AE422" s="55">
        <f t="shared" ca="1" si="115"/>
        <v>74721050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74721050</v>
      </c>
      <c r="AG422" s="176">
        <f t="shared" ca="1" si="113"/>
        <v>120391900</v>
      </c>
      <c r="AI422" s="11">
        <f t="shared" si="114"/>
        <v>3600</v>
      </c>
      <c r="AJ422" s="10">
        <v>3600</v>
      </c>
      <c r="AK422" s="11">
        <f t="shared" si="110"/>
        <v>1050</v>
      </c>
      <c r="AL422" s="10">
        <v>1050</v>
      </c>
      <c r="AM422" s="11">
        <v>4000000</v>
      </c>
      <c r="AN422" s="10">
        <v>0</v>
      </c>
      <c r="AO422" s="55">
        <f t="shared" si="116"/>
        <v>2</v>
      </c>
      <c r="AQ422" s="11">
        <f ca="1">IFERROR(OFFSET(ITEM_RES!$A$1,MATCH(AR422,ITEM_RES!$J:$J,0)-1,0),0)</f>
        <v>211020901</v>
      </c>
      <c r="AR422" s="10" t="s">
        <v>1448</v>
      </c>
      <c r="AS422" s="11">
        <v>5200000</v>
      </c>
      <c r="AV422" s="11">
        <f ca="1">IFERROR(OFFSET(ITEM_RES!$A$1,MATCH(AW422,ITEM_RES!$J:$J,0)-1,0),0)</f>
        <v>211020501</v>
      </c>
      <c r="AW422" s="10" t="s">
        <v>418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07"/>
        <v>112070019</v>
      </c>
      <c r="B423" s="13">
        <v>11</v>
      </c>
      <c r="C423" s="12">
        <f t="shared" si="108"/>
        <v>2</v>
      </c>
      <c r="D423" s="13">
        <v>7</v>
      </c>
      <c r="E423" s="13">
        <v>0</v>
      </c>
      <c r="F423" s="12">
        <f t="shared" si="109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1439</v>
      </c>
      <c r="P423" s="55" t="s">
        <v>1441</v>
      </c>
      <c r="Q423" s="9" t="s">
        <v>684</v>
      </c>
      <c r="S423" s="81" t="s">
        <v>533</v>
      </c>
      <c r="T423" s="9">
        <f ca="1">IFERROR(OFFSET(ITEM_RES!$A$5,MATCH(BUILDING!S423,ITEM_RES!$J$5:$J$229,0)-1,0),0)</f>
        <v>211020201</v>
      </c>
      <c r="U423" s="11">
        <v>1</v>
      </c>
      <c r="V423" s="81" t="s">
        <v>535</v>
      </c>
      <c r="W423" s="11">
        <f ca="1">IFERROR(OFFSET(ITEM_RES!$A$5,MATCH(BUILDING!V423,ITEM_RES!$J$5:$J$229,0)-1,0),0)</f>
        <v>211020301</v>
      </c>
      <c r="Y423" s="9" t="s">
        <v>513</v>
      </c>
      <c r="Z423" s="9">
        <v>19</v>
      </c>
      <c r="AB423" s="11">
        <f ca="1">IFERROR(OFFSET(MANOR_LEVEL!$B$1,MATCH(AC423-1,MANOR_LEVEL!$A:$A,0)-1,0),0)</f>
        <v>223207650</v>
      </c>
      <c r="AC423" s="55">
        <v>18</v>
      </c>
      <c r="AE423" s="55">
        <f t="shared" ca="1" si="115"/>
        <v>115301250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115301250</v>
      </c>
      <c r="AG423" s="176">
        <f t="shared" ca="1" si="113"/>
        <v>190022300</v>
      </c>
      <c r="AI423" s="11">
        <f t="shared" si="114"/>
        <v>3900</v>
      </c>
      <c r="AJ423" s="10">
        <v>3900</v>
      </c>
      <c r="AK423" s="11">
        <f t="shared" si="110"/>
        <v>1250</v>
      </c>
      <c r="AL423" s="10">
        <v>1250</v>
      </c>
      <c r="AM423" s="11">
        <v>6500000</v>
      </c>
      <c r="AN423" s="10">
        <v>0</v>
      </c>
      <c r="AO423" s="55">
        <f t="shared" si="116"/>
        <v>2</v>
      </c>
      <c r="AQ423" s="11">
        <f ca="1">IFERROR(OFFSET(ITEM_RES!$A$1,MATCH(AR423,ITEM_RES!$J:$J,0)-1,0),0)</f>
        <v>211020901</v>
      </c>
      <c r="AR423" s="10" t="s">
        <v>1448</v>
      </c>
      <c r="AS423" s="11">
        <v>8000000</v>
      </c>
      <c r="AV423" s="11">
        <f ca="1">IFERROR(OFFSET(ITEM_RES!$A$1,MATCH(AW423,ITEM_RES!$J:$J,0)-1,0),0)</f>
        <v>211020501</v>
      </c>
      <c r="AW423" s="10" t="s">
        <v>418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07"/>
        <v>112070020</v>
      </c>
      <c r="B424" s="13">
        <v>11</v>
      </c>
      <c r="C424" s="12">
        <f t="shared" si="108"/>
        <v>2</v>
      </c>
      <c r="D424" s="13">
        <v>7</v>
      </c>
      <c r="E424" s="13">
        <v>0</v>
      </c>
      <c r="F424" s="12">
        <f t="shared" si="109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1439</v>
      </c>
      <c r="P424" s="55" t="s">
        <v>1441</v>
      </c>
      <c r="Q424" s="9" t="s">
        <v>684</v>
      </c>
      <c r="S424" s="81" t="s">
        <v>533</v>
      </c>
      <c r="T424" s="9">
        <f ca="1">IFERROR(OFFSET(ITEM_RES!$A$5,MATCH(BUILDING!S424,ITEM_RES!$J$5:$J$229,0)-1,0),0)</f>
        <v>211020201</v>
      </c>
      <c r="U424" s="11">
        <v>1</v>
      </c>
      <c r="V424" s="81" t="s">
        <v>535</v>
      </c>
      <c r="W424" s="11">
        <f ca="1">IFERROR(OFFSET(ITEM_RES!$A$5,MATCH(BUILDING!V424,ITEM_RES!$J$5:$J$229,0)-1,0),0)</f>
        <v>211020301</v>
      </c>
      <c r="Y424" s="9" t="s">
        <v>513</v>
      </c>
      <c r="Z424" s="9">
        <v>20</v>
      </c>
      <c r="AB424" s="11">
        <f ca="1">IFERROR(OFFSET(MANOR_LEVEL!$B$1,MATCH(AC424-1,MANOR_LEVEL!$A:$A,0)-1,0),0)</f>
        <v>223207650</v>
      </c>
      <c r="AC424" s="55">
        <v>18</v>
      </c>
      <c r="AE424" s="55">
        <f t="shared" ca="1" si="115"/>
        <v>184081500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184081500</v>
      </c>
      <c r="AG424" s="176">
        <f t="shared" ca="1" si="113"/>
        <v>299382750</v>
      </c>
      <c r="AI424" s="11">
        <f t="shared" si="114"/>
        <v>4200</v>
      </c>
      <c r="AJ424" s="10">
        <v>4200</v>
      </c>
      <c r="AK424" s="11">
        <f t="shared" si="110"/>
        <v>1500</v>
      </c>
      <c r="AL424" s="10">
        <v>1500</v>
      </c>
      <c r="AM424" s="11">
        <v>10000000</v>
      </c>
      <c r="AN424" s="10">
        <v>0</v>
      </c>
      <c r="AO424" s="55">
        <f t="shared" si="116"/>
        <v>2</v>
      </c>
      <c r="AQ424" s="11">
        <f ca="1">IFERROR(OFFSET(ITEM_RES!$A$1,MATCH(AR424,ITEM_RES!$J:$J,0)-1,0),0)</f>
        <v>211020901</v>
      </c>
      <c r="AR424" s="10" t="s">
        <v>1448</v>
      </c>
      <c r="AS424" s="11">
        <v>12800000</v>
      </c>
      <c r="AV424" s="11">
        <f ca="1">IFERROR(OFFSET(ITEM_RES!$A$1,MATCH(AW424,ITEM_RES!$J:$J,0)-1,0),0)</f>
        <v>211020501</v>
      </c>
      <c r="AW424" s="10" t="s">
        <v>418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07"/>
        <v>114010001</v>
      </c>
      <c r="B425" s="20">
        <v>11</v>
      </c>
      <c r="C425" s="19">
        <f t="shared" si="108"/>
        <v>4</v>
      </c>
      <c r="D425" s="20">
        <v>1</v>
      </c>
      <c r="E425" s="20">
        <v>0</v>
      </c>
      <c r="F425" s="19">
        <f t="shared" si="109"/>
        <v>1</v>
      </c>
      <c r="G425" s="76"/>
      <c r="H425" s="16">
        <v>4</v>
      </c>
      <c r="I425" s="16">
        <v>1</v>
      </c>
      <c r="J425" s="76"/>
      <c r="K425" s="16" t="s">
        <v>429</v>
      </c>
      <c r="L425" s="16"/>
      <c r="M425" s="16">
        <v>1</v>
      </c>
      <c r="N425" s="16">
        <v>15</v>
      </c>
      <c r="O425" s="137"/>
      <c r="P425" s="56"/>
      <c r="Q425" s="16" t="s">
        <v>685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514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56">
        <f t="shared" ca="1" si="115"/>
        <v>1155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1155</v>
      </c>
      <c r="AG425" s="178">
        <f ca="1">AE425</f>
        <v>1155</v>
      </c>
      <c r="AH425" s="76"/>
      <c r="AI425" s="18">
        <f t="shared" si="114"/>
        <v>3</v>
      </c>
      <c r="AJ425" s="17">
        <v>3</v>
      </c>
      <c r="AK425" s="18">
        <f t="shared" si="110"/>
        <v>5</v>
      </c>
      <c r="AL425" s="17">
        <v>5</v>
      </c>
      <c r="AM425" s="18">
        <f t="shared" si="110"/>
        <v>0</v>
      </c>
      <c r="AN425" s="17">
        <v>0</v>
      </c>
      <c r="AO425" s="56">
        <f t="shared" si="116"/>
        <v>2</v>
      </c>
      <c r="AP425" s="18"/>
      <c r="AQ425" s="18">
        <f ca="1">IFERROR(OFFSET(ITEM_RES!$A$1,MATCH(AR425,ITEM_RES!$J:$J,0)-1,0),0)</f>
        <v>211020401</v>
      </c>
      <c r="AR425" s="17" t="s">
        <v>427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441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07"/>
        <v>114010002</v>
      </c>
      <c r="B426" s="13">
        <v>11</v>
      </c>
      <c r="C426" s="12">
        <f t="shared" si="108"/>
        <v>4</v>
      </c>
      <c r="D426" s="13">
        <v>1</v>
      </c>
      <c r="E426" s="13">
        <v>0</v>
      </c>
      <c r="F426" s="12">
        <f t="shared" si="109"/>
        <v>2</v>
      </c>
      <c r="H426" s="9">
        <v>4</v>
      </c>
      <c r="I426" s="9">
        <v>2</v>
      </c>
      <c r="K426" s="9" t="s">
        <v>429</v>
      </c>
      <c r="M426" s="9">
        <v>1</v>
      </c>
      <c r="N426" s="9">
        <v>15</v>
      </c>
      <c r="O426" s="138"/>
      <c r="Q426" s="9" t="s">
        <v>685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514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55">
        <f t="shared" ca="1" si="115"/>
        <v>310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310</v>
      </c>
      <c r="AG426" s="176">
        <f ca="1">AE425+AE426</f>
        <v>1465</v>
      </c>
      <c r="AI426" s="11">
        <f t="shared" si="114"/>
        <v>5</v>
      </c>
      <c r="AJ426" s="10">
        <v>5</v>
      </c>
      <c r="AK426" s="11">
        <f t="shared" si="110"/>
        <v>10</v>
      </c>
      <c r="AL426" s="10">
        <v>10</v>
      </c>
      <c r="AM426" s="11">
        <f t="shared" si="110"/>
        <v>0</v>
      </c>
      <c r="AN426" s="10">
        <v>0</v>
      </c>
      <c r="AO426" s="55">
        <f t="shared" si="116"/>
        <v>1</v>
      </c>
      <c r="AQ426" s="11">
        <f ca="1">IFERROR(OFFSET(ITEM_RES!$A$1,MATCH(AR426,ITEM_RES!$J:$J,0)-1,0),0)</f>
        <v>211020401</v>
      </c>
      <c r="AR426" s="10" t="s">
        <v>427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07"/>
        <v>114010003</v>
      </c>
      <c r="B427" s="13">
        <v>11</v>
      </c>
      <c r="C427" s="12">
        <f t="shared" si="108"/>
        <v>4</v>
      </c>
      <c r="D427" s="13">
        <v>1</v>
      </c>
      <c r="E427" s="13">
        <v>0</v>
      </c>
      <c r="F427" s="12">
        <f t="shared" si="109"/>
        <v>3</v>
      </c>
      <c r="H427" s="9">
        <v>4</v>
      </c>
      <c r="I427" s="9">
        <v>3</v>
      </c>
      <c r="K427" s="9" t="s">
        <v>429</v>
      </c>
      <c r="M427" s="9">
        <v>1</v>
      </c>
      <c r="N427" s="9">
        <v>15</v>
      </c>
      <c r="O427" s="138"/>
      <c r="Q427" s="9" t="s">
        <v>685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514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55">
        <f t="shared" ca="1" si="115"/>
        <v>465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465</v>
      </c>
      <c r="AG427" s="176">
        <f t="shared" ref="AG427:AG444" ca="1" si="117">AE426+AE427</f>
        <v>775</v>
      </c>
      <c r="AI427" s="11">
        <f t="shared" si="114"/>
        <v>5</v>
      </c>
      <c r="AJ427" s="10">
        <v>5</v>
      </c>
      <c r="AK427" s="11">
        <f t="shared" si="110"/>
        <v>15</v>
      </c>
      <c r="AL427" s="10">
        <v>15</v>
      </c>
      <c r="AM427" s="11">
        <f t="shared" si="110"/>
        <v>0</v>
      </c>
      <c r="AN427" s="10">
        <v>0</v>
      </c>
      <c r="AO427" s="55">
        <f t="shared" si="116"/>
        <v>1</v>
      </c>
      <c r="AQ427" s="11">
        <f ca="1">IFERROR(OFFSET(ITEM_RES!$A$1,MATCH(AR427,ITEM_RES!$J:$J,0)-1,0),0)</f>
        <v>211020401</v>
      </c>
      <c r="AR427" s="10" t="s">
        <v>427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07"/>
        <v>114010004</v>
      </c>
      <c r="B428" s="13">
        <v>11</v>
      </c>
      <c r="C428" s="12">
        <f t="shared" si="108"/>
        <v>4</v>
      </c>
      <c r="D428" s="13">
        <v>1</v>
      </c>
      <c r="E428" s="13">
        <v>0</v>
      </c>
      <c r="F428" s="12">
        <f t="shared" si="109"/>
        <v>4</v>
      </c>
      <c r="H428" s="9">
        <v>4</v>
      </c>
      <c r="I428" s="9">
        <v>4</v>
      </c>
      <c r="K428" s="9" t="s">
        <v>429</v>
      </c>
      <c r="M428" s="9">
        <v>1</v>
      </c>
      <c r="N428" s="9">
        <v>15</v>
      </c>
      <c r="O428" s="138"/>
      <c r="Q428" s="9" t="s">
        <v>685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514</v>
      </c>
      <c r="Z428" s="9">
        <v>4</v>
      </c>
      <c r="AB428" s="11">
        <f ca="1">IFERROR(OFFSET(MANOR_LEVEL!$B$1,MATCH(AC428-1,MANOR_LEVEL!$A:$A,0)-1,0),0)</f>
        <v>100</v>
      </c>
      <c r="AC428" s="55">
        <v>2</v>
      </c>
      <c r="AE428" s="55">
        <f t="shared" ca="1" si="115"/>
        <v>1825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1825</v>
      </c>
      <c r="AG428" s="176">
        <f t="shared" ca="1" si="117"/>
        <v>2290</v>
      </c>
      <c r="AI428" s="11">
        <f t="shared" si="114"/>
        <v>10</v>
      </c>
      <c r="AJ428" s="10">
        <v>10</v>
      </c>
      <c r="AK428" s="11">
        <f t="shared" si="110"/>
        <v>25</v>
      </c>
      <c r="AL428" s="10">
        <v>25</v>
      </c>
      <c r="AM428" s="11">
        <f t="shared" si="110"/>
        <v>0</v>
      </c>
      <c r="AN428" s="10">
        <v>0</v>
      </c>
      <c r="AO428" s="55">
        <f t="shared" si="116"/>
        <v>1</v>
      </c>
      <c r="AQ428" s="11">
        <f ca="1">IFERROR(OFFSET(ITEM_RES!$A$1,MATCH(AR428,ITEM_RES!$J:$J,0)-1,0),0)</f>
        <v>211020401</v>
      </c>
      <c r="AR428" s="10" t="s">
        <v>427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18">B429*10000000+C429*1000000+D429*10000+E429*100+F429</f>
        <v>114010005</v>
      </c>
      <c r="B429" s="13">
        <v>11</v>
      </c>
      <c r="C429" s="12">
        <f t="shared" ref="C429:C492" si="119">H429</f>
        <v>4</v>
      </c>
      <c r="D429" s="13">
        <v>1</v>
      </c>
      <c r="E429" s="13">
        <v>0</v>
      </c>
      <c r="F429" s="12">
        <f t="shared" ref="F429:F492" si="120">I429</f>
        <v>5</v>
      </c>
      <c r="H429" s="9">
        <v>4</v>
      </c>
      <c r="I429" s="9">
        <v>5</v>
      </c>
      <c r="K429" s="9" t="s">
        <v>429</v>
      </c>
      <c r="M429" s="9">
        <v>1</v>
      </c>
      <c r="N429" s="9">
        <v>15</v>
      </c>
      <c r="O429" s="138"/>
      <c r="Q429" s="9" t="s">
        <v>685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514</v>
      </c>
      <c r="Z429" s="9">
        <v>5</v>
      </c>
      <c r="AB429" s="11">
        <f ca="1">IFERROR(OFFSET(MANOR_LEVEL!$B$1,MATCH(AC429-1,MANOR_LEVEL!$A:$A,0)-1,0),0)</f>
        <v>100</v>
      </c>
      <c r="AC429" s="55">
        <v>2</v>
      </c>
      <c r="AE429" s="55">
        <f t="shared" ca="1" si="115"/>
        <v>8140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8140</v>
      </c>
      <c r="AG429" s="176">
        <f t="shared" ca="1" si="117"/>
        <v>9965</v>
      </c>
      <c r="AI429" s="11">
        <f t="shared" si="114"/>
        <v>15</v>
      </c>
      <c r="AJ429" s="10">
        <v>15</v>
      </c>
      <c r="AK429" s="11">
        <f t="shared" si="110"/>
        <v>40</v>
      </c>
      <c r="AL429" s="10">
        <v>40</v>
      </c>
      <c r="AM429" s="11">
        <f t="shared" si="110"/>
        <v>0</v>
      </c>
      <c r="AN429" s="10">
        <v>0</v>
      </c>
      <c r="AO429" s="55">
        <f t="shared" si="116"/>
        <v>1</v>
      </c>
      <c r="AQ429" s="11">
        <f ca="1">IFERROR(OFFSET(ITEM_RES!$A$1,MATCH(AR429,ITEM_RES!$J:$J,0)-1,0),0)</f>
        <v>211020401</v>
      </c>
      <c r="AR429" s="10" t="s">
        <v>427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18"/>
        <v>114010006</v>
      </c>
      <c r="B430" s="13">
        <v>11</v>
      </c>
      <c r="C430" s="12">
        <f t="shared" si="119"/>
        <v>4</v>
      </c>
      <c r="D430" s="13">
        <v>1</v>
      </c>
      <c r="E430" s="13">
        <v>0</v>
      </c>
      <c r="F430" s="12">
        <f t="shared" si="120"/>
        <v>6</v>
      </c>
      <c r="H430" s="9">
        <v>4</v>
      </c>
      <c r="I430" s="9">
        <v>6</v>
      </c>
      <c r="K430" s="9" t="s">
        <v>429</v>
      </c>
      <c r="M430" s="9">
        <v>1</v>
      </c>
      <c r="N430" s="9">
        <v>15</v>
      </c>
      <c r="O430" s="138"/>
      <c r="Q430" s="9" t="s">
        <v>685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514</v>
      </c>
      <c r="Z430" s="9">
        <v>6</v>
      </c>
      <c r="AB430" s="11">
        <f ca="1">IFERROR(OFFSET(MANOR_LEVEL!$B$1,MATCH(AC430-1,MANOR_LEVEL!$A:$A,0)-1,0),0)</f>
        <v>100</v>
      </c>
      <c r="AC430" s="55">
        <v>2</v>
      </c>
      <c r="AE430" s="55">
        <f t="shared" ca="1" si="115"/>
        <v>27050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27050</v>
      </c>
      <c r="AG430" s="176">
        <f t="shared" ca="1" si="117"/>
        <v>35190</v>
      </c>
      <c r="AI430" s="11">
        <f t="shared" si="114"/>
        <v>30</v>
      </c>
      <c r="AJ430" s="10">
        <v>30</v>
      </c>
      <c r="AK430" s="11">
        <f t="shared" ref="AK430:AM493" si="121">ROUND(AL430,0)</f>
        <v>50</v>
      </c>
      <c r="AL430" s="10">
        <v>50</v>
      </c>
      <c r="AM430" s="11">
        <f t="shared" si="121"/>
        <v>0</v>
      </c>
      <c r="AN430" s="10">
        <v>0</v>
      </c>
      <c r="AO430" s="55">
        <f t="shared" si="116"/>
        <v>1</v>
      </c>
      <c r="AQ430" s="11">
        <f ca="1">IFERROR(OFFSET(ITEM_RES!$A$1,MATCH(AR430,ITEM_RES!$J:$J,0)-1,0),0)</f>
        <v>211020401</v>
      </c>
      <c r="AR430" s="10" t="s">
        <v>427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18"/>
        <v>114010007</v>
      </c>
      <c r="B431" s="13">
        <v>11</v>
      </c>
      <c r="C431" s="12">
        <f t="shared" si="119"/>
        <v>4</v>
      </c>
      <c r="D431" s="13">
        <v>1</v>
      </c>
      <c r="E431" s="13">
        <v>0</v>
      </c>
      <c r="F431" s="12">
        <f t="shared" si="120"/>
        <v>7</v>
      </c>
      <c r="H431" s="9">
        <v>4</v>
      </c>
      <c r="I431" s="9">
        <v>7</v>
      </c>
      <c r="K431" s="9" t="s">
        <v>429</v>
      </c>
      <c r="M431" s="9">
        <v>1</v>
      </c>
      <c r="N431" s="9">
        <v>15</v>
      </c>
      <c r="O431" s="138"/>
      <c r="Q431" s="9" t="s">
        <v>685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514</v>
      </c>
      <c r="Z431" s="9">
        <v>7</v>
      </c>
      <c r="AB431" s="11">
        <f ca="1">IFERROR(OFFSET(MANOR_LEVEL!$B$1,MATCH(AC431-1,MANOR_LEVEL!$A:$A,0)-1,0),0)</f>
        <v>100</v>
      </c>
      <c r="AC431" s="55">
        <v>2</v>
      </c>
      <c r="AE431" s="55">
        <f t="shared" ca="1" si="115"/>
        <v>60100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60100</v>
      </c>
      <c r="AG431" s="176">
        <f t="shared" ca="1" si="117"/>
        <v>87150</v>
      </c>
      <c r="AI431" s="11">
        <f t="shared" si="114"/>
        <v>300</v>
      </c>
      <c r="AJ431" s="10">
        <v>300</v>
      </c>
      <c r="AK431" s="11">
        <f t="shared" si="121"/>
        <v>100</v>
      </c>
      <c r="AL431" s="10">
        <v>100</v>
      </c>
      <c r="AM431" s="11">
        <f t="shared" si="121"/>
        <v>0</v>
      </c>
      <c r="AN431" s="10">
        <v>0</v>
      </c>
      <c r="AO431" s="55">
        <f t="shared" si="116"/>
        <v>1</v>
      </c>
      <c r="AQ431" s="11">
        <f ca="1">IFERROR(OFFSET(ITEM_RES!$A$1,MATCH(AR431,ITEM_RES!$J:$J,0)-1,0),0)</f>
        <v>211020401</v>
      </c>
      <c r="AR431" s="10" t="s">
        <v>427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18"/>
        <v>114010008</v>
      </c>
      <c r="B432" s="13">
        <v>11</v>
      </c>
      <c r="C432" s="12">
        <f t="shared" si="119"/>
        <v>4</v>
      </c>
      <c r="D432" s="13">
        <v>1</v>
      </c>
      <c r="E432" s="13">
        <v>0</v>
      </c>
      <c r="F432" s="12">
        <f t="shared" si="120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686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514</v>
      </c>
      <c r="Z432" s="9">
        <v>8</v>
      </c>
      <c r="AB432" s="11">
        <f ca="1">IFERROR(OFFSET(MANOR_LEVEL!$B$1,MATCH(AC432-1,MANOR_LEVEL!$A:$A,0)-1,0),0)</f>
        <v>310</v>
      </c>
      <c r="AC432" s="55">
        <v>3</v>
      </c>
      <c r="AE432" s="55">
        <f t="shared" ca="1" si="115"/>
        <v>151300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151300</v>
      </c>
      <c r="AG432" s="176">
        <f t="shared" ca="1" si="117"/>
        <v>211400</v>
      </c>
      <c r="AI432" s="11">
        <f t="shared" si="114"/>
        <v>600</v>
      </c>
      <c r="AJ432" s="10">
        <v>600</v>
      </c>
      <c r="AK432" s="11">
        <f t="shared" si="121"/>
        <v>100</v>
      </c>
      <c r="AL432" s="10">
        <v>100</v>
      </c>
      <c r="AM432" s="11">
        <f t="shared" si="121"/>
        <v>0</v>
      </c>
      <c r="AN432" s="10">
        <v>0</v>
      </c>
      <c r="AO432" s="55">
        <f t="shared" si="116"/>
        <v>1</v>
      </c>
      <c r="AQ432" s="11">
        <f ca="1">IFERROR(OFFSET(ITEM_RES!$A$1,MATCH(AR432,ITEM_RES!$J:$J,0)-1,0),0)</f>
        <v>211020501</v>
      </c>
      <c r="AR432" s="10" t="s">
        <v>425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18"/>
        <v>114010009</v>
      </c>
      <c r="B433" s="13">
        <v>11</v>
      </c>
      <c r="C433" s="12">
        <f t="shared" si="119"/>
        <v>4</v>
      </c>
      <c r="D433" s="13">
        <v>1</v>
      </c>
      <c r="E433" s="13">
        <v>0</v>
      </c>
      <c r="F433" s="12">
        <f t="shared" si="120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686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514</v>
      </c>
      <c r="Z433" s="9">
        <v>9</v>
      </c>
      <c r="AB433" s="11">
        <f ca="1">IFERROR(OFFSET(MANOR_LEVEL!$B$1,MATCH(AC433-1,MANOR_LEVEL!$A:$A,0)-1,0),0)</f>
        <v>310</v>
      </c>
      <c r="AC433" s="55">
        <v>3</v>
      </c>
      <c r="AE433" s="55">
        <f t="shared" ca="1" si="115"/>
        <v>280950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280950</v>
      </c>
      <c r="AG433" s="176">
        <f t="shared" ca="1" si="117"/>
        <v>432250</v>
      </c>
      <c r="AI433" s="11">
        <f t="shared" si="114"/>
        <v>900</v>
      </c>
      <c r="AJ433" s="10">
        <v>900</v>
      </c>
      <c r="AK433" s="11">
        <f t="shared" si="121"/>
        <v>150</v>
      </c>
      <c r="AL433" s="10">
        <v>150</v>
      </c>
      <c r="AM433" s="11">
        <f t="shared" si="121"/>
        <v>0</v>
      </c>
      <c r="AN433" s="10">
        <v>0</v>
      </c>
      <c r="AO433" s="55">
        <f t="shared" si="116"/>
        <v>1</v>
      </c>
      <c r="AQ433" s="11">
        <f ca="1">IFERROR(OFFSET(ITEM_RES!$A$1,MATCH(AR433,ITEM_RES!$J:$J,0)-1,0),0)</f>
        <v>211020501</v>
      </c>
      <c r="AR433" s="10" t="s">
        <v>425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18"/>
        <v>114010010</v>
      </c>
      <c r="B434" s="13">
        <v>11</v>
      </c>
      <c r="C434" s="12">
        <f t="shared" si="119"/>
        <v>4</v>
      </c>
      <c r="D434" s="13">
        <v>1</v>
      </c>
      <c r="E434" s="13">
        <v>0</v>
      </c>
      <c r="F434" s="12">
        <f t="shared" si="120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686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514</v>
      </c>
      <c r="Z434" s="9">
        <v>10</v>
      </c>
      <c r="AB434" s="11">
        <f ca="1">IFERROR(OFFSET(MANOR_LEVEL!$B$1,MATCH(AC434-1,MANOR_LEVEL!$A:$A,0)-1,0),0)</f>
        <v>310</v>
      </c>
      <c r="AC434" s="55">
        <v>3</v>
      </c>
      <c r="AE434" s="55">
        <f t="shared" ca="1" si="115"/>
        <v>468200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468200</v>
      </c>
      <c r="AG434" s="176">
        <f t="shared" ca="1" si="117"/>
        <v>749150</v>
      </c>
      <c r="AI434" s="11">
        <f t="shared" si="114"/>
        <v>1200</v>
      </c>
      <c r="AJ434" s="10">
        <v>1200</v>
      </c>
      <c r="AK434" s="11">
        <f t="shared" si="121"/>
        <v>200</v>
      </c>
      <c r="AL434" s="10">
        <v>200</v>
      </c>
      <c r="AM434" s="11">
        <f t="shared" si="121"/>
        <v>0</v>
      </c>
      <c r="AN434" s="10">
        <v>0</v>
      </c>
      <c r="AO434" s="55">
        <f t="shared" si="116"/>
        <v>1</v>
      </c>
      <c r="AQ434" s="11">
        <f ca="1">IFERROR(OFFSET(ITEM_RES!$A$1,MATCH(AR434,ITEM_RES!$J:$J,0)-1,0),0)</f>
        <v>211020501</v>
      </c>
      <c r="AR434" s="10" t="s">
        <v>425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18"/>
        <v>114010011</v>
      </c>
      <c r="B435" s="13">
        <v>11</v>
      </c>
      <c r="C435" s="12">
        <f t="shared" si="119"/>
        <v>4</v>
      </c>
      <c r="D435" s="13">
        <v>1</v>
      </c>
      <c r="E435" s="13">
        <v>0</v>
      </c>
      <c r="F435" s="12">
        <f t="shared" si="120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686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514</v>
      </c>
      <c r="Z435" s="9">
        <v>11</v>
      </c>
      <c r="AB435" s="11">
        <f ca="1">IFERROR(OFFSET(MANOR_LEVEL!$B$1,MATCH(AC435-1,MANOR_LEVEL!$A:$A,0)-1,0),0)</f>
        <v>310</v>
      </c>
      <c r="AC435" s="55">
        <v>3</v>
      </c>
      <c r="AE435" s="55">
        <f t="shared" ca="1" si="115"/>
        <v>792250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792250</v>
      </c>
      <c r="AG435" s="176">
        <f t="shared" ca="1" si="117"/>
        <v>1260450</v>
      </c>
      <c r="AI435" s="11">
        <f t="shared" si="114"/>
        <v>1500</v>
      </c>
      <c r="AJ435" s="10">
        <v>1500</v>
      </c>
      <c r="AK435" s="11">
        <f t="shared" si="121"/>
        <v>250</v>
      </c>
      <c r="AL435" s="10">
        <v>250</v>
      </c>
      <c r="AM435" s="11">
        <f t="shared" si="121"/>
        <v>0</v>
      </c>
      <c r="AN435" s="10">
        <v>0</v>
      </c>
      <c r="AO435" s="55">
        <f t="shared" si="116"/>
        <v>1</v>
      </c>
      <c r="AQ435" s="11">
        <f ca="1">IFERROR(OFFSET(ITEM_RES!$A$1,MATCH(AR435,ITEM_RES!$J:$J,0)-1,0),0)</f>
        <v>211020501</v>
      </c>
      <c r="AR435" s="10" t="s">
        <v>425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18"/>
        <v>114010012</v>
      </c>
      <c r="B436" s="13">
        <v>11</v>
      </c>
      <c r="C436" s="12">
        <f t="shared" si="119"/>
        <v>4</v>
      </c>
      <c r="D436" s="13">
        <v>1</v>
      </c>
      <c r="E436" s="13">
        <v>0</v>
      </c>
      <c r="F436" s="12">
        <f t="shared" si="120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686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514</v>
      </c>
      <c r="Z436" s="9">
        <v>12</v>
      </c>
      <c r="AB436" s="11">
        <f ca="1">IFERROR(OFFSET(MANOR_LEVEL!$B$1,MATCH(AC436-1,MANOR_LEVEL!$A:$A,0)-1,0),0)</f>
        <v>930</v>
      </c>
      <c r="AC436" s="55">
        <v>4</v>
      </c>
      <c r="AE436" s="55">
        <f t="shared" ca="1" si="115"/>
        <v>1332300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1332300</v>
      </c>
      <c r="AG436" s="176">
        <f t="shared" ca="1" si="117"/>
        <v>2124550</v>
      </c>
      <c r="AI436" s="11">
        <f t="shared" si="114"/>
        <v>1800</v>
      </c>
      <c r="AJ436" s="10">
        <v>1800</v>
      </c>
      <c r="AK436" s="11">
        <f t="shared" si="121"/>
        <v>300</v>
      </c>
      <c r="AL436" s="10">
        <v>300</v>
      </c>
      <c r="AM436" s="11">
        <f t="shared" si="121"/>
        <v>0</v>
      </c>
      <c r="AN436" s="10">
        <v>0</v>
      </c>
      <c r="AO436" s="55">
        <f t="shared" si="116"/>
        <v>1</v>
      </c>
      <c r="AQ436" s="11">
        <f ca="1">IFERROR(OFFSET(ITEM_RES!$A$1,MATCH(AR436,ITEM_RES!$J:$J,0)-1,0),0)</f>
        <v>211020501</v>
      </c>
      <c r="AR436" s="10" t="s">
        <v>425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18"/>
        <v>114010013</v>
      </c>
      <c r="B437" s="13">
        <v>11</v>
      </c>
      <c r="C437" s="12">
        <f t="shared" si="119"/>
        <v>4</v>
      </c>
      <c r="D437" s="13">
        <v>1</v>
      </c>
      <c r="E437" s="13">
        <v>0</v>
      </c>
      <c r="F437" s="12">
        <f t="shared" si="120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686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514</v>
      </c>
      <c r="Z437" s="9">
        <v>13</v>
      </c>
      <c r="AB437" s="11">
        <f ca="1">IFERROR(OFFSET(MANOR_LEVEL!$B$1,MATCH(AC437-1,MANOR_LEVEL!$A:$A,0)-1,0),0)</f>
        <v>930</v>
      </c>
      <c r="AC437" s="55">
        <v>4</v>
      </c>
      <c r="AE437" s="55">
        <f t="shared" ca="1" si="115"/>
        <v>2237350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2237350</v>
      </c>
      <c r="AG437" s="176">
        <f t="shared" ca="1" si="117"/>
        <v>3569650</v>
      </c>
      <c r="AI437" s="11">
        <f t="shared" si="114"/>
        <v>2100</v>
      </c>
      <c r="AJ437" s="10">
        <v>2100</v>
      </c>
      <c r="AK437" s="11">
        <f t="shared" si="121"/>
        <v>350</v>
      </c>
      <c r="AL437" s="10">
        <v>350</v>
      </c>
      <c r="AM437" s="11">
        <f t="shared" si="121"/>
        <v>0</v>
      </c>
      <c r="AN437" s="10">
        <v>0</v>
      </c>
      <c r="AO437" s="55">
        <f t="shared" si="116"/>
        <v>2</v>
      </c>
      <c r="AQ437" s="11">
        <f ca="1">IFERROR(OFFSET(ITEM_RES!$A$1,MATCH(AR437,ITEM_RES!$J:$J,0)-1,0),0)</f>
        <v>211020501</v>
      </c>
      <c r="AR437" s="10" t="s">
        <v>425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459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18"/>
        <v>114010014</v>
      </c>
      <c r="B438" s="13">
        <v>11</v>
      </c>
      <c r="C438" s="12">
        <f t="shared" si="119"/>
        <v>4</v>
      </c>
      <c r="D438" s="13">
        <v>1</v>
      </c>
      <c r="E438" s="13">
        <v>0</v>
      </c>
      <c r="F438" s="12">
        <f t="shared" si="120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686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514</v>
      </c>
      <c r="Z438" s="9">
        <v>14</v>
      </c>
      <c r="AB438" s="11">
        <f ca="1">IFERROR(OFFSET(MANOR_LEVEL!$B$1,MATCH(AC438-1,MANOR_LEVEL!$A:$A,0)-1,0),0)</f>
        <v>930</v>
      </c>
      <c r="AC438" s="55">
        <v>4</v>
      </c>
      <c r="AE438" s="55">
        <f t="shared" ca="1" si="115"/>
        <v>3492450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3492450</v>
      </c>
      <c r="AG438" s="176">
        <f t="shared" ca="1" si="117"/>
        <v>5729800</v>
      </c>
      <c r="AI438" s="11">
        <f t="shared" si="114"/>
        <v>2400</v>
      </c>
      <c r="AJ438" s="10">
        <v>2400</v>
      </c>
      <c r="AK438" s="11">
        <f t="shared" si="121"/>
        <v>450</v>
      </c>
      <c r="AL438" s="10">
        <v>450</v>
      </c>
      <c r="AM438" s="11">
        <f t="shared" si="121"/>
        <v>0</v>
      </c>
      <c r="AN438" s="10">
        <v>0</v>
      </c>
      <c r="AO438" s="55">
        <f t="shared" si="116"/>
        <v>1</v>
      </c>
      <c r="AQ438" s="11">
        <f ca="1">IFERROR(OFFSET(ITEM_RES!$A$1,MATCH(AR438,ITEM_RES!$J:$J,0)-1,0),0)</f>
        <v>211020501</v>
      </c>
      <c r="AR438" s="10" t="s">
        <v>425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18"/>
        <v>114010015</v>
      </c>
      <c r="B439" s="13">
        <v>11</v>
      </c>
      <c r="C439" s="12">
        <f t="shared" si="119"/>
        <v>4</v>
      </c>
      <c r="D439" s="13">
        <v>1</v>
      </c>
      <c r="E439" s="13">
        <v>0</v>
      </c>
      <c r="F439" s="12">
        <f t="shared" si="120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686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514</v>
      </c>
      <c r="Z439" s="9">
        <v>15</v>
      </c>
      <c r="AB439" s="11">
        <f ca="1">IFERROR(OFFSET(MANOR_LEVEL!$B$1,MATCH(AC439-1,MANOR_LEVEL!$A:$A,0)-1,0),0)</f>
        <v>5475</v>
      </c>
      <c r="AC439" s="55">
        <v>5</v>
      </c>
      <c r="AE439" s="55">
        <f t="shared" ca="1" si="115"/>
        <v>7560550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7560550</v>
      </c>
      <c r="AG439" s="176">
        <f t="shared" ca="1" si="117"/>
        <v>11053000</v>
      </c>
      <c r="AI439" s="11">
        <f t="shared" si="114"/>
        <v>2700</v>
      </c>
      <c r="AJ439" s="10">
        <v>2700</v>
      </c>
      <c r="AK439" s="11">
        <f t="shared" si="121"/>
        <v>550</v>
      </c>
      <c r="AL439" s="10">
        <v>550</v>
      </c>
      <c r="AM439" s="11">
        <f t="shared" si="121"/>
        <v>0</v>
      </c>
      <c r="AN439" s="10">
        <v>0</v>
      </c>
      <c r="AO439" s="55">
        <f t="shared" si="116"/>
        <v>1</v>
      </c>
      <c r="AQ439" s="11">
        <f ca="1">IFERROR(OFFSET(ITEM_RES!$A$1,MATCH(AR439,ITEM_RES!$J:$J,0)-1,0),0)</f>
        <v>211020501</v>
      </c>
      <c r="AR439" s="10" t="s">
        <v>425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18"/>
        <v>114010016</v>
      </c>
      <c r="B440" s="13">
        <v>11</v>
      </c>
      <c r="C440" s="12">
        <f t="shared" si="119"/>
        <v>4</v>
      </c>
      <c r="D440" s="13">
        <v>1</v>
      </c>
      <c r="E440" s="13">
        <v>0</v>
      </c>
      <c r="F440" s="12">
        <f t="shared" si="120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686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514</v>
      </c>
      <c r="Z440" s="9">
        <v>16</v>
      </c>
      <c r="AB440" s="11">
        <f ca="1">IFERROR(OFFSET(MANOR_LEVEL!$B$1,MATCH(AC440-1,MANOR_LEVEL!$A:$A,0)-1,0),0)</f>
        <v>5475</v>
      </c>
      <c r="AC440" s="55">
        <v>5</v>
      </c>
      <c r="AE440" s="55">
        <f t="shared" ca="1" si="115"/>
        <v>15480700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15480700</v>
      </c>
      <c r="AG440" s="176">
        <f t="shared" ca="1" si="117"/>
        <v>23041250</v>
      </c>
      <c r="AI440" s="11">
        <f t="shared" si="114"/>
        <v>3000</v>
      </c>
      <c r="AJ440" s="10">
        <v>3000</v>
      </c>
      <c r="AK440" s="11">
        <f t="shared" si="121"/>
        <v>700</v>
      </c>
      <c r="AL440" s="10">
        <v>700</v>
      </c>
      <c r="AM440" s="11">
        <f t="shared" si="121"/>
        <v>0</v>
      </c>
      <c r="AN440" s="10">
        <v>0</v>
      </c>
      <c r="AO440" s="55">
        <f t="shared" si="116"/>
        <v>1</v>
      </c>
      <c r="AQ440" s="11">
        <f ca="1">IFERROR(OFFSET(ITEM_RES!$A$1,MATCH(AR440,ITEM_RES!$J:$J,0)-1,0),0)</f>
        <v>211020501</v>
      </c>
      <c r="AR440" s="10" t="s">
        <v>425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18"/>
        <v>114010017</v>
      </c>
      <c r="B441" s="13">
        <v>11</v>
      </c>
      <c r="C441" s="12">
        <f t="shared" si="119"/>
        <v>4</v>
      </c>
      <c r="D441" s="13">
        <v>1</v>
      </c>
      <c r="E441" s="13">
        <v>0</v>
      </c>
      <c r="F441" s="12">
        <f t="shared" si="120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686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514</v>
      </c>
      <c r="Z441" s="9">
        <v>17</v>
      </c>
      <c r="AB441" s="11">
        <f ca="1">IFERROR(OFFSET(MANOR_LEVEL!$B$1,MATCH(AC441-1,MANOR_LEVEL!$A:$A,0)-1,0),0)</f>
        <v>32560</v>
      </c>
      <c r="AC441" s="55">
        <v>6</v>
      </c>
      <c r="AE441" s="55">
        <f t="shared" ca="1" si="115"/>
        <v>28800850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28800850</v>
      </c>
      <c r="AG441" s="176">
        <f t="shared" ca="1" si="117"/>
        <v>44281550</v>
      </c>
      <c r="AI441" s="11">
        <f t="shared" si="114"/>
        <v>3300</v>
      </c>
      <c r="AJ441" s="10">
        <v>3300</v>
      </c>
      <c r="AK441" s="11">
        <f t="shared" si="121"/>
        <v>850</v>
      </c>
      <c r="AL441" s="10">
        <v>850</v>
      </c>
      <c r="AM441" s="11">
        <f t="shared" si="121"/>
        <v>0</v>
      </c>
      <c r="AN441" s="10">
        <v>0</v>
      </c>
      <c r="AO441" s="55">
        <f t="shared" si="116"/>
        <v>1</v>
      </c>
      <c r="AQ441" s="11">
        <f ca="1">IFERROR(OFFSET(ITEM_RES!$A$1,MATCH(AR441,ITEM_RES!$J:$J,0)-1,0),0)</f>
        <v>211020501</v>
      </c>
      <c r="AR441" s="10" t="s">
        <v>425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18"/>
        <v>114010018</v>
      </c>
      <c r="B442" s="13">
        <v>11</v>
      </c>
      <c r="C442" s="12">
        <f t="shared" si="119"/>
        <v>4</v>
      </c>
      <c r="D442" s="13">
        <v>1</v>
      </c>
      <c r="E442" s="13">
        <v>0</v>
      </c>
      <c r="F442" s="12">
        <f t="shared" si="120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686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514</v>
      </c>
      <c r="Z442" s="9">
        <v>18</v>
      </c>
      <c r="AB442" s="11">
        <f ca="1">IFERROR(OFFSET(MANOR_LEVEL!$B$1,MATCH(AC442-1,MANOR_LEVEL!$A:$A,0)-1,0),0)</f>
        <v>108200</v>
      </c>
      <c r="AC442" s="55">
        <v>7</v>
      </c>
      <c r="AE442" s="55">
        <f t="shared" ca="1" si="115"/>
        <v>46801050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46801050</v>
      </c>
      <c r="AG442" s="176">
        <f t="shared" ca="1" si="117"/>
        <v>75601900</v>
      </c>
      <c r="AI442" s="11">
        <f t="shared" si="114"/>
        <v>3600</v>
      </c>
      <c r="AJ442" s="10">
        <v>3600</v>
      </c>
      <c r="AK442" s="11">
        <f t="shared" si="121"/>
        <v>1050</v>
      </c>
      <c r="AL442" s="10">
        <v>1050</v>
      </c>
      <c r="AM442" s="11">
        <f t="shared" si="121"/>
        <v>0</v>
      </c>
      <c r="AN442" s="10">
        <v>0</v>
      </c>
      <c r="AO442" s="55">
        <f t="shared" si="116"/>
        <v>1</v>
      </c>
      <c r="AQ442" s="11">
        <f ca="1">IFERROR(OFFSET(ITEM_RES!$A$1,MATCH(AR442,ITEM_RES!$J:$J,0)-1,0),0)</f>
        <v>211020501</v>
      </c>
      <c r="AR442" s="10" t="s">
        <v>425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18"/>
        <v>114010019</v>
      </c>
      <c r="B443" s="13">
        <v>11</v>
      </c>
      <c r="C443" s="12">
        <f t="shared" si="119"/>
        <v>4</v>
      </c>
      <c r="D443" s="13">
        <v>1</v>
      </c>
      <c r="E443" s="13">
        <v>0</v>
      </c>
      <c r="F443" s="12">
        <f t="shared" si="120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686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514</v>
      </c>
      <c r="Z443" s="9">
        <v>19</v>
      </c>
      <c r="AB443" s="11">
        <f ca="1">IFERROR(OFFSET(MANOR_LEVEL!$B$1,MATCH(AC443-1,MANOR_LEVEL!$A:$A,0)-1,0),0)</f>
        <v>108200</v>
      </c>
      <c r="AC443" s="55">
        <v>7</v>
      </c>
      <c r="AE443" s="55">
        <f t="shared" ca="1" si="115"/>
        <v>72001250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72001250</v>
      </c>
      <c r="AG443" s="176">
        <f t="shared" ca="1" si="117"/>
        <v>118802300</v>
      </c>
      <c r="AI443" s="11">
        <f t="shared" si="114"/>
        <v>3900</v>
      </c>
      <c r="AJ443" s="10">
        <v>3900</v>
      </c>
      <c r="AK443" s="11">
        <f t="shared" si="121"/>
        <v>1250</v>
      </c>
      <c r="AL443" s="10">
        <v>1250</v>
      </c>
      <c r="AM443" s="11">
        <f t="shared" si="121"/>
        <v>0</v>
      </c>
      <c r="AN443" s="10">
        <v>0</v>
      </c>
      <c r="AO443" s="55">
        <f t="shared" si="116"/>
        <v>1</v>
      </c>
      <c r="AQ443" s="11">
        <f ca="1">IFERROR(OFFSET(ITEM_RES!$A$1,MATCH(AR443,ITEM_RES!$J:$J,0)-1,0),0)</f>
        <v>211020501</v>
      </c>
      <c r="AR443" s="10" t="s">
        <v>425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18"/>
        <v>114010020</v>
      </c>
      <c r="B444" s="13">
        <v>11</v>
      </c>
      <c r="C444" s="12">
        <f t="shared" si="119"/>
        <v>4</v>
      </c>
      <c r="D444" s="13">
        <v>1</v>
      </c>
      <c r="E444" s="13">
        <v>0</v>
      </c>
      <c r="F444" s="12">
        <f t="shared" si="120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686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514</v>
      </c>
      <c r="Z444" s="9">
        <v>20</v>
      </c>
      <c r="AB444" s="11">
        <f ca="1">IFERROR(OFFSET(MANOR_LEVEL!$B$1,MATCH(AC444-1,MANOR_LEVEL!$A:$A,0)-1,0),0)</f>
        <v>108200</v>
      </c>
      <c r="AC444" s="55">
        <v>7</v>
      </c>
      <c r="AE444" s="55">
        <f t="shared" ca="1" si="115"/>
        <v>115201500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115201500</v>
      </c>
      <c r="AG444" s="176">
        <f t="shared" ca="1" si="117"/>
        <v>187202750</v>
      </c>
      <c r="AI444" s="11">
        <f t="shared" si="114"/>
        <v>4200</v>
      </c>
      <c r="AJ444" s="10">
        <v>4200</v>
      </c>
      <c r="AK444" s="11">
        <f t="shared" si="121"/>
        <v>1500</v>
      </c>
      <c r="AL444" s="10">
        <v>1500</v>
      </c>
      <c r="AM444" s="11">
        <f t="shared" si="121"/>
        <v>0</v>
      </c>
      <c r="AN444" s="10">
        <v>0</v>
      </c>
      <c r="AO444" s="55">
        <f t="shared" si="116"/>
        <v>1</v>
      </c>
      <c r="AQ444" s="11">
        <f ca="1">IFERROR(OFFSET(ITEM_RES!$A$1,MATCH(AR444,ITEM_RES!$J:$J,0)-1,0),0)</f>
        <v>211020501</v>
      </c>
      <c r="AR444" s="10" t="s">
        <v>425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18"/>
        <v>114020001</v>
      </c>
      <c r="B445" s="20">
        <v>11</v>
      </c>
      <c r="C445" s="19">
        <f t="shared" si="119"/>
        <v>4</v>
      </c>
      <c r="D445" s="20">
        <v>2</v>
      </c>
      <c r="E445" s="20">
        <v>0</v>
      </c>
      <c r="F445" s="19">
        <f t="shared" si="120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1136</v>
      </c>
      <c r="P445" s="56" t="s">
        <v>1393</v>
      </c>
      <c r="Q445" s="16" t="s">
        <v>687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515</v>
      </c>
      <c r="Z445" s="16">
        <v>1</v>
      </c>
      <c r="AA445" s="76"/>
      <c r="AB445" s="18">
        <f ca="1">IFERROR(OFFSET(MANOR_LEVEL!$B$1,MATCH(AC445-1,MANOR_LEVEL!$A:$A,0)-1,0),0)</f>
        <v>0</v>
      </c>
      <c r="AC445" s="56">
        <v>1</v>
      </c>
      <c r="AD445" s="76"/>
      <c r="AE445" s="56">
        <f t="shared" ca="1" si="115"/>
        <v>1175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1175</v>
      </c>
      <c r="AG445" s="178">
        <f ca="1">AE445</f>
        <v>1175</v>
      </c>
      <c r="AH445" s="76"/>
      <c r="AI445" s="18">
        <f t="shared" si="114"/>
        <v>3</v>
      </c>
      <c r="AJ445" s="17">
        <v>3</v>
      </c>
      <c r="AK445" s="18">
        <f t="shared" si="121"/>
        <v>5</v>
      </c>
      <c r="AL445" s="17">
        <v>5</v>
      </c>
      <c r="AM445" s="18">
        <f t="shared" si="121"/>
        <v>0</v>
      </c>
      <c r="AN445" s="17">
        <v>0</v>
      </c>
      <c r="AO445" s="56">
        <f t="shared" si="116"/>
        <v>3</v>
      </c>
      <c r="AP445" s="18"/>
      <c r="AQ445" s="18">
        <f ca="1">IFERROR(OFFSET(ITEM_RES!$A$1,MATCH(AR445,ITEM_RES!$J:$J,0)-1,0),0)</f>
        <v>211020201</v>
      </c>
      <c r="AR445" s="17" t="s">
        <v>1333</v>
      </c>
      <c r="AS445" s="18">
        <v>50</v>
      </c>
      <c r="AT445" s="17"/>
      <c r="AU445" s="18"/>
      <c r="AV445" s="18">
        <f ca="1">IFERROR(OFFSET(ITEM_RES!$A$1,MATCH(AW445,ITEM_RES!$J:$J,0)-1,0),0)</f>
        <v>211020801</v>
      </c>
      <c r="AW445" s="17" t="s">
        <v>1447</v>
      </c>
      <c r="AX445" s="18">
        <v>15</v>
      </c>
      <c r="AY445" s="17"/>
      <c r="AZ445" s="18"/>
      <c r="BA445" s="18">
        <f ca="1">IFERROR(OFFSET(ITEM_RES!$A$1,MATCH(BB445,ITEM_RES!$J:$J,0)-1,0),0)</f>
        <v>213010101</v>
      </c>
      <c r="BB445" s="17" t="s">
        <v>441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18"/>
        <v>114020002</v>
      </c>
      <c r="B446" s="13">
        <v>11</v>
      </c>
      <c r="C446" s="12">
        <f t="shared" si="119"/>
        <v>4</v>
      </c>
      <c r="D446" s="13">
        <v>2</v>
      </c>
      <c r="E446" s="13">
        <v>0</v>
      </c>
      <c r="F446" s="12">
        <f t="shared" si="120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1134</v>
      </c>
      <c r="P446" s="55" t="s">
        <v>1393</v>
      </c>
      <c r="Q446" s="9" t="s">
        <v>687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515</v>
      </c>
      <c r="Z446" s="9">
        <v>2</v>
      </c>
      <c r="AB446" s="11">
        <f ca="1">IFERROR(OFFSET(MANOR_LEVEL!$B$1,MATCH(AC446-1,MANOR_LEVEL!$A:$A,0)-1,0),0)</f>
        <v>0</v>
      </c>
      <c r="AC446" s="55">
        <v>1</v>
      </c>
      <c r="AE446" s="55">
        <f t="shared" ca="1" si="115"/>
        <v>350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350</v>
      </c>
      <c r="AG446" s="176">
        <f ca="1">AE445+AE446</f>
        <v>1525</v>
      </c>
      <c r="AI446" s="11">
        <f t="shared" si="114"/>
        <v>5</v>
      </c>
      <c r="AJ446" s="10">
        <v>5</v>
      </c>
      <c r="AK446" s="11">
        <f t="shared" si="121"/>
        <v>10</v>
      </c>
      <c r="AL446" s="10">
        <v>10</v>
      </c>
      <c r="AM446" s="11">
        <f t="shared" si="121"/>
        <v>0</v>
      </c>
      <c r="AN446" s="10">
        <v>0</v>
      </c>
      <c r="AO446" s="55">
        <f t="shared" si="116"/>
        <v>2</v>
      </c>
      <c r="AQ446" s="11">
        <f ca="1">IFERROR(OFFSET(ITEM_RES!$A$1,MATCH(AR446,ITEM_RES!$J:$J,0)-1,0),0)</f>
        <v>211020201</v>
      </c>
      <c r="AR446" s="10" t="s">
        <v>1333</v>
      </c>
      <c r="AS446" s="11">
        <v>100</v>
      </c>
      <c r="AV446" s="11">
        <f ca="1">IFERROR(OFFSET(ITEM_RES!$A$1,MATCH(AW446,ITEM_RES!$J:$J,0)-1,0),0)</f>
        <v>211020801</v>
      </c>
      <c r="AW446" s="10" t="s">
        <v>1447</v>
      </c>
      <c r="AX446" s="11">
        <v>30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18"/>
        <v>114020003</v>
      </c>
      <c r="B447" s="13">
        <v>11</v>
      </c>
      <c r="C447" s="12">
        <f t="shared" si="119"/>
        <v>4</v>
      </c>
      <c r="D447" s="13">
        <v>2</v>
      </c>
      <c r="E447" s="13">
        <v>0</v>
      </c>
      <c r="F447" s="12">
        <f t="shared" si="120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1135</v>
      </c>
      <c r="P447" s="55" t="s">
        <v>1394</v>
      </c>
      <c r="Q447" s="9" t="s">
        <v>687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515</v>
      </c>
      <c r="Z447" s="9">
        <v>3</v>
      </c>
      <c r="AB447" s="11">
        <f ca="1">IFERROR(OFFSET(MANOR_LEVEL!$B$1,MATCH(AC447-1,MANOR_LEVEL!$A:$A,0)-1,0),0)</f>
        <v>0</v>
      </c>
      <c r="AC447" s="55">
        <v>1</v>
      </c>
      <c r="AE447" s="55">
        <f t="shared" ca="1" si="115"/>
        <v>525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525</v>
      </c>
      <c r="AG447" s="176">
        <f t="shared" ref="AG447:AG464" ca="1" si="122">AE446+AE447</f>
        <v>875</v>
      </c>
      <c r="AI447" s="11">
        <f t="shared" si="114"/>
        <v>5</v>
      </c>
      <c r="AJ447" s="10">
        <v>5</v>
      </c>
      <c r="AK447" s="11">
        <f t="shared" si="121"/>
        <v>15</v>
      </c>
      <c r="AL447" s="10">
        <v>15</v>
      </c>
      <c r="AM447" s="11">
        <f t="shared" si="121"/>
        <v>0</v>
      </c>
      <c r="AN447" s="10">
        <v>0</v>
      </c>
      <c r="AO447" s="55">
        <f t="shared" si="116"/>
        <v>2</v>
      </c>
      <c r="AQ447" s="11">
        <f ca="1">IFERROR(OFFSET(ITEM_RES!$A$1,MATCH(AR447,ITEM_RES!$J:$J,0)-1,0),0)</f>
        <v>211020201</v>
      </c>
      <c r="AR447" s="10" t="s">
        <v>1333</v>
      </c>
      <c r="AS447" s="11">
        <v>150</v>
      </c>
      <c r="AV447" s="11">
        <f ca="1">IFERROR(OFFSET(ITEM_RES!$A$1,MATCH(AW447,ITEM_RES!$J:$J,0)-1,0),0)</f>
        <v>211020801</v>
      </c>
      <c r="AW447" s="10" t="s">
        <v>1447</v>
      </c>
      <c r="AX447" s="11">
        <v>45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18"/>
        <v>114020004</v>
      </c>
      <c r="B448" s="13">
        <v>11</v>
      </c>
      <c r="C448" s="12">
        <f t="shared" si="119"/>
        <v>4</v>
      </c>
      <c r="D448" s="13">
        <v>2</v>
      </c>
      <c r="E448" s="13">
        <v>0</v>
      </c>
      <c r="F448" s="12">
        <f t="shared" si="120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1135</v>
      </c>
      <c r="P448" s="55" t="s">
        <v>1394</v>
      </c>
      <c r="Q448" s="9" t="s">
        <v>687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515</v>
      </c>
      <c r="Z448" s="9">
        <v>4</v>
      </c>
      <c r="AB448" s="11">
        <f ca="1">IFERROR(OFFSET(MANOR_LEVEL!$B$1,MATCH(AC448-1,MANOR_LEVEL!$A:$A,0)-1,0),0)</f>
        <v>0</v>
      </c>
      <c r="AC448" s="55">
        <v>1</v>
      </c>
      <c r="AE448" s="55">
        <f t="shared" ca="1" si="115"/>
        <v>2065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2065</v>
      </c>
      <c r="AG448" s="176">
        <f t="shared" ca="1" si="122"/>
        <v>2590</v>
      </c>
      <c r="AI448" s="11">
        <f t="shared" si="114"/>
        <v>10</v>
      </c>
      <c r="AJ448" s="10">
        <v>10</v>
      </c>
      <c r="AK448" s="11">
        <f t="shared" si="121"/>
        <v>25</v>
      </c>
      <c r="AL448" s="10">
        <v>25</v>
      </c>
      <c r="AM448" s="11">
        <f t="shared" si="121"/>
        <v>0</v>
      </c>
      <c r="AN448" s="10">
        <v>0</v>
      </c>
      <c r="AO448" s="55">
        <f t="shared" si="116"/>
        <v>2</v>
      </c>
      <c r="AQ448" s="11">
        <f ca="1">IFERROR(OFFSET(ITEM_RES!$A$1,MATCH(AR448,ITEM_RES!$J:$J,0)-1,0),0)</f>
        <v>211020201</v>
      </c>
      <c r="AR448" s="10" t="s">
        <v>1333</v>
      </c>
      <c r="AS448" s="11">
        <v>600</v>
      </c>
      <c r="AV448" s="11">
        <f ca="1">IFERROR(OFFSET(ITEM_RES!$A$1,MATCH(AW448,ITEM_RES!$J:$J,0)-1,0),0)</f>
        <v>211020801</v>
      </c>
      <c r="AW448" s="10" t="s">
        <v>1447</v>
      </c>
      <c r="AX448" s="11">
        <v>180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18"/>
        <v>114020005</v>
      </c>
      <c r="B449" s="13">
        <v>11</v>
      </c>
      <c r="C449" s="12">
        <f t="shared" si="119"/>
        <v>4</v>
      </c>
      <c r="D449" s="13">
        <v>2</v>
      </c>
      <c r="E449" s="13">
        <v>0</v>
      </c>
      <c r="F449" s="12">
        <f t="shared" si="120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1137</v>
      </c>
      <c r="P449" s="55" t="s">
        <v>1395</v>
      </c>
      <c r="Q449" s="9" t="s">
        <v>687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515</v>
      </c>
      <c r="Z449" s="9">
        <v>5</v>
      </c>
      <c r="AB449" s="11">
        <f ca="1">IFERROR(OFFSET(MANOR_LEVEL!$B$1,MATCH(AC449-1,MANOR_LEVEL!$A:$A,0)-1,0),0)</f>
        <v>0</v>
      </c>
      <c r="AC449" s="55">
        <v>1</v>
      </c>
      <c r="AE449" s="55">
        <f t="shared" ca="1" si="115"/>
        <v>9220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9220</v>
      </c>
      <c r="AG449" s="176">
        <f t="shared" ca="1" si="122"/>
        <v>11285</v>
      </c>
      <c r="AI449" s="11">
        <f t="shared" si="114"/>
        <v>15</v>
      </c>
      <c r="AJ449" s="10">
        <v>15</v>
      </c>
      <c r="AK449" s="11">
        <f t="shared" si="121"/>
        <v>40</v>
      </c>
      <c r="AL449" s="10">
        <v>40</v>
      </c>
      <c r="AM449" s="11">
        <f t="shared" si="121"/>
        <v>0</v>
      </c>
      <c r="AN449" s="10">
        <v>0</v>
      </c>
      <c r="AO449" s="55">
        <f t="shared" si="116"/>
        <v>2</v>
      </c>
      <c r="AQ449" s="11">
        <f ca="1">IFERROR(OFFSET(ITEM_RES!$A$1,MATCH(AR449,ITEM_RES!$J:$J,0)-1,0),0)</f>
        <v>211020201</v>
      </c>
      <c r="AR449" s="10" t="s">
        <v>1333</v>
      </c>
      <c r="AS449" s="11">
        <v>2700</v>
      </c>
      <c r="AV449" s="11">
        <f ca="1">IFERROR(OFFSET(ITEM_RES!$A$1,MATCH(AW449,ITEM_RES!$J:$J,0)-1,0),0)</f>
        <v>211020801</v>
      </c>
      <c r="AW449" s="10" t="s">
        <v>1447</v>
      </c>
      <c r="AX449" s="11">
        <v>810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18"/>
        <v>114020006</v>
      </c>
      <c r="B450" s="13">
        <v>11</v>
      </c>
      <c r="C450" s="12">
        <f t="shared" si="119"/>
        <v>4</v>
      </c>
      <c r="D450" s="13">
        <v>2</v>
      </c>
      <c r="E450" s="13">
        <v>0</v>
      </c>
      <c r="F450" s="12">
        <f t="shared" si="120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1137</v>
      </c>
      <c r="P450" s="55" t="s">
        <v>1395</v>
      </c>
      <c r="Q450" s="9" t="s">
        <v>687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515</v>
      </c>
      <c r="Z450" s="9">
        <v>6</v>
      </c>
      <c r="AB450" s="11">
        <f ca="1">IFERROR(OFFSET(MANOR_LEVEL!$B$1,MATCH(AC450-1,MANOR_LEVEL!$A:$A,0)-1,0),0)</f>
        <v>310</v>
      </c>
      <c r="AC450" s="55">
        <v>3</v>
      </c>
      <c r="AE450" s="55">
        <f t="shared" ca="1" si="115"/>
        <v>30650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30650</v>
      </c>
      <c r="AG450" s="176">
        <f t="shared" ca="1" si="122"/>
        <v>39870</v>
      </c>
      <c r="AI450" s="11">
        <f t="shared" si="114"/>
        <v>30</v>
      </c>
      <c r="AJ450" s="10">
        <v>30</v>
      </c>
      <c r="AK450" s="11">
        <f t="shared" si="121"/>
        <v>50</v>
      </c>
      <c r="AL450" s="10">
        <v>50</v>
      </c>
      <c r="AM450" s="11">
        <f t="shared" si="121"/>
        <v>0</v>
      </c>
      <c r="AN450" s="10">
        <v>0</v>
      </c>
      <c r="AO450" s="55">
        <f t="shared" si="116"/>
        <v>2</v>
      </c>
      <c r="AQ450" s="11">
        <f ca="1">IFERROR(OFFSET(ITEM_RES!$A$1,MATCH(AR450,ITEM_RES!$J:$J,0)-1,0),0)</f>
        <v>211020201</v>
      </c>
      <c r="AR450" s="10" t="s">
        <v>1333</v>
      </c>
      <c r="AS450" s="11">
        <v>9000</v>
      </c>
      <c r="AV450" s="11">
        <f ca="1">IFERROR(OFFSET(ITEM_RES!$A$1,MATCH(AW450,ITEM_RES!$J:$J,0)-1,0),0)</f>
        <v>211020801</v>
      </c>
      <c r="AW450" s="10" t="s">
        <v>1447</v>
      </c>
      <c r="AX450" s="11">
        <v>2700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18"/>
        <v>114020007</v>
      </c>
      <c r="B451" s="13">
        <v>11</v>
      </c>
      <c r="C451" s="12">
        <f t="shared" si="119"/>
        <v>4</v>
      </c>
      <c r="D451" s="13">
        <v>2</v>
      </c>
      <c r="E451" s="13">
        <v>0</v>
      </c>
      <c r="F451" s="12">
        <f t="shared" si="120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1138</v>
      </c>
      <c r="P451" s="55" t="s">
        <v>1396</v>
      </c>
      <c r="Q451" s="9" t="s">
        <v>687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515</v>
      </c>
      <c r="Z451" s="9">
        <v>7</v>
      </c>
      <c r="AB451" s="11">
        <f ca="1">IFERROR(OFFSET(MANOR_LEVEL!$B$1,MATCH(AC451-1,MANOR_LEVEL!$A:$A,0)-1,0),0)</f>
        <v>930</v>
      </c>
      <c r="AC451" s="55">
        <v>4</v>
      </c>
      <c r="AE451" s="55">
        <f t="shared" ca="1" si="115"/>
        <v>68100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68100</v>
      </c>
      <c r="AG451" s="176">
        <f t="shared" ca="1" si="122"/>
        <v>98750</v>
      </c>
      <c r="AI451" s="11">
        <f t="shared" si="114"/>
        <v>300</v>
      </c>
      <c r="AJ451" s="10">
        <v>300</v>
      </c>
      <c r="AK451" s="11">
        <f t="shared" si="121"/>
        <v>100</v>
      </c>
      <c r="AL451" s="10">
        <v>100</v>
      </c>
      <c r="AM451" s="11">
        <f t="shared" si="121"/>
        <v>0</v>
      </c>
      <c r="AN451" s="10">
        <v>0</v>
      </c>
      <c r="AO451" s="55">
        <f t="shared" si="116"/>
        <v>2</v>
      </c>
      <c r="AQ451" s="11">
        <f ca="1">IFERROR(OFFSET(ITEM_RES!$A$1,MATCH(AR451,ITEM_RES!$J:$J,0)-1,0),0)</f>
        <v>211020201</v>
      </c>
      <c r="AR451" s="10" t="s">
        <v>1333</v>
      </c>
      <c r="AS451" s="11">
        <v>20000</v>
      </c>
      <c r="AV451" s="11">
        <f ca="1">IFERROR(OFFSET(ITEM_RES!$A$1,MATCH(AW451,ITEM_RES!$J:$J,0)-1,0),0)</f>
        <v>211020801</v>
      </c>
      <c r="AW451" s="10" t="s">
        <v>1447</v>
      </c>
      <c r="AX451" s="11">
        <v>6000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18"/>
        <v>114020008</v>
      </c>
      <c r="B452" s="13">
        <v>11</v>
      </c>
      <c r="C452" s="12">
        <f t="shared" si="119"/>
        <v>4</v>
      </c>
      <c r="D452" s="13">
        <v>2</v>
      </c>
      <c r="E452" s="13">
        <v>0</v>
      </c>
      <c r="F452" s="12">
        <f t="shared" si="120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1138</v>
      </c>
      <c r="P452" s="55" t="s">
        <v>1396</v>
      </c>
      <c r="Q452" s="9" t="s">
        <v>687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515</v>
      </c>
      <c r="Z452" s="9">
        <v>8</v>
      </c>
      <c r="AB452" s="11">
        <f ca="1">IFERROR(OFFSET(MANOR_LEVEL!$B$1,MATCH(AC452-1,MANOR_LEVEL!$A:$A,0)-1,0),0)</f>
        <v>5475</v>
      </c>
      <c r="AC452" s="55">
        <v>5</v>
      </c>
      <c r="AE452" s="55">
        <f t="shared" ca="1" si="115"/>
        <v>151300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151300</v>
      </c>
      <c r="AG452" s="176">
        <f t="shared" ca="1" si="122"/>
        <v>219400</v>
      </c>
      <c r="AI452" s="11">
        <f t="shared" si="114"/>
        <v>600</v>
      </c>
      <c r="AJ452" s="10">
        <v>600</v>
      </c>
      <c r="AK452" s="11">
        <f t="shared" si="121"/>
        <v>100</v>
      </c>
      <c r="AL452" s="10">
        <v>100</v>
      </c>
      <c r="AM452" s="11">
        <v>0</v>
      </c>
      <c r="AN452" s="10">
        <v>0</v>
      </c>
      <c r="AO452" s="55">
        <f t="shared" si="116"/>
        <v>2</v>
      </c>
      <c r="AQ452" s="11">
        <f ca="1">IFERROR(OFFSET(ITEM_RES!$A$1,MATCH(AR452,ITEM_RES!$J:$J,0)-1,0),0)</f>
        <v>211020301</v>
      </c>
      <c r="AR452" s="10" t="s">
        <v>1334</v>
      </c>
      <c r="AS452" s="11">
        <v>42000</v>
      </c>
      <c r="AV452" s="11">
        <f ca="1">IFERROR(OFFSET(ITEM_RES!$A$1,MATCH(AW452,ITEM_RES!$J:$J,0)-1,0),0)</f>
        <v>211020801</v>
      </c>
      <c r="AW452" s="10" t="s">
        <v>1447</v>
      </c>
      <c r="AX452" s="11">
        <v>12600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18"/>
        <v>114020009</v>
      </c>
      <c r="B453" s="13">
        <v>11</v>
      </c>
      <c r="C453" s="12">
        <f t="shared" si="119"/>
        <v>4</v>
      </c>
      <c r="D453" s="13">
        <v>2</v>
      </c>
      <c r="E453" s="13">
        <v>0</v>
      </c>
      <c r="F453" s="12">
        <f t="shared" si="120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1444</v>
      </c>
      <c r="P453" s="55" t="s">
        <v>1446</v>
      </c>
      <c r="Q453" s="9" t="s">
        <v>687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515</v>
      </c>
      <c r="Z453" s="9">
        <v>9</v>
      </c>
      <c r="AB453" s="11">
        <f ca="1">IFERROR(OFFSET(MANOR_LEVEL!$B$1,MATCH(AC453-1,MANOR_LEVEL!$A:$A,0)-1,0),0)</f>
        <v>32560</v>
      </c>
      <c r="AC453" s="55">
        <v>6</v>
      </c>
      <c r="AE453" s="55">
        <f t="shared" ca="1" si="115"/>
        <v>280950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280950</v>
      </c>
      <c r="AG453" s="176">
        <f t="shared" ca="1" si="122"/>
        <v>432250</v>
      </c>
      <c r="AI453" s="11">
        <f t="shared" si="114"/>
        <v>900</v>
      </c>
      <c r="AJ453" s="10">
        <v>900</v>
      </c>
      <c r="AK453" s="11">
        <f t="shared" si="121"/>
        <v>150</v>
      </c>
      <c r="AL453" s="10">
        <v>150</v>
      </c>
      <c r="AM453" s="11">
        <v>0</v>
      </c>
      <c r="AN453" s="10">
        <v>0</v>
      </c>
      <c r="AO453" s="55">
        <f t="shared" si="116"/>
        <v>2</v>
      </c>
      <c r="AQ453" s="11">
        <f ca="1">IFERROR(OFFSET(ITEM_RES!$A$1,MATCH(AR453,ITEM_RES!$J:$J,0)-1,0),0)</f>
        <v>211020301</v>
      </c>
      <c r="AR453" s="10" t="s">
        <v>1334</v>
      </c>
      <c r="AS453" s="11">
        <v>78000</v>
      </c>
      <c r="AV453" s="11">
        <f ca="1">IFERROR(OFFSET(ITEM_RES!$A$1,MATCH(AW453,ITEM_RES!$J:$J,0)-1,0),0)</f>
        <v>211020801</v>
      </c>
      <c r="AW453" s="10" t="s">
        <v>1447</v>
      </c>
      <c r="AX453" s="11">
        <v>23400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18"/>
        <v>114020010</v>
      </c>
      <c r="B454" s="13">
        <v>11</v>
      </c>
      <c r="C454" s="12">
        <f t="shared" si="119"/>
        <v>4</v>
      </c>
      <c r="D454" s="13">
        <v>2</v>
      </c>
      <c r="E454" s="13">
        <v>0</v>
      </c>
      <c r="F454" s="12">
        <f t="shared" si="120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1444</v>
      </c>
      <c r="P454" s="55" t="s">
        <v>1446</v>
      </c>
      <c r="Q454" s="9" t="s">
        <v>687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515</v>
      </c>
      <c r="Z454" s="9">
        <v>10</v>
      </c>
      <c r="AB454" s="11">
        <f ca="1">IFERROR(OFFSET(MANOR_LEVEL!$B$1,MATCH(AC454-1,MANOR_LEVEL!$A:$A,0)-1,0),0)</f>
        <v>108200</v>
      </c>
      <c r="AC454" s="55">
        <v>7</v>
      </c>
      <c r="AE454" s="55">
        <f t="shared" ca="1" si="115"/>
        <v>468700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468700</v>
      </c>
      <c r="AG454" s="176">
        <f t="shared" ca="1" si="122"/>
        <v>749650</v>
      </c>
      <c r="AI454" s="11">
        <f t="shared" si="114"/>
        <v>1200</v>
      </c>
      <c r="AJ454" s="10">
        <v>1200</v>
      </c>
      <c r="AK454" s="11">
        <f t="shared" si="121"/>
        <v>200</v>
      </c>
      <c r="AL454" s="10">
        <v>200</v>
      </c>
      <c r="AM454" s="11">
        <v>500</v>
      </c>
      <c r="AN454" s="10">
        <v>0</v>
      </c>
      <c r="AO454" s="55">
        <f t="shared" si="116"/>
        <v>2</v>
      </c>
      <c r="AQ454" s="11">
        <f ca="1">IFERROR(OFFSET(ITEM_RES!$A$1,MATCH(AR454,ITEM_RES!$J:$J,0)-1,0),0)</f>
        <v>211020301</v>
      </c>
      <c r="AR454" s="10" t="s">
        <v>1334</v>
      </c>
      <c r="AS454" s="11">
        <v>130000</v>
      </c>
      <c r="AV454" s="11">
        <f ca="1">IFERROR(OFFSET(ITEM_RES!$A$1,MATCH(AW454,ITEM_RES!$J:$J,0)-1,0),0)</f>
        <v>211020801</v>
      </c>
      <c r="AW454" s="10" t="s">
        <v>1447</v>
      </c>
      <c r="AX454" s="11">
        <v>39000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18"/>
        <v>114020011</v>
      </c>
      <c r="B455" s="13">
        <v>11</v>
      </c>
      <c r="C455" s="12">
        <f t="shared" si="119"/>
        <v>4</v>
      </c>
      <c r="D455" s="13">
        <v>2</v>
      </c>
      <c r="E455" s="13">
        <v>0</v>
      </c>
      <c r="F455" s="12">
        <f t="shared" si="120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1443</v>
      </c>
      <c r="P455" s="55" t="s">
        <v>1445</v>
      </c>
      <c r="Q455" s="9" t="s">
        <v>687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515</v>
      </c>
      <c r="Z455" s="9">
        <v>11</v>
      </c>
      <c r="AB455" s="11">
        <f ca="1">IFERROR(OFFSET(MANOR_LEVEL!$B$1,MATCH(AC455-1,MANOR_LEVEL!$A:$A,0)-1,0),0)</f>
        <v>240400</v>
      </c>
      <c r="AC455" s="55">
        <v>8</v>
      </c>
      <c r="AE455" s="55">
        <f t="shared" ca="1" si="115"/>
        <v>798250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798250</v>
      </c>
      <c r="AG455" s="176">
        <f t="shared" ca="1" si="122"/>
        <v>1266950</v>
      </c>
      <c r="AI455" s="11">
        <f t="shared" si="114"/>
        <v>1500</v>
      </c>
      <c r="AJ455" s="10">
        <v>1500</v>
      </c>
      <c r="AK455" s="11">
        <f t="shared" si="121"/>
        <v>250</v>
      </c>
      <c r="AL455" s="10">
        <v>250</v>
      </c>
      <c r="AM455" s="11">
        <v>6000</v>
      </c>
      <c r="AN455" s="10">
        <v>0</v>
      </c>
      <c r="AO455" s="55">
        <f t="shared" si="116"/>
        <v>2</v>
      </c>
      <c r="AQ455" s="11">
        <f ca="1">IFERROR(OFFSET(ITEM_RES!$A$1,MATCH(AR455,ITEM_RES!$J:$J,0)-1,0),0)</f>
        <v>211020301</v>
      </c>
      <c r="AR455" s="10" t="s">
        <v>1334</v>
      </c>
      <c r="AS455" s="11">
        <v>220000</v>
      </c>
      <c r="AV455" s="11">
        <f ca="1">IFERROR(OFFSET(ITEM_RES!$A$1,MATCH(AW455,ITEM_RES!$J:$J,0)-1,0),0)</f>
        <v>211020801</v>
      </c>
      <c r="AW455" s="10" t="s">
        <v>1447</v>
      </c>
      <c r="AX455" s="11">
        <v>66000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18"/>
        <v>114020012</v>
      </c>
      <c r="B456" s="13">
        <v>11</v>
      </c>
      <c r="C456" s="12">
        <f t="shared" si="119"/>
        <v>4</v>
      </c>
      <c r="D456" s="13">
        <v>2</v>
      </c>
      <c r="E456" s="13">
        <v>0</v>
      </c>
      <c r="F456" s="12">
        <f t="shared" si="120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1443</v>
      </c>
      <c r="P456" s="55" t="s">
        <v>1445</v>
      </c>
      <c r="Q456" s="9" t="s">
        <v>687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515</v>
      </c>
      <c r="Z456" s="9">
        <v>12</v>
      </c>
      <c r="AB456" s="11">
        <f ca="1">IFERROR(OFFSET(MANOR_LEVEL!$B$1,MATCH(AC456-1,MANOR_LEVEL!$A:$A,0)-1,0),0)</f>
        <v>630500</v>
      </c>
      <c r="AC456" s="55">
        <v>9</v>
      </c>
      <c r="AE456" s="55">
        <f t="shared" ca="1" si="115"/>
        <v>3888300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3888300</v>
      </c>
      <c r="AG456" s="176">
        <f t="shared" ca="1" si="122"/>
        <v>4686550</v>
      </c>
      <c r="AI456" s="11">
        <f t="shared" si="114"/>
        <v>1800</v>
      </c>
      <c r="AJ456" s="10">
        <v>1800</v>
      </c>
      <c r="AK456" s="11">
        <f t="shared" si="121"/>
        <v>300</v>
      </c>
      <c r="AL456" s="10">
        <v>300</v>
      </c>
      <c r="AM456" s="11">
        <v>39000</v>
      </c>
      <c r="AN456" s="10">
        <v>0</v>
      </c>
      <c r="AO456" s="55">
        <f t="shared" si="116"/>
        <v>3</v>
      </c>
      <c r="AQ456" s="11">
        <f ca="1">IFERROR(OFFSET(ITEM_RES!$A$1,MATCH(AR456,ITEM_RES!$J:$J,0)-1,0),0)</f>
        <v>211020801</v>
      </c>
      <c r="AR456" s="10" t="s">
        <v>385</v>
      </c>
      <c r="AS456" s="11">
        <v>370000</v>
      </c>
      <c r="AV456" s="11">
        <f ca="1">IFERROR(OFFSET(ITEM_RES!$A$1,MATCH(AW456,ITEM_RES!$J:$J,0)-1,0),0)</f>
        <v>211020801</v>
      </c>
      <c r="AW456" s="10" t="s">
        <v>1447</v>
      </c>
      <c r="AX456" s="11">
        <v>111000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460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18"/>
        <v>114020013</v>
      </c>
      <c r="B457" s="13">
        <v>11</v>
      </c>
      <c r="C457" s="12">
        <f t="shared" si="119"/>
        <v>4</v>
      </c>
      <c r="D457" s="13">
        <v>2</v>
      </c>
      <c r="E457" s="13">
        <v>0</v>
      </c>
      <c r="F457" s="12">
        <f t="shared" si="120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1443</v>
      </c>
      <c r="P457" s="55" t="s">
        <v>1445</v>
      </c>
      <c r="Q457" s="9" t="s">
        <v>687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515</v>
      </c>
      <c r="Z457" s="9">
        <v>13</v>
      </c>
      <c r="AB457" s="11">
        <f ca="1">IFERROR(OFFSET(MANOR_LEVEL!$B$1,MATCH(AC457-1,MANOR_LEVEL!$A:$A,0)-1,0),0)</f>
        <v>1170750</v>
      </c>
      <c r="AC457" s="55">
        <v>10</v>
      </c>
      <c r="AE457" s="55">
        <f t="shared" ca="1" si="115"/>
        <v>6633350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6633350</v>
      </c>
      <c r="AG457" s="176">
        <f t="shared" ca="1" si="122"/>
        <v>10521650</v>
      </c>
      <c r="AI457" s="11">
        <f t="shared" si="114"/>
        <v>2100</v>
      </c>
      <c r="AJ457" s="10">
        <v>2100</v>
      </c>
      <c r="AK457" s="11">
        <f t="shared" si="121"/>
        <v>350</v>
      </c>
      <c r="AL457" s="10">
        <v>350</v>
      </c>
      <c r="AM457" s="11">
        <v>185000</v>
      </c>
      <c r="AN457" s="10">
        <v>0</v>
      </c>
      <c r="AO457" s="55">
        <f t="shared" si="116"/>
        <v>2</v>
      </c>
      <c r="AQ457" s="11">
        <f ca="1">IFERROR(OFFSET(ITEM_RES!$A$1,MATCH(AR457,ITEM_RES!$J:$J,0)-1,0),0)</f>
        <v>211020801</v>
      </c>
      <c r="AR457" s="10" t="s">
        <v>385</v>
      </c>
      <c r="AS457" s="11">
        <v>620000</v>
      </c>
      <c r="AV457" s="11">
        <f ca="1">IFERROR(OFFSET(ITEM_RES!$A$1,MATCH(AW457,ITEM_RES!$J:$J,0)-1,0),0)</f>
        <v>211020801</v>
      </c>
      <c r="AW457" s="10" t="s">
        <v>1447</v>
      </c>
      <c r="AX457" s="11">
        <v>186000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18"/>
        <v>114020014</v>
      </c>
      <c r="B458" s="13">
        <v>11</v>
      </c>
      <c r="C458" s="12">
        <f t="shared" si="119"/>
        <v>4</v>
      </c>
      <c r="D458" s="13">
        <v>2</v>
      </c>
      <c r="E458" s="13">
        <v>0</v>
      </c>
      <c r="F458" s="12">
        <f t="shared" si="120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1443</v>
      </c>
      <c r="P458" s="55" t="s">
        <v>1445</v>
      </c>
      <c r="Q458" s="9" t="s">
        <v>687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515</v>
      </c>
      <c r="Z458" s="9">
        <v>14</v>
      </c>
      <c r="AB458" s="11">
        <f ca="1">IFERROR(OFFSET(MANOR_LEVEL!$B$1,MATCH(AC458-1,MANOR_LEVEL!$A:$A,0)-1,0),0)</f>
        <v>1956000</v>
      </c>
      <c r="AC458" s="55">
        <v>11</v>
      </c>
      <c r="AE458" s="55">
        <f t="shared" ca="1" si="115"/>
        <v>10980450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10980450</v>
      </c>
      <c r="AG458" s="176">
        <f t="shared" ca="1" si="122"/>
        <v>17613800</v>
      </c>
      <c r="AI458" s="11">
        <f t="shared" si="114"/>
        <v>2400</v>
      </c>
      <c r="AJ458" s="10">
        <v>2400</v>
      </c>
      <c r="AK458" s="11">
        <f t="shared" si="121"/>
        <v>450</v>
      </c>
      <c r="AL458" s="10">
        <v>450</v>
      </c>
      <c r="AM458" s="11">
        <v>310000</v>
      </c>
      <c r="AN458" s="10">
        <v>0</v>
      </c>
      <c r="AO458" s="55">
        <f t="shared" si="116"/>
        <v>2</v>
      </c>
      <c r="AQ458" s="11">
        <f ca="1">IFERROR(OFFSET(ITEM_RES!$A$1,MATCH(AR458,ITEM_RES!$J:$J,0)-1,0),0)</f>
        <v>211020801</v>
      </c>
      <c r="AR458" s="10" t="s">
        <v>385</v>
      </c>
      <c r="AS458" s="11">
        <v>970000</v>
      </c>
      <c r="AV458" s="11">
        <f ca="1">IFERROR(OFFSET(ITEM_RES!$A$1,MATCH(AW458,ITEM_RES!$J:$J,0)-1,0),0)</f>
        <v>211020901</v>
      </c>
      <c r="AW458" s="10" t="s">
        <v>1448</v>
      </c>
      <c r="AX458" s="11">
        <v>291000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18"/>
        <v>114020015</v>
      </c>
      <c r="B459" s="13">
        <v>11</v>
      </c>
      <c r="C459" s="12">
        <f t="shared" si="119"/>
        <v>4</v>
      </c>
      <c r="D459" s="13">
        <v>2</v>
      </c>
      <c r="E459" s="13">
        <v>0</v>
      </c>
      <c r="F459" s="12">
        <f t="shared" si="120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1443</v>
      </c>
      <c r="P459" s="55" t="s">
        <v>1445</v>
      </c>
      <c r="Q459" s="9" t="s">
        <v>687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515</v>
      </c>
      <c r="Z459" s="9">
        <v>15</v>
      </c>
      <c r="AB459" s="11">
        <f ca="1">IFERROR(OFFSET(MANOR_LEVEL!$B$1,MATCH(AC459-1,MANOR_LEVEL!$A:$A,0)-1,0),0)</f>
        <v>3961500</v>
      </c>
      <c r="AC459" s="55">
        <v>12</v>
      </c>
      <c r="AE459" s="55">
        <f t="shared" ca="1" si="115"/>
        <v>23585550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23585550</v>
      </c>
      <c r="AG459" s="176">
        <f t="shared" ca="1" si="122"/>
        <v>34566000</v>
      </c>
      <c r="AI459" s="11">
        <f t="shared" si="114"/>
        <v>2700</v>
      </c>
      <c r="AJ459" s="10">
        <v>2700</v>
      </c>
      <c r="AK459" s="11">
        <f t="shared" si="121"/>
        <v>550</v>
      </c>
      <c r="AL459" s="10">
        <v>550</v>
      </c>
      <c r="AM459" s="11">
        <v>485000</v>
      </c>
      <c r="AN459" s="10">
        <v>0</v>
      </c>
      <c r="AO459" s="55">
        <f t="shared" si="116"/>
        <v>2</v>
      </c>
      <c r="AQ459" s="11">
        <f ca="1">IFERROR(OFFSET(ITEM_RES!$A$1,MATCH(AR459,ITEM_RES!$J:$J,0)-1,0),0)</f>
        <v>211020801</v>
      </c>
      <c r="AR459" s="10" t="s">
        <v>385</v>
      </c>
      <c r="AS459" s="11">
        <v>2100000</v>
      </c>
      <c r="AV459" s="11">
        <f ca="1">IFERROR(OFFSET(ITEM_RES!$A$1,MATCH(AW459,ITEM_RES!$J:$J,0)-1,0),0)</f>
        <v>211020901</v>
      </c>
      <c r="AW459" s="10" t="s">
        <v>1448</v>
      </c>
      <c r="AX459" s="11">
        <v>630000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18"/>
        <v>114020016</v>
      </c>
      <c r="B460" s="13">
        <v>11</v>
      </c>
      <c r="C460" s="12">
        <f t="shared" si="119"/>
        <v>4</v>
      </c>
      <c r="D460" s="13">
        <v>2</v>
      </c>
      <c r="E460" s="13">
        <v>0</v>
      </c>
      <c r="F460" s="12">
        <f t="shared" si="120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1443</v>
      </c>
      <c r="P460" s="55" t="s">
        <v>1445</v>
      </c>
      <c r="Q460" s="9" t="s">
        <v>687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515</v>
      </c>
      <c r="Z460" s="9">
        <v>16</v>
      </c>
      <c r="AB460" s="11">
        <f ca="1">IFERROR(OFFSET(MANOR_LEVEL!$B$1,MATCH(AC460-1,MANOR_LEVEL!$A:$A,0)-1,0),0)</f>
        <v>7772100</v>
      </c>
      <c r="AC460" s="55">
        <v>13</v>
      </c>
      <c r="AE460" s="55">
        <f t="shared" ca="1" si="115"/>
        <v>56950700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56950700</v>
      </c>
      <c r="AG460" s="176">
        <f t="shared" ca="1" si="122"/>
        <v>80536250</v>
      </c>
      <c r="AI460" s="11">
        <f t="shared" si="114"/>
        <v>3000</v>
      </c>
      <c r="AJ460" s="10">
        <v>3000</v>
      </c>
      <c r="AK460" s="11">
        <f t="shared" si="121"/>
        <v>700</v>
      </c>
      <c r="AL460" s="10">
        <v>700</v>
      </c>
      <c r="AM460" s="11">
        <v>1050000</v>
      </c>
      <c r="AN460" s="10">
        <v>0</v>
      </c>
      <c r="AO460" s="55">
        <f t="shared" si="116"/>
        <v>2</v>
      </c>
      <c r="AQ460" s="11">
        <f ca="1">IFERROR(OFFSET(ITEM_RES!$A$1,MATCH(AR460,ITEM_RES!$J:$J,0)-1,0),0)</f>
        <v>211020901</v>
      </c>
      <c r="AR460" s="10" t="s">
        <v>436</v>
      </c>
      <c r="AS460" s="11">
        <v>4300000</v>
      </c>
      <c r="AV460" s="11">
        <f ca="1">IFERROR(OFFSET(ITEM_RES!$A$1,MATCH(AW460,ITEM_RES!$J:$J,0)-1,0),0)</f>
        <v>211020901</v>
      </c>
      <c r="AW460" s="10" t="s">
        <v>1448</v>
      </c>
      <c r="AX460" s="11">
        <v>1290000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18"/>
        <v>114020017</v>
      </c>
      <c r="B461" s="13">
        <v>11</v>
      </c>
      <c r="C461" s="12">
        <f t="shared" si="119"/>
        <v>4</v>
      </c>
      <c r="D461" s="13">
        <v>2</v>
      </c>
      <c r="E461" s="13">
        <v>0</v>
      </c>
      <c r="F461" s="12">
        <f t="shared" si="120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1443</v>
      </c>
      <c r="P461" s="55" t="s">
        <v>1445</v>
      </c>
      <c r="Q461" s="9" t="s">
        <v>687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515</v>
      </c>
      <c r="Z461" s="9">
        <v>17</v>
      </c>
      <c r="AB461" s="11">
        <f ca="1">IFERROR(OFFSET(MANOR_LEVEL!$B$1,MATCH(AC461-1,MANOR_LEVEL!$A:$A,0)-1,0),0)</f>
        <v>13022450</v>
      </c>
      <c r="AC461" s="55">
        <v>14</v>
      </c>
      <c r="AE461" s="55">
        <f t="shared" ca="1" si="115"/>
        <v>106150850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106150850</v>
      </c>
      <c r="AG461" s="176">
        <f t="shared" ca="1" si="122"/>
        <v>163101550</v>
      </c>
      <c r="AI461" s="11">
        <f t="shared" si="114"/>
        <v>3300</v>
      </c>
      <c r="AJ461" s="10">
        <v>3300</v>
      </c>
      <c r="AK461" s="11">
        <f t="shared" si="121"/>
        <v>850</v>
      </c>
      <c r="AL461" s="10">
        <v>850</v>
      </c>
      <c r="AM461" s="11">
        <v>2150000</v>
      </c>
      <c r="AN461" s="10">
        <v>0</v>
      </c>
      <c r="AO461" s="55">
        <f t="shared" si="116"/>
        <v>2</v>
      </c>
      <c r="AQ461" s="11">
        <f ca="1">IFERROR(OFFSET(ITEM_RES!$A$1,MATCH(AR461,ITEM_RES!$J:$J,0)-1,0),0)</f>
        <v>211020901</v>
      </c>
      <c r="AR461" s="10" t="s">
        <v>436</v>
      </c>
      <c r="AS461" s="11">
        <v>8000000</v>
      </c>
      <c r="AV461" s="11">
        <f ca="1">IFERROR(OFFSET(ITEM_RES!$A$1,MATCH(AW461,ITEM_RES!$J:$J,0)-1,0),0)</f>
        <v>211020901</v>
      </c>
      <c r="AW461" s="10" t="s">
        <v>1448</v>
      </c>
      <c r="AX461" s="11">
        <v>2400000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18"/>
        <v>114020018</v>
      </c>
      <c r="B462" s="13">
        <v>11</v>
      </c>
      <c r="C462" s="12">
        <f t="shared" si="119"/>
        <v>4</v>
      </c>
      <c r="D462" s="13">
        <v>2</v>
      </c>
      <c r="E462" s="13">
        <v>0</v>
      </c>
      <c r="F462" s="12">
        <f t="shared" si="120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1443</v>
      </c>
      <c r="P462" s="55" t="s">
        <v>1445</v>
      </c>
      <c r="Q462" s="9" t="s">
        <v>687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515</v>
      </c>
      <c r="Z462" s="9">
        <v>18</v>
      </c>
      <c r="AB462" s="11">
        <f ca="1">IFERROR(OFFSET(MANOR_LEVEL!$B$1,MATCH(AC462-1,MANOR_LEVEL!$A:$A,0)-1,0),0)</f>
        <v>23283600</v>
      </c>
      <c r="AC462" s="55">
        <v>15</v>
      </c>
      <c r="AE462" s="55">
        <f t="shared" ca="1" si="115"/>
        <v>173001050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173001050</v>
      </c>
      <c r="AG462" s="176">
        <f t="shared" ca="1" si="122"/>
        <v>279151900</v>
      </c>
      <c r="AI462" s="11">
        <f t="shared" si="114"/>
        <v>3600</v>
      </c>
      <c r="AJ462" s="10">
        <v>3600</v>
      </c>
      <c r="AK462" s="11">
        <f t="shared" si="121"/>
        <v>1050</v>
      </c>
      <c r="AL462" s="10">
        <v>1050</v>
      </c>
      <c r="AM462" s="11">
        <v>4000000</v>
      </c>
      <c r="AN462" s="10">
        <v>0</v>
      </c>
      <c r="AO462" s="55">
        <f t="shared" si="116"/>
        <v>2</v>
      </c>
      <c r="AQ462" s="11">
        <f ca="1">IFERROR(OFFSET(ITEM_RES!$A$1,MATCH(AR462,ITEM_RES!$J:$J,0)-1,0),0)</f>
        <v>211020901</v>
      </c>
      <c r="AR462" s="10" t="s">
        <v>436</v>
      </c>
      <c r="AS462" s="11">
        <v>13000000</v>
      </c>
      <c r="AV462" s="11">
        <f ca="1">IFERROR(OFFSET(ITEM_RES!$A$1,MATCH(AW462,ITEM_RES!$J:$J,0)-1,0),0)</f>
        <v>211020901</v>
      </c>
      <c r="AW462" s="10" t="s">
        <v>1448</v>
      </c>
      <c r="AX462" s="11">
        <v>3900000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18"/>
        <v>114020019</v>
      </c>
      <c r="B463" s="13">
        <v>11</v>
      </c>
      <c r="C463" s="12">
        <f t="shared" si="119"/>
        <v>4</v>
      </c>
      <c r="D463" s="13">
        <v>2</v>
      </c>
      <c r="E463" s="13">
        <v>0</v>
      </c>
      <c r="F463" s="12">
        <f t="shared" si="120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1443</v>
      </c>
      <c r="P463" s="55" t="s">
        <v>1445</v>
      </c>
      <c r="Q463" s="9" t="s">
        <v>687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515</v>
      </c>
      <c r="Z463" s="9">
        <v>19</v>
      </c>
      <c r="AB463" s="11">
        <f ca="1">IFERROR(OFFSET(MANOR_LEVEL!$B$1,MATCH(AC463-1,MANOR_LEVEL!$A:$A,0)-1,0),0)</f>
        <v>50404400</v>
      </c>
      <c r="AC463" s="55">
        <v>16</v>
      </c>
      <c r="AE463" s="55">
        <f t="shared" ca="1" si="115"/>
        <v>266501250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266501250</v>
      </c>
      <c r="AG463" s="176">
        <f t="shared" ca="1" si="122"/>
        <v>439502300</v>
      </c>
      <c r="AI463" s="11">
        <f t="shared" si="114"/>
        <v>3900</v>
      </c>
      <c r="AJ463" s="10">
        <v>3900</v>
      </c>
      <c r="AK463" s="11">
        <f t="shared" si="121"/>
        <v>1250</v>
      </c>
      <c r="AL463" s="10">
        <v>1250</v>
      </c>
      <c r="AM463" s="11">
        <v>6500000</v>
      </c>
      <c r="AN463" s="10">
        <v>0</v>
      </c>
      <c r="AO463" s="55">
        <f t="shared" si="116"/>
        <v>2</v>
      </c>
      <c r="AQ463" s="11">
        <f ca="1">IFERROR(OFFSET(ITEM_RES!$A$1,MATCH(AR463,ITEM_RES!$J:$J,0)-1,0),0)</f>
        <v>211020901</v>
      </c>
      <c r="AR463" s="10" t="s">
        <v>436</v>
      </c>
      <c r="AS463" s="11">
        <v>20000000</v>
      </c>
      <c r="AV463" s="11">
        <f ca="1">IFERROR(OFFSET(ITEM_RES!$A$1,MATCH(AW463,ITEM_RES!$J:$J,0)-1,0),0)</f>
        <v>211020901</v>
      </c>
      <c r="AW463" s="10" t="s">
        <v>1448</v>
      </c>
      <c r="AX463" s="11">
        <v>6000000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18"/>
        <v>114020020</v>
      </c>
      <c r="B464" s="13">
        <v>11</v>
      </c>
      <c r="C464" s="12">
        <f t="shared" si="119"/>
        <v>4</v>
      </c>
      <c r="D464" s="13">
        <v>2</v>
      </c>
      <c r="E464" s="13">
        <v>0</v>
      </c>
      <c r="F464" s="12">
        <f t="shared" si="120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1443</v>
      </c>
      <c r="P464" s="55" t="s">
        <v>1445</v>
      </c>
      <c r="Q464" s="9" t="s">
        <v>687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515</v>
      </c>
      <c r="Z464" s="9">
        <v>20</v>
      </c>
      <c r="AB464" s="11">
        <f ca="1">IFERROR(OFFSET(MANOR_LEVEL!$B$1,MATCH(AC464-1,MANOR_LEVEL!$A:$A,0)-1,0),0)</f>
        <v>119976300</v>
      </c>
      <c r="AC464" s="55">
        <v>17</v>
      </c>
      <c r="AE464" s="55">
        <f t="shared" ca="1" si="115"/>
        <v>426001500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426001500</v>
      </c>
      <c r="AG464" s="176">
        <f t="shared" ca="1" si="122"/>
        <v>692502750</v>
      </c>
      <c r="AI464" s="11">
        <f t="shared" si="114"/>
        <v>4200</v>
      </c>
      <c r="AJ464" s="10">
        <v>4200</v>
      </c>
      <c r="AK464" s="11">
        <f t="shared" si="121"/>
        <v>1500</v>
      </c>
      <c r="AL464" s="10">
        <v>1500</v>
      </c>
      <c r="AM464" s="11">
        <v>10000000</v>
      </c>
      <c r="AN464" s="10">
        <v>0</v>
      </c>
      <c r="AO464" s="55">
        <f t="shared" si="116"/>
        <v>2</v>
      </c>
      <c r="AQ464" s="11">
        <f ca="1">IFERROR(OFFSET(ITEM_RES!$A$1,MATCH(AR464,ITEM_RES!$J:$J,0)-1,0),0)</f>
        <v>211020901</v>
      </c>
      <c r="AR464" s="10" t="s">
        <v>436</v>
      </c>
      <c r="AS464" s="11">
        <v>32000000</v>
      </c>
      <c r="AV464" s="11">
        <f ca="1">IFERROR(OFFSET(ITEM_RES!$A$1,MATCH(AW464,ITEM_RES!$J:$J,0)-1,0),0)</f>
        <v>211020901</v>
      </c>
      <c r="AW464" s="10" t="s">
        <v>1448</v>
      </c>
      <c r="AX464" s="11">
        <v>9600000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18"/>
        <v>115010001</v>
      </c>
      <c r="B465" s="20">
        <v>11</v>
      </c>
      <c r="C465" s="19">
        <f t="shared" si="119"/>
        <v>5</v>
      </c>
      <c r="D465" s="20">
        <v>1</v>
      </c>
      <c r="E465" s="20">
        <v>0</v>
      </c>
      <c r="F465" s="19">
        <f t="shared" si="120"/>
        <v>1</v>
      </c>
      <c r="G465" s="76"/>
      <c r="H465" s="16">
        <v>5</v>
      </c>
      <c r="I465" s="16">
        <v>1</v>
      </c>
      <c r="J465" s="76"/>
      <c r="K465" s="16" t="s">
        <v>1004</v>
      </c>
      <c r="L465" s="16">
        <v>5</v>
      </c>
      <c r="M465" s="16">
        <v>1</v>
      </c>
      <c r="N465" s="16">
        <v>15</v>
      </c>
      <c r="O465" s="16" t="s">
        <v>1139</v>
      </c>
      <c r="P465" s="56" t="s">
        <v>1397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516</v>
      </c>
      <c r="Z465" s="16">
        <v>1</v>
      </c>
      <c r="AA465" s="76"/>
      <c r="AB465" s="18">
        <f ca="1">IFERROR(OFFSET(MANOR_LEVEL!$B$1,MATCH(AC465-1,MANOR_LEVEL!$A:$A,0)-1,0),0)</f>
        <v>0</v>
      </c>
      <c r="AC465" s="56">
        <v>1</v>
      </c>
      <c r="AD465" s="76"/>
      <c r="AE465" s="56">
        <f t="shared" ca="1" si="115"/>
        <v>2405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2405</v>
      </c>
      <c r="AG465" s="178">
        <f ca="1">AE465</f>
        <v>2405</v>
      </c>
      <c r="AH465" s="76"/>
      <c r="AI465" s="18">
        <f t="shared" si="114"/>
        <v>3</v>
      </c>
      <c r="AJ465" s="17">
        <v>3</v>
      </c>
      <c r="AK465" s="18">
        <f t="shared" si="121"/>
        <v>5</v>
      </c>
      <c r="AL465" s="17">
        <v>5</v>
      </c>
      <c r="AM465" s="18">
        <v>0</v>
      </c>
      <c r="AN465" s="17">
        <v>0</v>
      </c>
      <c r="AO465" s="56">
        <f t="shared" si="116"/>
        <v>3</v>
      </c>
      <c r="AP465" s="18"/>
      <c r="AQ465" s="18">
        <f ca="1">IFERROR(OFFSET(ITEM_RES!$A$1,MATCH(AR465,ITEM_RES!$J:$J,0)-1,0),0)</f>
        <v>211020801</v>
      </c>
      <c r="AR465" s="17" t="s">
        <v>428</v>
      </c>
      <c r="AS465" s="18">
        <v>50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441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463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18"/>
        <v>115010002</v>
      </c>
      <c r="B466" s="13">
        <v>11</v>
      </c>
      <c r="C466" s="12">
        <f t="shared" si="119"/>
        <v>5</v>
      </c>
      <c r="D466" s="13">
        <v>1</v>
      </c>
      <c r="E466" s="13">
        <v>0</v>
      </c>
      <c r="F466" s="12">
        <f t="shared" si="120"/>
        <v>2</v>
      </c>
      <c r="H466" s="9">
        <v>5</v>
      </c>
      <c r="I466" s="9">
        <v>2</v>
      </c>
      <c r="K466" s="9" t="s">
        <v>1004</v>
      </c>
      <c r="M466" s="9">
        <v>1</v>
      </c>
      <c r="N466" s="9">
        <v>15</v>
      </c>
      <c r="O466" s="9" t="s">
        <v>1140</v>
      </c>
      <c r="P466" s="55" t="s">
        <v>1397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516</v>
      </c>
      <c r="Z466" s="9">
        <v>2</v>
      </c>
      <c r="AB466" s="11">
        <f ca="1">IFERROR(OFFSET(MANOR_LEVEL!$B$1,MATCH(AC466-1,MANOR_LEVEL!$A:$A,0)-1,0),0)</f>
        <v>0</v>
      </c>
      <c r="AC466" s="55">
        <v>1</v>
      </c>
      <c r="AE466" s="55">
        <f t="shared" ca="1" si="115"/>
        <v>810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810</v>
      </c>
      <c r="AG466" s="176">
        <f ca="1">AE465+AE466</f>
        <v>3215</v>
      </c>
      <c r="AI466" s="11">
        <f t="shared" si="114"/>
        <v>5</v>
      </c>
      <c r="AJ466" s="10">
        <v>5</v>
      </c>
      <c r="AK466" s="11">
        <f t="shared" si="121"/>
        <v>10</v>
      </c>
      <c r="AL466" s="10">
        <v>10</v>
      </c>
      <c r="AM466" s="11">
        <v>0</v>
      </c>
      <c r="AN466" s="10">
        <v>0</v>
      </c>
      <c r="AO466" s="55">
        <f t="shared" si="116"/>
        <v>1</v>
      </c>
      <c r="AQ466" s="11">
        <f ca="1">IFERROR(OFFSET(ITEM_RES!$A$1,MATCH(AR466,ITEM_RES!$J:$J,0)-1,0),0)</f>
        <v>211020801</v>
      </c>
      <c r="AR466" s="10" t="s">
        <v>428</v>
      </c>
      <c r="AS466" s="11">
        <v>100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18"/>
        <v>115010003</v>
      </c>
      <c r="B467" s="13">
        <v>11</v>
      </c>
      <c r="C467" s="12">
        <f t="shared" si="119"/>
        <v>5</v>
      </c>
      <c r="D467" s="13">
        <v>1</v>
      </c>
      <c r="E467" s="13">
        <v>0</v>
      </c>
      <c r="F467" s="12">
        <f t="shared" si="120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1141</v>
      </c>
      <c r="P467" s="55" t="s">
        <v>1398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516</v>
      </c>
      <c r="Z467" s="9">
        <v>3</v>
      </c>
      <c r="AB467" s="11">
        <f ca="1">IFERROR(OFFSET(MANOR_LEVEL!$B$1,MATCH(AC467-1,MANOR_LEVEL!$A:$A,0)-1,0),0)</f>
        <v>0</v>
      </c>
      <c r="AC467" s="55">
        <v>1</v>
      </c>
      <c r="AE467" s="55">
        <f t="shared" ca="1" si="115"/>
        <v>1215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1215</v>
      </c>
      <c r="AG467" s="176">
        <f t="shared" ref="AG467:AG484" ca="1" si="123">AE466+AE467</f>
        <v>2025</v>
      </c>
      <c r="AI467" s="11">
        <f t="shared" si="114"/>
        <v>5</v>
      </c>
      <c r="AJ467" s="10">
        <v>5</v>
      </c>
      <c r="AK467" s="11">
        <f t="shared" si="121"/>
        <v>15</v>
      </c>
      <c r="AL467" s="10">
        <v>15</v>
      </c>
      <c r="AM467" s="11">
        <v>0</v>
      </c>
      <c r="AN467" s="10">
        <v>0</v>
      </c>
      <c r="AO467" s="55">
        <f t="shared" si="116"/>
        <v>1</v>
      </c>
      <c r="AQ467" s="11">
        <f ca="1">IFERROR(OFFSET(ITEM_RES!$A$1,MATCH(AR467,ITEM_RES!$J:$J,0)-1,0),0)</f>
        <v>211020801</v>
      </c>
      <c r="AR467" s="10" t="s">
        <v>428</v>
      </c>
      <c r="AS467" s="11">
        <v>150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18"/>
        <v>115010004</v>
      </c>
      <c r="B468" s="13">
        <v>11</v>
      </c>
      <c r="C468" s="12">
        <f t="shared" si="119"/>
        <v>5</v>
      </c>
      <c r="D468" s="13">
        <v>1</v>
      </c>
      <c r="E468" s="13">
        <v>0</v>
      </c>
      <c r="F468" s="12">
        <f t="shared" si="120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1141</v>
      </c>
      <c r="P468" s="55" t="s">
        <v>1398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516</v>
      </c>
      <c r="Z468" s="9">
        <v>4</v>
      </c>
      <c r="AB468" s="11">
        <f ca="1">IFERROR(OFFSET(MANOR_LEVEL!$B$1,MATCH(AC468-1,MANOR_LEVEL!$A:$A,0)-1,0),0)</f>
        <v>0</v>
      </c>
      <c r="AC468" s="55">
        <v>1</v>
      </c>
      <c r="AE468" s="55">
        <f t="shared" ca="1" si="115"/>
        <v>4850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4850</v>
      </c>
      <c r="AG468" s="176">
        <f t="shared" ca="1" si="123"/>
        <v>6065</v>
      </c>
      <c r="AI468" s="11">
        <f t="shared" si="114"/>
        <v>10</v>
      </c>
      <c r="AJ468" s="10">
        <v>10</v>
      </c>
      <c r="AK468" s="11">
        <f t="shared" si="121"/>
        <v>25</v>
      </c>
      <c r="AL468" s="10">
        <v>25</v>
      </c>
      <c r="AM468" s="11">
        <v>25</v>
      </c>
      <c r="AN468" s="10">
        <v>0</v>
      </c>
      <c r="AO468" s="55">
        <f t="shared" si="116"/>
        <v>1</v>
      </c>
      <c r="AQ468" s="11">
        <f ca="1">IFERROR(OFFSET(ITEM_RES!$A$1,MATCH(AR468,ITEM_RES!$J:$J,0)-1,0),0)</f>
        <v>211020801</v>
      </c>
      <c r="AR468" s="10" t="s">
        <v>428</v>
      </c>
      <c r="AS468" s="11">
        <v>600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18"/>
        <v>115010005</v>
      </c>
      <c r="B469" s="13">
        <v>11</v>
      </c>
      <c r="C469" s="12">
        <f t="shared" si="119"/>
        <v>5</v>
      </c>
      <c r="D469" s="13">
        <v>1</v>
      </c>
      <c r="E469" s="13">
        <v>0</v>
      </c>
      <c r="F469" s="12">
        <f t="shared" si="120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1141</v>
      </c>
      <c r="P469" s="55" t="s">
        <v>1398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516</v>
      </c>
      <c r="Z469" s="9">
        <v>5</v>
      </c>
      <c r="AB469" s="11">
        <f ca="1">IFERROR(OFFSET(MANOR_LEVEL!$B$1,MATCH(AC469-1,MANOR_LEVEL!$A:$A,0)-1,0),0)</f>
        <v>0</v>
      </c>
      <c r="AC469" s="55">
        <v>1</v>
      </c>
      <c r="AE469" s="55">
        <f t="shared" ca="1" si="115"/>
        <v>22990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22990</v>
      </c>
      <c r="AG469" s="176">
        <f t="shared" ca="1" si="123"/>
        <v>27840</v>
      </c>
      <c r="AI469" s="11">
        <f t="shared" si="114"/>
        <v>15</v>
      </c>
      <c r="AJ469" s="10">
        <v>15</v>
      </c>
      <c r="AK469" s="11">
        <f t="shared" si="121"/>
        <v>40</v>
      </c>
      <c r="AL469" s="10">
        <v>40</v>
      </c>
      <c r="AM469" s="11">
        <v>1350</v>
      </c>
      <c r="AN469" s="10">
        <v>0</v>
      </c>
      <c r="AO469" s="55">
        <f t="shared" si="116"/>
        <v>1</v>
      </c>
      <c r="AQ469" s="11">
        <f ca="1">IFERROR(OFFSET(ITEM_RES!$A$1,MATCH(AR469,ITEM_RES!$J:$J,0)-1,0),0)</f>
        <v>211020801</v>
      </c>
      <c r="AR469" s="10" t="s">
        <v>428</v>
      </c>
      <c r="AS469" s="11">
        <v>2700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18"/>
        <v>115010006</v>
      </c>
      <c r="B470" s="13">
        <v>11</v>
      </c>
      <c r="C470" s="12">
        <f t="shared" si="119"/>
        <v>5</v>
      </c>
      <c r="D470" s="13">
        <v>1</v>
      </c>
      <c r="E470" s="13">
        <v>0</v>
      </c>
      <c r="F470" s="12">
        <f t="shared" si="120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1141</v>
      </c>
      <c r="P470" s="55" t="s">
        <v>1398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516</v>
      </c>
      <c r="Z470" s="9">
        <v>6</v>
      </c>
      <c r="AB470" s="11">
        <f ca="1">IFERROR(OFFSET(MANOR_LEVEL!$B$1,MATCH(AC470-1,MANOR_LEVEL!$A:$A,0)-1,0),0)</f>
        <v>310</v>
      </c>
      <c r="AC470" s="55">
        <v>3</v>
      </c>
      <c r="AE470" s="55">
        <f t="shared" ca="1" si="115"/>
        <v>76550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76550</v>
      </c>
      <c r="AG470" s="176">
        <f t="shared" ca="1" si="123"/>
        <v>99540</v>
      </c>
      <c r="AI470" s="11">
        <f t="shared" si="114"/>
        <v>30</v>
      </c>
      <c r="AJ470" s="10">
        <v>30</v>
      </c>
      <c r="AK470" s="11">
        <f t="shared" si="121"/>
        <v>50</v>
      </c>
      <c r="AL470" s="10">
        <v>50</v>
      </c>
      <c r="AM470" s="11">
        <v>4500</v>
      </c>
      <c r="AN470" s="10">
        <v>0</v>
      </c>
      <c r="AO470" s="55">
        <f t="shared" si="116"/>
        <v>1</v>
      </c>
      <c r="AQ470" s="11">
        <f ca="1">IFERROR(OFFSET(ITEM_RES!$A$1,MATCH(AR470,ITEM_RES!$J:$J,0)-1,0),0)</f>
        <v>211020801</v>
      </c>
      <c r="AR470" s="10" t="s">
        <v>428</v>
      </c>
      <c r="AS470" s="11">
        <v>9000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18"/>
        <v>115010007</v>
      </c>
      <c r="B471" s="13">
        <v>11</v>
      </c>
      <c r="C471" s="12">
        <f t="shared" si="119"/>
        <v>5</v>
      </c>
      <c r="D471" s="13">
        <v>1</v>
      </c>
      <c r="E471" s="13">
        <v>0</v>
      </c>
      <c r="F471" s="12">
        <f t="shared" si="120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1141</v>
      </c>
      <c r="P471" s="55" t="s">
        <v>1398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516</v>
      </c>
      <c r="Z471" s="9">
        <v>7</v>
      </c>
      <c r="AB471" s="11">
        <f ca="1">IFERROR(OFFSET(MANOR_LEVEL!$B$1,MATCH(AC471-1,MANOR_LEVEL!$A:$A,0)-1,0),0)</f>
        <v>930</v>
      </c>
      <c r="AC471" s="55">
        <v>4</v>
      </c>
      <c r="AE471" s="55">
        <f t="shared" ca="1" si="115"/>
        <v>170100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170100</v>
      </c>
      <c r="AG471" s="176">
        <f t="shared" ca="1" si="123"/>
        <v>246650</v>
      </c>
      <c r="AI471" s="11">
        <f t="shared" si="114"/>
        <v>300</v>
      </c>
      <c r="AJ471" s="10">
        <v>300</v>
      </c>
      <c r="AK471" s="11">
        <f t="shared" si="121"/>
        <v>100</v>
      </c>
      <c r="AL471" s="10">
        <v>100</v>
      </c>
      <c r="AM471" s="11">
        <v>10000</v>
      </c>
      <c r="AN471" s="10">
        <v>0</v>
      </c>
      <c r="AO471" s="55">
        <f t="shared" si="116"/>
        <v>1</v>
      </c>
      <c r="AQ471" s="11">
        <f ca="1">IFERROR(OFFSET(ITEM_RES!$A$1,MATCH(AR471,ITEM_RES!$J:$J,0)-1,0),0)</f>
        <v>211020801</v>
      </c>
      <c r="AR471" s="10" t="s">
        <v>428</v>
      </c>
      <c r="AS471" s="11">
        <v>20000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18"/>
        <v>115010008</v>
      </c>
      <c r="B472" s="13">
        <v>11</v>
      </c>
      <c r="C472" s="12">
        <f t="shared" si="119"/>
        <v>5</v>
      </c>
      <c r="D472" s="13">
        <v>1</v>
      </c>
      <c r="E472" s="13">
        <v>0</v>
      </c>
      <c r="F472" s="12">
        <f t="shared" si="120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1141</v>
      </c>
      <c r="P472" s="55" t="s">
        <v>1398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516</v>
      </c>
      <c r="Z472" s="9">
        <v>8</v>
      </c>
      <c r="AB472" s="11">
        <f ca="1">IFERROR(OFFSET(MANOR_LEVEL!$B$1,MATCH(AC472-1,MANOR_LEVEL!$A:$A,0)-1,0),0)</f>
        <v>5475</v>
      </c>
      <c r="AC472" s="55">
        <v>5</v>
      </c>
      <c r="AE472" s="55">
        <f t="shared" ca="1" si="115"/>
        <v>357100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357100</v>
      </c>
      <c r="AG472" s="176">
        <f t="shared" ca="1" si="123"/>
        <v>527200</v>
      </c>
      <c r="AI472" s="11">
        <f t="shared" si="114"/>
        <v>600</v>
      </c>
      <c r="AJ472" s="10">
        <v>600</v>
      </c>
      <c r="AK472" s="11">
        <f t="shared" si="121"/>
        <v>100</v>
      </c>
      <c r="AL472" s="10">
        <v>100</v>
      </c>
      <c r="AM472" s="11">
        <v>21000</v>
      </c>
      <c r="AN472" s="10">
        <v>0</v>
      </c>
      <c r="AO472" s="55">
        <f t="shared" si="116"/>
        <v>1</v>
      </c>
      <c r="AQ472" s="11">
        <f ca="1">IFERROR(OFFSET(ITEM_RES!$A$1,MATCH(AR472,ITEM_RES!$J:$J,0)-1,0),0)</f>
        <v>211020801</v>
      </c>
      <c r="AR472" s="10" t="s">
        <v>428</v>
      </c>
      <c r="AS472" s="11">
        <v>42000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18"/>
        <v>115010009</v>
      </c>
      <c r="B473" s="13">
        <v>11</v>
      </c>
      <c r="C473" s="12">
        <f t="shared" si="119"/>
        <v>5</v>
      </c>
      <c r="D473" s="13">
        <v>1</v>
      </c>
      <c r="E473" s="13">
        <v>0</v>
      </c>
      <c r="F473" s="12">
        <f t="shared" si="120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1142</v>
      </c>
      <c r="P473" s="55" t="s">
        <v>1399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516</v>
      </c>
      <c r="Z473" s="9">
        <v>9</v>
      </c>
      <c r="AB473" s="11">
        <f ca="1">IFERROR(OFFSET(MANOR_LEVEL!$B$1,MATCH(AC473-1,MANOR_LEVEL!$A:$A,0)-1,0),0)</f>
        <v>32560</v>
      </c>
      <c r="AC473" s="55">
        <v>6</v>
      </c>
      <c r="AE473" s="55">
        <f t="shared" ca="1" si="115"/>
        <v>663150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663150</v>
      </c>
      <c r="AG473" s="176">
        <f t="shared" ca="1" si="123"/>
        <v>1020250</v>
      </c>
      <c r="AI473" s="11">
        <f t="shared" ref="AI473:AI504" si="124">ROUND(AJ473,0)</f>
        <v>900</v>
      </c>
      <c r="AJ473" s="10">
        <v>900</v>
      </c>
      <c r="AK473" s="11">
        <f t="shared" si="121"/>
        <v>150</v>
      </c>
      <c r="AL473" s="10">
        <v>150</v>
      </c>
      <c r="AM473" s="11">
        <v>39000</v>
      </c>
      <c r="AN473" s="10">
        <v>0</v>
      </c>
      <c r="AO473" s="55">
        <f t="shared" si="116"/>
        <v>1</v>
      </c>
      <c r="AQ473" s="11">
        <f ca="1">IFERROR(OFFSET(ITEM_RES!$A$1,MATCH(AR473,ITEM_RES!$J:$J,0)-1,0),0)</f>
        <v>211020801</v>
      </c>
      <c r="AR473" s="10" t="s">
        <v>428</v>
      </c>
      <c r="AS473" s="11">
        <v>78000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18"/>
        <v>115010010</v>
      </c>
      <c r="B474" s="13">
        <v>11</v>
      </c>
      <c r="C474" s="12">
        <f t="shared" si="119"/>
        <v>5</v>
      </c>
      <c r="D474" s="13">
        <v>1</v>
      </c>
      <c r="E474" s="13">
        <v>0</v>
      </c>
      <c r="F474" s="12">
        <f t="shared" si="120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1142</v>
      </c>
      <c r="P474" s="55" t="s">
        <v>1399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516</v>
      </c>
      <c r="Z474" s="9">
        <v>10</v>
      </c>
      <c r="AB474" s="11">
        <f ca="1">IFERROR(OFFSET(MANOR_LEVEL!$B$1,MATCH(AC474-1,MANOR_LEVEL!$A:$A,0)-1,0),0)</f>
        <v>108200</v>
      </c>
      <c r="AC474" s="55">
        <v>7</v>
      </c>
      <c r="AE474" s="55">
        <f t="shared" ref="AE474:AE504" ca="1" si="125">ROUND(AF474,0)</f>
        <v>1106200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1106200</v>
      </c>
      <c r="AG474" s="176">
        <f t="shared" ca="1" si="123"/>
        <v>1769350</v>
      </c>
      <c r="AI474" s="11">
        <f t="shared" si="124"/>
        <v>1200</v>
      </c>
      <c r="AJ474" s="10">
        <v>1200</v>
      </c>
      <c r="AK474" s="11">
        <f t="shared" si="121"/>
        <v>200</v>
      </c>
      <c r="AL474" s="10">
        <v>200</v>
      </c>
      <c r="AM474" s="11">
        <v>65000</v>
      </c>
      <c r="AN474" s="10">
        <v>0</v>
      </c>
      <c r="AO474" s="55">
        <f t="shared" ref="AO474:AO504" si="126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428</v>
      </c>
      <c r="AS474" s="11">
        <v>130000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464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18"/>
        <v>115010011</v>
      </c>
      <c r="B475" s="13">
        <v>11</v>
      </c>
      <c r="C475" s="12">
        <f t="shared" si="119"/>
        <v>5</v>
      </c>
      <c r="D475" s="13">
        <v>1</v>
      </c>
      <c r="E475" s="13">
        <v>0</v>
      </c>
      <c r="F475" s="12">
        <f t="shared" si="120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1142</v>
      </c>
      <c r="P475" s="55" t="s">
        <v>1399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516</v>
      </c>
      <c r="Z475" s="9">
        <v>11</v>
      </c>
      <c r="AB475" s="11">
        <f ca="1">IFERROR(OFFSET(MANOR_LEVEL!$B$1,MATCH(AC475-1,MANOR_LEVEL!$A:$A,0)-1,0),0)</f>
        <v>240400</v>
      </c>
      <c r="AC475" s="55">
        <v>8</v>
      </c>
      <c r="AE475" s="55">
        <f t="shared" ca="1" si="125"/>
        <v>1870250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1870250</v>
      </c>
      <c r="AG475" s="176">
        <f t="shared" ca="1" si="123"/>
        <v>2976450</v>
      </c>
      <c r="AI475" s="11">
        <f t="shared" si="124"/>
        <v>1500</v>
      </c>
      <c r="AJ475" s="10">
        <v>1500</v>
      </c>
      <c r="AK475" s="11">
        <f t="shared" si="121"/>
        <v>250</v>
      </c>
      <c r="AL475" s="10">
        <v>250</v>
      </c>
      <c r="AM475" s="11">
        <v>110000</v>
      </c>
      <c r="AN475" s="10">
        <v>0</v>
      </c>
      <c r="AO475" s="55">
        <f t="shared" si="126"/>
        <v>1</v>
      </c>
      <c r="AQ475" s="11">
        <f ca="1">IFERROR(OFFSET(ITEM_RES!$A$1,MATCH(AR475,ITEM_RES!$J:$J,0)-1,0),0)</f>
        <v>211020801</v>
      </c>
      <c r="AR475" s="10" t="s">
        <v>428</v>
      </c>
      <c r="AS475" s="11">
        <v>220000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18"/>
        <v>115010012</v>
      </c>
      <c r="B476" s="13">
        <v>11</v>
      </c>
      <c r="C476" s="12">
        <f t="shared" si="119"/>
        <v>5</v>
      </c>
      <c r="D476" s="13">
        <v>1</v>
      </c>
      <c r="E476" s="13">
        <v>0</v>
      </c>
      <c r="F476" s="12">
        <f t="shared" si="120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1142</v>
      </c>
      <c r="P476" s="55" t="s">
        <v>1399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516</v>
      </c>
      <c r="Z476" s="9">
        <v>12</v>
      </c>
      <c r="AB476" s="11">
        <f ca="1">IFERROR(OFFSET(MANOR_LEVEL!$B$1,MATCH(AC476-1,MANOR_LEVEL!$A:$A,0)-1,0),0)</f>
        <v>630500</v>
      </c>
      <c r="AC476" s="55">
        <v>9</v>
      </c>
      <c r="AE476" s="55">
        <f t="shared" ca="1" si="125"/>
        <v>3145300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3145300</v>
      </c>
      <c r="AG476" s="176">
        <f t="shared" ca="1" si="123"/>
        <v>5015550</v>
      </c>
      <c r="AI476" s="11">
        <f t="shared" si="124"/>
        <v>1800</v>
      </c>
      <c r="AJ476" s="10">
        <v>1800</v>
      </c>
      <c r="AK476" s="11">
        <f t="shared" si="121"/>
        <v>300</v>
      </c>
      <c r="AL476" s="10">
        <v>300</v>
      </c>
      <c r="AM476" s="11">
        <v>185000</v>
      </c>
      <c r="AN476" s="10">
        <v>0</v>
      </c>
      <c r="AO476" s="55">
        <f t="shared" si="126"/>
        <v>1</v>
      </c>
      <c r="AQ476" s="11">
        <f ca="1">IFERROR(OFFSET(ITEM_RES!$A$1,MATCH(AR476,ITEM_RES!$J:$J,0)-1,0),0)</f>
        <v>211020801</v>
      </c>
      <c r="AR476" s="10" t="s">
        <v>428</v>
      </c>
      <c r="AS476" s="11">
        <v>370000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18"/>
        <v>115010013</v>
      </c>
      <c r="B477" s="13">
        <v>11</v>
      </c>
      <c r="C477" s="12">
        <f t="shared" si="119"/>
        <v>5</v>
      </c>
      <c r="D477" s="13">
        <v>1</v>
      </c>
      <c r="E477" s="13">
        <v>0</v>
      </c>
      <c r="F477" s="12">
        <f t="shared" si="120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1143</v>
      </c>
      <c r="P477" s="55" t="s">
        <v>1400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516</v>
      </c>
      <c r="Z477" s="9">
        <v>13</v>
      </c>
      <c r="AB477" s="11">
        <f ca="1">IFERROR(OFFSET(MANOR_LEVEL!$B$1,MATCH(AC477-1,MANOR_LEVEL!$A:$A,0)-1,0),0)</f>
        <v>1170750</v>
      </c>
      <c r="AC477" s="55">
        <v>10</v>
      </c>
      <c r="AE477" s="55">
        <f t="shared" ca="1" si="125"/>
        <v>5270350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5270350</v>
      </c>
      <c r="AG477" s="176">
        <f t="shared" ca="1" si="123"/>
        <v>8415650</v>
      </c>
      <c r="AI477" s="11">
        <f t="shared" si="124"/>
        <v>2100</v>
      </c>
      <c r="AJ477" s="10">
        <v>2100</v>
      </c>
      <c r="AK477" s="11">
        <f t="shared" si="121"/>
        <v>350</v>
      </c>
      <c r="AL477" s="10">
        <v>350</v>
      </c>
      <c r="AM477" s="11">
        <v>310000</v>
      </c>
      <c r="AN477" s="10">
        <v>0</v>
      </c>
      <c r="AO477" s="55">
        <f t="shared" si="126"/>
        <v>1</v>
      </c>
      <c r="AQ477" s="11">
        <f ca="1">IFERROR(OFFSET(ITEM_RES!$A$1,MATCH(AR477,ITEM_RES!$J:$J,0)-1,0),0)</f>
        <v>211020801</v>
      </c>
      <c r="AR477" s="10" t="s">
        <v>428</v>
      </c>
      <c r="AS477" s="11">
        <v>620000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18"/>
        <v>115010014</v>
      </c>
      <c r="B478" s="13">
        <v>11</v>
      </c>
      <c r="C478" s="12">
        <f t="shared" si="119"/>
        <v>5</v>
      </c>
      <c r="D478" s="13">
        <v>1</v>
      </c>
      <c r="E478" s="13">
        <v>0</v>
      </c>
      <c r="F478" s="12">
        <f t="shared" si="120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1143</v>
      </c>
      <c r="P478" s="55" t="s">
        <v>1400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516</v>
      </c>
      <c r="Z478" s="9">
        <v>14</v>
      </c>
      <c r="AB478" s="11">
        <f ca="1">IFERROR(OFFSET(MANOR_LEVEL!$B$1,MATCH(AC478-1,MANOR_LEVEL!$A:$A,0)-1,0),0)</f>
        <v>1956000</v>
      </c>
      <c r="AC478" s="55">
        <v>11</v>
      </c>
      <c r="AE478" s="55">
        <f t="shared" ca="1" si="125"/>
        <v>8245450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8245450</v>
      </c>
      <c r="AG478" s="176">
        <f t="shared" ca="1" si="123"/>
        <v>13515800</v>
      </c>
      <c r="AI478" s="11">
        <f t="shared" si="124"/>
        <v>2400</v>
      </c>
      <c r="AJ478" s="10">
        <v>2400</v>
      </c>
      <c r="AK478" s="11">
        <f t="shared" si="121"/>
        <v>450</v>
      </c>
      <c r="AL478" s="10">
        <v>450</v>
      </c>
      <c r="AM478" s="11">
        <v>485000</v>
      </c>
      <c r="AN478" s="10">
        <v>0</v>
      </c>
      <c r="AO478" s="55">
        <f t="shared" si="126"/>
        <v>1</v>
      </c>
      <c r="AQ478" s="11">
        <f ca="1">IFERROR(OFFSET(ITEM_RES!$A$1,MATCH(AR478,ITEM_RES!$J:$J,0)-1,0),0)</f>
        <v>211020801</v>
      </c>
      <c r="AR478" s="10" t="s">
        <v>428</v>
      </c>
      <c r="AS478" s="11">
        <v>970000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18"/>
        <v>115010015</v>
      </c>
      <c r="B479" s="13">
        <v>11</v>
      </c>
      <c r="C479" s="12">
        <f t="shared" si="119"/>
        <v>5</v>
      </c>
      <c r="D479" s="13">
        <v>1</v>
      </c>
      <c r="E479" s="13">
        <v>0</v>
      </c>
      <c r="F479" s="12">
        <f t="shared" si="120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1144</v>
      </c>
      <c r="P479" s="55" t="s">
        <v>1401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516</v>
      </c>
      <c r="Z479" s="9">
        <v>15</v>
      </c>
      <c r="AB479" s="11">
        <f ca="1">IFERROR(OFFSET(MANOR_LEVEL!$B$1,MATCH(AC479-1,MANOR_LEVEL!$A:$A,0)-1,0),0)</f>
        <v>3961500</v>
      </c>
      <c r="AC479" s="55">
        <v>12</v>
      </c>
      <c r="AE479" s="55">
        <f t="shared" ca="1" si="125"/>
        <v>17850550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17850550</v>
      </c>
      <c r="AG479" s="176">
        <f t="shared" ca="1" si="123"/>
        <v>26096000</v>
      </c>
      <c r="AI479" s="11">
        <f t="shared" si="124"/>
        <v>2700</v>
      </c>
      <c r="AJ479" s="10">
        <v>2700</v>
      </c>
      <c r="AK479" s="11">
        <f t="shared" si="121"/>
        <v>550</v>
      </c>
      <c r="AL479" s="10">
        <v>550</v>
      </c>
      <c r="AM479" s="11">
        <v>1050000</v>
      </c>
      <c r="AN479" s="10">
        <v>0</v>
      </c>
      <c r="AO479" s="55">
        <f t="shared" si="126"/>
        <v>1</v>
      </c>
      <c r="AQ479" s="11">
        <f ca="1">IFERROR(OFFSET(ITEM_RES!$A$1,MATCH(AR479,ITEM_RES!$J:$J,0)-1,0),0)</f>
        <v>211020801</v>
      </c>
      <c r="AR479" s="10" t="s">
        <v>428</v>
      </c>
      <c r="AS479" s="11">
        <v>2100000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18"/>
        <v>115010016</v>
      </c>
      <c r="B480" s="13">
        <v>11</v>
      </c>
      <c r="C480" s="12">
        <f t="shared" si="119"/>
        <v>5</v>
      </c>
      <c r="D480" s="13">
        <v>1</v>
      </c>
      <c r="E480" s="13">
        <v>0</v>
      </c>
      <c r="F480" s="12">
        <f t="shared" si="120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1144</v>
      </c>
      <c r="P480" s="55" t="s">
        <v>1401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516</v>
      </c>
      <c r="Z480" s="9">
        <v>16</v>
      </c>
      <c r="AB480" s="11">
        <f ca="1">IFERROR(OFFSET(MANOR_LEVEL!$B$1,MATCH(AC480-1,MANOR_LEVEL!$A:$A,0)-1,0),0)</f>
        <v>7772100</v>
      </c>
      <c r="AC480" s="55">
        <v>13</v>
      </c>
      <c r="AE480" s="55">
        <f t="shared" ca="1" si="125"/>
        <v>45150700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45150700</v>
      </c>
      <c r="AG480" s="176">
        <f t="shared" ca="1" si="123"/>
        <v>63001250</v>
      </c>
      <c r="AI480" s="11">
        <f t="shared" si="124"/>
        <v>3000</v>
      </c>
      <c r="AJ480" s="10">
        <v>3000</v>
      </c>
      <c r="AK480" s="11">
        <f t="shared" si="121"/>
        <v>700</v>
      </c>
      <c r="AL480" s="10">
        <v>700</v>
      </c>
      <c r="AM480" s="11">
        <v>2150000</v>
      </c>
      <c r="AN480" s="10">
        <v>0</v>
      </c>
      <c r="AO480" s="55">
        <f t="shared" si="126"/>
        <v>1</v>
      </c>
      <c r="AQ480" s="11">
        <f ca="1">IFERROR(OFFSET(ITEM_RES!$A$1,MATCH(AR480,ITEM_RES!$J:$J,0)-1,0),0)</f>
        <v>211020901</v>
      </c>
      <c r="AR480" s="10" t="s">
        <v>434</v>
      </c>
      <c r="AS480" s="11">
        <v>4300000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18"/>
        <v>115010017</v>
      </c>
      <c r="B481" s="13">
        <v>11</v>
      </c>
      <c r="C481" s="12">
        <f t="shared" si="119"/>
        <v>5</v>
      </c>
      <c r="D481" s="13">
        <v>1</v>
      </c>
      <c r="E481" s="13">
        <v>0</v>
      </c>
      <c r="F481" s="12">
        <f t="shared" si="120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1144</v>
      </c>
      <c r="P481" s="55" t="s">
        <v>1401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516</v>
      </c>
      <c r="Z481" s="9">
        <v>17</v>
      </c>
      <c r="AB481" s="11">
        <f ca="1">IFERROR(OFFSET(MANOR_LEVEL!$B$1,MATCH(AC481-1,MANOR_LEVEL!$A:$A,0)-1,0),0)</f>
        <v>13022450</v>
      </c>
      <c r="AC481" s="55">
        <v>14</v>
      </c>
      <c r="AE481" s="55">
        <f t="shared" ca="1" si="125"/>
        <v>84000850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84000850</v>
      </c>
      <c r="AG481" s="176">
        <f t="shared" ca="1" si="123"/>
        <v>129151550</v>
      </c>
      <c r="AI481" s="11">
        <f t="shared" si="124"/>
        <v>3300</v>
      </c>
      <c r="AJ481" s="10">
        <v>3300</v>
      </c>
      <c r="AK481" s="11">
        <f t="shared" si="121"/>
        <v>850</v>
      </c>
      <c r="AL481" s="10">
        <v>850</v>
      </c>
      <c r="AM481" s="11">
        <v>4000000</v>
      </c>
      <c r="AN481" s="10">
        <v>0</v>
      </c>
      <c r="AO481" s="55">
        <f t="shared" si="126"/>
        <v>1</v>
      </c>
      <c r="AQ481" s="11">
        <f ca="1">IFERROR(OFFSET(ITEM_RES!$A$1,MATCH(AR481,ITEM_RES!$J:$J,0)-1,0),0)</f>
        <v>211020901</v>
      </c>
      <c r="AR481" s="10" t="s">
        <v>434</v>
      </c>
      <c r="AS481" s="11">
        <v>8000000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18"/>
        <v>115010018</v>
      </c>
      <c r="B482" s="13">
        <v>11</v>
      </c>
      <c r="C482" s="12">
        <f t="shared" si="119"/>
        <v>5</v>
      </c>
      <c r="D482" s="13">
        <v>1</v>
      </c>
      <c r="E482" s="13">
        <v>0</v>
      </c>
      <c r="F482" s="12">
        <f t="shared" si="120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1144</v>
      </c>
      <c r="P482" s="55" t="s">
        <v>1401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516</v>
      </c>
      <c r="Z482" s="9">
        <v>18</v>
      </c>
      <c r="AB482" s="11">
        <f ca="1">IFERROR(OFFSET(MANOR_LEVEL!$B$1,MATCH(AC482-1,MANOR_LEVEL!$A:$A,0)-1,0),0)</f>
        <v>23283600</v>
      </c>
      <c r="AC482" s="55">
        <v>15</v>
      </c>
      <c r="AE482" s="55">
        <f t="shared" ca="1" si="125"/>
        <v>136501050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136501050</v>
      </c>
      <c r="AG482" s="176">
        <f t="shared" ca="1" si="123"/>
        <v>220501900</v>
      </c>
      <c r="AI482" s="11">
        <f t="shared" si="124"/>
        <v>3600</v>
      </c>
      <c r="AJ482" s="10">
        <v>3600</v>
      </c>
      <c r="AK482" s="11">
        <f t="shared" si="121"/>
        <v>1050</v>
      </c>
      <c r="AL482" s="10">
        <v>1050</v>
      </c>
      <c r="AM482" s="11">
        <v>6500000</v>
      </c>
      <c r="AN482" s="10">
        <v>0</v>
      </c>
      <c r="AO482" s="55">
        <f t="shared" si="126"/>
        <v>1</v>
      </c>
      <c r="AQ482" s="11">
        <f ca="1">IFERROR(OFFSET(ITEM_RES!$A$1,MATCH(AR482,ITEM_RES!$J:$J,0)-1,0),0)</f>
        <v>211020901</v>
      </c>
      <c r="AR482" s="10" t="s">
        <v>434</v>
      </c>
      <c r="AS482" s="11">
        <v>13000000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18"/>
        <v>115010019</v>
      </c>
      <c r="B483" s="13">
        <v>11</v>
      </c>
      <c r="C483" s="12">
        <f t="shared" si="119"/>
        <v>5</v>
      </c>
      <c r="D483" s="13">
        <v>1</v>
      </c>
      <c r="E483" s="13">
        <v>0</v>
      </c>
      <c r="F483" s="12">
        <f t="shared" si="120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1144</v>
      </c>
      <c r="P483" s="55" t="s">
        <v>1401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516</v>
      </c>
      <c r="Z483" s="9">
        <v>19</v>
      </c>
      <c r="AB483" s="11">
        <f ca="1">IFERROR(OFFSET(MANOR_LEVEL!$B$1,MATCH(AC483-1,MANOR_LEVEL!$A:$A,0)-1,0),0)</f>
        <v>50404400</v>
      </c>
      <c r="AC483" s="55">
        <v>16</v>
      </c>
      <c r="AE483" s="55">
        <f t="shared" ca="1" si="125"/>
        <v>210001250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210001250</v>
      </c>
      <c r="AG483" s="176">
        <f t="shared" ca="1" si="123"/>
        <v>346502300</v>
      </c>
      <c r="AI483" s="11">
        <f t="shared" si="124"/>
        <v>3900</v>
      </c>
      <c r="AJ483" s="10">
        <v>3900</v>
      </c>
      <c r="AK483" s="11">
        <f t="shared" si="121"/>
        <v>1250</v>
      </c>
      <c r="AL483" s="10">
        <v>1250</v>
      </c>
      <c r="AM483" s="11">
        <v>10000000</v>
      </c>
      <c r="AN483" s="10">
        <v>0</v>
      </c>
      <c r="AO483" s="55">
        <f t="shared" si="126"/>
        <v>1</v>
      </c>
      <c r="AQ483" s="11">
        <f ca="1">IFERROR(OFFSET(ITEM_RES!$A$1,MATCH(AR483,ITEM_RES!$J:$J,0)-1,0),0)</f>
        <v>211020901</v>
      </c>
      <c r="AR483" s="10" t="s">
        <v>434</v>
      </c>
      <c r="AS483" s="11">
        <v>20000000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18"/>
        <v>115010020</v>
      </c>
      <c r="B484" s="13">
        <v>11</v>
      </c>
      <c r="C484" s="12">
        <f t="shared" si="119"/>
        <v>5</v>
      </c>
      <c r="D484" s="13">
        <v>1</v>
      </c>
      <c r="E484" s="13">
        <v>0</v>
      </c>
      <c r="F484" s="12">
        <f t="shared" si="120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1144</v>
      </c>
      <c r="P484" s="55" t="s">
        <v>1401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516</v>
      </c>
      <c r="Z484" s="9">
        <v>20</v>
      </c>
      <c r="AB484" s="11">
        <f ca="1">IFERROR(OFFSET(MANOR_LEVEL!$B$1,MATCH(AC484-1,MANOR_LEVEL!$A:$A,0)-1,0),0)</f>
        <v>119976300</v>
      </c>
      <c r="AC484" s="55">
        <v>17</v>
      </c>
      <c r="AE484" s="55">
        <f t="shared" ca="1" si="125"/>
        <v>336001500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336001500</v>
      </c>
      <c r="AG484" s="176">
        <f t="shared" ca="1" si="123"/>
        <v>546002750</v>
      </c>
      <c r="AI484" s="11">
        <f t="shared" si="124"/>
        <v>4200</v>
      </c>
      <c r="AJ484" s="10">
        <v>4200</v>
      </c>
      <c r="AK484" s="11">
        <f t="shared" si="121"/>
        <v>1500</v>
      </c>
      <c r="AL484" s="10">
        <v>1500</v>
      </c>
      <c r="AM484" s="11">
        <v>16000000</v>
      </c>
      <c r="AN484" s="10">
        <v>0</v>
      </c>
      <c r="AO484" s="55">
        <f t="shared" si="126"/>
        <v>1</v>
      </c>
      <c r="AQ484" s="11">
        <f ca="1">IFERROR(OFFSET(ITEM_RES!$A$1,MATCH(AR484,ITEM_RES!$J:$J,0)-1,0),0)</f>
        <v>211020901</v>
      </c>
      <c r="AR484" s="10" t="s">
        <v>434</v>
      </c>
      <c r="AS484" s="11">
        <v>32000000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18"/>
        <v>115020001</v>
      </c>
      <c r="B485" s="20">
        <v>11</v>
      </c>
      <c r="C485" s="19">
        <f t="shared" si="119"/>
        <v>5</v>
      </c>
      <c r="D485" s="20">
        <v>2</v>
      </c>
      <c r="E485" s="20">
        <v>0</v>
      </c>
      <c r="F485" s="19">
        <f t="shared" si="120"/>
        <v>1</v>
      </c>
      <c r="G485" s="76"/>
      <c r="H485" s="16">
        <v>5</v>
      </c>
      <c r="I485" s="16">
        <v>1</v>
      </c>
      <c r="J485" s="76"/>
      <c r="K485" s="16" t="s">
        <v>1005</v>
      </c>
      <c r="L485" s="16">
        <v>1</v>
      </c>
      <c r="M485" s="16">
        <v>1</v>
      </c>
      <c r="N485" s="16">
        <v>15</v>
      </c>
      <c r="O485" s="16" t="s">
        <v>1145</v>
      </c>
      <c r="P485" s="56" t="s">
        <v>1402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1</v>
      </c>
      <c r="AA485" s="76"/>
      <c r="AB485" s="18">
        <f ca="1">IFERROR(OFFSET(MANOR_LEVEL!$B$1,MATCH(AC485-1,MANOR_LEVEL!$A:$A,0)-1,0),0)</f>
        <v>0</v>
      </c>
      <c r="AC485" s="56">
        <v>1</v>
      </c>
      <c r="AD485" s="76"/>
      <c r="AE485" s="56">
        <f t="shared" ca="1" si="125"/>
        <v>2205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2205</v>
      </c>
      <c r="AG485" s="178">
        <f ca="1">AE485</f>
        <v>2205</v>
      </c>
      <c r="AH485" s="76"/>
      <c r="AI485" s="18">
        <f t="shared" si="124"/>
        <v>3</v>
      </c>
      <c r="AJ485" s="17">
        <v>3</v>
      </c>
      <c r="AK485" s="18">
        <f t="shared" si="121"/>
        <v>5</v>
      </c>
      <c r="AL485" s="17">
        <v>5</v>
      </c>
      <c r="AM485" s="18">
        <f t="shared" si="121"/>
        <v>0</v>
      </c>
      <c r="AN485" s="17">
        <v>0</v>
      </c>
      <c r="AO485" s="56">
        <f t="shared" si="126"/>
        <v>3</v>
      </c>
      <c r="AP485" s="18"/>
      <c r="AQ485" s="18">
        <f ca="1">IFERROR(OFFSET(ITEM_RES!$A$1,MATCH(AR485,ITEM_RES!$J:$J,0)-1,0),0)</f>
        <v>211020801</v>
      </c>
      <c r="AR485" s="17" t="s">
        <v>428</v>
      </c>
      <c r="AS485" s="18">
        <v>25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441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463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18"/>
        <v>115020002</v>
      </c>
      <c r="B486" s="13">
        <v>11</v>
      </c>
      <c r="C486" s="12">
        <f t="shared" si="119"/>
        <v>5</v>
      </c>
      <c r="D486" s="13">
        <v>2</v>
      </c>
      <c r="E486" s="13">
        <v>0</v>
      </c>
      <c r="F486" s="12">
        <f t="shared" si="120"/>
        <v>2</v>
      </c>
      <c r="H486" s="9">
        <v>5</v>
      </c>
      <c r="I486" s="9">
        <v>2</v>
      </c>
      <c r="K486" s="9" t="s">
        <v>1005</v>
      </c>
      <c r="M486" s="9">
        <v>1</v>
      </c>
      <c r="N486" s="9">
        <v>15</v>
      </c>
      <c r="O486" s="9" t="s">
        <v>1146</v>
      </c>
      <c r="P486" s="55" t="s">
        <v>1402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0</v>
      </c>
      <c r="AC486" s="55">
        <v>1</v>
      </c>
      <c r="AE486" s="55">
        <f t="shared" ca="1" si="125"/>
        <v>410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410</v>
      </c>
      <c r="AG486" s="176">
        <f ca="1">AE485+AE486</f>
        <v>2615</v>
      </c>
      <c r="AI486" s="11">
        <f t="shared" si="124"/>
        <v>5</v>
      </c>
      <c r="AJ486" s="10">
        <v>5</v>
      </c>
      <c r="AK486" s="11">
        <f t="shared" si="121"/>
        <v>10</v>
      </c>
      <c r="AL486" s="10">
        <v>10</v>
      </c>
      <c r="AM486" s="11">
        <f t="shared" si="121"/>
        <v>0</v>
      </c>
      <c r="AN486" s="10">
        <v>0</v>
      </c>
      <c r="AO486" s="55">
        <f t="shared" si="126"/>
        <v>1</v>
      </c>
      <c r="AQ486" s="11">
        <f ca="1">IFERROR(OFFSET(ITEM_RES!$A$1,MATCH(AR486,ITEM_RES!$J:$J,0)-1,0),0)</f>
        <v>211020801</v>
      </c>
      <c r="AR486" s="10" t="s">
        <v>428</v>
      </c>
      <c r="AS486" s="11">
        <v>50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18"/>
        <v>115020003</v>
      </c>
      <c r="B487" s="13">
        <v>11</v>
      </c>
      <c r="C487" s="12">
        <f t="shared" si="119"/>
        <v>5</v>
      </c>
      <c r="D487" s="13">
        <v>2</v>
      </c>
      <c r="E487" s="13">
        <v>0</v>
      </c>
      <c r="F487" s="12">
        <f t="shared" si="120"/>
        <v>3</v>
      </c>
      <c r="H487" s="9">
        <v>5</v>
      </c>
      <c r="I487" s="9">
        <v>3</v>
      </c>
      <c r="K487" s="9" t="s">
        <v>1005</v>
      </c>
      <c r="M487" s="9">
        <v>1</v>
      </c>
      <c r="N487" s="9">
        <v>15</v>
      </c>
      <c r="O487" s="9" t="s">
        <v>1146</v>
      </c>
      <c r="P487" s="55" t="s">
        <v>1402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0</v>
      </c>
      <c r="AC487" s="55">
        <v>1</v>
      </c>
      <c r="AE487" s="55">
        <f t="shared" ca="1" si="125"/>
        <v>615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615</v>
      </c>
      <c r="AG487" s="176">
        <f t="shared" ref="AG487:AG504" ca="1" si="127">AE486+AE487</f>
        <v>1025</v>
      </c>
      <c r="AI487" s="11">
        <f t="shared" si="124"/>
        <v>5</v>
      </c>
      <c r="AJ487" s="10">
        <v>5</v>
      </c>
      <c r="AK487" s="11">
        <f t="shared" si="121"/>
        <v>15</v>
      </c>
      <c r="AL487" s="10">
        <v>15</v>
      </c>
      <c r="AM487" s="11">
        <f t="shared" si="121"/>
        <v>0</v>
      </c>
      <c r="AN487" s="10">
        <v>0</v>
      </c>
      <c r="AO487" s="55">
        <f t="shared" si="126"/>
        <v>1</v>
      </c>
      <c r="AQ487" s="11">
        <f ca="1">IFERROR(OFFSET(ITEM_RES!$A$1,MATCH(AR487,ITEM_RES!$J:$J,0)-1,0),0)</f>
        <v>211020801</v>
      </c>
      <c r="AR487" s="10" t="s">
        <v>428</v>
      </c>
      <c r="AS487" s="11">
        <v>75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18"/>
        <v>115020004</v>
      </c>
      <c r="B488" s="13">
        <v>11</v>
      </c>
      <c r="C488" s="12">
        <f t="shared" si="119"/>
        <v>5</v>
      </c>
      <c r="D488" s="13">
        <v>2</v>
      </c>
      <c r="E488" s="13">
        <v>0</v>
      </c>
      <c r="F488" s="12">
        <f t="shared" si="120"/>
        <v>4</v>
      </c>
      <c r="H488" s="9">
        <v>5</v>
      </c>
      <c r="I488" s="9">
        <v>4</v>
      </c>
      <c r="K488" s="9" t="s">
        <v>1005</v>
      </c>
      <c r="M488" s="9">
        <v>1</v>
      </c>
      <c r="N488" s="9">
        <v>15</v>
      </c>
      <c r="O488" s="9" t="s">
        <v>1147</v>
      </c>
      <c r="P488" s="55" t="s">
        <v>1403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0</v>
      </c>
      <c r="AC488" s="55">
        <v>1</v>
      </c>
      <c r="AE488" s="55">
        <f t="shared" ca="1" si="125"/>
        <v>2425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2425</v>
      </c>
      <c r="AG488" s="176">
        <f t="shared" ca="1" si="127"/>
        <v>3040</v>
      </c>
      <c r="AI488" s="11">
        <f t="shared" si="124"/>
        <v>10</v>
      </c>
      <c r="AJ488" s="10">
        <v>10</v>
      </c>
      <c r="AK488" s="11">
        <f t="shared" si="121"/>
        <v>25</v>
      </c>
      <c r="AL488" s="10">
        <v>25</v>
      </c>
      <c r="AM488" s="11">
        <f t="shared" si="121"/>
        <v>0</v>
      </c>
      <c r="AN488" s="10">
        <v>0</v>
      </c>
      <c r="AO488" s="55">
        <f t="shared" si="126"/>
        <v>1</v>
      </c>
      <c r="AQ488" s="11">
        <f ca="1">IFERROR(OFFSET(ITEM_RES!$A$1,MATCH(AR488,ITEM_RES!$J:$J,0)-1,0),0)</f>
        <v>211020801</v>
      </c>
      <c r="AR488" s="10" t="s">
        <v>428</v>
      </c>
      <c r="AS488" s="11">
        <v>300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18"/>
        <v>115020005</v>
      </c>
      <c r="B489" s="13">
        <v>11</v>
      </c>
      <c r="C489" s="12">
        <f t="shared" si="119"/>
        <v>5</v>
      </c>
      <c r="D489" s="13">
        <v>2</v>
      </c>
      <c r="E489" s="13">
        <v>0</v>
      </c>
      <c r="F489" s="12">
        <f t="shared" si="120"/>
        <v>5</v>
      </c>
      <c r="H489" s="9">
        <v>5</v>
      </c>
      <c r="I489" s="9">
        <v>5</v>
      </c>
      <c r="K489" s="9" t="s">
        <v>1005</v>
      </c>
      <c r="M489" s="9">
        <v>1</v>
      </c>
      <c r="N489" s="9">
        <v>15</v>
      </c>
      <c r="O489" s="9" t="s">
        <v>1147</v>
      </c>
      <c r="P489" s="55" t="s">
        <v>1403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0</v>
      </c>
      <c r="AC489" s="55">
        <v>1</v>
      </c>
      <c r="AE489" s="55">
        <f t="shared" ca="1" si="125"/>
        <v>10840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10840</v>
      </c>
      <c r="AG489" s="176">
        <f t="shared" ca="1" si="127"/>
        <v>13265</v>
      </c>
      <c r="AI489" s="11">
        <f t="shared" si="124"/>
        <v>15</v>
      </c>
      <c r="AJ489" s="10">
        <v>15</v>
      </c>
      <c r="AK489" s="11">
        <f t="shared" si="121"/>
        <v>40</v>
      </c>
      <c r="AL489" s="10">
        <v>40</v>
      </c>
      <c r="AM489" s="11">
        <f t="shared" si="121"/>
        <v>0</v>
      </c>
      <c r="AN489" s="10">
        <v>0</v>
      </c>
      <c r="AO489" s="55">
        <f t="shared" si="126"/>
        <v>1</v>
      </c>
      <c r="AQ489" s="11">
        <f ca="1">IFERROR(OFFSET(ITEM_RES!$A$1,MATCH(AR489,ITEM_RES!$J:$J,0)-1,0),0)</f>
        <v>211020801</v>
      </c>
      <c r="AR489" s="10" t="s">
        <v>428</v>
      </c>
      <c r="AS489" s="11">
        <v>1350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18"/>
        <v>115020006</v>
      </c>
      <c r="B490" s="13">
        <v>11</v>
      </c>
      <c r="C490" s="12">
        <f t="shared" si="119"/>
        <v>5</v>
      </c>
      <c r="D490" s="13">
        <v>2</v>
      </c>
      <c r="E490" s="13">
        <v>0</v>
      </c>
      <c r="F490" s="12">
        <f t="shared" si="120"/>
        <v>6</v>
      </c>
      <c r="H490" s="9">
        <v>5</v>
      </c>
      <c r="I490" s="9">
        <v>6</v>
      </c>
      <c r="K490" s="9" t="s">
        <v>1005</v>
      </c>
      <c r="M490" s="9">
        <v>1</v>
      </c>
      <c r="N490" s="9">
        <v>15</v>
      </c>
      <c r="O490" s="9" t="s">
        <v>1147</v>
      </c>
      <c r="P490" s="55" t="s">
        <v>1403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310</v>
      </c>
      <c r="AC490" s="55">
        <v>3</v>
      </c>
      <c r="AE490" s="55">
        <f t="shared" ca="1" si="125"/>
        <v>36050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36050</v>
      </c>
      <c r="AG490" s="176">
        <f t="shared" ca="1" si="127"/>
        <v>46890</v>
      </c>
      <c r="AI490" s="11">
        <f t="shared" si="124"/>
        <v>30</v>
      </c>
      <c r="AJ490" s="10">
        <v>30</v>
      </c>
      <c r="AK490" s="11">
        <f t="shared" si="121"/>
        <v>50</v>
      </c>
      <c r="AL490" s="10">
        <v>50</v>
      </c>
      <c r="AM490" s="11">
        <f t="shared" si="121"/>
        <v>0</v>
      </c>
      <c r="AN490" s="10">
        <v>0</v>
      </c>
      <c r="AO490" s="55">
        <f t="shared" si="126"/>
        <v>1</v>
      </c>
      <c r="AQ490" s="11">
        <f ca="1">IFERROR(OFFSET(ITEM_RES!$A$1,MATCH(AR490,ITEM_RES!$J:$J,0)-1,0),0)</f>
        <v>211020801</v>
      </c>
      <c r="AR490" s="10" t="s">
        <v>428</v>
      </c>
      <c r="AS490" s="11">
        <v>4500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18"/>
        <v>115020007</v>
      </c>
      <c r="B491" s="13">
        <v>11</v>
      </c>
      <c r="C491" s="12">
        <f t="shared" si="119"/>
        <v>5</v>
      </c>
      <c r="D491" s="13">
        <v>2</v>
      </c>
      <c r="E491" s="13">
        <v>0</v>
      </c>
      <c r="F491" s="12">
        <f t="shared" si="120"/>
        <v>7</v>
      </c>
      <c r="H491" s="9">
        <v>5</v>
      </c>
      <c r="I491" s="9">
        <v>7</v>
      </c>
      <c r="K491" s="9" t="s">
        <v>1005</v>
      </c>
      <c r="M491" s="9">
        <v>1</v>
      </c>
      <c r="N491" s="9">
        <v>15</v>
      </c>
      <c r="O491" s="9" t="s">
        <v>1148</v>
      </c>
      <c r="P491" s="55" t="s">
        <v>1404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930</v>
      </c>
      <c r="AC491" s="55">
        <v>4</v>
      </c>
      <c r="AE491" s="55">
        <f t="shared" ca="1" si="125"/>
        <v>80100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80100</v>
      </c>
      <c r="AG491" s="176">
        <f t="shared" ca="1" si="127"/>
        <v>116150</v>
      </c>
      <c r="AI491" s="11">
        <f t="shared" si="124"/>
        <v>300</v>
      </c>
      <c r="AJ491" s="10">
        <v>300</v>
      </c>
      <c r="AK491" s="11">
        <f t="shared" si="121"/>
        <v>100</v>
      </c>
      <c r="AL491" s="10">
        <v>100</v>
      </c>
      <c r="AM491" s="11">
        <f t="shared" si="121"/>
        <v>0</v>
      </c>
      <c r="AN491" s="10">
        <v>0</v>
      </c>
      <c r="AO491" s="55">
        <f t="shared" si="126"/>
        <v>1</v>
      </c>
      <c r="AQ491" s="11">
        <f ca="1">IFERROR(OFFSET(ITEM_RES!$A$1,MATCH(AR491,ITEM_RES!$J:$J,0)-1,0),0)</f>
        <v>211020801</v>
      </c>
      <c r="AR491" s="10" t="s">
        <v>428</v>
      </c>
      <c r="AS491" s="11">
        <v>10000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18"/>
        <v>115020008</v>
      </c>
      <c r="B492" s="13">
        <v>11</v>
      </c>
      <c r="C492" s="12">
        <f t="shared" si="119"/>
        <v>5</v>
      </c>
      <c r="D492" s="13">
        <v>2</v>
      </c>
      <c r="E492" s="13">
        <v>0</v>
      </c>
      <c r="F492" s="12">
        <f t="shared" si="120"/>
        <v>8</v>
      </c>
      <c r="H492" s="9">
        <v>5</v>
      </c>
      <c r="I492" s="9">
        <v>8</v>
      </c>
      <c r="K492" s="9" t="s">
        <v>1005</v>
      </c>
      <c r="M492" s="9">
        <v>1</v>
      </c>
      <c r="N492" s="9">
        <v>15</v>
      </c>
      <c r="O492" s="9" t="s">
        <v>1148</v>
      </c>
      <c r="P492" s="55" t="s">
        <v>1404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5475</v>
      </c>
      <c r="AC492" s="55">
        <v>5</v>
      </c>
      <c r="AE492" s="55">
        <f t="shared" ca="1" si="125"/>
        <v>168100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168100</v>
      </c>
      <c r="AG492" s="176">
        <f t="shared" ca="1" si="127"/>
        <v>248200</v>
      </c>
      <c r="AI492" s="11">
        <f t="shared" si="124"/>
        <v>600</v>
      </c>
      <c r="AJ492" s="10">
        <v>600</v>
      </c>
      <c r="AK492" s="11">
        <f t="shared" si="121"/>
        <v>100</v>
      </c>
      <c r="AL492" s="10">
        <v>100</v>
      </c>
      <c r="AM492" s="11">
        <v>0</v>
      </c>
      <c r="AN492" s="10">
        <v>0</v>
      </c>
      <c r="AO492" s="55">
        <f t="shared" si="126"/>
        <v>1</v>
      </c>
      <c r="AQ492" s="11">
        <f ca="1">IFERROR(OFFSET(ITEM_RES!$A$1,MATCH(AR492,ITEM_RES!$J:$J,0)-1,0),0)</f>
        <v>211020801</v>
      </c>
      <c r="AR492" s="10" t="s">
        <v>428</v>
      </c>
      <c r="AS492" s="11">
        <v>21000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28">B493*10000000+C493*1000000+D493*10000+E493*100+F493</f>
        <v>115020009</v>
      </c>
      <c r="B493" s="13">
        <v>11</v>
      </c>
      <c r="C493" s="12">
        <f t="shared" ref="C493:C504" si="129">H493</f>
        <v>5</v>
      </c>
      <c r="D493" s="13">
        <v>2</v>
      </c>
      <c r="E493" s="13">
        <v>0</v>
      </c>
      <c r="F493" s="12">
        <f t="shared" ref="F493:F504" si="130">I493</f>
        <v>9</v>
      </c>
      <c r="H493" s="9">
        <v>5</v>
      </c>
      <c r="I493" s="9">
        <v>9</v>
      </c>
      <c r="K493" s="9" t="s">
        <v>1005</v>
      </c>
      <c r="M493" s="9">
        <v>1</v>
      </c>
      <c r="N493" s="9">
        <v>15</v>
      </c>
      <c r="O493" s="9" t="s">
        <v>1148</v>
      </c>
      <c r="P493" s="55" t="s">
        <v>1404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32560</v>
      </c>
      <c r="AC493" s="55">
        <v>6</v>
      </c>
      <c r="AE493" s="55">
        <f t="shared" ca="1" si="125"/>
        <v>312150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312150</v>
      </c>
      <c r="AG493" s="176">
        <f t="shared" ca="1" si="127"/>
        <v>480250</v>
      </c>
      <c r="AI493" s="11">
        <f t="shared" si="124"/>
        <v>900</v>
      </c>
      <c r="AJ493" s="10">
        <v>900</v>
      </c>
      <c r="AK493" s="11">
        <f t="shared" si="121"/>
        <v>150</v>
      </c>
      <c r="AL493" s="10">
        <v>150</v>
      </c>
      <c r="AM493" s="11">
        <v>0</v>
      </c>
      <c r="AN493" s="10">
        <v>0</v>
      </c>
      <c r="AO493" s="55">
        <f t="shared" si="126"/>
        <v>1</v>
      </c>
      <c r="AQ493" s="11">
        <f ca="1">IFERROR(OFFSET(ITEM_RES!$A$1,MATCH(AR493,ITEM_RES!$J:$J,0)-1,0),0)</f>
        <v>211020801</v>
      </c>
      <c r="AR493" s="10" t="s">
        <v>428</v>
      </c>
      <c r="AS493" s="11">
        <v>39000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28"/>
        <v>115020010</v>
      </c>
      <c r="B494" s="13">
        <v>11</v>
      </c>
      <c r="C494" s="12">
        <f t="shared" si="129"/>
        <v>5</v>
      </c>
      <c r="D494" s="13">
        <v>2</v>
      </c>
      <c r="E494" s="13">
        <v>0</v>
      </c>
      <c r="F494" s="12">
        <f t="shared" si="130"/>
        <v>10</v>
      </c>
      <c r="H494" s="9">
        <v>5</v>
      </c>
      <c r="I494" s="9">
        <v>10</v>
      </c>
      <c r="K494" s="9" t="s">
        <v>1005</v>
      </c>
      <c r="M494" s="9">
        <v>1</v>
      </c>
      <c r="N494" s="9">
        <v>15</v>
      </c>
      <c r="O494" s="9" t="s">
        <v>1148</v>
      </c>
      <c r="P494" s="55" t="s">
        <v>1404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108200</v>
      </c>
      <c r="AC494" s="55">
        <v>7</v>
      </c>
      <c r="AE494" s="55">
        <f t="shared" ca="1" si="125"/>
        <v>525700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525700</v>
      </c>
      <c r="AG494" s="176">
        <f t="shared" ca="1" si="127"/>
        <v>837850</v>
      </c>
      <c r="AI494" s="11">
        <f t="shared" si="124"/>
        <v>1200</v>
      </c>
      <c r="AJ494" s="10">
        <v>1200</v>
      </c>
      <c r="AK494" s="11">
        <f t="shared" ref="AK494:AK504" si="131">ROUND(AL494,0)</f>
        <v>200</v>
      </c>
      <c r="AL494" s="10">
        <v>200</v>
      </c>
      <c r="AM494" s="11">
        <v>500</v>
      </c>
      <c r="AN494" s="10">
        <v>0</v>
      </c>
      <c r="AO494" s="55">
        <f t="shared" si="126"/>
        <v>2</v>
      </c>
      <c r="AQ494" s="11">
        <f ca="1">IFERROR(OFFSET(ITEM_RES!$A$1,MATCH(AR494,ITEM_RES!$J:$J,0)-1,0),0)</f>
        <v>211020801</v>
      </c>
      <c r="AR494" s="10" t="s">
        <v>428</v>
      </c>
      <c r="AS494" s="11">
        <v>65000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469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28"/>
        <v>115020011</v>
      </c>
      <c r="B495" s="13">
        <v>11</v>
      </c>
      <c r="C495" s="12">
        <f t="shared" si="129"/>
        <v>5</v>
      </c>
      <c r="D495" s="13">
        <v>2</v>
      </c>
      <c r="E495" s="13">
        <v>0</v>
      </c>
      <c r="F495" s="12">
        <f t="shared" si="130"/>
        <v>11</v>
      </c>
      <c r="H495" s="9">
        <v>5</v>
      </c>
      <c r="I495" s="9">
        <v>11</v>
      </c>
      <c r="K495" s="9" t="s">
        <v>1005</v>
      </c>
      <c r="M495" s="9">
        <v>1</v>
      </c>
      <c r="N495" s="9">
        <v>15</v>
      </c>
      <c r="O495" s="9" t="s">
        <v>1149</v>
      </c>
      <c r="P495" s="55" t="s">
        <v>1405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240400</v>
      </c>
      <c r="AC495" s="55">
        <v>8</v>
      </c>
      <c r="AE495" s="55">
        <f t="shared" ca="1" si="125"/>
        <v>886250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886250</v>
      </c>
      <c r="AG495" s="176">
        <f t="shared" ca="1" si="127"/>
        <v>1411950</v>
      </c>
      <c r="AI495" s="11">
        <f t="shared" si="124"/>
        <v>1500</v>
      </c>
      <c r="AJ495" s="10">
        <v>1500</v>
      </c>
      <c r="AK495" s="11">
        <f t="shared" si="131"/>
        <v>250</v>
      </c>
      <c r="AL495" s="10">
        <v>250</v>
      </c>
      <c r="AM495" s="11">
        <v>6000</v>
      </c>
      <c r="AN495" s="10">
        <v>0</v>
      </c>
      <c r="AO495" s="55">
        <f t="shared" si="126"/>
        <v>1</v>
      </c>
      <c r="AQ495" s="11">
        <f ca="1">IFERROR(OFFSET(ITEM_RES!$A$1,MATCH(AR495,ITEM_RES!$J:$J,0)-1,0),0)</f>
        <v>211020801</v>
      </c>
      <c r="AR495" s="10" t="s">
        <v>428</v>
      </c>
      <c r="AS495" s="11">
        <v>110000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28"/>
        <v>115020012</v>
      </c>
      <c r="B496" s="13">
        <v>11</v>
      </c>
      <c r="C496" s="12">
        <f t="shared" si="129"/>
        <v>5</v>
      </c>
      <c r="D496" s="13">
        <v>2</v>
      </c>
      <c r="E496" s="13">
        <v>0</v>
      </c>
      <c r="F496" s="12">
        <f t="shared" si="130"/>
        <v>12</v>
      </c>
      <c r="H496" s="9">
        <v>5</v>
      </c>
      <c r="I496" s="9">
        <v>12</v>
      </c>
      <c r="K496" s="9" t="s">
        <v>1005</v>
      </c>
      <c r="M496" s="9">
        <v>1</v>
      </c>
      <c r="N496" s="9">
        <v>15</v>
      </c>
      <c r="O496" s="9" t="s">
        <v>1149</v>
      </c>
      <c r="P496" s="55" t="s">
        <v>1405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630500</v>
      </c>
      <c r="AC496" s="55">
        <v>9</v>
      </c>
      <c r="AE496" s="55">
        <f t="shared" ca="1" si="125"/>
        <v>1519300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1519300</v>
      </c>
      <c r="AG496" s="176">
        <f t="shared" ca="1" si="127"/>
        <v>2405550</v>
      </c>
      <c r="AI496" s="11">
        <f t="shared" si="124"/>
        <v>1800</v>
      </c>
      <c r="AJ496" s="10">
        <v>1800</v>
      </c>
      <c r="AK496" s="11">
        <f t="shared" si="131"/>
        <v>300</v>
      </c>
      <c r="AL496" s="10">
        <v>300</v>
      </c>
      <c r="AM496" s="11">
        <v>39000</v>
      </c>
      <c r="AN496" s="10">
        <v>0</v>
      </c>
      <c r="AO496" s="55">
        <f t="shared" si="126"/>
        <v>1</v>
      </c>
      <c r="AQ496" s="11">
        <f ca="1">IFERROR(OFFSET(ITEM_RES!$A$1,MATCH(AR496,ITEM_RES!$J:$J,0)-1,0),0)</f>
        <v>211020801</v>
      </c>
      <c r="AR496" s="10" t="s">
        <v>428</v>
      </c>
      <c r="AS496" s="11">
        <v>185000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28"/>
        <v>115020013</v>
      </c>
      <c r="B497" s="13">
        <v>11</v>
      </c>
      <c r="C497" s="12">
        <f t="shared" si="129"/>
        <v>5</v>
      </c>
      <c r="D497" s="13">
        <v>2</v>
      </c>
      <c r="E497" s="13">
        <v>0</v>
      </c>
      <c r="F497" s="12">
        <f t="shared" si="130"/>
        <v>13</v>
      </c>
      <c r="H497" s="9">
        <v>5</v>
      </c>
      <c r="I497" s="9">
        <v>13</v>
      </c>
      <c r="K497" s="9" t="s">
        <v>1005</v>
      </c>
      <c r="M497" s="9">
        <v>1</v>
      </c>
      <c r="N497" s="9">
        <v>15</v>
      </c>
      <c r="O497" s="9" t="s">
        <v>1149</v>
      </c>
      <c r="P497" s="55" t="s">
        <v>1405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1170750</v>
      </c>
      <c r="AC497" s="55">
        <v>10</v>
      </c>
      <c r="AE497" s="55">
        <f t="shared" ca="1" si="125"/>
        <v>2665350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2665350</v>
      </c>
      <c r="AG497" s="176">
        <f t="shared" ca="1" si="127"/>
        <v>4184650</v>
      </c>
      <c r="AI497" s="11">
        <f t="shared" si="124"/>
        <v>2100</v>
      </c>
      <c r="AJ497" s="10">
        <v>2100</v>
      </c>
      <c r="AK497" s="11">
        <f t="shared" si="131"/>
        <v>350</v>
      </c>
      <c r="AL497" s="10">
        <v>350</v>
      </c>
      <c r="AM497" s="11">
        <v>185000</v>
      </c>
      <c r="AN497" s="10">
        <v>0</v>
      </c>
      <c r="AO497" s="55">
        <f t="shared" si="126"/>
        <v>1</v>
      </c>
      <c r="AQ497" s="11">
        <f ca="1">IFERROR(OFFSET(ITEM_RES!$A$1,MATCH(AR497,ITEM_RES!$J:$J,0)-1,0),0)</f>
        <v>211020801</v>
      </c>
      <c r="AR497" s="10" t="s">
        <v>428</v>
      </c>
      <c r="AS497" s="11">
        <v>310000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28"/>
        <v>115020014</v>
      </c>
      <c r="B498" s="13">
        <v>11</v>
      </c>
      <c r="C498" s="12">
        <f t="shared" si="129"/>
        <v>5</v>
      </c>
      <c r="D498" s="13">
        <v>2</v>
      </c>
      <c r="E498" s="13">
        <v>0</v>
      </c>
      <c r="F498" s="12">
        <f t="shared" si="130"/>
        <v>14</v>
      </c>
      <c r="H498" s="9">
        <v>5</v>
      </c>
      <c r="I498" s="9">
        <v>14</v>
      </c>
      <c r="K498" s="9" t="s">
        <v>1005</v>
      </c>
      <c r="M498" s="9">
        <v>1</v>
      </c>
      <c r="N498" s="9">
        <v>15</v>
      </c>
      <c r="O498" s="9" t="s">
        <v>1149</v>
      </c>
      <c r="P498" s="55" t="s">
        <v>1405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1956000</v>
      </c>
      <c r="AC498" s="55">
        <v>11</v>
      </c>
      <c r="AE498" s="55">
        <f t="shared" ca="1" si="125"/>
        <v>4190450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4190450</v>
      </c>
      <c r="AG498" s="176">
        <f t="shared" ca="1" si="127"/>
        <v>6855800</v>
      </c>
      <c r="AI498" s="11">
        <f t="shared" si="124"/>
        <v>2400</v>
      </c>
      <c r="AJ498" s="10">
        <v>2400</v>
      </c>
      <c r="AK498" s="11">
        <f t="shared" si="131"/>
        <v>450</v>
      </c>
      <c r="AL498" s="10">
        <v>450</v>
      </c>
      <c r="AM498" s="11">
        <v>310000</v>
      </c>
      <c r="AN498" s="10">
        <v>0</v>
      </c>
      <c r="AO498" s="55">
        <f t="shared" si="126"/>
        <v>1</v>
      </c>
      <c r="AQ498" s="11">
        <f ca="1">IFERROR(OFFSET(ITEM_RES!$A$1,MATCH(AR498,ITEM_RES!$J:$J,0)-1,0),0)</f>
        <v>211020801</v>
      </c>
      <c r="AR498" s="10" t="s">
        <v>428</v>
      </c>
      <c r="AS498" s="11">
        <v>485000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28"/>
        <v>115020015</v>
      </c>
      <c r="B499" s="13">
        <v>11</v>
      </c>
      <c r="C499" s="12">
        <f t="shared" si="129"/>
        <v>5</v>
      </c>
      <c r="D499" s="13">
        <v>2</v>
      </c>
      <c r="E499" s="13">
        <v>0</v>
      </c>
      <c r="F499" s="12">
        <f t="shared" si="130"/>
        <v>15</v>
      </c>
      <c r="H499" s="9">
        <v>5</v>
      </c>
      <c r="I499" s="9">
        <v>15</v>
      </c>
      <c r="K499" s="9" t="s">
        <v>1005</v>
      </c>
      <c r="M499" s="9">
        <v>1</v>
      </c>
      <c r="N499" s="9">
        <v>15</v>
      </c>
      <c r="O499" s="9" t="s">
        <v>1149</v>
      </c>
      <c r="P499" s="55" t="s">
        <v>1405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3961500</v>
      </c>
      <c r="AC499" s="55">
        <v>12</v>
      </c>
      <c r="AE499" s="55">
        <f t="shared" ca="1" si="125"/>
        <v>10985550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10985550</v>
      </c>
      <c r="AG499" s="176">
        <f t="shared" ca="1" si="127"/>
        <v>15176000</v>
      </c>
      <c r="AI499" s="11">
        <f t="shared" si="124"/>
        <v>2700</v>
      </c>
      <c r="AJ499" s="10">
        <v>2700</v>
      </c>
      <c r="AK499" s="11">
        <f t="shared" si="131"/>
        <v>550</v>
      </c>
      <c r="AL499" s="10">
        <v>550</v>
      </c>
      <c r="AM499" s="11">
        <v>485000</v>
      </c>
      <c r="AN499" s="10">
        <v>0</v>
      </c>
      <c r="AO499" s="55">
        <f t="shared" si="126"/>
        <v>1</v>
      </c>
      <c r="AQ499" s="11">
        <f ca="1">IFERROR(OFFSET(ITEM_RES!$A$1,MATCH(AR499,ITEM_RES!$J:$J,0)-1,0),0)</f>
        <v>211020901</v>
      </c>
      <c r="AR499" s="10" t="s">
        <v>434</v>
      </c>
      <c r="AS499" s="11">
        <v>1050000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28"/>
        <v>115020016</v>
      </c>
      <c r="B500" s="13">
        <v>11</v>
      </c>
      <c r="C500" s="12">
        <f t="shared" si="129"/>
        <v>5</v>
      </c>
      <c r="D500" s="13">
        <v>2</v>
      </c>
      <c r="E500" s="13">
        <v>0</v>
      </c>
      <c r="F500" s="12">
        <f t="shared" si="130"/>
        <v>16</v>
      </c>
      <c r="H500" s="9">
        <v>5</v>
      </c>
      <c r="I500" s="9">
        <v>16</v>
      </c>
      <c r="K500" s="9" t="s">
        <v>1005</v>
      </c>
      <c r="M500" s="9">
        <v>0</v>
      </c>
      <c r="N500" s="9">
        <v>15</v>
      </c>
      <c r="O500" s="9" t="s">
        <v>1149</v>
      </c>
      <c r="P500" s="55" t="s">
        <v>1405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7772100</v>
      </c>
      <c r="AC500" s="55">
        <v>13</v>
      </c>
      <c r="AE500" s="55">
        <f t="shared" ca="1" si="125"/>
        <v>22550700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22550700</v>
      </c>
      <c r="AG500" s="176">
        <f t="shared" ca="1" si="127"/>
        <v>33536250</v>
      </c>
      <c r="AI500" s="11">
        <f t="shared" si="124"/>
        <v>3000</v>
      </c>
      <c r="AJ500" s="10">
        <v>3000</v>
      </c>
      <c r="AK500" s="11">
        <f t="shared" si="131"/>
        <v>700</v>
      </c>
      <c r="AL500" s="10">
        <v>700</v>
      </c>
      <c r="AM500" s="11">
        <v>1050000</v>
      </c>
      <c r="AN500" s="10">
        <v>0</v>
      </c>
      <c r="AO500" s="55">
        <f t="shared" si="126"/>
        <v>1</v>
      </c>
      <c r="AQ500" s="11">
        <f ca="1">IFERROR(OFFSET(ITEM_RES!$A$1,MATCH(AR500,ITEM_RES!$J:$J,0)-1,0),0)</f>
        <v>211020901</v>
      </c>
      <c r="AR500" s="10" t="s">
        <v>386</v>
      </c>
      <c r="AS500" s="11">
        <v>2150000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28"/>
        <v>115020017</v>
      </c>
      <c r="B501" s="13">
        <v>11</v>
      </c>
      <c r="C501" s="12">
        <f t="shared" si="129"/>
        <v>5</v>
      </c>
      <c r="D501" s="13">
        <v>2</v>
      </c>
      <c r="E501" s="13">
        <v>0</v>
      </c>
      <c r="F501" s="12">
        <f t="shared" si="130"/>
        <v>17</v>
      </c>
      <c r="H501" s="9">
        <v>5</v>
      </c>
      <c r="I501" s="9">
        <v>17</v>
      </c>
      <c r="K501" s="9" t="s">
        <v>1005</v>
      </c>
      <c r="M501" s="9">
        <v>0</v>
      </c>
      <c r="N501" s="9">
        <v>15</v>
      </c>
      <c r="O501" s="9" t="s">
        <v>1149</v>
      </c>
      <c r="P501" s="55" t="s">
        <v>1405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13022450</v>
      </c>
      <c r="AC501" s="55">
        <v>14</v>
      </c>
      <c r="AE501" s="55">
        <f t="shared" ca="1" si="125"/>
        <v>42150850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42150850</v>
      </c>
      <c r="AG501" s="176">
        <f t="shared" ca="1" si="127"/>
        <v>64701550</v>
      </c>
      <c r="AI501" s="11">
        <f t="shared" si="124"/>
        <v>3300</v>
      </c>
      <c r="AJ501" s="10">
        <v>3300</v>
      </c>
      <c r="AK501" s="11">
        <f t="shared" si="131"/>
        <v>850</v>
      </c>
      <c r="AL501" s="10">
        <v>850</v>
      </c>
      <c r="AM501" s="11">
        <v>2150000</v>
      </c>
      <c r="AN501" s="10">
        <v>0</v>
      </c>
      <c r="AO501" s="55">
        <f t="shared" si="126"/>
        <v>1</v>
      </c>
      <c r="AQ501" s="11">
        <f ca="1">IFERROR(OFFSET(ITEM_RES!$A$1,MATCH(AR501,ITEM_RES!$J:$J,0)-1,0),0)</f>
        <v>211020901</v>
      </c>
      <c r="AR501" s="10" t="s">
        <v>434</v>
      </c>
      <c r="AS501" s="11">
        <v>4000000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28"/>
        <v>115020018</v>
      </c>
      <c r="B502" s="13">
        <v>11</v>
      </c>
      <c r="C502" s="12">
        <f t="shared" si="129"/>
        <v>5</v>
      </c>
      <c r="D502" s="13">
        <v>2</v>
      </c>
      <c r="E502" s="13">
        <v>0</v>
      </c>
      <c r="F502" s="12">
        <f t="shared" si="130"/>
        <v>18</v>
      </c>
      <c r="H502" s="9">
        <v>5</v>
      </c>
      <c r="I502" s="9">
        <v>18</v>
      </c>
      <c r="K502" s="9" t="s">
        <v>1005</v>
      </c>
      <c r="M502" s="9">
        <v>0</v>
      </c>
      <c r="N502" s="9">
        <v>15</v>
      </c>
      <c r="O502" s="9" t="s">
        <v>1149</v>
      </c>
      <c r="P502" s="55" t="s">
        <v>1405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23283600</v>
      </c>
      <c r="AC502" s="55">
        <v>15</v>
      </c>
      <c r="AE502" s="55">
        <f t="shared" ca="1" si="125"/>
        <v>69001050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69001050</v>
      </c>
      <c r="AG502" s="176">
        <f t="shared" ca="1" si="127"/>
        <v>111151900</v>
      </c>
      <c r="AI502" s="11">
        <f t="shared" si="124"/>
        <v>3600</v>
      </c>
      <c r="AJ502" s="10">
        <v>3600</v>
      </c>
      <c r="AK502" s="11">
        <f t="shared" si="131"/>
        <v>1050</v>
      </c>
      <c r="AL502" s="10">
        <v>1050</v>
      </c>
      <c r="AM502" s="11">
        <v>4000000</v>
      </c>
      <c r="AN502" s="10">
        <v>0</v>
      </c>
      <c r="AO502" s="55">
        <f t="shared" si="126"/>
        <v>1</v>
      </c>
      <c r="AQ502" s="11">
        <f ca="1">IFERROR(OFFSET(ITEM_RES!$A$1,MATCH(AR502,ITEM_RES!$J:$J,0)-1,0),0)</f>
        <v>211020901</v>
      </c>
      <c r="AR502" s="10" t="s">
        <v>434</v>
      </c>
      <c r="AS502" s="11">
        <v>6500000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28"/>
        <v>115020019</v>
      </c>
      <c r="B503" s="13">
        <v>11</v>
      </c>
      <c r="C503" s="12">
        <f t="shared" si="129"/>
        <v>5</v>
      </c>
      <c r="D503" s="13">
        <v>2</v>
      </c>
      <c r="E503" s="13">
        <v>0</v>
      </c>
      <c r="F503" s="12">
        <f t="shared" si="130"/>
        <v>19</v>
      </c>
      <c r="H503" s="9">
        <v>5</v>
      </c>
      <c r="I503" s="9">
        <v>19</v>
      </c>
      <c r="K503" s="9" t="s">
        <v>1005</v>
      </c>
      <c r="M503" s="9">
        <v>0</v>
      </c>
      <c r="N503" s="9">
        <v>15</v>
      </c>
      <c r="O503" s="9" t="s">
        <v>1149</v>
      </c>
      <c r="P503" s="55" t="s">
        <v>1405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50404400</v>
      </c>
      <c r="AC503" s="55">
        <v>16</v>
      </c>
      <c r="AE503" s="55">
        <f t="shared" ca="1" si="125"/>
        <v>106501250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106501250</v>
      </c>
      <c r="AG503" s="176">
        <f t="shared" ca="1" si="127"/>
        <v>175502300</v>
      </c>
      <c r="AI503" s="11">
        <f t="shared" si="124"/>
        <v>3900</v>
      </c>
      <c r="AJ503" s="10">
        <v>3900</v>
      </c>
      <c r="AK503" s="11">
        <f t="shared" si="131"/>
        <v>1250</v>
      </c>
      <c r="AL503" s="10">
        <v>1250</v>
      </c>
      <c r="AM503" s="11">
        <v>6500000</v>
      </c>
      <c r="AN503" s="10">
        <v>0</v>
      </c>
      <c r="AO503" s="55">
        <f t="shared" si="126"/>
        <v>1</v>
      </c>
      <c r="AQ503" s="11">
        <f ca="1">IFERROR(OFFSET(ITEM_RES!$A$1,MATCH(AR503,ITEM_RES!$J:$J,0)-1,0),0)</f>
        <v>211020901</v>
      </c>
      <c r="AR503" s="10" t="s">
        <v>434</v>
      </c>
      <c r="AS503" s="11">
        <v>10000000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28"/>
        <v>115020020</v>
      </c>
      <c r="B504" s="13">
        <v>11</v>
      </c>
      <c r="C504" s="12">
        <f t="shared" si="129"/>
        <v>5</v>
      </c>
      <c r="D504" s="13">
        <v>2</v>
      </c>
      <c r="E504" s="13">
        <v>0</v>
      </c>
      <c r="F504" s="12">
        <f t="shared" si="130"/>
        <v>20</v>
      </c>
      <c r="H504" s="9">
        <v>5</v>
      </c>
      <c r="I504" s="9">
        <v>20</v>
      </c>
      <c r="K504" s="9" t="s">
        <v>1005</v>
      </c>
      <c r="M504" s="9">
        <v>0</v>
      </c>
      <c r="N504" s="9">
        <v>15</v>
      </c>
      <c r="O504" s="9" t="s">
        <v>1149</v>
      </c>
      <c r="P504" s="55" t="s">
        <v>1405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119976300</v>
      </c>
      <c r="AC504" s="55">
        <v>17</v>
      </c>
      <c r="AE504" s="55">
        <f t="shared" ca="1" si="125"/>
        <v>170001500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170001500</v>
      </c>
      <c r="AG504" s="176">
        <f t="shared" ca="1" si="127"/>
        <v>276502750</v>
      </c>
      <c r="AI504" s="11">
        <f t="shared" si="124"/>
        <v>4200</v>
      </c>
      <c r="AJ504" s="10">
        <v>4200</v>
      </c>
      <c r="AK504" s="11">
        <f t="shared" si="131"/>
        <v>1500</v>
      </c>
      <c r="AL504" s="10">
        <v>1500</v>
      </c>
      <c r="AM504" s="11">
        <v>10000000</v>
      </c>
      <c r="AN504" s="10">
        <v>0</v>
      </c>
      <c r="AO504" s="55">
        <f t="shared" si="126"/>
        <v>1</v>
      </c>
      <c r="AQ504" s="11">
        <f ca="1">IFERROR(OFFSET(ITEM_RES!$A$1,MATCH(AR504,ITEM_RES!$J:$J,0)-1,0),0)</f>
        <v>211020901</v>
      </c>
      <c r="AR504" s="10" t="s">
        <v>434</v>
      </c>
      <c r="AS504" s="11">
        <v>16000000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56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="90" zoomScaleNormal="90" workbookViewId="0">
      <pane xSplit="10" ySplit="4" topLeftCell="K35" activePane="bottomRight" state="frozen"/>
      <selection pane="topRight" activeCell="K1" sqref="K1"/>
      <selection pane="bottomLeft" activeCell="A5" sqref="A5"/>
      <selection pane="bottomRight" activeCell="N50" sqref="N50:N5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784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575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783</v>
      </c>
      <c r="N2" s="34" t="s">
        <v>62</v>
      </c>
      <c r="O2" s="35" t="s">
        <v>62</v>
      </c>
      <c r="P2" s="35" t="s">
        <v>62</v>
      </c>
      <c r="Q2" s="67"/>
      <c r="R2" s="34" t="s">
        <v>785</v>
      </c>
      <c r="T2" s="67"/>
      <c r="U2" s="1" t="s">
        <v>61</v>
      </c>
      <c r="V2" s="67"/>
      <c r="W2" s="98" t="s">
        <v>493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1257</v>
      </c>
      <c r="AG2" s="35" t="s">
        <v>1257</v>
      </c>
      <c r="AH2" s="35" t="s">
        <v>1257</v>
      </c>
      <c r="AI2" s="35" t="s">
        <v>1257</v>
      </c>
      <c r="AJ2" s="35" t="s">
        <v>1257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782</v>
      </c>
      <c r="N3" s="34" t="s">
        <v>322</v>
      </c>
      <c r="O3" s="35" t="s">
        <v>347</v>
      </c>
      <c r="P3" s="35" t="s">
        <v>324</v>
      </c>
      <c r="Q3" s="67"/>
      <c r="R3" s="34" t="s">
        <v>414</v>
      </c>
      <c r="T3" s="67"/>
      <c r="U3" s="1" t="s">
        <v>336</v>
      </c>
      <c r="V3" s="67"/>
      <c r="W3" s="98" t="s">
        <v>1169</v>
      </c>
      <c r="X3" s="1" t="s">
        <v>1170</v>
      </c>
      <c r="Y3" s="144" t="s">
        <v>1171</v>
      </c>
      <c r="Z3" s="144" t="s">
        <v>1167</v>
      </c>
      <c r="AA3" s="144" t="s">
        <v>1168</v>
      </c>
      <c r="AB3" s="1" t="s">
        <v>1172</v>
      </c>
      <c r="AC3" s="144" t="s">
        <v>1173</v>
      </c>
      <c r="AD3" s="1" t="s">
        <v>1174</v>
      </c>
      <c r="AE3" s="67"/>
      <c r="AF3" s="35" t="s">
        <v>1251</v>
      </c>
      <c r="AG3" s="35" t="s">
        <v>1252</v>
      </c>
      <c r="AH3" s="35" t="s">
        <v>1253</v>
      </c>
      <c r="AI3" s="35" t="s">
        <v>1254</v>
      </c>
      <c r="AJ3" s="35" t="s">
        <v>1256</v>
      </c>
    </row>
    <row r="4" spans="1:36" s="77" customFormat="1" ht="99.75" thickBot="1" x14ac:dyDescent="0.2">
      <c r="A4" s="77" t="s">
        <v>337</v>
      </c>
      <c r="B4" s="78" t="s">
        <v>407</v>
      </c>
      <c r="C4" s="78" t="s">
        <v>578</v>
      </c>
      <c r="D4" s="78" t="s">
        <v>579</v>
      </c>
      <c r="E4" s="78" t="s">
        <v>408</v>
      </c>
      <c r="F4" s="78" t="s">
        <v>409</v>
      </c>
      <c r="G4" s="68" t="s">
        <v>353</v>
      </c>
      <c r="H4" s="79" t="s">
        <v>344</v>
      </c>
      <c r="I4" s="68" t="s">
        <v>352</v>
      </c>
      <c r="J4" s="79" t="s">
        <v>405</v>
      </c>
      <c r="K4" s="79" t="s">
        <v>788</v>
      </c>
      <c r="L4" s="80" t="s">
        <v>403</v>
      </c>
      <c r="M4" s="80" t="s">
        <v>404</v>
      </c>
      <c r="N4" s="77" t="s">
        <v>323</v>
      </c>
      <c r="O4" s="79" t="s">
        <v>348</v>
      </c>
      <c r="P4" s="79" t="s">
        <v>325</v>
      </c>
      <c r="Q4" s="68" t="s">
        <v>836</v>
      </c>
      <c r="R4" s="77" t="s">
        <v>834</v>
      </c>
      <c r="S4" s="78" t="s">
        <v>835</v>
      </c>
      <c r="T4" s="68" t="s">
        <v>346</v>
      </c>
      <c r="U4" s="2" t="s">
        <v>406</v>
      </c>
      <c r="V4" s="68" t="s">
        <v>827</v>
      </c>
      <c r="W4" s="185" t="s">
        <v>1258</v>
      </c>
      <c r="X4" s="2" t="s">
        <v>826</v>
      </c>
      <c r="Y4" s="145" t="s">
        <v>1175</v>
      </c>
      <c r="Z4" s="145" t="s">
        <v>830</v>
      </c>
      <c r="AA4" s="145" t="s">
        <v>832</v>
      </c>
      <c r="AB4" s="2" t="s">
        <v>833</v>
      </c>
      <c r="AC4" s="145" t="s">
        <v>831</v>
      </c>
      <c r="AD4" s="2" t="s">
        <v>1176</v>
      </c>
      <c r="AE4" s="68" t="s">
        <v>1233</v>
      </c>
      <c r="AF4" s="79" t="s">
        <v>1247</v>
      </c>
      <c r="AG4" s="79" t="s">
        <v>1248</v>
      </c>
      <c r="AH4" s="79" t="s">
        <v>1249</v>
      </c>
      <c r="AI4" s="79" t="s">
        <v>1250</v>
      </c>
      <c r="AJ4" s="79" t="s">
        <v>1255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1177</v>
      </c>
      <c r="L5" s="39" t="s">
        <v>402</v>
      </c>
      <c r="M5" s="39" t="s">
        <v>399</v>
      </c>
      <c r="N5" s="37" t="s">
        <v>763</v>
      </c>
      <c r="O5" s="38"/>
      <c r="P5" s="38" t="s">
        <v>693</v>
      </c>
      <c r="Q5" s="70"/>
      <c r="R5" s="37">
        <f>S5*1000</f>
        <v>1000</v>
      </c>
      <c r="S5" s="39">
        <v>1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1178</v>
      </c>
      <c r="L6" s="39" t="s">
        <v>402</v>
      </c>
      <c r="M6" s="39" t="s">
        <v>399</v>
      </c>
      <c r="N6" s="66" t="s">
        <v>764</v>
      </c>
      <c r="O6" s="61"/>
      <c r="P6" s="38" t="s">
        <v>694</v>
      </c>
      <c r="Q6" s="73"/>
      <c r="R6" s="37">
        <f t="shared" ref="R6:R59" si="2">S6*1000</f>
        <v>1500</v>
      </c>
      <c r="S6" s="148">
        <v>1.5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378</v>
      </c>
      <c r="K7" s="61" t="s">
        <v>1179</v>
      </c>
      <c r="L7" s="39" t="s">
        <v>402</v>
      </c>
      <c r="M7" s="39" t="s">
        <v>399</v>
      </c>
      <c r="N7" s="66" t="s">
        <v>765</v>
      </c>
      <c r="O7" s="61"/>
      <c r="P7" s="38" t="s">
        <v>695</v>
      </c>
      <c r="Q7" s="73"/>
      <c r="R7" s="37">
        <f t="shared" si="2"/>
        <v>1500</v>
      </c>
      <c r="S7" s="148">
        <v>1.5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439</v>
      </c>
      <c r="K8" s="61" t="s">
        <v>1180</v>
      </c>
      <c r="L8" s="39" t="s">
        <v>431</v>
      </c>
      <c r="M8" s="39" t="s">
        <v>440</v>
      </c>
      <c r="N8" s="66" t="s">
        <v>766</v>
      </c>
      <c r="O8" s="61"/>
      <c r="P8" s="38" t="s">
        <v>696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379</v>
      </c>
      <c r="K9" s="35" t="s">
        <v>1181</v>
      </c>
      <c r="L9" s="39" t="s">
        <v>402</v>
      </c>
      <c r="M9" s="39" t="s">
        <v>399</v>
      </c>
      <c r="N9" s="66" t="s">
        <v>767</v>
      </c>
      <c r="O9" s="61"/>
      <c r="P9" s="38" t="s">
        <v>697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517</v>
      </c>
      <c r="K10" s="35" t="s">
        <v>1182</v>
      </c>
      <c r="L10" s="39" t="s">
        <v>402</v>
      </c>
      <c r="M10" s="39" t="s">
        <v>399</v>
      </c>
      <c r="N10" s="34" t="s">
        <v>768</v>
      </c>
      <c r="P10" s="38" t="s">
        <v>698</v>
      </c>
      <c r="R10" s="37">
        <f t="shared" si="2"/>
        <v>1000</v>
      </c>
      <c r="S10" s="148">
        <v>1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438</v>
      </c>
      <c r="K11" s="35" t="s">
        <v>1183</v>
      </c>
      <c r="L11" s="39" t="s">
        <v>399</v>
      </c>
      <c r="M11" s="39"/>
      <c r="N11" s="34" t="s">
        <v>769</v>
      </c>
      <c r="P11" s="38" t="s">
        <v>699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398</v>
      </c>
      <c r="K12" s="61" t="s">
        <v>1184</v>
      </c>
      <c r="L12" s="39" t="s">
        <v>399</v>
      </c>
      <c r="N12" s="34" t="s">
        <v>770</v>
      </c>
      <c r="P12" s="38" t="s">
        <v>828</v>
      </c>
      <c r="R12" s="37">
        <f t="shared" si="2"/>
        <v>50</v>
      </c>
      <c r="S12" s="148">
        <v>0.05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383</v>
      </c>
      <c r="K13" s="35" t="s">
        <v>1185</v>
      </c>
      <c r="L13" s="36" t="s">
        <v>399</v>
      </c>
      <c r="N13" s="34" t="s">
        <v>771</v>
      </c>
      <c r="P13" s="38" t="s">
        <v>700</v>
      </c>
      <c r="R13" s="37">
        <f t="shared" si="2"/>
        <v>8000</v>
      </c>
      <c r="S13" s="148">
        <v>8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385</v>
      </c>
      <c r="K14" s="35" t="s">
        <v>1186</v>
      </c>
      <c r="L14" s="36" t="s">
        <v>399</v>
      </c>
      <c r="N14" s="34" t="s">
        <v>772</v>
      </c>
      <c r="P14" s="38" t="s">
        <v>701</v>
      </c>
      <c r="R14" s="37">
        <f t="shared" si="2"/>
        <v>8000</v>
      </c>
      <c r="S14" s="39">
        <v>8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486</v>
      </c>
      <c r="K15" s="35" t="s">
        <v>1187</v>
      </c>
      <c r="L15" s="36" t="s">
        <v>487</v>
      </c>
      <c r="M15" s="36" t="s">
        <v>488</v>
      </c>
      <c r="N15" s="34" t="s">
        <v>1023</v>
      </c>
      <c r="P15" s="38" t="s">
        <v>702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388</v>
      </c>
      <c r="K16" s="35" t="s">
        <v>1188</v>
      </c>
      <c r="L16" s="36" t="s">
        <v>399</v>
      </c>
      <c r="N16" s="34" t="s">
        <v>773</v>
      </c>
      <c r="P16" s="38" t="s">
        <v>703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389</v>
      </c>
      <c r="K17" s="35" t="s">
        <v>1189</v>
      </c>
      <c r="L17" s="36" t="s">
        <v>399</v>
      </c>
      <c r="N17" s="34" t="s">
        <v>774</v>
      </c>
      <c r="P17" s="38" t="s">
        <v>704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390</v>
      </c>
      <c r="K18" s="35" t="s">
        <v>1190</v>
      </c>
      <c r="L18" s="36" t="s">
        <v>399</v>
      </c>
      <c r="N18" s="34" t="s">
        <v>774</v>
      </c>
      <c r="P18" s="38" t="s">
        <v>705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391</v>
      </c>
      <c r="K19" s="35" t="s">
        <v>1191</v>
      </c>
      <c r="L19" s="36" t="s">
        <v>399</v>
      </c>
      <c r="N19" s="34" t="s">
        <v>774</v>
      </c>
      <c r="P19" s="38" t="s">
        <v>706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442</v>
      </c>
      <c r="K20" s="35" t="s">
        <v>1192</v>
      </c>
      <c r="L20" s="36" t="s">
        <v>440</v>
      </c>
      <c r="N20" s="34" t="s">
        <v>773</v>
      </c>
      <c r="P20" s="38" t="s">
        <v>707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443</v>
      </c>
      <c r="K21" s="35" t="s">
        <v>1193</v>
      </c>
      <c r="L21" s="36" t="s">
        <v>440</v>
      </c>
      <c r="N21" s="34" t="s">
        <v>773</v>
      </c>
      <c r="P21" s="38" t="s">
        <v>708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444</v>
      </c>
      <c r="K22" s="35" t="s">
        <v>1194</v>
      </c>
      <c r="L22" s="36" t="s">
        <v>440</v>
      </c>
      <c r="N22" s="34" t="s">
        <v>773</v>
      </c>
      <c r="P22" s="38" t="s">
        <v>709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451</v>
      </c>
      <c r="K23" s="35" t="s">
        <v>1195</v>
      </c>
      <c r="L23" s="36" t="s">
        <v>440</v>
      </c>
      <c r="N23" s="34" t="s">
        <v>773</v>
      </c>
      <c r="P23" s="38" t="s">
        <v>710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445</v>
      </c>
      <c r="K24" s="35" t="s">
        <v>1196</v>
      </c>
      <c r="L24" s="36" t="s">
        <v>440</v>
      </c>
      <c r="N24" s="34" t="s">
        <v>773</v>
      </c>
      <c r="P24" s="38" t="s">
        <v>712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446</v>
      </c>
      <c r="K25" s="35" t="s">
        <v>1197</v>
      </c>
      <c r="L25" s="36" t="s">
        <v>440</v>
      </c>
      <c r="N25" s="34" t="s">
        <v>773</v>
      </c>
      <c r="P25" s="38" t="s">
        <v>711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447</v>
      </c>
      <c r="K26" s="35" t="s">
        <v>1198</v>
      </c>
      <c r="L26" s="36" t="s">
        <v>440</v>
      </c>
      <c r="N26" s="34" t="s">
        <v>773</v>
      </c>
      <c r="P26" s="38" t="s">
        <v>713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457</v>
      </c>
      <c r="K27" s="35" t="s">
        <v>1199</v>
      </c>
      <c r="L27" s="36" t="s">
        <v>440</v>
      </c>
      <c r="N27" s="34" t="s">
        <v>773</v>
      </c>
      <c r="P27" s="38" t="s">
        <v>714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461</v>
      </c>
      <c r="K28" s="35" t="s">
        <v>1200</v>
      </c>
      <c r="L28" s="36" t="s">
        <v>440</v>
      </c>
      <c r="N28" s="34" t="s">
        <v>773</v>
      </c>
      <c r="P28" s="38" t="s">
        <v>715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462</v>
      </c>
      <c r="K29" s="35" t="s">
        <v>1201</v>
      </c>
      <c r="L29" s="36" t="s">
        <v>440</v>
      </c>
      <c r="N29" s="34" t="s">
        <v>773</v>
      </c>
      <c r="P29" s="38" t="s">
        <v>716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465</v>
      </c>
      <c r="K30" s="35" t="s">
        <v>1202</v>
      </c>
      <c r="L30" s="36" t="s">
        <v>440</v>
      </c>
      <c r="N30" s="34" t="s">
        <v>773</v>
      </c>
      <c r="P30" s="38" t="s">
        <v>717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470</v>
      </c>
      <c r="K31" s="35" t="s">
        <v>1203</v>
      </c>
      <c r="L31" s="36" t="s">
        <v>440</v>
      </c>
      <c r="N31" s="34" t="s">
        <v>773</v>
      </c>
      <c r="P31" s="38" t="s">
        <v>718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466</v>
      </c>
      <c r="K32" s="35" t="s">
        <v>1204</v>
      </c>
      <c r="L32" s="36" t="s">
        <v>440</v>
      </c>
      <c r="N32" s="34" t="s">
        <v>773</v>
      </c>
      <c r="P32" s="38" t="s">
        <v>719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467</v>
      </c>
      <c r="K33" s="35" t="s">
        <v>1205</v>
      </c>
      <c r="L33" s="36" t="s">
        <v>440</v>
      </c>
      <c r="N33" s="34" t="s">
        <v>773</v>
      </c>
      <c r="P33" s="38" t="s">
        <v>720</v>
      </c>
      <c r="Q33" s="84" t="s">
        <v>489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468</v>
      </c>
      <c r="K34" s="35" t="s">
        <v>1206</v>
      </c>
      <c r="L34" s="36" t="s">
        <v>440</v>
      </c>
      <c r="N34" s="34" t="s">
        <v>773</v>
      </c>
      <c r="P34" s="38" t="s">
        <v>721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476</v>
      </c>
      <c r="K35" s="35" t="s">
        <v>1207</v>
      </c>
      <c r="L35" s="36" t="s">
        <v>485</v>
      </c>
      <c r="N35" s="34" t="s">
        <v>1006</v>
      </c>
      <c r="P35" s="38" t="s">
        <v>722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477</v>
      </c>
      <c r="K36" s="35" t="s">
        <v>1208</v>
      </c>
      <c r="L36" s="36" t="s">
        <v>485</v>
      </c>
      <c r="N36" s="34" t="s">
        <v>1007</v>
      </c>
      <c r="P36" s="38" t="s">
        <v>722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478</v>
      </c>
      <c r="K37" s="35" t="s">
        <v>1209</v>
      </c>
      <c r="L37" s="36" t="s">
        <v>485</v>
      </c>
      <c r="N37" s="34" t="s">
        <v>1008</v>
      </c>
      <c r="P37" s="38" t="s">
        <v>722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392</v>
      </c>
      <c r="K38" s="35" t="s">
        <v>1210</v>
      </c>
      <c r="L38" s="36" t="s">
        <v>399</v>
      </c>
      <c r="N38" s="34" t="s">
        <v>1009</v>
      </c>
      <c r="P38" s="38" t="s">
        <v>723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393</v>
      </c>
      <c r="K39" s="35" t="s">
        <v>1211</v>
      </c>
      <c r="L39" s="36" t="s">
        <v>399</v>
      </c>
      <c r="N39" s="34" t="s">
        <v>1010</v>
      </c>
      <c r="P39" s="38" t="s">
        <v>724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394</v>
      </c>
      <c r="K40" s="35" t="s">
        <v>1212</v>
      </c>
      <c r="L40" s="36" t="s">
        <v>399</v>
      </c>
      <c r="N40" s="34" t="s">
        <v>1011</v>
      </c>
      <c r="P40" s="38" t="s">
        <v>725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395</v>
      </c>
      <c r="K41" s="35" t="s">
        <v>1213</v>
      </c>
      <c r="L41" s="36" t="s">
        <v>399</v>
      </c>
      <c r="N41" s="34" t="s">
        <v>1012</v>
      </c>
      <c r="P41" s="38" t="s">
        <v>726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396</v>
      </c>
      <c r="K42" s="35" t="s">
        <v>1214</v>
      </c>
      <c r="L42" s="36" t="s">
        <v>399</v>
      </c>
      <c r="N42" s="34" t="s">
        <v>1013</v>
      </c>
      <c r="P42" s="38" t="s">
        <v>727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397</v>
      </c>
      <c r="K43" s="35" t="s">
        <v>1215</v>
      </c>
      <c r="L43" s="36" t="s">
        <v>399</v>
      </c>
      <c r="N43" s="34" t="s">
        <v>1014</v>
      </c>
      <c r="P43" s="38" t="s">
        <v>728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479</v>
      </c>
      <c r="K44" s="35" t="s">
        <v>1216</v>
      </c>
      <c r="L44" s="36" t="s">
        <v>399</v>
      </c>
      <c r="N44" s="34" t="s">
        <v>1015</v>
      </c>
      <c r="P44" s="38" t="s">
        <v>729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480</v>
      </c>
      <c r="K45" s="35" t="s">
        <v>1217</v>
      </c>
      <c r="L45" s="36" t="s">
        <v>399</v>
      </c>
      <c r="N45" s="34" t="s">
        <v>1016</v>
      </c>
      <c r="P45" s="38" t="s">
        <v>730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481</v>
      </c>
      <c r="K46" s="35" t="s">
        <v>1218</v>
      </c>
      <c r="L46" s="36" t="s">
        <v>399</v>
      </c>
      <c r="N46" s="34" t="s">
        <v>1017</v>
      </c>
      <c r="P46" s="38" t="s">
        <v>731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482</v>
      </c>
      <c r="K47" s="35" t="s">
        <v>1219</v>
      </c>
      <c r="L47" s="36" t="s">
        <v>399</v>
      </c>
      <c r="N47" s="34" t="s">
        <v>1018</v>
      </c>
      <c r="P47" s="38" t="s">
        <v>732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483</v>
      </c>
      <c r="K48" s="35" t="s">
        <v>1220</v>
      </c>
      <c r="L48" s="36" t="s">
        <v>399</v>
      </c>
      <c r="N48" s="34" t="s">
        <v>1019</v>
      </c>
      <c r="P48" s="38" t="s">
        <v>733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484</v>
      </c>
      <c r="K49" s="35" t="s">
        <v>1221</v>
      </c>
      <c r="L49" s="36" t="s">
        <v>399</v>
      </c>
      <c r="N49" s="34" t="s">
        <v>1020</v>
      </c>
      <c r="P49" s="38" t="s">
        <v>734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8">
        <v>6</v>
      </c>
      <c r="E50" s="36">
        <v>1</v>
      </c>
      <c r="F50" s="39">
        <v>1</v>
      </c>
      <c r="G50" s="70"/>
      <c r="H50" s="38">
        <v>1</v>
      </c>
      <c r="J50" s="35" t="s">
        <v>1234</v>
      </c>
      <c r="K50" s="35" t="s">
        <v>1237</v>
      </c>
      <c r="L50" s="36" t="s">
        <v>1240</v>
      </c>
      <c r="N50" s="34" t="s">
        <v>1241</v>
      </c>
      <c r="P50" s="38" t="s">
        <v>1244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8">
        <v>6</v>
      </c>
      <c r="E51" s="36">
        <v>2</v>
      </c>
      <c r="F51" s="39">
        <v>1</v>
      </c>
      <c r="G51" s="70"/>
      <c r="H51" s="38">
        <v>1</v>
      </c>
      <c r="J51" s="35" t="s">
        <v>1235</v>
      </c>
      <c r="K51" s="35" t="s">
        <v>1238</v>
      </c>
      <c r="L51" s="36" t="s">
        <v>1240</v>
      </c>
      <c r="N51" s="34" t="s">
        <v>1242</v>
      </c>
      <c r="P51" s="38" t="s">
        <v>1245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8">
        <v>6</v>
      </c>
      <c r="E52" s="36">
        <v>3</v>
      </c>
      <c r="F52" s="39">
        <v>1</v>
      </c>
      <c r="G52" s="70"/>
      <c r="H52" s="38">
        <v>1</v>
      </c>
      <c r="J52" s="35" t="s">
        <v>1236</v>
      </c>
      <c r="K52" s="35" t="s">
        <v>1239</v>
      </c>
      <c r="L52" s="36" t="s">
        <v>1240</v>
      </c>
      <c r="N52" s="34" t="s">
        <v>1243</v>
      </c>
      <c r="P52" s="38" t="s">
        <v>1246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380</v>
      </c>
      <c r="K53" s="35" t="s">
        <v>1222</v>
      </c>
      <c r="L53" s="36" t="s">
        <v>401</v>
      </c>
      <c r="N53" s="34" t="s">
        <v>775</v>
      </c>
      <c r="P53" s="38" t="s">
        <v>735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382</v>
      </c>
      <c r="K54" s="35" t="s">
        <v>1223</v>
      </c>
      <c r="L54" s="36" t="s">
        <v>401</v>
      </c>
      <c r="N54" s="34" t="s">
        <v>776</v>
      </c>
      <c r="P54" s="38" t="s">
        <v>829</v>
      </c>
      <c r="R54" s="37">
        <f t="shared" si="2"/>
        <v>600</v>
      </c>
      <c r="S54" s="148">
        <v>0.6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381</v>
      </c>
      <c r="K55" s="35" t="s">
        <v>1224</v>
      </c>
      <c r="L55" s="36" t="s">
        <v>400</v>
      </c>
      <c r="N55" s="34" t="s">
        <v>777</v>
      </c>
      <c r="P55" s="38" t="s">
        <v>736</v>
      </c>
      <c r="R55" s="37">
        <f t="shared" si="2"/>
        <v>8000</v>
      </c>
      <c r="S55" s="39">
        <v>8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384</v>
      </c>
      <c r="K56" s="35" t="s">
        <v>1225</v>
      </c>
      <c r="L56" s="36" t="s">
        <v>400</v>
      </c>
      <c r="N56" s="34" t="s">
        <v>778</v>
      </c>
      <c r="P56" s="38" t="s">
        <v>737</v>
      </c>
      <c r="R56" s="37">
        <f t="shared" si="2"/>
        <v>10000</v>
      </c>
      <c r="S56" s="148">
        <v>10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386</v>
      </c>
      <c r="K57" s="35" t="s">
        <v>1226</v>
      </c>
      <c r="L57" s="36" t="s">
        <v>400</v>
      </c>
      <c r="N57" s="34" t="s">
        <v>779</v>
      </c>
      <c r="P57" s="38" t="s">
        <v>738</v>
      </c>
      <c r="R57" s="37">
        <f t="shared" si="2"/>
        <v>10000</v>
      </c>
      <c r="S57" s="39">
        <v>10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387</v>
      </c>
      <c r="K58" s="35" t="s">
        <v>1227</v>
      </c>
      <c r="L58" s="36" t="s">
        <v>400</v>
      </c>
      <c r="N58" s="34" t="s">
        <v>780</v>
      </c>
      <c r="P58" s="38" t="s">
        <v>739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418</v>
      </c>
      <c r="K59" s="35" t="s">
        <v>1228</v>
      </c>
      <c r="L59" s="36" t="s">
        <v>400</v>
      </c>
      <c r="N59" s="34" t="s">
        <v>781</v>
      </c>
      <c r="P59" s="38" t="s">
        <v>740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D32" sqref="D32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560</v>
      </c>
      <c r="B3" s="38" t="s">
        <v>1177</v>
      </c>
      <c r="C3" s="61" t="s">
        <v>1178</v>
      </c>
      <c r="D3" s="61" t="s">
        <v>1179</v>
      </c>
      <c r="E3" s="61" t="s">
        <v>1180</v>
      </c>
      <c r="F3" s="35" t="s">
        <v>1181</v>
      </c>
      <c r="G3" s="35" t="s">
        <v>1182</v>
      </c>
      <c r="H3" s="35" t="s">
        <v>1183</v>
      </c>
      <c r="I3" s="61" t="s">
        <v>1184</v>
      </c>
      <c r="J3" s="35" t="s">
        <v>1185</v>
      </c>
      <c r="K3" s="35" t="s">
        <v>1186</v>
      </c>
      <c r="L3" s="35" t="s">
        <v>1187</v>
      </c>
      <c r="M3" s="35" t="s">
        <v>1188</v>
      </c>
      <c r="N3" s="35" t="s">
        <v>1189</v>
      </c>
      <c r="O3" s="35" t="s">
        <v>1190</v>
      </c>
      <c r="P3" s="35" t="s">
        <v>1191</v>
      </c>
      <c r="Q3" s="35" t="s">
        <v>1192</v>
      </c>
      <c r="R3" s="35" t="s">
        <v>1193</v>
      </c>
      <c r="S3" s="35" t="s">
        <v>1194</v>
      </c>
      <c r="T3" s="35" t="s">
        <v>1195</v>
      </c>
      <c r="U3" s="35" t="s">
        <v>1196</v>
      </c>
      <c r="V3" s="35" t="s">
        <v>1197</v>
      </c>
      <c r="W3" s="35" t="s">
        <v>1198</v>
      </c>
      <c r="X3" s="35" t="s">
        <v>1199</v>
      </c>
      <c r="Y3" s="35" t="s">
        <v>1200</v>
      </c>
      <c r="Z3" s="35" t="s">
        <v>1201</v>
      </c>
      <c r="AA3" s="35" t="s">
        <v>1202</v>
      </c>
      <c r="AB3" s="35" t="s">
        <v>1203</v>
      </c>
      <c r="AC3" s="35" t="s">
        <v>1204</v>
      </c>
      <c r="AD3" s="35" t="s">
        <v>1205</v>
      </c>
      <c r="AE3" s="35" t="s">
        <v>1206</v>
      </c>
      <c r="AF3" s="35" t="s">
        <v>1207</v>
      </c>
      <c r="AG3" s="35" t="s">
        <v>1208</v>
      </c>
      <c r="AH3" s="35" t="s">
        <v>1209</v>
      </c>
      <c r="AI3" s="35" t="s">
        <v>1210</v>
      </c>
      <c r="AJ3" s="35" t="s">
        <v>1211</v>
      </c>
      <c r="AK3" s="35" t="s">
        <v>1212</v>
      </c>
      <c r="AL3" s="35" t="s">
        <v>1213</v>
      </c>
      <c r="AM3" s="35" t="s">
        <v>1214</v>
      </c>
      <c r="AN3" s="35" t="s">
        <v>1215</v>
      </c>
      <c r="AO3" s="35" t="s">
        <v>1216</v>
      </c>
      <c r="AP3" s="35" t="s">
        <v>1217</v>
      </c>
      <c r="AQ3" s="35" t="s">
        <v>1218</v>
      </c>
      <c r="AR3" s="35" t="s">
        <v>1219</v>
      </c>
      <c r="AS3" s="35" t="s">
        <v>1220</v>
      </c>
      <c r="AT3" s="35" t="s">
        <v>1221</v>
      </c>
      <c r="AU3" s="35" t="s">
        <v>1268</v>
      </c>
      <c r="AV3" s="35" t="s">
        <v>1269</v>
      </c>
      <c r="AW3" s="35" t="s">
        <v>1270</v>
      </c>
      <c r="AX3" s="35" t="s">
        <v>1222</v>
      </c>
      <c r="AY3" s="35" t="s">
        <v>1223</v>
      </c>
      <c r="AZ3" s="35" t="s">
        <v>1224</v>
      </c>
      <c r="BA3" s="35" t="s">
        <v>1225</v>
      </c>
      <c r="BB3" s="35" t="s">
        <v>1226</v>
      </c>
      <c r="BC3" s="35" t="s">
        <v>1227</v>
      </c>
      <c r="BD3" s="35" t="s">
        <v>1228</v>
      </c>
    </row>
    <row r="4" spans="1:56" ht="18" customHeight="1" thickBot="1" x14ac:dyDescent="0.2">
      <c r="A4" s="86" t="s">
        <v>546</v>
      </c>
      <c r="B4" s="38" t="s">
        <v>376</v>
      </c>
      <c r="C4" s="61" t="s">
        <v>377</v>
      </c>
      <c r="D4" s="61" t="s">
        <v>378</v>
      </c>
      <c r="E4" s="61" t="s">
        <v>437</v>
      </c>
      <c r="F4" s="35" t="s">
        <v>379</v>
      </c>
      <c r="G4" s="35" t="s">
        <v>423</v>
      </c>
      <c r="H4" s="35" t="s">
        <v>427</v>
      </c>
      <c r="I4" s="61" t="s">
        <v>398</v>
      </c>
      <c r="J4" s="35" t="s">
        <v>383</v>
      </c>
      <c r="K4" s="35" t="s">
        <v>385</v>
      </c>
      <c r="L4" s="35" t="s">
        <v>486</v>
      </c>
      <c r="M4" s="35" t="s">
        <v>388</v>
      </c>
      <c r="N4" s="35" t="s">
        <v>389</v>
      </c>
      <c r="O4" s="35" t="s">
        <v>390</v>
      </c>
      <c r="P4" s="35" t="s">
        <v>391</v>
      </c>
      <c r="Q4" s="35" t="s">
        <v>442</v>
      </c>
      <c r="R4" s="35" t="s">
        <v>443</v>
      </c>
      <c r="S4" s="35" t="s">
        <v>444</v>
      </c>
      <c r="T4" s="35" t="s">
        <v>451</v>
      </c>
      <c r="U4" s="35" t="s">
        <v>445</v>
      </c>
      <c r="V4" s="35" t="s">
        <v>446</v>
      </c>
      <c r="W4" s="35" t="s">
        <v>447</v>
      </c>
      <c r="X4" s="35" t="s">
        <v>457</v>
      </c>
      <c r="Y4" s="35" t="s">
        <v>459</v>
      </c>
      <c r="Z4" s="35" t="s">
        <v>460</v>
      </c>
      <c r="AA4" s="35" t="s">
        <v>465</v>
      </c>
      <c r="AB4" s="35" t="s">
        <v>470</v>
      </c>
      <c r="AC4" s="35" t="s">
        <v>466</v>
      </c>
      <c r="AD4" s="35" t="s">
        <v>467</v>
      </c>
      <c r="AE4" s="35" t="s">
        <v>468</v>
      </c>
      <c r="AF4" s="35" t="s">
        <v>476</v>
      </c>
      <c r="AG4" s="35" t="s">
        <v>477</v>
      </c>
      <c r="AH4" s="35" t="s">
        <v>478</v>
      </c>
      <c r="AI4" s="35" t="s">
        <v>392</v>
      </c>
      <c r="AJ4" s="35" t="s">
        <v>393</v>
      </c>
      <c r="AK4" s="35" t="s">
        <v>394</v>
      </c>
      <c r="AL4" s="35" t="s">
        <v>395</v>
      </c>
      <c r="AM4" s="35" t="s">
        <v>396</v>
      </c>
      <c r="AN4" s="35" t="s">
        <v>397</v>
      </c>
      <c r="AO4" s="35" t="s">
        <v>479</v>
      </c>
      <c r="AP4" s="35" t="s">
        <v>480</v>
      </c>
      <c r="AQ4" s="35" t="s">
        <v>481</v>
      </c>
      <c r="AR4" s="35" t="s">
        <v>482</v>
      </c>
      <c r="AS4" s="35" t="s">
        <v>483</v>
      </c>
      <c r="AT4" s="35" t="s">
        <v>484</v>
      </c>
      <c r="AU4" s="35" t="s">
        <v>1271</v>
      </c>
      <c r="AV4" s="35" t="s">
        <v>1272</v>
      </c>
      <c r="AW4" s="35" t="s">
        <v>1273</v>
      </c>
      <c r="AX4" s="35" t="s">
        <v>380</v>
      </c>
      <c r="AY4" s="35" t="s">
        <v>382</v>
      </c>
      <c r="AZ4" s="35" t="s">
        <v>381</v>
      </c>
      <c r="BA4" s="35" t="s">
        <v>384</v>
      </c>
      <c r="BB4" s="35" t="s">
        <v>386</v>
      </c>
      <c r="BC4" s="35" t="s">
        <v>387</v>
      </c>
      <c r="BD4" s="35" t="s">
        <v>418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1</v>
      </c>
      <c r="N5" s="110">
        <v>1</v>
      </c>
      <c r="O5" s="110">
        <v>1</v>
      </c>
      <c r="P5" s="110">
        <v>1</v>
      </c>
      <c r="Q5" s="110">
        <v>1</v>
      </c>
      <c r="R5" s="110">
        <v>1</v>
      </c>
      <c r="S5" s="110">
        <v>1</v>
      </c>
      <c r="T5" s="110">
        <v>1</v>
      </c>
      <c r="U5" s="110">
        <v>1</v>
      </c>
      <c r="V5" s="110">
        <v>1</v>
      </c>
      <c r="W5" s="110">
        <v>1</v>
      </c>
      <c r="X5" s="110">
        <v>1</v>
      </c>
      <c r="Y5" s="110">
        <v>1</v>
      </c>
      <c r="Z5" s="110">
        <v>1</v>
      </c>
      <c r="AA5" s="110">
        <v>1</v>
      </c>
      <c r="AB5" s="110">
        <v>1</v>
      </c>
      <c r="AC5" s="110">
        <v>1</v>
      </c>
      <c r="AD5" s="110">
        <v>1</v>
      </c>
      <c r="AE5" s="110">
        <v>1</v>
      </c>
      <c r="AF5" s="110">
        <v>1</v>
      </c>
      <c r="AG5" s="110">
        <v>0</v>
      </c>
      <c r="AH5" s="110">
        <v>0</v>
      </c>
      <c r="AI5" s="110">
        <v>1</v>
      </c>
      <c r="AJ5" s="110">
        <v>0</v>
      </c>
      <c r="AK5" s="110">
        <v>0</v>
      </c>
      <c r="AL5" s="110">
        <v>1</v>
      </c>
      <c r="AM5" s="110">
        <v>0</v>
      </c>
      <c r="AN5" s="110">
        <v>0</v>
      </c>
      <c r="AO5" s="110">
        <v>1</v>
      </c>
      <c r="AP5" s="110">
        <v>0</v>
      </c>
      <c r="AQ5" s="110">
        <v>0</v>
      </c>
      <c r="AR5" s="110">
        <v>1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16384" width="9" style="88"/>
  </cols>
  <sheetData>
    <row r="1" spans="1:2" x14ac:dyDescent="0.15">
      <c r="A1" s="55" t="s">
        <v>553</v>
      </c>
      <c r="B1" s="55" t="s">
        <v>60</v>
      </c>
    </row>
    <row r="2" spans="1:2" x14ac:dyDescent="0.15">
      <c r="A2" s="55" t="s">
        <v>61</v>
      </c>
      <c r="B2" s="55" t="s">
        <v>61</v>
      </c>
    </row>
    <row r="3" spans="1:2" x14ac:dyDescent="0.15">
      <c r="A3" s="55" t="s">
        <v>648</v>
      </c>
      <c r="B3" s="55" t="s">
        <v>550</v>
      </c>
    </row>
    <row r="4" spans="1:2" ht="17.25" thickBot="1" x14ac:dyDescent="0.2">
      <c r="A4" s="57" t="s">
        <v>548</v>
      </c>
      <c r="B4" s="57" t="s">
        <v>549</v>
      </c>
    </row>
    <row r="5" spans="1:2" x14ac:dyDescent="0.15">
      <c r="A5" s="55">
        <v>1</v>
      </c>
      <c r="B5" s="55">
        <v>100</v>
      </c>
    </row>
    <row r="6" spans="1:2" x14ac:dyDescent="0.15">
      <c r="A6" s="55">
        <v>2</v>
      </c>
      <c r="B6" s="55">
        <v>310</v>
      </c>
    </row>
    <row r="7" spans="1:2" x14ac:dyDescent="0.15">
      <c r="A7" s="55">
        <v>3</v>
      </c>
      <c r="B7" s="55">
        <v>930</v>
      </c>
    </row>
    <row r="8" spans="1:2" x14ac:dyDescent="0.15">
      <c r="A8" s="55">
        <v>4</v>
      </c>
      <c r="B8" s="55">
        <v>5475</v>
      </c>
    </row>
    <row r="9" spans="1:2" x14ac:dyDescent="0.15">
      <c r="A9" s="55">
        <v>5</v>
      </c>
      <c r="B9" s="55">
        <v>32560</v>
      </c>
    </row>
    <row r="10" spans="1:2" x14ac:dyDescent="0.15">
      <c r="A10" s="55">
        <v>6</v>
      </c>
      <c r="B10" s="55">
        <v>108200</v>
      </c>
    </row>
    <row r="11" spans="1:2" x14ac:dyDescent="0.15">
      <c r="A11" s="55">
        <v>7</v>
      </c>
      <c r="B11" s="55">
        <v>240400</v>
      </c>
    </row>
    <row r="12" spans="1:2" x14ac:dyDescent="0.15">
      <c r="A12" s="55">
        <v>8</v>
      </c>
      <c r="B12" s="55">
        <v>630500</v>
      </c>
    </row>
    <row r="13" spans="1:2" x14ac:dyDescent="0.15">
      <c r="A13" s="55">
        <v>9</v>
      </c>
      <c r="B13" s="55">
        <v>1170750</v>
      </c>
    </row>
    <row r="14" spans="1:2" x14ac:dyDescent="0.15">
      <c r="A14" s="55">
        <v>10</v>
      </c>
      <c r="B14" s="55">
        <v>1956000</v>
      </c>
    </row>
    <row r="15" spans="1:2" x14ac:dyDescent="0.15">
      <c r="A15" s="55">
        <v>11</v>
      </c>
      <c r="B15" s="55">
        <v>3961500</v>
      </c>
    </row>
    <row r="16" spans="1:2" x14ac:dyDescent="0.15">
      <c r="A16" s="55">
        <v>12</v>
      </c>
      <c r="B16" s="55">
        <v>7772100</v>
      </c>
    </row>
    <row r="17" spans="1:2" x14ac:dyDescent="0.15">
      <c r="A17" s="55">
        <v>13</v>
      </c>
      <c r="B17" s="55">
        <v>13022450</v>
      </c>
    </row>
    <row r="18" spans="1:2" x14ac:dyDescent="0.15">
      <c r="A18" s="55">
        <v>14</v>
      </c>
      <c r="B18" s="55">
        <v>23283600</v>
      </c>
    </row>
    <row r="19" spans="1:2" x14ac:dyDescent="0.15">
      <c r="A19" s="55">
        <v>15</v>
      </c>
      <c r="B19" s="55">
        <v>50404400</v>
      </c>
    </row>
    <row r="20" spans="1:2" x14ac:dyDescent="0.15">
      <c r="A20" s="55">
        <v>16</v>
      </c>
      <c r="B20" s="55">
        <v>119976300</v>
      </c>
    </row>
    <row r="21" spans="1:2" x14ac:dyDescent="0.15">
      <c r="A21" s="55">
        <v>17</v>
      </c>
      <c r="B21" s="55">
        <v>223207650</v>
      </c>
    </row>
    <row r="22" spans="1:2" x14ac:dyDescent="0.15">
      <c r="A22" s="55">
        <v>18</v>
      </c>
      <c r="B22" s="55">
        <v>403010500</v>
      </c>
    </row>
    <row r="23" spans="1:2" x14ac:dyDescent="0.15">
      <c r="A23" s="55">
        <v>19</v>
      </c>
      <c r="B23" s="55">
        <v>682013750</v>
      </c>
    </row>
    <row r="24" spans="1:2" x14ac:dyDescent="0.15">
      <c r="A24" s="55">
        <v>20</v>
      </c>
      <c r="B24" s="55">
        <v>1091216500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H12" sqref="H12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648</v>
      </c>
      <c r="B3" s="55" t="s">
        <v>545</v>
      </c>
    </row>
    <row r="4" spans="1:10" ht="17.25" thickBot="1" x14ac:dyDescent="0.2">
      <c r="A4" s="57" t="s">
        <v>546</v>
      </c>
      <c r="B4" s="57" t="s">
        <v>547</v>
      </c>
    </row>
    <row r="5" spans="1:10" x14ac:dyDescent="0.15">
      <c r="A5" s="55">
        <v>1</v>
      </c>
      <c r="B5" s="55">
        <v>50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155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465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2737.5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16280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54100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120200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315250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585375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978000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1980750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3886050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6511225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11641800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25202200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59988150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111603825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201505250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341006875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545608250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E40" sqref="E40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755</v>
      </c>
      <c r="B1" s="91" t="s">
        <v>756</v>
      </c>
      <c r="C1" s="139" t="s">
        <v>756</v>
      </c>
      <c r="D1" s="91" t="s">
        <v>756</v>
      </c>
      <c r="E1" s="139" t="s">
        <v>756</v>
      </c>
      <c r="F1" s="91" t="s">
        <v>756</v>
      </c>
    </row>
    <row r="2" spans="1:6" x14ac:dyDescent="0.15">
      <c r="A2" s="98" t="s">
        <v>757</v>
      </c>
      <c r="B2" s="91" t="s">
        <v>757</v>
      </c>
      <c r="C2" s="139" t="s">
        <v>757</v>
      </c>
      <c r="D2" s="91" t="s">
        <v>757</v>
      </c>
      <c r="E2" s="139" t="s">
        <v>757</v>
      </c>
      <c r="F2" s="91" t="s">
        <v>757</v>
      </c>
    </row>
    <row r="3" spans="1:6" x14ac:dyDescent="0.15">
      <c r="A3" s="98" t="s">
        <v>758</v>
      </c>
      <c r="B3" s="91" t="s">
        <v>751</v>
      </c>
      <c r="C3" s="139" t="s">
        <v>752</v>
      </c>
      <c r="D3" s="91" t="s">
        <v>749</v>
      </c>
      <c r="E3" s="139" t="s">
        <v>750</v>
      </c>
      <c r="F3" s="91" t="s">
        <v>748</v>
      </c>
    </row>
    <row r="4" spans="1:6" ht="22.5" customHeight="1" thickBot="1" x14ac:dyDescent="0.2">
      <c r="A4" s="98" t="s">
        <v>754</v>
      </c>
      <c r="B4" s="91" t="s">
        <v>759</v>
      </c>
      <c r="C4" s="139" t="s">
        <v>760</v>
      </c>
      <c r="D4" s="91" t="s">
        <v>761</v>
      </c>
      <c r="E4" s="139" t="s">
        <v>753</v>
      </c>
      <c r="F4" s="91" t="s">
        <v>762</v>
      </c>
    </row>
    <row r="5" spans="1:6" s="110" customFormat="1" x14ac:dyDescent="0.15">
      <c r="A5" s="186">
        <v>1</v>
      </c>
      <c r="B5" s="110">
        <v>50</v>
      </c>
      <c r="C5" s="187">
        <v>20</v>
      </c>
      <c r="D5" s="110">
        <v>620</v>
      </c>
      <c r="E5" s="187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575</v>
      </c>
      <c r="J1" s="123" t="s">
        <v>605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783</v>
      </c>
      <c r="J2" s="123" t="s">
        <v>600</v>
      </c>
      <c r="L2" s="123" t="s">
        <v>600</v>
      </c>
      <c r="M2" s="123" t="s">
        <v>600</v>
      </c>
      <c r="O2" s="123" t="s">
        <v>600</v>
      </c>
      <c r="Q2" s="123" t="s">
        <v>600</v>
      </c>
      <c r="R2" s="123" t="s">
        <v>600</v>
      </c>
      <c r="S2" s="123" t="s">
        <v>600</v>
      </c>
      <c r="U2" s="123" t="s">
        <v>600</v>
      </c>
      <c r="V2" s="123" t="s">
        <v>600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821</v>
      </c>
      <c r="J3" s="123" t="s">
        <v>606</v>
      </c>
      <c r="L3" s="123" t="s">
        <v>607</v>
      </c>
      <c r="M3" s="123" t="s">
        <v>608</v>
      </c>
      <c r="O3" s="123" t="s">
        <v>609</v>
      </c>
      <c r="Q3" s="123" t="s">
        <v>610</v>
      </c>
      <c r="R3" s="123" t="s">
        <v>611</v>
      </c>
      <c r="S3" s="123" t="s">
        <v>612</v>
      </c>
      <c r="U3" s="123" t="s">
        <v>613</v>
      </c>
      <c r="V3" s="123" t="s">
        <v>614</v>
      </c>
    </row>
    <row r="4" spans="1:22" ht="55.5" customHeight="1" thickBot="1" x14ac:dyDescent="0.35">
      <c r="A4" s="85" t="s">
        <v>583</v>
      </c>
      <c r="B4" s="87" t="s">
        <v>581</v>
      </c>
      <c r="C4" s="103" t="s">
        <v>582</v>
      </c>
      <c r="D4" s="87"/>
      <c r="E4" s="87"/>
      <c r="F4" s="103" t="s">
        <v>604</v>
      </c>
      <c r="G4" s="129" t="s">
        <v>584</v>
      </c>
      <c r="H4" s="86"/>
      <c r="I4" s="87" t="s">
        <v>585</v>
      </c>
      <c r="J4" s="86" t="s">
        <v>586</v>
      </c>
      <c r="K4" s="129" t="s">
        <v>638</v>
      </c>
      <c r="L4" s="86" t="s">
        <v>639</v>
      </c>
      <c r="M4" s="86" t="s">
        <v>640</v>
      </c>
      <c r="N4" s="129" t="s">
        <v>628</v>
      </c>
      <c r="O4" s="86" t="s">
        <v>587</v>
      </c>
      <c r="P4" s="129" t="s">
        <v>632</v>
      </c>
      <c r="Q4" s="86" t="s">
        <v>603</v>
      </c>
      <c r="R4" s="86" t="s">
        <v>601</v>
      </c>
      <c r="S4" s="86" t="s">
        <v>602</v>
      </c>
      <c r="T4" s="129" t="s">
        <v>588</v>
      </c>
      <c r="U4" s="86" t="s">
        <v>601</v>
      </c>
      <c r="V4" s="86" t="s">
        <v>602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589</v>
      </c>
      <c r="H5" s="125"/>
      <c r="J5" s="125">
        <v>100</v>
      </c>
      <c r="K5" s="132"/>
      <c r="L5" s="125"/>
      <c r="M5" s="125"/>
      <c r="N5" s="134" t="s">
        <v>629</v>
      </c>
      <c r="O5" s="125">
        <v>50</v>
      </c>
      <c r="P5" s="134" t="s">
        <v>634</v>
      </c>
      <c r="Q5" s="125"/>
      <c r="R5" s="125">
        <v>2000</v>
      </c>
      <c r="S5" s="125">
        <v>200</v>
      </c>
      <c r="T5" s="132" t="s">
        <v>635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590</v>
      </c>
      <c r="I6" s="122" t="s">
        <v>615</v>
      </c>
      <c r="J6" s="123">
        <v>50</v>
      </c>
      <c r="N6" s="135" t="s">
        <v>630</v>
      </c>
      <c r="O6" s="123">
        <v>200</v>
      </c>
      <c r="P6" s="133" t="s">
        <v>633</v>
      </c>
      <c r="R6" s="123">
        <v>2000</v>
      </c>
      <c r="S6" s="123">
        <v>200</v>
      </c>
      <c r="T6" s="128" t="s">
        <v>637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591</v>
      </c>
      <c r="I7" s="122" t="s">
        <v>615</v>
      </c>
      <c r="J7" s="123">
        <v>30</v>
      </c>
      <c r="N7" s="135" t="s">
        <v>631</v>
      </c>
      <c r="O7" s="123">
        <v>200</v>
      </c>
      <c r="P7" s="133" t="s">
        <v>633</v>
      </c>
      <c r="R7" s="123">
        <v>2000</v>
      </c>
      <c r="S7" s="123">
        <v>200</v>
      </c>
      <c r="T7" s="128" t="s">
        <v>636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592</v>
      </c>
      <c r="H8" s="143" t="s">
        <v>822</v>
      </c>
      <c r="I8" s="122" t="s">
        <v>616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593</v>
      </c>
      <c r="H9" s="143" t="s">
        <v>823</v>
      </c>
      <c r="I9" s="122" t="s">
        <v>617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594</v>
      </c>
      <c r="J10" s="123">
        <v>50</v>
      </c>
      <c r="K10" s="133" t="s">
        <v>623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595</v>
      </c>
      <c r="J11" s="123">
        <v>50</v>
      </c>
      <c r="K11" s="133" t="s">
        <v>623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596</v>
      </c>
      <c r="I12" s="122" t="s">
        <v>618</v>
      </c>
      <c r="J12" s="123">
        <v>50</v>
      </c>
      <c r="K12" s="133" t="s">
        <v>624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597</v>
      </c>
      <c r="I13" s="122" t="s">
        <v>619</v>
      </c>
      <c r="J13" s="123">
        <v>50</v>
      </c>
      <c r="K13" s="133" t="s">
        <v>1026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598</v>
      </c>
      <c r="I14" s="122" t="s">
        <v>620</v>
      </c>
      <c r="J14" s="123">
        <v>50</v>
      </c>
      <c r="K14" s="133" t="s">
        <v>1027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599</v>
      </c>
      <c r="I15" s="122" t="s">
        <v>622</v>
      </c>
      <c r="J15" s="123">
        <v>50</v>
      </c>
      <c r="K15" s="133" t="s">
        <v>627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621</v>
      </c>
      <c r="I16" s="122" t="s">
        <v>622</v>
      </c>
      <c r="J16" s="123">
        <v>50</v>
      </c>
      <c r="K16" s="133" t="s">
        <v>626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H37" sqref="H37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0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4" customWidth="1"/>
    <col min="22" max="22" width="10.75" style="184" customWidth="1"/>
    <col min="23" max="23" width="12.625" style="184" customWidth="1"/>
    <col min="24" max="16384" width="9" style="184"/>
  </cols>
  <sheetData>
    <row r="1" spans="1:23" s="180" customFormat="1" x14ac:dyDescent="0.15">
      <c r="A1" s="11" t="s">
        <v>1150</v>
      </c>
      <c r="B1" s="13"/>
      <c r="C1" s="12"/>
      <c r="D1" s="13"/>
      <c r="E1" s="13"/>
      <c r="F1" s="12"/>
      <c r="G1" s="55" t="s">
        <v>1151</v>
      </c>
      <c r="H1" s="55" t="s">
        <v>1151</v>
      </c>
      <c r="I1" s="55" t="s">
        <v>1151</v>
      </c>
      <c r="J1" s="55" t="s">
        <v>1151</v>
      </c>
      <c r="K1" s="55" t="s">
        <v>1151</v>
      </c>
      <c r="L1" s="10"/>
      <c r="M1" s="10"/>
      <c r="N1" s="55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O2" s="55"/>
      <c r="Q2" s="55"/>
      <c r="R2" s="55"/>
    </row>
    <row r="3" spans="1:23" s="180" customFormat="1" x14ac:dyDescent="0.15">
      <c r="A3" s="11" t="s">
        <v>1152</v>
      </c>
      <c r="B3" s="13"/>
      <c r="C3" s="12"/>
      <c r="D3" s="13"/>
      <c r="E3" s="13"/>
      <c r="F3" s="12"/>
      <c r="G3" s="55" t="s">
        <v>1153</v>
      </c>
      <c r="H3" s="55" t="s">
        <v>1154</v>
      </c>
      <c r="I3" s="55" t="s">
        <v>1155</v>
      </c>
      <c r="J3" s="55" t="s">
        <v>1156</v>
      </c>
      <c r="K3" s="55" t="s">
        <v>1157</v>
      </c>
      <c r="L3" s="10"/>
      <c r="M3" s="10"/>
    </row>
    <row r="4" spans="1:23" s="181" customFormat="1" ht="57.75" customHeight="1" thickBot="1" x14ac:dyDescent="0.2">
      <c r="A4" s="94" t="s">
        <v>1158</v>
      </c>
      <c r="B4" s="106" t="s">
        <v>1159</v>
      </c>
      <c r="C4" s="107"/>
      <c r="D4" s="106"/>
      <c r="E4" s="106"/>
      <c r="F4" s="107"/>
      <c r="G4" s="89" t="s">
        <v>1160</v>
      </c>
      <c r="H4" s="89" t="s">
        <v>1161</v>
      </c>
      <c r="I4" s="89" t="s">
        <v>1162</v>
      </c>
      <c r="J4" s="89" t="s">
        <v>1163</v>
      </c>
      <c r="K4" s="89" t="s">
        <v>1164</v>
      </c>
      <c r="L4" s="90" t="s">
        <v>1165</v>
      </c>
      <c r="M4" s="90" t="s">
        <v>1166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100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100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83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100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83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100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100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100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100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100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100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100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310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310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</row>
    <row r="17" spans="1:13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310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</row>
    <row r="18" spans="1:13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310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</row>
    <row r="19" spans="1:13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310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</row>
    <row r="20" spans="1:13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310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</row>
    <row r="21" spans="1:13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310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</row>
    <row r="22" spans="1:13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310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</row>
    <row r="23" spans="1:13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310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</row>
    <row r="24" spans="1:13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310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</row>
    <row r="25" spans="1:13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930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</row>
    <row r="26" spans="1:13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930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</row>
    <row r="27" spans="1:13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930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</row>
    <row r="28" spans="1:13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930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</row>
    <row r="29" spans="1:13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930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</row>
    <row r="30" spans="1:13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930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</row>
    <row r="31" spans="1:13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930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</row>
    <row r="32" spans="1:13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930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</row>
    <row r="33" spans="1:13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930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</row>
    <row r="34" spans="1:13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930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</row>
    <row r="35" spans="1:13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5475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</row>
    <row r="36" spans="1:13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5475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</row>
    <row r="37" spans="1:13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5475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</row>
    <row r="38" spans="1:13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5475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</row>
    <row r="39" spans="1:13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5475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</row>
    <row r="40" spans="1:13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5475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</row>
    <row r="41" spans="1:13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5475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</row>
    <row r="42" spans="1:13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5475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</row>
    <row r="43" spans="1:13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5475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</row>
    <row r="44" spans="1:13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5475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</row>
    <row r="45" spans="1:13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32560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</row>
    <row r="46" spans="1:13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32560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</row>
    <row r="47" spans="1:13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32560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</row>
    <row r="48" spans="1:13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32560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</row>
    <row r="49" spans="1:13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32560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</row>
    <row r="50" spans="1:13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32560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</row>
    <row r="51" spans="1:13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32560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</row>
    <row r="52" spans="1:13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32560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</row>
    <row r="53" spans="1:13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32560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</row>
    <row r="54" spans="1:13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32560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</row>
    <row r="55" spans="1:13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108200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</row>
    <row r="56" spans="1:13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108200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</row>
    <row r="57" spans="1:13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108200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</row>
    <row r="58" spans="1:13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108200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</row>
    <row r="59" spans="1:13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108200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</row>
    <row r="60" spans="1:13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108200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</row>
    <row r="61" spans="1:13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108200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</row>
    <row r="62" spans="1:13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108200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</row>
    <row r="63" spans="1:13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108200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</row>
    <row r="64" spans="1:13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108200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</row>
    <row r="65" spans="1:13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240400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</row>
    <row r="66" spans="1:13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240400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</row>
    <row r="67" spans="1:13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240400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</row>
    <row r="68" spans="1:13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240400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</row>
    <row r="69" spans="1:13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240400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</row>
    <row r="70" spans="1:13" s="180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240400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</row>
    <row r="71" spans="1:13" s="180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240400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</row>
    <row r="72" spans="1:13" s="180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240400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</row>
    <row r="73" spans="1:13" s="180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240400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</row>
    <row r="74" spans="1:13" s="180" customFormat="1" ht="17.25" thickBot="1" x14ac:dyDescent="0.2">
      <c r="A74" s="11">
        <f t="shared" si="1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240400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</row>
    <row r="75" spans="1:13" s="182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630500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</row>
    <row r="76" spans="1:13" s="180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630500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</row>
    <row r="77" spans="1:13" s="180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630500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</row>
    <row r="78" spans="1:13" s="180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630500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</row>
    <row r="79" spans="1:13" s="180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630500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</row>
    <row r="80" spans="1:13" s="180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630500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</row>
    <row r="81" spans="1:13" s="180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630500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</row>
    <row r="82" spans="1:13" s="180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630500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</row>
    <row r="83" spans="1:13" s="180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630500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</row>
    <row r="84" spans="1:13" s="180" customFormat="1" ht="17.25" thickBot="1" x14ac:dyDescent="0.2">
      <c r="A84" s="11">
        <f t="shared" si="1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630500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</row>
    <row r="85" spans="1:13" s="182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1170750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</row>
    <row r="86" spans="1:13" s="180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1170750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</row>
    <row r="87" spans="1:13" s="180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1170750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</row>
    <row r="88" spans="1:13" s="180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1170750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</row>
    <row r="89" spans="1:13" s="180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1170750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</row>
    <row r="90" spans="1:13" s="180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1170750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</row>
    <row r="91" spans="1:13" s="180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1170750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</row>
    <row r="92" spans="1:13" s="180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1170750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</row>
    <row r="93" spans="1:13" s="180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1170750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</row>
    <row r="94" spans="1:13" s="180" customFormat="1" ht="17.25" thickBot="1" x14ac:dyDescent="0.2">
      <c r="A94" s="11">
        <f t="shared" si="1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1170750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</row>
    <row r="95" spans="1:13" s="182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1956000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</row>
    <row r="96" spans="1:13" s="180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1956000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</row>
    <row r="97" spans="1:13" s="180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1956000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</row>
    <row r="98" spans="1:13" s="180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1956000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</row>
    <row r="99" spans="1:13" s="180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1956000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</row>
    <row r="100" spans="1:13" s="180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1956000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</row>
    <row r="101" spans="1:13" s="180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1956000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</row>
    <row r="102" spans="1:13" s="180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1956000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</row>
    <row r="103" spans="1:13" s="180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1956000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</row>
    <row r="104" spans="1:13" s="180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1956000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</row>
    <row r="105" spans="1:13" s="182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3961500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</row>
    <row r="106" spans="1:13" s="180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3961500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</row>
    <row r="107" spans="1:13" s="180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3961500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</row>
    <row r="108" spans="1:13" s="180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3961500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</row>
    <row r="109" spans="1:13" s="180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3961500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</row>
    <row r="110" spans="1:13" s="180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3961500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</row>
    <row r="111" spans="1:13" s="180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3961500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</row>
    <row r="112" spans="1:13" s="180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3961500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</row>
    <row r="113" spans="1:13" s="180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3961500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</row>
    <row r="114" spans="1:13" s="180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3961500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</row>
    <row r="115" spans="1:13" s="182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7772100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</row>
    <row r="116" spans="1:13" s="180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7772100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</row>
    <row r="117" spans="1:13" s="180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7772100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</row>
    <row r="118" spans="1:13" s="180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7772100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</row>
    <row r="119" spans="1:13" s="180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7772100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</row>
    <row r="120" spans="1:13" s="180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7772100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</row>
    <row r="121" spans="1:13" s="180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7772100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</row>
    <row r="122" spans="1:13" s="180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7772100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</row>
    <row r="123" spans="1:13" s="180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7772100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</row>
    <row r="124" spans="1:13" s="180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7772100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</row>
    <row r="125" spans="1:13" s="182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13022450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</row>
    <row r="126" spans="1:13" s="180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13022450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</row>
    <row r="127" spans="1:13" s="180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13022450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</row>
    <row r="128" spans="1:13" s="180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13022450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</row>
    <row r="129" spans="1:13" s="180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13022450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</row>
    <row r="130" spans="1:13" s="180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13022450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</row>
    <row r="131" spans="1:13" s="180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13022450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</row>
    <row r="132" spans="1:13" s="180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13022450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</row>
    <row r="133" spans="1:13" s="180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13022450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</row>
    <row r="134" spans="1:13" s="180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13022450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</row>
    <row r="135" spans="1:13" s="182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23283600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</row>
    <row r="136" spans="1:13" s="180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23283600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</row>
    <row r="137" spans="1:13" s="180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23283600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</row>
    <row r="138" spans="1:13" s="180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23283600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</row>
    <row r="139" spans="1:13" s="180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23283600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</row>
    <row r="140" spans="1:13" s="180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23283600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</row>
    <row r="141" spans="1:13" s="180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23283600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</row>
    <row r="142" spans="1:13" s="180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23283600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</row>
    <row r="143" spans="1:13" s="180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23283600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</row>
    <row r="144" spans="1:13" s="180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23283600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</row>
    <row r="145" spans="1:13" s="182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50404400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</row>
    <row r="146" spans="1:13" s="180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50404400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</row>
    <row r="147" spans="1:13" s="180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50404400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</row>
    <row r="148" spans="1:13" s="180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50404400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</row>
    <row r="149" spans="1:13" s="180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50404400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</row>
    <row r="150" spans="1:13" s="180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50404400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</row>
    <row r="151" spans="1:13" s="180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50404400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</row>
    <row r="152" spans="1:13" s="180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50404400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</row>
    <row r="153" spans="1:13" s="180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50404400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</row>
    <row r="154" spans="1:13" s="180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50404400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</row>
    <row r="155" spans="1:13" s="182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119976300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</row>
    <row r="156" spans="1:13" s="180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119976300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</row>
    <row r="157" spans="1:13" s="180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119976300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</row>
    <row r="158" spans="1:13" s="180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119976300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</row>
    <row r="159" spans="1:13" s="180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119976300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</row>
    <row r="160" spans="1:13" s="180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119976300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</row>
    <row r="161" spans="1:13" s="180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119976300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</row>
    <row r="162" spans="1:13" s="180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119976300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</row>
    <row r="163" spans="1:13" s="180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119976300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</row>
    <row r="164" spans="1:13" s="180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119976300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</row>
    <row r="165" spans="1:13" s="182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223207650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</row>
    <row r="166" spans="1:13" s="180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223207650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</row>
    <row r="167" spans="1:13" s="180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223207650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</row>
    <row r="168" spans="1:13" s="180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223207650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</row>
    <row r="169" spans="1:13" s="180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223207650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</row>
    <row r="170" spans="1:13" s="180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223207650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</row>
    <row r="171" spans="1:13" s="180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223207650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</row>
    <row r="172" spans="1:13" s="180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223207650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</row>
    <row r="173" spans="1:13" s="180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223207650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</row>
    <row r="174" spans="1:13" s="180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223207650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</row>
    <row r="175" spans="1:13" s="182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403010500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</row>
    <row r="176" spans="1:13" s="180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403010500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</row>
    <row r="177" spans="1:13" s="180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403010500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</row>
    <row r="178" spans="1:13" s="180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403010500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</row>
    <row r="179" spans="1:13" s="180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403010500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</row>
    <row r="180" spans="1:13" s="180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403010500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</row>
    <row r="181" spans="1:13" s="180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403010500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</row>
    <row r="182" spans="1:13" s="180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403010500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</row>
    <row r="183" spans="1:13" s="180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403010500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</row>
    <row r="184" spans="1:13" s="180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403010500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</row>
    <row r="185" spans="1:13" s="182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682013750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</row>
    <row r="186" spans="1:13" s="180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682013750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</row>
    <row r="187" spans="1:13" s="180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682013750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</row>
    <row r="188" spans="1:13" s="180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682013750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</row>
    <row r="189" spans="1:13" s="180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682013750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</row>
    <row r="190" spans="1:13" s="180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682013750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</row>
    <row r="191" spans="1:13" s="180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682013750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</row>
    <row r="192" spans="1:13" s="180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682013750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</row>
    <row r="193" spans="1:13" s="180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682013750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</row>
    <row r="194" spans="1:13" s="180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682013750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</row>
    <row r="195" spans="1:13" s="182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1091216500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</row>
    <row r="196" spans="1:13" s="180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1091216500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</row>
    <row r="197" spans="1:13" s="180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1091216500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</row>
    <row r="198" spans="1:13" s="180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1091216500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</row>
    <row r="199" spans="1:13" s="180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1091216500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</row>
    <row r="200" spans="1:13" s="180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1091216500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</row>
    <row r="201" spans="1:13" s="180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1091216500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</row>
    <row r="202" spans="1:13" s="180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1091216500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</row>
    <row r="203" spans="1:13" s="180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1091216500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</row>
    <row r="204" spans="1:13" s="180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1091216500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</row>
    <row r="205" spans="1:13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</row>
    <row r="206" spans="1:13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</row>
    <row r="207" spans="1:13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</row>
    <row r="208" spans="1:13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</row>
    <row r="209" spans="1:13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</row>
    <row r="210" spans="1:13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</row>
    <row r="211" spans="1:13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</row>
    <row r="212" spans="1:13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</row>
    <row r="213" spans="1:13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</row>
    <row r="214" spans="1:13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</row>
    <row r="215" spans="1:13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</row>
    <row r="216" spans="1:13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</row>
    <row r="217" spans="1:13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</row>
    <row r="218" spans="1:13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</row>
    <row r="219" spans="1:13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</row>
    <row r="220" spans="1:13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</row>
    <row r="221" spans="1:13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</row>
    <row r="222" spans="1:13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</row>
    <row r="223" spans="1:13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</row>
    <row r="224" spans="1:13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</row>
    <row r="225" spans="1:13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</row>
    <row r="226" spans="1:13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</row>
    <row r="227" spans="1:13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</row>
    <row r="228" spans="1:13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</row>
    <row r="229" spans="1:13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</row>
    <row r="230" spans="1:13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</row>
    <row r="231" spans="1:13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</row>
    <row r="232" spans="1:13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</row>
    <row r="233" spans="1:13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</row>
    <row r="234" spans="1:13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</row>
    <row r="235" spans="1:13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</row>
    <row r="236" spans="1:13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</row>
    <row r="237" spans="1:13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</row>
    <row r="238" spans="1:13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</row>
    <row r="239" spans="1:13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</row>
    <row r="240" spans="1:13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</row>
    <row r="241" spans="1:13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</row>
    <row r="242" spans="1:13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</row>
    <row r="243" spans="1:13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</row>
    <row r="244" spans="1:13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</row>
    <row r="245" spans="1:13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</row>
    <row r="246" spans="1:13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</row>
    <row r="247" spans="1:13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</row>
    <row r="248" spans="1:13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</row>
    <row r="249" spans="1:13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</row>
    <row r="250" spans="1:13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</row>
    <row r="251" spans="1:13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</row>
    <row r="252" spans="1:13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</row>
    <row r="253" spans="1:13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</row>
    <row r="254" spans="1:13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</row>
    <row r="255" spans="1:13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</row>
    <row r="256" spans="1:13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</row>
    <row r="257" spans="1:13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</row>
    <row r="258" spans="1:13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</row>
    <row r="259" spans="1:13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</row>
    <row r="260" spans="1:13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</row>
    <row r="261" spans="1:13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</row>
    <row r="262" spans="1:13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</row>
    <row r="263" spans="1:13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</row>
    <row r="264" spans="1:13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</row>
    <row r="265" spans="1:13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</row>
    <row r="266" spans="1:13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</row>
    <row r="267" spans="1:13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</row>
    <row r="268" spans="1:13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</row>
    <row r="269" spans="1:13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</row>
    <row r="270" spans="1:13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</row>
    <row r="271" spans="1:13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</row>
    <row r="272" spans="1:13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</row>
    <row r="273" spans="1:13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</row>
    <row r="274" spans="1:13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</row>
    <row r="275" spans="1:13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</row>
    <row r="276" spans="1:13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</row>
    <row r="277" spans="1:13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</row>
    <row r="278" spans="1:13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</row>
    <row r="279" spans="1:13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</row>
    <row r="280" spans="1:13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</row>
    <row r="281" spans="1:13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</row>
    <row r="282" spans="1:13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</row>
    <row r="283" spans="1:13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</row>
    <row r="284" spans="1:13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</row>
    <row r="285" spans="1:13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</row>
    <row r="286" spans="1:13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</row>
    <row r="287" spans="1:13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</row>
    <row r="288" spans="1:13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</row>
    <row r="289" spans="1:13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</row>
    <row r="290" spans="1:13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</row>
    <row r="291" spans="1:13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</row>
    <row r="292" spans="1:13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</row>
    <row r="293" spans="1:13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</row>
    <row r="294" spans="1:13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</row>
    <row r="295" spans="1:13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</row>
    <row r="296" spans="1:13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</row>
    <row r="297" spans="1:13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</row>
    <row r="298" spans="1:13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</row>
    <row r="299" spans="1:13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</row>
    <row r="300" spans="1:13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</row>
    <row r="301" spans="1:13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</row>
    <row r="302" spans="1:13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</row>
    <row r="303" spans="1:13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</row>
    <row r="304" spans="1:13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</row>
    <row r="305" spans="1:13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</row>
    <row r="306" spans="1:13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</row>
    <row r="307" spans="1:13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</row>
    <row r="308" spans="1:13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</row>
    <row r="309" spans="1:13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</row>
    <row r="310" spans="1:13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</row>
    <row r="311" spans="1:13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</row>
    <row r="312" spans="1:13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</row>
    <row r="313" spans="1:13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</row>
    <row r="314" spans="1:13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</row>
    <row r="315" spans="1:13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</row>
    <row r="316" spans="1:13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</row>
    <row r="317" spans="1:13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</row>
    <row r="318" spans="1:13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</row>
    <row r="319" spans="1:13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</row>
    <row r="320" spans="1:13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</row>
    <row r="321" spans="1:13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</row>
    <row r="322" spans="1:13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</row>
    <row r="323" spans="1:13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</row>
    <row r="324" spans="1:13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</row>
    <row r="325" spans="1:13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</row>
    <row r="326" spans="1:13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</row>
    <row r="327" spans="1:13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</row>
    <row r="328" spans="1:13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</row>
    <row r="329" spans="1:13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</row>
    <row r="330" spans="1:13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</row>
    <row r="331" spans="1:13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</row>
    <row r="332" spans="1:13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</row>
    <row r="333" spans="1:13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</row>
    <row r="334" spans="1:13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</row>
    <row r="335" spans="1:13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</row>
    <row r="336" spans="1:13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</row>
    <row r="337" spans="1:13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</row>
    <row r="338" spans="1:13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</row>
    <row r="339" spans="1:13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</row>
    <row r="340" spans="1:13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</row>
    <row r="341" spans="1:13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</row>
    <row r="342" spans="1:13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</row>
    <row r="343" spans="1:13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</row>
    <row r="344" spans="1:13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</row>
    <row r="345" spans="1:13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</row>
    <row r="346" spans="1:13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</row>
    <row r="347" spans="1:13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</row>
    <row r="348" spans="1:13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</row>
    <row r="349" spans="1:13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</row>
    <row r="350" spans="1:13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</row>
    <row r="351" spans="1:13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</row>
    <row r="352" spans="1:13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</row>
    <row r="353" spans="1:13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</row>
    <row r="354" spans="1:13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</row>
    <row r="355" spans="1:13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</row>
    <row r="356" spans="1:13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</row>
    <row r="357" spans="1:13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</row>
    <row r="358" spans="1:13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</row>
    <row r="359" spans="1:13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</row>
    <row r="360" spans="1:13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</row>
    <row r="361" spans="1:13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</row>
    <row r="362" spans="1:13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</row>
    <row r="363" spans="1:13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</row>
    <row r="364" spans="1:13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</row>
    <row r="365" spans="1:13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</row>
    <row r="366" spans="1:13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</row>
    <row r="367" spans="1:13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</row>
    <row r="368" spans="1:13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</row>
    <row r="369" spans="1:13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</row>
    <row r="370" spans="1:13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</row>
    <row r="371" spans="1:13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</row>
    <row r="372" spans="1:13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</row>
    <row r="373" spans="1:13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</row>
    <row r="374" spans="1:13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</row>
    <row r="375" spans="1:13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</row>
    <row r="376" spans="1:13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</row>
    <row r="377" spans="1:13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</row>
    <row r="378" spans="1:13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</row>
    <row r="379" spans="1:13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</row>
    <row r="380" spans="1:13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</row>
    <row r="381" spans="1:13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</row>
    <row r="382" spans="1:13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</row>
    <row r="383" spans="1:13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</row>
    <row r="384" spans="1:13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</row>
    <row r="385" spans="1:13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</row>
    <row r="386" spans="1:13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</row>
    <row r="387" spans="1:13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</row>
    <row r="388" spans="1:13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</row>
    <row r="389" spans="1:13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</row>
    <row r="390" spans="1:13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</row>
    <row r="391" spans="1:13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</row>
    <row r="392" spans="1:13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</row>
    <row r="393" spans="1:13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</row>
    <row r="394" spans="1:13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</row>
    <row r="395" spans="1:13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</row>
    <row r="396" spans="1:13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</row>
    <row r="397" spans="1:13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</row>
    <row r="398" spans="1:13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</row>
    <row r="399" spans="1:13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</row>
    <row r="400" spans="1:13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</row>
    <row r="401" spans="1:13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</row>
    <row r="402" spans="1:13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</row>
    <row r="403" spans="1:13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</row>
    <row r="404" spans="1:13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</row>
    <row r="405" spans="1:13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</row>
    <row r="406" spans="1:13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</row>
    <row r="407" spans="1:13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</row>
    <row r="408" spans="1:13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</row>
    <row r="409" spans="1:13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</row>
    <row r="410" spans="1:13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</row>
    <row r="411" spans="1:13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</row>
    <row r="412" spans="1:13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</row>
    <row r="413" spans="1:13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</row>
    <row r="414" spans="1:13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</row>
    <row r="415" spans="1:13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</row>
    <row r="416" spans="1:13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</row>
    <row r="417" spans="1:13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</row>
    <row r="418" spans="1:13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</row>
    <row r="419" spans="1:13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</row>
    <row r="420" spans="1:13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</row>
    <row r="421" spans="1:13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</row>
    <row r="422" spans="1:13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</row>
    <row r="423" spans="1:13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</row>
    <row r="424" spans="1:13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</row>
    <row r="425" spans="1:13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</row>
    <row r="426" spans="1:13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</row>
    <row r="427" spans="1:13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</row>
    <row r="428" spans="1:13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</row>
    <row r="429" spans="1:13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</row>
    <row r="430" spans="1:13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</row>
    <row r="431" spans="1:13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</row>
    <row r="432" spans="1:13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</row>
    <row r="433" spans="1:13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</row>
    <row r="434" spans="1:13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</row>
    <row r="435" spans="1:13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</row>
    <row r="436" spans="1:13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</row>
    <row r="437" spans="1:13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</row>
    <row r="438" spans="1:13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</row>
    <row r="439" spans="1:13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</row>
    <row r="440" spans="1:13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</row>
    <row r="441" spans="1:13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</row>
    <row r="442" spans="1:13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</row>
    <row r="443" spans="1:13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</row>
    <row r="444" spans="1:13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</row>
    <row r="445" spans="1:13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</row>
    <row r="446" spans="1:13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</row>
    <row r="447" spans="1:13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</row>
    <row r="448" spans="1:13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</row>
    <row r="449" spans="1:13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</row>
    <row r="450" spans="1:13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</row>
    <row r="451" spans="1:13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</row>
    <row r="452" spans="1:13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</row>
    <row r="453" spans="1:13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</row>
    <row r="454" spans="1:13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</row>
    <row r="455" spans="1:13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</row>
    <row r="456" spans="1:13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</row>
    <row r="457" spans="1:13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</row>
    <row r="458" spans="1:13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</row>
    <row r="459" spans="1:13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</row>
    <row r="460" spans="1:13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</row>
    <row r="461" spans="1:13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</row>
    <row r="462" spans="1:13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</row>
    <row r="463" spans="1:13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</row>
    <row r="464" spans="1:13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</row>
    <row r="465" spans="1:13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</row>
    <row r="466" spans="1:13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</row>
    <row r="467" spans="1:13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</row>
    <row r="468" spans="1:13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</row>
    <row r="469" spans="1:13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</row>
    <row r="470" spans="1:13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</row>
    <row r="471" spans="1:13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</row>
    <row r="472" spans="1:13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</row>
    <row r="473" spans="1:13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</row>
    <row r="474" spans="1:13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</row>
    <row r="475" spans="1:13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</row>
    <row r="476" spans="1:13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</row>
    <row r="477" spans="1:13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</row>
    <row r="478" spans="1:13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</row>
    <row r="479" spans="1:13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</row>
    <row r="480" spans="1:13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</row>
    <row r="481" spans="1:13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</row>
    <row r="482" spans="1:13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</row>
    <row r="483" spans="1:13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</row>
    <row r="484" spans="1:13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</row>
    <row r="485" spans="1:13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</row>
    <row r="486" spans="1:13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</row>
    <row r="487" spans="1:13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</row>
    <row r="488" spans="1:13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</row>
    <row r="489" spans="1:13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</row>
    <row r="490" spans="1:13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</row>
    <row r="491" spans="1:13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</row>
    <row r="492" spans="1:13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</row>
    <row r="493" spans="1:13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</row>
    <row r="494" spans="1:13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</row>
    <row r="495" spans="1:13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</row>
    <row r="496" spans="1:13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</row>
    <row r="497" spans="1:13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</row>
    <row r="498" spans="1:13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</row>
    <row r="499" spans="1:13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</row>
    <row r="500" spans="1:13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</row>
    <row r="501" spans="1:13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</row>
    <row r="502" spans="1:13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</row>
    <row r="503" spans="1:13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</row>
    <row r="504" spans="1:13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</row>
    <row r="505" spans="1:13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</row>
    <row r="506" spans="1:13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</row>
    <row r="507" spans="1:13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</row>
    <row r="508" spans="1:13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</row>
    <row r="509" spans="1:13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</row>
    <row r="510" spans="1:13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</row>
    <row r="511" spans="1:13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</row>
    <row r="512" spans="1:13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</row>
    <row r="513" spans="1:13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</row>
    <row r="514" spans="1:13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</row>
    <row r="515" spans="1:13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</row>
    <row r="516" spans="1:13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</row>
    <row r="517" spans="1:13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</row>
    <row r="518" spans="1:13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</row>
    <row r="519" spans="1:13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</row>
    <row r="520" spans="1:13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</row>
    <row r="521" spans="1:13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</row>
    <row r="522" spans="1:13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</row>
    <row r="523" spans="1:13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</row>
    <row r="524" spans="1:13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</row>
    <row r="525" spans="1:13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</row>
    <row r="526" spans="1:13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</row>
    <row r="527" spans="1:13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</row>
    <row r="528" spans="1:13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</row>
    <row r="529" spans="1:13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</row>
    <row r="530" spans="1:13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</row>
    <row r="531" spans="1:13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</row>
    <row r="532" spans="1:13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</row>
    <row r="533" spans="1:13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</row>
    <row r="534" spans="1:13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</row>
    <row r="535" spans="1:13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</row>
    <row r="536" spans="1:13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</row>
    <row r="537" spans="1:13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</row>
    <row r="538" spans="1:13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</row>
    <row r="539" spans="1:13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</row>
    <row r="540" spans="1:13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</row>
    <row r="541" spans="1:13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</row>
    <row r="542" spans="1:13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</row>
    <row r="543" spans="1:13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</row>
    <row r="544" spans="1:13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</row>
    <row r="545" spans="1:13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</row>
    <row r="546" spans="1:13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</row>
    <row r="547" spans="1:13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</row>
    <row r="548" spans="1:13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</row>
    <row r="549" spans="1:13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</row>
    <row r="550" spans="1:13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</row>
    <row r="551" spans="1:13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</row>
    <row r="552" spans="1:13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</row>
    <row r="553" spans="1:13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</row>
    <row r="554" spans="1:13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</row>
    <row r="555" spans="1:13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</row>
    <row r="556" spans="1:13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</row>
    <row r="557" spans="1:13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</row>
    <row r="558" spans="1:13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</row>
    <row r="559" spans="1:13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</row>
    <row r="560" spans="1:13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</row>
    <row r="561" spans="1:13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</row>
    <row r="562" spans="1:13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</row>
    <row r="563" spans="1:13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</row>
    <row r="564" spans="1:13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</row>
    <row r="565" spans="1:13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</row>
    <row r="566" spans="1:13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</row>
    <row r="567" spans="1:13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</row>
    <row r="568" spans="1:13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</row>
    <row r="569" spans="1:13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</row>
    <row r="570" spans="1:13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</row>
    <row r="571" spans="1:13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</row>
    <row r="572" spans="1:13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</row>
    <row r="573" spans="1:13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</row>
    <row r="574" spans="1:13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</row>
    <row r="575" spans="1:13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</row>
    <row r="576" spans="1:13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</row>
    <row r="577" spans="1:13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</row>
    <row r="578" spans="1:13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</row>
    <row r="579" spans="1:13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</row>
    <row r="580" spans="1:13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</row>
    <row r="581" spans="1:13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</row>
    <row r="582" spans="1:13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</row>
    <row r="583" spans="1:13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</row>
    <row r="584" spans="1:13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</row>
    <row r="585" spans="1:13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</row>
    <row r="586" spans="1:13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</row>
    <row r="587" spans="1:13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</row>
    <row r="588" spans="1:13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</row>
    <row r="589" spans="1:13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</row>
    <row r="590" spans="1:13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</row>
    <row r="591" spans="1:13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</row>
    <row r="592" spans="1:13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</row>
    <row r="593" spans="1:13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</row>
    <row r="594" spans="1:13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Q16" sqref="Q1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554</v>
      </c>
      <c r="B1" s="13"/>
      <c r="C1" s="12"/>
      <c r="D1" s="13"/>
      <c r="E1" s="13"/>
      <c r="F1" s="12"/>
      <c r="G1" s="55" t="s">
        <v>784</v>
      </c>
      <c r="H1" s="55" t="s">
        <v>575</v>
      </c>
      <c r="I1" s="55" t="s">
        <v>784</v>
      </c>
      <c r="J1" s="55" t="s">
        <v>575</v>
      </c>
      <c r="K1" s="55" t="s">
        <v>575</v>
      </c>
      <c r="L1" s="158" t="s">
        <v>784</v>
      </c>
      <c r="M1" s="10"/>
      <c r="N1" s="55" t="s">
        <v>784</v>
      </c>
      <c r="O1" s="55" t="s">
        <v>784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976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575</v>
      </c>
      <c r="AL1" s="55" t="s">
        <v>575</v>
      </c>
      <c r="AM1" s="55" t="s">
        <v>575</v>
      </c>
      <c r="AN1" s="55" t="s">
        <v>575</v>
      </c>
      <c r="AO1" s="55" t="s">
        <v>575</v>
      </c>
      <c r="AP1" s="55" t="s">
        <v>575</v>
      </c>
      <c r="AQ1" s="55" t="s">
        <v>1262</v>
      </c>
      <c r="AR1" s="55" t="s">
        <v>1262</v>
      </c>
      <c r="AS1" s="165"/>
      <c r="AT1" s="55" t="s">
        <v>575</v>
      </c>
      <c r="AU1" s="55" t="s">
        <v>575</v>
      </c>
      <c r="AV1" s="55" t="s">
        <v>575</v>
      </c>
      <c r="AW1" s="55" t="s">
        <v>575</v>
      </c>
      <c r="AX1" s="55" t="s">
        <v>575</v>
      </c>
      <c r="AY1" s="55" t="s">
        <v>575</v>
      </c>
      <c r="AZ1" s="55" t="s">
        <v>575</v>
      </c>
      <c r="BA1" s="55" t="s">
        <v>1262</v>
      </c>
      <c r="BB1" s="165"/>
      <c r="BC1" s="55" t="s">
        <v>575</v>
      </c>
      <c r="BD1" s="55" t="s">
        <v>575</v>
      </c>
      <c r="BE1" s="55" t="s">
        <v>1034</v>
      </c>
      <c r="BF1" s="165"/>
      <c r="BG1" s="55" t="s">
        <v>575</v>
      </c>
      <c r="BH1" s="10"/>
      <c r="BI1" s="55" t="s">
        <v>575</v>
      </c>
      <c r="BJ1" s="55" t="s">
        <v>575</v>
      </c>
      <c r="BK1" s="55" t="s">
        <v>575</v>
      </c>
      <c r="BL1" s="55" t="s">
        <v>575</v>
      </c>
      <c r="BM1" s="55" t="s">
        <v>575</v>
      </c>
      <c r="BN1" s="55" t="s">
        <v>575</v>
      </c>
      <c r="BO1" s="55" t="s">
        <v>575</v>
      </c>
      <c r="BP1" s="55" t="s">
        <v>575</v>
      </c>
      <c r="BQ1" s="55" t="s">
        <v>575</v>
      </c>
      <c r="BR1" s="55" t="s">
        <v>575</v>
      </c>
      <c r="BS1" s="55" t="s">
        <v>575</v>
      </c>
      <c r="BT1" s="10"/>
      <c r="BU1" s="55" t="s">
        <v>575</v>
      </c>
      <c r="BV1" s="55" t="s">
        <v>575</v>
      </c>
      <c r="BW1" s="55" t="s">
        <v>575</v>
      </c>
      <c r="BX1" s="55" t="s">
        <v>575</v>
      </c>
      <c r="BY1" s="55" t="s">
        <v>575</v>
      </c>
      <c r="BZ1" s="55" t="s">
        <v>575</v>
      </c>
      <c r="CA1" s="55" t="s">
        <v>575</v>
      </c>
      <c r="CB1" s="55" t="s">
        <v>575</v>
      </c>
      <c r="CC1" s="55" t="s">
        <v>575</v>
      </c>
      <c r="CD1" s="55" t="s">
        <v>575</v>
      </c>
      <c r="CE1" s="55" t="s">
        <v>575</v>
      </c>
      <c r="CF1" s="55" t="s">
        <v>575</v>
      </c>
      <c r="CG1" s="55" t="s">
        <v>575</v>
      </c>
      <c r="CH1" s="55" t="s">
        <v>575</v>
      </c>
      <c r="CI1" s="55" t="s">
        <v>575</v>
      </c>
      <c r="CJ1" s="55" t="s">
        <v>575</v>
      </c>
      <c r="CK1" s="55" t="s">
        <v>575</v>
      </c>
      <c r="CL1" s="55" t="s">
        <v>575</v>
      </c>
      <c r="CM1" s="55" t="s">
        <v>575</v>
      </c>
      <c r="CN1" s="10"/>
      <c r="CO1" s="55" t="s">
        <v>575</v>
      </c>
      <c r="CP1" s="55" t="s">
        <v>575</v>
      </c>
      <c r="CQ1" s="55" t="s">
        <v>575</v>
      </c>
      <c r="CR1" s="55" t="s">
        <v>575</v>
      </c>
      <c r="CS1" s="55" t="s">
        <v>575</v>
      </c>
      <c r="CT1" s="55" t="s">
        <v>575</v>
      </c>
      <c r="CU1" s="55" t="s">
        <v>575</v>
      </c>
      <c r="CV1" s="55" t="s">
        <v>575</v>
      </c>
      <c r="CW1" s="55" t="s">
        <v>575</v>
      </c>
      <c r="CX1" s="55" t="s">
        <v>575</v>
      </c>
      <c r="CY1" s="55" t="s">
        <v>575</v>
      </c>
      <c r="CZ1" s="55" t="s">
        <v>575</v>
      </c>
      <c r="DA1" s="55" t="s">
        <v>575</v>
      </c>
      <c r="DB1" s="55" t="s">
        <v>575</v>
      </c>
      <c r="DC1" s="55" t="s">
        <v>575</v>
      </c>
      <c r="DD1" s="55" t="s">
        <v>60</v>
      </c>
      <c r="DE1" s="55" t="s">
        <v>60</v>
      </c>
      <c r="DF1" s="55" t="s">
        <v>60</v>
      </c>
      <c r="DG1" s="10"/>
      <c r="DH1" s="55" t="s">
        <v>575</v>
      </c>
      <c r="DI1" s="55" t="s">
        <v>575</v>
      </c>
      <c r="DJ1" s="55" t="s">
        <v>575</v>
      </c>
      <c r="DK1" s="55" t="s">
        <v>575</v>
      </c>
      <c r="DL1" s="55" t="s">
        <v>575</v>
      </c>
      <c r="DM1" s="55" t="s">
        <v>575</v>
      </c>
      <c r="DN1" s="55" t="s">
        <v>575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783</v>
      </c>
      <c r="H2" s="55" t="s">
        <v>952</v>
      </c>
      <c r="I2" s="55" t="s">
        <v>783</v>
      </c>
      <c r="J2" s="55" t="s">
        <v>471</v>
      </c>
      <c r="K2" s="55" t="s">
        <v>471</v>
      </c>
      <c r="L2" s="158" t="s">
        <v>785</v>
      </c>
      <c r="M2" s="10"/>
      <c r="N2" s="55" t="s">
        <v>783</v>
      </c>
      <c r="O2" s="55" t="s">
        <v>785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975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1261</v>
      </c>
      <c r="AR2" s="55" t="s">
        <v>1261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1261</v>
      </c>
      <c r="BB2" s="165"/>
      <c r="BC2" s="55" t="s">
        <v>61</v>
      </c>
      <c r="BD2" s="55" t="s">
        <v>61</v>
      </c>
      <c r="BE2" s="55" t="s">
        <v>1033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560</v>
      </c>
      <c r="B3" s="13"/>
      <c r="C3" s="12"/>
      <c r="D3" s="13"/>
      <c r="E3" s="13"/>
      <c r="F3" s="12"/>
      <c r="G3" s="55" t="s">
        <v>794</v>
      </c>
      <c r="H3" s="55" t="s">
        <v>951</v>
      </c>
      <c r="I3" s="55" t="s">
        <v>797</v>
      </c>
      <c r="J3" s="55" t="s">
        <v>962</v>
      </c>
      <c r="K3" s="55" t="s">
        <v>963</v>
      </c>
      <c r="L3" s="158" t="s">
        <v>814</v>
      </c>
      <c r="M3" s="10"/>
      <c r="N3" s="55" t="s">
        <v>787</v>
      </c>
      <c r="O3" s="55" t="s">
        <v>806</v>
      </c>
      <c r="P3" s="10"/>
      <c r="Q3" s="10"/>
      <c r="R3" s="155"/>
      <c r="S3" s="171"/>
      <c r="T3" s="161"/>
      <c r="U3" s="55" t="s">
        <v>967</v>
      </c>
      <c r="V3" s="55"/>
      <c r="W3" s="55"/>
      <c r="X3" s="155"/>
      <c r="Y3" s="171"/>
      <c r="Z3" s="165"/>
      <c r="AA3" s="10"/>
      <c r="AB3" s="55" t="s">
        <v>974</v>
      </c>
      <c r="AC3" s="55" t="s">
        <v>789</v>
      </c>
      <c r="AD3" s="55" t="s">
        <v>790</v>
      </c>
      <c r="AE3" s="55" t="s">
        <v>791</v>
      </c>
      <c r="AF3" s="55" t="s">
        <v>792</v>
      </c>
      <c r="AG3" s="167"/>
      <c r="AH3" s="55" t="s">
        <v>1229</v>
      </c>
      <c r="AI3" s="55" t="s">
        <v>1230</v>
      </c>
      <c r="AJ3" s="165"/>
      <c r="AK3" s="38" t="s">
        <v>837</v>
      </c>
      <c r="AL3" s="61" t="s">
        <v>838</v>
      </c>
      <c r="AM3" s="61" t="s">
        <v>839</v>
      </c>
      <c r="AN3" s="61" t="s">
        <v>840</v>
      </c>
      <c r="AO3" s="61" t="s">
        <v>841</v>
      </c>
      <c r="AP3" s="61" t="s">
        <v>842</v>
      </c>
      <c r="AQ3" s="61" t="s">
        <v>1266</v>
      </c>
      <c r="AR3" s="61" t="s">
        <v>1260</v>
      </c>
      <c r="AS3" s="165"/>
      <c r="AT3" s="38" t="s">
        <v>843</v>
      </c>
      <c r="AU3" s="61" t="s">
        <v>844</v>
      </c>
      <c r="AV3" s="61" t="s">
        <v>845</v>
      </c>
      <c r="AW3" s="61" t="s">
        <v>846</v>
      </c>
      <c r="AX3" s="61" t="s">
        <v>847</v>
      </c>
      <c r="AY3" s="61" t="s">
        <v>848</v>
      </c>
      <c r="AZ3" s="61" t="s">
        <v>1267</v>
      </c>
      <c r="BA3" s="61" t="s">
        <v>1264</v>
      </c>
      <c r="BB3" s="165"/>
      <c r="BC3" s="38" t="s">
        <v>887</v>
      </c>
      <c r="BD3" s="61" t="s">
        <v>824</v>
      </c>
      <c r="BE3" s="61" t="s">
        <v>1031</v>
      </c>
      <c r="BF3" s="165"/>
      <c r="BG3" s="38" t="s">
        <v>803</v>
      </c>
      <c r="BH3" s="10"/>
      <c r="BI3" s="38" t="s">
        <v>1177</v>
      </c>
      <c r="BJ3" s="61" t="s">
        <v>1178</v>
      </c>
      <c r="BK3" s="61" t="s">
        <v>1179</v>
      </c>
      <c r="BL3" s="61" t="s">
        <v>1180</v>
      </c>
      <c r="BM3" s="35" t="s">
        <v>1181</v>
      </c>
      <c r="BN3" s="35" t="s">
        <v>1182</v>
      </c>
      <c r="BO3" s="35" t="s">
        <v>1183</v>
      </c>
      <c r="BP3" s="61" t="s">
        <v>1184</v>
      </c>
      <c r="BQ3" s="35" t="s">
        <v>1185</v>
      </c>
      <c r="BR3" s="35" t="s">
        <v>1186</v>
      </c>
      <c r="BS3" s="35" t="s">
        <v>1187</v>
      </c>
      <c r="BT3" s="36"/>
      <c r="BU3" s="35" t="s">
        <v>1188</v>
      </c>
      <c r="BV3" s="35" t="s">
        <v>1189</v>
      </c>
      <c r="BW3" s="35" t="s">
        <v>1190</v>
      </c>
      <c r="BX3" s="35" t="s">
        <v>1191</v>
      </c>
      <c r="BY3" s="35" t="s">
        <v>1192</v>
      </c>
      <c r="BZ3" s="35" t="s">
        <v>1193</v>
      </c>
      <c r="CA3" s="35" t="s">
        <v>1194</v>
      </c>
      <c r="CB3" s="35" t="s">
        <v>1195</v>
      </c>
      <c r="CC3" s="35" t="s">
        <v>1196</v>
      </c>
      <c r="CD3" s="35" t="s">
        <v>1197</v>
      </c>
      <c r="CE3" s="35" t="s">
        <v>1198</v>
      </c>
      <c r="CF3" s="35" t="s">
        <v>1199</v>
      </c>
      <c r="CG3" s="35" t="s">
        <v>1200</v>
      </c>
      <c r="CH3" s="35" t="s">
        <v>1201</v>
      </c>
      <c r="CI3" s="35" t="s">
        <v>1202</v>
      </c>
      <c r="CJ3" s="35" t="s">
        <v>1203</v>
      </c>
      <c r="CK3" s="35" t="s">
        <v>1204</v>
      </c>
      <c r="CL3" s="35" t="s">
        <v>1205</v>
      </c>
      <c r="CM3" s="35" t="s">
        <v>1206</v>
      </c>
      <c r="CN3" s="36"/>
      <c r="CO3" s="35" t="s">
        <v>1207</v>
      </c>
      <c r="CP3" s="35" t="s">
        <v>1208</v>
      </c>
      <c r="CQ3" s="35" t="s">
        <v>1209</v>
      </c>
      <c r="CR3" s="35" t="s">
        <v>1210</v>
      </c>
      <c r="CS3" s="35" t="s">
        <v>1211</v>
      </c>
      <c r="CT3" s="35" t="s">
        <v>1212</v>
      </c>
      <c r="CU3" s="35" t="s">
        <v>1213</v>
      </c>
      <c r="CV3" s="35" t="s">
        <v>1214</v>
      </c>
      <c r="CW3" s="35" t="s">
        <v>1215</v>
      </c>
      <c r="CX3" s="35" t="s">
        <v>1216</v>
      </c>
      <c r="CY3" s="35" t="s">
        <v>1217</v>
      </c>
      <c r="CZ3" s="35" t="s">
        <v>1218</v>
      </c>
      <c r="DA3" s="35" t="s">
        <v>1219</v>
      </c>
      <c r="DB3" s="35" t="s">
        <v>1220</v>
      </c>
      <c r="DC3" s="35" t="s">
        <v>1221</v>
      </c>
      <c r="DD3" s="55" t="s">
        <v>1241</v>
      </c>
      <c r="DE3" s="55" t="s">
        <v>1242</v>
      </c>
      <c r="DF3" s="55" t="s">
        <v>1243</v>
      </c>
      <c r="DG3" s="36"/>
      <c r="DH3" s="35" t="s">
        <v>1222</v>
      </c>
      <c r="DI3" s="35" t="s">
        <v>1223</v>
      </c>
      <c r="DJ3" s="35" t="s">
        <v>1224</v>
      </c>
      <c r="DK3" s="35" t="s">
        <v>1225</v>
      </c>
      <c r="DL3" s="35" t="s">
        <v>1226</v>
      </c>
      <c r="DM3" s="35" t="s">
        <v>1227</v>
      </c>
      <c r="DN3" s="35" t="s">
        <v>1228</v>
      </c>
    </row>
    <row r="4" spans="1:118" s="92" customFormat="1" ht="118.5" customHeight="1" thickBot="1" x14ac:dyDescent="0.2">
      <c r="A4" s="94" t="s">
        <v>560</v>
      </c>
      <c r="B4" s="106" t="s">
        <v>577</v>
      </c>
      <c r="C4" s="107" t="s">
        <v>1328</v>
      </c>
      <c r="D4" s="106" t="s">
        <v>866</v>
      </c>
      <c r="E4" s="106" t="s">
        <v>867</v>
      </c>
      <c r="F4" s="107"/>
      <c r="G4" s="57" t="s">
        <v>795</v>
      </c>
      <c r="H4" s="57" t="s">
        <v>953</v>
      </c>
      <c r="I4" s="57" t="s">
        <v>1036</v>
      </c>
      <c r="J4" s="57" t="s">
        <v>1037</v>
      </c>
      <c r="K4" s="57" t="s">
        <v>1038</v>
      </c>
      <c r="L4" s="159" t="s">
        <v>813</v>
      </c>
      <c r="M4" s="142" t="s">
        <v>796</v>
      </c>
      <c r="N4" s="89" t="s">
        <v>786</v>
      </c>
      <c r="O4" s="55" t="s">
        <v>954</v>
      </c>
      <c r="P4" s="10"/>
      <c r="Q4" s="10" t="s">
        <v>1331</v>
      </c>
      <c r="R4" s="155" t="s">
        <v>994</v>
      </c>
      <c r="S4" s="171" t="s">
        <v>968</v>
      </c>
      <c r="T4" s="161" t="s">
        <v>971</v>
      </c>
      <c r="U4" s="55" t="s">
        <v>972</v>
      </c>
      <c r="V4" s="55" t="s">
        <v>988</v>
      </c>
      <c r="W4" s="55" t="s">
        <v>989</v>
      </c>
      <c r="X4" s="155" t="s">
        <v>985</v>
      </c>
      <c r="Y4" s="171" t="s">
        <v>969</v>
      </c>
      <c r="Z4" s="165" t="s">
        <v>802</v>
      </c>
      <c r="AA4" s="10" t="s">
        <v>793</v>
      </c>
      <c r="AB4" s="55" t="s">
        <v>973</v>
      </c>
      <c r="AC4" s="55" t="s">
        <v>868</v>
      </c>
      <c r="AD4" s="55" t="s">
        <v>869</v>
      </c>
      <c r="AE4" s="55" t="s">
        <v>870</v>
      </c>
      <c r="AF4" s="55" t="s">
        <v>871</v>
      </c>
      <c r="AG4" s="168" t="s">
        <v>970</v>
      </c>
      <c r="AH4" s="55" t="s">
        <v>872</v>
      </c>
      <c r="AI4" s="55" t="s">
        <v>873</v>
      </c>
      <c r="AJ4" s="170" t="s">
        <v>955</v>
      </c>
      <c r="AK4" s="38" t="s">
        <v>874</v>
      </c>
      <c r="AL4" s="61" t="s">
        <v>875</v>
      </c>
      <c r="AM4" s="61" t="s">
        <v>876</v>
      </c>
      <c r="AN4" s="61" t="s">
        <v>877</v>
      </c>
      <c r="AO4" s="61" t="s">
        <v>878</v>
      </c>
      <c r="AP4" s="61" t="s">
        <v>879</v>
      </c>
      <c r="AQ4" s="61" t="s">
        <v>1265</v>
      </c>
      <c r="AR4" s="61" t="s">
        <v>1259</v>
      </c>
      <c r="AS4" s="165" t="s">
        <v>880</v>
      </c>
      <c r="AT4" s="38" t="s">
        <v>881</v>
      </c>
      <c r="AU4" s="61" t="s">
        <v>882</v>
      </c>
      <c r="AV4" s="61" t="s">
        <v>883</v>
      </c>
      <c r="AW4" s="61" t="s">
        <v>884</v>
      </c>
      <c r="AX4" s="61" t="s">
        <v>885</v>
      </c>
      <c r="AY4" s="61" t="s">
        <v>886</v>
      </c>
      <c r="AZ4" s="61" t="s">
        <v>891</v>
      </c>
      <c r="BA4" s="61" t="s">
        <v>1263</v>
      </c>
      <c r="BB4" s="165" t="s">
        <v>825</v>
      </c>
      <c r="BC4" s="38" t="s">
        <v>888</v>
      </c>
      <c r="BD4" s="61" t="s">
        <v>889</v>
      </c>
      <c r="BE4" s="61" t="s">
        <v>1032</v>
      </c>
      <c r="BF4" s="165" t="s">
        <v>849</v>
      </c>
      <c r="BG4" s="38" t="s">
        <v>892</v>
      </c>
      <c r="BH4" s="10" t="s">
        <v>980</v>
      </c>
      <c r="BI4" s="38" t="s">
        <v>893</v>
      </c>
      <c r="BJ4" s="61" t="s">
        <v>894</v>
      </c>
      <c r="BK4" s="61" t="s">
        <v>895</v>
      </c>
      <c r="BL4" s="61" t="s">
        <v>896</v>
      </c>
      <c r="BM4" s="35" t="s">
        <v>897</v>
      </c>
      <c r="BN4" s="35" t="s">
        <v>898</v>
      </c>
      <c r="BO4" s="35" t="s">
        <v>899</v>
      </c>
      <c r="BP4" s="61" t="s">
        <v>900</v>
      </c>
      <c r="BQ4" s="35" t="s">
        <v>901</v>
      </c>
      <c r="BR4" s="35" t="s">
        <v>902</v>
      </c>
      <c r="BS4" s="35" t="s">
        <v>903</v>
      </c>
      <c r="BT4" s="36" t="s">
        <v>979</v>
      </c>
      <c r="BU4" s="35" t="s">
        <v>904</v>
      </c>
      <c r="BV4" s="35" t="s">
        <v>905</v>
      </c>
      <c r="BW4" s="35" t="s">
        <v>906</v>
      </c>
      <c r="BX4" s="35" t="s">
        <v>907</v>
      </c>
      <c r="BY4" s="35" t="s">
        <v>908</v>
      </c>
      <c r="BZ4" s="35" t="s">
        <v>909</v>
      </c>
      <c r="CA4" s="35" t="s">
        <v>910</v>
      </c>
      <c r="CB4" s="35" t="s">
        <v>911</v>
      </c>
      <c r="CC4" s="35" t="s">
        <v>912</v>
      </c>
      <c r="CD4" s="35" t="s">
        <v>913</v>
      </c>
      <c r="CE4" s="35" t="s">
        <v>914</v>
      </c>
      <c r="CF4" s="35" t="s">
        <v>915</v>
      </c>
      <c r="CG4" s="35" t="s">
        <v>916</v>
      </c>
      <c r="CH4" s="35" t="s">
        <v>917</v>
      </c>
      <c r="CI4" s="35" t="s">
        <v>918</v>
      </c>
      <c r="CJ4" s="35" t="s">
        <v>919</v>
      </c>
      <c r="CK4" s="35" t="s">
        <v>920</v>
      </c>
      <c r="CL4" s="35" t="s">
        <v>921</v>
      </c>
      <c r="CM4" s="35" t="s">
        <v>922</v>
      </c>
      <c r="CN4" s="36" t="s">
        <v>978</v>
      </c>
      <c r="CO4" s="35" t="s">
        <v>923</v>
      </c>
      <c r="CP4" s="35" t="s">
        <v>924</v>
      </c>
      <c r="CQ4" s="35" t="s">
        <v>925</v>
      </c>
      <c r="CR4" s="35" t="s">
        <v>926</v>
      </c>
      <c r="CS4" s="35" t="s">
        <v>927</v>
      </c>
      <c r="CT4" s="35" t="s">
        <v>928</v>
      </c>
      <c r="CU4" s="35" t="s">
        <v>929</v>
      </c>
      <c r="CV4" s="35" t="s">
        <v>930</v>
      </c>
      <c r="CW4" s="35" t="s">
        <v>944</v>
      </c>
      <c r="CX4" s="35" t="s">
        <v>943</v>
      </c>
      <c r="CY4" s="35" t="s">
        <v>942</v>
      </c>
      <c r="CZ4" s="35" t="s">
        <v>941</v>
      </c>
      <c r="DA4" s="35" t="s">
        <v>940</v>
      </c>
      <c r="DB4" s="35" t="s">
        <v>939</v>
      </c>
      <c r="DC4" s="35" t="s">
        <v>938</v>
      </c>
      <c r="DD4" s="35" t="s">
        <v>1451</v>
      </c>
      <c r="DE4" s="35" t="s">
        <v>1452</v>
      </c>
      <c r="DF4" s="35" t="s">
        <v>1453</v>
      </c>
      <c r="DG4" s="36" t="s">
        <v>977</v>
      </c>
      <c r="DH4" s="35" t="s">
        <v>937</v>
      </c>
      <c r="DI4" s="35" t="s">
        <v>936</v>
      </c>
      <c r="DJ4" s="35" t="s">
        <v>935</v>
      </c>
      <c r="DK4" s="35" t="s">
        <v>934</v>
      </c>
      <c r="DL4" s="35" t="s">
        <v>933</v>
      </c>
      <c r="DM4" s="35" t="s">
        <v>932</v>
      </c>
      <c r="DN4" s="35" t="s">
        <v>931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850</v>
      </c>
      <c r="H5" s="56">
        <v>1</v>
      </c>
      <c r="I5" s="56" t="s">
        <v>1035</v>
      </c>
      <c r="J5" s="56" t="s">
        <v>1051</v>
      </c>
      <c r="K5" s="56" t="s">
        <v>1064</v>
      </c>
      <c r="L5" s="160">
        <v>360</v>
      </c>
      <c r="M5" s="17" t="s">
        <v>948</v>
      </c>
      <c r="N5" s="56" t="s">
        <v>1281</v>
      </c>
      <c r="O5" s="56">
        <v>60</v>
      </c>
      <c r="P5" s="17">
        <f>Q5*3</f>
        <v>60</v>
      </c>
      <c r="Q5" s="17">
        <v>20</v>
      </c>
      <c r="R5" s="156">
        <f>IF((1-(1-O5/100000)^1440)=0,"",1-(1-O5/100000)^1440)</f>
        <v>0.57863646052730333</v>
      </c>
      <c r="S5" s="172">
        <f>IF((O5/100000)*1440=0,"",(O5/100000)*1440)</f>
        <v>0.86399999999999988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798</v>
      </c>
      <c r="H6" s="55">
        <v>3</v>
      </c>
      <c r="I6" s="55" t="s">
        <v>1035</v>
      </c>
      <c r="J6" s="55" t="s">
        <v>1051</v>
      </c>
      <c r="L6" s="158">
        <v>360</v>
      </c>
      <c r="M6" s="10" t="s">
        <v>949</v>
      </c>
      <c r="N6" s="55" t="s">
        <v>1282</v>
      </c>
      <c r="O6" s="55">
        <v>45</v>
      </c>
      <c r="P6" s="10">
        <f t="shared" ref="P6:P69" si="3">Q6*3</f>
        <v>45</v>
      </c>
      <c r="Q6" s="10">
        <v>15</v>
      </c>
      <c r="R6" s="155">
        <f t="shared" ref="R6:R69" si="4">IF((1-(1-O6/100000)^1440)=0,"",1-(1-O6/100000)^1440)</f>
        <v>0.47698537087740389</v>
      </c>
      <c r="S6" s="171">
        <f t="shared" ref="S6:S69" si="5">IF((O6/100000)*1440=0,"",(O6/100000)*1440)</f>
        <v>0.64800000000000002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799</v>
      </c>
      <c r="H7" s="55">
        <v>5</v>
      </c>
      <c r="I7" s="55" t="s">
        <v>1035</v>
      </c>
      <c r="J7" s="55" t="s">
        <v>1051</v>
      </c>
      <c r="L7" s="158">
        <v>360</v>
      </c>
      <c r="M7" s="153" t="s">
        <v>950</v>
      </c>
      <c r="N7" s="55" t="s">
        <v>1283</v>
      </c>
      <c r="O7" s="55">
        <v>30</v>
      </c>
      <c r="P7" s="10">
        <f t="shared" si="3"/>
        <v>30</v>
      </c>
      <c r="Q7" s="10">
        <v>10</v>
      </c>
      <c r="R7" s="155">
        <f t="shared" si="4"/>
        <v>0.35083269913452542</v>
      </c>
      <c r="S7" s="171">
        <f t="shared" si="5"/>
        <v>0.43199999999999994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851</v>
      </c>
      <c r="H8" s="55">
        <v>1</v>
      </c>
      <c r="I8" s="55" t="s">
        <v>1041</v>
      </c>
      <c r="J8" s="55" t="s">
        <v>1052</v>
      </c>
      <c r="L8" s="158">
        <v>360</v>
      </c>
      <c r="N8" s="55" t="s">
        <v>1284</v>
      </c>
      <c r="O8" s="55">
        <v>60</v>
      </c>
      <c r="P8" s="10">
        <f t="shared" si="3"/>
        <v>60</v>
      </c>
      <c r="Q8" s="10">
        <v>20</v>
      </c>
      <c r="R8" s="155">
        <f t="shared" si="4"/>
        <v>0.57863646052730333</v>
      </c>
      <c r="S8" s="171">
        <f t="shared" si="5"/>
        <v>0.86399999999999988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852</v>
      </c>
      <c r="H9" s="55">
        <v>3</v>
      </c>
      <c r="I9" s="55" t="s">
        <v>1039</v>
      </c>
      <c r="J9" s="55" t="s">
        <v>1052</v>
      </c>
      <c r="L9" s="158">
        <v>360</v>
      </c>
      <c r="N9" s="55" t="s">
        <v>1285</v>
      </c>
      <c r="O9" s="55">
        <v>45</v>
      </c>
      <c r="P9" s="10">
        <f t="shared" si="3"/>
        <v>45</v>
      </c>
      <c r="Q9" s="10">
        <v>15</v>
      </c>
      <c r="R9" s="155">
        <f t="shared" si="4"/>
        <v>0.47698537087740389</v>
      </c>
      <c r="S9" s="171">
        <f t="shared" si="5"/>
        <v>0.64800000000000002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853</v>
      </c>
      <c r="H10" s="55">
        <v>5</v>
      </c>
      <c r="I10" s="55" t="s">
        <v>1039</v>
      </c>
      <c r="J10" s="55" t="s">
        <v>1052</v>
      </c>
      <c r="L10" s="158">
        <v>360</v>
      </c>
      <c r="N10" s="55" t="s">
        <v>1286</v>
      </c>
      <c r="O10" s="55">
        <v>30</v>
      </c>
      <c r="P10" s="10">
        <f t="shared" si="3"/>
        <v>30</v>
      </c>
      <c r="Q10" s="10">
        <v>10</v>
      </c>
      <c r="R10" s="155">
        <f t="shared" si="4"/>
        <v>0.35083269913452542</v>
      </c>
      <c r="S10" s="171">
        <f t="shared" si="5"/>
        <v>0.43199999999999994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854</v>
      </c>
      <c r="H11" s="55">
        <v>1</v>
      </c>
      <c r="I11" s="55" t="s">
        <v>1040</v>
      </c>
      <c r="J11" s="55" t="s">
        <v>1053</v>
      </c>
      <c r="L11" s="158">
        <v>360</v>
      </c>
      <c r="N11" s="55" t="s">
        <v>1287</v>
      </c>
      <c r="O11" s="55">
        <v>60</v>
      </c>
      <c r="P11" s="10">
        <f t="shared" si="3"/>
        <v>60</v>
      </c>
      <c r="Q11" s="10">
        <v>20</v>
      </c>
      <c r="R11" s="155">
        <f t="shared" si="4"/>
        <v>0.57863646052730333</v>
      </c>
      <c r="S11" s="171">
        <f t="shared" si="5"/>
        <v>0.86399999999999988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800</v>
      </c>
      <c r="H12" s="55">
        <v>3</v>
      </c>
      <c r="I12" s="55" t="s">
        <v>1040</v>
      </c>
      <c r="J12" s="55" t="s">
        <v>1053</v>
      </c>
      <c r="L12" s="158">
        <v>360</v>
      </c>
      <c r="N12" s="55" t="s">
        <v>1288</v>
      </c>
      <c r="O12" s="55">
        <v>45</v>
      </c>
      <c r="P12" s="10">
        <f t="shared" si="3"/>
        <v>45</v>
      </c>
      <c r="Q12" s="10">
        <v>15</v>
      </c>
      <c r="R12" s="155">
        <f t="shared" si="4"/>
        <v>0.47698537087740389</v>
      </c>
      <c r="S12" s="171">
        <f t="shared" si="5"/>
        <v>0.64800000000000002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801</v>
      </c>
      <c r="H13" s="55">
        <v>5</v>
      </c>
      <c r="I13" s="55" t="s">
        <v>1040</v>
      </c>
      <c r="J13" s="55" t="s">
        <v>1053</v>
      </c>
      <c r="L13" s="158">
        <v>360</v>
      </c>
      <c r="N13" s="55" t="s">
        <v>1289</v>
      </c>
      <c r="O13" s="55">
        <v>30</v>
      </c>
      <c r="P13" s="10">
        <f t="shared" si="3"/>
        <v>30</v>
      </c>
      <c r="Q13" s="10">
        <v>10</v>
      </c>
      <c r="R13" s="155">
        <f t="shared" si="4"/>
        <v>0.35083269913452542</v>
      </c>
      <c r="S13" s="171">
        <f t="shared" si="5"/>
        <v>0.43199999999999994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945</v>
      </c>
      <c r="H25" s="56">
        <v>1</v>
      </c>
      <c r="I25" s="56" t="s">
        <v>1042</v>
      </c>
      <c r="J25" s="56" t="s">
        <v>1054</v>
      </c>
      <c r="K25" s="56"/>
      <c r="L25" s="160">
        <v>360</v>
      </c>
      <c r="M25" s="17"/>
      <c r="N25" s="56" t="s">
        <v>1290</v>
      </c>
      <c r="O25" s="56">
        <v>30</v>
      </c>
      <c r="P25" s="17">
        <f t="shared" si="3"/>
        <v>30</v>
      </c>
      <c r="Q25" s="17">
        <v>10</v>
      </c>
      <c r="R25" s="156">
        <f t="shared" si="4"/>
        <v>0.35083269913452542</v>
      </c>
      <c r="S25" s="172">
        <f t="shared" si="5"/>
        <v>0.43199999999999994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946</v>
      </c>
      <c r="H26" s="55">
        <v>3</v>
      </c>
      <c r="I26" s="55" t="s">
        <v>1042</v>
      </c>
      <c r="J26" s="55" t="s">
        <v>1054</v>
      </c>
      <c r="L26" s="158">
        <v>360</v>
      </c>
      <c r="N26" s="55" t="s">
        <v>1291</v>
      </c>
      <c r="O26" s="55">
        <v>24</v>
      </c>
      <c r="P26" s="10">
        <f t="shared" si="3"/>
        <v>24</v>
      </c>
      <c r="Q26" s="10">
        <v>8</v>
      </c>
      <c r="R26" s="155">
        <f t="shared" si="4"/>
        <v>0.29223380907569885</v>
      </c>
      <c r="S26" s="171">
        <f t="shared" si="5"/>
        <v>0.34560000000000002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947</v>
      </c>
      <c r="H27" s="55">
        <v>5</v>
      </c>
      <c r="I27" s="55" t="s">
        <v>1042</v>
      </c>
      <c r="J27" s="55" t="s">
        <v>1054</v>
      </c>
      <c r="L27" s="158">
        <v>360</v>
      </c>
      <c r="N27" s="55" t="s">
        <v>1292</v>
      </c>
      <c r="O27" s="55">
        <v>15</v>
      </c>
      <c r="P27" s="10">
        <f t="shared" si="3"/>
        <v>15</v>
      </c>
      <c r="Q27" s="10">
        <v>5</v>
      </c>
      <c r="R27" s="155">
        <f t="shared" si="4"/>
        <v>0.19427775223811461</v>
      </c>
      <c r="S27" s="171">
        <f t="shared" si="5"/>
        <v>0.21599999999999997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959</v>
      </c>
      <c r="H28" s="55">
        <v>1</v>
      </c>
      <c r="I28" s="55" t="s">
        <v>1056</v>
      </c>
      <c r="J28" s="55" t="s">
        <v>1055</v>
      </c>
      <c r="L28" s="158">
        <v>360</v>
      </c>
      <c r="N28" s="55" t="s">
        <v>1293</v>
      </c>
      <c r="O28" s="56">
        <v>30</v>
      </c>
      <c r="P28" s="10">
        <f t="shared" si="3"/>
        <v>30</v>
      </c>
      <c r="Q28" s="10">
        <v>10</v>
      </c>
      <c r="R28" s="155">
        <f t="shared" si="4"/>
        <v>0.35083269913452542</v>
      </c>
      <c r="S28" s="171">
        <f t="shared" si="5"/>
        <v>0.43199999999999994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960</v>
      </c>
      <c r="H29" s="55">
        <v>3</v>
      </c>
      <c r="I29" s="55" t="s">
        <v>1056</v>
      </c>
      <c r="J29" s="55" t="s">
        <v>1055</v>
      </c>
      <c r="L29" s="158">
        <v>360</v>
      </c>
      <c r="N29" s="55" t="s">
        <v>1294</v>
      </c>
      <c r="O29" s="55">
        <v>24</v>
      </c>
      <c r="P29" s="10">
        <f t="shared" si="3"/>
        <v>24</v>
      </c>
      <c r="Q29" s="10">
        <v>8</v>
      </c>
      <c r="R29" s="155">
        <f t="shared" si="4"/>
        <v>0.29223380907569885</v>
      </c>
      <c r="S29" s="171">
        <f t="shared" si="5"/>
        <v>0.34560000000000002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961</v>
      </c>
      <c r="H30" s="55">
        <v>5</v>
      </c>
      <c r="I30" s="55" t="s">
        <v>1056</v>
      </c>
      <c r="J30" s="55" t="s">
        <v>1055</v>
      </c>
      <c r="L30" s="158">
        <v>360</v>
      </c>
      <c r="N30" s="55" t="s">
        <v>1295</v>
      </c>
      <c r="O30" s="55">
        <v>15</v>
      </c>
      <c r="P30" s="10">
        <f t="shared" si="3"/>
        <v>15</v>
      </c>
      <c r="Q30" s="10">
        <v>5</v>
      </c>
      <c r="R30" s="155">
        <f t="shared" si="4"/>
        <v>0.19427775223811461</v>
      </c>
      <c r="S30" s="171">
        <f t="shared" si="5"/>
        <v>0.21599999999999997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807</v>
      </c>
      <c r="H45" s="56">
        <v>1</v>
      </c>
      <c r="I45" s="56" t="s">
        <v>1043</v>
      </c>
      <c r="J45" s="56" t="s">
        <v>1057</v>
      </c>
      <c r="K45" s="56"/>
      <c r="L45" s="160">
        <v>5</v>
      </c>
      <c r="M45" s="17"/>
      <c r="N45" s="56" t="s">
        <v>1296</v>
      </c>
      <c r="O45" s="56">
        <v>30</v>
      </c>
      <c r="P45" s="17">
        <f t="shared" si="3"/>
        <v>30</v>
      </c>
      <c r="Q45" s="17">
        <v>10</v>
      </c>
      <c r="R45" s="156">
        <f t="shared" si="4"/>
        <v>0.35083269913452542</v>
      </c>
      <c r="S45" s="172">
        <f t="shared" si="5"/>
        <v>0.43199999999999994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808</v>
      </c>
      <c r="H46" s="55">
        <v>3</v>
      </c>
      <c r="I46" s="55" t="s">
        <v>1043</v>
      </c>
      <c r="J46" s="55" t="s">
        <v>1057</v>
      </c>
      <c r="L46" s="158">
        <v>5</v>
      </c>
      <c r="N46" s="55" t="s">
        <v>1297</v>
      </c>
      <c r="O46" s="55">
        <v>24</v>
      </c>
      <c r="P46" s="10">
        <f t="shared" si="3"/>
        <v>24</v>
      </c>
      <c r="Q46" s="10">
        <v>8</v>
      </c>
      <c r="R46" s="155">
        <f t="shared" si="4"/>
        <v>0.29223380907569885</v>
      </c>
      <c r="S46" s="171">
        <f t="shared" si="5"/>
        <v>0.34560000000000002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809</v>
      </c>
      <c r="H47" s="55">
        <v>5</v>
      </c>
      <c r="I47" s="55" t="s">
        <v>1043</v>
      </c>
      <c r="J47" s="55" t="s">
        <v>1057</v>
      </c>
      <c r="L47" s="158">
        <v>5</v>
      </c>
      <c r="N47" s="55" t="s">
        <v>1298</v>
      </c>
      <c r="O47" s="55">
        <v>15</v>
      </c>
      <c r="P47" s="10">
        <f t="shared" si="3"/>
        <v>15</v>
      </c>
      <c r="Q47" s="10">
        <v>5</v>
      </c>
      <c r="R47" s="155">
        <f t="shared" si="4"/>
        <v>0.19427775223811461</v>
      </c>
      <c r="S47" s="171">
        <f t="shared" si="5"/>
        <v>0.21599999999999997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810</v>
      </c>
      <c r="H48" s="55">
        <v>1</v>
      </c>
      <c r="I48" s="55" t="s">
        <v>1044</v>
      </c>
      <c r="J48" s="55" t="s">
        <v>1059</v>
      </c>
      <c r="L48" s="158">
        <v>360</v>
      </c>
      <c r="N48" s="55" t="s">
        <v>1299</v>
      </c>
      <c r="O48" s="55">
        <v>30</v>
      </c>
      <c r="P48" s="10">
        <f t="shared" si="3"/>
        <v>30</v>
      </c>
      <c r="Q48" s="10">
        <v>10</v>
      </c>
      <c r="R48" s="155">
        <f t="shared" si="4"/>
        <v>0.35083269913452542</v>
      </c>
      <c r="S48" s="171">
        <f t="shared" si="5"/>
        <v>0.43199999999999994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811</v>
      </c>
      <c r="H49" s="55">
        <v>3</v>
      </c>
      <c r="I49" s="55" t="s">
        <v>1044</v>
      </c>
      <c r="J49" s="55" t="s">
        <v>1059</v>
      </c>
      <c r="L49" s="158">
        <v>360</v>
      </c>
      <c r="N49" s="55" t="s">
        <v>1301</v>
      </c>
      <c r="O49" s="55">
        <v>24</v>
      </c>
      <c r="P49" s="10">
        <f t="shared" si="3"/>
        <v>24</v>
      </c>
      <c r="Q49" s="10">
        <v>8</v>
      </c>
      <c r="R49" s="155">
        <f t="shared" si="4"/>
        <v>0.29223380907569885</v>
      </c>
      <c r="S49" s="171">
        <f t="shared" si="5"/>
        <v>0.34560000000000002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812</v>
      </c>
      <c r="H50" s="55">
        <v>5</v>
      </c>
      <c r="I50" s="55" t="s">
        <v>1044</v>
      </c>
      <c r="J50" s="55" t="s">
        <v>1059</v>
      </c>
      <c r="L50" s="158">
        <v>360</v>
      </c>
      <c r="N50" s="55" t="s">
        <v>1300</v>
      </c>
      <c r="O50" s="55">
        <v>15</v>
      </c>
      <c r="P50" s="10">
        <f t="shared" si="3"/>
        <v>15</v>
      </c>
      <c r="Q50" s="10">
        <v>5</v>
      </c>
      <c r="R50" s="155">
        <f t="shared" si="4"/>
        <v>0.19427775223811461</v>
      </c>
      <c r="S50" s="171">
        <f t="shared" si="5"/>
        <v>0.21599999999999997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855</v>
      </c>
      <c r="H51" s="55">
        <v>1</v>
      </c>
      <c r="I51" s="55" t="s">
        <v>1045</v>
      </c>
      <c r="J51" s="55" t="s">
        <v>1058</v>
      </c>
      <c r="L51" s="158">
        <v>360</v>
      </c>
      <c r="N51" s="55" t="s">
        <v>1302</v>
      </c>
      <c r="O51" s="55">
        <v>30</v>
      </c>
      <c r="P51" s="10">
        <f t="shared" si="3"/>
        <v>30</v>
      </c>
      <c r="Q51" s="10">
        <v>10</v>
      </c>
      <c r="R51" s="155">
        <f t="shared" si="4"/>
        <v>0.35083269913452542</v>
      </c>
      <c r="S51" s="171">
        <f t="shared" si="5"/>
        <v>0.43199999999999994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856</v>
      </c>
      <c r="H52" s="55">
        <v>3</v>
      </c>
      <c r="I52" s="55" t="s">
        <v>1045</v>
      </c>
      <c r="J52" s="55" t="s">
        <v>1058</v>
      </c>
      <c r="L52" s="158">
        <v>360</v>
      </c>
      <c r="N52" s="55" t="s">
        <v>1304</v>
      </c>
      <c r="O52" s="55">
        <v>24</v>
      </c>
      <c r="P52" s="10">
        <f t="shared" si="3"/>
        <v>24</v>
      </c>
      <c r="Q52" s="10">
        <v>8</v>
      </c>
      <c r="R52" s="155">
        <f t="shared" si="4"/>
        <v>0.29223380907569885</v>
      </c>
      <c r="S52" s="171">
        <f t="shared" si="5"/>
        <v>0.34560000000000002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857</v>
      </c>
      <c r="H53" s="55">
        <v>5</v>
      </c>
      <c r="I53" s="55" t="s">
        <v>1045</v>
      </c>
      <c r="J53" s="55" t="s">
        <v>1058</v>
      </c>
      <c r="L53" s="158">
        <v>360</v>
      </c>
      <c r="N53" s="55" t="s">
        <v>1303</v>
      </c>
      <c r="O53" s="55">
        <v>15</v>
      </c>
      <c r="P53" s="10">
        <f t="shared" si="3"/>
        <v>15</v>
      </c>
      <c r="Q53" s="10">
        <v>5</v>
      </c>
      <c r="R53" s="155">
        <f t="shared" si="4"/>
        <v>0.19427775223811461</v>
      </c>
      <c r="S53" s="171">
        <f t="shared" si="5"/>
        <v>0.21599999999999997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964</v>
      </c>
      <c r="H54" s="55">
        <v>1</v>
      </c>
      <c r="I54" s="55" t="s">
        <v>1308</v>
      </c>
      <c r="J54" s="55" t="s">
        <v>1309</v>
      </c>
      <c r="L54" s="158">
        <v>360</v>
      </c>
      <c r="N54" s="55" t="s">
        <v>1305</v>
      </c>
      <c r="O54" s="55">
        <v>30</v>
      </c>
      <c r="P54" s="10">
        <f t="shared" si="3"/>
        <v>30</v>
      </c>
      <c r="Q54" s="10">
        <v>10</v>
      </c>
      <c r="R54" s="155">
        <f t="shared" si="4"/>
        <v>0.35083269913452542</v>
      </c>
      <c r="S54" s="171">
        <f t="shared" si="5"/>
        <v>0.43199999999999994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965</v>
      </c>
      <c r="H55" s="55">
        <v>3</v>
      </c>
      <c r="I55" s="55" t="s">
        <v>1308</v>
      </c>
      <c r="J55" s="55" t="s">
        <v>1309</v>
      </c>
      <c r="K55" s="55"/>
      <c r="L55" s="158">
        <v>360</v>
      </c>
      <c r="M55" s="10"/>
      <c r="N55" s="55" t="s">
        <v>1307</v>
      </c>
      <c r="O55" s="55">
        <v>24</v>
      </c>
      <c r="P55" s="10">
        <f t="shared" si="3"/>
        <v>24</v>
      </c>
      <c r="Q55" s="10">
        <v>8</v>
      </c>
      <c r="R55" s="155">
        <f t="shared" si="4"/>
        <v>0.29223380907569885</v>
      </c>
      <c r="S55" s="171">
        <f t="shared" si="5"/>
        <v>0.34560000000000002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966</v>
      </c>
      <c r="H56" s="55">
        <v>5</v>
      </c>
      <c r="I56" s="55" t="s">
        <v>1308</v>
      </c>
      <c r="J56" s="55" t="s">
        <v>1309</v>
      </c>
      <c r="K56" s="55"/>
      <c r="L56" s="158">
        <v>360</v>
      </c>
      <c r="M56" s="10"/>
      <c r="N56" s="55" t="s">
        <v>1306</v>
      </c>
      <c r="O56" s="55">
        <v>15</v>
      </c>
      <c r="P56" s="10">
        <f t="shared" si="3"/>
        <v>15</v>
      </c>
      <c r="Q56" s="10">
        <v>5</v>
      </c>
      <c r="R56" s="155">
        <f t="shared" si="4"/>
        <v>0.19427775223811461</v>
      </c>
      <c r="S56" s="171">
        <f t="shared" si="5"/>
        <v>0.21599999999999997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1046</v>
      </c>
      <c r="H57" s="55">
        <v>1</v>
      </c>
      <c r="I57" s="55" t="s">
        <v>1047</v>
      </c>
      <c r="J57" s="55" t="s">
        <v>1060</v>
      </c>
      <c r="K57" s="55"/>
      <c r="L57" s="158">
        <v>360</v>
      </c>
      <c r="M57" s="10"/>
      <c r="N57" s="55" t="s">
        <v>1310</v>
      </c>
      <c r="O57" s="55">
        <v>30</v>
      </c>
      <c r="P57" s="10">
        <f t="shared" si="3"/>
        <v>30</v>
      </c>
      <c r="Q57" s="10">
        <v>10</v>
      </c>
      <c r="R57" s="155">
        <f t="shared" si="4"/>
        <v>0.35083269913452542</v>
      </c>
      <c r="S57" s="171">
        <f t="shared" si="5"/>
        <v>0.43199999999999994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858</v>
      </c>
      <c r="H58" s="55">
        <v>3</v>
      </c>
      <c r="I58" s="55" t="s">
        <v>1047</v>
      </c>
      <c r="J58" s="55" t="s">
        <v>1060</v>
      </c>
      <c r="K58" s="55"/>
      <c r="L58" s="158">
        <v>360</v>
      </c>
      <c r="M58" s="10"/>
      <c r="N58" s="55" t="s">
        <v>1312</v>
      </c>
      <c r="O58" s="55">
        <v>24</v>
      </c>
      <c r="P58" s="10">
        <f t="shared" si="3"/>
        <v>24</v>
      </c>
      <c r="Q58" s="10">
        <v>8</v>
      </c>
      <c r="R58" s="155">
        <f t="shared" si="4"/>
        <v>0.29223380907569885</v>
      </c>
      <c r="S58" s="171">
        <f t="shared" si="5"/>
        <v>0.34560000000000002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859</v>
      </c>
      <c r="H59" s="55">
        <v>5</v>
      </c>
      <c r="I59" s="55" t="s">
        <v>1047</v>
      </c>
      <c r="J59" s="55" t="s">
        <v>1060</v>
      </c>
      <c r="K59" s="55"/>
      <c r="L59" s="158">
        <v>360</v>
      </c>
      <c r="M59" s="10"/>
      <c r="N59" s="55" t="s">
        <v>1311</v>
      </c>
      <c r="O59" s="55">
        <v>15</v>
      </c>
      <c r="P59" s="10">
        <f t="shared" si="3"/>
        <v>15</v>
      </c>
      <c r="Q59" s="10">
        <v>5</v>
      </c>
      <c r="R59" s="155">
        <f t="shared" si="4"/>
        <v>0.19427775223811461</v>
      </c>
      <c r="S59" s="171">
        <f t="shared" si="5"/>
        <v>0.21599999999999997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815</v>
      </c>
      <c r="H60" s="55">
        <v>1</v>
      </c>
      <c r="I60" s="55" t="s">
        <v>1048</v>
      </c>
      <c r="J60" s="55" t="s">
        <v>1061</v>
      </c>
      <c r="K60" s="55"/>
      <c r="L60" s="158">
        <v>360</v>
      </c>
      <c r="M60" s="10"/>
      <c r="N60" s="55" t="s">
        <v>1313</v>
      </c>
      <c r="O60" s="55">
        <v>30</v>
      </c>
      <c r="P60" s="10">
        <f t="shared" si="3"/>
        <v>30</v>
      </c>
      <c r="Q60" s="10">
        <v>10</v>
      </c>
      <c r="R60" s="155">
        <f t="shared" si="4"/>
        <v>0.35083269913452542</v>
      </c>
      <c r="S60" s="171">
        <f t="shared" si="5"/>
        <v>0.43199999999999994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816</v>
      </c>
      <c r="H61" s="55">
        <v>3</v>
      </c>
      <c r="I61" s="55" t="s">
        <v>1048</v>
      </c>
      <c r="J61" s="55" t="s">
        <v>1061</v>
      </c>
      <c r="K61" s="55"/>
      <c r="L61" s="158">
        <v>360</v>
      </c>
      <c r="M61" s="10"/>
      <c r="N61" s="55" t="s">
        <v>1315</v>
      </c>
      <c r="O61" s="55">
        <v>24</v>
      </c>
      <c r="P61" s="10">
        <f t="shared" si="3"/>
        <v>24</v>
      </c>
      <c r="Q61" s="10">
        <v>8</v>
      </c>
      <c r="R61" s="155">
        <f t="shared" si="4"/>
        <v>0.29223380907569885</v>
      </c>
      <c r="S61" s="171">
        <f t="shared" si="5"/>
        <v>0.34560000000000002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817</v>
      </c>
      <c r="H62" s="55">
        <v>5</v>
      </c>
      <c r="I62" s="55" t="s">
        <v>1048</v>
      </c>
      <c r="J62" s="55" t="s">
        <v>1061</v>
      </c>
      <c r="K62" s="55"/>
      <c r="L62" s="158">
        <v>360</v>
      </c>
      <c r="M62" s="10"/>
      <c r="N62" s="55" t="s">
        <v>1314</v>
      </c>
      <c r="O62" s="55">
        <v>15</v>
      </c>
      <c r="P62" s="10">
        <f t="shared" si="3"/>
        <v>15</v>
      </c>
      <c r="Q62" s="10">
        <v>5</v>
      </c>
      <c r="R62" s="155">
        <f t="shared" si="4"/>
        <v>0.19427775223811461</v>
      </c>
      <c r="S62" s="171">
        <f t="shared" si="5"/>
        <v>0.21599999999999997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860</v>
      </c>
      <c r="H63" s="55">
        <v>1</v>
      </c>
      <c r="I63" s="55" t="s">
        <v>1049</v>
      </c>
      <c r="J63" s="55" t="s">
        <v>1062</v>
      </c>
      <c r="K63" s="55"/>
      <c r="L63" s="158">
        <v>360</v>
      </c>
      <c r="M63" s="10"/>
      <c r="N63" s="55" t="s">
        <v>1316</v>
      </c>
      <c r="O63" s="55">
        <v>30</v>
      </c>
      <c r="P63" s="10">
        <f t="shared" si="3"/>
        <v>30</v>
      </c>
      <c r="Q63" s="10">
        <v>10</v>
      </c>
      <c r="R63" s="155">
        <f t="shared" si="4"/>
        <v>0.35083269913452542</v>
      </c>
      <c r="S63" s="171">
        <f t="shared" si="5"/>
        <v>0.43199999999999994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861</v>
      </c>
      <c r="H64" s="55">
        <v>3</v>
      </c>
      <c r="I64" s="55" t="s">
        <v>1049</v>
      </c>
      <c r="J64" s="55" t="s">
        <v>1062</v>
      </c>
      <c r="K64" s="55"/>
      <c r="L64" s="158">
        <v>360</v>
      </c>
      <c r="M64" s="10"/>
      <c r="N64" s="55" t="s">
        <v>1318</v>
      </c>
      <c r="O64" s="55">
        <v>24</v>
      </c>
      <c r="P64" s="10">
        <f t="shared" si="3"/>
        <v>24</v>
      </c>
      <c r="Q64" s="10">
        <v>8</v>
      </c>
      <c r="R64" s="155">
        <f t="shared" si="4"/>
        <v>0.29223380907569885</v>
      </c>
      <c r="S64" s="171">
        <f t="shared" si="5"/>
        <v>0.34560000000000002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862</v>
      </c>
      <c r="H65" s="55">
        <v>5</v>
      </c>
      <c r="I65" s="55" t="s">
        <v>1049</v>
      </c>
      <c r="J65" s="55" t="s">
        <v>1062</v>
      </c>
      <c r="K65" s="55"/>
      <c r="L65" s="158">
        <v>360</v>
      </c>
      <c r="M65" s="10"/>
      <c r="N65" s="55" t="s">
        <v>1317</v>
      </c>
      <c r="O65" s="55">
        <v>15</v>
      </c>
      <c r="P65" s="10">
        <f t="shared" si="3"/>
        <v>15</v>
      </c>
      <c r="Q65" s="10">
        <v>5</v>
      </c>
      <c r="R65" s="155">
        <f t="shared" si="4"/>
        <v>0.19427775223811461</v>
      </c>
      <c r="S65" s="171">
        <f t="shared" si="5"/>
        <v>0.21599999999999997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956</v>
      </c>
      <c r="H66" s="55">
        <v>1</v>
      </c>
      <c r="I66" s="55" t="s">
        <v>1050</v>
      </c>
      <c r="J66" s="55" t="s">
        <v>1063</v>
      </c>
      <c r="L66" s="158">
        <v>360</v>
      </c>
      <c r="N66" s="55" t="s">
        <v>1319</v>
      </c>
      <c r="O66" s="55">
        <v>75</v>
      </c>
      <c r="P66" s="10">
        <f t="shared" si="3"/>
        <v>75</v>
      </c>
      <c r="Q66" s="10">
        <v>25</v>
      </c>
      <c r="R66" s="155">
        <f t="shared" si="4"/>
        <v>0.66054205147456901</v>
      </c>
      <c r="S66" s="171">
        <f t="shared" si="5"/>
        <v>1.08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957</v>
      </c>
      <c r="H67" s="55">
        <v>3</v>
      </c>
      <c r="I67" s="55" t="s">
        <v>1050</v>
      </c>
      <c r="J67" s="55" t="s">
        <v>1063</v>
      </c>
      <c r="L67" s="158">
        <v>360</v>
      </c>
      <c r="N67" s="55" t="s">
        <v>1320</v>
      </c>
      <c r="O67" s="55">
        <v>60</v>
      </c>
      <c r="P67" s="10">
        <f t="shared" si="3"/>
        <v>60</v>
      </c>
      <c r="Q67" s="10">
        <v>20</v>
      </c>
      <c r="R67" s="155">
        <f t="shared" si="4"/>
        <v>0.57863646052730333</v>
      </c>
      <c r="S67" s="171">
        <f t="shared" si="5"/>
        <v>0.86399999999999988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958</v>
      </c>
      <c r="H68" s="55">
        <v>5</v>
      </c>
      <c r="I68" s="55" t="s">
        <v>1050</v>
      </c>
      <c r="J68" s="55" t="s">
        <v>1063</v>
      </c>
      <c r="L68" s="158">
        <v>360</v>
      </c>
      <c r="N68" s="55" t="s">
        <v>1321</v>
      </c>
      <c r="O68" s="55">
        <v>30</v>
      </c>
      <c r="P68" s="10">
        <f t="shared" si="3"/>
        <v>30</v>
      </c>
      <c r="Q68" s="10">
        <v>10</v>
      </c>
      <c r="R68" s="155">
        <f t="shared" si="4"/>
        <v>0.35083269913452542</v>
      </c>
      <c r="S68" s="171">
        <f t="shared" si="5"/>
        <v>0.43199999999999994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90" si="8">Q70*3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818</v>
      </c>
      <c r="H85" s="56">
        <v>1</v>
      </c>
      <c r="I85" s="56"/>
      <c r="J85" s="56"/>
      <c r="K85" s="56"/>
      <c r="L85" s="160">
        <v>360</v>
      </c>
      <c r="M85" s="17"/>
      <c r="N85" s="56" t="s">
        <v>1322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986</v>
      </c>
      <c r="U85" s="56">
        <v>100</v>
      </c>
      <c r="V85" s="56" t="s">
        <v>990</v>
      </c>
      <c r="W85" s="56" t="s">
        <v>991</v>
      </c>
      <c r="X85" s="156">
        <f>IF((1-(1-U85/100000)^L85)=0,"",1-(1-U85/100000)^L85)</f>
        <v>0.30244932813489689</v>
      </c>
      <c r="Y85" s="172">
        <f>IF((U85/100000)*L85=0,"",(U85/100000)*L85)</f>
        <v>0.36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819</v>
      </c>
      <c r="H86" s="55">
        <v>3</v>
      </c>
      <c r="L86" s="158">
        <v>360</v>
      </c>
      <c r="N86" s="55" t="s">
        <v>1323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987</v>
      </c>
      <c r="U86" s="55">
        <v>200</v>
      </c>
      <c r="V86" s="55" t="s">
        <v>990</v>
      </c>
      <c r="W86" s="55" t="s">
        <v>992</v>
      </c>
      <c r="X86" s="155">
        <f t="shared" ref="X86:X149" si="12">IF((1-(1-U86/100000)^L86)=0,"",1-(1-U86/100000)^L86)</f>
        <v>0.51359854717556819</v>
      </c>
      <c r="Y86" s="171">
        <f t="shared" ref="Y86:Y149" si="13">IF((U86/100000)*L86=0,"",(U86/100000)*L86)</f>
        <v>0.72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820</v>
      </c>
      <c r="H87" s="55">
        <v>5</v>
      </c>
      <c r="L87" s="158">
        <v>360</v>
      </c>
      <c r="N87" s="55" t="s">
        <v>1324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987</v>
      </c>
      <c r="U87" s="55">
        <v>300</v>
      </c>
      <c r="V87" s="55" t="s">
        <v>990</v>
      </c>
      <c r="W87" s="55" t="s">
        <v>993</v>
      </c>
      <c r="X87" s="155">
        <f t="shared" si="12"/>
        <v>0.66095527471417181</v>
      </c>
      <c r="Y87" s="171">
        <f t="shared" si="13"/>
        <v>1.08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863</v>
      </c>
      <c r="H88" s="55">
        <v>1</v>
      </c>
      <c r="L88" s="158">
        <v>360</v>
      </c>
      <c r="N88" s="55" t="s">
        <v>1325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987</v>
      </c>
      <c r="U88" s="55">
        <v>100</v>
      </c>
      <c r="X88" s="155">
        <f t="shared" si="12"/>
        <v>0.30244932813489689</v>
      </c>
      <c r="Y88" s="171">
        <f t="shared" si="13"/>
        <v>0.36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864</v>
      </c>
      <c r="H89" s="55">
        <v>3</v>
      </c>
      <c r="L89" s="158">
        <v>360</v>
      </c>
      <c r="N89" s="55" t="s">
        <v>1326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987</v>
      </c>
      <c r="U89" s="55">
        <v>200</v>
      </c>
      <c r="X89" s="155">
        <f t="shared" si="12"/>
        <v>0.51359854717556819</v>
      </c>
      <c r="Y89" s="171">
        <f t="shared" si="13"/>
        <v>0.72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865</v>
      </c>
      <c r="H90" s="55">
        <v>5</v>
      </c>
      <c r="L90" s="158">
        <v>360</v>
      </c>
      <c r="N90" s="55" t="s">
        <v>1327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987</v>
      </c>
      <c r="U90" s="55">
        <v>300</v>
      </c>
      <c r="X90" s="155">
        <f t="shared" si="12"/>
        <v>0.66095527471417181</v>
      </c>
      <c r="Y90" s="171">
        <f t="shared" si="13"/>
        <v>1.08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ref="O91:O133" si="15">Q91*30</f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15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15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15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15"/>
        <v>0</v>
      </c>
      <c r="P95" s="10"/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15"/>
        <v>0</v>
      </c>
      <c r="P96" s="10"/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15"/>
        <v>0</v>
      </c>
      <c r="P97" s="10"/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15"/>
        <v>0</v>
      </c>
      <c r="P98" s="10"/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15"/>
        <v>0</v>
      </c>
      <c r="P99" s="10"/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15"/>
        <v>0</v>
      </c>
      <c r="P100" s="10"/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15"/>
        <v>0</v>
      </c>
      <c r="P101" s="10"/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15"/>
        <v>0</v>
      </c>
      <c r="P102" s="10"/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15"/>
        <v>0</v>
      </c>
      <c r="P103" s="10"/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15"/>
        <v>0</v>
      </c>
      <c r="P104" s="10"/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15"/>
        <v>0</v>
      </c>
      <c r="P105" s="17"/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15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15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15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15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15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15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15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15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15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15"/>
        <v>0</v>
      </c>
      <c r="P115" s="10"/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15"/>
        <v>0</v>
      </c>
      <c r="P116" s="10"/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15"/>
        <v>0</v>
      </c>
      <c r="P117" s="10"/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15"/>
        <v>0</v>
      </c>
      <c r="P118" s="10"/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15"/>
        <v>0</v>
      </c>
      <c r="P119" s="10"/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15"/>
        <v>0</v>
      </c>
      <c r="P120" s="10"/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15"/>
        <v>0</v>
      </c>
      <c r="P121" s="10"/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15"/>
        <v>0</v>
      </c>
      <c r="P122" s="10"/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15"/>
        <v>0</v>
      </c>
      <c r="P123" s="10"/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15"/>
        <v>0</v>
      </c>
      <c r="P124" s="10"/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15"/>
        <v>0</v>
      </c>
      <c r="P125" s="17"/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15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15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15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15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15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15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15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15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6">Q134*30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6"/>
        <v>0</v>
      </c>
      <c r="P135" s="10"/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6"/>
        <v>0</v>
      </c>
      <c r="P136" s="10"/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6"/>
        <v>0</v>
      </c>
      <c r="P137" s="10"/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6"/>
        <v>0</v>
      </c>
      <c r="P138" s="10"/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6"/>
        <v>0</v>
      </c>
      <c r="P139" s="10"/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6"/>
        <v>0</v>
      </c>
      <c r="P140" s="10"/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6"/>
        <v>0</v>
      </c>
      <c r="P141" s="10"/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6"/>
        <v>0</v>
      </c>
      <c r="P142" s="10"/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6"/>
        <v>0</v>
      </c>
      <c r="P143" s="10"/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6"/>
        <v>0</v>
      </c>
      <c r="P144" s="10"/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6"/>
        <v>0</v>
      </c>
      <c r="P145" s="17"/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6"/>
        <v>0</v>
      </c>
      <c r="P155" s="10"/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6"/>
        <v>0</v>
      </c>
      <c r="P156" s="10"/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6"/>
        <v>0</v>
      </c>
      <c r="P157" s="10"/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6"/>
        <v>0</v>
      </c>
      <c r="P158" s="10"/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6"/>
        <v>0</v>
      </c>
      <c r="P159" s="10"/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6"/>
        <v>0</v>
      </c>
      <c r="P160" s="10"/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6"/>
        <v>0</v>
      </c>
      <c r="P161" s="10"/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6"/>
        <v>0</v>
      </c>
      <c r="P162" s="10"/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6"/>
        <v>0</v>
      </c>
      <c r="P163" s="10"/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6"/>
        <v>0</v>
      </c>
      <c r="P164" s="10"/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6"/>
        <v>0</v>
      </c>
      <c r="P165" s="17"/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6"/>
        <v>0</v>
      </c>
      <c r="P175" s="10"/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6"/>
        <v>0</v>
      </c>
      <c r="P176" s="10"/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6"/>
        <v>0</v>
      </c>
      <c r="P177" s="10"/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6"/>
        <v>0</v>
      </c>
      <c r="P178" s="10"/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6"/>
        <v>0</v>
      </c>
      <c r="P179" s="10"/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6"/>
        <v>0</v>
      </c>
      <c r="P180" s="10"/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6"/>
        <v>0</v>
      </c>
      <c r="P181" s="10"/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6"/>
        <v>0</v>
      </c>
      <c r="P182" s="10"/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6"/>
        <v>0</v>
      </c>
      <c r="P183" s="10"/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6"/>
        <v>0</v>
      </c>
      <c r="P184" s="10"/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6"/>
        <v>0</v>
      </c>
      <c r="P185" s="17"/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6"/>
        <v>0</v>
      </c>
      <c r="P195" s="10"/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6"/>
        <v>0</v>
      </c>
      <c r="P196" s="10"/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6"/>
        <v>0</v>
      </c>
      <c r="P197" s="10"/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2">Q198*30</f>
        <v>0</v>
      </c>
      <c r="P198" s="10"/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2"/>
        <v>0</v>
      </c>
      <c r="P199" s="10"/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2"/>
        <v>0</v>
      </c>
      <c r="P200" s="10"/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2"/>
        <v>0</v>
      </c>
      <c r="P201" s="10"/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2"/>
        <v>0</v>
      </c>
      <c r="P202" s="10"/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2"/>
        <v>0</v>
      </c>
      <c r="P203" s="10"/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2"/>
        <v>0</v>
      </c>
      <c r="P204" s="10"/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2"/>
        <v>0</v>
      </c>
      <c r="P205" s="17"/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2"/>
        <v>0</v>
      </c>
      <c r="P215" s="10"/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2"/>
        <v>0</v>
      </c>
      <c r="P216" s="10"/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2"/>
        <v>0</v>
      </c>
      <c r="P217" s="10"/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2"/>
        <v>0</v>
      </c>
      <c r="P218" s="10"/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2"/>
        <v>0</v>
      </c>
      <c r="P219" s="10"/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2"/>
        <v>0</v>
      </c>
      <c r="P220" s="10"/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2"/>
        <v>0</v>
      </c>
      <c r="P221" s="10"/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2"/>
        <v>0</v>
      </c>
      <c r="P222" s="10"/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2"/>
        <v>0</v>
      </c>
      <c r="P223" s="10"/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2"/>
        <v>0</v>
      </c>
      <c r="P224" s="10"/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H5" sqref="H5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554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560</v>
      </c>
      <c r="I3" s="55" t="s">
        <v>567</v>
      </c>
      <c r="J3" s="55" t="s">
        <v>568</v>
      </c>
      <c r="K3" s="55" t="s">
        <v>569</v>
      </c>
      <c r="L3" s="55" t="s">
        <v>574</v>
      </c>
      <c r="M3" s="55" t="s">
        <v>580</v>
      </c>
    </row>
    <row r="4" spans="1:24" s="99" customFormat="1" ht="64.5" customHeight="1" thickBot="1" x14ac:dyDescent="0.2">
      <c r="A4" s="94" t="s">
        <v>557</v>
      </c>
      <c r="B4" s="87" t="s">
        <v>653</v>
      </c>
      <c r="C4" s="103"/>
      <c r="D4" s="87"/>
      <c r="E4" s="87"/>
      <c r="F4" s="103"/>
      <c r="G4" s="90" t="s">
        <v>561</v>
      </c>
      <c r="H4" s="90" t="s">
        <v>564</v>
      </c>
      <c r="I4" s="89" t="s">
        <v>643</v>
      </c>
      <c r="J4" s="89" t="s">
        <v>644</v>
      </c>
      <c r="K4" s="89" t="s">
        <v>645</v>
      </c>
      <c r="L4" s="89" t="s">
        <v>572</v>
      </c>
      <c r="M4" s="89" t="s">
        <v>650</v>
      </c>
      <c r="N4" s="90"/>
      <c r="O4" s="100" t="s">
        <v>1332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562</v>
      </c>
      <c r="H5" s="11" t="s">
        <v>1449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1232</v>
      </c>
      <c r="H6" s="11" t="s">
        <v>1231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565</v>
      </c>
      <c r="H7" s="11" t="s">
        <v>573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563</v>
      </c>
      <c r="H8" s="11" t="s">
        <v>1450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566</v>
      </c>
      <c r="H9" s="11" t="s">
        <v>647</v>
      </c>
      <c r="I9" s="55">
        <v>100</v>
      </c>
      <c r="J9" s="55">
        <v>100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658</v>
      </c>
      <c r="H10" s="11" t="s">
        <v>625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641</v>
      </c>
      <c r="H11" s="10" t="s">
        <v>646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642</v>
      </c>
      <c r="H12" s="10" t="s">
        <v>646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649</v>
      </c>
      <c r="H13" s="10" t="s">
        <v>651</v>
      </c>
      <c r="L13" s="55">
        <v>300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655</v>
      </c>
      <c r="H14" s="10" t="s">
        <v>656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660</v>
      </c>
      <c r="H15" s="10" t="s">
        <v>654</v>
      </c>
      <c r="I15" s="55"/>
      <c r="J15" s="55"/>
      <c r="K15" s="55"/>
      <c r="L15" s="55"/>
      <c r="M15" s="55">
        <v>80</v>
      </c>
      <c r="N15" s="10">
        <f>IF((1-(1-M15/10000)^1440)=0,"",1-(1-M15/10000)^1440)</f>
        <v>0.99999052000950239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661</v>
      </c>
      <c r="H16" s="10" t="s">
        <v>659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662</v>
      </c>
      <c r="H17" s="10" t="s">
        <v>663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804</v>
      </c>
      <c r="H18" s="10" t="s">
        <v>805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1335</v>
      </c>
      <c r="H19" s="11" t="s">
        <v>1336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2018-09-20T13:27:55Z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