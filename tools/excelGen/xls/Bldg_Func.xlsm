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activeTab="4"/>
  </bookViews>
  <sheets>
    <sheet name="粗算 (3)" sheetId="41" r:id="rId1"/>
    <sheet name="全部建筑-属性" sheetId="27" r:id="rId2"/>
    <sheet name="粗算 (2)" sheetId="39" r:id="rId3"/>
    <sheet name="粗算" sheetId="32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  <sheet name="M134" sheetId="22" r:id="rId31"/>
    <sheet name="Sheet2" sheetId="44" r:id="rId32"/>
    <sheet name="GAU-8" sheetId="24" r:id="rId3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9" l="1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19" i="39" l="1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Q4" i="39" l="1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AA3" i="39" l="1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S4" i="39" l="1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Q7" i="39" l="1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Q8" i="39" l="1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Q9" i="39" l="1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Q10" i="39" l="1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D10" i="39" l="1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D11" i="39" l="1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D12" i="39" l="1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D13" i="39" l="1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D14" i="39" l="1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D15" i="39" l="1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Q17" i="39" l="1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Q18" i="39" l="1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<sst xmlns="http://schemas.openxmlformats.org/spreadsheetml/2006/main" count="662" uniqueCount="261">
  <si>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</si>
  <si>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</si>
  <si>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</si>
  <si>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</si>
  <si>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</si>
  <si>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</si>
  <si>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</si>
  <si>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</si>
  <si>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</si>
  <si>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</si>
  <si>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</si>
  <si>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</si>
  <si>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</si>
  <si>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</si>
  <si>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</si>
  <si>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</si>
  <si>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</si>
  <si>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</si>
  <si>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</si>
  <si>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</si>
  <si>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</si>
  <si>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</si>
  <si>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</si>
  <si>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</si>
  <si>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</si>
  <si>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</si>
  <si>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</si>
  <si>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</si>
  <si>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</si>
  <si>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</si>
  <si>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</si>
  <si>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</si>
  <si>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</si>
  <si>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</si>
  <si>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</si>
  <si>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</si>
  <si>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</si>
  <si>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</si>
  <si>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</si>
  <si>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</si>
  <si>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</si>
  <si>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</si>
  <si>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</si>
  <si>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</si>
  <si>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</si>
  <si>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</si>
  <si>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</si>
  <si>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</si>
  <si>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</si>
  <si>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</si>
  <si>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</si>
  <si>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</si>
  <si>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</si>
  <si>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</si>
  <si>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</si>
  <si>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</si>
  <si>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</si>
  <si>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</si>
  <si>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</si>
  <si>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</si>
  <si>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</si>
  <si>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</si>
  <si>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</si>
  <si>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</si>
  <si>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</si>
  <si>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</si>
  <si>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</si>
  <si>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</si>
  <si>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</si>
  <si>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</si>
  <si>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</si>
  <si>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</si>
  <si>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</si>
  <si>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</si>
  <si>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</si>
  <si>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</si>
  <si>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</si>
  <si>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</si>
  <si>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</si>
  <si>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</si>
  <si>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</si>
  <si>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</si>
  <si>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</si>
  <si>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</si>
  <si>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</si>
  <si>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</si>
  <si>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</si>
  <si>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</si>
  <si>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</si>
  <si>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</si>
  <si>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</si>
  <si>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</si>
  <si>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</si>
  <si>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</si>
  <si>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</si>
  <si>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</si>
  <si>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</si>
  <si>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</si>
  <si>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</si>
  <si>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</si>
  <si>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</si>
  <si>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</si>
  <si>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</si>
  <si>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</si>
  <si>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</si>
  <si>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</si>
  <si>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</si>
  <si>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</si>
  <si>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</si>
  <si>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</si>
  <si>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</si>
  <si>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</si>
  <si>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</si>
  <si>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</si>
  <si>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</si>
  <si>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</si>
  <si>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</si>
  <si>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</si>
  <si>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</si>
  <si>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</si>
  <si>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</si>
  <si>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</si>
  <si>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</si>
  <si>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</si>
  <si>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</si>
  <si>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</si>
  <si>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</si>
  <si>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</si>
  <si>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</si>
  <si>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</si>
  <si>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</si>
  <si>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</si>
  <si>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</si>
  <si>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</si>
  <si>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</si>
  <si>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</si>
  <si>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</si>
  <si>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</si>
  <si>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</si>
  <si>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</si>
  <si>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</si>
  <si>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</si>
  <si>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</si>
  <si>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</si>
  <si>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</si>
  <si>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</si>
  <si>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</si>
  <si>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</si>
  <si>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</si>
  <si>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</si>
  <si>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</si>
  <si>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</si>
  <si>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</si>
  <si>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</si>
  <si>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</si>
  <si>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</si>
  <si>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</si>
  <si>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</si>
  <si>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</si>
  <si>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</si>
  <si>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</si>
  <si>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</si>
  <si>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</si>
  <si>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</si>
  <si>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</si>
  <si>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</si>
  <si>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</si>
  <si>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</si>
  <si>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</si>
  <si>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</si>
  <si>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</si>
  <si>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</si>
  <si>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</si>
  <si>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</si>
  <si>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</si>
  <si>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</si>
  <si>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</si>
  <si>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</si>
  <si>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</si>
  <si>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</si>
  <si>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</si>
  <si>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</si>
  <si>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</si>
  <si>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</si>
  <si>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</si>
  <si>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</si>
  <si>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</si>
  <si>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</si>
  <si>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</si>
  <si>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</si>
  <si>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</si>
  <si>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</si>
  <si>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</si>
  <si>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</si>
  <si>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</si>
  <si>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</si>
  <si>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</si>
  <si>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</si>
  <si>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</si>
  <si>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</si>
  <si>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</si>
  <si>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</si>
  <si>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</si>
  <si>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</si>
  <si>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</si>
  <si>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</si>
  <si>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</si>
  <si>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</si>
  <si>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</si>
  <si>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</si>
  <si>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</si>
  <si>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</si>
  <si>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</si>
  <si>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</si>
  <si>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</si>
  <si>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</si>
  <si>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</si>
  <si>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</si>
  <si>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</si>
  <si>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</si>
  <si>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</si>
  <si>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</si>
  <si>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</si>
  <si>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探测距离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</si>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</sst>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12240"/>
        <c:axId val="636612128"/>
      </c:scatterChart>
      <c:valAx>
        <c:axId val="45481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6612128"/>
        <c:crosses val="autoZero"/>
        <c:crossBetween val="midCat"/>
      </c:valAx>
      <c:valAx>
        <c:axId val="63661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481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36612688"/>
        <c:axId val="636610448"/>
      </c:scatterChart>
      <c:valAx>
        <c:axId val="63661268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6610448"/>
        <c:crosses val="autoZero"/>
        <c:crossBetween val="midCat"/>
      </c:valAx>
      <c:valAx>
        <c:axId val="63661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6612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60272"/>
        <c:axId val="461159152"/>
      </c:scatterChart>
      <c:valAx>
        <c:axId val="46116027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1159152"/>
        <c:crosses val="autoZero"/>
        <c:crossBetween val="midCat"/>
        <c:majorUnit val="125"/>
      </c:valAx>
      <c:valAx>
        <c:axId val="46115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116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63072"/>
        <c:axId val="461158032"/>
      </c:scatterChart>
      <c:valAx>
        <c:axId val="46116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1158032"/>
        <c:crosses val="autoZero"/>
        <c:crossBetween val="midCat"/>
      </c:valAx>
      <c:valAx>
        <c:axId val="46115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116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1"/>
  <sheetViews>
    <sheetView topLeftCell="X1" zoomScale="115" zoomScaleNormal="115" workbookViewId="0">
      <selection activeCell="X23" sqref="A2:XFD23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50" t="s">
        <v>46</v>
      </c>
      <c r="B1" s="51"/>
      <c r="C1" s="13" t="s">
        <v>47</v>
      </c>
      <c r="D1" s="52" t="s">
        <v>48</v>
      </c>
      <c r="E1" s="52"/>
      <c r="F1" s="52"/>
      <c r="G1" s="52"/>
      <c r="H1" s="53"/>
      <c r="X1" s="30" t="s">
        <v>46</v>
      </c>
      <c r="Y1" s="13" t="s">
        <v>110</v>
      </c>
      <c r="Z1" s="54" t="s">
        <v>111</v>
      </c>
      <c r="AA1" s="54"/>
      <c r="AB1" s="54"/>
      <c r="AC1" s="54"/>
      <c r="AD1" s="55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21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151</v>
      </c>
      <c r="Y21" s="15" t="s">
        <v>152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153</v>
      </c>
      <c r="Y22" s="15" t="s">
        <v>152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154</v>
      </c>
      <c r="Y23" s="32" t="s">
        <v>155</v>
      </c>
      <c r="Z23" s="16" t="s">
        <v>156</v>
      </c>
      <c r="AA23" s="16"/>
      <c r="AB23" s="16" t="s">
        <v>157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158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158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158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159</v>
      </c>
      <c r="Y27" s="33" t="s">
        <v>158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160</v>
      </c>
      <c r="Y28" s="33" t="s">
        <v>158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161</v>
      </c>
      <c r="Y29" s="33" t="s">
        <v>158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162</v>
      </c>
      <c r="Y30" s="33" t="s">
        <v>158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A9" sqref="A9:XFD9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9" width="14.25" style="24" customWidth="1"/>
    <col min="10" max="11" width="18.75" style="24" customWidth="1"/>
    <col min="12" max="13" width="18.75" style="44" customWidth="1"/>
    <col min="14" max="14" width="14.5" style="24" customWidth="1"/>
    <col min="15" max="20" width="18.625" style="24" customWidth="1"/>
    <col min="21" max="21" width="11" style="24" customWidth="1"/>
    <col min="22" max="22" width="10.75" style="24" customWidth="1"/>
    <col min="23" max="16384" width="9" style="24"/>
  </cols>
  <sheetData>
    <row r="1" spans="1:27" x14ac:dyDescent="0.35">
      <c r="B1" s="24" t="s">
        <v>213</v>
      </c>
      <c r="C1" s="24" t="s">
        <v>87</v>
      </c>
      <c r="D1" s="24" t="s">
        <v>202</v>
      </c>
      <c r="E1" s="24" t="s">
        <v>93</v>
      </c>
      <c r="F1" s="24" t="s">
        <v>212</v>
      </c>
      <c r="G1" s="24" t="s">
        <v>206</v>
      </c>
      <c r="H1" s="24" t="s">
        <v>215</v>
      </c>
      <c r="I1" s="24" t="s">
        <v>217</v>
      </c>
      <c r="J1" s="24" t="s">
        <v>204</v>
      </c>
      <c r="K1" s="24" t="s">
        <v>203</v>
      </c>
      <c r="L1" s="44" t="s">
        <v>214</v>
      </c>
      <c r="M1" s="44" t="s">
        <v>216</v>
      </c>
      <c r="N1" s="24" t="s">
        <v>89</v>
      </c>
      <c r="O1" s="24" t="s">
        <v>90</v>
      </c>
      <c r="P1" s="24" t="s">
        <v>205</v>
      </c>
      <c r="Q1" s="24" t="s">
        <v>95</v>
      </c>
      <c r="R1" s="24" t="s">
        <v>99</v>
      </c>
      <c r="S1" s="24" t="s">
        <v>97</v>
      </c>
      <c r="T1" s="24" t="s">
        <v>96</v>
      </c>
      <c r="U1" s="24" t="s">
        <v>91</v>
      </c>
      <c r="V1" s="24" t="s">
        <v>92</v>
      </c>
      <c r="W1" s="24" t="s">
        <v>195</v>
      </c>
      <c r="X1" s="24" t="s">
        <v>201</v>
      </c>
      <c r="Y1" s="24" t="s">
        <v>196</v>
      </c>
      <c r="Z1" s="24" t="s">
        <v>198</v>
      </c>
      <c r="AA1" s="24" t="s">
        <v>197</v>
      </c>
    </row>
    <row r="2" spans="1:27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F2/((K2*4)/J2)</f>
        <v>0</v>
      </c>
      <c r="H2" s="24">
        <f>F2/((L2*3)/J2)</f>
        <v>0</v>
      </c>
      <c r="I2" s="24">
        <f>F2/((M2*2/J2))</f>
        <v>0</v>
      </c>
      <c r="J2" s="24">
        <f>IF(N2&lt;100,ROUND(N2,1-LEN(ROUND(N2,0))),ROUND(N2,2-LEN(ROUND(N2,0))))</f>
        <v>100</v>
      </c>
      <c r="K2" s="24">
        <f>J2*2.5/4</f>
        <v>62.5</v>
      </c>
      <c r="L2" s="25">
        <f>J2*2/3</f>
        <v>66.666666666666671</v>
      </c>
      <c r="M2" s="25">
        <f>J2*1.5/2</f>
        <v>75</v>
      </c>
      <c r="N2" s="29">
        <v>100</v>
      </c>
      <c r="P2" s="24">
        <f>IF(Q2&lt;100,ROUND(Q2,1-LEN(ROUND(Q2,0))),ROUND(Q2,2-LEN(ROUND(Q2,0))))</f>
        <v>500</v>
      </c>
      <c r="Q2" s="28">
        <v>500</v>
      </c>
      <c r="S2" s="25">
        <f t="shared" ref="S2:S21" si="0">P2/J2</f>
        <v>5</v>
      </c>
      <c r="W2" s="25">
        <f>N2</f>
        <v>100</v>
      </c>
      <c r="X2" s="25">
        <f>W2*4</f>
        <v>400</v>
      </c>
      <c r="Y2" s="24">
        <f t="shared" ref="Y2:Y21" si="1">B2</f>
        <v>100</v>
      </c>
      <c r="Z2" s="24">
        <f>Y2</f>
        <v>100</v>
      </c>
      <c r="AA2" s="24">
        <f>Y2/W2</f>
        <v>1</v>
      </c>
    </row>
    <row r="3" spans="1:27" x14ac:dyDescent="0.35">
      <c r="A3" s="24">
        <v>2</v>
      </c>
      <c r="B3" s="24">
        <f t="shared" ref="B3:B21" si="2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3">F3/((K3*4)/J3)</f>
        <v>0</v>
      </c>
      <c r="H3" s="24">
        <f t="shared" ref="H3:H21" si="4">F3/((L3*3)/J3)</f>
        <v>0</v>
      </c>
      <c r="I3" s="24">
        <f t="shared" ref="I3:I21" si="5">F3/((M3*2/J3))</f>
        <v>0</v>
      </c>
      <c r="J3" s="24">
        <f t="shared" ref="J3:J21" si="6">IF(N3&lt;100,ROUND(N3,1-LEN(ROUND(N3,0))),ROUND(N3,2-LEN(ROUND(N3,0))))</f>
        <v>600</v>
      </c>
      <c r="K3" s="24">
        <f t="shared" ref="K3:K21" si="7">J3*2.5/4</f>
        <v>375</v>
      </c>
      <c r="L3" s="25">
        <f t="shared" ref="L3:L21" si="8">J3*2/3</f>
        <v>400</v>
      </c>
      <c r="M3" s="25">
        <f t="shared" ref="M3:M21" si="9">J3*1.5/2</f>
        <v>450</v>
      </c>
      <c r="N3" s="25">
        <f t="shared" ref="N3:N21" si="10">N2*V3</f>
        <v>600</v>
      </c>
      <c r="P3" s="24">
        <f t="shared" ref="P3:P21" si="11">IF(Q3&lt;100,ROUND(Q3,1-LEN(ROUND(Q3,0))),ROUND(Q3,2-LEN(ROUND(Q3,0))))</f>
        <v>3100</v>
      </c>
      <c r="Q3" s="24">
        <f>Q2*T3</f>
        <v>3100</v>
      </c>
      <c r="S3" s="25">
        <f t="shared" si="0"/>
        <v>5.166666666666667</v>
      </c>
      <c r="T3" s="28">
        <f>V3+0.2</f>
        <v>6.2</v>
      </c>
      <c r="V3" s="28">
        <v>6</v>
      </c>
      <c r="W3" s="25">
        <f>N3-N2</f>
        <v>500</v>
      </c>
      <c r="X3" s="25">
        <f t="shared" ref="X3:X21" si="12">W3*4</f>
        <v>2000</v>
      </c>
      <c r="Y3" s="24">
        <f t="shared" si="1"/>
        <v>100</v>
      </c>
      <c r="Z3" s="24">
        <f>Y3+Y2</f>
        <v>200</v>
      </c>
      <c r="AA3" s="24">
        <f t="shared" ref="AA3:AA21" si="13">Y3/W3</f>
        <v>0.2</v>
      </c>
    </row>
    <row r="4" spans="1:27" x14ac:dyDescent="0.35">
      <c r="A4" s="24">
        <v>3</v>
      </c>
      <c r="B4" s="24">
        <f t="shared" si="2"/>
        <v>2400</v>
      </c>
      <c r="C4" s="25">
        <f t="shared" ref="C4:C21" si="14">E4*N3</f>
        <v>2400</v>
      </c>
      <c r="D4" s="25">
        <f t="shared" ref="D4:D21" si="15">B4+D3</f>
        <v>2600</v>
      </c>
      <c r="E4" s="26">
        <f>O4</f>
        <v>4</v>
      </c>
      <c r="F4" s="26">
        <v>1</v>
      </c>
      <c r="G4" s="24">
        <f t="shared" si="3"/>
        <v>0.4</v>
      </c>
      <c r="H4" s="24">
        <f t="shared" si="4"/>
        <v>0.5</v>
      </c>
      <c r="I4" s="24">
        <f t="shared" si="5"/>
        <v>0.66666666666666663</v>
      </c>
      <c r="J4" s="24">
        <f t="shared" si="6"/>
        <v>3000</v>
      </c>
      <c r="K4" s="24">
        <f t="shared" si="7"/>
        <v>1875</v>
      </c>
      <c r="L4" s="25">
        <f t="shared" si="8"/>
        <v>2000</v>
      </c>
      <c r="M4" s="25">
        <f t="shared" si="9"/>
        <v>2250</v>
      </c>
      <c r="N4" s="25">
        <f t="shared" si="10"/>
        <v>3000</v>
      </c>
      <c r="O4" s="28">
        <v>4</v>
      </c>
      <c r="P4" s="24">
        <f t="shared" si="11"/>
        <v>16000</v>
      </c>
      <c r="Q4" s="24">
        <f t="shared" ref="Q4:Q21" si="16">Q3*T4</f>
        <v>16120</v>
      </c>
      <c r="S4" s="25">
        <f t="shared" si="0"/>
        <v>5.333333333333333</v>
      </c>
      <c r="T4" s="28">
        <f t="shared" ref="T4:T9" si="17">V4+0.2</f>
        <v>5.2</v>
      </c>
      <c r="V4" s="28">
        <v>5</v>
      </c>
      <c r="W4" s="25">
        <f t="shared" ref="W4:W21" si="18">N4-N3</f>
        <v>2400</v>
      </c>
      <c r="X4" s="25">
        <f t="shared" si="12"/>
        <v>9600</v>
      </c>
      <c r="Y4" s="24">
        <f t="shared" si="1"/>
        <v>2400</v>
      </c>
      <c r="Z4" s="24">
        <f t="shared" ref="Z4:Z21" si="19">Y4+Y3</f>
        <v>2500</v>
      </c>
      <c r="AA4" s="24">
        <f t="shared" si="13"/>
        <v>1</v>
      </c>
    </row>
    <row r="5" spans="1:27" x14ac:dyDescent="0.35">
      <c r="A5" s="24">
        <v>4</v>
      </c>
      <c r="B5" s="24">
        <f t="shared" si="2"/>
        <v>36000</v>
      </c>
      <c r="C5" s="25">
        <f t="shared" si="14"/>
        <v>36000</v>
      </c>
      <c r="D5" s="25">
        <f t="shared" si="15"/>
        <v>38600</v>
      </c>
      <c r="E5" s="26">
        <f t="shared" ref="E5:E21" si="20">E4+O5</f>
        <v>12</v>
      </c>
      <c r="F5" s="26">
        <f>F4+E5</f>
        <v>13</v>
      </c>
      <c r="G5" s="24">
        <f t="shared" si="3"/>
        <v>5.2</v>
      </c>
      <c r="H5" s="24">
        <f t="shared" si="4"/>
        <v>6.5</v>
      </c>
      <c r="I5" s="24">
        <f t="shared" si="5"/>
        <v>8.6666666666666661</v>
      </c>
      <c r="J5" s="24">
        <f t="shared" si="6"/>
        <v>12000</v>
      </c>
      <c r="K5" s="24">
        <f t="shared" si="7"/>
        <v>7500</v>
      </c>
      <c r="L5" s="25">
        <f t="shared" si="8"/>
        <v>8000</v>
      </c>
      <c r="M5" s="25">
        <f t="shared" si="9"/>
        <v>9000</v>
      </c>
      <c r="N5" s="25">
        <f t="shared" si="10"/>
        <v>12000</v>
      </c>
      <c r="O5" s="28">
        <v>8</v>
      </c>
      <c r="P5" s="24">
        <f t="shared" si="11"/>
        <v>68000</v>
      </c>
      <c r="Q5" s="24">
        <f t="shared" si="16"/>
        <v>67704</v>
      </c>
      <c r="S5" s="25">
        <f t="shared" si="0"/>
        <v>5.666666666666667</v>
      </c>
      <c r="T5" s="28">
        <f t="shared" si="17"/>
        <v>4.2</v>
      </c>
      <c r="U5" s="26">
        <f t="shared" ref="U5:U21" si="21">C5/C4</f>
        <v>15</v>
      </c>
      <c r="V5" s="28">
        <v>4</v>
      </c>
      <c r="W5" s="25">
        <f t="shared" si="18"/>
        <v>9000</v>
      </c>
      <c r="X5" s="25">
        <f t="shared" si="12"/>
        <v>36000</v>
      </c>
      <c r="Y5" s="24">
        <f t="shared" si="1"/>
        <v>36000</v>
      </c>
      <c r="Z5" s="24">
        <f t="shared" si="19"/>
        <v>38400</v>
      </c>
      <c r="AA5" s="24">
        <f t="shared" si="13"/>
        <v>4</v>
      </c>
    </row>
    <row r="6" spans="1:27" x14ac:dyDescent="0.35">
      <c r="A6" s="24">
        <v>5</v>
      </c>
      <c r="B6" s="24">
        <f t="shared" si="2"/>
        <v>380000</v>
      </c>
      <c r="C6" s="25">
        <f t="shared" si="14"/>
        <v>384000</v>
      </c>
      <c r="D6" s="25">
        <f t="shared" si="15"/>
        <v>418600</v>
      </c>
      <c r="E6" s="26">
        <f t="shared" si="20"/>
        <v>32</v>
      </c>
      <c r="F6" s="26">
        <f t="shared" ref="F6:F21" si="22">F5+E6</f>
        <v>45</v>
      </c>
      <c r="G6" s="24">
        <f t="shared" si="3"/>
        <v>18</v>
      </c>
      <c r="H6" s="24">
        <f t="shared" si="4"/>
        <v>22.5</v>
      </c>
      <c r="I6" s="24">
        <f t="shared" si="5"/>
        <v>30</v>
      </c>
      <c r="J6" s="24">
        <f t="shared" si="6"/>
        <v>24000</v>
      </c>
      <c r="K6" s="24">
        <f t="shared" si="7"/>
        <v>15000</v>
      </c>
      <c r="L6" s="25">
        <f t="shared" si="8"/>
        <v>16000</v>
      </c>
      <c r="M6" s="25">
        <f t="shared" si="9"/>
        <v>18000</v>
      </c>
      <c r="N6" s="25">
        <f t="shared" si="10"/>
        <v>24000</v>
      </c>
      <c r="O6" s="28">
        <v>20</v>
      </c>
      <c r="P6" s="24">
        <f t="shared" si="11"/>
        <v>150000</v>
      </c>
      <c r="Q6" s="24">
        <f t="shared" si="16"/>
        <v>148948.80000000002</v>
      </c>
      <c r="S6" s="25">
        <f t="shared" si="0"/>
        <v>6.25</v>
      </c>
      <c r="T6" s="28">
        <f t="shared" si="17"/>
        <v>2.2000000000000002</v>
      </c>
      <c r="U6" s="26">
        <f t="shared" si="21"/>
        <v>10.666666666666666</v>
      </c>
      <c r="V6" s="28">
        <v>2</v>
      </c>
      <c r="W6" s="25">
        <f t="shared" si="18"/>
        <v>12000</v>
      </c>
      <c r="X6" s="25">
        <f t="shared" si="12"/>
        <v>48000</v>
      </c>
      <c r="Y6" s="24">
        <f t="shared" si="1"/>
        <v>380000</v>
      </c>
      <c r="Z6" s="24">
        <f t="shared" si="19"/>
        <v>416000</v>
      </c>
      <c r="AA6" s="24">
        <f t="shared" si="13"/>
        <v>31.666666666666668</v>
      </c>
    </row>
    <row r="7" spans="1:27" s="35" customFormat="1" x14ac:dyDescent="0.35">
      <c r="A7" s="35">
        <v>6</v>
      </c>
      <c r="B7" s="35">
        <f t="shared" si="2"/>
        <v>1200000</v>
      </c>
      <c r="C7" s="36">
        <f t="shared" si="14"/>
        <v>1248000</v>
      </c>
      <c r="D7" s="36">
        <f t="shared" si="15"/>
        <v>1618600</v>
      </c>
      <c r="E7" s="37">
        <f t="shared" si="20"/>
        <v>52</v>
      </c>
      <c r="F7" s="37">
        <f t="shared" si="22"/>
        <v>97</v>
      </c>
      <c r="G7" s="35">
        <f t="shared" si="3"/>
        <v>38.799999999999997</v>
      </c>
      <c r="H7" s="35">
        <f t="shared" si="4"/>
        <v>48.5</v>
      </c>
      <c r="I7" s="35">
        <f t="shared" si="5"/>
        <v>64.666666666666671</v>
      </c>
      <c r="J7" s="35">
        <f t="shared" si="6"/>
        <v>34000</v>
      </c>
      <c r="K7" s="35">
        <f t="shared" si="7"/>
        <v>21250</v>
      </c>
      <c r="L7" s="36">
        <f t="shared" si="8"/>
        <v>22666.666666666668</v>
      </c>
      <c r="M7" s="36">
        <f t="shared" si="9"/>
        <v>25500</v>
      </c>
      <c r="N7" s="36">
        <f t="shared" si="10"/>
        <v>33600</v>
      </c>
      <c r="O7" s="35">
        <v>20</v>
      </c>
      <c r="P7" s="35">
        <f t="shared" si="11"/>
        <v>240000</v>
      </c>
      <c r="Q7" s="35">
        <f t="shared" si="16"/>
        <v>238318.08000000002</v>
      </c>
      <c r="S7" s="36">
        <f t="shared" si="0"/>
        <v>7.0588235294117645</v>
      </c>
      <c r="T7" s="35">
        <f t="shared" si="17"/>
        <v>1.5999999999999999</v>
      </c>
      <c r="U7" s="37">
        <f t="shared" si="21"/>
        <v>3.25</v>
      </c>
      <c r="V7" s="35">
        <v>1.4</v>
      </c>
      <c r="W7" s="36">
        <f t="shared" si="18"/>
        <v>9600</v>
      </c>
      <c r="X7" s="36">
        <f t="shared" si="12"/>
        <v>38400</v>
      </c>
      <c r="Y7" s="35">
        <f t="shared" si="1"/>
        <v>1200000</v>
      </c>
      <c r="Z7" s="35">
        <f t="shared" si="19"/>
        <v>1580000</v>
      </c>
      <c r="AA7" s="35">
        <f t="shared" si="13"/>
        <v>125</v>
      </c>
    </row>
    <row r="8" spans="1:27" x14ac:dyDescent="0.35">
      <c r="A8" s="24">
        <v>7</v>
      </c>
      <c r="B8" s="24">
        <f t="shared" si="2"/>
        <v>2700000</v>
      </c>
      <c r="C8" s="25">
        <f t="shared" si="14"/>
        <v>2688000</v>
      </c>
      <c r="D8" s="25">
        <f t="shared" si="15"/>
        <v>4318600</v>
      </c>
      <c r="E8" s="26">
        <f t="shared" si="20"/>
        <v>80</v>
      </c>
      <c r="F8" s="26">
        <f t="shared" si="22"/>
        <v>177</v>
      </c>
      <c r="G8" s="24">
        <f t="shared" si="3"/>
        <v>70.8</v>
      </c>
      <c r="H8" s="24">
        <f t="shared" si="4"/>
        <v>88.5</v>
      </c>
      <c r="I8" s="24">
        <f t="shared" si="5"/>
        <v>118</v>
      </c>
      <c r="J8" s="24">
        <f t="shared" si="6"/>
        <v>47000</v>
      </c>
      <c r="K8" s="24">
        <f t="shared" si="7"/>
        <v>29375</v>
      </c>
      <c r="L8" s="25">
        <f t="shared" si="8"/>
        <v>31333.333333333332</v>
      </c>
      <c r="M8" s="25">
        <f t="shared" si="9"/>
        <v>35250</v>
      </c>
      <c r="N8" s="25">
        <f t="shared" si="10"/>
        <v>47040</v>
      </c>
      <c r="O8" s="28">
        <v>28</v>
      </c>
      <c r="P8" s="24">
        <f t="shared" si="11"/>
        <v>380000</v>
      </c>
      <c r="Q8" s="24">
        <f t="shared" si="16"/>
        <v>381308.92800000001</v>
      </c>
      <c r="S8" s="25">
        <f t="shared" si="0"/>
        <v>8.085106382978724</v>
      </c>
      <c r="T8" s="28">
        <f t="shared" si="17"/>
        <v>1.5999999999999999</v>
      </c>
      <c r="U8" s="26">
        <f t="shared" si="21"/>
        <v>2.1538461538461537</v>
      </c>
      <c r="V8" s="28">
        <v>1.4</v>
      </c>
      <c r="W8" s="25">
        <f t="shared" si="18"/>
        <v>13440</v>
      </c>
      <c r="X8" s="25">
        <f t="shared" si="12"/>
        <v>53760</v>
      </c>
      <c r="Y8" s="24">
        <f t="shared" si="1"/>
        <v>2700000</v>
      </c>
      <c r="Z8" s="24">
        <f t="shared" si="19"/>
        <v>3900000</v>
      </c>
      <c r="AA8" s="24">
        <f t="shared" si="13"/>
        <v>200.89285714285714</v>
      </c>
    </row>
    <row r="9" spans="1:27" s="35" customFormat="1" x14ac:dyDescent="0.35">
      <c r="A9" s="35">
        <v>8</v>
      </c>
      <c r="B9" s="35">
        <f t="shared" si="2"/>
        <v>5000000</v>
      </c>
      <c r="C9" s="36">
        <f t="shared" si="14"/>
        <v>4986240</v>
      </c>
      <c r="D9" s="36">
        <f t="shared" si="15"/>
        <v>9318600</v>
      </c>
      <c r="E9" s="37">
        <f t="shared" si="20"/>
        <v>106</v>
      </c>
      <c r="F9" s="37">
        <f t="shared" si="22"/>
        <v>283</v>
      </c>
      <c r="G9" s="35">
        <f t="shared" si="3"/>
        <v>113.2</v>
      </c>
      <c r="H9" s="35">
        <f t="shared" si="4"/>
        <v>141.5</v>
      </c>
      <c r="I9" s="35">
        <f t="shared" si="5"/>
        <v>188.66666666666666</v>
      </c>
      <c r="J9" s="35">
        <f t="shared" si="6"/>
        <v>61000</v>
      </c>
      <c r="K9" s="35">
        <f t="shared" si="7"/>
        <v>38125</v>
      </c>
      <c r="L9" s="36">
        <f t="shared" si="8"/>
        <v>40666.666666666664</v>
      </c>
      <c r="M9" s="36">
        <f t="shared" si="9"/>
        <v>45750</v>
      </c>
      <c r="N9" s="36">
        <f t="shared" si="10"/>
        <v>61152</v>
      </c>
      <c r="O9" s="35">
        <v>26</v>
      </c>
      <c r="P9" s="35">
        <f t="shared" si="11"/>
        <v>570000</v>
      </c>
      <c r="Q9" s="35">
        <f t="shared" si="16"/>
        <v>571963.39199999999</v>
      </c>
      <c r="S9" s="36">
        <f t="shared" si="0"/>
        <v>9.3442622950819665</v>
      </c>
      <c r="T9" s="35">
        <f t="shared" si="17"/>
        <v>1.5</v>
      </c>
      <c r="U9" s="37">
        <f t="shared" si="21"/>
        <v>1.855</v>
      </c>
      <c r="V9" s="35">
        <v>1.3</v>
      </c>
      <c r="W9" s="36">
        <f t="shared" si="18"/>
        <v>14112</v>
      </c>
      <c r="X9" s="36">
        <f t="shared" si="12"/>
        <v>56448</v>
      </c>
      <c r="Y9" s="35">
        <f t="shared" si="1"/>
        <v>5000000</v>
      </c>
      <c r="Z9" s="35">
        <f t="shared" si="19"/>
        <v>7700000</v>
      </c>
      <c r="AA9" s="35">
        <f t="shared" si="13"/>
        <v>354.30839002267572</v>
      </c>
    </row>
    <row r="10" spans="1:27" s="41" customFormat="1" x14ac:dyDescent="0.35">
      <c r="A10" s="41">
        <v>9</v>
      </c>
      <c r="B10" s="41">
        <f t="shared" si="2"/>
        <v>7900000</v>
      </c>
      <c r="C10" s="42">
        <f t="shared" si="14"/>
        <v>7949760</v>
      </c>
      <c r="D10" s="42">
        <f t="shared" si="15"/>
        <v>17218600</v>
      </c>
      <c r="E10" s="43">
        <f t="shared" si="20"/>
        <v>130</v>
      </c>
      <c r="F10" s="43">
        <f t="shared" si="22"/>
        <v>413</v>
      </c>
      <c r="G10" s="41">
        <f t="shared" si="3"/>
        <v>165.2</v>
      </c>
      <c r="H10" s="41">
        <f t="shared" si="4"/>
        <v>206.5</v>
      </c>
      <c r="I10" s="41">
        <f t="shared" si="5"/>
        <v>275.33333333333331</v>
      </c>
      <c r="J10" s="41">
        <f t="shared" si="6"/>
        <v>73000</v>
      </c>
      <c r="K10" s="41">
        <f t="shared" si="7"/>
        <v>45625</v>
      </c>
      <c r="L10" s="42">
        <f t="shared" si="8"/>
        <v>48666.666666666664</v>
      </c>
      <c r="M10" s="42">
        <f t="shared" si="9"/>
        <v>54750</v>
      </c>
      <c r="N10" s="42">
        <f t="shared" si="10"/>
        <v>73382.399999999994</v>
      </c>
      <c r="O10" s="41">
        <v>24</v>
      </c>
      <c r="P10" s="41">
        <f t="shared" si="11"/>
        <v>770000</v>
      </c>
      <c r="Q10" s="41">
        <f t="shared" si="16"/>
        <v>772150.57919999992</v>
      </c>
      <c r="S10" s="42">
        <f t="shared" si="0"/>
        <v>10.547945205479452</v>
      </c>
      <c r="T10" s="41">
        <f>V10+0.15</f>
        <v>1.3499999999999999</v>
      </c>
      <c r="U10" s="43">
        <f t="shared" si="21"/>
        <v>1.5943396226415094</v>
      </c>
      <c r="V10" s="41">
        <v>1.2</v>
      </c>
      <c r="W10" s="42">
        <f t="shared" si="18"/>
        <v>12230.399999999994</v>
      </c>
      <c r="X10" s="42">
        <f t="shared" si="12"/>
        <v>48921.599999999977</v>
      </c>
      <c r="Y10" s="41">
        <f t="shared" si="1"/>
        <v>7900000</v>
      </c>
      <c r="Z10" s="41">
        <f t="shared" si="19"/>
        <v>12900000</v>
      </c>
      <c r="AA10" s="41">
        <f t="shared" si="13"/>
        <v>645.93144950287842</v>
      </c>
    </row>
    <row r="11" spans="1:27" x14ac:dyDescent="0.35">
      <c r="A11" s="24">
        <v>10</v>
      </c>
      <c r="B11" s="24">
        <f t="shared" si="2"/>
        <v>11000000</v>
      </c>
      <c r="C11" s="25">
        <f t="shared" si="14"/>
        <v>11154124.799999999</v>
      </c>
      <c r="D11" s="25">
        <f t="shared" si="15"/>
        <v>28218600</v>
      </c>
      <c r="E11" s="26">
        <f t="shared" si="20"/>
        <v>152</v>
      </c>
      <c r="F11" s="26">
        <f t="shared" si="22"/>
        <v>565</v>
      </c>
      <c r="G11" s="24">
        <f t="shared" si="3"/>
        <v>226</v>
      </c>
      <c r="H11" s="24">
        <f t="shared" si="4"/>
        <v>282.5</v>
      </c>
      <c r="I11" s="24">
        <f t="shared" si="5"/>
        <v>376.66666666666669</v>
      </c>
      <c r="J11" s="24">
        <f t="shared" si="6"/>
        <v>88000</v>
      </c>
      <c r="K11" s="24">
        <f t="shared" si="7"/>
        <v>55000</v>
      </c>
      <c r="L11" s="25">
        <f t="shared" si="8"/>
        <v>58666.666666666664</v>
      </c>
      <c r="M11" s="25">
        <f t="shared" si="9"/>
        <v>66000</v>
      </c>
      <c r="N11" s="25">
        <f t="shared" si="10"/>
        <v>88058.87999999999</v>
      </c>
      <c r="O11" s="28">
        <v>22</v>
      </c>
      <c r="P11" s="24">
        <f t="shared" si="11"/>
        <v>1000000</v>
      </c>
      <c r="Q11" s="24">
        <f t="shared" si="16"/>
        <v>1042403.2819199997</v>
      </c>
      <c r="S11" s="25">
        <f t="shared" si="0"/>
        <v>11.363636363636363</v>
      </c>
      <c r="T11" s="28">
        <f t="shared" ref="T11:T14" si="23">V11+0.15</f>
        <v>1.3499999999999999</v>
      </c>
      <c r="U11" s="26">
        <f t="shared" si="21"/>
        <v>1.4030769230769229</v>
      </c>
      <c r="V11" s="28">
        <v>1.2</v>
      </c>
      <c r="W11" s="25">
        <f t="shared" si="18"/>
        <v>14676.479999999996</v>
      </c>
      <c r="X11" s="25">
        <f t="shared" si="12"/>
        <v>58705.919999999984</v>
      </c>
      <c r="Y11" s="24">
        <f t="shared" si="1"/>
        <v>11000000</v>
      </c>
      <c r="Z11" s="24">
        <f t="shared" si="19"/>
        <v>18900000</v>
      </c>
      <c r="AA11" s="24">
        <f t="shared" si="13"/>
        <v>749.4985173556604</v>
      </c>
    </row>
    <row r="12" spans="1:27" x14ac:dyDescent="0.35">
      <c r="A12" s="24">
        <v>11</v>
      </c>
      <c r="B12" s="24">
        <f t="shared" si="2"/>
        <v>22000000</v>
      </c>
      <c r="C12" s="25">
        <f t="shared" si="14"/>
        <v>22190837.759999998</v>
      </c>
      <c r="D12" s="25">
        <f t="shared" si="15"/>
        <v>50218600</v>
      </c>
      <c r="E12" s="26">
        <f t="shared" si="20"/>
        <v>252</v>
      </c>
      <c r="F12" s="26">
        <f t="shared" si="22"/>
        <v>817</v>
      </c>
      <c r="G12" s="24">
        <f t="shared" si="3"/>
        <v>326.8</v>
      </c>
      <c r="H12" s="24">
        <f t="shared" si="4"/>
        <v>408.5</v>
      </c>
      <c r="I12" s="24">
        <f t="shared" si="5"/>
        <v>544.66666666666663</v>
      </c>
      <c r="J12" s="24">
        <f t="shared" si="6"/>
        <v>96000</v>
      </c>
      <c r="K12" s="24">
        <f t="shared" si="7"/>
        <v>60000</v>
      </c>
      <c r="L12" s="25">
        <f t="shared" si="8"/>
        <v>64000</v>
      </c>
      <c r="M12" s="25">
        <f t="shared" si="9"/>
        <v>72000</v>
      </c>
      <c r="N12" s="25">
        <f t="shared" si="10"/>
        <v>95984.179199999999</v>
      </c>
      <c r="O12" s="28">
        <v>100</v>
      </c>
      <c r="P12" s="24">
        <f t="shared" si="11"/>
        <v>1300000</v>
      </c>
      <c r="Q12" s="24">
        <f t="shared" si="16"/>
        <v>1292580.0695807997</v>
      </c>
      <c r="S12" s="25">
        <f t="shared" si="0"/>
        <v>13.541666666666666</v>
      </c>
      <c r="T12" s="28">
        <f t="shared" si="23"/>
        <v>1.24</v>
      </c>
      <c r="U12" s="26">
        <f t="shared" si="21"/>
        <v>1.9894736842105263</v>
      </c>
      <c r="V12" s="28">
        <v>1.0900000000000001</v>
      </c>
      <c r="W12" s="25">
        <f t="shared" si="18"/>
        <v>7925.2992000000086</v>
      </c>
      <c r="X12" s="25">
        <f t="shared" si="12"/>
        <v>31701.196800000034</v>
      </c>
      <c r="Y12" s="24">
        <f t="shared" si="1"/>
        <v>22000000</v>
      </c>
      <c r="Z12" s="24">
        <f t="shared" si="19"/>
        <v>33000000</v>
      </c>
      <c r="AA12" s="24">
        <f t="shared" si="13"/>
        <v>2775.9204346505903</v>
      </c>
    </row>
    <row r="13" spans="1:27" s="41" customFormat="1" x14ac:dyDescent="0.35">
      <c r="A13" s="41">
        <v>12</v>
      </c>
      <c r="B13" s="41">
        <f t="shared" si="2"/>
        <v>26000000</v>
      </c>
      <c r="C13" s="42">
        <f t="shared" si="14"/>
        <v>25915728.384</v>
      </c>
      <c r="D13" s="42">
        <f t="shared" si="15"/>
        <v>76218600</v>
      </c>
      <c r="E13" s="43">
        <f t="shared" si="20"/>
        <v>270</v>
      </c>
      <c r="F13" s="43">
        <f t="shared" si="22"/>
        <v>1087</v>
      </c>
      <c r="G13" s="41">
        <f t="shared" si="3"/>
        <v>434.8</v>
      </c>
      <c r="H13" s="41">
        <f t="shared" si="4"/>
        <v>543.5</v>
      </c>
      <c r="I13" s="41">
        <f t="shared" si="5"/>
        <v>724.66666666666663</v>
      </c>
      <c r="J13" s="41">
        <f t="shared" si="6"/>
        <v>120000</v>
      </c>
      <c r="K13" s="41">
        <f t="shared" si="7"/>
        <v>75000</v>
      </c>
      <c r="L13" s="42">
        <f t="shared" si="8"/>
        <v>80000</v>
      </c>
      <c r="M13" s="42">
        <f t="shared" si="9"/>
        <v>90000</v>
      </c>
      <c r="N13" s="42">
        <f t="shared" si="10"/>
        <v>115181.01504</v>
      </c>
      <c r="O13" s="41">
        <v>18</v>
      </c>
      <c r="P13" s="41">
        <f t="shared" si="11"/>
        <v>1700000</v>
      </c>
      <c r="Q13" s="41">
        <f t="shared" si="16"/>
        <v>1744983.0939340794</v>
      </c>
      <c r="S13" s="42">
        <f t="shared" si="0"/>
        <v>14.166666666666666</v>
      </c>
      <c r="T13" s="41">
        <f t="shared" si="23"/>
        <v>1.3499999999999999</v>
      </c>
      <c r="U13" s="43">
        <f t="shared" si="21"/>
        <v>1.1678571428571429</v>
      </c>
      <c r="V13" s="41">
        <v>1.2</v>
      </c>
      <c r="W13" s="42">
        <f t="shared" si="18"/>
        <v>19196.83584</v>
      </c>
      <c r="X13" s="42">
        <f t="shared" si="12"/>
        <v>76787.343359999999</v>
      </c>
      <c r="Y13" s="41">
        <f t="shared" si="1"/>
        <v>26000000</v>
      </c>
      <c r="Z13" s="41">
        <f t="shared" si="19"/>
        <v>48000000</v>
      </c>
      <c r="AA13" s="41">
        <f t="shared" si="13"/>
        <v>1354.389870117262</v>
      </c>
    </row>
    <row r="14" spans="1:27" x14ac:dyDescent="0.35">
      <c r="A14" s="24">
        <v>13</v>
      </c>
      <c r="B14" s="24">
        <f t="shared" si="2"/>
        <v>43000000</v>
      </c>
      <c r="C14" s="25">
        <f t="shared" si="14"/>
        <v>42616975.564800002</v>
      </c>
      <c r="D14" s="25">
        <f t="shared" si="15"/>
        <v>119218600</v>
      </c>
      <c r="E14" s="26">
        <f t="shared" si="20"/>
        <v>370</v>
      </c>
      <c r="F14" s="26">
        <f t="shared" si="22"/>
        <v>1457</v>
      </c>
      <c r="G14" s="24">
        <f t="shared" si="3"/>
        <v>582.79999999999995</v>
      </c>
      <c r="H14" s="24">
        <f t="shared" si="4"/>
        <v>728.5</v>
      </c>
      <c r="I14" s="24">
        <f t="shared" si="5"/>
        <v>971.33333333333337</v>
      </c>
      <c r="J14" s="24">
        <f t="shared" si="6"/>
        <v>130000</v>
      </c>
      <c r="K14" s="24">
        <f t="shared" si="7"/>
        <v>81250</v>
      </c>
      <c r="L14" s="25">
        <f t="shared" si="8"/>
        <v>86666.666666666672</v>
      </c>
      <c r="M14" s="25">
        <f t="shared" si="9"/>
        <v>97500</v>
      </c>
      <c r="N14" s="25">
        <f t="shared" si="10"/>
        <v>126699.116544</v>
      </c>
      <c r="O14" s="28">
        <v>100</v>
      </c>
      <c r="P14" s="24">
        <f t="shared" si="11"/>
        <v>2200000</v>
      </c>
      <c r="Q14" s="24">
        <f t="shared" si="16"/>
        <v>2181228.8674175991</v>
      </c>
      <c r="S14" s="25">
        <f t="shared" si="0"/>
        <v>16.923076923076923</v>
      </c>
      <c r="T14" s="28">
        <f t="shared" si="23"/>
        <v>1.25</v>
      </c>
      <c r="U14" s="26">
        <f t="shared" si="21"/>
        <v>1.6444444444444446</v>
      </c>
      <c r="V14" s="28">
        <v>1.1000000000000001</v>
      </c>
      <c r="W14" s="25">
        <f t="shared" si="18"/>
        <v>11518.101504000006</v>
      </c>
      <c r="X14" s="25">
        <f t="shared" si="12"/>
        <v>46072.406016000023</v>
      </c>
      <c r="Y14" s="24">
        <f t="shared" si="1"/>
        <v>43000000</v>
      </c>
      <c r="Z14" s="24">
        <f t="shared" si="19"/>
        <v>69000000</v>
      </c>
      <c r="AA14" s="24">
        <f t="shared" si="13"/>
        <v>3733.2541291693742</v>
      </c>
    </row>
    <row r="15" spans="1:27" s="38" customFormat="1" x14ac:dyDescent="0.35">
      <c r="A15" s="38">
        <v>14</v>
      </c>
      <c r="B15" s="38">
        <f t="shared" si="2"/>
        <v>66000000</v>
      </c>
      <c r="C15" s="39">
        <f t="shared" si="14"/>
        <v>65883540.602880001</v>
      </c>
      <c r="D15" s="39">
        <f t="shared" si="15"/>
        <v>185218600</v>
      </c>
      <c r="E15" s="40">
        <f t="shared" si="20"/>
        <v>520</v>
      </c>
      <c r="F15" s="40">
        <f t="shared" si="22"/>
        <v>1977</v>
      </c>
      <c r="G15" s="40">
        <f t="shared" si="3"/>
        <v>790.8</v>
      </c>
      <c r="H15" s="40">
        <f t="shared" si="4"/>
        <v>988.5</v>
      </c>
      <c r="I15" s="40">
        <f t="shared" si="5"/>
        <v>1318</v>
      </c>
      <c r="J15" s="38">
        <f t="shared" si="6"/>
        <v>150000</v>
      </c>
      <c r="K15" s="38">
        <f t="shared" si="7"/>
        <v>93750</v>
      </c>
      <c r="L15" s="39">
        <f t="shared" si="8"/>
        <v>100000</v>
      </c>
      <c r="M15" s="39">
        <f t="shared" si="9"/>
        <v>112500</v>
      </c>
      <c r="N15" s="39">
        <f t="shared" si="10"/>
        <v>152038.93985279999</v>
      </c>
      <c r="O15" s="38">
        <v>150</v>
      </c>
      <c r="P15" s="38">
        <f t="shared" si="11"/>
        <v>2800000</v>
      </c>
      <c r="Q15" s="38">
        <f t="shared" si="16"/>
        <v>2835597.5276428787</v>
      </c>
      <c r="S15" s="39">
        <f t="shared" si="0"/>
        <v>18.666666666666668</v>
      </c>
      <c r="T15" s="38">
        <f>V15+0.1</f>
        <v>1.3</v>
      </c>
      <c r="U15" s="40">
        <f t="shared" si="21"/>
        <v>1.5459459459459459</v>
      </c>
      <c r="V15" s="38">
        <v>1.2</v>
      </c>
      <c r="W15" s="39">
        <f t="shared" si="18"/>
        <v>25339.823308799983</v>
      </c>
      <c r="X15" s="39">
        <f t="shared" si="12"/>
        <v>101359.29323519993</v>
      </c>
      <c r="Y15" s="38">
        <f t="shared" si="1"/>
        <v>66000000</v>
      </c>
      <c r="Z15" s="38">
        <f t="shared" si="19"/>
        <v>109000000</v>
      </c>
      <c r="AA15" s="38">
        <f t="shared" si="13"/>
        <v>2604.5959040716593</v>
      </c>
    </row>
    <row r="16" spans="1:27" x14ac:dyDescent="0.35">
      <c r="A16" s="24">
        <v>15</v>
      </c>
      <c r="B16" s="24">
        <f t="shared" si="2"/>
        <v>110000000</v>
      </c>
      <c r="C16" s="25">
        <f t="shared" si="14"/>
        <v>109468036.69401599</v>
      </c>
      <c r="D16" s="25">
        <f t="shared" si="15"/>
        <v>295218600</v>
      </c>
      <c r="E16" s="26">
        <f t="shared" si="20"/>
        <v>720</v>
      </c>
      <c r="F16" s="26">
        <f t="shared" si="22"/>
        <v>2697</v>
      </c>
      <c r="G16" s="24">
        <f t="shared" si="3"/>
        <v>1078.8</v>
      </c>
      <c r="H16" s="24">
        <f t="shared" si="4"/>
        <v>1348.5</v>
      </c>
      <c r="I16" s="24">
        <f t="shared" si="5"/>
        <v>1798</v>
      </c>
      <c r="J16" s="24">
        <f t="shared" si="6"/>
        <v>170000</v>
      </c>
      <c r="K16" s="24">
        <f t="shared" si="7"/>
        <v>106250</v>
      </c>
      <c r="L16" s="25">
        <f t="shared" si="8"/>
        <v>113333.33333333333</v>
      </c>
      <c r="M16" s="25">
        <f t="shared" si="9"/>
        <v>127500</v>
      </c>
      <c r="N16" s="25">
        <f t="shared" si="10"/>
        <v>173324.39143219197</v>
      </c>
      <c r="O16" s="28">
        <v>200</v>
      </c>
      <c r="P16" s="24">
        <f t="shared" si="11"/>
        <v>3500000</v>
      </c>
      <c r="Q16" s="24">
        <f t="shared" si="16"/>
        <v>3516140.9342771694</v>
      </c>
      <c r="S16" s="25">
        <f t="shared" si="0"/>
        <v>20.588235294117649</v>
      </c>
      <c r="T16" s="28">
        <f t="shared" ref="T16:T17" si="24">V16+0.1</f>
        <v>1.24</v>
      </c>
      <c r="U16" s="26">
        <f t="shared" si="21"/>
        <v>1.6615384615384614</v>
      </c>
      <c r="V16" s="28">
        <v>1.1399999999999999</v>
      </c>
      <c r="W16" s="25">
        <f t="shared" si="18"/>
        <v>21285.451579391985</v>
      </c>
      <c r="X16" s="25">
        <f t="shared" si="12"/>
        <v>85141.806317567942</v>
      </c>
      <c r="Y16" s="24">
        <f t="shared" si="1"/>
        <v>110000000</v>
      </c>
      <c r="Z16" s="24">
        <f t="shared" si="19"/>
        <v>176000000</v>
      </c>
      <c r="AA16" s="24">
        <f t="shared" si="13"/>
        <v>5167.8490160151978</v>
      </c>
    </row>
    <row r="17" spans="1:27" x14ac:dyDescent="0.35">
      <c r="A17" s="24">
        <v>16</v>
      </c>
      <c r="B17" s="24">
        <f t="shared" si="2"/>
        <v>150000000</v>
      </c>
      <c r="C17" s="25">
        <f t="shared" si="14"/>
        <v>150792220.54600701</v>
      </c>
      <c r="D17" s="25">
        <f t="shared" si="15"/>
        <v>445218600</v>
      </c>
      <c r="E17" s="26">
        <f t="shared" si="20"/>
        <v>870</v>
      </c>
      <c r="F17" s="26">
        <f t="shared" si="22"/>
        <v>3567</v>
      </c>
      <c r="G17" s="24">
        <f t="shared" si="3"/>
        <v>1426.8</v>
      </c>
      <c r="H17" s="24">
        <f t="shared" si="4"/>
        <v>1783.5</v>
      </c>
      <c r="I17" s="24">
        <f t="shared" si="5"/>
        <v>2378</v>
      </c>
      <c r="J17" s="24">
        <f t="shared" si="6"/>
        <v>200000</v>
      </c>
      <c r="K17" s="24">
        <f t="shared" si="7"/>
        <v>125000</v>
      </c>
      <c r="L17" s="25">
        <f t="shared" si="8"/>
        <v>133333.33333333334</v>
      </c>
      <c r="M17" s="25">
        <f t="shared" si="9"/>
        <v>150000</v>
      </c>
      <c r="N17" s="25">
        <f t="shared" si="10"/>
        <v>199323.05014702075</v>
      </c>
      <c r="O17" s="28">
        <v>150</v>
      </c>
      <c r="P17" s="24">
        <f t="shared" si="11"/>
        <v>4400000</v>
      </c>
      <c r="Q17" s="24">
        <f t="shared" si="16"/>
        <v>4395176.1678464618</v>
      </c>
      <c r="S17" s="25">
        <f t="shared" si="0"/>
        <v>22</v>
      </c>
      <c r="T17" s="28">
        <f t="shared" si="24"/>
        <v>1.25</v>
      </c>
      <c r="U17" s="26">
        <f t="shared" si="21"/>
        <v>1.3774999999999997</v>
      </c>
      <c r="V17" s="28">
        <v>1.1499999999999999</v>
      </c>
      <c r="W17" s="25">
        <f t="shared" si="18"/>
        <v>25998.65871482878</v>
      </c>
      <c r="X17" s="25">
        <f t="shared" si="12"/>
        <v>103994.63485931512</v>
      </c>
      <c r="Y17" s="24">
        <f t="shared" si="1"/>
        <v>150000000</v>
      </c>
      <c r="Z17" s="24">
        <f t="shared" si="19"/>
        <v>260000000</v>
      </c>
      <c r="AA17" s="24">
        <f t="shared" si="13"/>
        <v>5769.5284070345115</v>
      </c>
    </row>
    <row r="18" spans="1:27" x14ac:dyDescent="0.35">
      <c r="A18" s="24">
        <v>17</v>
      </c>
      <c r="B18" s="24">
        <f t="shared" si="2"/>
        <v>230000000</v>
      </c>
      <c r="C18" s="25">
        <f t="shared" si="14"/>
        <v>233207968.67201427</v>
      </c>
      <c r="D18" s="25">
        <f t="shared" si="15"/>
        <v>675218600</v>
      </c>
      <c r="E18" s="26">
        <f t="shared" si="20"/>
        <v>1170</v>
      </c>
      <c r="F18" s="26">
        <f t="shared" si="22"/>
        <v>4737</v>
      </c>
      <c r="G18" s="24">
        <f t="shared" si="3"/>
        <v>1894.8</v>
      </c>
      <c r="H18" s="24">
        <f t="shared" si="4"/>
        <v>2368.5</v>
      </c>
      <c r="I18" s="24">
        <f t="shared" si="5"/>
        <v>3158</v>
      </c>
      <c r="J18" s="24">
        <f t="shared" si="6"/>
        <v>230000</v>
      </c>
      <c r="K18" s="24">
        <f t="shared" si="7"/>
        <v>143750</v>
      </c>
      <c r="L18" s="25">
        <f t="shared" si="8"/>
        <v>153333.33333333334</v>
      </c>
      <c r="M18" s="25">
        <f t="shared" si="9"/>
        <v>172500</v>
      </c>
      <c r="N18" s="25">
        <f t="shared" si="10"/>
        <v>229221.50766907385</v>
      </c>
      <c r="O18" s="28">
        <v>300</v>
      </c>
      <c r="P18" s="24">
        <f t="shared" si="11"/>
        <v>5400000</v>
      </c>
      <c r="Q18" s="24">
        <f t="shared" si="16"/>
        <v>5406066.6864511482</v>
      </c>
      <c r="S18" s="25">
        <f t="shared" si="0"/>
        <v>23.478260869565219</v>
      </c>
      <c r="T18" s="28">
        <f>V18+0.08</f>
        <v>1.23</v>
      </c>
      <c r="U18" s="26">
        <f t="shared" si="21"/>
        <v>1.546551724137931</v>
      </c>
      <c r="V18" s="28">
        <v>1.1499999999999999</v>
      </c>
      <c r="W18" s="25">
        <f t="shared" si="18"/>
        <v>29898.457522053097</v>
      </c>
      <c r="X18" s="25">
        <f t="shared" si="12"/>
        <v>119593.83008821239</v>
      </c>
      <c r="Y18" s="24">
        <f t="shared" si="1"/>
        <v>230000000</v>
      </c>
      <c r="Z18" s="24">
        <f t="shared" si="19"/>
        <v>380000000</v>
      </c>
      <c r="AA18" s="24">
        <f t="shared" si="13"/>
        <v>7692.7045427126814</v>
      </c>
    </row>
    <row r="19" spans="1:27" x14ac:dyDescent="0.35">
      <c r="A19" s="24">
        <v>18</v>
      </c>
      <c r="B19" s="24">
        <f t="shared" si="2"/>
        <v>350000000</v>
      </c>
      <c r="C19" s="25">
        <f t="shared" si="14"/>
        <v>348416691.65699226</v>
      </c>
      <c r="D19" s="25">
        <f t="shared" si="15"/>
        <v>1025218600</v>
      </c>
      <c r="E19" s="26">
        <f t="shared" si="20"/>
        <v>1520</v>
      </c>
      <c r="F19" s="26">
        <f t="shared" si="22"/>
        <v>6257</v>
      </c>
      <c r="G19" s="24">
        <f t="shared" si="3"/>
        <v>2502.8000000000002</v>
      </c>
      <c r="H19" s="24">
        <f t="shared" si="4"/>
        <v>3128.5</v>
      </c>
      <c r="I19" s="24">
        <f t="shared" si="5"/>
        <v>4171.333333333333</v>
      </c>
      <c r="J19" s="24">
        <f t="shared" si="6"/>
        <v>250000</v>
      </c>
      <c r="K19" s="24">
        <f t="shared" si="7"/>
        <v>156250</v>
      </c>
      <c r="L19" s="25">
        <f t="shared" si="8"/>
        <v>166666.66666666666</v>
      </c>
      <c r="M19" s="25">
        <f t="shared" si="9"/>
        <v>187500</v>
      </c>
      <c r="N19" s="25">
        <f t="shared" si="10"/>
        <v>252143.65843598126</v>
      </c>
      <c r="O19" s="28">
        <v>350</v>
      </c>
      <c r="P19" s="24">
        <f t="shared" si="11"/>
        <v>6400000</v>
      </c>
      <c r="Q19" s="24">
        <f t="shared" si="16"/>
        <v>6379158.6900123553</v>
      </c>
      <c r="S19" s="25">
        <f t="shared" si="0"/>
        <v>25.6</v>
      </c>
      <c r="T19" s="28">
        <f t="shared" ref="T19:T21" si="25">V19+0.08</f>
        <v>1.1800000000000002</v>
      </c>
      <c r="U19" s="26">
        <f t="shared" si="21"/>
        <v>1.494017094017094</v>
      </c>
      <c r="V19" s="28">
        <v>1.1000000000000001</v>
      </c>
      <c r="W19" s="25">
        <f t="shared" si="18"/>
        <v>22922.150766907405</v>
      </c>
      <c r="X19" s="25">
        <f t="shared" si="12"/>
        <v>91688.603067629621</v>
      </c>
      <c r="Y19" s="24">
        <f t="shared" si="1"/>
        <v>350000000</v>
      </c>
      <c r="Z19" s="24">
        <f t="shared" si="19"/>
        <v>580000000</v>
      </c>
      <c r="AA19" s="24">
        <f t="shared" si="13"/>
        <v>15269.073288938194</v>
      </c>
    </row>
    <row r="20" spans="1:27" s="38" customFormat="1" x14ac:dyDescent="0.35">
      <c r="A20" s="38">
        <v>19</v>
      </c>
      <c r="B20" s="38">
        <f t="shared" si="2"/>
        <v>480000000</v>
      </c>
      <c r="C20" s="39">
        <f t="shared" si="14"/>
        <v>484115824.19708401</v>
      </c>
      <c r="D20" s="39">
        <f t="shared" si="15"/>
        <v>1505218600</v>
      </c>
      <c r="E20" s="40">
        <f t="shared" si="20"/>
        <v>1920</v>
      </c>
      <c r="F20" s="40">
        <f t="shared" si="22"/>
        <v>8177</v>
      </c>
      <c r="G20" s="40">
        <f t="shared" si="3"/>
        <v>3270.8</v>
      </c>
      <c r="H20" s="40">
        <f t="shared" si="4"/>
        <v>4088.5</v>
      </c>
      <c r="I20" s="40">
        <f t="shared" si="5"/>
        <v>5451.333333333333</v>
      </c>
      <c r="J20" s="38">
        <f t="shared" si="6"/>
        <v>300000</v>
      </c>
      <c r="K20" s="38">
        <f t="shared" si="7"/>
        <v>187500</v>
      </c>
      <c r="L20" s="39">
        <f t="shared" si="8"/>
        <v>200000</v>
      </c>
      <c r="M20" s="39">
        <f t="shared" si="9"/>
        <v>225000</v>
      </c>
      <c r="N20" s="39">
        <f t="shared" si="10"/>
        <v>302572.39012317749</v>
      </c>
      <c r="O20" s="38">
        <v>400</v>
      </c>
      <c r="P20" s="38">
        <f t="shared" si="11"/>
        <v>8200000</v>
      </c>
      <c r="Q20" s="38">
        <f t="shared" si="16"/>
        <v>8165323.1232158151</v>
      </c>
      <c r="S20" s="39">
        <f t="shared" si="0"/>
        <v>27.333333333333332</v>
      </c>
      <c r="T20" s="38">
        <f t="shared" si="25"/>
        <v>1.28</v>
      </c>
      <c r="U20" s="40">
        <f t="shared" si="21"/>
        <v>1.3894736842105264</v>
      </c>
      <c r="V20" s="38">
        <v>1.2</v>
      </c>
      <c r="W20" s="39">
        <f t="shared" si="18"/>
        <v>50428.731687196239</v>
      </c>
      <c r="X20" s="39">
        <f t="shared" si="12"/>
        <v>201714.92674878496</v>
      </c>
      <c r="Y20" s="38">
        <f t="shared" si="1"/>
        <v>480000000</v>
      </c>
      <c r="Z20" s="38">
        <f t="shared" si="19"/>
        <v>830000000</v>
      </c>
      <c r="AA20" s="38">
        <f t="shared" si="13"/>
        <v>9518.383348948495</v>
      </c>
    </row>
    <row r="21" spans="1:27" x14ac:dyDescent="0.35">
      <c r="A21" s="24">
        <v>20</v>
      </c>
      <c r="B21" s="24">
        <f t="shared" si="2"/>
        <v>760000000</v>
      </c>
      <c r="C21" s="25">
        <f t="shared" si="14"/>
        <v>762482423.11040723</v>
      </c>
      <c r="D21" s="25">
        <f t="shared" si="15"/>
        <v>2265218600</v>
      </c>
      <c r="E21" s="26">
        <f t="shared" si="20"/>
        <v>2520</v>
      </c>
      <c r="F21" s="26">
        <f t="shared" si="22"/>
        <v>10697</v>
      </c>
      <c r="G21" s="24">
        <f t="shared" si="3"/>
        <v>4278.8</v>
      </c>
      <c r="H21" s="24">
        <f t="shared" si="4"/>
        <v>5348.5</v>
      </c>
      <c r="I21" s="24">
        <f t="shared" si="5"/>
        <v>7131.333333333333</v>
      </c>
      <c r="J21" s="24">
        <f t="shared" si="6"/>
        <v>350000</v>
      </c>
      <c r="K21" s="24">
        <f t="shared" si="7"/>
        <v>218750</v>
      </c>
      <c r="L21" s="25">
        <f t="shared" si="8"/>
        <v>233333.33333333334</v>
      </c>
      <c r="M21" s="25">
        <f t="shared" si="9"/>
        <v>262500</v>
      </c>
      <c r="N21" s="25">
        <f t="shared" si="10"/>
        <v>347958.24864165409</v>
      </c>
      <c r="O21" s="28">
        <v>600</v>
      </c>
      <c r="P21" s="24">
        <f t="shared" si="11"/>
        <v>10000000</v>
      </c>
      <c r="Q21" s="24">
        <f t="shared" si="16"/>
        <v>10043347.441555452</v>
      </c>
      <c r="S21" s="25">
        <f t="shared" si="0"/>
        <v>28.571428571428573</v>
      </c>
      <c r="T21" s="28">
        <f t="shared" si="25"/>
        <v>1.23</v>
      </c>
      <c r="U21" s="26">
        <f t="shared" si="21"/>
        <v>1.5749999999999997</v>
      </c>
      <c r="V21" s="28">
        <v>1.1499999999999999</v>
      </c>
      <c r="W21" s="25">
        <f t="shared" si="18"/>
        <v>45385.858518476598</v>
      </c>
      <c r="X21" s="25">
        <f t="shared" si="12"/>
        <v>181543.43407390639</v>
      </c>
      <c r="Y21" s="24">
        <f t="shared" si="1"/>
        <v>760000000</v>
      </c>
      <c r="Z21" s="24">
        <f t="shared" si="19"/>
        <v>1240000000</v>
      </c>
      <c r="AA21" s="24">
        <f t="shared" si="13"/>
        <v>16745.304039816801</v>
      </c>
    </row>
    <row r="25" spans="1:27" x14ac:dyDescent="0.35">
      <c r="U25" s="28">
        <v>6</v>
      </c>
      <c r="X25" s="28">
        <v>1.5</v>
      </c>
    </row>
    <row r="26" spans="1:27" x14ac:dyDescent="0.35">
      <c r="U26" s="28">
        <v>5</v>
      </c>
      <c r="X26" s="28">
        <v>1.5</v>
      </c>
    </row>
    <row r="27" spans="1:27" x14ac:dyDescent="0.35">
      <c r="U27" s="28">
        <v>4</v>
      </c>
      <c r="X27" s="28">
        <v>1.5</v>
      </c>
    </row>
    <row r="28" spans="1:27" x14ac:dyDescent="0.35">
      <c r="U28" s="28">
        <v>3</v>
      </c>
      <c r="X28" s="28">
        <v>1.5</v>
      </c>
    </row>
    <row r="29" spans="1:27" x14ac:dyDescent="0.35">
      <c r="U29" s="28">
        <v>2</v>
      </c>
      <c r="X29" s="28">
        <v>1.4</v>
      </c>
    </row>
    <row r="30" spans="1:27" x14ac:dyDescent="0.35">
      <c r="U30" s="35">
        <v>2</v>
      </c>
      <c r="X30" s="28">
        <v>1.4</v>
      </c>
    </row>
    <row r="31" spans="1:27" x14ac:dyDescent="0.35">
      <c r="U31" s="28">
        <v>1.8</v>
      </c>
      <c r="X31" s="28">
        <v>1.4</v>
      </c>
    </row>
    <row r="32" spans="1:27" x14ac:dyDescent="0.35">
      <c r="U32" s="28">
        <v>1.1000000000000001</v>
      </c>
      <c r="X32" s="28">
        <v>1.4</v>
      </c>
    </row>
    <row r="33" spans="19:24" x14ac:dyDescent="0.35">
      <c r="U33" s="28">
        <v>1.0900000000000001</v>
      </c>
      <c r="X33" s="28">
        <v>1.3</v>
      </c>
    </row>
    <row r="34" spans="19:24" x14ac:dyDescent="0.35">
      <c r="U34" s="35">
        <v>1.0900000000000001</v>
      </c>
      <c r="X34" s="28">
        <v>1.3</v>
      </c>
    </row>
    <row r="35" spans="19:24" x14ac:dyDescent="0.35">
      <c r="U35" s="28">
        <v>1.0900000000000001</v>
      </c>
      <c r="X35" s="28">
        <v>1.3</v>
      </c>
    </row>
    <row r="36" spans="19:24" x14ac:dyDescent="0.35">
      <c r="U36" s="28">
        <v>1.1000000000000001</v>
      </c>
      <c r="X36" s="28">
        <v>1.3</v>
      </c>
    </row>
    <row r="37" spans="19:24" x14ac:dyDescent="0.35">
      <c r="U37" s="28">
        <v>1.1599999999999999</v>
      </c>
      <c r="X37" s="28">
        <v>1.3</v>
      </c>
    </row>
    <row r="38" spans="19:24" x14ac:dyDescent="0.35">
      <c r="U38" s="28">
        <v>1.1399999999999999</v>
      </c>
      <c r="X38" s="28">
        <v>1.3</v>
      </c>
    </row>
    <row r="39" spans="19:24" x14ac:dyDescent="0.35">
      <c r="U39" s="28">
        <v>1.1200000000000001</v>
      </c>
      <c r="X39" s="28">
        <v>1.3</v>
      </c>
    </row>
    <row r="40" spans="19:24" x14ac:dyDescent="0.35">
      <c r="U40" s="28">
        <v>1.1000000000000001</v>
      </c>
      <c r="X40" s="28">
        <v>1.3</v>
      </c>
    </row>
    <row r="41" spans="19:24" x14ac:dyDescent="0.35">
      <c r="U41" s="28">
        <v>1.0900000000000001</v>
      </c>
      <c r="X41" s="28">
        <v>1.3</v>
      </c>
    </row>
    <row r="42" spans="19:24" x14ac:dyDescent="0.35">
      <c r="U42" s="28">
        <v>1.0900000000000001</v>
      </c>
      <c r="X42" s="28">
        <v>1.3</v>
      </c>
    </row>
    <row r="43" spans="19:24" x14ac:dyDescent="0.35">
      <c r="U43" s="28">
        <v>1.0900000000000001</v>
      </c>
      <c r="X43" s="28">
        <v>1.3</v>
      </c>
    </row>
    <row r="45" spans="19:24" x14ac:dyDescent="0.35">
      <c r="S45" s="24">
        <v>6</v>
      </c>
    </row>
    <row r="46" spans="19:24" x14ac:dyDescent="0.35">
      <c r="S46" s="24">
        <v>5</v>
      </c>
    </row>
    <row r="47" spans="19:24" x14ac:dyDescent="0.35">
      <c r="S47" s="24">
        <v>4</v>
      </c>
    </row>
    <row r="48" spans="19:24" x14ac:dyDescent="0.35">
      <c r="S48" s="24">
        <v>2</v>
      </c>
    </row>
    <row r="49" spans="19:19" x14ac:dyDescent="0.35">
      <c r="S49" s="24">
        <v>1.3</v>
      </c>
    </row>
    <row r="50" spans="19:19" x14ac:dyDescent="0.35">
      <c r="S50" s="24">
        <v>1.4</v>
      </c>
    </row>
    <row r="51" spans="19:19" x14ac:dyDescent="0.35">
      <c r="S51" s="24">
        <v>1.1000000000000001</v>
      </c>
    </row>
    <row r="52" spans="19:19" x14ac:dyDescent="0.35">
      <c r="S52" s="24">
        <v>1.1000000000000001</v>
      </c>
    </row>
    <row r="53" spans="19:19" x14ac:dyDescent="0.35">
      <c r="S53" s="24">
        <v>1.0900000000000001</v>
      </c>
    </row>
    <row r="54" spans="19:19" x14ac:dyDescent="0.35">
      <c r="S54" s="24">
        <v>1.0900000000000001</v>
      </c>
    </row>
    <row r="55" spans="19:19" x14ac:dyDescent="0.35">
      <c r="S55" s="24">
        <v>1.0900000000000001</v>
      </c>
    </row>
    <row r="56" spans="19:19" x14ac:dyDescent="0.35">
      <c r="S56" s="24">
        <v>1.1000000000000001</v>
      </c>
    </row>
    <row r="57" spans="19:19" x14ac:dyDescent="0.35">
      <c r="S57" s="24">
        <v>1.1599999999999999</v>
      </c>
    </row>
    <row r="58" spans="19:19" x14ac:dyDescent="0.35">
      <c r="S58" s="24">
        <v>1.1399999999999999</v>
      </c>
    </row>
    <row r="59" spans="19:19" x14ac:dyDescent="0.35">
      <c r="S59" s="24">
        <v>1.1200000000000001</v>
      </c>
    </row>
    <row r="60" spans="19:19" x14ac:dyDescent="0.35">
      <c r="S60" s="24">
        <v>1.1000000000000001</v>
      </c>
    </row>
    <row r="61" spans="19:19" x14ac:dyDescent="0.35">
      <c r="S61" s="24">
        <v>1.0900000000000001</v>
      </c>
    </row>
    <row r="62" spans="19:19" x14ac:dyDescent="0.35">
      <c r="S62" s="24">
        <v>1.05</v>
      </c>
    </row>
    <row r="63" spans="19:19" x14ac:dyDescent="0.35">
      <c r="S63" s="24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tabSelected="1" workbookViewId="0">
      <selection activeCell="G29" sqref="G29"/>
    </sheetView>
  </sheetViews>
  <sheetFormatPr defaultColWidth="9.125" defaultRowHeight="16.5" x14ac:dyDescent="0.15"/>
  <cols>
    <col min="1" max="1" width="9.125" style="45"/>
    <col min="2" max="2" width="10.25" style="2" bestFit="1" customWidth="1"/>
    <col min="3" max="3" width="17" style="2" bestFit="1" customWidth="1"/>
    <col min="4" max="4" width="9.125" style="48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219</v>
      </c>
      <c r="C2" s="2" t="s">
        <v>219</v>
      </c>
    </row>
    <row r="3" spans="1:4" x14ac:dyDescent="0.15">
      <c r="B3" s="2" t="s">
        <v>260</v>
      </c>
      <c r="C3" s="2" t="s">
        <v>220</v>
      </c>
    </row>
    <row r="4" spans="1:4" s="3" customFormat="1" ht="17.25" thickBot="1" x14ac:dyDescent="0.2">
      <c r="A4" s="46" t="s">
        <v>221</v>
      </c>
      <c r="B4" s="6" t="s">
        <v>259</v>
      </c>
      <c r="C4" s="6" t="s">
        <v>222</v>
      </c>
      <c r="D4" s="46" t="s">
        <v>246</v>
      </c>
    </row>
    <row r="5" spans="1:4" s="5" customFormat="1" x14ac:dyDescent="0.15">
      <c r="A5" s="47"/>
      <c r="B5" s="2" t="s">
        <v>218</v>
      </c>
      <c r="C5" s="2" t="s">
        <v>225</v>
      </c>
      <c r="D5" s="49"/>
    </row>
    <row r="6" spans="1:4" s="5" customFormat="1" x14ac:dyDescent="0.15">
      <c r="A6" s="47"/>
      <c r="B6" s="7" t="s">
        <v>164</v>
      </c>
      <c r="C6" s="2" t="s">
        <v>226</v>
      </c>
      <c r="D6" s="49"/>
    </row>
    <row r="7" spans="1:4" s="5" customFormat="1" x14ac:dyDescent="0.15">
      <c r="A7" s="47"/>
      <c r="B7" s="2" t="s">
        <v>163</v>
      </c>
      <c r="C7" s="2" t="s">
        <v>227</v>
      </c>
      <c r="D7" s="49"/>
    </row>
    <row r="8" spans="1:4" s="5" customFormat="1" x14ac:dyDescent="0.15">
      <c r="A8" s="47"/>
      <c r="B8" s="2" t="s">
        <v>165</v>
      </c>
      <c r="C8" s="2" t="s">
        <v>228</v>
      </c>
      <c r="D8" s="49"/>
    </row>
    <row r="9" spans="1:4" s="5" customFormat="1" x14ac:dyDescent="0.15">
      <c r="A9" s="47"/>
      <c r="B9" s="2" t="s">
        <v>166</v>
      </c>
      <c r="C9" s="2" t="s">
        <v>229</v>
      </c>
      <c r="D9" s="49"/>
    </row>
    <row r="10" spans="1:4" s="5" customFormat="1" x14ac:dyDescent="0.15">
      <c r="A10" s="47"/>
      <c r="B10" s="2" t="s">
        <v>167</v>
      </c>
      <c r="C10" s="2" t="s">
        <v>228</v>
      </c>
      <c r="D10" s="49"/>
    </row>
    <row r="11" spans="1:4" s="5" customFormat="1" x14ac:dyDescent="0.15">
      <c r="A11" s="47"/>
      <c r="B11" s="2" t="s">
        <v>168</v>
      </c>
      <c r="C11" s="2" t="s">
        <v>230</v>
      </c>
      <c r="D11" s="49"/>
    </row>
    <row r="12" spans="1:4" s="5" customFormat="1" x14ac:dyDescent="0.15">
      <c r="A12" s="47"/>
      <c r="B12" s="2" t="s">
        <v>169</v>
      </c>
      <c r="C12" s="2" t="s">
        <v>228</v>
      </c>
      <c r="D12" s="49"/>
    </row>
    <row r="13" spans="1:4" s="5" customFormat="1" x14ac:dyDescent="0.15">
      <c r="A13" s="47"/>
      <c r="B13" s="2" t="s">
        <v>170</v>
      </c>
      <c r="C13" s="2" t="s">
        <v>231</v>
      </c>
      <c r="D13" s="49"/>
    </row>
    <row r="14" spans="1:4" s="5" customFormat="1" x14ac:dyDescent="0.15">
      <c r="A14" s="47"/>
      <c r="B14" s="2" t="s">
        <v>171</v>
      </c>
      <c r="C14" s="2" t="s">
        <v>232</v>
      </c>
      <c r="D14" s="49"/>
    </row>
    <row r="15" spans="1:4" s="5" customFormat="1" x14ac:dyDescent="0.15">
      <c r="A15" s="47"/>
      <c r="B15" s="2" t="s">
        <v>207</v>
      </c>
      <c r="C15" s="2" t="s">
        <v>233</v>
      </c>
      <c r="D15" s="49"/>
    </row>
    <row r="16" spans="1:4" s="5" customFormat="1" x14ac:dyDescent="0.15">
      <c r="A16" s="47"/>
      <c r="B16" s="2" t="s">
        <v>172</v>
      </c>
      <c r="C16" s="2" t="s">
        <v>234</v>
      </c>
      <c r="D16" s="49"/>
    </row>
    <row r="17" spans="1:4" s="5" customFormat="1" x14ac:dyDescent="0.15">
      <c r="A17" s="47"/>
      <c r="B17" s="2" t="s">
        <v>173</v>
      </c>
      <c r="C17" s="2" t="s">
        <v>235</v>
      </c>
      <c r="D17" s="49"/>
    </row>
    <row r="18" spans="1:4" s="5" customFormat="1" x14ac:dyDescent="0.15">
      <c r="A18" s="47"/>
      <c r="B18" s="8" t="s">
        <v>174</v>
      </c>
      <c r="C18" s="2" t="s">
        <v>236</v>
      </c>
      <c r="D18" s="49"/>
    </row>
    <row r="19" spans="1:4" s="5" customFormat="1" x14ac:dyDescent="0.15">
      <c r="A19" s="47"/>
      <c r="B19" s="8" t="s">
        <v>175</v>
      </c>
      <c r="C19" s="2" t="s">
        <v>237</v>
      </c>
      <c r="D19" s="49"/>
    </row>
    <row r="20" spans="1:4" s="5" customFormat="1" x14ac:dyDescent="0.15">
      <c r="A20" s="47"/>
      <c r="B20" s="8" t="s">
        <v>176</v>
      </c>
      <c r="C20" s="2" t="s">
        <v>238</v>
      </c>
      <c r="D20" s="49"/>
    </row>
    <row r="21" spans="1:4" s="5" customFormat="1" x14ac:dyDescent="0.15">
      <c r="A21" s="47"/>
      <c r="B21" s="2" t="s">
        <v>177</v>
      </c>
      <c r="C21" s="2" t="s">
        <v>239</v>
      </c>
      <c r="D21" s="49"/>
    </row>
    <row r="22" spans="1:4" s="5" customFormat="1" x14ac:dyDescent="0.15">
      <c r="A22" s="47"/>
      <c r="B22" s="2" t="s">
        <v>178</v>
      </c>
      <c r="C22" s="2" t="s">
        <v>234</v>
      </c>
      <c r="D22" s="49"/>
    </row>
    <row r="23" spans="1:4" s="5" customFormat="1" x14ac:dyDescent="0.15">
      <c r="A23" s="47"/>
      <c r="B23" s="8" t="s">
        <v>199</v>
      </c>
      <c r="C23" s="2" t="s">
        <v>240</v>
      </c>
      <c r="D23" s="49"/>
    </row>
    <row r="24" spans="1:4" x14ac:dyDescent="0.15">
      <c r="B24" s="8" t="s">
        <v>224</v>
      </c>
      <c r="C24" s="2" t="s">
        <v>241</v>
      </c>
    </row>
    <row r="25" spans="1:4" x14ac:dyDescent="0.15">
      <c r="B25" s="8" t="s">
        <v>179</v>
      </c>
      <c r="C25" s="2" t="s">
        <v>242</v>
      </c>
    </row>
    <row r="26" spans="1:4" x14ac:dyDescent="0.15">
      <c r="B26" s="8" t="s">
        <v>180</v>
      </c>
      <c r="C26" s="2" t="s">
        <v>243</v>
      </c>
    </row>
    <row r="27" spans="1:4" x14ac:dyDescent="0.15">
      <c r="B27" s="8" t="s">
        <v>181</v>
      </c>
      <c r="C27" s="2" t="s">
        <v>244</v>
      </c>
    </row>
    <row r="28" spans="1:4" x14ac:dyDescent="0.15">
      <c r="B28" s="8" t="s">
        <v>182</v>
      </c>
      <c r="C28" s="2" t="s">
        <v>245</v>
      </c>
    </row>
    <row r="29" spans="1:4" x14ac:dyDescent="0.15">
      <c r="B29" s="8" t="s">
        <v>208</v>
      </c>
      <c r="C29" s="2" t="s">
        <v>244</v>
      </c>
      <c r="D29" s="48" t="s">
        <v>247</v>
      </c>
    </row>
    <row r="30" spans="1:4" x14ac:dyDescent="0.15">
      <c r="B30" s="8" t="s">
        <v>209</v>
      </c>
      <c r="C30" s="2" t="s">
        <v>248</v>
      </c>
    </row>
    <row r="31" spans="1:4" x14ac:dyDescent="0.15">
      <c r="B31" s="8" t="s">
        <v>183</v>
      </c>
      <c r="C31" s="2" t="s">
        <v>249</v>
      </c>
    </row>
    <row r="32" spans="1:4" ht="15.75" customHeight="1" x14ac:dyDescent="0.15">
      <c r="B32" s="8" t="s">
        <v>184</v>
      </c>
      <c r="C32" s="2" t="s">
        <v>248</v>
      </c>
    </row>
    <row r="33" spans="2:3" x14ac:dyDescent="0.15">
      <c r="B33" s="2" t="s">
        <v>185</v>
      </c>
      <c r="C33" s="2" t="s">
        <v>250</v>
      </c>
    </row>
    <row r="34" spans="2:3" x14ac:dyDescent="0.15">
      <c r="B34" s="2" t="s">
        <v>186</v>
      </c>
      <c r="C34" s="2" t="s">
        <v>251</v>
      </c>
    </row>
    <row r="35" spans="2:3" x14ac:dyDescent="0.15">
      <c r="B35" s="2" t="s">
        <v>187</v>
      </c>
      <c r="C35" s="2" t="s">
        <v>252</v>
      </c>
    </row>
    <row r="36" spans="2:3" x14ac:dyDescent="0.15">
      <c r="B36" s="2" t="s">
        <v>188</v>
      </c>
      <c r="C36" s="2" t="s">
        <v>253</v>
      </c>
    </row>
    <row r="37" spans="2:3" x14ac:dyDescent="0.15">
      <c r="B37" s="2" t="s">
        <v>189</v>
      </c>
      <c r="C37" s="2" t="s">
        <v>254</v>
      </c>
    </row>
    <row r="38" spans="2:3" x14ac:dyDescent="0.15">
      <c r="B38" s="2" t="s">
        <v>190</v>
      </c>
      <c r="C38" s="2" t="s">
        <v>255</v>
      </c>
    </row>
    <row r="39" spans="2:3" x14ac:dyDescent="0.15">
      <c r="B39" s="8" t="s">
        <v>191</v>
      </c>
      <c r="C39" s="2" t="s">
        <v>256</v>
      </c>
    </row>
    <row r="40" spans="2:3" x14ac:dyDescent="0.15">
      <c r="B40" s="8" t="s">
        <v>192</v>
      </c>
      <c r="C40" s="2" t="s">
        <v>228</v>
      </c>
    </row>
    <row r="41" spans="2:3" x14ac:dyDescent="0.15">
      <c r="B41" s="8" t="s">
        <v>210</v>
      </c>
      <c r="C41" s="2" t="s">
        <v>239</v>
      </c>
    </row>
    <row r="42" spans="2:3" x14ac:dyDescent="0.15">
      <c r="B42" s="8" t="s">
        <v>211</v>
      </c>
      <c r="C42" s="2" t="s">
        <v>234</v>
      </c>
    </row>
    <row r="43" spans="2:3" x14ac:dyDescent="0.15">
      <c r="B43" s="8" t="s">
        <v>193</v>
      </c>
      <c r="C43" s="2" t="s">
        <v>257</v>
      </c>
    </row>
    <row r="44" spans="2:3" x14ac:dyDescent="0.15">
      <c r="B44" s="8" t="s">
        <v>194</v>
      </c>
      <c r="C44" s="2" t="s">
        <v>258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218</v>
      </c>
      <c r="C3" s="7" t="s">
        <v>164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163</v>
      </c>
      <c r="C3" s="2" t="s">
        <v>165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166</v>
      </c>
      <c r="C3" s="2" t="s">
        <v>167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207</v>
      </c>
      <c r="C3" s="2" t="s">
        <v>172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19" sqref="B19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173</v>
      </c>
      <c r="C3" s="8" t="s">
        <v>174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175</v>
      </c>
      <c r="C3" s="8" t="s">
        <v>176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177</v>
      </c>
      <c r="C3" s="2" t="s">
        <v>178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199</v>
      </c>
    </row>
    <row r="4" spans="1:7" s="3" customFormat="1" ht="17.25" thickBot="1" x14ac:dyDescent="0.2">
      <c r="A4" s="6" t="s">
        <v>0</v>
      </c>
      <c r="B4" s="11" t="s">
        <v>200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224</v>
      </c>
    </row>
    <row r="4" spans="1:7" s="3" customFormat="1" ht="17.25" thickBot="1" x14ac:dyDescent="0.2">
      <c r="A4" s="6" t="s">
        <v>0</v>
      </c>
      <c r="B4" s="11" t="s">
        <v>223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179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180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181</v>
      </c>
      <c r="C3" s="8" t="s">
        <v>182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208</v>
      </c>
      <c r="C3" s="8" t="s">
        <v>209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0" sqref="C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183</v>
      </c>
      <c r="C3" s="8" t="s">
        <v>184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185</v>
      </c>
      <c r="C3" s="2" t="s">
        <v>186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187</v>
      </c>
      <c r="C3" s="2" t="s">
        <v>188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189</v>
      </c>
      <c r="C3" s="2" t="s">
        <v>190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191</v>
      </c>
      <c r="C3" s="8" t="s">
        <v>192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210</v>
      </c>
      <c r="C3" s="8" t="s">
        <v>211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193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194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3.5" x14ac:dyDescent="0.1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粗算 (3)</vt:lpstr>
      <vt:lpstr>全部建筑-属性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Sheet2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2018-08-24T02:19:12Z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